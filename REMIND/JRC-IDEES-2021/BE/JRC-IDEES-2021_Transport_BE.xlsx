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BE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B26" i="1"/>
  <c r="B25" i="1"/>
  <c r="B24" i="1"/>
  <c r="S242" i="3" l="1"/>
  <c r="C242" i="3"/>
  <c r="C18" i="20"/>
  <c r="W14" i="18"/>
  <c r="O14" i="18"/>
  <c r="I15" i="18"/>
  <c r="E3" i="18"/>
  <c r="E17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3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D21" i="20"/>
  <c r="D22" i="20"/>
  <c r="I21" i="18"/>
  <c r="N3" i="18"/>
  <c r="N17" i="18" s="1"/>
  <c r="U14" i="18"/>
  <c r="E21" i="20"/>
  <c r="P14" i="18"/>
  <c r="J14" i="20"/>
  <c r="O3" i="20"/>
  <c r="O23" i="20" s="1"/>
  <c r="O3" i="18"/>
  <c r="O18" i="18" s="1"/>
  <c r="N3" i="20"/>
  <c r="Q11" i="20"/>
  <c r="R21" i="18"/>
  <c r="N24" i="19"/>
  <c r="N20" i="19"/>
  <c r="Q14" i="20"/>
  <c r="Q3" i="20"/>
  <c r="Q22" i="20" s="1"/>
  <c r="C19" i="20"/>
  <c r="E14" i="18"/>
  <c r="M14" i="18"/>
  <c r="E19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S10" i="20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H14" i="18"/>
  <c r="B15" i="18"/>
  <c r="R15" i="18"/>
  <c r="D10" i="19"/>
  <c r="L10" i="19"/>
  <c r="T10" i="19"/>
  <c r="R14" i="20"/>
  <c r="M19" i="20"/>
  <c r="K15" i="20"/>
  <c r="K3" i="20"/>
  <c r="K22" i="20" s="1"/>
  <c r="Q3" i="18"/>
  <c r="Q18" i="18" s="1"/>
  <c r="C3" i="18"/>
  <c r="C19" i="18" s="1"/>
  <c r="Q7" i="18"/>
  <c r="Q21" i="18" s="1"/>
  <c r="E23" i="18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7" i="20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M22" i="18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V22" i="20"/>
  <c r="D18" i="20"/>
  <c r="L18" i="20"/>
  <c r="T18" i="20"/>
  <c r="F19" i="20"/>
  <c r="N19" i="20"/>
  <c r="V19" i="20"/>
  <c r="D23" i="20"/>
  <c r="E18" i="20"/>
  <c r="M18" i="20"/>
  <c r="U18" i="20"/>
  <c r="G19" i="20"/>
  <c r="O19" i="20"/>
  <c r="W19" i="20"/>
  <c r="E23" i="20"/>
  <c r="R3" i="20"/>
  <c r="W3" i="19" l="1"/>
  <c r="W28" i="19" s="1"/>
  <c r="W10" i="20"/>
  <c r="N10" i="20"/>
  <c r="M23" i="18"/>
  <c r="L23" i="18"/>
  <c r="E18" i="18"/>
  <c r="T22" i="18"/>
  <c r="F19" i="18"/>
  <c r="T23" i="18"/>
  <c r="M24" i="19"/>
  <c r="N13" i="20"/>
  <c r="H20" i="19"/>
  <c r="Q24" i="19"/>
  <c r="I22" i="18"/>
  <c r="Q10" i="20"/>
  <c r="G25" i="19"/>
  <c r="W17" i="20"/>
  <c r="G24" i="19"/>
  <c r="G18" i="18"/>
  <c r="R22" i="18"/>
  <c r="S23" i="18"/>
  <c r="H25" i="19"/>
  <c r="W24" i="19"/>
  <c r="P24" i="19"/>
  <c r="I213" i="3"/>
  <c r="K20" i="19"/>
  <c r="Q21" i="19"/>
  <c r="P10" i="20"/>
  <c r="E13" i="20"/>
  <c r="U19" i="18"/>
  <c r="O21" i="19"/>
  <c r="Q25" i="19"/>
  <c r="S22" i="18"/>
  <c r="G23" i="20"/>
  <c r="L21" i="20"/>
  <c r="M23" i="20"/>
  <c r="R21" i="19"/>
  <c r="E22" i="18"/>
  <c r="F18" i="18"/>
  <c r="K23" i="18"/>
  <c r="U18" i="18"/>
  <c r="J11" i="20"/>
  <c r="E13" i="18"/>
  <c r="J21" i="19"/>
  <c r="R212" i="3"/>
  <c r="H3" i="19"/>
  <c r="H19" i="19" s="1"/>
  <c r="R29" i="3"/>
  <c r="R123" i="3" s="1"/>
  <c r="O11" i="20"/>
  <c r="M22" i="20"/>
  <c r="F22" i="20"/>
  <c r="L10" i="20"/>
  <c r="L20" i="19"/>
  <c r="F20" i="19"/>
  <c r="T24" i="19"/>
  <c r="F24" i="19"/>
  <c r="T20" i="19"/>
  <c r="U29" i="3"/>
  <c r="U121" i="3" s="1"/>
  <c r="R25" i="19"/>
  <c r="W23" i="20"/>
  <c r="F89" i="3"/>
  <c r="F181" i="3" s="1"/>
  <c r="U24" i="19"/>
  <c r="N22" i="18"/>
  <c r="N29" i="3"/>
  <c r="N241" i="3" s="1"/>
  <c r="N23" i="18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19" i="19" s="1"/>
  <c r="G21" i="20"/>
  <c r="Q29" i="3"/>
  <c r="Q123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R241" i="3"/>
  <c r="C123" i="3"/>
  <c r="C241" i="3"/>
  <c r="B183" i="3"/>
  <c r="H123" i="3"/>
  <c r="C122" i="3"/>
  <c r="C182" i="3"/>
  <c r="F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W122" i="3"/>
  <c r="M122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H27" i="19"/>
  <c r="W22" i="18"/>
  <c r="L3" i="19"/>
  <c r="L29" i="19" s="1"/>
  <c r="W23" i="19"/>
  <c r="W19" i="19"/>
  <c r="W27" i="19"/>
  <c r="F21" i="19"/>
  <c r="F11" i="20"/>
  <c r="F25" i="19"/>
  <c r="W23" i="18"/>
  <c r="K21" i="20"/>
  <c r="K17" i="20"/>
  <c r="K13" i="20"/>
  <c r="T25" i="19"/>
  <c r="T21" i="19"/>
  <c r="W29" i="19"/>
  <c r="H28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9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M28" i="19"/>
  <c r="E21" i="19"/>
  <c r="E25" i="19"/>
  <c r="W9" i="20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N9" i="20" l="1"/>
  <c r="M27" i="19"/>
  <c r="Q241" i="3"/>
  <c r="H29" i="19"/>
  <c r="Q23" i="19"/>
  <c r="N122" i="3"/>
  <c r="H23" i="19"/>
  <c r="Q122" i="3"/>
  <c r="N19" i="19"/>
  <c r="R121" i="3"/>
  <c r="Q121" i="3"/>
  <c r="Q9" i="20"/>
  <c r="H9" i="20"/>
  <c r="P9" i="20"/>
  <c r="R122" i="3"/>
  <c r="M9" i="20"/>
  <c r="M23" i="19"/>
  <c r="U123" i="3"/>
  <c r="G27" i="19"/>
  <c r="G28" i="19"/>
  <c r="U122" i="3"/>
  <c r="P121" i="3"/>
  <c r="K183" i="3"/>
  <c r="U182" i="3"/>
  <c r="E28" i="19"/>
  <c r="N27" i="19"/>
  <c r="P27" i="19"/>
  <c r="E23" i="19"/>
  <c r="T123" i="3"/>
  <c r="N121" i="3"/>
  <c r="D123" i="3"/>
  <c r="N123" i="3"/>
  <c r="T241" i="3"/>
  <c r="L121" i="3"/>
  <c r="P122" i="3"/>
  <c r="F152" i="3"/>
  <c r="F153" i="3"/>
  <c r="F183" i="3"/>
  <c r="F241" i="3"/>
  <c r="E27" i="19"/>
  <c r="N29" i="19"/>
  <c r="M182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V10" i="5" l="1"/>
  <c r="U10" i="5"/>
  <c r="S10" i="5"/>
  <c r="Q10" i="5"/>
  <c r="P10" i="5"/>
  <c r="N10" i="5"/>
  <c r="M10" i="5"/>
  <c r="L10" i="5"/>
  <c r="K10" i="5"/>
  <c r="J10" i="5"/>
  <c r="I10" i="5"/>
  <c r="H10" i="5"/>
  <c r="F10" i="5"/>
  <c r="E10" i="5"/>
  <c r="D10" i="5"/>
  <c r="C10" i="5"/>
  <c r="B10" i="5" l="1"/>
  <c r="R10" i="5"/>
  <c r="T10" i="5"/>
  <c r="G10" i="5"/>
  <c r="O10" i="5"/>
  <c r="W10" i="5"/>
  <c r="I15" i="17" l="1"/>
  <c r="Q15" i="17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22" i="13" s="1"/>
  <c r="W4" i="13"/>
  <c r="W15" i="14"/>
  <c r="W14" i="14"/>
  <c r="W20" i="14" s="1"/>
  <c r="W4" i="14"/>
  <c r="W14" i="15"/>
  <c r="W10" i="16"/>
  <c r="W58" i="3" s="1"/>
  <c r="W4" i="16"/>
  <c r="W57" i="3" s="1"/>
  <c r="W19" i="17"/>
  <c r="W85" i="4" l="1"/>
  <c r="W80" i="11"/>
  <c r="W53" i="11"/>
  <c r="W70" i="11"/>
  <c r="W73" i="4"/>
  <c r="W19" i="7" s="1"/>
  <c r="W26" i="4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84" i="4" s="1"/>
  <c r="W20" i="3"/>
  <c r="W163" i="4"/>
  <c r="W217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I100" i="4" l="1"/>
  <c r="W10" i="9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60" i="9"/>
  <c r="W58" i="9"/>
  <c r="W64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Q84" i="4" s="1"/>
  <c r="F87" i="4"/>
  <c r="F85" i="4" s="1"/>
  <c r="F84" i="4" s="1"/>
  <c r="N87" i="4"/>
  <c r="N85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H60" i="7" s="1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N84" i="4" l="1"/>
  <c r="R60" i="7"/>
  <c r="Q75" i="7"/>
  <c r="R75" i="7"/>
  <c r="R59" i="7" s="1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Q59" i="7" s="1"/>
  <c r="G60" i="7"/>
  <c r="I75" i="7"/>
  <c r="V60" i="7"/>
  <c r="W23" i="9"/>
  <c r="W26" i="10"/>
  <c r="W232" i="3"/>
  <c r="R100" i="4"/>
  <c r="R31" i="4"/>
  <c r="T4" i="6"/>
  <c r="J100" i="4"/>
  <c r="J84" i="4" s="1"/>
  <c r="K100" i="4"/>
  <c r="K84" i="4" s="1"/>
  <c r="V31" i="4"/>
  <c r="V260" i="4" s="1"/>
  <c r="U75" i="7"/>
  <c r="D84" i="4"/>
  <c r="L84" i="4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H59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270" i="4" s="1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R26" i="4" s="1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B14" i="4"/>
  <c r="B205" i="4" s="1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208" i="4" s="1"/>
  <c r="S181" i="4"/>
  <c r="S68" i="6"/>
  <c r="S210" i="7" s="1"/>
  <c r="G182" i="4"/>
  <c r="G69" i="6"/>
  <c r="O18" i="4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7" i="7" s="1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Q70" i="5" s="1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H103" i="6" s="1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31" i="4" s="1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212" i="4" s="1"/>
  <c r="S185" i="4"/>
  <c r="S72" i="6"/>
  <c r="S214" i="7" s="1"/>
  <c r="S78" i="5"/>
  <c r="S133" i="7" s="1"/>
  <c r="G186" i="4"/>
  <c r="G73" i="6"/>
  <c r="G215" i="7" s="1"/>
  <c r="O22" i="4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O74" i="4"/>
  <c r="O125" i="6" s="1"/>
  <c r="E74" i="4"/>
  <c r="E125" i="6" s="1"/>
  <c r="E21" i="7"/>
  <c r="N74" i="4"/>
  <c r="N184" i="4" s="1"/>
  <c r="N21" i="7"/>
  <c r="V74" i="4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Q14" i="4"/>
  <c r="Q98" i="5" s="1"/>
  <c r="D15" i="4"/>
  <c r="D93" i="6" s="1"/>
  <c r="Q16" i="4"/>
  <c r="Q207" i="4" s="1"/>
  <c r="D17" i="4"/>
  <c r="J4" i="5"/>
  <c r="H116" i="5"/>
  <c r="H62" i="5"/>
  <c r="H117" i="7" s="1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61" i="5" s="1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S70" i="5" s="1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V131" i="5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4" i="4" s="1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27" i="7"/>
  <c r="M80" i="4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" i="7"/>
  <c r="M15" i="4"/>
  <c r="N28" i="4"/>
  <c r="I15" i="4"/>
  <c r="I206" i="4" s="1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M205" i="4" s="1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98" i="4" s="1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95" i="5" s="1"/>
  <c r="S175" i="4"/>
  <c r="S62" i="6"/>
  <c r="S204" i="7" s="1"/>
  <c r="G176" i="4"/>
  <c r="G63" i="6"/>
  <c r="O12" i="4"/>
  <c r="O203" i="4" s="1"/>
  <c r="O176" i="4"/>
  <c r="O63" i="6"/>
  <c r="C40" i="4"/>
  <c r="C177" i="4" s="1"/>
  <c r="M40" i="4"/>
  <c r="M177" i="4" s="1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190" i="4" s="1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T47" i="6" s="1"/>
  <c r="C116" i="5"/>
  <c r="C62" i="5"/>
  <c r="C117" i="7" s="1"/>
  <c r="K116" i="5"/>
  <c r="K62" i="5"/>
  <c r="K117" i="7" s="1"/>
  <c r="T18" i="5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L31" i="4" s="1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K18" i="5" s="1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3" i="5" s="1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G21" i="5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7" s="1"/>
  <c r="F125" i="5"/>
  <c r="F71" i="5"/>
  <c r="F126" i="7" s="1"/>
  <c r="O33" i="5"/>
  <c r="O70" i="5" s="1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R255" i="4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218" i="4" s="1"/>
  <c r="S191" i="4"/>
  <c r="S78" i="6"/>
  <c r="S220" i="7" s="1"/>
  <c r="G28" i="4"/>
  <c r="G219" i="4" s="1"/>
  <c r="G192" i="4"/>
  <c r="G79" i="6"/>
  <c r="G221" i="7" s="1"/>
  <c r="O28" i="4"/>
  <c r="O26" i="4" s="1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1" i="7"/>
  <c r="O121" i="4"/>
  <c r="O112" i="4" s="1"/>
  <c r="O41" i="7"/>
  <c r="I128" i="4"/>
  <c r="I48" i="7"/>
  <c r="R128" i="4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Q4" i="5" s="1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70" i="5" s="1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77" i="5" s="1"/>
  <c r="M132" i="7" s="1"/>
  <c r="M132" i="5"/>
  <c r="U43" i="5"/>
  <c r="U77" i="5" s="1"/>
  <c r="U132" i="7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V138" i="7" s="1"/>
  <c r="E139" i="5"/>
  <c r="N139" i="5"/>
  <c r="V139" i="5"/>
  <c r="D79" i="5"/>
  <c r="D134" i="7" s="1"/>
  <c r="U79" i="5"/>
  <c r="U134" i="7" s="1"/>
  <c r="D150" i="5"/>
  <c r="T18" i="6"/>
  <c r="I119" i="6"/>
  <c r="I27" i="6"/>
  <c r="I64" i="6" s="1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57" i="6" s="1"/>
  <c r="J112" i="6"/>
  <c r="S20" i="6"/>
  <c r="S18" i="6" s="1"/>
  <c r="S112" i="6"/>
  <c r="F113" i="6"/>
  <c r="F20" i="6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B47" i="6"/>
  <c r="F51" i="6"/>
  <c r="O51" i="6"/>
  <c r="D112" i="6"/>
  <c r="D20" i="6"/>
  <c r="M112" i="6"/>
  <c r="M20" i="6"/>
  <c r="M57" i="6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77" i="6" s="1"/>
  <c r="R219" i="7" s="1"/>
  <c r="R132" i="6"/>
  <c r="E133" i="6"/>
  <c r="E40" i="6"/>
  <c r="E33" i="6" s="1"/>
  <c r="N133" i="6"/>
  <c r="N40" i="6"/>
  <c r="V133" i="6"/>
  <c r="J139" i="5"/>
  <c r="S139" i="5"/>
  <c r="F110" i="6"/>
  <c r="O110" i="6"/>
  <c r="C111" i="6"/>
  <c r="M17" i="4"/>
  <c r="M208" i="4" s="1"/>
  <c r="Q18" i="4"/>
  <c r="Q102" i="5" s="1"/>
  <c r="D21" i="4"/>
  <c r="D99" i="6" s="1"/>
  <c r="M21" i="4"/>
  <c r="Q22" i="4"/>
  <c r="Q106" i="5" s="1"/>
  <c r="D23" i="4"/>
  <c r="D214" i="4" s="1"/>
  <c r="M23" i="4"/>
  <c r="M214" i="4" s="1"/>
  <c r="Q24" i="4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I124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M126" i="6"/>
  <c r="M34" i="6"/>
  <c r="U126" i="6"/>
  <c r="U34" i="6"/>
  <c r="U71" i="6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D131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125" i="5"/>
  <c r="N33" i="5"/>
  <c r="N70" i="5" s="1"/>
  <c r="N125" i="7" s="1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47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206" i="7" s="1"/>
  <c r="F119" i="6"/>
  <c r="O27" i="6"/>
  <c r="O64" i="6" s="1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U77" i="6" s="1"/>
  <c r="H133" i="6"/>
  <c r="Q133" i="6"/>
  <c r="B48" i="6"/>
  <c r="J48" i="6"/>
  <c r="S48" i="6"/>
  <c r="F49" i="6"/>
  <c r="O49" i="6"/>
  <c r="H20" i="6"/>
  <c r="H57" i="6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T125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O4" i="6" s="1"/>
  <c r="O47" i="6" s="1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V125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N48" i="6"/>
  <c r="I49" i="6"/>
  <c r="Q51" i="6"/>
  <c r="M49" i="6"/>
  <c r="C18" i="6"/>
  <c r="T111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E57" i="6" s="1"/>
  <c r="N112" i="6"/>
  <c r="V112" i="6"/>
  <c r="V20" i="6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57" i="6" s="1"/>
  <c r="R199" i="7" s="1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64" i="6" s="1"/>
  <c r="E206" i="7" s="1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126" i="6"/>
  <c r="J34" i="6"/>
  <c r="J71" i="6" s="1"/>
  <c r="J213" i="7" s="1"/>
  <c r="J126" i="6"/>
  <c r="S34" i="6"/>
  <c r="S126" i="6"/>
  <c r="F127" i="6"/>
  <c r="O127" i="6"/>
  <c r="B128" i="6"/>
  <c r="J128" i="6"/>
  <c r="S128" i="6"/>
  <c r="F129" i="6"/>
  <c r="O129" i="6"/>
  <c r="B40" i="6"/>
  <c r="B77" i="6" s="1"/>
  <c r="B219" i="7" s="1"/>
  <c r="B132" i="6"/>
  <c r="J40" i="6"/>
  <c r="J132" i="6"/>
  <c r="S40" i="6"/>
  <c r="S132" i="6"/>
  <c r="F133" i="6"/>
  <c r="O133" i="6"/>
  <c r="J50" i="6"/>
  <c r="J157" i="6"/>
  <c r="V84" i="4"/>
  <c r="C76" i="7"/>
  <c r="K76" i="7"/>
  <c r="T76" i="7"/>
  <c r="C60" i="7"/>
  <c r="K60" i="7"/>
  <c r="T60" i="7"/>
  <c r="T84" i="4"/>
  <c r="B69" i="7"/>
  <c r="B60" i="7" s="1"/>
  <c r="J69" i="7"/>
  <c r="J60" i="7" s="1"/>
  <c r="J59" i="7" s="1"/>
  <c r="S69" i="7"/>
  <c r="S60" i="7" s="1"/>
  <c r="C82" i="7"/>
  <c r="K82" i="7"/>
  <c r="T82" i="7"/>
  <c r="G82" i="7"/>
  <c r="G75" i="7" s="1"/>
  <c r="G59" i="7" s="1"/>
  <c r="F76" i="7"/>
  <c r="F75" i="7" s="1"/>
  <c r="O76" i="7"/>
  <c r="O75" i="7" s="1"/>
  <c r="F60" i="7"/>
  <c r="O60" i="7"/>
  <c r="S75" i="7"/>
  <c r="H84" i="4"/>
  <c r="G85" i="4"/>
  <c r="P60" i="7"/>
  <c r="R84" i="4"/>
  <c r="I270" i="4"/>
  <c r="I268" i="4"/>
  <c r="I266" i="4"/>
  <c r="V257" i="4"/>
  <c r="R206" i="4"/>
  <c r="R93" i="6"/>
  <c r="R99" i="5"/>
  <c r="I200" i="4"/>
  <c r="I87" i="6"/>
  <c r="I93" i="5"/>
  <c r="I219" i="4"/>
  <c r="I106" i="6"/>
  <c r="I112" i="5"/>
  <c r="E219" i="4"/>
  <c r="E106" i="6"/>
  <c r="E112" i="5"/>
  <c r="D206" i="4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105" i="6"/>
  <c r="R111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60" i="4"/>
  <c r="R263" i="4"/>
  <c r="R261" i="4"/>
  <c r="R259" i="4"/>
  <c r="R257" i="4"/>
  <c r="R256" i="4"/>
  <c r="R254" i="4"/>
  <c r="R252" i="4"/>
  <c r="R250" i="4"/>
  <c r="F170" i="4"/>
  <c r="F57" i="6"/>
  <c r="F199" i="7" s="1"/>
  <c r="F251" i="4"/>
  <c r="P170" i="4"/>
  <c r="P57" i="6"/>
  <c r="P199" i="7" s="1"/>
  <c r="F177" i="4"/>
  <c r="F258" i="4"/>
  <c r="R258" i="4"/>
  <c r="R70" i="5"/>
  <c r="O46" i="4"/>
  <c r="O265" i="4" s="1"/>
  <c r="O184" i="4"/>
  <c r="O71" i="6"/>
  <c r="O77" i="5"/>
  <c r="P190" i="4"/>
  <c r="P83" i="5"/>
  <c r="P138" i="7" s="1"/>
  <c r="K112" i="4"/>
  <c r="N127" i="4"/>
  <c r="N46" i="7" s="1"/>
  <c r="N47" i="7"/>
  <c r="P106" i="5"/>
  <c r="G216" i="4"/>
  <c r="G103" i="6"/>
  <c r="G109" i="5"/>
  <c r="Q170" i="4"/>
  <c r="Q63" i="5"/>
  <c r="Q118" i="7" s="1"/>
  <c r="Q205" i="4"/>
  <c r="Q92" i="6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98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B92" i="5"/>
  <c r="G214" i="4"/>
  <c r="G101" i="6"/>
  <c r="G107" i="5"/>
  <c r="H216" i="4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63" i="5"/>
  <c r="R118" i="7" s="1"/>
  <c r="J70" i="5"/>
  <c r="T64" i="6"/>
  <c r="P64" i="6"/>
  <c r="G46" i="4"/>
  <c r="G271" i="4" s="1"/>
  <c r="Q184" i="4"/>
  <c r="R190" i="4"/>
  <c r="R83" i="5"/>
  <c r="R138" i="7" s="1"/>
  <c r="T112" i="4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212" i="4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83" i="5"/>
  <c r="K177" i="4"/>
  <c r="K64" i="6"/>
  <c r="K206" i="7" s="1"/>
  <c r="K70" i="5"/>
  <c r="K125" i="7" s="1"/>
  <c r="H184" i="4"/>
  <c r="H71" i="6"/>
  <c r="H213" i="7" s="1"/>
  <c r="H77" i="5"/>
  <c r="H132" i="7" s="1"/>
  <c r="R184" i="4"/>
  <c r="R77" i="5"/>
  <c r="R132" i="7" s="1"/>
  <c r="G77" i="6"/>
  <c r="G83" i="5"/>
  <c r="V77" i="6"/>
  <c r="N40" i="7"/>
  <c r="V112" i="4"/>
  <c r="V31" i="7" s="1"/>
  <c r="V40" i="7"/>
  <c r="E47" i="7"/>
  <c r="R249" i="4"/>
  <c r="T205" i="4"/>
  <c r="T92" i="6"/>
  <c r="U218" i="4"/>
  <c r="U105" i="6"/>
  <c r="U111" i="5"/>
  <c r="K201" i="4"/>
  <c r="K88" i="6"/>
  <c r="K94" i="5"/>
  <c r="G170" i="4"/>
  <c r="G57" i="6"/>
  <c r="G199" i="7" s="1"/>
  <c r="G63" i="5"/>
  <c r="G118" i="7" s="1"/>
  <c r="O209" i="4"/>
  <c r="O96" i="6"/>
  <c r="O102" i="5"/>
  <c r="M212" i="4"/>
  <c r="M99" i="6"/>
  <c r="M105" i="5"/>
  <c r="R199" i="4"/>
  <c r="R86" i="6"/>
  <c r="R92" i="5"/>
  <c r="N219" i="4"/>
  <c r="N106" i="6"/>
  <c r="N112" i="5"/>
  <c r="B202" i="4"/>
  <c r="B89" i="6"/>
  <c r="B95" i="5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J254" i="4"/>
  <c r="J251" i="4"/>
  <c r="V57" i="6"/>
  <c r="V63" i="5"/>
  <c r="J98" i="5"/>
  <c r="N273" i="4"/>
  <c r="N269" i="4"/>
  <c r="N267" i="4"/>
  <c r="N272" i="4"/>
  <c r="N270" i="4"/>
  <c r="N268" i="4"/>
  <c r="N266" i="4"/>
  <c r="N264" i="4"/>
  <c r="I184" i="4"/>
  <c r="U184" i="4"/>
  <c r="I77" i="6"/>
  <c r="I83" i="5"/>
  <c r="I138" i="7" s="1"/>
  <c r="C111" i="5"/>
  <c r="O106" i="6"/>
  <c r="O112" i="5"/>
  <c r="F58" i="4"/>
  <c r="F13" i="7"/>
  <c r="V20" i="7"/>
  <c r="B85" i="4"/>
  <c r="B100" i="4"/>
  <c r="F40" i="7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U196" i="4"/>
  <c r="U83" i="6"/>
  <c r="U89" i="5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E209" i="4"/>
  <c r="I108" i="5"/>
  <c r="F218" i="4"/>
  <c r="E196" i="4"/>
  <c r="E83" i="6"/>
  <c r="E89" i="5"/>
  <c r="I202" i="4"/>
  <c r="I89" i="6"/>
  <c r="C213" i="4"/>
  <c r="C100" i="6"/>
  <c r="C106" i="5"/>
  <c r="E215" i="4"/>
  <c r="E102" i="6"/>
  <c r="E108" i="5"/>
  <c r="H218" i="4"/>
  <c r="H105" i="6"/>
  <c r="H111" i="5"/>
  <c r="O92" i="5"/>
  <c r="S202" i="4"/>
  <c r="S89" i="6"/>
  <c r="Q46" i="4"/>
  <c r="Q265" i="4" s="1"/>
  <c r="V184" i="4"/>
  <c r="V71" i="6"/>
  <c r="V213" i="7" s="1"/>
  <c r="V77" i="5"/>
  <c r="V132" i="7" s="1"/>
  <c r="J77" i="6"/>
  <c r="J219" i="7" s="1"/>
  <c r="D26" i="4"/>
  <c r="D218" i="4"/>
  <c r="D105" i="6"/>
  <c r="D111" i="5"/>
  <c r="P73" i="4"/>
  <c r="P19" i="7" s="1"/>
  <c r="P20" i="7"/>
  <c r="V127" i="4"/>
  <c r="V46" i="7" s="1"/>
  <c r="V47" i="7"/>
  <c r="U198" i="4"/>
  <c r="U85" i="6"/>
  <c r="U91" i="5"/>
  <c r="H86" i="6"/>
  <c r="U202" i="4"/>
  <c r="U89" i="6"/>
  <c r="U95" i="5"/>
  <c r="Q203" i="4"/>
  <c r="Q90" i="6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O47" i="7"/>
  <c r="M83" i="6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V201" i="4"/>
  <c r="V88" i="6"/>
  <c r="V94" i="5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F89" i="6"/>
  <c r="F95" i="5"/>
  <c r="F229" i="4"/>
  <c r="E205" i="4"/>
  <c r="E92" i="6"/>
  <c r="E98" i="5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R272" i="4"/>
  <c r="M184" i="4"/>
  <c r="M71" i="6"/>
  <c r="M213" i="7" s="1"/>
  <c r="S99" i="6"/>
  <c r="S105" i="5"/>
  <c r="O213" i="4"/>
  <c r="O100" i="6"/>
  <c r="O106" i="5"/>
  <c r="S214" i="4"/>
  <c r="S101" i="6"/>
  <c r="S107" i="5"/>
  <c r="N77" i="6"/>
  <c r="N271" i="4"/>
  <c r="N83" i="5"/>
  <c r="U46" i="4"/>
  <c r="U265" i="4" s="1"/>
  <c r="U83" i="5"/>
  <c r="D73" i="4"/>
  <c r="D26" i="7"/>
  <c r="M73" i="4"/>
  <c r="M26" i="7"/>
  <c r="U73" i="4"/>
  <c r="I88" i="6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N218" i="4"/>
  <c r="N105" i="6"/>
  <c r="N111" i="5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B88" i="6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251" i="4"/>
  <c r="O170" i="4"/>
  <c r="E177" i="4"/>
  <c r="E70" i="5"/>
  <c r="E125" i="7" s="1"/>
  <c r="E258" i="4"/>
  <c r="Q177" i="4"/>
  <c r="Q64" i="6"/>
  <c r="V46" i="4"/>
  <c r="N71" i="6"/>
  <c r="N265" i="4"/>
  <c r="N77" i="5"/>
  <c r="O77" i="6"/>
  <c r="O271" i="4"/>
  <c r="O83" i="5"/>
  <c r="I58" i="4"/>
  <c r="I4" i="7" s="1"/>
  <c r="I13" i="7"/>
  <c r="R73" i="4"/>
  <c r="R19" i="7" s="1"/>
  <c r="R20" i="7"/>
  <c r="G112" i="4"/>
  <c r="M47" i="7"/>
  <c r="E252" i="4"/>
  <c r="R253" i="4"/>
  <c r="O109" i="5"/>
  <c r="V83" i="6"/>
  <c r="Q215" i="4"/>
  <c r="Q102" i="6"/>
  <c r="Q108" i="5"/>
  <c r="M216" i="4"/>
  <c r="L4" i="6"/>
  <c r="T42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E20" i="4"/>
  <c r="C15" i="4"/>
  <c r="K15" i="4"/>
  <c r="G16" i="4"/>
  <c r="K17" i="4"/>
  <c r="G18" i="4"/>
  <c r="K11" i="4"/>
  <c r="H16" i="4"/>
  <c r="P16" i="4"/>
  <c r="T17" i="4"/>
  <c r="H18" i="4"/>
  <c r="P18" i="4"/>
  <c r="C100" i="4"/>
  <c r="T73" i="4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H14" i="4"/>
  <c r="K33" i="4"/>
  <c r="S33" i="4"/>
  <c r="C47" i="4"/>
  <c r="S47" i="4"/>
  <c r="C53" i="4"/>
  <c r="K53" i="4"/>
  <c r="S53" i="4"/>
  <c r="R6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Q117" i="5" l="1"/>
  <c r="S125" i="7"/>
  <c r="Q125" i="7"/>
  <c r="J127" i="4"/>
  <c r="J46" i="7" s="1"/>
  <c r="R127" i="4"/>
  <c r="R46" i="7" s="1"/>
  <c r="N18" i="5"/>
  <c r="I59" i="7"/>
  <c r="E190" i="4"/>
  <c r="V59" i="7"/>
  <c r="R218" i="4"/>
  <c r="R58" i="4"/>
  <c r="U250" i="4"/>
  <c r="H199" i="4"/>
  <c r="S91" i="5"/>
  <c r="S95" i="6"/>
  <c r="O219" i="4"/>
  <c r="I99" i="5"/>
  <c r="U170" i="4"/>
  <c r="M58" i="4"/>
  <c r="M4" i="7" s="1"/>
  <c r="M64" i="6"/>
  <c r="M206" i="7" s="1"/>
  <c r="U63" i="5"/>
  <c r="T118" i="6"/>
  <c r="Q18" i="5"/>
  <c r="Q61" i="5" s="1"/>
  <c r="S101" i="5"/>
  <c r="B207" i="4"/>
  <c r="U263" i="4"/>
  <c r="S85" i="6"/>
  <c r="M98" i="5"/>
  <c r="S111" i="5"/>
  <c r="I93" i="6"/>
  <c r="B138" i="7"/>
  <c r="T206" i="7"/>
  <c r="I272" i="4"/>
  <c r="C118" i="6"/>
  <c r="H199" i="7"/>
  <c r="B77" i="5"/>
  <c r="U256" i="4"/>
  <c r="J47" i="7"/>
  <c r="R266" i="4"/>
  <c r="B98" i="5"/>
  <c r="C64" i="6"/>
  <c r="C206" i="7" s="1"/>
  <c r="M92" i="6"/>
  <c r="V73" i="4"/>
  <c r="V19" i="7" s="1"/>
  <c r="S105" i="6"/>
  <c r="V251" i="4"/>
  <c r="N112" i="4"/>
  <c r="N31" i="7" s="1"/>
  <c r="B190" i="4"/>
  <c r="T177" i="4"/>
  <c r="Q100" i="6"/>
  <c r="V252" i="4"/>
  <c r="B59" i="7"/>
  <c r="B71" i="6"/>
  <c r="B213" i="7" s="1"/>
  <c r="O206" i="7"/>
  <c r="D47" i="6"/>
  <c r="H118" i="7"/>
  <c r="O125" i="7"/>
  <c r="E58" i="4"/>
  <c r="E168" i="4" s="1"/>
  <c r="N250" i="4"/>
  <c r="H58" i="4"/>
  <c r="R268" i="4"/>
  <c r="B92" i="6"/>
  <c r="O20" i="7"/>
  <c r="V219" i="7"/>
  <c r="H109" i="5"/>
  <c r="Q213" i="4"/>
  <c r="O132" i="7"/>
  <c r="D99" i="5"/>
  <c r="V250" i="4"/>
  <c r="D71" i="6"/>
  <c r="D213" i="7" s="1"/>
  <c r="M199" i="7"/>
  <c r="C58" i="4"/>
  <c r="C4" i="7" s="1"/>
  <c r="J112" i="4"/>
  <c r="J111" i="4" s="1"/>
  <c r="J30" i="7" s="1"/>
  <c r="Q206" i="7"/>
  <c r="M203" i="4"/>
  <c r="I95" i="5"/>
  <c r="E96" i="6"/>
  <c r="G184" i="4"/>
  <c r="O213" i="7"/>
  <c r="V262" i="4"/>
  <c r="G77" i="5"/>
  <c r="G132" i="7" s="1"/>
  <c r="U213" i="7"/>
  <c r="U125" i="7"/>
  <c r="B184" i="4"/>
  <c r="J18" i="6"/>
  <c r="B73" i="4"/>
  <c r="B19" i="7" s="1"/>
  <c r="R13" i="7"/>
  <c r="R177" i="4"/>
  <c r="B132" i="7"/>
  <c r="R47" i="7"/>
  <c r="S112" i="4"/>
  <c r="I199" i="4"/>
  <c r="M200" i="4"/>
  <c r="U59" i="7"/>
  <c r="Q26" i="4"/>
  <c r="Q104" i="6" s="1"/>
  <c r="S26" i="4"/>
  <c r="S163" i="4" s="1"/>
  <c r="T184" i="4"/>
  <c r="Q106" i="6"/>
  <c r="D105" i="5"/>
  <c r="Q219" i="4"/>
  <c r="U118" i="7"/>
  <c r="T213" i="7"/>
  <c r="M13" i="4"/>
  <c r="M91" i="6" s="1"/>
  <c r="K184" i="4"/>
  <c r="B57" i="6"/>
  <c r="B199" i="7" s="1"/>
  <c r="P71" i="6"/>
  <c r="P213" i="7" s="1"/>
  <c r="O6" i="4"/>
  <c r="S42" i="5"/>
  <c r="W231" i="4"/>
  <c r="Q91" i="5"/>
  <c r="M196" i="4"/>
  <c r="U20" i="4"/>
  <c r="U211" i="4" s="1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K77" i="5"/>
  <c r="K132" i="7" s="1"/>
  <c r="J190" i="4"/>
  <c r="S206" i="7"/>
  <c r="M26" i="4"/>
  <c r="M217" i="4" s="1"/>
  <c r="O20" i="4"/>
  <c r="O19" i="4" s="1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97" i="5" s="1"/>
  <c r="S58" i="4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T269" i="4" s="1"/>
  <c r="S216" i="4"/>
  <c r="G190" i="4"/>
  <c r="Q57" i="6"/>
  <c r="Q199" i="7" s="1"/>
  <c r="N200" i="4"/>
  <c r="V206" i="7"/>
  <c r="G137" i="5"/>
  <c r="V6" i="4"/>
  <c r="V90" i="5" s="1"/>
  <c r="U6" i="4"/>
  <c r="U4" i="4" s="1"/>
  <c r="G213" i="7"/>
  <c r="Q96" i="6"/>
  <c r="O73" i="4"/>
  <c r="O19" i="7" s="1"/>
  <c r="R30" i="4"/>
  <c r="Q20" i="4"/>
  <c r="Q98" i="6" s="1"/>
  <c r="K13" i="4"/>
  <c r="K97" i="5" s="1"/>
  <c r="H206" i="7"/>
  <c r="J18" i="5"/>
  <c r="J61" i="5" s="1"/>
  <c r="F77" i="5"/>
  <c r="F132" i="7" s="1"/>
  <c r="S6" i="4"/>
  <c r="S143" i="4" s="1"/>
  <c r="I20" i="4"/>
  <c r="C70" i="5"/>
  <c r="C125" i="7" s="1"/>
  <c r="M83" i="5"/>
  <c r="M138" i="7" s="1"/>
  <c r="R47" i="6"/>
  <c r="S18" i="5"/>
  <c r="D57" i="6"/>
  <c r="D199" i="7" s="1"/>
  <c r="C31" i="4"/>
  <c r="C251" i="4" s="1"/>
  <c r="R13" i="4"/>
  <c r="R150" i="4" s="1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143" i="4" s="1"/>
  <c r="Q42" i="5"/>
  <c r="Q76" i="5" s="1"/>
  <c r="O102" i="6"/>
  <c r="D63" i="5"/>
  <c r="D118" i="7" s="1"/>
  <c r="J205" i="4"/>
  <c r="F88" i="6"/>
  <c r="J170" i="4"/>
  <c r="J257" i="4"/>
  <c r="M40" i="7"/>
  <c r="P125" i="7"/>
  <c r="J55" i="6"/>
  <c r="N47" i="6"/>
  <c r="H127" i="4"/>
  <c r="H46" i="7" s="1"/>
  <c r="J118" i="7"/>
  <c r="D127" i="4"/>
  <c r="D46" i="7" s="1"/>
  <c r="T125" i="7"/>
  <c r="D13" i="4"/>
  <c r="D91" i="6" s="1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E31" i="7" s="1"/>
  <c r="R265" i="4"/>
  <c r="U177" i="4"/>
  <c r="U58" i="4"/>
  <c r="U57" i="4" s="1"/>
  <c r="U3" i="7" s="1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N132" i="7"/>
  <c r="F102" i="5"/>
  <c r="I215" i="4"/>
  <c r="J259" i="4"/>
  <c r="R267" i="4"/>
  <c r="J132" i="7"/>
  <c r="P177" i="4"/>
  <c r="H170" i="4"/>
  <c r="J58" i="4"/>
  <c r="J4" i="7" s="1"/>
  <c r="N111" i="4"/>
  <c r="N30" i="7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13" i="4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M4" i="4" s="1"/>
  <c r="M231" i="4" s="1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B6" i="4"/>
  <c r="B143" i="4" s="1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F111" i="4" s="1"/>
  <c r="F30" i="7" s="1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Q168" i="4" s="1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H61" i="5" s="1"/>
  <c r="Q47" i="6"/>
  <c r="F47" i="6"/>
  <c r="E118" i="7"/>
  <c r="B102" i="6"/>
  <c r="H251" i="4"/>
  <c r="T75" i="7"/>
  <c r="T59" i="7" s="1"/>
  <c r="R111" i="6"/>
  <c r="R33" i="6"/>
  <c r="R125" i="6"/>
  <c r="C131" i="6"/>
  <c r="I112" i="4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T17" i="5"/>
  <c r="T151" i="5" s="1"/>
  <c r="N61" i="5"/>
  <c r="J131" i="6"/>
  <c r="Q33" i="6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J137" i="5"/>
  <c r="N131" i="5"/>
  <c r="N42" i="5"/>
  <c r="N17" i="5" s="1"/>
  <c r="V111" i="6"/>
  <c r="C137" i="5"/>
  <c r="E131" i="5"/>
  <c r="E42" i="5"/>
  <c r="E76" i="5" s="1"/>
  <c r="U33" i="6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G70" i="6" s="1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19" i="4" s="1"/>
  <c r="F238" i="4" s="1"/>
  <c r="F219" i="4"/>
  <c r="F106" i="6"/>
  <c r="F112" i="5"/>
  <c r="K190" i="4"/>
  <c r="K77" i="6"/>
  <c r="K219" i="7" s="1"/>
  <c r="K83" i="5"/>
  <c r="K138" i="7" s="1"/>
  <c r="C214" i="4"/>
  <c r="C101" i="6"/>
  <c r="C107" i="5"/>
  <c r="G98" i="6"/>
  <c r="C200" i="4"/>
  <c r="C87" i="6"/>
  <c r="C93" i="5"/>
  <c r="M204" i="4"/>
  <c r="C190" i="4"/>
  <c r="C77" i="6"/>
  <c r="C219" i="7" s="1"/>
  <c r="C83" i="5"/>
  <c r="C138" i="7" s="1"/>
  <c r="N211" i="4"/>
  <c r="N98" i="6"/>
  <c r="N104" i="5"/>
  <c r="O13" i="4"/>
  <c r="O4" i="4" s="1"/>
  <c r="O232" i="4" s="1"/>
  <c r="O205" i="4"/>
  <c r="O92" i="6"/>
  <c r="O98" i="5"/>
  <c r="G209" i="4"/>
  <c r="G96" i="6"/>
  <c r="G102" i="5"/>
  <c r="N150" i="4"/>
  <c r="N204" i="4"/>
  <c r="N91" i="6"/>
  <c r="N97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J150" i="4"/>
  <c r="J204" i="4"/>
  <c r="J91" i="6"/>
  <c r="J97" i="5"/>
  <c r="T31" i="7"/>
  <c r="P20" i="4"/>
  <c r="P157" i="4" s="1"/>
  <c r="P215" i="4"/>
  <c r="P102" i="6"/>
  <c r="P108" i="5"/>
  <c r="O57" i="4"/>
  <c r="O3" i="7" s="1"/>
  <c r="O4" i="7"/>
  <c r="S4" i="4"/>
  <c r="S223" i="4" s="1"/>
  <c r="J163" i="4"/>
  <c r="J217" i="4"/>
  <c r="J104" i="6"/>
  <c r="J110" i="5"/>
  <c r="B177" i="4"/>
  <c r="B64" i="6"/>
  <c r="B206" i="7" s="1"/>
  <c r="B70" i="5"/>
  <c r="B125" i="7" s="1"/>
  <c r="I90" i="5"/>
  <c r="S46" i="4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S31" i="7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E30" i="4"/>
  <c r="E70" i="6"/>
  <c r="E273" i="4"/>
  <c r="E269" i="4"/>
  <c r="E267" i="4"/>
  <c r="E272" i="4"/>
  <c r="E270" i="4"/>
  <c r="E268" i="4"/>
  <c r="E266" i="4"/>
  <c r="E264" i="4"/>
  <c r="C258" i="4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U150" i="4"/>
  <c r="U204" i="4"/>
  <c r="U91" i="6"/>
  <c r="U97" i="5"/>
  <c r="S4" i="7"/>
  <c r="O163" i="4"/>
  <c r="O217" i="4"/>
  <c r="O104" i="6"/>
  <c r="O110" i="5"/>
  <c r="K143" i="4"/>
  <c r="K197" i="4"/>
  <c r="K84" i="6"/>
  <c r="K90" i="5"/>
  <c r="B20" i="4"/>
  <c r="B213" i="4"/>
  <c r="B100" i="6"/>
  <c r="B106" i="5"/>
  <c r="H20" i="4"/>
  <c r="H212" i="4"/>
  <c r="H99" i="6"/>
  <c r="H105" i="5"/>
  <c r="F157" i="4"/>
  <c r="F211" i="4"/>
  <c r="F98" i="6"/>
  <c r="F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70" i="6"/>
  <c r="U76" i="5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4" i="4" s="1"/>
  <c r="E207" i="4"/>
  <c r="E94" i="6"/>
  <c r="E100" i="5"/>
  <c r="D6" i="4"/>
  <c r="D198" i="4"/>
  <c r="D85" i="6"/>
  <c r="D91" i="5"/>
  <c r="K91" i="6"/>
  <c r="T190" i="4"/>
  <c r="T77" i="6"/>
  <c r="T219" i="7" s="1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T208" i="4"/>
  <c r="T95" i="6"/>
  <c r="T101" i="5"/>
  <c r="S91" i="6"/>
  <c r="G199" i="4"/>
  <c r="G86" i="6"/>
  <c r="G92" i="5"/>
  <c r="K163" i="4"/>
  <c r="K217" i="4"/>
  <c r="K104" i="6"/>
  <c r="K110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P76" i="5"/>
  <c r="J168" i="4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V143" i="4"/>
  <c r="V197" i="4"/>
  <c r="V84" i="6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55" i="6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B84" i="4"/>
  <c r="C163" i="4"/>
  <c r="C217" i="4"/>
  <c r="C104" i="6"/>
  <c r="C110" i="5"/>
  <c r="B271" i="4"/>
  <c r="G272" i="4"/>
  <c r="G270" i="4"/>
  <c r="G268" i="4"/>
  <c r="G266" i="4"/>
  <c r="G264" i="4"/>
  <c r="G273" i="4"/>
  <c r="G269" i="4"/>
  <c r="G267" i="4"/>
  <c r="F168" i="4"/>
  <c r="I157" i="4"/>
  <c r="I211" i="4"/>
  <c r="I98" i="6"/>
  <c r="I104" i="5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63" i="4"/>
  <c r="T31" i="4"/>
  <c r="T251" i="4" s="1"/>
  <c r="T170" i="4"/>
  <c r="T57" i="6"/>
  <c r="T199" i="7" s="1"/>
  <c r="T63" i="5"/>
  <c r="T118" i="7" s="1"/>
  <c r="O143" i="4"/>
  <c r="O197" i="4"/>
  <c r="O84" i="6"/>
  <c r="O90" i="5"/>
  <c r="H205" i="4"/>
  <c r="H92" i="6"/>
  <c r="H98" i="5"/>
  <c r="G13" i="4"/>
  <c r="G205" i="4"/>
  <c r="G92" i="6"/>
  <c r="G98" i="5"/>
  <c r="P205" i="4"/>
  <c r="P92" i="6"/>
  <c r="P98" i="5"/>
  <c r="C262" i="4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B204" i="4"/>
  <c r="Q183" i="4"/>
  <c r="Q70" i="6"/>
  <c r="Q272" i="4"/>
  <c r="Q270" i="4"/>
  <c r="Q268" i="4"/>
  <c r="Q266" i="4"/>
  <c r="Q264" i="4"/>
  <c r="Q267" i="4"/>
  <c r="Q273" i="4"/>
  <c r="Q269" i="4"/>
  <c r="B265" i="4"/>
  <c r="V271" i="4"/>
  <c r="V150" i="4"/>
  <c r="V204" i="4"/>
  <c r="V91" i="6"/>
  <c r="V97" i="5"/>
  <c r="M111" i="4"/>
  <c r="M30" i="7" s="1"/>
  <c r="M31" i="7"/>
  <c r="P258" i="4"/>
  <c r="Q251" i="4"/>
  <c r="P271" i="4"/>
  <c r="O183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H201" i="4"/>
  <c r="H88" i="6"/>
  <c r="H94" i="5"/>
  <c r="E143" i="4"/>
  <c r="E197" i="4"/>
  <c r="E84" i="6"/>
  <c r="E90" i="5"/>
  <c r="F6" i="4"/>
  <c r="F199" i="4"/>
  <c r="F86" i="6"/>
  <c r="F92" i="5"/>
  <c r="K200" i="4"/>
  <c r="K87" i="6"/>
  <c r="K93" i="5"/>
  <c r="B31" i="4"/>
  <c r="B258" i="4" s="1"/>
  <c r="Q211" i="4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E271" i="4"/>
  <c r="V265" i="4"/>
  <c r="H168" i="4"/>
  <c r="H262" i="4"/>
  <c r="H260" i="4"/>
  <c r="H255" i="4"/>
  <c r="H253" i="4"/>
  <c r="H249" i="4"/>
  <c r="H259" i="4"/>
  <c r="H261" i="4"/>
  <c r="H254" i="4"/>
  <c r="H252" i="4"/>
  <c r="H250" i="4"/>
  <c r="H263" i="4"/>
  <c r="H257" i="4"/>
  <c r="R168" i="4"/>
  <c r="F183" i="4"/>
  <c r="C6" i="4"/>
  <c r="T20" i="4"/>
  <c r="R143" i="4"/>
  <c r="B4" i="4"/>
  <c r="B231" i="4" s="1"/>
  <c r="P13" i="4"/>
  <c r="H19" i="4"/>
  <c r="H242" i="4" s="1"/>
  <c r="H157" i="4"/>
  <c r="V19" i="4"/>
  <c r="V157" i="4"/>
  <c r="H13" i="4"/>
  <c r="N19" i="4"/>
  <c r="N244" i="4" s="1"/>
  <c r="N157" i="4"/>
  <c r="V4" i="4"/>
  <c r="V231" i="4" s="1"/>
  <c r="Q4" i="4"/>
  <c r="T6" i="4"/>
  <c r="C46" i="4"/>
  <c r="C271" i="4" s="1"/>
  <c r="R19" i="4"/>
  <c r="R244" i="4" s="1"/>
  <c r="I19" i="4"/>
  <c r="I244" i="4" s="1"/>
  <c r="E19" i="4"/>
  <c r="E238" i="4" s="1"/>
  <c r="B17" i="5" l="1"/>
  <c r="B144" i="5" s="1"/>
  <c r="Q90" i="5"/>
  <c r="D4" i="4"/>
  <c r="D225" i="4" s="1"/>
  <c r="D204" i="4"/>
  <c r="D97" i="5"/>
  <c r="Q84" i="6"/>
  <c r="T271" i="4"/>
  <c r="O104" i="5"/>
  <c r="D150" i="4"/>
  <c r="C61" i="5"/>
  <c r="F4" i="4"/>
  <c r="F231" i="4" s="1"/>
  <c r="T273" i="4"/>
  <c r="M110" i="5"/>
  <c r="Q150" i="4"/>
  <c r="Q197" i="4"/>
  <c r="Q110" i="5"/>
  <c r="M104" i="6"/>
  <c r="E4" i="7"/>
  <c r="F204" i="4"/>
  <c r="M97" i="5"/>
  <c r="R17" i="6"/>
  <c r="R136" i="6" s="1"/>
  <c r="M150" i="4"/>
  <c r="G183" i="4"/>
  <c r="C57" i="4"/>
  <c r="C3" i="7" s="1"/>
  <c r="T264" i="4"/>
  <c r="T76" i="5"/>
  <c r="S110" i="5"/>
  <c r="O98" i="6"/>
  <c r="T266" i="4"/>
  <c r="T183" i="4"/>
  <c r="S104" i="6"/>
  <c r="O211" i="4"/>
  <c r="F31" i="7"/>
  <c r="U104" i="5"/>
  <c r="S217" i="4"/>
  <c r="U90" i="5"/>
  <c r="U98" i="6"/>
  <c r="S19" i="4"/>
  <c r="S239" i="4" s="1"/>
  <c r="U157" i="4"/>
  <c r="U19" i="4"/>
  <c r="U244" i="4" s="1"/>
  <c r="T270" i="4"/>
  <c r="N183" i="4"/>
  <c r="U84" i="6"/>
  <c r="T265" i="4"/>
  <c r="T272" i="4"/>
  <c r="U197" i="4"/>
  <c r="T268" i="4"/>
  <c r="O157" i="4"/>
  <c r="U143" i="4"/>
  <c r="T267" i="4"/>
  <c r="N57" i="4"/>
  <c r="Q17" i="5"/>
  <c r="Q157" i="5" s="1"/>
  <c r="R97" i="5"/>
  <c r="S90" i="5"/>
  <c r="R4" i="4"/>
  <c r="R88" i="5" s="1"/>
  <c r="R91" i="6"/>
  <c r="S84" i="6"/>
  <c r="R204" i="4"/>
  <c r="S197" i="4"/>
  <c r="M76" i="5"/>
  <c r="S204" i="4"/>
  <c r="K204" i="4"/>
  <c r="J57" i="4"/>
  <c r="J3" i="7" s="1"/>
  <c r="S150" i="4"/>
  <c r="K150" i="4"/>
  <c r="B90" i="5"/>
  <c r="B84" i="6"/>
  <c r="B197" i="4"/>
  <c r="K4" i="4"/>
  <c r="K223" i="4" s="1"/>
  <c r="S231" i="4"/>
  <c r="J183" i="4"/>
  <c r="H57" i="4"/>
  <c r="H3" i="7" s="1"/>
  <c r="C111" i="4"/>
  <c r="C30" i="7" s="1"/>
  <c r="D57" i="4"/>
  <c r="D3" i="7" s="1"/>
  <c r="I84" i="6"/>
  <c r="B110" i="5"/>
  <c r="I197" i="4"/>
  <c r="B104" i="6"/>
  <c r="B164" i="5"/>
  <c r="B217" i="4"/>
  <c r="S17" i="5"/>
  <c r="S146" i="5" s="1"/>
  <c r="O111" i="4"/>
  <c r="O30" i="7" s="1"/>
  <c r="B19" i="4"/>
  <c r="B97" i="6" s="1"/>
  <c r="P3" i="7"/>
  <c r="P167" i="4"/>
  <c r="C157" i="4"/>
  <c r="S241" i="4"/>
  <c r="M90" i="5"/>
  <c r="B111" i="4"/>
  <c r="B30" i="7" s="1"/>
  <c r="T91" i="6"/>
  <c r="P168" i="4"/>
  <c r="S271" i="4"/>
  <c r="M84" i="6"/>
  <c r="E111" i="4"/>
  <c r="E30" i="7" s="1"/>
  <c r="T204" i="4"/>
  <c r="D253" i="4"/>
  <c r="S104" i="5"/>
  <c r="B4" i="7"/>
  <c r="Q157" i="4"/>
  <c r="Q97" i="5"/>
  <c r="M143" i="4"/>
  <c r="D30" i="4"/>
  <c r="D255" i="4"/>
  <c r="S98" i="6"/>
  <c r="M197" i="4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B151" i="5"/>
  <c r="H55" i="6"/>
  <c r="S154" i="5"/>
  <c r="B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C252" i="4"/>
  <c r="M267" i="4"/>
  <c r="D111" i="4"/>
  <c r="D30" i="7" s="1"/>
  <c r="D251" i="4"/>
  <c r="D254" i="4"/>
  <c r="H17" i="6"/>
  <c r="H146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S210" i="4"/>
  <c r="D19" i="4"/>
  <c r="D243" i="4" s="1"/>
  <c r="M265" i="4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R158" i="6"/>
  <c r="R145" i="6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49" i="6"/>
  <c r="H148" i="6"/>
  <c r="H156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T157" i="5"/>
  <c r="J141" i="5"/>
  <c r="J146" i="5"/>
  <c r="J148" i="5"/>
  <c r="J159" i="5"/>
  <c r="J155" i="5"/>
  <c r="J161" i="5"/>
  <c r="J152" i="5"/>
  <c r="J153" i="5"/>
  <c r="K17" i="6"/>
  <c r="K151" i="6" s="1"/>
  <c r="N17" i="6"/>
  <c r="N136" i="6" s="1"/>
  <c r="N55" i="6"/>
  <c r="T57" i="4"/>
  <c r="T3" i="7" s="1"/>
  <c r="F76" i="5"/>
  <c r="I70" i="6"/>
  <c r="E17" i="6"/>
  <c r="E136" i="6" s="1"/>
  <c r="E55" i="6"/>
  <c r="R152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J142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67" i="4"/>
  <c r="D143" i="4"/>
  <c r="D197" i="4"/>
  <c r="D84" i="6"/>
  <c r="D90" i="5"/>
  <c r="D224" i="4"/>
  <c r="C265" i="4"/>
  <c r="N234" i="4"/>
  <c r="N230" i="4"/>
  <c r="N226" i="4"/>
  <c r="N235" i="4"/>
  <c r="N227" i="4"/>
  <c r="N236" i="4"/>
  <c r="B210" i="4"/>
  <c r="B243" i="4"/>
  <c r="B246" i="4"/>
  <c r="B242" i="4"/>
  <c r="R225" i="4"/>
  <c r="R234" i="4"/>
  <c r="C197" i="4"/>
  <c r="C84" i="6"/>
  <c r="C90" i="5"/>
  <c r="F143" i="4"/>
  <c r="F197" i="4"/>
  <c r="F84" i="6"/>
  <c r="F90" i="5"/>
  <c r="F224" i="4"/>
  <c r="G242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U60" i="5"/>
  <c r="H240" i="4"/>
  <c r="H239" i="4"/>
  <c r="P163" i="4"/>
  <c r="P217" i="4"/>
  <c r="P104" i="6"/>
  <c r="P110" i="5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156" i="4"/>
  <c r="G210" i="4"/>
  <c r="G97" i="6"/>
  <c r="G103" i="5"/>
  <c r="G237" i="4"/>
  <c r="G241" i="4"/>
  <c r="G243" i="4"/>
  <c r="G239" i="4"/>
  <c r="G246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141" i="4"/>
  <c r="Q195" i="4"/>
  <c r="Q82" i="6"/>
  <c r="Q88" i="5"/>
  <c r="Q222" i="4"/>
  <c r="Q226" i="4"/>
  <c r="Q233" i="4"/>
  <c r="Q235" i="4"/>
  <c r="Q236" i="4"/>
  <c r="Q228" i="4"/>
  <c r="Q230" i="4"/>
  <c r="Q227" i="4"/>
  <c r="Q229" i="4"/>
  <c r="Q234" i="4"/>
  <c r="Q232" i="4"/>
  <c r="Q225" i="4"/>
  <c r="Q223" i="4"/>
  <c r="P204" i="4"/>
  <c r="P91" i="6"/>
  <c r="P97" i="5"/>
  <c r="T211" i="4"/>
  <c r="T98" i="6"/>
  <c r="T104" i="5"/>
  <c r="P103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Q238" i="4"/>
  <c r="C243" i="4"/>
  <c r="D223" i="4"/>
  <c r="S251" i="4"/>
  <c r="J229" i="4"/>
  <c r="J228" i="4"/>
  <c r="J235" i="4"/>
  <c r="J234" i="4"/>
  <c r="J236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2" i="6"/>
  <c r="M88" i="5"/>
  <c r="M222" i="4"/>
  <c r="M233" i="4"/>
  <c r="M232" i="4"/>
  <c r="M234" i="4"/>
  <c r="M228" i="4"/>
  <c r="M236" i="4"/>
  <c r="M227" i="4"/>
  <c r="M235" i="4"/>
  <c r="M230" i="4"/>
  <c r="M226" i="4"/>
  <c r="M229" i="4"/>
  <c r="M225" i="4"/>
  <c r="M223" i="4"/>
  <c r="F226" i="4"/>
  <c r="C150" i="4"/>
  <c r="C204" i="4"/>
  <c r="C91" i="6"/>
  <c r="C97" i="5"/>
  <c r="Q231" i="4"/>
  <c r="M224" i="4"/>
  <c r="D271" i="4"/>
  <c r="N3" i="7"/>
  <c r="N167" i="4"/>
  <c r="G238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G88" i="5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156" i="4"/>
  <c r="D210" i="4"/>
  <c r="D97" i="6"/>
  <c r="D103" i="5"/>
  <c r="D237" i="4"/>
  <c r="D240" i="4"/>
  <c r="D245" i="4"/>
  <c r="D246" i="4"/>
  <c r="D241" i="4"/>
  <c r="D239" i="4"/>
  <c r="D242" i="4"/>
  <c r="C211" i="4"/>
  <c r="C98" i="6"/>
  <c r="C104" i="5"/>
  <c r="C238" i="4"/>
  <c r="K233" i="4"/>
  <c r="D238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P246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G163" i="4"/>
  <c r="G217" i="4"/>
  <c r="G104" i="6"/>
  <c r="G110" i="5"/>
  <c r="G244" i="4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156" i="4"/>
  <c r="M239" i="4"/>
  <c r="M242" i="4"/>
  <c r="U237" i="4"/>
  <c r="H156" i="4"/>
  <c r="H210" i="4"/>
  <c r="H97" i="6"/>
  <c r="H103" i="5"/>
  <c r="H237" i="4"/>
  <c r="H243" i="4"/>
  <c r="H241" i="4"/>
  <c r="H245" i="4"/>
  <c r="H246" i="4"/>
  <c r="I141" i="4"/>
  <c r="I195" i="4"/>
  <c r="I88" i="5"/>
  <c r="I235" i="4"/>
  <c r="I223" i="4"/>
  <c r="I236" i="4"/>
  <c r="I226" i="4"/>
  <c r="I233" i="4"/>
  <c r="O224" i="4"/>
  <c r="J157" i="4"/>
  <c r="J211" i="4"/>
  <c r="J98" i="6"/>
  <c r="J104" i="5"/>
  <c r="J238" i="4"/>
  <c r="C244" i="4"/>
  <c r="Q167" i="4"/>
  <c r="Q60" i="5"/>
  <c r="H244" i="4"/>
  <c r="V238" i="4"/>
  <c r="K211" i="4"/>
  <c r="K98" i="6"/>
  <c r="K104" i="5"/>
  <c r="G54" i="6"/>
  <c r="G245" i="4"/>
  <c r="V244" i="4"/>
  <c r="U231" i="4"/>
  <c r="C239" i="4"/>
  <c r="T163" i="4"/>
  <c r="T217" i="4"/>
  <c r="T104" i="6"/>
  <c r="T110" i="5"/>
  <c r="P211" i="4"/>
  <c r="P98" i="6"/>
  <c r="P104" i="5"/>
  <c r="D244" i="4"/>
  <c r="D227" i="4"/>
  <c r="O204" i="4"/>
  <c r="O91" i="6"/>
  <c r="O97" i="5"/>
  <c r="O231" i="4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K245" i="4"/>
  <c r="K240" i="4"/>
  <c r="B211" i="4"/>
  <c r="B98" i="6"/>
  <c r="B104" i="5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156" i="4"/>
  <c r="Q210" i="4"/>
  <c r="Q97" i="6"/>
  <c r="Q103" i="5"/>
  <c r="Q237" i="4"/>
  <c r="Q240" i="4"/>
  <c r="Q241" i="4"/>
  <c r="Q246" i="4"/>
  <c r="Q243" i="4"/>
  <c r="Q239" i="4"/>
  <c r="Q245" i="4"/>
  <c r="Q242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G224" i="4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E167" i="4"/>
  <c r="E54" i="6"/>
  <c r="K235" i="4"/>
  <c r="O167" i="4"/>
  <c r="I224" i="4"/>
  <c r="N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J144" i="5" l="1"/>
  <c r="U103" i="5"/>
  <c r="U245" i="4"/>
  <c r="N228" i="4"/>
  <c r="N225" i="4"/>
  <c r="N141" i="4"/>
  <c r="U240" i="4"/>
  <c r="U238" i="4"/>
  <c r="U242" i="4"/>
  <c r="U97" i="6"/>
  <c r="R82" i="6"/>
  <c r="N229" i="4"/>
  <c r="N222" i="4"/>
  <c r="N231" i="4"/>
  <c r="U243" i="4"/>
  <c r="U210" i="4"/>
  <c r="N232" i="4"/>
  <c r="U246" i="4"/>
  <c r="U156" i="4"/>
  <c r="N233" i="4"/>
  <c r="N88" i="5"/>
  <c r="U241" i="4"/>
  <c r="N82" i="6"/>
  <c r="H138" i="6"/>
  <c r="S147" i="5"/>
  <c r="U239" i="4"/>
  <c r="N223" i="4"/>
  <c r="N195" i="4"/>
  <c r="S162" i="5"/>
  <c r="R236" i="4"/>
  <c r="R195" i="4"/>
  <c r="S246" i="4"/>
  <c r="S244" i="4"/>
  <c r="S242" i="4"/>
  <c r="R230" i="4"/>
  <c r="R141" i="4"/>
  <c r="S243" i="4"/>
  <c r="R235" i="4"/>
  <c r="R227" i="4"/>
  <c r="S237" i="4"/>
  <c r="S240" i="4"/>
  <c r="S156" i="4"/>
  <c r="R224" i="4"/>
  <c r="R231" i="4"/>
  <c r="R226" i="4"/>
  <c r="R233" i="4"/>
  <c r="S245" i="4"/>
  <c r="G228" i="4"/>
  <c r="U54" i="6"/>
  <c r="R232" i="4"/>
  <c r="R228" i="4"/>
  <c r="R229" i="4"/>
  <c r="R222" i="4"/>
  <c r="S97" i="6"/>
  <c r="S103" i="5"/>
  <c r="S238" i="4"/>
  <c r="G222" i="4"/>
  <c r="R223" i="4"/>
  <c r="S143" i="5"/>
  <c r="J167" i="4"/>
  <c r="S141" i="5"/>
  <c r="S151" i="5"/>
  <c r="J227" i="4"/>
  <c r="B241" i="4"/>
  <c r="B156" i="4"/>
  <c r="H136" i="6"/>
  <c r="H159" i="6"/>
  <c r="H141" i="6"/>
  <c r="J222" i="4"/>
  <c r="H151" i="6"/>
  <c r="H139" i="6"/>
  <c r="H135" i="6"/>
  <c r="B240" i="4"/>
  <c r="J223" i="4"/>
  <c r="J88" i="5"/>
  <c r="B239" i="4"/>
  <c r="H140" i="6"/>
  <c r="H137" i="6"/>
  <c r="S158" i="5"/>
  <c r="S160" i="5"/>
  <c r="J232" i="4"/>
  <c r="J82" i="6"/>
  <c r="B245" i="4"/>
  <c r="H152" i="6"/>
  <c r="H160" i="6"/>
  <c r="H153" i="6"/>
  <c r="S163" i="5"/>
  <c r="J195" i="4"/>
  <c r="B237" i="4"/>
  <c r="H158" i="6"/>
  <c r="H155" i="6"/>
  <c r="H154" i="6"/>
  <c r="S155" i="5"/>
  <c r="S153" i="5"/>
  <c r="B238" i="4"/>
  <c r="J226" i="4"/>
  <c r="J225" i="4"/>
  <c r="J141" i="4"/>
  <c r="B103" i="5"/>
  <c r="H142" i="6"/>
  <c r="H145" i="6"/>
  <c r="S159" i="5"/>
  <c r="S142" i="5"/>
  <c r="B244" i="4"/>
  <c r="J230" i="4"/>
  <c r="J233" i="4"/>
  <c r="H147" i="6"/>
  <c r="S149" i="5"/>
  <c r="S145" i="5"/>
  <c r="S166" i="5"/>
  <c r="S156" i="5"/>
  <c r="S150" i="5"/>
  <c r="S164" i="5"/>
  <c r="S152" i="5"/>
  <c r="S144" i="5"/>
  <c r="S161" i="5"/>
  <c r="S148" i="5"/>
  <c r="V147" i="5"/>
  <c r="S157" i="5"/>
  <c r="S165" i="5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137" i="5" s="1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4" i="5" s="1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217" i="4" s="1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0" i="7" s="1"/>
  <c r="L33" i="6"/>
  <c r="L42" i="5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111" i="6" l="1"/>
  <c r="L131" i="6"/>
  <c r="L18" i="5"/>
  <c r="L18" i="6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17" i="6"/>
  <c r="L151" i="6" s="1"/>
  <c r="L63" i="5"/>
  <c r="L118" i="7" s="1"/>
  <c r="L17" i="5"/>
  <c r="L144" i="5" s="1"/>
  <c r="L76" i="5"/>
  <c r="L265" i="4"/>
  <c r="L20" i="4"/>
  <c r="L211" i="4" s="1"/>
  <c r="L13" i="4"/>
  <c r="L55" i="6"/>
  <c r="L6" i="4"/>
  <c r="L271" i="4"/>
  <c r="L163" i="4"/>
  <c r="L57" i="4" l="1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H61" i="8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O61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E25" i="8" l="1"/>
  <c r="E36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G4" i="16"/>
  <c r="K3" i="16" l="1"/>
  <c r="O3" i="16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S58" i="8"/>
  <c r="S80" i="8" s="1"/>
  <c r="R58" i="8"/>
  <c r="R80" i="8" s="1"/>
  <c r="Q58" i="8"/>
  <c r="Q80" i="8" s="1"/>
  <c r="P58" i="8"/>
  <c r="P80" i="8" s="1"/>
  <c r="O58" i="8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S77" i="8" s="1"/>
  <c r="R55" i="8"/>
  <c r="R77" i="8" s="1"/>
  <c r="Q55" i="8"/>
  <c r="Q77" i="8" s="1"/>
  <c r="P55" i="8"/>
  <c r="P77" i="8" s="1"/>
  <c r="O55" i="8"/>
  <c r="N55" i="8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Q54" i="8"/>
  <c r="Q76" i="8" s="1"/>
  <c r="P54" i="8"/>
  <c r="O54" i="8"/>
  <c r="N54" i="8"/>
  <c r="N76" i="8" s="1"/>
  <c r="M54" i="8"/>
  <c r="M76" i="8" s="1"/>
  <c r="L54" i="8"/>
  <c r="L76" i="8" s="1"/>
  <c r="K54" i="8"/>
  <c r="K76" i="8" s="1"/>
  <c r="V53" i="8"/>
  <c r="U53" i="8"/>
  <c r="U75" i="8" s="1"/>
  <c r="T53" i="8"/>
  <c r="S53" i="8"/>
  <c r="S75" i="8" s="1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T80" i="8"/>
  <c r="O80" i="8"/>
  <c r="N80" i="8"/>
  <c r="R79" i="8"/>
  <c r="K79" i="8"/>
  <c r="V77" i="8"/>
  <c r="O77" i="8"/>
  <c r="N77" i="8"/>
  <c r="S76" i="8"/>
  <c r="R76" i="8"/>
  <c r="P76" i="8"/>
  <c r="O76" i="8"/>
  <c r="V75" i="8"/>
  <c r="T75" i="8"/>
  <c r="N75" i="8"/>
  <c r="L75" i="8"/>
  <c r="R73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T232" i="3" s="1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T222" i="3" s="1"/>
  <c r="S10" i="3"/>
  <c r="R10" i="3"/>
  <c r="V8" i="3"/>
  <c r="U8" i="3"/>
  <c r="T8" i="3"/>
  <c r="S8" i="3"/>
  <c r="R8" i="3"/>
  <c r="R220" i="3" s="1"/>
  <c r="V7" i="3"/>
  <c r="V219" i="3" s="1"/>
  <c r="U7" i="3"/>
  <c r="T7" i="3"/>
  <c r="S7" i="3"/>
  <c r="R7" i="3"/>
  <c r="V6" i="3"/>
  <c r="U6" i="3"/>
  <c r="T6" i="3"/>
  <c r="T218" i="3" s="1"/>
  <c r="S6" i="3"/>
  <c r="S218" i="3" s="1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O222" i="3" s="1"/>
  <c r="N10" i="3"/>
  <c r="M10" i="3"/>
  <c r="L10" i="3"/>
  <c r="K10" i="3"/>
  <c r="J10" i="3"/>
  <c r="I10" i="3"/>
  <c r="H10" i="3"/>
  <c r="G10" i="3"/>
  <c r="G222" i="3" s="1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O218" i="3" s="1"/>
  <c r="N6" i="3"/>
  <c r="N218" i="3" s="1"/>
  <c r="M6" i="3"/>
  <c r="L6" i="3"/>
  <c r="K6" i="3"/>
  <c r="J6" i="3"/>
  <c r="I6" i="3"/>
  <c r="H6" i="3"/>
  <c r="G6" i="3"/>
  <c r="G218" i="3" s="1"/>
  <c r="F6" i="3"/>
  <c r="F218" i="3" s="1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17" i="1"/>
  <c r="B12" i="1"/>
  <c r="B4" i="1"/>
  <c r="B18" i="1"/>
  <c r="B7" i="1"/>
  <c r="B20" i="1"/>
  <c r="B11" i="1"/>
  <c r="B6" i="1"/>
  <c r="B21" i="1"/>
  <c r="B13" i="1"/>
  <c r="B16" i="1"/>
  <c r="B22" i="1"/>
  <c r="B15" i="1"/>
  <c r="B8" i="1"/>
  <c r="B9" i="1"/>
  <c r="E224" i="3" l="1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I68" i="3"/>
  <c r="Q68" i="3"/>
  <c r="I79" i="3"/>
  <c r="Q79" i="3"/>
  <c r="I80" i="3"/>
  <c r="Q80" i="3"/>
  <c r="B67" i="3"/>
  <c r="J67" i="3"/>
  <c r="B68" i="3"/>
  <c r="J68" i="3"/>
  <c r="B79" i="3"/>
  <c r="J79" i="3"/>
  <c r="B80" i="3"/>
  <c r="J80" i="3"/>
  <c r="B37" i="3"/>
  <c r="J37" i="3"/>
  <c r="B38" i="3"/>
  <c r="J38" i="3"/>
  <c r="B49" i="3"/>
  <c r="J49" i="3"/>
  <c r="B50" i="3"/>
  <c r="J50" i="3"/>
  <c r="C37" i="3"/>
  <c r="K37" i="3"/>
  <c r="C38" i="3"/>
  <c r="K38" i="3"/>
  <c r="C49" i="3"/>
  <c r="K49" i="3"/>
  <c r="C50" i="3"/>
  <c r="K50" i="3"/>
  <c r="G35" i="3"/>
  <c r="O35" i="3"/>
  <c r="G50" i="3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9" i="3"/>
  <c r="Q218" i="3"/>
  <c r="N5" i="3"/>
  <c r="I220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J219" i="3"/>
  <c r="E218" i="3"/>
  <c r="M218" i="3"/>
  <c r="I18" i="3"/>
  <c r="E219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39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J189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0" i="3"/>
  <c r="K202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H193" i="3" s="1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C230" i="3" s="1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D9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H72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M223" i="3" l="1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P191" i="3" s="1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M221" i="3" s="1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E221" i="3" s="1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 s="1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F77" i="3" s="1"/>
  <c r="F177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F234" i="3" l="1"/>
  <c r="U52" i="12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D43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234" i="3" s="1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P77" i="3" s="1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V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V186" i="3"/>
  <c r="F216" i="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D77" i="3" l="1"/>
  <c r="P234" i="3"/>
  <c r="V131" i="3"/>
  <c r="V134" i="3"/>
  <c r="V128" i="3"/>
  <c r="V132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C77" i="3" s="1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40" i="3" l="1"/>
  <c r="I150" i="3"/>
  <c r="C234" i="3"/>
  <c r="I143" i="3"/>
  <c r="I142" i="3"/>
  <c r="I199" i="3"/>
  <c r="I144" i="3"/>
  <c r="I146" i="3"/>
  <c r="I141" i="3"/>
  <c r="I139" i="3"/>
  <c r="I148" i="3"/>
  <c r="I145" i="3"/>
  <c r="I149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225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B64" i="3"/>
  <c r="B168" i="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S47" i="3"/>
  <c r="S147" i="3" s="1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R144" i="3" l="1"/>
  <c r="R139" i="3"/>
  <c r="B53" i="12"/>
  <c r="B17" i="12"/>
  <c r="B67" i="12" s="1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U43" i="11" s="1"/>
  <c r="U95" i="11" s="1"/>
  <c r="V102" i="11"/>
  <c r="U58" i="11"/>
  <c r="U53" i="11" s="1"/>
  <c r="V103" i="11"/>
  <c r="U100" i="11" l="1"/>
  <c r="V58" i="1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<sst xmlns="http://schemas.openxmlformats.org/spreadsheetml/2006/main" count="2655" uniqueCount="1167">
  <si>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</si>
  <si>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</si>
  <si>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</si>
  <si>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</si>
  <si>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</si>
  <si>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</si>
  <si>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</si>
  <si>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</si>
  <si>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</si>
  <si>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</si>
  <si>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</si>
  <si>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</si>
  <si>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</si>
  <si>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</si>
  <si>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</si>
  <si>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</si>
  <si>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</si>
  <si>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</si>
  <si>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</si>
  <si>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</si>
  <si>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</si>
  <si>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</si>
  <si>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</si>
  <si>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</si>
  <si>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</si>
  <si>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</si>
  <si>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</si>
  <si>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</si>
  <si>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</si>
  <si>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</si>
  <si>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</si>
  <si>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</si>
  <si>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</si>
  <si>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</si>
  <si>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</si>
  <si>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</si>
  <si>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</si>
  <si>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</si>
  <si>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</si>
  <si>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</si>
  <si>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</si>
  <si>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</si>
  <si>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</si>
  <si>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</si>
  <si>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</si>
  <si>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</si>
  <si>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</si>
  <si>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</si>
  <si>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</si>
  <si>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</si>
  <si>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</si>
  <si>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</si>
  <si>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</si>
  <si>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</si>
  <si>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</si>
  <si>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</si>
  <si>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</si>
  <si>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</si>
  <si>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</si>
  <si>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</si>
  <si>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</si>
  <si>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</si>
  <si>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</si>
  <si>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</si>
  <si>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</si>
  <si>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</si>
  <si>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</si>
  <si>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</si>
  <si>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</si>
  <si>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</si>
  <si>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</si>
  <si>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</si>
  <si>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</si>
  <si>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</si>
  <si>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</si>
  <si>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</si>
  <si>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</si>
  <si>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</si>
  <si>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</si>
  <si>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</si>
  <si>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</si>
  <si>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</si>
  <si>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</si>
  <si>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</si>
  <si>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</si>
  <si>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</si>
  <si>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</si>
  <si>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</si>
  <si>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</si>
  <si>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</si>
  <si>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</si>
  <si>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</si>
  <si>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</si>
  <si>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</si>
  <si>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</si>
  <si>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</si>
  <si>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</si>
  <si>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</si>
  <si>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</si>
  <si>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</si>
  <si>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</si>
  <si>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</si>
  <si>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</si>
  <si>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</si>
  <si>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</si>
  <si>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</si>
  <si>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</si>
  <si>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</si>
  <si>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</si>
  <si>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</si>
  <si>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</si>
  <si>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</si>
  <si>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</si>
  <si>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</si>
  <si>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</si>
  <si>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</si>
  <si>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</si>
  <si>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</si>
  <si>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</si>
  <si>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</si>
  <si>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</si>
  <si>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</si>
  <si>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</si>
  <si>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</si>
  <si>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</si>
  <si>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</si>
  <si>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</si>
  <si>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</si>
  <si>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</si>
  <si>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</si>
  <si>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</si>
  <si>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</si>
  <si>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</si>
  <si>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</si>
  <si>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</si>
  <si>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</si>
  <si>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</si>
  <si>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</si>
  <si>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</si>
  <si>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</si>
  <si>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</si>
  <si>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</si>
  <si>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</si>
  <si>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</si>
  <si>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</si>
  <si>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</si>
  <si>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</si>
  <si>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</si>
  <si>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</si>
  <si>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</si>
  <si>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</si>
  <si>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</si>
  <si>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</si>
  <si>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</si>
  <si>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</si>
  <si>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</si>
  <si>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</si>
  <si>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</si>
  <si>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</si>
  <si>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</si>
  <si>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</si>
  <si>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</si>
  <si>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</si>
  <si>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</si>
  <si>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</si>
  <si>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</si>
  <si>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</si>
  <si>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</si>
  <si>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</si>
  <si>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</si>
  <si>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</si>
  <si>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</si>
  <si>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</si>
  <si>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</si>
  <si>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</si>
  <si>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</si>
  <si>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</si>
  <si>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</si>
  <si>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</si>
  <si>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</si>
  <si>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</si>
  <si>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</si>
  <si>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</si>
  <si>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</si>
  <si>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</si>
  <si>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</si>
  <si>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BE</t>
  </si>
  <si>
    <t>Belgium</t>
  </si>
  <si>
    <t>Aviation - BE - Belgium</t>
  </si>
  <si>
    <t>Activity.Mpkm.BE.Tr.Avia.Passenger</t>
  </si>
  <si>
    <t>Activity.Mpkm.BE.Tr.Avia.Passenger.Domestic</t>
  </si>
  <si>
    <t>Activity.Mpkm.BE.Tr.Avia.Passenger.IntraEEAwUK</t>
  </si>
  <si>
    <t>Activity.Mpkm.BE.Tr.Avia.Passenger.ExtraEEAwUK</t>
  </si>
  <si>
    <t>Activity.Mtkm.BE.Tr.Avia.Freight</t>
  </si>
  <si>
    <t>Activity.Mtkm.BE.Tr.Avia.Freight.Domestic</t>
  </si>
  <si>
    <t>Activity.Mtkm.BE.Tr.Avia.Freight.IntraEEAwUK</t>
  </si>
  <si>
    <t>Activity.Mtkm.BE.Tr.Avia.Freight.ExtraEEAwUK</t>
  </si>
  <si>
    <t>VehicleKm.Mkm.BE.Tr.Avia</t>
  </si>
  <si>
    <t>VehicleKm.Mkm.BE.Tr.Avia.Passenger</t>
  </si>
  <si>
    <t>VehicleKm.Mkm.BE.Tr.Avia.Passenger.Domestic</t>
  </si>
  <si>
    <t>VehicleKm.Mkm.BE.Tr.Avia.Passenger.IntraEEAwUK</t>
  </si>
  <si>
    <t>VehicleKm.Mkm.BE.Tr.Avia.Passenger.ExtraEEAwUK</t>
  </si>
  <si>
    <t>VehicleKm.Mkm.BE.Tr.Avia.Freight</t>
  </si>
  <si>
    <t>VehicleKm.Mkm.BE.Tr.Avia.Freight.Domestic</t>
  </si>
  <si>
    <t>VehicleKm.Mkm.BE.Tr.Avia.Freight.IntraEEAwUK</t>
  </si>
  <si>
    <t>VehicleKm.Mkm.BE.Tr.Avia.Freight.ExtraEEAwUK</t>
  </si>
  <si>
    <t>Flights.number.BE.Tr.Avia</t>
  </si>
  <si>
    <t>Flights.number.BE.Tr.Avia.Passenger</t>
  </si>
  <si>
    <t>Flights.number.BE.Tr.Avia.Passenger.Domestic</t>
  </si>
  <si>
    <t>Flights.number.BE.Tr.Avia.Passenger.IntraEEAwUK</t>
  </si>
  <si>
    <t>Flights.number.BE.Tr.Avia.Passenger.ExtraEEAwUK</t>
  </si>
  <si>
    <t>Flights.number.BE.Tr.Avia.Freight</t>
  </si>
  <si>
    <t>Flights.number.BE.Tr.Avia.Freight.Domestic</t>
  </si>
  <si>
    <t>Flights.number.BE.Tr.Avia.Freight.IntraEEAwUK</t>
  </si>
  <si>
    <t>Flights.number.BE.Tr.Avia.Freight.ExtraEEAwUK</t>
  </si>
  <si>
    <t>VolCarried.passenger.BE.Tr.Avia.Passenger</t>
  </si>
  <si>
    <t>VolCarried.passenger.BE.Tr.Avia.Passenger.Domestic</t>
  </si>
  <si>
    <t>VolCarried.passenger.BE.Tr.Avia.Passenger.IntraEEAwUK</t>
  </si>
  <si>
    <t>VolCarried.passenger.BE.Tr.Avia.Passenger.ExtraEEAwUK</t>
  </si>
  <si>
    <t>VolCarried.t.BE.Tr.Avia.Freight</t>
  </si>
  <si>
    <t>VolCarried.t.BE.Tr.Avia.Freight.Domestic</t>
  </si>
  <si>
    <t>VolCarried.t.BE.Tr.Avia.Freight.IntraEEAwUK</t>
  </si>
  <si>
    <t>VolCarried.t.BE.Tr.Avia.Freight.ExtraEEAwUK</t>
  </si>
  <si>
    <t>Stock.number.BE.Tr.Avia</t>
  </si>
  <si>
    <t>Stock.number.BE.Tr.Avia.Passenger</t>
  </si>
  <si>
    <t>Stock.number.BE.Tr.Avia.Passenger.Domestic</t>
  </si>
  <si>
    <t>Stock.number.BE.Tr.Avia.Passenger.IntraEEAwUK</t>
  </si>
  <si>
    <t>Stock.number.BE.Tr.Avia.Passenger.ExtraEEAwUK</t>
  </si>
  <si>
    <t>Stock.number.BE.Tr.Avia.Freight</t>
  </si>
  <si>
    <t>Stock.number.BE.Tr.Avia.Freight.Domestic</t>
  </si>
  <si>
    <t>Stock.number.BE.Tr.Avia.Freight.IntraEEAwUK</t>
  </si>
  <si>
    <t>Stock.number.BE.Tr.Avia.Freight.ExtraEEAwUK</t>
  </si>
  <si>
    <t>StockNew.number.BE.Tr.Avia</t>
  </si>
  <si>
    <t>StockNew.number.BE.Tr.Avia.Passenger</t>
  </si>
  <si>
    <t>StockNew.number.BE.Tr.Avia.Passenger.Domestic</t>
  </si>
  <si>
    <t>StockNew.number.BE.Tr.Avia.Passenger.IntraEEAwUK</t>
  </si>
  <si>
    <t>StockNew.number.BE.Tr.Avia.Passenger.ExtraEEAwUK</t>
  </si>
  <si>
    <t>StockNew.number.BE.Tr.Avia.Freight</t>
  </si>
  <si>
    <t>StockNew.number.BE.Tr.Avia.Freight.Domestic</t>
  </si>
  <si>
    <t>StockNew.number.BE.Tr.Avia.Freight.IntraEEAwUK</t>
  </si>
  <si>
    <t>StockNew.number.BE.Tr.Avia.Freight.ExtraEEAwUK</t>
  </si>
  <si>
    <t>Load.passenger_per_movement.BE.Tr.Avia.Passenger</t>
  </si>
  <si>
    <t>Load.passenger_per_movement.BE.Tr.Avia.Passenger.Domestic</t>
  </si>
  <si>
    <t>Load.passenger_per_movement.BE.Tr.Avia.Passenger.IntraEEAwUK</t>
  </si>
  <si>
    <t>Load.passenger_per_movement.BE.Tr.Avia.Passenger.ExtraEEAwUK</t>
  </si>
  <si>
    <t>Load.t_per_movement.BE.Tr.Avia.Freight</t>
  </si>
  <si>
    <t>Load.t_per_movement.BE.Tr.Avia.Freight.Domestic</t>
  </si>
  <si>
    <t>Load.t_per_movement.BE.Tr.Avia.Freight.IntraEEAwUK</t>
  </si>
  <si>
    <t>Load.t_per_movement.BE.Tr.Avia.Freight.ExtraEEAwUK</t>
  </si>
  <si>
    <t>VehicleKm_per_flight.km.BE.Tr.Avia</t>
  </si>
  <si>
    <t>VehicleKm_per_flight.km.BE.Tr.Avia.Passenger</t>
  </si>
  <si>
    <t>VehicleKm_per_flight.km.BE.Tr.Avia.Passenger.Domestic</t>
  </si>
  <si>
    <t>VehicleKm_per_flight.km.BE.Tr.Avia.Passenger.IntraEEAwUK</t>
  </si>
  <si>
    <t>VehicleKm_per_flight.km.BE.Tr.Avia.Passenger.ExtraEEAwUK</t>
  </si>
  <si>
    <t>VehicleKm_per_flight.km.BE.Tr.Avia.Freight</t>
  </si>
  <si>
    <t>VehicleKm_per_flight.km.BE.Tr.Avia.Freight.Domestic</t>
  </si>
  <si>
    <t>VehicleKm_per_flight.km.BE.Tr.Avia.Freight.IntraEEAwUK</t>
  </si>
  <si>
    <t>VehicleKm_per_flight.km.BE.Tr.Avia.Freight.ExtraEEAwUK</t>
  </si>
  <si>
    <t>Activity_per_flight.pkm.BE.Tr.Avia.Passenger</t>
  </si>
  <si>
    <t>Activity_per_flight.pkm.BE.Tr.Avia.Passenger.Domestic</t>
  </si>
  <si>
    <t>Activity_per_flight.pkm.BE.Tr.Avia.Passenger.IntraEEAwUK</t>
  </si>
  <si>
    <t>Activity_per_flight.pkm.BE.Tr.Avia.Passenger.ExtraEEAwUK</t>
  </si>
  <si>
    <t>Activity_per_flight.tkm.BE.Tr.Avia.Freight</t>
  </si>
  <si>
    <t>Activity_per_flight.tkm.BE.Tr.Avia.Freight.Domestic</t>
  </si>
  <si>
    <t>Activity_per_flight.tkm.BE.Tr.Avia.Freight.IntraEEAwUK</t>
  </si>
  <si>
    <t>Activity_per_flight.tkm.BE.Tr.Avia.Freight.ExtraEEAwUK</t>
  </si>
  <si>
    <t>Flights_per_vehicle.number.BE.Tr.Avia</t>
  </si>
  <si>
    <t>Flights_per_vehicle.number.BE.Tr.Avia.Passenger</t>
  </si>
  <si>
    <t>Flights_per_vehicle.number.BE.Tr.Avia.Passenger.Domestic</t>
  </si>
  <si>
    <t>Flights_per_vehicle.number.BE.Tr.Avia.Passenger.IntraEEAwUK</t>
  </si>
  <si>
    <t>Flights_per_vehicle.number.BE.Tr.Avia.Passenger.ExtraEEAwUK</t>
  </si>
  <si>
    <t>Flights_per_vehicle.number.BE.Tr.Avia.Freight</t>
  </si>
  <si>
    <t>Flights_per_vehicle.number.BE.Tr.Avia.Freight.Domestic</t>
  </si>
  <si>
    <t>Flights_per_vehicle.number.BE.Tr.Avia.Freight.IntraEEAwUK</t>
  </si>
  <si>
    <t>Flights_per_vehicle.number.BE.Tr.Avia.Freight.ExtraEEAwUK</t>
  </si>
  <si>
    <t>Aviation / energy consumption - BE - Belgium</t>
  </si>
  <si>
    <t>FEC.ktoe.BE.Tr.Avia</t>
  </si>
  <si>
    <t>FEC.ktoe.BE.Tr.Avia.Domestic</t>
  </si>
  <si>
    <t>FEC.ktoe.BE.Tr.Avia.International</t>
  </si>
  <si>
    <t>FEC.ktoe.BE.Tr.Avia.Passenger</t>
  </si>
  <si>
    <t>FEC.ktoe.BE.Tr.Avia.Passenger.Domestic</t>
  </si>
  <si>
    <t>FEC.ktoe.BE.Tr.Avia.Passenger.IntraEEAwUK</t>
  </si>
  <si>
    <t>FEC.ktoe.BE.Tr.Avia.Passenger.ExtraEEAwUK</t>
  </si>
  <si>
    <t>FEC.ktoe.BE.Tr.Avia.Freight</t>
  </si>
  <si>
    <t>FEC.ktoe.BE.Tr.Avia.Freight.Domestic</t>
  </si>
  <si>
    <t>FEC.ktoe.BE.Tr.Avia.Freight.IntraEEAwUK</t>
  </si>
  <si>
    <t>FEC.ktoe.BE.Tr.Avia.Freight.ExtraEEAwUK</t>
  </si>
  <si>
    <t>Eff.kgoe_per_100km.BE.Tr.Avia</t>
  </si>
  <si>
    <t>Eff.kgoe_per_100km.BE.Tr.Avia.Passenger</t>
  </si>
  <si>
    <t>Eff.kgoe_per_100km.BE.Tr.Avia.Passenger.Domestic</t>
  </si>
  <si>
    <t>Eff.kgoe_per_100km.BE.Tr.Avia.Passenger.IntraEEAwUK</t>
  </si>
  <si>
    <t>Eff.kgoe_per_100km.BE.Tr.Avia.Passenger.ExtraEEAwUK</t>
  </si>
  <si>
    <t>Eff.kgoe_per_100km.BE.Tr.Avia.Freight</t>
  </si>
  <si>
    <t>Eff.kgoe_per_100km.BE.Tr.Avia.Freight.Domestic</t>
  </si>
  <si>
    <t>Eff.kgoe_per_100km.BE.Tr.Avia.Freight.IntraEEAwUK</t>
  </si>
  <si>
    <t>Eff.kgoe_per_100km.BE.Tr.Avia.Freight.ExtraEEAwUK</t>
  </si>
  <si>
    <t>Eff.kgoe_per_kpkm.BE.Tr.Avia.Passenger</t>
  </si>
  <si>
    <t>Eff.kgoe_per_kpkm.BE.Tr.Avia.Passenger.Domestic</t>
  </si>
  <si>
    <t>Eff.kgoe_per_kpkm.BE.Tr.Avia.Passenger.IntraEEAwUK</t>
  </si>
  <si>
    <t>Eff.kgoe_per_kpkm.BE.Tr.Avia.Passenger.ExtraEEAwUK</t>
  </si>
  <si>
    <t>Eff.kgoe_per_ktkm.BE.Tr.Avia.Freight</t>
  </si>
  <si>
    <t>Eff.kgoe_per_ktkm.BE.Tr.Avia.Freight.Domestic</t>
  </si>
  <si>
    <t>Eff.kgoe_per_ktkm.BE.Tr.Avia.Freight.IntraEEAwUK</t>
  </si>
  <si>
    <t>Eff.kgoe_per_ktkm.BE.Tr.Avia.Freight.ExtraEEAwUK</t>
  </si>
  <si>
    <t>FEC_per_flight.kgoe.BE.Tr.Avia</t>
  </si>
  <si>
    <t>FEC_per_flight.kgoe.BE.Tr.Avia.Passenger</t>
  </si>
  <si>
    <t>FEC_per_flight.kgoe.BE.Tr.Avia.Passenger.Domestic</t>
  </si>
  <si>
    <t>FEC_per_flight.kgoe.BE.Tr.Avia.Passenger.IntraEEAwUK</t>
  </si>
  <si>
    <t>FEC_per_flight.kgoe.BE.Tr.Avia.Passenger.ExtraEEAwUK</t>
  </si>
  <si>
    <t>FEC_per_flight.kgoe.BE.Tr.Avia.Freight</t>
  </si>
  <si>
    <t>FEC_per_flight.kgoe.BE.Tr.Avia.Freight.Domestic</t>
  </si>
  <si>
    <t>FEC_per_flight.kgoe.BE.Tr.Avia.Freight.IntraEEAwUK</t>
  </si>
  <si>
    <t>FEC_per_flight.kgoe.BE.Tr.Avia.Freight.ExtraEEAwUK</t>
  </si>
  <si>
    <t>Eff_theor.kgoe_per_100km.BE.Tr.Avia</t>
  </si>
  <si>
    <t>Eff_theor.kgoe_per_100km.BE.Tr.Avia.Passenger</t>
  </si>
  <si>
    <t>Eff_theor.kgoe_per_100km.BE.Tr.Avia.Passenger.Domestic</t>
  </si>
  <si>
    <t>Eff_theor.kgoe_per_100km.BE.Tr.Avia.Passenger.IntraEEAwUK</t>
  </si>
  <si>
    <t>Eff_theor.kgoe_per_100km.BE.Tr.Avia.Passenger.ExtraEEAwUK</t>
  </si>
  <si>
    <t>Eff_theor.kgoe_per_100km.BE.Tr.Avia.Freight</t>
  </si>
  <si>
    <t>Eff_theor.kgoe_per_100km.BE.Tr.Avia.Freight.Domestic</t>
  </si>
  <si>
    <t>Eff_theor.kgoe_per_100km.BE.Tr.Avia.Freight.IntraEEAwUK</t>
  </si>
  <si>
    <t>Eff_theor.kgoe_per_100km.BE.Tr.Avia.Freight.ExtraEEAwUK</t>
  </si>
  <si>
    <t>Aviation / CO2 emissions - BE - Belgium</t>
  </si>
  <si>
    <t>EMI.ktCO2.BE.Tr.Avia</t>
  </si>
  <si>
    <t>EMI.ktCO2.BE.Tr.Avia.Domestic</t>
  </si>
  <si>
    <t>EMI.ktCO2.BE.Tr.Avia.International</t>
  </si>
  <si>
    <t>EMI.ktCO2.BE.Tr.Avia.Passenger</t>
  </si>
  <si>
    <t>EMI.ktCO2.BE.Tr.Avia.Passenger.Domestic</t>
  </si>
  <si>
    <t>EMI.ktCO2.BE.Tr.Avia.Passenger.IntraEEAwUK</t>
  </si>
  <si>
    <t>EMI.ktCO2.BE.Tr.Avia.Passenger.ExtraEEAwUK</t>
  </si>
  <si>
    <t>EMI.ktCO2.BE.Tr.Avia.Freight</t>
  </si>
  <si>
    <t>EMI.ktCO2.BE.Tr.Avia.Freight.Domestic</t>
  </si>
  <si>
    <t>EMI.ktCO2.BE.Tr.Avia.Freight.IntraEEAwUK</t>
  </si>
  <si>
    <t>EMI.ktCO2.BE.Tr.Avia.Freight.ExtraEEAwUK</t>
  </si>
  <si>
    <t>EMIint.gCO2_per_km.BE.Tr.Avia</t>
  </si>
  <si>
    <t>EMIint.gCO2_per_km.BE.Tr.Avia.Passenger</t>
  </si>
  <si>
    <t>EMIint.gCO2_per_km.BE.Tr.Avia.Passenger.Domestic</t>
  </si>
  <si>
    <t>EMIint.gCO2_per_km.BE.Tr.Avia.Passenger.IntraEEAwUK</t>
  </si>
  <si>
    <t>EMIint.gCO2_per_km.BE.Tr.Avia.Passenger.ExtraEEAwUK</t>
  </si>
  <si>
    <t>EMIint.gCO2_per_km.BE.Tr.Avia.Freight</t>
  </si>
  <si>
    <t>EMIint.gCO2_per_km.BE.Tr.Avia.Freight.Domestic</t>
  </si>
  <si>
    <t>EMIint.gCO2_per_km.BE.Tr.Avia.Freight.IntraEEAwUK</t>
  </si>
  <si>
    <t>EMIint.gCO2_per_km.BE.Tr.Avia.Freight.ExtraEEAwUK</t>
  </si>
  <si>
    <t>EMIint.gCO2_per_pkm.BE.Tr.Avia.Passenger</t>
  </si>
  <si>
    <t>EMIint.gCO2_per_pkm.BE.Tr.Avia.Passenger.Domestic</t>
  </si>
  <si>
    <t>EMIint.gCO2_per_pkm.BE.Tr.Avia.Passenger.IntraEEAwUK</t>
  </si>
  <si>
    <t>EMIint.gCO2_per_pkm.BE.Tr.Avia.Passenger.ExtraEEAwUK</t>
  </si>
  <si>
    <t>EMIint.gCO2_per_tkm.BE.Tr.Avia.Freight</t>
  </si>
  <si>
    <t>EMIint.gCO2_per_tkm.BE.Tr.Avia.Freight.Domestic</t>
  </si>
  <si>
    <t>EMIint.gCO2_per_tkm.BE.Tr.Avia.Freight.IntraEEAwUK</t>
  </si>
  <si>
    <t>EMIint.gCO2_per_tkm.BE.Tr.Avia.Freight.ExtraEEAwUK</t>
  </si>
  <si>
    <t>EMI_per_flight.kgCO2.BE.Tr.Avia</t>
  </si>
  <si>
    <t>EMI_per_flight.kgCO2.BE.Tr.Avia.Passenger</t>
  </si>
  <si>
    <t>EMI_per_flight.kgCO2.BE.Tr.Avia.Passenger.Domestic</t>
  </si>
  <si>
    <t>EMI_per_flight.kgCO2.BE.Tr.Avia.Passenger.IntraEEAwUK</t>
  </si>
  <si>
    <t>EMI_per_flight.kgCO2.BE.Tr.Avia.Passenger.ExtraEEAwUK</t>
  </si>
  <si>
    <t>EMI_per_flight.kgCO2.BE.Tr.Avia.Freight</t>
  </si>
  <si>
    <t>EMI_per_flight.kgCO2.BE.Tr.Avia.Freight.Domestic</t>
  </si>
  <si>
    <t>EMI_per_flight.kgCO2.BE.Tr.Avia.Freight.IntraEEAwUK</t>
  </si>
  <si>
    <t>EMI_per_flight.kgCO2.BE.Tr.Avia.Freight.ExtraEEAwUK</t>
  </si>
  <si>
    <t>Aviation / passenger transport specific data - BE - Belgium</t>
  </si>
  <si>
    <t>TrCap.seats.BE.Tr.Avia.Passenger</t>
  </si>
  <si>
    <t>TrCap.seats.BE.Tr.Avia.Passenger.Domestic</t>
  </si>
  <si>
    <t>TrCap.seats.BE.Tr.Avia.Passenger.IntraEEAwUK</t>
  </si>
  <si>
    <t>TrCap.seats.BE.Tr.Avia.Passenger.ExtraEEAwUK</t>
  </si>
  <si>
    <t>TrCap_per_flight.seats.BE.Tr.Avia.Passenger</t>
  </si>
  <si>
    <t>TrCap_per_flight.seats.BE.Tr.Avia.Passenger.Domestic</t>
  </si>
  <si>
    <t>TrCap_per_flight.seats.BE.Tr.Avia.Passenger.IntraEEAwUK</t>
  </si>
  <si>
    <t>TrCap_per_flight.seats.BE.Tr.Avia.Passenger.ExtraEEAwUK</t>
  </si>
  <si>
    <t>Transport overview - BE - Belgium</t>
  </si>
  <si>
    <t>Activity.Mpkm.BE.Tr</t>
  </si>
  <si>
    <t>Activity.Mpkm.BE.Tr.Road.Passenger</t>
  </si>
  <si>
    <t>Activity.Mpkm.BE.Tr.Road.Passenger.P2W</t>
  </si>
  <si>
    <t>Activity.Mpkm.BE.Tr.Road.Passenger.Car</t>
  </si>
  <si>
    <t>Activity.Mpkm.BE.Tr.Road.Passenger.Bus</t>
  </si>
  <si>
    <t>Activity.Mpkm.BE.Tr.Rail.Passenger</t>
  </si>
  <si>
    <t>Activity.Mpkm.BE.Tr.Rail.Passenger.MTU</t>
  </si>
  <si>
    <t>Activity.Mpkm.BE.Tr.Rail.Passenger.CPT</t>
  </si>
  <si>
    <t>Activity.Mpkm.BE.Tr.Rail.Passenger.HST</t>
  </si>
  <si>
    <t>Activity.Mtkm.BE.Tr</t>
  </si>
  <si>
    <t>Activity.Mtkm.BE.Tr.Road.Freight</t>
  </si>
  <si>
    <t>Activity.Mtkm.BE.Tr.Road.Freight.LCV</t>
  </si>
  <si>
    <t>Activity.Mtkm.BE.Tr.Road.Freight.HGV</t>
  </si>
  <si>
    <t>Activity.Mtkm.BE.Tr.Rail.Freight</t>
  </si>
  <si>
    <t>Activity.Mtkm.BE.Tr.DNavi.Freight</t>
  </si>
  <si>
    <t>Activity.Mtkm.BE.Tr.DNavi.Freight.DCS</t>
  </si>
  <si>
    <t>Activity.Mtkm.BE.Tr.DNavi.Freight.IWW</t>
  </si>
  <si>
    <t>Activity.Mtkm.BE.MBunk.Freight</t>
  </si>
  <si>
    <t>Activity.Mtkm.BE.MBunk.Freight.IntraEEA</t>
  </si>
  <si>
    <t>Activity.Mtkm.BE.MBunk.Freight.ExtraEEA</t>
  </si>
  <si>
    <t>FEC.ktoe.BE.Tr.Road.Passenger</t>
  </si>
  <si>
    <t>FEC.ktoe.BE.Tr.Road.Passenger.P2W</t>
  </si>
  <si>
    <t>FEC.ktoe.BE.Tr.Road.Passenger.Car</t>
  </si>
  <si>
    <t>FEC.ktoe.BE.Tr.Road.Passenger.Bus</t>
  </si>
  <si>
    <t>FEC.ktoe.BE.Tr.Rail.Passenger</t>
  </si>
  <si>
    <t>FEC.ktoe.BE.Tr.Rail.Passenger.MTU</t>
  </si>
  <si>
    <t>FEC.ktoe.BE.Tr.Rail.Passenger.CPT</t>
  </si>
  <si>
    <t>FEC.ktoe.BE.Tr.Rail.Passenger.HST</t>
  </si>
  <si>
    <t>FEC.ktoe.BE.Tr.Road.Freight</t>
  </si>
  <si>
    <t>FEC.ktoe.BE.Tr.Road.Freight.LCV</t>
  </si>
  <si>
    <t>FEC.ktoe.BE.Tr.Road.Freight.HGV</t>
  </si>
  <si>
    <t>FEC.ktoe.BE.Tr.Rail.Freight</t>
  </si>
  <si>
    <t>EMI.ktCO2.BE.Tr.Road.Passenger</t>
  </si>
  <si>
    <t>EMI.ktCO2.BE.Tr.Road.Passenger.P2W</t>
  </si>
  <si>
    <t>EMI.ktCO2.BE.Tr.Road.Passenger.Car</t>
  </si>
  <si>
    <t>EMI.ktCO2.BE.Tr.Road.Passenger.Bus</t>
  </si>
  <si>
    <t>EMI.ktCO2.BE.Tr.Rail.Passenger</t>
  </si>
  <si>
    <t>EMI.ktCO2.BE.Tr.Rail.Passenger.MTU</t>
  </si>
  <si>
    <t>EMI.ktCO2.BE.Tr.Rail.Passenger.CPT</t>
  </si>
  <si>
    <t>EMI.ktCO2.BE.Tr.Rail.Passenger.HST</t>
  </si>
  <si>
    <t>EMI.ktCO2.BE.Tr.Road.Freight</t>
  </si>
  <si>
    <t>EMI.ktCO2.BE.Tr.Road.Freight.LCV</t>
  </si>
  <si>
    <t>EMI.ktCO2.BE.Tr.Road.Freight.HGV</t>
  </si>
  <si>
    <t>EMI.ktCO2.BE.Tr.Rail.Freight</t>
  </si>
  <si>
    <t>Eff.kgoe_per_kpkm.BE.Tr</t>
  </si>
  <si>
    <t>Eff.kgoe_per_kpkm.BE.Tr.Road.Passenger</t>
  </si>
  <si>
    <t>Eff.kgoe_per_kpkm.BE.Tr.Road.Passenger.P2W</t>
  </si>
  <si>
    <t>Eff.kgoe_per_kpkm.BE.Tr.Road.Passenger.Car</t>
  </si>
  <si>
    <t>Eff.kgoe_per_kpkm.BE.Tr.Road.Passenger.Bus</t>
  </si>
  <si>
    <t>Eff.kgoe_per_kpkm.BE.Tr.Rail.Passenger</t>
  </si>
  <si>
    <t>Eff.kgoe_per_kpkm.BE.Tr.Rail.Passenger.MTU</t>
  </si>
  <si>
    <t>Eff.kgoe_per_kpkm.BE.Tr.Rail.Passenger.CPT</t>
  </si>
  <si>
    <t>Eff.kgoe_per_kpkm.BE.Tr.Rail.Passenger.HST</t>
  </si>
  <si>
    <t>Eff.kgoe_per_ktkm.BE.Tr</t>
  </si>
  <si>
    <t>Eff.kgoe_per_ktkm.BE.Tr.Road.Freight</t>
  </si>
  <si>
    <t>Eff.kgoe_per_ktkm.BE.Tr.Road.Freight.LCV</t>
  </si>
  <si>
    <t>Eff.kgoe_per_ktkm.BE.Tr.Road.Freight.HGV</t>
  </si>
  <si>
    <t>Eff.kgoe_per_ktkm.BE.Tr.Rail.Freight</t>
  </si>
  <si>
    <t>Eff.kgoe_per_ktkm.BE.Tr.DNavi.Freight</t>
  </si>
  <si>
    <t>Eff.kgoe_per_ktkm.BE.Tr.DNavi.Freight.DCS</t>
  </si>
  <si>
    <t>Eff.kgoe_per_ktkm.BE.Tr.DNavi.Freight.IWW</t>
  </si>
  <si>
    <t>Eff.kgoe_per_ktkm.BE.MBunk.Freight</t>
  </si>
  <si>
    <t>Eff.kgoe_per_ktkm.BE.MBunk.Freight.IntraEEA</t>
  </si>
  <si>
    <t>Eff.kgoe_per_ktkm.BE.MBunk.Freight.ExtraEEA</t>
  </si>
  <si>
    <t>EMIint.gCO2_per_pkm.BE.Tr</t>
  </si>
  <si>
    <t>EMIint.gCO2_per_pkm.BE.Tr.Road.Passenger</t>
  </si>
  <si>
    <t>EMIint.gCO2_per_pkm.BE.Tr.Road.Passenger.P2W</t>
  </si>
  <si>
    <t>EMIint.gCO2_per_pkm.BE.Tr.Road.Passenger.Car</t>
  </si>
  <si>
    <t>EMIint.gCO2_per_pkm.BE.Tr.Road.Passenger.Bus</t>
  </si>
  <si>
    <t>EMIint.gCO2_per_pkm.BE.Tr.Rail.Passenger</t>
  </si>
  <si>
    <t>EMIint.gCO2_per_pkm.BE.Tr.Rail.Passenger.MTU</t>
  </si>
  <si>
    <t>EMIint.gCO2_per_pkm.BE.Tr.Rail.Passenger.CPT</t>
  </si>
  <si>
    <t>EMIint.gCO2_per_pkm.BE.Tr.Rail.Passenger.HST</t>
  </si>
  <si>
    <t>EMIint.gCO2_per_tkm.BE.Tr</t>
  </si>
  <si>
    <t>EMIint.gCO2_per_tkm.BE.Tr.Road.Freight</t>
  </si>
  <si>
    <t>EMIint.gCO2_per_tkm.BE.Tr.Road.Freight.LCV</t>
  </si>
  <si>
    <t>EMIint.gCO2_per_tkm.BE.Tr.Road.Freight.HGV</t>
  </si>
  <si>
    <t>EMIint.gCO2_per_tkm.BE.Tr.Rail.Freight</t>
  </si>
  <si>
    <t>EMIint.gCO2_per_tkm.BE.Tr.DNavi.Freight</t>
  </si>
  <si>
    <t>EMIint.gCO2_per_tkm.BE.Tr.DNavi.Freight.DCS</t>
  </si>
  <si>
    <t>EMIint.gCO2_per_tkm.BE.Tr.DNavi.Freight.IWW</t>
  </si>
  <si>
    <t>EMIint.gCO2_per_tkm.BE.MBunk.Freight</t>
  </si>
  <si>
    <t>EMIint.gCO2_per_tkm.BE.MBunk.Freight.IntraEEA</t>
  </si>
  <si>
    <t>EMIint.gCO2_per_tkm.BE.MBunk.Freight.ExtraEEA</t>
  </si>
  <si>
    <t>Road transport - BE - Belgium</t>
  </si>
  <si>
    <t>Activity.Mpkm.BE.Tr.Road.Passenger.Car.ICE.Gasoline</t>
  </si>
  <si>
    <t>Activity.Mpkm.BE.Tr.Road.Passenger.Car.ICE.Diesel</t>
  </si>
  <si>
    <t>Activity.Mpkm.BE.Tr.Road.Passenger.Car.ICE.LPG</t>
  </si>
  <si>
    <t>Activity.Mpkm.BE.Tr.Road.Passenger.Car.ICE.NGas</t>
  </si>
  <si>
    <t>Activity.Mpkm.BE.Tr.Road.Passenger.Car.PHEV</t>
  </si>
  <si>
    <t>Activity.Mpkm.BE.Tr.Road.Passenger.Car.BEV</t>
  </si>
  <si>
    <t>Activity.Mpkm.BE.Tr.Road.Passenger.Bus.ICE.Gasoline</t>
  </si>
  <si>
    <t>Activity.Mpkm.BE.Tr.Road.Passenger.Bus.ICE.Diesel</t>
  </si>
  <si>
    <t>Activity.Mpkm.BE.Tr.Road.Passenger.Bus.ICE.LPG</t>
  </si>
  <si>
    <t>Activity.Mpkm.BE.Tr.Road.Passenger.Bus.ICE.NGas</t>
  </si>
  <si>
    <t>Activity.Mpkm.BE.Tr.Road.Passenger.Bus.ICE.BEV</t>
  </si>
  <si>
    <t>Activity.Mtkm.BE.Tr.Road.Freight.LCV.ICE.Gasoline</t>
  </si>
  <si>
    <t>Activity.Mtkm.BE.Tr.Road.Freight.LCV.ICE.Diesel</t>
  </si>
  <si>
    <t>Activity.Mtkm.BE.Tr.Road.Freight.LCV.ICE.LPG</t>
  </si>
  <si>
    <t>Activity.Mtkm.BE.Tr.Road.Freight.LCV.ICE.NGas</t>
  </si>
  <si>
    <t>Activity.Mtkm.BE.Tr.Road.Freight.LCV.ICE.BEV</t>
  </si>
  <si>
    <t>Activity.Mtkm.BE.Tr.Road.Freight.HGV.Domestic</t>
  </si>
  <si>
    <t>Activity.Mtkm.BE.Tr.Road.Freight.HGV.International</t>
  </si>
  <si>
    <t>VehicleKm.Mkm.BE.Tr.Road</t>
  </si>
  <si>
    <t>VehicleKm.Mkm.BE.Tr.Road.Passenger</t>
  </si>
  <si>
    <t>VehicleKm.Mkm.BE.Tr.Road.Passenger.P2W</t>
  </si>
  <si>
    <t>VehicleKm.Mkm.BE.Tr.Road.Passenger.Car</t>
  </si>
  <si>
    <t>VehicleKm.Mkm.BE.Tr.Road.Passenger.Car.ICE.Gasoline</t>
  </si>
  <si>
    <t>VehicleKm.Mkm.BE.Tr.Road.Passenger.Car.ICE.Diesel</t>
  </si>
  <si>
    <t>VehicleKm.Mkm.BE.Tr.Road.Passenger.Car.ICE.LPG</t>
  </si>
  <si>
    <t>VehicleKm.Mkm.BE.Tr.Road.Passenger.Car.ICE.NGas</t>
  </si>
  <si>
    <t>VehicleKm.Mkm.BE.Tr.Road.Passenger.Car.PHEV</t>
  </si>
  <si>
    <t>VehicleKm.Mkm.BE.Tr.Road.Passenger.Car.BEV</t>
  </si>
  <si>
    <t>VehicleKm.Mkm.BE.Tr.Road.Passenger.Bus</t>
  </si>
  <si>
    <t>VehicleKm.Mkm.BE.Tr.Road.Passenger.Bus.ICE.Gasoline</t>
  </si>
  <si>
    <t>VehicleKm.Mkm.BE.Tr.Road.Passenger.Bus.ICE.Diesel</t>
  </si>
  <si>
    <t>VehicleKm.Mkm.BE.Tr.Road.Passenger.Bus.ICE.LPG</t>
  </si>
  <si>
    <t>VehicleKm.Mkm.BE.Tr.Road.Passenger.Bus.ICE.NGas</t>
  </si>
  <si>
    <t>VehicleKm.Mkm.BE.Tr.Road.Passenger.Bus.ICE.BEV</t>
  </si>
  <si>
    <t>VehicleKm.Mkm.BE.Tr.Road.Freight</t>
  </si>
  <si>
    <t>VehicleKm.Mkm.BE.Tr.Road.Freight.LCV</t>
  </si>
  <si>
    <t>VehicleKm.Mkm.BE.Tr.Road.Freight.LCV.ICE.Gasoline</t>
  </si>
  <si>
    <t>VehicleKm.Mkm.BE.Tr.Road.Freight.LCV.ICE.Diesel</t>
  </si>
  <si>
    <t>VehicleKm.Mkm.BE.Tr.Road.Freight.LCV.ICE.LPG</t>
  </si>
  <si>
    <t>VehicleKm.Mkm.BE.Tr.Road.Freight.LCV.ICE.NGas</t>
  </si>
  <si>
    <t>VehicleKm.Mkm.BE.Tr.Road.Freight.LCV.ICE.BEV</t>
  </si>
  <si>
    <t>VehicleKm.Mkm.BE.Tr.Road.Freight.HGV</t>
  </si>
  <si>
    <t>VehicleKm.Mkm.BE.Tr.Road.Freight.HGV.Domestic</t>
  </si>
  <si>
    <t>VehicleKm.Mkm.BE.Tr.Road.Freight.HGV.International</t>
  </si>
  <si>
    <t>Stock.number.BE.Tr.Road</t>
  </si>
  <si>
    <t>Stock.number.BE.Tr.Road.Passenger</t>
  </si>
  <si>
    <t>Stock.number.BE.Tr.Road.Passenger.P2W</t>
  </si>
  <si>
    <t>Stock.number.BE.Tr.Road.Passenger.Car</t>
  </si>
  <si>
    <t>Stock.number.BE.Tr.Road.Passenger.Car.ICE.Gasoline</t>
  </si>
  <si>
    <t>Stock.number.BE.Tr.Road.Passenger.Car.ICE.Diesel</t>
  </si>
  <si>
    <t>Stock.number.BE.Tr.Road.Passenger.Car.ICE.LPG</t>
  </si>
  <si>
    <t>Stock.number.BE.Tr.Road.Passenger.Car.ICE.NGas</t>
  </si>
  <si>
    <t>Stock.number.BE.Tr.Road.Passenger.Car.PHEV</t>
  </si>
  <si>
    <t>Stock.number.BE.Tr.Road.Passenger.Car.BEV</t>
  </si>
  <si>
    <t>Stock.number.BE.Tr.Road.Passenger.Bus</t>
  </si>
  <si>
    <t>Stock.number.BE.Tr.Road.Passenger.Bus.ICE.Gasoline</t>
  </si>
  <si>
    <t>Stock.number.BE.Tr.Road.Passenger.Bus.ICE.Diesel</t>
  </si>
  <si>
    <t>Stock.number.BE.Tr.Road.Passenger.Bus.ICE.LPG</t>
  </si>
  <si>
    <t>Stock.number.BE.Tr.Road.Passenger.Bus.ICE.NGas</t>
  </si>
  <si>
    <t>Stock.number.BE.Tr.Road.Passenger.Bus.ICE.BEV</t>
  </si>
  <si>
    <t>Stock.number.BE.Tr.Road.Freight</t>
  </si>
  <si>
    <t>Stock.number.BE.Tr.Road.Freight.LCV</t>
  </si>
  <si>
    <t>Stock.number.BE.Tr.Road.Freight.LCV.ICE.Gasoline</t>
  </si>
  <si>
    <t>Stock.number.BE.Tr.Road.Freight.LCV.ICE.Diesel</t>
  </si>
  <si>
    <t>Stock.number.BE.Tr.Road.Freight.LCV.ICE.LPG</t>
  </si>
  <si>
    <t>Stock.number.BE.Tr.Road.Freight.LCV.ICE.NGas</t>
  </si>
  <si>
    <t>Stock.number.BE.Tr.Road.Freight.LCV.ICE.BEV</t>
  </si>
  <si>
    <t>Stock.number.BE.Tr.Road.Freight.HGV</t>
  </si>
  <si>
    <t>Stock.number.BE.Tr.Road.Freight.HGV.Domestic</t>
  </si>
  <si>
    <t>Stock.number.BE.Tr.Road.Freight.HGV.International</t>
  </si>
  <si>
    <t>StockNew.number.BE.Tr.Road</t>
  </si>
  <si>
    <t>StockNew.number.BE.Tr.Road.Passenger</t>
  </si>
  <si>
    <t>StockNew.number.BE.Tr.Road.Passenger.P2W</t>
  </si>
  <si>
    <t>StockNew.number.BE.Tr.Road.Passenger.Car</t>
  </si>
  <si>
    <t>StockNew.number.BE.Tr.Road.Passenger.Car.ICE.Gasoline</t>
  </si>
  <si>
    <t>StockNew.number.BE.Tr.Road.Passenger.Car.ICE.Diesel</t>
  </si>
  <si>
    <t>StockNew.number.BE.Tr.Road.Passenger.Car.ICE.LPG</t>
  </si>
  <si>
    <t>StockNew.number.BE.Tr.Road.Passenger.Car.ICE.NGas</t>
  </si>
  <si>
    <t>StockNew.number.BE.Tr.Road.Passenger.Car.PHEV</t>
  </si>
  <si>
    <t>StockNew.number.BE.Tr.Road.Passenger.Car.BEV</t>
  </si>
  <si>
    <t>StockNew.number.BE.Tr.Road.Passenger.Bus</t>
  </si>
  <si>
    <t>StockNew.number.BE.Tr.Road.Passenger.Bus.ICE.Gasoline</t>
  </si>
  <si>
    <t>StockNew.number.BE.Tr.Road.Passenger.Bus.ICE.Diesel</t>
  </si>
  <si>
    <t>StockNew.number.BE.Tr.Road.Passenger.Bus.ICE.LPG</t>
  </si>
  <si>
    <t>StockNew.number.BE.Tr.Road.Passenger.Bus.ICE.NGas</t>
  </si>
  <si>
    <t>StockNew.number.BE.Tr.Road.Passenger.Bus.ICE.BEV</t>
  </si>
  <si>
    <t>StockNew.number.BE.Tr.Road.Freight</t>
  </si>
  <si>
    <t>StockNew.number.BE.Tr.Road.Freight.LCV</t>
  </si>
  <si>
    <t>StockNew.number.BE.Tr.Road.Freight.LCV.ICE.Gasoline</t>
  </si>
  <si>
    <t>StockNew.number.BE.Tr.Road.Freight.LCV.ICE.Diesel</t>
  </si>
  <si>
    <t>StockNew.number.BE.Tr.Road.Freight.LCV.ICE.LPG</t>
  </si>
  <si>
    <t>StockNew.number.BE.Tr.Road.Freight.LCV.ICE.NGas</t>
  </si>
  <si>
    <t>StockNew.number.BE.Tr.Road.Freight.LCV.ICE.BEV</t>
  </si>
  <si>
    <t>StockNew.number.BE.Tr.Road.Freight.HGV</t>
  </si>
  <si>
    <t>StockNew.number.BE.Tr.Road.Freight.HGV.Domestic</t>
  </si>
  <si>
    <t>StockNew.number.BE.Tr.Road.Freight.HGV.International</t>
  </si>
  <si>
    <t>Load.passenger_per_movement.BE.Tr.Road.Passenger</t>
  </si>
  <si>
    <t>Load.passenger_per_movement.BE.Tr.Road.Passenger.P2W</t>
  </si>
  <si>
    <t>Load.passenger_per_movement.BE.Tr.Road.Passenger.Car</t>
  </si>
  <si>
    <t>Load.passenger_per_movement.BE.Tr.Road.Passenger.Car.ICE.Gasoline</t>
  </si>
  <si>
    <t>Load.passenger_per_movement.BE.Tr.Road.Passenger.Car.ICE.Diesel</t>
  </si>
  <si>
    <t>Load.passenger_per_movement.BE.Tr.Road.Passenger.Car.ICE.LPG</t>
  </si>
  <si>
    <t>Load.passenger_per_movement.BE.Tr.Road.Passenger.Car.ICE.NGas</t>
  </si>
  <si>
    <t>Load.passenger_per_movement.BE.Tr.Road.Passenger.Car.PHEV</t>
  </si>
  <si>
    <t>Load.passenger_per_movement.BE.Tr.Road.Passenger.Car.BEV</t>
  </si>
  <si>
    <t>Load.passenger_per_movement.BE.Tr.Road.Passenger.Bus</t>
  </si>
  <si>
    <t>Load.passenger_per_movement.BE.Tr.Road.Passenger.Bus.ICE.Gasoline</t>
  </si>
  <si>
    <t>Load.passenger_per_movement.BE.Tr.Road.Passenger.Bus.ICE.Diesel</t>
  </si>
  <si>
    <t>Load.passenger_per_movement.BE.Tr.Road.Passenger.Bus.ICE.LPG</t>
  </si>
  <si>
    <t>Load.passenger_per_movement.BE.Tr.Road.Passenger.Bus.ICE.NGas</t>
  </si>
  <si>
    <t>Load.passenger_per_movement.BE.Tr.Road.Passenger.Bus.ICE.BEV</t>
  </si>
  <si>
    <t>Load.t_per_movement.BE.Tr.Road.Freight</t>
  </si>
  <si>
    <t>Load.t_per_movement.BE.Tr.Road.Freight.LCV</t>
  </si>
  <si>
    <t>Load.t_per_movement.BE.Tr.Road.Freight.LCV.ICE.Gasoline</t>
  </si>
  <si>
    <t>Load.t_per_movement.BE.Tr.Road.Freight.LCV.ICE.Diesel</t>
  </si>
  <si>
    <t>Load.t_per_movement.BE.Tr.Road.Freight.LCV.ICE.LPG</t>
  </si>
  <si>
    <t>Load.t_per_movement.BE.Tr.Road.Freight.LCV.ICE.NGas</t>
  </si>
  <si>
    <t>Load.t_per_movement.BE.Tr.Road.Freight.LCV.ICE.BEV</t>
  </si>
  <si>
    <t>Load.t_per_movement.BE.Tr.Road.Freight.HGV</t>
  </si>
  <si>
    <t>Load.t_per_movement.BE.Tr.Road.Freight.HGV.Domestic</t>
  </si>
  <si>
    <t>Load.t_per_movement.BE.Tr.Road.Freight.HGV.International</t>
  </si>
  <si>
    <t>VehicleKm_per_vehicle.km.BE.Tr.Road</t>
  </si>
  <si>
    <t>VehicleKm_per_vehicle.km.BE.Tr.Road.Passenger</t>
  </si>
  <si>
    <t>VehicleKm_per_vehicle.km.BE.Tr.Road.Passenger.P2W</t>
  </si>
  <si>
    <t>VehicleKm_per_vehicle.km.BE.Tr.Road.Passenger.Car</t>
  </si>
  <si>
    <t>VehicleKm_per_vehicle.km.BE.Tr.Road.Passenger.Car.ICE.Gasoline</t>
  </si>
  <si>
    <t>VehicleKm_per_vehicle.km.BE.Tr.Road.Passenger.Car.ICE.Diesel</t>
  </si>
  <si>
    <t>VehicleKm_per_vehicle.km.BE.Tr.Road.Passenger.Car.ICE.LPG</t>
  </si>
  <si>
    <t>VehicleKm_per_vehicle.km.BE.Tr.Road.Passenger.Car.ICE.NGas</t>
  </si>
  <si>
    <t>VehicleKm_per_vehicle.km.BE.Tr.Road.Passenger.Car.PHEV</t>
  </si>
  <si>
    <t>VehicleKm_per_vehicle.km.BE.Tr.Road.Passenger.Car.BEV</t>
  </si>
  <si>
    <t>VehicleKm_per_vehicle.km.BE.Tr.Road.Passenger.Bus</t>
  </si>
  <si>
    <t>VehicleKm_per_vehicle.km.BE.Tr.Road.Passenger.Bus.ICE.Gasoline</t>
  </si>
  <si>
    <t>VehicleKm_per_vehicle.km.BE.Tr.Road.Passenger.Bus.ICE.Diesel</t>
  </si>
  <si>
    <t>VehicleKm_per_vehicle.km.BE.Tr.Road.Passenger.Bus.ICE.LPG</t>
  </si>
  <si>
    <t>VehicleKm_per_vehicle.km.BE.Tr.Road.Passenger.Bus.ICE.NGas</t>
  </si>
  <si>
    <t>VehicleKm_per_vehicle.km.BE.Tr.Road.Passenger.Bus.ICE.BEV</t>
  </si>
  <si>
    <t>VehicleKm_per_vehicle.km.BE.Tr.Road.Freight</t>
  </si>
  <si>
    <t>VehicleKm_per_vehicle.km.BE.Tr.Road.Freight.LCV</t>
  </si>
  <si>
    <t>VehicleKm_per_vehicle.km.BE.Tr.Road.Freight.LCV.ICE.Gasoline</t>
  </si>
  <si>
    <t>VehicleKm_per_vehicle.km.BE.Tr.Road.Freight.LCV.ICE.Diesel</t>
  </si>
  <si>
    <t>VehicleKm_per_vehicle.km.BE.Tr.Road.Freight.LCV.ICE.LPG</t>
  </si>
  <si>
    <t>VehicleKm_per_vehicle.km.BE.Tr.Road.Freight.LCV.ICE.NGas</t>
  </si>
  <si>
    <t>VehicleKm_per_vehicle.km.BE.Tr.Road.Freight.LCV.ICE.BEV</t>
  </si>
  <si>
    <t>VehicleKm_per_vehicle.km.BE.Tr.Road.Freight.HGV</t>
  </si>
  <si>
    <t>VehicleKm_per_vehicle.km.BE.Tr.Road.Freight.HGV.Domestic</t>
  </si>
  <si>
    <t>VehicleKm_per_vehicle.km.BE.Tr.Road.Freight.HGV.International</t>
  </si>
  <si>
    <t>Activity_per_vehicle.pkm.BE.Tr.Road.Passenger</t>
  </si>
  <si>
    <t>Activity_per_vehicle.pkm.BE.Tr.Road.Passenger.P2W</t>
  </si>
  <si>
    <t>Activity_per_vehicle.pkm.BE.Tr.Road.Passenger.Car</t>
  </si>
  <si>
    <t>Activity_per_vehicle.pkm.BE.Tr.Road.Passenger.Car.ICE.Gasoline</t>
  </si>
  <si>
    <t>Activity_per_vehicle.pkm.BE.Tr.Road.Passenger.Car.ICE.Diesel</t>
  </si>
  <si>
    <t>Activity_per_vehicle.pkm.BE.Tr.Road.Passenger.Car.ICE.LPG</t>
  </si>
  <si>
    <t>Activity_per_vehicle.pkm.BE.Tr.Road.Passenger.Car.ICE.NGas</t>
  </si>
  <si>
    <t>Activity_per_vehicle.pkm.BE.Tr.Road.Passenger.Car.PHEV</t>
  </si>
  <si>
    <t>Activity_per_vehicle.pkm.BE.Tr.Road.Passenger.Car.BEV</t>
  </si>
  <si>
    <t>Activity_per_vehicle.pkm.BE.Tr.Road.Passenger.Bus</t>
  </si>
  <si>
    <t>Activity_per_vehicle.pkm.BE.Tr.Road.Passenger.Bus.ICE.Gasoline</t>
  </si>
  <si>
    <t>Activity_per_vehicle.pkm.BE.Tr.Road.Passenger.Bus.ICE.Diesel</t>
  </si>
  <si>
    <t>Activity_per_vehicle.pkm.BE.Tr.Road.Passenger.Bus.ICE.LPG</t>
  </si>
  <si>
    <t>Activity_per_vehicle.pkm.BE.Tr.Road.Passenger.Bus.ICE.NGas</t>
  </si>
  <si>
    <t>Activity_per_vehicle.pkm.BE.Tr.Road.Passenger.Bus.ICE.BEV</t>
  </si>
  <si>
    <t>Activity_per_vehicle.tkm.BE.Tr.Road.Freight</t>
  </si>
  <si>
    <t>Activity_per_vehicle.tkm.BE.Tr.Road.Freight.LCV</t>
  </si>
  <si>
    <t>Activity_per_vehicle.tkm.BE.Tr.Road.Freight.LCV.ICE.Gasoline</t>
  </si>
  <si>
    <t>Activity_per_vehicle.tkm.BE.Tr.Road.Freight.LCV.ICE.Diesel</t>
  </si>
  <si>
    <t>Activity_per_vehicle.tkm.BE.Tr.Road.Freight.LCV.ICE.LPG</t>
  </si>
  <si>
    <t>Activity_per_vehicle.tkm.BE.Tr.Road.Freight.LCV.ICE.NGas</t>
  </si>
  <si>
    <t>Activity_per_vehicle.tkm.BE.Tr.Road.Freight.LCV.ICE.BEV</t>
  </si>
  <si>
    <t>Activity_per_vehicle.tkm.BE.Tr.Road.Freight.HGV</t>
  </si>
  <si>
    <t>Activity_per_vehicle.tkm.BE.Tr.Road.Freight.HGV.Domestic</t>
  </si>
  <si>
    <t>Activity_per_vehicle.tkm.BE.Tr.Road.Freight.HGV.International</t>
  </si>
  <si>
    <t>Road transport / energy consumption - BE - Belgium</t>
  </si>
  <si>
    <t>FEC.ktoe.BE.ES.Tr.Road</t>
  </si>
  <si>
    <t>FEC.ktoe.BE.ES.Tr.Road.LPG</t>
  </si>
  <si>
    <t>FEC.ktoe.BE.ES.Tr.Road.Gasoline</t>
  </si>
  <si>
    <t>FEC.ktoe.BE.ES.Tr.Road.Diesel</t>
  </si>
  <si>
    <t>FEC.ktoe.BE.ES.Tr.Road.NG</t>
  </si>
  <si>
    <t>FEC.ktoe.BE.ES.Tr.Road.Biogas</t>
  </si>
  <si>
    <t>FEC.ktoe.BE.ES.Tr.Road.Biogasoline</t>
  </si>
  <si>
    <t>FEC.ktoe.BE.ES.Tr.Road.Biodiesel</t>
  </si>
  <si>
    <t>FEC.ktoe.BE.ES.Tr.Road.OthLiqBio</t>
  </si>
  <si>
    <t>FEC.ktoe.BE.ES.Tr.Road.Elec</t>
  </si>
  <si>
    <t>FEC.ktoe.BE.Tr.Road</t>
  </si>
  <si>
    <t>FEC.ktoe.BE.Tr.Road.Passenger.P2W.Biogasoline</t>
  </si>
  <si>
    <t>FEC.ktoe.BE.Tr.Road.Passenger.Car.ICE.Gasoline</t>
  </si>
  <si>
    <t>FEC.ktoe.BE.Tr.Road.Passenger.Car.ICE.Gasoline.Biogasoline</t>
  </si>
  <si>
    <t>FEC.ktoe.BE.Tr.Road.Passenger.Car.ICE.Diesel</t>
  </si>
  <si>
    <t>FEC.ktoe.BE.Tr.Road.Passenger.Car.ICE.Diesel.BioDiesel_OthLiqBio</t>
  </si>
  <si>
    <t>FEC.ktoe.BE.Tr.Road.Passenger.Car.ICE.LPG</t>
  </si>
  <si>
    <t>FEC.ktoe.BE.Tr.Road.Passenger.Car.ICE.NGas</t>
  </si>
  <si>
    <t>FEC.ktoe.BE.Tr.Road.Passenger.Car.ICE.NGas.Biogas</t>
  </si>
  <si>
    <t>FEC.ktoe.BE.Tr.Road.Passenger.Car.PHEV</t>
  </si>
  <si>
    <t>FEC.ktoe.BE.Tr.Road.Passenger.Car.PHEV.Biogasoline</t>
  </si>
  <si>
    <t>FEC.ktoe.BE.Tr.Road.Passenger.Car.PHEV.Elec</t>
  </si>
  <si>
    <t>FEC.ktoe.BE.Tr.Road.Passenger.Car.BEV</t>
  </si>
  <si>
    <t>FEC.ktoe.BE.Tr.Road.Passenger.Bus.ICE.Gasoline</t>
  </si>
  <si>
    <t>FEC.ktoe.BE.Tr.Road.Passenger.Bus.ICE.Gasoline.Biogasoline</t>
  </si>
  <si>
    <t>FEC.ktoe.BE.Tr.Road.Passenger.Bus.ICE.Diesel</t>
  </si>
  <si>
    <t>FEC.ktoe.BE.Tr.Road.Passenger.Bus.ICE.Diesel.BioDiesel_OthLiqBio</t>
  </si>
  <si>
    <t>FEC.ktoe.BE.Tr.Road.Passenger.Bus.ICE.LPG</t>
  </si>
  <si>
    <t>FEC.ktoe.BE.Tr.Road.Passenger.Bus.ICE.NGas</t>
  </si>
  <si>
    <t>FEC.ktoe.BE.Tr.Road.Passenger.Bus.ICE.NGas.Biogas</t>
  </si>
  <si>
    <t>FEC.ktoe.BE.Tr.Road.Passenger.Bus.ICE.BEV</t>
  </si>
  <si>
    <t>FEC.ktoe.BE.Tr.Road.Freight.LCV.ICE.Gasoline</t>
  </si>
  <si>
    <t>FEC.ktoe.BE.Tr.Road.Freight.LCV.ICE.Gasoline.Biogasoline</t>
  </si>
  <si>
    <t>FEC.ktoe.BE.Tr.Road.Freight.LCV.ICE.Diesel</t>
  </si>
  <si>
    <t>FEC.ktoe.BE.Tr.Road.Freight.LCV.ICE.Diesel.BioDiesel_OthLiqBio</t>
  </si>
  <si>
    <t>FEC.ktoe.BE.Tr.Road.Freight.LCV.ICE.LPG</t>
  </si>
  <si>
    <t>FEC.ktoe.BE.Tr.Road.Freight.LCV.ICE.NGas</t>
  </si>
  <si>
    <t>FEC.ktoe.BE.Tr.Road.Freight.LCV.ICE.NGas.Biogas</t>
  </si>
  <si>
    <t>FEC.ktoe.BE.Tr.Road.Freight.LCV.ICE.BEV</t>
  </si>
  <si>
    <t>FEC.ktoe.BE.Tr.Road.Freight.HGV.Domestic</t>
  </si>
  <si>
    <t>FEC.ktoe.BE.Tr.Road.Freight.HGV.Domestic.BioDiesel_OthLiqBio</t>
  </si>
  <si>
    <t>FEC.ktoe.BE.Tr.Road.Freight.HGV.International</t>
  </si>
  <si>
    <t>FEC.ktoe.BE.Tr.Road.Freight.HGV.International.BioDiesel_OthLiqBio</t>
  </si>
  <si>
    <t>Eff.kgoe_per_100km.BE.Tr.Road</t>
  </si>
  <si>
    <t>Eff.kgoe_per_100km.BE.Tr.Road.Passenger</t>
  </si>
  <si>
    <t>Eff.kgoe_per_100km.BE.Tr.Road.Passenger.P2W</t>
  </si>
  <si>
    <t>Eff.kgoe_per_100km.BE.Tr.Road.Passenger.Car</t>
  </si>
  <si>
    <t>Eff.kgoe_per_100km.BE.Tr.Road.Passenger.Car.ICE.Gasoline</t>
  </si>
  <si>
    <t>Eff.kgoe_per_100km.BE.Tr.Road.Passenger.Car.ICE.Diesel</t>
  </si>
  <si>
    <t>Eff.kgoe_per_100km.BE.Tr.Road.Passenger.Car.ICE.LPG</t>
  </si>
  <si>
    <t>Eff.kgoe_per_100km.BE.Tr.Road.Passenger.Car.ICE.NGas</t>
  </si>
  <si>
    <t>Eff.kgoe_per_100km.BE.Tr.Road.Passenger.Car.PHEV</t>
  </si>
  <si>
    <t>Eff.kgoe_per_100km.BE.Tr.Road.Passenger.Car.BEV</t>
  </si>
  <si>
    <t>Eff.kgoe_per_100km.BE.Tr.Road.Passenger.Bus</t>
  </si>
  <si>
    <t>Eff.kgoe_per_100km.BE.Tr.Road.Passenger.Bus.ICE.Gasoline</t>
  </si>
  <si>
    <t>Eff.kgoe_per_100km.BE.Tr.Road.Passenger.Bus.ICE.Diesel</t>
  </si>
  <si>
    <t>Eff.kgoe_per_100km.BE.Tr.Road.Passenger.Bus.ICE.LPG</t>
  </si>
  <si>
    <t>Eff.kgoe_per_100km.BE.Tr.Road.Passenger.Bus.ICE.NGas</t>
  </si>
  <si>
    <t>Eff.kgoe_per_100km.BE.Tr.Road.Passenger.Bus.ICE.BEV</t>
  </si>
  <si>
    <t>Eff.kgoe_per_100km.BE.Tr.Road.Freight</t>
  </si>
  <si>
    <t>Eff.kgoe_per_100km.BE.Tr.Road.Freight.LCV</t>
  </si>
  <si>
    <t>Eff.kgoe_per_100km.BE.Tr.Road.Freight.LCV.ICE.Gasoline</t>
  </si>
  <si>
    <t>Eff.kgoe_per_100km.BE.Tr.Road.Freight.LCV.ICE.Diesel</t>
  </si>
  <si>
    <t>Eff.kgoe_per_100km.BE.Tr.Road.Freight.LCV.ICE.LPG</t>
  </si>
  <si>
    <t>Eff.kgoe_per_100km.BE.Tr.Road.Freight.LCV.ICE.NGas</t>
  </si>
  <si>
    <t>Eff.kgoe_per_100km.BE.Tr.Road.Freight.LCV.ICE.BEV</t>
  </si>
  <si>
    <t>Eff.kgoe_per_100km.BE.Tr.Road.Freight.HGV</t>
  </si>
  <si>
    <t>Eff.kgoe_per_100km.BE.Tr.Road.Freight.HGV.Domestic</t>
  </si>
  <si>
    <t>Eff.kgoe_per_100km.BE.Tr.Road.Freight.HGV.International</t>
  </si>
  <si>
    <t>Eff.kgoe_per_kpkm.BE.Tr.Road.Passenger.Car.ICE.Gasoline</t>
  </si>
  <si>
    <t>Eff.kgoe_per_kpkm.BE.Tr.Road.Passenger.Car.ICE.Diesel</t>
  </si>
  <si>
    <t>Eff.kgoe_per_kpkm.BE.Tr.Road.Passenger.Car.ICE.LPG</t>
  </si>
  <si>
    <t>Eff.kgoe_per_kpkm.BE.Tr.Road.Passenger.Car.ICE.NGas</t>
  </si>
  <si>
    <t>Eff.kgoe_per_kpkm.BE.Tr.Road.Passenger.Car.PHEV</t>
  </si>
  <si>
    <t>Eff.kgoe_per_kpkm.BE.Tr.Road.Passenger.Car.BEV</t>
  </si>
  <si>
    <t>Eff.kgoe_per_kpkm.BE.Tr.Road.Passenger.Bus.ICE.Gasoline</t>
  </si>
  <si>
    <t>Eff.kgoe_per_kpkm.BE.Tr.Road.Passenger.Bus.ICE.Diesel</t>
  </si>
  <si>
    <t>Eff.kgoe_per_kpkm.BE.Tr.Road.Passenger.Bus.ICE.LPG</t>
  </si>
  <si>
    <t>Eff.kgoe_per_kpkm.BE.Tr.Road.Passenger.Bus.ICE.NGas</t>
  </si>
  <si>
    <t>Eff.kgoe_per_kpkm.BE.Tr.Road.Passenger.Bus.ICE.BEV</t>
  </si>
  <si>
    <t>Eff.kgoe_per_ktkm.BE.Tr.Road.Freight.LCV.ICE.Gasoline</t>
  </si>
  <si>
    <t>Eff.kgoe_per_ktkm.BE.Tr.Road.Freight.LCV.ICE.Diesel</t>
  </si>
  <si>
    <t>Eff.kgoe_per_ktkm.BE.Tr.Road.Freight.LCV.ICE.LPG</t>
  </si>
  <si>
    <t>Eff.kgoe_per_ktkm.BE.Tr.Road.Freight.LCV.ICE.NGas</t>
  </si>
  <si>
    <t>Eff.kgoe_per_ktkm.BE.Tr.Road.Freight.LCV.ICE.BEV</t>
  </si>
  <si>
    <t>Eff.kgoe_per_ktkm.BE.Tr.Road.Freight.HGV.Domestic</t>
  </si>
  <si>
    <t>Eff.kgoe_per_ktkm.BE.Tr.Road.Freight.HGV.International</t>
  </si>
  <si>
    <t>FEC_per_vehicle.kgoe.BE.Tr.Road.Passenger.P2W</t>
  </si>
  <si>
    <t>FEC_per_vehicle.kgoe.BE.Tr.Road.Passenger.Car</t>
  </si>
  <si>
    <t>FEC_per_vehicle.kgoe.BE.Tr.Road.Passenger.Car.ICE.Gasoline</t>
  </si>
  <si>
    <t>FEC_per_vehicle.kgoe.BE.Tr.Road.Passenger.Car.ICE.Diesel</t>
  </si>
  <si>
    <t>FEC_per_vehicle.kgoe.BE.Tr.Road.Passenger.Car.ICE.LPG</t>
  </si>
  <si>
    <t>FEC_per_vehicle.kgoe.BE.Tr.Road.Passenger.Car.ICE.NGas</t>
  </si>
  <si>
    <t>FEC_per_vehicle.kgoe.BE.Tr.Road.Passenger.Car.PHEV</t>
  </si>
  <si>
    <t>FEC_per_vehicle.kgoe.BE.Tr.Road.Passenger.Car.BEV</t>
  </si>
  <si>
    <t>FEC_per_vehicle.kgoe.BE.Tr.Road.Passenger.Bus</t>
  </si>
  <si>
    <t>FEC_per_vehicle.kgoe.BE.Tr.Road.Passenger.Bus.ICE.Gasoline</t>
  </si>
  <si>
    <t>FEC_per_vehicle.kgoe.BE.Tr.Road.Passenger.Bus.ICE.Diesel</t>
  </si>
  <si>
    <t>FEC_per_vehicle.kgoe.BE.Tr.Road.Passenger.Bus.ICE.LPG</t>
  </si>
  <si>
    <t>FEC_per_vehicle.kgoe.BE.Tr.Road.Passenger.Bus.ICE.NGas</t>
  </si>
  <si>
    <t>FEC_per_vehicle.kgoe.BE.Tr.Road.Passenger.Bus.ICE.BEV</t>
  </si>
  <si>
    <t>FEC_per_vehicle.kgoe.BE.Tr.Road.Freight.LCV</t>
  </si>
  <si>
    <t>FEC_per_vehicle.kgoe.BE.Tr.Road.Freight.LCV.ICE.Gasoline</t>
  </si>
  <si>
    <t>FEC_per_vehicle.kgoe.BE.Tr.Road.Freight.LCV.ICE.Diesel</t>
  </si>
  <si>
    <t>FEC_per_vehicle.kgoe.BE.Tr.Road.Freight.LCV.ICE.LPG</t>
  </si>
  <si>
    <t>FEC_per_vehicle.kgoe.BE.Tr.Road.Freight.LCV.ICE.NGas</t>
  </si>
  <si>
    <t>FEC_per_vehicle.kgoe.BE.Tr.Road.Freight.LCV.ICE.BEV</t>
  </si>
  <si>
    <t>FEC_per_vehicle.kgoe.BE.Tr.Road.Freight.HGV</t>
  </si>
  <si>
    <t>FEC_per_vehicle.kgoe.BE.Tr.Road.Freight.HGV.Domestic</t>
  </si>
  <si>
    <t>FEC_per_vehicle.kgoe.BE.Tr.Road.Freight.HGV.International</t>
  </si>
  <si>
    <t>Road transport / CO2 emissions - BE - Belgium</t>
  </si>
  <si>
    <t>EMI.ktCO2.BE.ES.Tr.Road</t>
  </si>
  <si>
    <t>EMI.ktCO2.BE.ES.Tr.Road.LPG</t>
  </si>
  <si>
    <t>EMI.ktCO2.BE.ES.Tr.Road.Gasoline</t>
  </si>
  <si>
    <t>EMI.ktCO2.BE.ES.Tr.Road.Diesel</t>
  </si>
  <si>
    <t>EMI.ktCO2.BE.ES.Tr.Road.NG</t>
  </si>
  <si>
    <t>EMI.ktCO2.BE.ES.Tr.Road.Biogas</t>
  </si>
  <si>
    <t>EMI.ktCO2.BE.ES.Tr.Road.Biogasoline</t>
  </si>
  <si>
    <t>EMI.ktCO2.BE.ES.Tr.Road.Biodiesel</t>
  </si>
  <si>
    <t>EMI.ktCO2.BE.ES.Tr.Road.OthLiqBio</t>
  </si>
  <si>
    <t>EMI.ktCO2.BE.ES.Tr.Road.Elec</t>
  </si>
  <si>
    <t>EMI.ktCO2.BE.Tr.Road</t>
  </si>
  <si>
    <t>EMI.ktCO2.BE.Tr.Road.Passenger.Car.ICE.Gasoline</t>
  </si>
  <si>
    <t>EMI.ktCO2.BE.Tr.Road.Passenger.Car.ICE.Diesel</t>
  </si>
  <si>
    <t>EMI.ktCO2.BE.Tr.Road.Passenger.Car.ICE.LPG</t>
  </si>
  <si>
    <t>EMI.ktCO2.BE.Tr.Road.Passenger.Car.ICE.NGas</t>
  </si>
  <si>
    <t>EMI.ktCO2.BE.Tr.Road.Passenger.Car.PHEV</t>
  </si>
  <si>
    <t>EMI.ktCO2.BE.Tr.Road.Passenger.Car.BEV</t>
  </si>
  <si>
    <t>EMI.ktCO2.BE.Tr.Road.Passenger.Bus.ICE.Gasoline</t>
  </si>
  <si>
    <t>EMI.ktCO2.BE.Tr.Road.Passenger.Bus.ICE.Diesel</t>
  </si>
  <si>
    <t>EMI.ktCO2.BE.Tr.Road.Passenger.Bus.ICE.LPG</t>
  </si>
  <si>
    <t>EMI.ktCO2.BE.Tr.Road.Passenger.Bus.ICE.NGas</t>
  </si>
  <si>
    <t>EMI.ktCO2.BE.Tr.Road.Passenger.Bus.ICE.BEV</t>
  </si>
  <si>
    <t>EMI.ktCO2.BE.Tr.Road.Freight.LCV.ICE.Gasoline</t>
  </si>
  <si>
    <t>EMI.ktCO2.BE.Tr.Road.Freight.LCV.ICE.Diesel</t>
  </si>
  <si>
    <t>EMI.ktCO2.BE.Tr.Road.Freight.LCV.ICE.LPG</t>
  </si>
  <si>
    <t>EMI.ktCO2.BE.Tr.Road.Freight.LCV.ICE.NGas</t>
  </si>
  <si>
    <t>EMI.ktCO2.BE.Tr.Road.Freight.LCV.ICE.BEV</t>
  </si>
  <si>
    <t>EMI.ktCO2.BE.Tr.Road.Freight.HGV.Domestic</t>
  </si>
  <si>
    <t>EMI.ktCO2.BE.Tr.Road.Freight.HGV.International</t>
  </si>
  <si>
    <t>EMIint.gCO2_per_km.BE.Tr.Road</t>
  </si>
  <si>
    <t>EMIint.gCO2_per_km.BE.Tr.Road.Passenger</t>
  </si>
  <si>
    <t>EMIint.gCO2_per_km.BE.Tr.Road.Passenger.P2W</t>
  </si>
  <si>
    <t>EMIint.gCO2_per_km.BE.Tr.Road.Passenger.Car</t>
  </si>
  <si>
    <t>EMIint.gCO2_per_km.BE.Tr.Road.Passenger.Car.ICE.Gasoline</t>
  </si>
  <si>
    <t>EMIint.gCO2_per_km.BE.Tr.Road.Passenger.Car.ICE.Diesel</t>
  </si>
  <si>
    <t>EMIint.gCO2_per_km.BE.Tr.Road.Passenger.Car.ICE.LPG</t>
  </si>
  <si>
    <t>EMIint.gCO2_per_km.BE.Tr.Road.Passenger.Car.ICE.NGas</t>
  </si>
  <si>
    <t>EMIint.gCO2_per_km.BE.Tr.Road.Passenger.Car.PHEV</t>
  </si>
  <si>
    <t>EMIint.gCO2_per_km.BE.Tr.Road.Passenger.Car.BEV</t>
  </si>
  <si>
    <t>EMIint.gCO2_per_km.BE.Tr.Road.Passenger.Bus</t>
  </si>
  <si>
    <t>EMIint.gCO2_per_km.BE.Tr.Road.Passenger.Bus.ICE.Gasoline</t>
  </si>
  <si>
    <t>EMIint.gCO2_per_km.BE.Tr.Road.Passenger.Bus.ICE.Diesel</t>
  </si>
  <si>
    <t>EMIint.gCO2_per_km.BE.Tr.Road.Passenger.Bus.ICE.LPG</t>
  </si>
  <si>
    <t>EMIint.gCO2_per_km.BE.Tr.Road.Passenger.Bus.ICE.NGas</t>
  </si>
  <si>
    <t>EMIint.gCO2_per_km.BE.Tr.Road.Passenger.Bus.ICE.BEV</t>
  </si>
  <si>
    <t>EMIint.gCO2_per_km.BE.Tr.Road.Freight</t>
  </si>
  <si>
    <t>EMIint.gCO2_per_km.BE.Tr.Road.Freight.LCV</t>
  </si>
  <si>
    <t>EMIint.gCO2_per_km.BE.Tr.Road.Freight.LCV.ICE.Gasoline</t>
  </si>
  <si>
    <t>EMIint.gCO2_per_km.BE.Tr.Road.Freight.LCV.ICE.Diesel</t>
  </si>
  <si>
    <t>EMIint.gCO2_per_km.BE.Tr.Road.Freight.LCV.ICE.LPG</t>
  </si>
  <si>
    <t>EMIint.gCO2_per_km.BE.Tr.Road.Freight.LCV.ICE.NGas</t>
  </si>
  <si>
    <t>EMIint.gCO2_per_km.BE.Tr.Road.Freight.LCV.ICE.BEV</t>
  </si>
  <si>
    <t>EMIint.gCO2_per_km.BE.Tr.Road.Freight.HGV</t>
  </si>
  <si>
    <t>EMIint.gCO2_per_km.BE.Tr.Road.Freight.HGV.Domestic</t>
  </si>
  <si>
    <t>EMIint.gCO2_per_km.BE.Tr.Road.Freight.HGV.International</t>
  </si>
  <si>
    <t>EMIint.gCO2_per_pkm.BE.Tr.Road.Passenger.Car.ICE.Gasoline</t>
  </si>
  <si>
    <t>EMIint.gCO2_per_pkm.BE.Tr.Road.Passenger.Car.ICE.Diesel</t>
  </si>
  <si>
    <t>EMIint.gCO2_per_pkm.BE.Tr.Road.Passenger.Car.ICE.LPG</t>
  </si>
  <si>
    <t>EMIint.gCO2_per_pkm.BE.Tr.Road.Passenger.Car.ICE.NGas</t>
  </si>
  <si>
    <t>EMIint.gCO2_per_pkm.BE.Tr.Road.Passenger.Car.PHEV</t>
  </si>
  <si>
    <t>EMIint.gCO2_per_pkm.BE.Tr.Road.Passenger.Car.BEV</t>
  </si>
  <si>
    <t>EMIint.gCO2_per_pkm.BE.Tr.Road.Passenger.Bus.ICE.Gasoline</t>
  </si>
  <si>
    <t>EMIint.gCO2_per_pkm.BE.Tr.Road.Passenger.Bus.ICE.Diesel</t>
  </si>
  <si>
    <t>EMIint.gCO2_per_pkm.BE.Tr.Road.Passenger.Bus.ICE.LPG</t>
  </si>
  <si>
    <t>EMIint.gCO2_per_pkm.BE.Tr.Road.Passenger.Bus.ICE.NGas</t>
  </si>
  <si>
    <t>EMIint.gCO2_per_pkm.BE.Tr.Road.Passenger.Bus.ICE.BEV</t>
  </si>
  <si>
    <t>EMIint.gCO2_per_tkm.BE.Tr.Road.Freight.LCV.ICE.Gasoline</t>
  </si>
  <si>
    <t>EMIint.gCO2_per_tkm.BE.Tr.Road.Freight.LCV.ICE.Diesel</t>
  </si>
  <si>
    <t>EMIint.gCO2_per_tkm.BE.Tr.Road.Freight.LCV.ICE.LPG</t>
  </si>
  <si>
    <t>EMIint.gCO2_per_tkm.BE.Tr.Road.Freight.LCV.ICE.NGas</t>
  </si>
  <si>
    <t>EMIint.gCO2_per_tkm.BE.Tr.Road.Freight.LCV.ICE.BEV</t>
  </si>
  <si>
    <t>EMIint.gCO2_per_tkm.BE.Tr.Road.Freight.HGV.Domestic</t>
  </si>
  <si>
    <t>EMIint.gCO2_per_tkm.BE.Tr.Road.Freight.HGV.International</t>
  </si>
  <si>
    <t>EMI_per_vehicle.kgCO2.BE.Tr.Road.Passenger.P2W</t>
  </si>
  <si>
    <t>EMI_per_vehicle.kgCO2.BE.Tr.Road.Passenger.Car</t>
  </si>
  <si>
    <t>EMI_per_vehicle.kgCO2.BE.Tr.Road.Passenger.Car.ICE.Gasoline</t>
  </si>
  <si>
    <t>EMI_per_vehicle.kgCO2.BE.Tr.Road.Passenger.Car.ICE.Diesel</t>
  </si>
  <si>
    <t>EMI_per_vehicle.kgCO2.BE.Tr.Road.Passenger.Car.ICE.LPG</t>
  </si>
  <si>
    <t>EMI_per_vehicle.kgCO2.BE.Tr.Road.Passenger.Car.ICE.NGas</t>
  </si>
  <si>
    <t>EMI_per_vehicle.kgCO2.BE.Tr.Road.Passenger.Car.PHEV</t>
  </si>
  <si>
    <t>EMI_per_vehicle.kgCO2.BE.Tr.Road.Passenger.Car.BEV</t>
  </si>
  <si>
    <t>EMI_per_vehicle.kgCO2.BE.Tr.Road.Passenger.Bus</t>
  </si>
  <si>
    <t>EMI_per_vehicle.kgCO2.BE.Tr.Road.Passenger.Bus.ICE.Gasoline</t>
  </si>
  <si>
    <t>EMI_per_vehicle.kgCO2.BE.Tr.Road.Passenger.Bus.ICE.Diesel</t>
  </si>
  <si>
    <t>EMI_per_vehicle.kgCO2.BE.Tr.Road.Passenger.Bus.ICE.LPG</t>
  </si>
  <si>
    <t>EMI_per_vehicle.kgCO2.BE.Tr.Road.Passenger.Bus.ICE.NGas</t>
  </si>
  <si>
    <t>EMI_per_vehicle.kgCO2.BE.Tr.Road.Passenger.Bus.ICE.BEV</t>
  </si>
  <si>
    <t>EMI_per_vehicle.kgCO2.BE.Tr.Road.Freight.LCV</t>
  </si>
  <si>
    <t>EMI_per_vehicle.kgCO2.BE.Tr.Road.Freight.LCV.ICE.Gasoline</t>
  </si>
  <si>
    <t>EMI_per_vehicle.kgCO2.BE.Tr.Road.Freight.LCV.ICE.Diesel</t>
  </si>
  <si>
    <t>EMI_per_vehicle.kgCO2.BE.Tr.Road.Freight.LCV.ICE.LPG</t>
  </si>
  <si>
    <t>EMI_per_vehicle.kgCO2.BE.Tr.Road.Freight.LCV.ICE.NGas</t>
  </si>
  <si>
    <t>EMI_per_vehicle.kgCO2.BE.Tr.Road.Freight.LCV.ICE.BEV</t>
  </si>
  <si>
    <t>EMI_per_vehicle.kgCO2.BE.Tr.Road.Freight.HGV</t>
  </si>
  <si>
    <t>EMI_per_vehicle.kgCO2.BE.Tr.Road.Freight.HGV.Domestic</t>
  </si>
  <si>
    <t>EMI_per_vehicle.kgCO2.BE.Tr.Road.Freight.HGV.International</t>
  </si>
  <si>
    <t>Road transport / technologies - BE - Belgium</t>
  </si>
  <si>
    <t>StockVin.number.BE.Tr.Road</t>
  </si>
  <si>
    <t>StockVin.number.BE.Tr.Road.Passenger</t>
  </si>
  <si>
    <t>StockVin.number.BE.Tr.Road.Passenger.P2W</t>
  </si>
  <si>
    <t>StockVin.number.BE.Tr.Road.Passenger.Car</t>
  </si>
  <si>
    <t>StockVin.number.BE.Tr.Road.Passenger.Car.ICE.Gasoline</t>
  </si>
  <si>
    <t>StockVin.number.BE.Tr.Road.Passenger.Car.ICE.Diesel</t>
  </si>
  <si>
    <t>StockVin.number.BE.Tr.Road.Passenger.Car.ICE.LPG</t>
  </si>
  <si>
    <t>StockVin.number.BE.Tr.Road.Passenger.Car.ICE.NGas</t>
  </si>
  <si>
    <t>StockVin.number.BE.Tr.Road.Passenger.Car.PHEV</t>
  </si>
  <si>
    <t>StockVin.number.BE.Tr.Road.Passenger.Car.BEV</t>
  </si>
  <si>
    <t>StockVin.number.BE.Tr.Road.Passenger.Bus</t>
  </si>
  <si>
    <t>StockVin.number.BE.Tr.Road.Passenger.Bus.ICE.Gasoline</t>
  </si>
  <si>
    <t>StockVin.number.BE.Tr.Road.Passenger.Bus.ICE.Diesel</t>
  </si>
  <si>
    <t>StockVin.number.BE.Tr.Road.Passenger.Bus.ICE.LPG</t>
  </si>
  <si>
    <t>StockVin.number.BE.Tr.Road.Passenger.Bus.ICE.NGas</t>
  </si>
  <si>
    <t>StockVin.number.BE.Tr.Road.Passenger.Bus.ICE.BEV</t>
  </si>
  <si>
    <t>StockVin.number.BE.Tr.Road.Freight</t>
  </si>
  <si>
    <t>StockVin.number.BE.Tr.Road.Freight.LCV</t>
  </si>
  <si>
    <t>StockVin.number.BE.Tr.Road.Freight.LCV.ICE.Gasoline</t>
  </si>
  <si>
    <t>StockVin.number.BE.Tr.Road.Freight.LCV.ICE.Diesel</t>
  </si>
  <si>
    <t>StockVin.number.BE.Tr.Road.Freight.LCV.ICE.LPG</t>
  </si>
  <si>
    <t>StockVin.number.BE.Tr.Road.Freight.LCV.ICE.NGas</t>
  </si>
  <si>
    <t>StockVin.number.BE.Tr.Road.Freight.LCV.ICE.BEV</t>
  </si>
  <si>
    <t>StockVin.number.BE.Tr.Road.Freight.HGV</t>
  </si>
  <si>
    <t>StockVin.number.BE.Tr.Road.Freight.HGV.Domestic</t>
  </si>
  <si>
    <t>StockVin.number.BE.Tr.Road.Freight.HGV.International</t>
  </si>
  <si>
    <t>Eff_test_stock.kgoe_per_100km.BE.Tr.Road.Passenger.P2W</t>
  </si>
  <si>
    <t>Eff_test_stock.kgoe_per_100km.BE.Tr.Road.Passenger.Car</t>
  </si>
  <si>
    <t>Eff_test_stock.kgoe_per_100km.BE.Tr.Road.Passenger.Car.ICE.Gasoline</t>
  </si>
  <si>
    <t>Eff_test_stock.kgoe_per_100km.BE.Tr.Road.Passenger.Car.ICE.Diesel</t>
  </si>
  <si>
    <t>Eff_test_stock.kgoe_per_100km.BE.Tr.Road.Passenger.Car.ICE.LPG</t>
  </si>
  <si>
    <t>Eff_test_stock.kgoe_per_100km.BE.Tr.Road.Passenger.Car.ICE.NGas</t>
  </si>
  <si>
    <t>Eff_test_stock.kgoe_per_100km.BE.Tr.Road.Passenger.Car.PHEV</t>
  </si>
  <si>
    <t>Eff_test_stock.kgoe_per_100km.BE.Tr.Road.Passenger.Car.BEV</t>
  </si>
  <si>
    <t>Eff_test_stock.kgoe_per_100km.BE.Tr.Road.Passenger.Bus</t>
  </si>
  <si>
    <t>Eff_test_stock.kgoe_per_100km.BE.Tr.Road.Passenger.Bus.ICE.Gasoline</t>
  </si>
  <si>
    <t>Eff_test_stock.kgoe_per_100km.BE.Tr.Road.Passenger.Bus.ICE.Diesel</t>
  </si>
  <si>
    <t>Eff_test_stock.kgoe_per_100km.BE.Tr.Road.Passenger.Bus.ICE.LPG</t>
  </si>
  <si>
    <t>Eff_test_stock.kgoe_per_100km.BE.Tr.Road.Passenger.Bus.ICE.NGas</t>
  </si>
  <si>
    <t>Eff_test_stock.kgoe_per_100km.BE.Tr.Road.Passenger.Bus.ICE.BEV</t>
  </si>
  <si>
    <t>Eff_test_stock.kgoe_per_100km.BE.Tr.Road.Freight.LCV</t>
  </si>
  <si>
    <t>Eff_test_stock.kgoe_per_100km.BE.Tr.Road.Freight.LCV.ICE.Gasoline</t>
  </si>
  <si>
    <t>Eff_test_stock.kgoe_per_100km.BE.Tr.Road.Freight.LCV.ICE.Diesel</t>
  </si>
  <si>
    <t>Eff_test_stock.kgoe_per_100km.BE.Tr.Road.Freight.LCV.ICE.LPG</t>
  </si>
  <si>
    <t>Eff_test_stock.kgoe_per_100km.BE.Tr.Road.Freight.LCV.ICE.NGas</t>
  </si>
  <si>
    <t>Eff_test_stock.kgoe_per_100km.BE.Tr.Road.Freight.LCV.ICE.BEV</t>
  </si>
  <si>
    <t>Eff_test_stock.kgoe_per_100km.BE.Tr.Road.Freight.HGV</t>
  </si>
  <si>
    <t>Eff_test_stock.kgoe_per_100km.BE.Tr.Road.Freight.HGV.Domestic</t>
  </si>
  <si>
    <t>Eff_test_stock.kgoe_per_100km.BE.Tr.Road.Freight.HGV.International</t>
  </si>
  <si>
    <t>Eff_test_new.kgoe_per_100km.BE.Tr.Road.Passenger.P2W</t>
  </si>
  <si>
    <t>Eff_test_new.kgoe_per_100km.BE.Tr.Road.Passenger.Car</t>
  </si>
  <si>
    <t>Eff_test_new.kgoe_per_100km.BE.Tr.Road.Passenger.Car.ICE.Gasoline</t>
  </si>
  <si>
    <t>Eff_test_new.kgoe_per_100km.BE.Tr.Road.Passenger.Car.ICE.Diesel</t>
  </si>
  <si>
    <t>Eff_test_new.kgoe_per_100km.BE.Tr.Road.Passenger.Car.ICE.LPG</t>
  </si>
  <si>
    <t>Eff_test_new.kgoe_per_100km.BE.Tr.Road.Passenger.Car.ICE.NGas</t>
  </si>
  <si>
    <t>Eff_test_new.kgoe_per_100km.BE.Tr.Road.Passenger.Car.PHEV</t>
  </si>
  <si>
    <t>Eff_test_new.kgoe_per_100km.BE.Tr.Road.Passenger.Car.BEV</t>
  </si>
  <si>
    <t>Eff_test_new.kgoe_per_100km.BE.Tr.Road.Passenger.Bus</t>
  </si>
  <si>
    <t>Eff_test_new.kgoe_per_100km.BE.Tr.Road.Passenger.Bus.ICE.Gasoline</t>
  </si>
  <si>
    <t>Eff_test_new.kgoe_per_100km.BE.Tr.Road.Passenger.Bus.ICE.Diesel</t>
  </si>
  <si>
    <t>Eff_test_new.kgoe_per_100km.BE.Tr.Road.Passenger.Bus.ICE.LPG</t>
  </si>
  <si>
    <t>Eff_test_new.kgoe_per_100km.BE.Tr.Road.Passenger.Bus.ICE.NGas</t>
  </si>
  <si>
    <t>Eff_test_new.kgoe_per_100km.BE.Tr.Road.Passenger.Bus.ICE.BEV</t>
  </si>
  <si>
    <t>Eff_test_new.kgoe_per_100km.BE.Tr.Road.Freight.LCV</t>
  </si>
  <si>
    <t>Eff_test_new.kgoe_per_100km.BE.Tr.Road.Freight.LCV.ICE.Gasoline</t>
  </si>
  <si>
    <t>Eff_test_new.kgoe_per_100km.BE.Tr.Road.Freight.LCV.ICE.Diesel</t>
  </si>
  <si>
    <t>Eff_test_new.kgoe_per_100km.BE.Tr.Road.Freight.LCV.ICE.LPG</t>
  </si>
  <si>
    <t>Eff_test_new.kgoe_per_100km.BE.Tr.Road.Freight.LCV.ICE.NGas</t>
  </si>
  <si>
    <t>Eff_test_new.kgoe_per_100km.BE.Tr.Road.Freight.LCV.ICE.BEV</t>
  </si>
  <si>
    <t>Eff_test_new.kgoe_per_100km.BE.Tr.Road.Freight.HGV</t>
  </si>
  <si>
    <t>Eff_test_new.kgoe_per_100km.BE.Tr.Road.Freight.HGV.Domestic</t>
  </si>
  <si>
    <t>Eff_test_new.kgoe_per_100km.BE.Tr.Road.Freight.HGV.International</t>
  </si>
  <si>
    <t>EMIint_test_stock.gCO2_per_km.BE.Tr.Road.Passenger.P2W</t>
  </si>
  <si>
    <t>EMIint_test_stock.gCO2_per_km.BE.Tr.Road.Passenger.Car</t>
  </si>
  <si>
    <t>EMIint_test_stock.gCO2_per_km.BE.Tr.Road.Passenger.Car.ICE.Gasoline</t>
  </si>
  <si>
    <t>EMIint_test_stock.gCO2_per_km.BE.Tr.Road.Passenger.Car.ICE.Diesel</t>
  </si>
  <si>
    <t>EMIint_test_stock.gCO2_per_km.BE.Tr.Road.Passenger.Car.ICE.LPG</t>
  </si>
  <si>
    <t>EMIint_test_stock.gCO2_per_km.BE.Tr.Road.Passenger.Car.ICE.NGas</t>
  </si>
  <si>
    <t>EMIint_test_stock.gCO2_per_km.BE.Tr.Road.Passenger.Car.PHEV</t>
  </si>
  <si>
    <t>EMIint_test_stock.gCO2_per_km.BE.Tr.Road.Passenger.Car.BEV</t>
  </si>
  <si>
    <t>EMIint_test_stock.gCO2_per_km.BE.Tr.Road.Passenger.Bus</t>
  </si>
  <si>
    <t>EMIint_test_stock.gCO2_per_km.BE.Tr.Road.Passenger.Bus.ICE.Gasoline</t>
  </si>
  <si>
    <t>EMIint_test_stock.gCO2_per_km.BE.Tr.Road.Passenger.Bus.ICE.Diesel</t>
  </si>
  <si>
    <t>EMIint_test_stock.gCO2_per_km.BE.Tr.Road.Passenger.Bus.ICE.LPG</t>
  </si>
  <si>
    <t>EMIint_test_stock.gCO2_per_km.BE.Tr.Road.Passenger.Bus.ICE.NGas</t>
  </si>
  <si>
    <t>EMIint_test_stock.gCO2_per_km.BE.Tr.Road.Passenger.Bus.ICE.BEV</t>
  </si>
  <si>
    <t>EMIint_test_stock.gCO2_per_km.BE.Tr.Road.Freight.LCV</t>
  </si>
  <si>
    <t>EMIint_test_stock.gCO2_per_km.BE.Tr.Road.Freight.LCV.ICE.Gasoline</t>
  </si>
  <si>
    <t>EMIint_test_stock.gCO2_per_km.BE.Tr.Road.Freight.LCV.ICE.Diesel</t>
  </si>
  <si>
    <t>EMIint_test_stock.gCO2_per_km.BE.Tr.Road.Freight.LCV.ICE.LPG</t>
  </si>
  <si>
    <t>EMIint_test_stock.gCO2_per_km.BE.Tr.Road.Freight.LCV.ICE.NGas</t>
  </si>
  <si>
    <t>EMIint_test_stock.gCO2_per_km.BE.Tr.Road.Freight.LCV.ICE.BEV</t>
  </si>
  <si>
    <t>EMIint_test_stock.gCO2_per_km.BE.Tr.Road.Freight.HGV</t>
  </si>
  <si>
    <t>EMIint_test_stock.gCO2_per_km.BE.Tr.Road.Freight.HGV.Domestic</t>
  </si>
  <si>
    <t>EMIint_test_stock.gCO2_per_km.BE.Tr.Road.Freight.HGV.International</t>
  </si>
  <si>
    <t>EMIint_test_new.gCO2_per_km.BE.Tr.Road.Passenger.P2W</t>
  </si>
  <si>
    <t>EMIint_test_new.gCO2_per_km.BE.Tr.Road.Passenger.Car</t>
  </si>
  <si>
    <t>EMIint_test_new.gCO2_per_km.BE.Tr.Road.Passenger.Car.ICE.Gasoline</t>
  </si>
  <si>
    <t>EMIint_test_new.gCO2_per_km.BE.Tr.Road.Passenger.Car.ICE.Diesel</t>
  </si>
  <si>
    <t>EMIint_test_new.gCO2_per_km.BE.Tr.Road.Passenger.Car.ICE.LPG</t>
  </si>
  <si>
    <t>EMIint_test_new.gCO2_per_km.BE.Tr.Road.Passenger.Car.ICE.NGas</t>
  </si>
  <si>
    <t>EMIint_test_new.gCO2_per_km.BE.Tr.Road.Passenger.Car.PHEV</t>
  </si>
  <si>
    <t>EMIint_test_new.gCO2_per_km.BE.Tr.Road.Passenger.Car.BEV</t>
  </si>
  <si>
    <t>EMIint_test_new.gCO2_per_km.BE.Tr.Road.Passenger.Bus</t>
  </si>
  <si>
    <t>EMIint_test_new.gCO2_per_km.BE.Tr.Road.Passenger.Bus.ICE.Gasoline</t>
  </si>
  <si>
    <t>EMIint_test_new.gCO2_per_km.BE.Tr.Road.Passenger.Bus.ICE.Diesel</t>
  </si>
  <si>
    <t>EMIint_test_new.gCO2_per_km.BE.Tr.Road.Passenger.Bus.ICE.LPG</t>
  </si>
  <si>
    <t>EMIint_test_new.gCO2_per_km.BE.Tr.Road.Passenger.Bus.ICE.NGas</t>
  </si>
  <si>
    <t>EMIint_test_new.gCO2_per_km.BE.Tr.Road.Passenger.Bus.ICE.BEV</t>
  </si>
  <si>
    <t>EMIint_test_new.gCO2_per_km.BE.Tr.Road.Freight.LCV</t>
  </si>
  <si>
    <t>EMIint_test_new.gCO2_per_km.BE.Tr.Road.Freight.LCV.ICE.Gasoline</t>
  </si>
  <si>
    <t>EMIint_test_new.gCO2_per_km.BE.Tr.Road.Freight.LCV.ICE.Diesel</t>
  </si>
  <si>
    <t>EMIint_test_new.gCO2_per_km.BE.Tr.Road.Freight.LCV.ICE.LPG</t>
  </si>
  <si>
    <t>EMIint_test_new.gCO2_per_km.BE.Tr.Road.Freight.LCV.ICE.NGas</t>
  </si>
  <si>
    <t>EMIint_test_new.gCO2_per_km.BE.Tr.Road.Freight.LCV.ICE.BEV</t>
  </si>
  <si>
    <t>EMIint_test_new.gCO2_per_km.BE.Tr.Road.Freight.HGV</t>
  </si>
  <si>
    <t>EMIint_test_new.gCO2_per_km.BE.Tr.Road.Freight.HGV.Domestic</t>
  </si>
  <si>
    <t>EMIint_test_new.gCO2_per_km.BE.Tr.Road.Freight.HGV.International</t>
  </si>
  <si>
    <t>FEC.ktoe.BE.MBunk</t>
  </si>
  <si>
    <t>FEC.ktoe.BE.MBunk.IntraEEA</t>
  </si>
  <si>
    <t>FEC.ktoe.BE.MBunk.ExtraEEA</t>
  </si>
  <si>
    <t>EMI.ktCO2.BE.MBunk</t>
  </si>
  <si>
    <t>EMI.ktCO2.BE.MBunk.IntraEEA</t>
  </si>
  <si>
    <t>EMI.ktCO2.BE.MBunk.ExtraEEA</t>
  </si>
  <si>
    <t>International maritime bunkers - BE - Belgium</t>
  </si>
  <si>
    <t>VehicleKm.Mkm.BE.MBunk.Freight</t>
  </si>
  <si>
    <t>VehicleKm.Mkm.BE.MBunk.Freight.IntraEEA</t>
  </si>
  <si>
    <t>VehicleKm.Mkm.BE.MBunk.Freight.ExtraEEA</t>
  </si>
  <si>
    <t>Load.t_per_movement.BE.MBunk.Freight</t>
  </si>
  <si>
    <t>Load.t_per_movement.BE.MBunk.Freight.IntraEEA</t>
  </si>
  <si>
    <t>Load.t_per_movement.BE.MBunk.Freight.ExtraEEA</t>
  </si>
  <si>
    <t>International maritime bunkers / energy consumption - BE - Belgium</t>
  </si>
  <si>
    <t>FEC.ktoe.BE.ES.MBunk</t>
  </si>
  <si>
    <t>FEC.ktoe.BE.ES.MBunk.IntraEEA</t>
  </si>
  <si>
    <t>FEC.ktoe.BE.ES.MBunk.IntraEEA.Diesel</t>
  </si>
  <si>
    <t>FEC.ktoe.BE.ES.MBunk.IntraEEA.RFO_Other</t>
  </si>
  <si>
    <t>FEC.ktoe.BE.ES.MBunk.IntraEEA.LiqBio</t>
  </si>
  <si>
    <t>FEC.ktoe.BE.ES.MBunk.IntraEEA.NG</t>
  </si>
  <si>
    <t>FEC.ktoe.BE.ES.MBunk.IntraEEA.Biogas</t>
  </si>
  <si>
    <t>FEC.ktoe.BE.ES.MBunk.ExtraEEA</t>
  </si>
  <si>
    <t>FEC.ktoe.BE.ES.MBunk.ExtraEEA.Diesel</t>
  </si>
  <si>
    <t>FEC.ktoe.BE.ES.MBunk.ExtraEEA.RFO_Other</t>
  </si>
  <si>
    <t>FEC.ktoe.BE.ES.MBunk.ExtraEEA.LiqBio</t>
  </si>
  <si>
    <t>FEC.ktoe.BE.ES.MBunk.ExtraEEA.NG</t>
  </si>
  <si>
    <t>FEC.ktoe.BE.ES.MBunk.ExtraEEA.Biogas</t>
  </si>
  <si>
    <t>Eff.kgoe_per_100km.BE.MBunk.Freight</t>
  </si>
  <si>
    <t>Eff.kgoe_per_100km.BE.MBunk.Freight.IntraEEA</t>
  </si>
  <si>
    <t>Eff.kgoe_per_100km.BE.MBunk.Freight.ExtraEEA</t>
  </si>
  <si>
    <t>International maritime bunkers / CO2 emissions - BE - Belgium</t>
  </si>
  <si>
    <t>EMI.ktCO2.BE.ES.MBunk</t>
  </si>
  <si>
    <t>EMI.ktCO2.BE.ES.MBunk.IntraEEA</t>
  </si>
  <si>
    <t>EMI.ktCO2.BE.ES.MBunk.ExtraEEA</t>
  </si>
  <si>
    <t>EMIint.gCO2_per_km.BE.MBunk.Freight</t>
  </si>
  <si>
    <t>EMIint.gCO2_per_km.BE.MBunk.Freight.IntraEEA</t>
  </si>
  <si>
    <t>EMIint.gCO2_per_km.BE.MBunk.Freight.ExtraEEA</t>
  </si>
  <si>
    <t>FEC.ktoe.BE.Tr.DNavi</t>
  </si>
  <si>
    <t>FEC.ktoe.BE.Tr.Dnavi.DCS</t>
  </si>
  <si>
    <t>FEC.ktoe.BE.Tr.Dnavi.IWW</t>
  </si>
  <si>
    <t>EMI.ktCO2.BE.Tr.DNavi</t>
  </si>
  <si>
    <t>EMI.ktCO2.BE.Tr.Dnavi.DCS</t>
  </si>
  <si>
    <t>EMI.ktCO2.BE.Tr.Dnavi.IWW</t>
  </si>
  <si>
    <t>Domestic navigation - BE - Belgium</t>
  </si>
  <si>
    <t>VehicleKm.Mkm.BE.Tr.DNavi.Freight</t>
  </si>
  <si>
    <t>VehicleKm.Mkm.BE.Tr.DNavi.Freight.DCS</t>
  </si>
  <si>
    <t>VehicleKm.Mkm.BE.Tr.DNavi.Freight.IWW</t>
  </si>
  <si>
    <t>Load.t_per_movement.BE.Tr.DNavi.Freight</t>
  </si>
  <si>
    <t>Load.t_per_movement.BE.Tr.DNavi.Freight.DCS</t>
  </si>
  <si>
    <t>Load.t_per_movement.BE.Tr.DNavi.Freight.IWW</t>
  </si>
  <si>
    <t>Domestic navigation / energy consumption - BE - Belgium</t>
  </si>
  <si>
    <t>FEC.ktoe.BE.ES.Tr.DNavi</t>
  </si>
  <si>
    <t>FEC.ktoe.BE.ES.Tr.DNavi.DCS</t>
  </si>
  <si>
    <t>FEC.ktoe.BE.ES.Tr.DNavi.DCS.Diesel</t>
  </si>
  <si>
    <t>FEC.ktoe.BE.ES.Tr.DNavi.DCS.RFO_Other</t>
  </si>
  <si>
    <t>FEC.ktoe.BE.ES.Tr.DNavi.DCS.LiqBio</t>
  </si>
  <si>
    <t>FEC.ktoe.BE.ES.Tr.DNavi.DCS.NG</t>
  </si>
  <si>
    <t>FEC.ktoe.BE.ES.Tr.DNavi.DCS.Biogas</t>
  </si>
  <si>
    <t>FEC.ktoe.BE.ES.Tr.DNavi.IWW</t>
  </si>
  <si>
    <t>FEC.ktoe.BE.ES.Tr.DNavi.IWW.Diesel</t>
  </si>
  <si>
    <t>FEC.ktoe.BE.ES.Tr.DNavi.IWW.RFO_Other</t>
  </si>
  <si>
    <t>FEC.ktoe.BE.ES.Tr.DNavi.IWW.LiqBio</t>
  </si>
  <si>
    <t>FEC.ktoe.BE.ES.Tr.DNavi.IWW.NG</t>
  </si>
  <si>
    <t>FEC.ktoe.BE.ES.Tr.DNavi.IWW.Biogas</t>
  </si>
  <si>
    <t>Eff.kgoe_per_100km.BE.Tr.DNavi.Freight</t>
  </si>
  <si>
    <t>Eff.kgoe_per_100km.BE.Tr.DNavi.Freight.DCS</t>
  </si>
  <si>
    <t>Eff.kgoe_per_100km.BE.Tr.DNavi.Freight.IWW</t>
  </si>
  <si>
    <t>Domestic navigation / CO2 emissions - BE - Belgium</t>
  </si>
  <si>
    <t>EMI.ktCO2.BE.ES.Tr.DNavi</t>
  </si>
  <si>
    <t>EMI.ktCO2.BE.ES.Tr.DNavi.DCS</t>
  </si>
  <si>
    <t>EMI.ktCO2.BE.ES.Tr.DNavi.IWW</t>
  </si>
  <si>
    <t>EMIint.gCO2_per_km.BE.Tr.DNavi.Freight</t>
  </si>
  <si>
    <t>EMIint.gCO2_per_km.BE.Tr.DNavi.Freight.DCS</t>
  </si>
  <si>
    <t>EMIint.gCO2_per_km.BE.Tr.DNavi.Freight.IWW</t>
  </si>
  <si>
    <t>Rail, metro and tram - BE - Belgium</t>
  </si>
  <si>
    <t>Activity.Mpkm.BE.Tr.Rail.Passenger.CPT.Diesel</t>
  </si>
  <si>
    <t>Activity.Mpkm.BE.Tr.Rail.Passenger.CPT.Elc</t>
  </si>
  <si>
    <t>Activity.Mtkm.BE.Tr.Rail.Freight.Diesel</t>
  </si>
  <si>
    <t>Activity.Mtkm.BE.Tr.Rail.Freight.Elc</t>
  </si>
  <si>
    <t>VehicleKm.Mkm.BE.Tr.Rail</t>
  </si>
  <si>
    <t>VehicleKm.Mkm.BE.Tr.Rail.Passenger</t>
  </si>
  <si>
    <t>VehicleKm.Mkm.BE.Tr.Rail.Passenger.MTU</t>
  </si>
  <si>
    <t>VehicleKm.Mkm.BE.Tr.Rail.Passenger.CPT</t>
  </si>
  <si>
    <t>VehicleKm.Mkm.BE.Tr.Rail.Passenger.CPT.Diesel</t>
  </si>
  <si>
    <t>VehicleKm.Mkm.BE.Tr.Rail.Passenger.CPT.Elc</t>
  </si>
  <si>
    <t>VehicleKm.Mkm.BE.Tr.Rail.Passenger.HST</t>
  </si>
  <si>
    <t>VehicleKm.Mkm.BE.Tr.Rail.Freight</t>
  </si>
  <si>
    <t>VehicleKm.Mkm.BE.Tr.Rail.Freight.Diesel</t>
  </si>
  <si>
    <t>VehicleKm.Mkm.BE.Tr.Rail.Freight.Elc</t>
  </si>
  <si>
    <t>Stock.number.BE.Tr.Rail</t>
  </si>
  <si>
    <t>Stock.number.BE.Tr.Rail.Passenger</t>
  </si>
  <si>
    <t>Stock.number.BE.Tr.Rail.Passenger.MTU</t>
  </si>
  <si>
    <t>Stock.number.BE.Tr.Rail.Passenger.CPT</t>
  </si>
  <si>
    <t>Stock.number.BE.Tr.Rail.Passenger.CPT.Diesel</t>
  </si>
  <si>
    <t>Stock.number.BE.Tr.Rail.Passenger.CPT.Elc</t>
  </si>
  <si>
    <t>Stock.number.BE.Tr.Rail.Passenger.HST</t>
  </si>
  <si>
    <t>Stock.number.BE.Tr.Rail.Freight</t>
  </si>
  <si>
    <t>Stock.number.BE.Tr.Rail.Freight.Diesel</t>
  </si>
  <si>
    <t>Stock.number.BE.Tr.Rail.Freight.Elc</t>
  </si>
  <si>
    <t>StockNew.number.BE.Tr.Rail</t>
  </si>
  <si>
    <t>StockNew.number.BE.Tr.Rail.Passenger</t>
  </si>
  <si>
    <t>StockNew.number.BE.Tr.Rail.Passenger.MTU</t>
  </si>
  <si>
    <t>StockNew.number.BE.Tr.Rail.Passenger.CPT</t>
  </si>
  <si>
    <t>StockNew.number.BE.Tr.Rail.Passenger.CPT.Diesel</t>
  </si>
  <si>
    <t>StockNew.number.BE.Tr.Rail.Passenger.CPT.Elc</t>
  </si>
  <si>
    <t>StockNew.number.BE.Tr.Rail.Passenger.HST</t>
  </si>
  <si>
    <t>StockNew.number.BE.Tr.Rail.Freight</t>
  </si>
  <si>
    <t>StockNew.number.BE.Tr.Rail.Freight.Diesel</t>
  </si>
  <si>
    <t>StockNew.number.BE.Tr.Rail.Freight.Elc</t>
  </si>
  <si>
    <t>Load.passenger_per_movement.BE.Tr.Rail.Passenger</t>
  </si>
  <si>
    <t>Load.passenger_per_movement.BE.Tr.Rail.Passenger.MTU</t>
  </si>
  <si>
    <t>Load.passenger_per_movement.BE.Tr.Rail.Passenger.CPT</t>
  </si>
  <si>
    <t>Load.passenger_per_movement.BE.Tr.Rail.Passenger.CPT.Diesel</t>
  </si>
  <si>
    <t>Load.passenger_per_movement.BE.Tr.Rail.Passenger.CPT.Elc</t>
  </si>
  <si>
    <t>Load.passenger_per_movement.BE.Tr.Rail.Passenger.HST</t>
  </si>
  <si>
    <t>Load.t_per_movement.BE.Tr.Rail.Freight</t>
  </si>
  <si>
    <t>Load.t_per_movement.BE.Tr.Rail.Freight.Diesel</t>
  </si>
  <si>
    <t>Load.t_per_movement.BE.Tr.Rail.Freight.Elc</t>
  </si>
  <si>
    <t>TrCap.seats.BE.Tr.Rail.Passenger</t>
  </si>
  <si>
    <t>TrCap.seats.BE.Tr.Rail.Passenger.MTU</t>
  </si>
  <si>
    <t>TrCap.seats.BE.Tr.Rail.Passenger.CPT</t>
  </si>
  <si>
    <t>TrCap.seats.BE.Tr.Rail.Passenger.CPT.Diesel</t>
  </si>
  <si>
    <t>TrCap.seats.BE.Tr.Rail.Passenger.CPT.Elc</t>
  </si>
  <si>
    <t>TrCap.seats.BE.Tr.Rail.Passenger.HST</t>
  </si>
  <si>
    <t>TrCap.t.BE.Tr.Rail.Freight</t>
  </si>
  <si>
    <t>TrCap.t.BE.Tr.Rail.Freight.Diesel</t>
  </si>
  <si>
    <t>TrCap.t.BE.Tr.Rail.Freight.Elc</t>
  </si>
  <si>
    <t>VehicleKm_per_vehicle.km.BE.Tr.Rail</t>
  </si>
  <si>
    <t>VehicleKm_per_vehicle.km.BE.Tr.Rail.Passenger</t>
  </si>
  <si>
    <t>VehicleKm_per_vehicle.km.BE.Tr.Rail.Passenger.MTU</t>
  </si>
  <si>
    <t>VehicleKm_per_vehicle.km.BE.Tr.Rail.Passenger.CPT</t>
  </si>
  <si>
    <t>VehicleKm_per_vehicle.km.BE.Tr.Rail.Passenger.CPT.Diesel</t>
  </si>
  <si>
    <t>VehicleKm_per_vehicle.km.BE.Tr.Rail.Passenger.CPT.Elc</t>
  </si>
  <si>
    <t>VehicleKm_per_vehicle.km.BE.Tr.Rail.Passenger.HST</t>
  </si>
  <si>
    <t>VehicleKm_per_vehicle.km.BE.Tr.Rail.Freight</t>
  </si>
  <si>
    <t>VehicleKm_per_vehicle.km.BE.Tr.Rail.Freight.Diesel</t>
  </si>
  <si>
    <t>VehicleKm_per_vehicle.km.BE.Tr.Rail.Freight.Elc</t>
  </si>
  <si>
    <t>Activity_per_vehicle.pkm.BE.Tr.Rail.Passenger</t>
  </si>
  <si>
    <t>Activity_per_vehicle.pkm.BE.Tr.Rail.Passenger.MTU</t>
  </si>
  <si>
    <t>Activity_per_vehicle.pkm.BE.Tr.Rail.Passenger.CPT</t>
  </si>
  <si>
    <t>Activity_per_vehicle.pkm.BE.Tr.Rail.Passenger.CPT.Diesel</t>
  </si>
  <si>
    <t>Activity_per_vehicle.pkm.BE.Tr.Rail.Passenger.CPT.Elc</t>
  </si>
  <si>
    <t>Activity_per_vehicle.pkm.BE.Tr.Rail.Passenger.HST</t>
  </si>
  <si>
    <t>Activity_per_vehicle.tkm.BE.Tr.Rail.Freight</t>
  </si>
  <si>
    <t>Activity_per_vehicle.tkm.BE.Tr.Rail.Freight.Diesel</t>
  </si>
  <si>
    <t>Activity_per_vehicle.tkm.BE.Tr.Rail.Freight.Elc</t>
  </si>
  <si>
    <t>Rail, metro and tram / energy consumption - BE - Belgium</t>
  </si>
  <si>
    <t>FEC.ktoe.BE.ES.Tr.Rail</t>
  </si>
  <si>
    <t>FEC.ktoe.BE.ES.Tr.Rail.Diesel</t>
  </si>
  <si>
    <t>FEC.ktoe.BE.ES.Tr.Rail.LiqBio</t>
  </si>
  <si>
    <t>FEC.ktoe.BE.ES.Tr.Rail.Elec</t>
  </si>
  <si>
    <t>FEC.ktoe.BE.Tr.Rail</t>
  </si>
  <si>
    <t>FEC.ktoe.BE.Tr.Rail.Passenger.CPT.Diesel</t>
  </si>
  <si>
    <t>FEC.ktoe.BE.Tr.Rail.Passenger.CPT.Elc</t>
  </si>
  <si>
    <t>FEC.ktoe.BE.Tr.Rail.Freight.Diesel</t>
  </si>
  <si>
    <t>FEC.ktoe.BE.Tr.Rail.Freight.Elc</t>
  </si>
  <si>
    <t>Eff.kgoe_per_100km.BE.Tr.Rail</t>
  </si>
  <si>
    <t>Eff.kgoe_per_100km.BE.Tr.Rail.Passenger</t>
  </si>
  <si>
    <t>Eff.kgoe_per_100km.BE.Tr.Rail.Passenger.MTU</t>
  </si>
  <si>
    <t>Eff.kgoe_per_100km.BE.Tr.Rail.Passenger.CPT</t>
  </si>
  <si>
    <t>Eff.kgoe_per_100km.BE.Tr.Rail.Passenger.CPT.Diesel</t>
  </si>
  <si>
    <t>Eff.kgoe_per_100km.BE.Tr.Rail.Passenger.CPT.Elc</t>
  </si>
  <si>
    <t>Eff.kgoe_per_100km.BE.Tr.Rail.Passenger.HST</t>
  </si>
  <si>
    <t>Eff.kgoe_per_100km.BE.Tr.Rail.Freight</t>
  </si>
  <si>
    <t>Eff.kgoe_per_100km.BE.Tr.Rail.Freight.Diesel</t>
  </si>
  <si>
    <t>Eff.kgoe_per_100km.BE.Tr.Rail.Freight.Elc</t>
  </si>
  <si>
    <t>Eff.kgoe_per_kpkm.BE.Tr.Rail.Passenger.CPT.Diesel</t>
  </si>
  <si>
    <t>Eff.kgoe_per_kpkm.BE.Tr.Rail.Passenger.CPT.Elc</t>
  </si>
  <si>
    <t>Eff.kgoe_per_ktkm.BE.Tr.Rail.Freight.Diesel</t>
  </si>
  <si>
    <t>Eff.kgoe_per_ktkm.BE.Tr.Rail.Freight.Elc</t>
  </si>
  <si>
    <t>FEC_per_vehicle.kgoe.BE.Tr.Rail</t>
  </si>
  <si>
    <t>FEC_per_vehicle.kgoe.BE.Tr.Rail.Passenger</t>
  </si>
  <si>
    <t>FEC_per_vehicle.kgoe.BE.Tr.Rail.Passenger.MTU</t>
  </si>
  <si>
    <t>FEC_per_vehicle.kgoe.BE.Tr.Rail.Passenger.CPT</t>
  </si>
  <si>
    <t>FEC_per_vehicle.kgoe.BE.Tr.Rail.Passenger.CPT.Diesel</t>
  </si>
  <si>
    <t>FEC_per_vehicle.kgoe.BE.Tr.Rail.Passenger.CPT.Elc</t>
  </si>
  <si>
    <t>FEC_per_vehicle.kgoe.BE.Tr.Rail.Passenger.HST</t>
  </si>
  <si>
    <t>FEC_per_vehicle.kgoe.BE.Tr.Rail.Freight</t>
  </si>
  <si>
    <t>FEC_per_vehicle.kgoe.BE.Tr.Rail.Freight.Diesel</t>
  </si>
  <si>
    <t>FEC_per_vehicle.kgoe.BE.Tr.Rail.Freight.Elc</t>
  </si>
  <si>
    <t>Rail, metro and tram / CO2 emissions - BE - Belgium</t>
  </si>
  <si>
    <t>EMI.ktCO2.BE.ES.Tr.Rail</t>
  </si>
  <si>
    <t>EMI.ktCO2.BE.ES.Tr.Rail.Diesel</t>
  </si>
  <si>
    <t>EMI.ktCO2.BE.ES.Tr.Rail.Elec</t>
  </si>
  <si>
    <t>EMI.ktCO2.BE.Tr.Rail</t>
  </si>
  <si>
    <t>EMI.ktCO2.BE.Tr.Rail.Passenger.CPT.Diesel</t>
  </si>
  <si>
    <t>EMI.ktCO2.BE.Tr.Rail.Passenger.CPT.Elc</t>
  </si>
  <si>
    <t>EMI.ktCO2.BE.Tr.Rail.Freight.Diesel</t>
  </si>
  <si>
    <t>EMI.ktCO2.BE.Tr.Rail.Freight.Elc</t>
  </si>
  <si>
    <t>EMIint.gCO2_per_km.BE.Tr.Rail</t>
  </si>
  <si>
    <t>EMIint.gCO2_per_km.BE.Tr.Rail.Passenger</t>
  </si>
  <si>
    <t>EMIint.gCO2_per_km.BE.Tr.Rail.Passenger.MTU</t>
  </si>
  <si>
    <t>EMIint.gCO2_per_km.BE.Tr.Rail.Passenger.CPT</t>
  </si>
  <si>
    <t>EMIint.gCO2_per_km.BE.Tr.Rail.Passenger.CPT.Diesel</t>
  </si>
  <si>
    <t>EMIint.gCO2_per_km.BE.Tr.Rail.Passenger.CPT.Elc</t>
  </si>
  <si>
    <t>EMIint.gCO2_per_km.BE.Tr.Rail.Passenger.HST</t>
  </si>
  <si>
    <t>EMIint.gCO2_per_km.BE.Tr.Rail.Freight</t>
  </si>
  <si>
    <t>EMIint.gCO2_per_km.BE.Tr.Rail.Freight.Diesel</t>
  </si>
  <si>
    <t>EMIint.gCO2_per_km.BE.Tr.Rail.Freight.Elc</t>
  </si>
  <si>
    <t>EMIint.gCO2_per_pkm.BE.Tr.Rail.Passenger.CPT.Diesel</t>
  </si>
  <si>
    <t>EMIint.gCO2_per_pkm.BE.Tr.Rail.Passenger.CPT.Elc</t>
  </si>
  <si>
    <t>EMIint.gCO2_per_tkm.BE.Tr.Rail.Freight.Diesel</t>
  </si>
  <si>
    <t>EMIint.gCO2_per_tkm.BE.Tr.Rail.Freight.Elc</t>
  </si>
  <si>
    <t>EMI_per_vehicle.tCO2.BE.Tr.Rail</t>
  </si>
  <si>
    <t>EMI_per_vehicle.tCO2.BE.Tr.Rail.Passenger</t>
  </si>
  <si>
    <t>EMI_per_vehicle.tCO2.BE.Tr.Rail.Passenger.MTU</t>
  </si>
  <si>
    <t>EMI_per_vehicle.tCO2.BE.Tr.Rail.Passenger.CPT</t>
  </si>
  <si>
    <t>EMI_per_vehicle.tCO2.BE.Tr.Rail.Passenger.CPT.Diesel</t>
  </si>
  <si>
    <t>EMI_per_vehicle.tCO2.BE.Tr.Rail.Passenger.CPT.Elc</t>
  </si>
  <si>
    <t>EMI_per_vehicle.tCO2.BE.Tr.Rail.Passenger.HST</t>
  </si>
  <si>
    <t>EMI_per_vehicle.tCO2.BE.Tr.Rail.Freight</t>
  </si>
  <si>
    <t>EMI_per_vehicle.tCO2.BE.Tr.Rail.Freight.Diesel</t>
  </si>
  <si>
    <t>EMI_per_vehicle.tCO2.BE.Tr.Rail.Freight.Elc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</si>
</sst>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45432.782199074078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146493.55102557517</v>
      </c>
      <c r="C4" s="28">
        <f t="shared" si="0"/>
        <v>147786.899327914</v>
      </c>
      <c r="D4" s="28">
        <f t="shared" si="0"/>
        <v>144334.274391952</v>
      </c>
      <c r="E4" s="28">
        <f t="shared" si="0"/>
        <v>144945.87856827551</v>
      </c>
      <c r="F4" s="28">
        <f t="shared" si="0"/>
        <v>149439.66570218981</v>
      </c>
      <c r="G4" s="28">
        <f t="shared" si="0"/>
        <v>149035.85041825066</v>
      </c>
      <c r="H4" s="28">
        <f t="shared" si="0"/>
        <v>150945.77551158876</v>
      </c>
      <c r="I4" s="28">
        <f t="shared" si="0"/>
        <v>155040.30655701834</v>
      </c>
      <c r="J4" s="28">
        <f t="shared" si="0"/>
        <v>160270.69816922946</v>
      </c>
      <c r="K4" s="28">
        <f t="shared" si="0"/>
        <v>160268.37356131541</v>
      </c>
      <c r="L4" s="28">
        <f t="shared" si="0"/>
        <v>163662.10533397636</v>
      </c>
      <c r="M4" s="28">
        <f t="shared" si="0"/>
        <v>167236.40824313959</v>
      </c>
      <c r="N4" s="28">
        <f t="shared" si="0"/>
        <v>168033.18022501434</v>
      </c>
      <c r="O4" s="28">
        <f t="shared" si="0"/>
        <v>161419.53444634771</v>
      </c>
      <c r="P4" s="28">
        <f t="shared" si="0"/>
        <v>165789.17249588633</v>
      </c>
      <c r="Q4" s="28">
        <f t="shared" si="0"/>
        <v>165479.97087320386</v>
      </c>
      <c r="R4" s="28">
        <f t="shared" ref="R4:V4" si="1">R5+R9+R13</f>
        <v>161750.5013311253</v>
      </c>
      <c r="S4" s="28">
        <f t="shared" si="1"/>
        <v>166057.84029895568</v>
      </c>
      <c r="T4" s="28">
        <f t="shared" si="1"/>
        <v>169941.38097499276</v>
      </c>
      <c r="U4" s="28">
        <f t="shared" si="1"/>
        <v>172181.76206856436</v>
      </c>
      <c r="V4" s="28">
        <f t="shared" si="1"/>
        <v>121808.84178674934</v>
      </c>
      <c r="W4" s="28">
        <f t="shared" ref="W4" si="2">W5+W9+W13</f>
        <v>131878.18765797254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117433.00886125924</v>
      </c>
      <c r="C5" s="137">
        <f t="shared" si="3"/>
        <v>118891.30258396639</v>
      </c>
      <c r="D5" s="137">
        <f t="shared" si="3"/>
        <v>121560.93037711133</v>
      </c>
      <c r="E5" s="137">
        <f t="shared" si="3"/>
        <v>120815.23445392771</v>
      </c>
      <c r="F5" s="137">
        <f t="shared" si="3"/>
        <v>122048.70723302578</v>
      </c>
      <c r="G5" s="137">
        <f t="shared" si="3"/>
        <v>122135.05452998632</v>
      </c>
      <c r="H5" s="137">
        <f t="shared" si="3"/>
        <v>122613.89313047832</v>
      </c>
      <c r="I5" s="137">
        <f t="shared" si="3"/>
        <v>125254.50743766689</v>
      </c>
      <c r="J5" s="137">
        <f t="shared" si="3"/>
        <v>127508.37232649041</v>
      </c>
      <c r="K5" s="137">
        <f t="shared" si="3"/>
        <v>127628.38228942898</v>
      </c>
      <c r="L5" s="137">
        <f t="shared" si="3"/>
        <v>128602.3835045498</v>
      </c>
      <c r="M5" s="137">
        <f t="shared" si="3"/>
        <v>129472.54895241372</v>
      </c>
      <c r="N5" s="137">
        <f t="shared" si="3"/>
        <v>129813.66365750924</v>
      </c>
      <c r="O5" s="137">
        <f t="shared" si="3"/>
        <v>122742.78362016167</v>
      </c>
      <c r="P5" s="137">
        <f t="shared" si="3"/>
        <v>125292.54792586355</v>
      </c>
      <c r="Q5" s="137">
        <f t="shared" si="3"/>
        <v>123141.55671870732</v>
      </c>
      <c r="R5" s="137">
        <f t="shared" ref="R5:V5" si="4">R6+R7+R8</f>
        <v>121526.64550293238</v>
      </c>
      <c r="S5" s="137">
        <f t="shared" si="4"/>
        <v>122000.96864754577</v>
      </c>
      <c r="T5" s="137">
        <f t="shared" si="4"/>
        <v>122477.63199963773</v>
      </c>
      <c r="U5" s="137">
        <f t="shared" si="4"/>
        <v>122878.12076963649</v>
      </c>
      <c r="V5" s="137">
        <f t="shared" si="4"/>
        <v>101887.15400526843</v>
      </c>
      <c r="W5" s="137">
        <f t="shared" ref="W5" si="5">W6+W7+W8</f>
        <v>107680.02718956838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1590.3623888303243</v>
      </c>
      <c r="C6" s="102">
        <f>TrRoad_act!C$5</f>
        <v>1665.4020178848689</v>
      </c>
      <c r="D6" s="102">
        <f>TrRoad_act!D$5</f>
        <v>1758.0679492512359</v>
      </c>
      <c r="E6" s="102">
        <f>TrRoad_act!E$5</f>
        <v>1836.7829175178247</v>
      </c>
      <c r="F6" s="102">
        <f>TrRoad_act!F$5</f>
        <v>1871.6898187547947</v>
      </c>
      <c r="G6" s="102">
        <f>TrRoad_act!G$5</f>
        <v>1815.7420138147825</v>
      </c>
      <c r="H6" s="102">
        <f>TrRoad_act!H$5</f>
        <v>1876.2897786461263</v>
      </c>
      <c r="I6" s="102">
        <f>TrRoad_act!I$5</f>
        <v>1954.4734054710254</v>
      </c>
      <c r="J6" s="102">
        <f>TrRoad_act!J$5</f>
        <v>1955.501997711174</v>
      </c>
      <c r="K6" s="102">
        <f>TrRoad_act!K$5</f>
        <v>1924.6048560295321</v>
      </c>
      <c r="L6" s="102">
        <f>TrRoad_act!L$5</f>
        <v>1834.6232854949797</v>
      </c>
      <c r="M6" s="102">
        <f>TrRoad_act!M$5</f>
        <v>1833.0161514524061</v>
      </c>
      <c r="N6" s="102">
        <f>TrRoad_act!N$5</f>
        <v>1762.6053755749626</v>
      </c>
      <c r="O6" s="102">
        <f>TrRoad_act!O$5</f>
        <v>1683.2479828536914</v>
      </c>
      <c r="P6" s="102">
        <f>TrRoad_act!P$5</f>
        <v>1777.3054142125463</v>
      </c>
      <c r="Q6" s="102">
        <f>TrRoad_act!Q$5</f>
        <v>1758.7881231583181</v>
      </c>
      <c r="R6" s="102">
        <f>TrRoad_act!R$5</f>
        <v>1800.2818020423722</v>
      </c>
      <c r="S6" s="102">
        <f>TrRoad_act!S$5</f>
        <v>1698.326884679253</v>
      </c>
      <c r="T6" s="102">
        <f>TrRoad_act!T$5</f>
        <v>1635.3714093245499</v>
      </c>
      <c r="U6" s="102">
        <f>TrRoad_act!U$5</f>
        <v>1752.0769201085425</v>
      </c>
      <c r="V6" s="102">
        <f>TrRoad_act!V$5</f>
        <v>1576.7533961627651</v>
      </c>
      <c r="W6" s="102">
        <f>TrRoad_act!W$5</f>
        <v>1656.8387177181953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102544.38530389039</v>
      </c>
      <c r="C7" s="102">
        <f>TrRoad_act!C$6</f>
        <v>103440.56228671243</v>
      </c>
      <c r="D7" s="102">
        <f>TrRoad_act!D$6</f>
        <v>104843.43859901592</v>
      </c>
      <c r="E7" s="102">
        <f>TrRoad_act!E$6</f>
        <v>102494.87951863394</v>
      </c>
      <c r="F7" s="102">
        <f>TrRoad_act!F$6</f>
        <v>103034.02541013168</v>
      </c>
      <c r="G7" s="102">
        <f>TrRoad_act!G$6</f>
        <v>102804.26446068902</v>
      </c>
      <c r="H7" s="102">
        <f>TrRoad_act!H$6</f>
        <v>102659.59801049538</v>
      </c>
      <c r="I7" s="102">
        <f>TrRoad_act!I$6</f>
        <v>104570.39703409256</v>
      </c>
      <c r="J7" s="102">
        <f>TrRoad_act!J$6</f>
        <v>107942.87032877923</v>
      </c>
      <c r="K7" s="102">
        <f>TrRoad_act!K$6</f>
        <v>108073.77743339945</v>
      </c>
      <c r="L7" s="102">
        <f>TrRoad_act!L$6</f>
        <v>109387.76021905482</v>
      </c>
      <c r="M7" s="102">
        <f>TrRoad_act!M$6</f>
        <v>109969.53280096131</v>
      </c>
      <c r="N7" s="102">
        <f>TrRoad_act!N$6</f>
        <v>110141.05828193428</v>
      </c>
      <c r="O7" s="102">
        <f>TrRoad_act!O$6</f>
        <v>105293.13563730798</v>
      </c>
      <c r="P7" s="102">
        <f>TrRoad_act!P$6</f>
        <v>108110.64251165099</v>
      </c>
      <c r="Q7" s="102">
        <f>TrRoad_act!Q$6</f>
        <v>107001.968595549</v>
      </c>
      <c r="R7" s="102">
        <f>TrRoad_act!R$6</f>
        <v>106139.76370089001</v>
      </c>
      <c r="S7" s="102">
        <f>TrRoad_act!S$6</f>
        <v>106940</v>
      </c>
      <c r="T7" s="102">
        <f>TrRoad_act!T$6</f>
        <v>107319.94254833911</v>
      </c>
      <c r="U7" s="102">
        <f>TrRoad_act!U$6</f>
        <v>107444.65259541536</v>
      </c>
      <c r="V7" s="102">
        <f>TrRoad_act!V$6</f>
        <v>91438.818388364336</v>
      </c>
      <c r="W7" s="102">
        <f>TrRoad_act!W$6</f>
        <v>96748.051778661145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13298.261168538518</v>
      </c>
      <c r="C8" s="102">
        <f>TrRoad_act!C$13</f>
        <v>13785.338279369089</v>
      </c>
      <c r="D8" s="102">
        <f>TrRoad_act!D$13</f>
        <v>14959.423828844176</v>
      </c>
      <c r="E8" s="102">
        <f>TrRoad_act!E$13</f>
        <v>16483.57201777595</v>
      </c>
      <c r="F8" s="102">
        <f>TrRoad_act!F$13</f>
        <v>17142.992004139298</v>
      </c>
      <c r="G8" s="102">
        <f>TrRoad_act!G$13</f>
        <v>17515.048055482508</v>
      </c>
      <c r="H8" s="102">
        <f>TrRoad_act!H$13</f>
        <v>18078.005341336815</v>
      </c>
      <c r="I8" s="102">
        <f>TrRoad_act!I$13</f>
        <v>18729.636998103302</v>
      </c>
      <c r="J8" s="102">
        <f>TrRoad_act!J$13</f>
        <v>17610</v>
      </c>
      <c r="K8" s="102">
        <f>TrRoad_act!K$13</f>
        <v>17630</v>
      </c>
      <c r="L8" s="102">
        <f>TrRoad_act!L$13</f>
        <v>17380</v>
      </c>
      <c r="M8" s="102">
        <f>TrRoad_act!M$13</f>
        <v>17670</v>
      </c>
      <c r="N8" s="102">
        <f>TrRoad_act!N$13</f>
        <v>17910</v>
      </c>
      <c r="O8" s="102">
        <f>TrRoad_act!O$13</f>
        <v>15766.400000000005</v>
      </c>
      <c r="P8" s="102">
        <f>TrRoad_act!P$13</f>
        <v>15404.6</v>
      </c>
      <c r="Q8" s="102">
        <f>TrRoad_act!Q$13</f>
        <v>14380.8</v>
      </c>
      <c r="R8" s="102">
        <f>TrRoad_act!R$13</f>
        <v>13586.6</v>
      </c>
      <c r="S8" s="102">
        <f>TrRoad_act!S$13</f>
        <v>13362.64176286652</v>
      </c>
      <c r="T8" s="102">
        <f>TrRoad_act!T$13</f>
        <v>13522.318041974067</v>
      </c>
      <c r="U8" s="102">
        <f>TrRoad_act!U$13</f>
        <v>13681.391254112579</v>
      </c>
      <c r="V8" s="102">
        <f>TrRoad_act!V$13</f>
        <v>8871.5822207413294</v>
      </c>
      <c r="W8" s="102">
        <f>TrRoad_act!W$13</f>
        <v>9275.1366931890407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8604</v>
      </c>
      <c r="C9" s="110">
        <f t="shared" si="6"/>
        <v>8914</v>
      </c>
      <c r="D9" s="110">
        <f t="shared" si="6"/>
        <v>9150</v>
      </c>
      <c r="E9" s="110">
        <f t="shared" si="6"/>
        <v>9165</v>
      </c>
      <c r="F9" s="110">
        <f t="shared" si="6"/>
        <v>10135</v>
      </c>
      <c r="G9" s="110">
        <f t="shared" si="6"/>
        <v>9440</v>
      </c>
      <c r="H9" s="110">
        <f t="shared" si="6"/>
        <v>9914</v>
      </c>
      <c r="I9" s="110">
        <f t="shared" si="6"/>
        <v>9653.4074610000007</v>
      </c>
      <c r="J9" s="110">
        <f t="shared" si="6"/>
        <v>10082.721943</v>
      </c>
      <c r="K9" s="110">
        <f t="shared" si="6"/>
        <v>10170.603761</v>
      </c>
      <c r="L9" s="110">
        <f t="shared" si="6"/>
        <v>10441.746824</v>
      </c>
      <c r="M9" s="110">
        <f t="shared" si="6"/>
        <v>11021.498680717586</v>
      </c>
      <c r="N9" s="110">
        <f t="shared" si="6"/>
        <v>11124.190837966082</v>
      </c>
      <c r="O9" s="110">
        <f t="shared" si="6"/>
        <v>11110.863414573296</v>
      </c>
      <c r="P9" s="110">
        <f t="shared" si="6"/>
        <v>11145.482292338889</v>
      </c>
      <c r="Q9" s="110">
        <f t="shared" si="6"/>
        <v>11169.257814385583</v>
      </c>
      <c r="R9" s="110">
        <f t="shared" ref="R9:V9" si="7">R10+R11+R12</f>
        <v>11107.82629598305</v>
      </c>
      <c r="S9" s="110">
        <f t="shared" si="7"/>
        <v>11563.436738466306</v>
      </c>
      <c r="T9" s="110">
        <f t="shared" si="7"/>
        <v>11929.755435622703</v>
      </c>
      <c r="U9" s="110">
        <f t="shared" si="7"/>
        <v>12321.108011195696</v>
      </c>
      <c r="V9" s="110">
        <f t="shared" si="7"/>
        <v>8342.9088570117183</v>
      </c>
      <c r="W9" s="110">
        <f t="shared" ref="W9" si="8">W10+W11+W12</f>
        <v>7914.9088570117183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870</v>
      </c>
      <c r="C10" s="102">
        <f>TrRail_act!C$5</f>
        <v>876</v>
      </c>
      <c r="D10" s="102">
        <f>TrRail_act!D$5</f>
        <v>890</v>
      </c>
      <c r="E10" s="102">
        <f>TrRail_act!E$5</f>
        <v>900</v>
      </c>
      <c r="F10" s="102">
        <f>TrRail_act!F$5</f>
        <v>910</v>
      </c>
      <c r="G10" s="102">
        <f>TrRail_act!G$5</f>
        <v>930</v>
      </c>
      <c r="H10" s="102">
        <f>TrRail_act!H$5</f>
        <v>950</v>
      </c>
      <c r="I10" s="102">
        <f>TrRail_act!I$5</f>
        <v>970</v>
      </c>
      <c r="J10" s="102">
        <f>TrRail_act!J$5</f>
        <v>1000</v>
      </c>
      <c r="K10" s="102">
        <f>TrRail_act!K$5</f>
        <v>1000</v>
      </c>
      <c r="L10" s="102">
        <f>TrRail_act!L$5</f>
        <v>1070</v>
      </c>
      <c r="M10" s="102">
        <f>TrRail_act!M$5</f>
        <v>1132.8401797175866</v>
      </c>
      <c r="N10" s="102">
        <f>TrRail_act!N$5</f>
        <v>1218.5531819660803</v>
      </c>
      <c r="O10" s="102">
        <f>TrRail_act!O$5</f>
        <v>1239.5145325732949</v>
      </c>
      <c r="P10" s="102">
        <f>TrRail_act!P$5</f>
        <v>1227.917278338889</v>
      </c>
      <c r="Q10" s="102">
        <f>TrRail_act!Q$5</f>
        <v>1242.308747385583</v>
      </c>
      <c r="R10" s="102">
        <f>TrRail_act!R$5</f>
        <v>1267.3777579830498</v>
      </c>
      <c r="S10" s="102">
        <f>TrRail_act!S$5</f>
        <v>1396.4367384663055</v>
      </c>
      <c r="T10" s="102">
        <f>TrRail_act!T$5</f>
        <v>1424.7554356227033</v>
      </c>
      <c r="U10" s="102">
        <f>TrRail_act!U$5</f>
        <v>1472.1080111956962</v>
      </c>
      <c r="V10" s="102">
        <f>TrRail_act!V$5</f>
        <v>945.9088570117184</v>
      </c>
      <c r="W10" s="102">
        <f>TrRail_act!W$5</f>
        <v>945.9088570117184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6869</v>
      </c>
      <c r="C11" s="102">
        <f>TrRail_act!C$6</f>
        <v>7149</v>
      </c>
      <c r="D11" s="102">
        <f>TrRail_act!D$6</f>
        <v>7351</v>
      </c>
      <c r="E11" s="102">
        <f>TrRail_act!E$6</f>
        <v>7387</v>
      </c>
      <c r="F11" s="102">
        <f>TrRail_act!F$6</f>
        <v>8285</v>
      </c>
      <c r="G11" s="102">
        <f>TrRail_act!G$6</f>
        <v>7528</v>
      </c>
      <c r="H11" s="102">
        <f>TrRail_act!H$6</f>
        <v>7964</v>
      </c>
      <c r="I11" s="102">
        <f>TrRail_act!I$6</f>
        <v>7665.4074610000007</v>
      </c>
      <c r="J11" s="102">
        <f>TrRail_act!J$6</f>
        <v>8003.7219430000005</v>
      </c>
      <c r="K11" s="102">
        <f>TrRail_act!K$6</f>
        <v>8109.6037610000003</v>
      </c>
      <c r="L11" s="102">
        <f>TrRail_act!L$6</f>
        <v>8310.7468239999998</v>
      </c>
      <c r="M11" s="102">
        <f>TrRail_act!M$6</f>
        <v>8983.6585009999999</v>
      </c>
      <c r="N11" s="102">
        <f>TrRail_act!N$6</f>
        <v>9000.6376560000008</v>
      </c>
      <c r="O11" s="102">
        <f>TrRail_act!O$6</f>
        <v>8966.3488820000002</v>
      </c>
      <c r="P11" s="102">
        <f>TrRail_act!P$6</f>
        <v>9007.5650139999998</v>
      </c>
      <c r="Q11" s="102">
        <f>TrRail_act!Q$6</f>
        <v>8726.9490669999996</v>
      </c>
      <c r="R11" s="102">
        <f>TrRail_act!R$6</f>
        <v>8340.4485380000006</v>
      </c>
      <c r="S11" s="102">
        <f>TrRail_act!S$6</f>
        <v>8603</v>
      </c>
      <c r="T11" s="102">
        <f>TrRail_act!T$6</f>
        <v>8941</v>
      </c>
      <c r="U11" s="102">
        <f>TrRail_act!U$6</f>
        <v>9285</v>
      </c>
      <c r="V11" s="102">
        <f>TrRail_act!V$6</f>
        <v>6407</v>
      </c>
      <c r="W11" s="102">
        <f>TrRail_act!W$6</f>
        <v>6036.2826821684466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865</v>
      </c>
      <c r="C12" s="102">
        <f>TrRail_act!C$9</f>
        <v>889</v>
      </c>
      <c r="D12" s="102">
        <f>TrRail_act!D$9</f>
        <v>909</v>
      </c>
      <c r="E12" s="102">
        <f>TrRail_act!E$9</f>
        <v>878</v>
      </c>
      <c r="F12" s="102">
        <f>TrRail_act!F$9</f>
        <v>940</v>
      </c>
      <c r="G12" s="102">
        <f>TrRail_act!G$9</f>
        <v>982</v>
      </c>
      <c r="H12" s="102">
        <f>TrRail_act!H$9</f>
        <v>1000</v>
      </c>
      <c r="I12" s="102">
        <f>TrRail_act!I$9</f>
        <v>1018</v>
      </c>
      <c r="J12" s="102">
        <f>TrRail_act!J$9</f>
        <v>1079</v>
      </c>
      <c r="K12" s="102">
        <f>TrRail_act!K$9</f>
        <v>1061</v>
      </c>
      <c r="L12" s="102">
        <f>TrRail_act!L$9</f>
        <v>1061</v>
      </c>
      <c r="M12" s="102">
        <f>TrRail_act!M$9</f>
        <v>905</v>
      </c>
      <c r="N12" s="102">
        <f>TrRail_act!N$9</f>
        <v>905</v>
      </c>
      <c r="O12" s="102">
        <f>TrRail_act!O$9</f>
        <v>905</v>
      </c>
      <c r="P12" s="102">
        <f>TrRail_act!P$9</f>
        <v>910</v>
      </c>
      <c r="Q12" s="102">
        <f>TrRail_act!Q$9</f>
        <v>1200</v>
      </c>
      <c r="R12" s="102">
        <f>TrRail_act!R$9</f>
        <v>1500</v>
      </c>
      <c r="S12" s="102">
        <f>TrRail_act!S$9</f>
        <v>1564</v>
      </c>
      <c r="T12" s="102">
        <f>TrRail_act!T$9</f>
        <v>1564</v>
      </c>
      <c r="U12" s="102">
        <f>TrRail_act!U$9</f>
        <v>1564</v>
      </c>
      <c r="V12" s="102">
        <f>TrRail_act!V$9</f>
        <v>990</v>
      </c>
      <c r="W12" s="102">
        <f>TrRail_act!W$9</f>
        <v>932.71731783155337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20456.542164315943</v>
      </c>
      <c r="C13" s="110">
        <f t="shared" ref="C13:V13" si="10">C14+C15+C16</f>
        <v>19981.596743947593</v>
      </c>
      <c r="D13" s="110">
        <f t="shared" si="10"/>
        <v>13623.344014840655</v>
      </c>
      <c r="E13" s="110">
        <f t="shared" si="10"/>
        <v>14965.644114347804</v>
      </c>
      <c r="F13" s="110">
        <f t="shared" si="10"/>
        <v>17255.958469164034</v>
      </c>
      <c r="G13" s="110">
        <f t="shared" si="10"/>
        <v>17460.795888264329</v>
      </c>
      <c r="H13" s="110">
        <f t="shared" si="10"/>
        <v>18417.882381110412</v>
      </c>
      <c r="I13" s="110">
        <f t="shared" si="10"/>
        <v>20132.391658351436</v>
      </c>
      <c r="J13" s="110">
        <f t="shared" si="10"/>
        <v>22679.603899739035</v>
      </c>
      <c r="K13" s="110">
        <f t="shared" si="10"/>
        <v>22469.387510886449</v>
      </c>
      <c r="L13" s="110">
        <f t="shared" si="10"/>
        <v>24617.975005426564</v>
      </c>
      <c r="M13" s="110">
        <f t="shared" si="10"/>
        <v>26742.360610008302</v>
      </c>
      <c r="N13" s="110">
        <f t="shared" si="10"/>
        <v>27095.325729539014</v>
      </c>
      <c r="O13" s="110">
        <f t="shared" si="10"/>
        <v>27565.887411612734</v>
      </c>
      <c r="P13" s="110">
        <f t="shared" si="10"/>
        <v>29351.142277683884</v>
      </c>
      <c r="Q13" s="110">
        <f t="shared" si="10"/>
        <v>31169.156340110952</v>
      </c>
      <c r="R13" s="110">
        <f t="shared" si="10"/>
        <v>29116.029532209854</v>
      </c>
      <c r="S13" s="110">
        <f t="shared" si="10"/>
        <v>32493.434912943587</v>
      </c>
      <c r="T13" s="110">
        <f t="shared" si="10"/>
        <v>35533.993539732335</v>
      </c>
      <c r="U13" s="110">
        <f t="shared" si="10"/>
        <v>36982.533287732207</v>
      </c>
      <c r="V13" s="110">
        <f t="shared" si="10"/>
        <v>11578.778924469199</v>
      </c>
      <c r="W13" s="110">
        <f t="shared" ref="W13" si="11">W14+W15+W16</f>
        <v>16283.251611392425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0</v>
      </c>
      <c r="C14" s="102">
        <f>TrAvia_act!C$5</f>
        <v>0</v>
      </c>
      <c r="D14" s="102">
        <f>TrAvia_act!D$5</f>
        <v>0</v>
      </c>
      <c r="E14" s="102">
        <f>TrAvia_act!E$5</f>
        <v>0</v>
      </c>
      <c r="F14" s="102">
        <f>TrAvia_act!F$5</f>
        <v>0</v>
      </c>
      <c r="G14" s="102">
        <f>TrAvia_act!G$5</f>
        <v>0</v>
      </c>
      <c r="H14" s="102">
        <f>TrAvia_act!H$5</f>
        <v>0</v>
      </c>
      <c r="I14" s="102">
        <f>TrAvia_act!I$5</f>
        <v>0</v>
      </c>
      <c r="J14" s="102">
        <f>TrAvia_act!J$5</f>
        <v>0</v>
      </c>
      <c r="K14" s="102">
        <f>TrAvia_act!K$5</f>
        <v>0</v>
      </c>
      <c r="L14" s="102">
        <f>TrAvia_act!L$5</f>
        <v>0</v>
      </c>
      <c r="M14" s="102">
        <f>TrAvia_act!M$5</f>
        <v>0</v>
      </c>
      <c r="N14" s="102">
        <f>TrAvia_act!N$5</f>
        <v>0</v>
      </c>
      <c r="O14" s="102">
        <f>TrAvia_act!O$5</f>
        <v>0</v>
      </c>
      <c r="P14" s="102">
        <f>TrAvia_act!P$5</f>
        <v>0</v>
      </c>
      <c r="Q14" s="102">
        <f>TrAvia_act!Q$5</f>
        <v>0</v>
      </c>
      <c r="R14" s="102">
        <f>TrAvia_act!R$5</f>
        <v>0</v>
      </c>
      <c r="S14" s="102">
        <f>TrAvia_act!S$5</f>
        <v>0</v>
      </c>
      <c r="T14" s="102">
        <f>TrAvia_act!T$5</f>
        <v>0</v>
      </c>
      <c r="U14" s="102">
        <f>TrAvia_act!U$5</f>
        <v>0</v>
      </c>
      <c r="V14" s="102">
        <f>TrAvia_act!V$5</f>
        <v>0</v>
      </c>
      <c r="W14" s="102">
        <f>TrAvia_act!W$5</f>
        <v>0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10493.046001428718</v>
      </c>
      <c r="C15" s="102">
        <f>TrAvia_act!C$6</f>
        <v>10432.622127719755</v>
      </c>
      <c r="D15" s="102">
        <f>TrAvia_act!D$6</f>
        <v>7456.1173694389363</v>
      </c>
      <c r="E15" s="102">
        <f>TrAvia_act!E$6</f>
        <v>8264.310631279428</v>
      </c>
      <c r="F15" s="102">
        <f>TrAvia_act!F$6</f>
        <v>9327.7725644234197</v>
      </c>
      <c r="G15" s="102">
        <f>TrAvia_act!G$6</f>
        <v>9120.628554351295</v>
      </c>
      <c r="H15" s="102">
        <f>TrAvia_act!H$6</f>
        <v>9515.3125879209729</v>
      </c>
      <c r="I15" s="102">
        <f>TrAvia_act!I$6</f>
        <v>9456.4666341377597</v>
      </c>
      <c r="J15" s="102">
        <f>TrAvia_act!J$6</f>
        <v>9254.0658980650023</v>
      </c>
      <c r="K15" s="102">
        <f>TrAvia_act!K$6</f>
        <v>9052.7913721799941</v>
      </c>
      <c r="L15" s="102">
        <f>TrAvia_act!L$6</f>
        <v>9855.4999260591285</v>
      </c>
      <c r="M15" s="102">
        <f>TrAvia_act!M$6</f>
        <v>10929.134137867923</v>
      </c>
      <c r="N15" s="102">
        <f>TrAvia_act!N$6</f>
        <v>11135.762627850128</v>
      </c>
      <c r="O15" s="102">
        <f>TrAvia_act!O$6</f>
        <v>11270.541410904252</v>
      </c>
      <c r="P15" s="102">
        <f>TrAvia_act!P$6</f>
        <v>12318.317318568385</v>
      </c>
      <c r="Q15" s="102">
        <f>TrAvia_act!Q$6</f>
        <v>13403.94266862929</v>
      </c>
      <c r="R15" s="102">
        <f>TrAvia_act!R$6</f>
        <v>13777.337670465662</v>
      </c>
      <c r="S15" s="102">
        <f>TrAvia_act!S$6</f>
        <v>14867.078324580225</v>
      </c>
      <c r="T15" s="102">
        <f>TrAvia_act!T$6</f>
        <v>14950.03951464189</v>
      </c>
      <c r="U15" s="102">
        <f>TrAvia_act!U$6</f>
        <v>15310.782444840082</v>
      </c>
      <c r="V15" s="102">
        <f>TrAvia_act!V$6</f>
        <v>4449.9626318863729</v>
      </c>
      <c r="W15" s="102">
        <f>TrAvia_act!W$6</f>
        <v>6633.0899434782068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9963.4961628872225</v>
      </c>
      <c r="C16" s="102">
        <f>TrAvia_act!C$7</f>
        <v>9548.9746162278389</v>
      </c>
      <c r="D16" s="102">
        <f>TrAvia_act!D$7</f>
        <v>6167.226645401719</v>
      </c>
      <c r="E16" s="102">
        <f>TrAvia_act!E$7</f>
        <v>6701.3334830683771</v>
      </c>
      <c r="F16" s="102">
        <f>TrAvia_act!F$7</f>
        <v>7928.185904740616</v>
      </c>
      <c r="G16" s="102">
        <f>TrAvia_act!G$7</f>
        <v>8340.1673339130357</v>
      </c>
      <c r="H16" s="102">
        <f>TrAvia_act!H$7</f>
        <v>8902.5697931894392</v>
      </c>
      <c r="I16" s="102">
        <f>TrAvia_act!I$7</f>
        <v>10675.925024213679</v>
      </c>
      <c r="J16" s="102">
        <f>TrAvia_act!J$7</f>
        <v>13425.538001674031</v>
      </c>
      <c r="K16" s="102">
        <f>TrAvia_act!K$7</f>
        <v>13416.596138706454</v>
      </c>
      <c r="L16" s="102">
        <f>TrAvia_act!L$7</f>
        <v>14762.475079367436</v>
      </c>
      <c r="M16" s="102">
        <f>TrAvia_act!M$7</f>
        <v>15813.226472140379</v>
      </c>
      <c r="N16" s="102">
        <f>TrAvia_act!N$7</f>
        <v>15959.563101688887</v>
      </c>
      <c r="O16" s="102">
        <f>TrAvia_act!O$7</f>
        <v>16295.346000708483</v>
      </c>
      <c r="P16" s="102">
        <f>TrAvia_act!P$7</f>
        <v>17032.8249591155</v>
      </c>
      <c r="Q16" s="102">
        <f>TrAvia_act!Q$7</f>
        <v>17765.213671481662</v>
      </c>
      <c r="R16" s="102">
        <f>TrAvia_act!R$7</f>
        <v>15338.691861744193</v>
      </c>
      <c r="S16" s="102">
        <f>TrAvia_act!S$7</f>
        <v>17626.356588363364</v>
      </c>
      <c r="T16" s="102">
        <f>TrAvia_act!T$7</f>
        <v>20583.954025090443</v>
      </c>
      <c r="U16" s="102">
        <f>TrAvia_act!U$7</f>
        <v>21671.750842892128</v>
      </c>
      <c r="V16" s="102">
        <f>TrAvia_act!V$7</f>
        <v>7128.8162925828256</v>
      </c>
      <c r="W16" s="102">
        <f>TrAvia_act!W$7</f>
        <v>9650.1616679142171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56908.18072106006</v>
      </c>
      <c r="C17" s="28">
        <f t="shared" si="12"/>
        <v>58943.513969835061</v>
      </c>
      <c r="D17" s="28">
        <f t="shared" si="12"/>
        <v>60395.437359328382</v>
      </c>
      <c r="E17" s="28">
        <f t="shared" si="12"/>
        <v>60351.964474540946</v>
      </c>
      <c r="F17" s="28">
        <f t="shared" si="12"/>
        <v>64575.350897495227</v>
      </c>
      <c r="G17" s="28">
        <f t="shared" si="12"/>
        <v>66200.065466787171</v>
      </c>
      <c r="H17" s="28">
        <f t="shared" si="12"/>
        <v>69036.561925233895</v>
      </c>
      <c r="I17" s="28">
        <f t="shared" si="12"/>
        <v>71705.619709800638</v>
      </c>
      <c r="J17" s="28">
        <f t="shared" si="12"/>
        <v>69206.991105364432</v>
      </c>
      <c r="K17" s="28">
        <f t="shared" si="12"/>
        <v>61584.052311474705</v>
      </c>
      <c r="L17" s="28">
        <f t="shared" si="12"/>
        <v>66609.600562812906</v>
      </c>
      <c r="M17" s="28">
        <f t="shared" si="12"/>
        <v>66927.569068269877</v>
      </c>
      <c r="N17" s="28">
        <f t="shared" si="12"/>
        <v>67648.116181236051</v>
      </c>
      <c r="O17" s="28">
        <f t="shared" si="12"/>
        <v>69028.306774520242</v>
      </c>
      <c r="P17" s="28">
        <f t="shared" si="12"/>
        <v>69715.678250593744</v>
      </c>
      <c r="Q17" s="28">
        <f t="shared" si="12"/>
        <v>72948.099601105729</v>
      </c>
      <c r="R17" s="28">
        <f t="shared" ref="R17:V17" si="13">R18+R21+R22+R26</f>
        <v>74565.559854849969</v>
      </c>
      <c r="S17" s="28">
        <f t="shared" si="13"/>
        <v>75869.745163906438</v>
      </c>
      <c r="T17" s="28">
        <f t="shared" si="13"/>
        <v>72058.956817450933</v>
      </c>
      <c r="U17" s="28">
        <f t="shared" si="13"/>
        <v>73074.018116919091</v>
      </c>
      <c r="V17" s="28">
        <f t="shared" si="13"/>
        <v>72768.409893802251</v>
      </c>
      <c r="W17" s="28">
        <f t="shared" ref="W17" si="14">W18+W21+W22+W26</f>
        <v>78007.426548293777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40262.636999515787</v>
      </c>
      <c r="C18" s="137">
        <f t="shared" si="15"/>
        <v>42533.361995209314</v>
      </c>
      <c r="D18" s="137">
        <f t="shared" si="15"/>
        <v>43646.335254073761</v>
      </c>
      <c r="E18" s="137">
        <f t="shared" si="15"/>
        <v>43241.475992818232</v>
      </c>
      <c r="F18" s="137">
        <f t="shared" si="15"/>
        <v>46831.747401371576</v>
      </c>
      <c r="G18" s="137">
        <f t="shared" si="15"/>
        <v>47692.179681445574</v>
      </c>
      <c r="H18" s="137">
        <f t="shared" si="15"/>
        <v>48931.11970861545</v>
      </c>
      <c r="I18" s="137">
        <f t="shared" si="15"/>
        <v>50075.7053168899</v>
      </c>
      <c r="J18" s="137">
        <f t="shared" si="15"/>
        <v>48110.466486534206</v>
      </c>
      <c r="K18" s="137">
        <f t="shared" si="15"/>
        <v>45486.83672253626</v>
      </c>
      <c r="L18" s="137">
        <f t="shared" si="15"/>
        <v>46704.835100101562</v>
      </c>
      <c r="M18" s="137">
        <f t="shared" si="15"/>
        <v>46637.312060765049</v>
      </c>
      <c r="N18" s="137">
        <f t="shared" si="15"/>
        <v>46912.024493591787</v>
      </c>
      <c r="O18" s="137">
        <f t="shared" si="15"/>
        <v>48626.093765654849</v>
      </c>
      <c r="P18" s="137">
        <f t="shared" si="15"/>
        <v>49019.835456066023</v>
      </c>
      <c r="Q18" s="137">
        <f t="shared" si="15"/>
        <v>51605.789458674109</v>
      </c>
      <c r="R18" s="137">
        <f t="shared" ref="R18:V18" si="16">R19+R20</f>
        <v>53434.604656533542</v>
      </c>
      <c r="S18" s="137">
        <f t="shared" si="16"/>
        <v>53188.1120555464</v>
      </c>
      <c r="T18" s="137">
        <f t="shared" si="16"/>
        <v>51966.11030167705</v>
      </c>
      <c r="U18" s="137">
        <f t="shared" si="16"/>
        <v>53502.43125150603</v>
      </c>
      <c r="V18" s="137">
        <f t="shared" si="16"/>
        <v>52965.368913059938</v>
      </c>
      <c r="W18" s="137">
        <f t="shared" ref="W18" si="17">W19+W20</f>
        <v>55904.93600909401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677.21435383689004</v>
      </c>
      <c r="C19" s="102">
        <f>TrRoad_act!C$20</f>
        <v>724.83446499421211</v>
      </c>
      <c r="D19" s="102">
        <f>TrRoad_act!D$20</f>
        <v>758.40087236150055</v>
      </c>
      <c r="E19" s="102">
        <f>TrRoad_act!E$20</f>
        <v>799.54771022488057</v>
      </c>
      <c r="F19" s="102">
        <f>TrRoad_act!F$20</f>
        <v>884.22769620458291</v>
      </c>
      <c r="G19" s="102">
        <f>TrRoad_act!G$20</f>
        <v>929.16563578639284</v>
      </c>
      <c r="H19" s="102">
        <f>TrRoad_act!H$20</f>
        <v>967.20951118175276</v>
      </c>
      <c r="I19" s="102">
        <f>TrRoad_act!I$20</f>
        <v>1023.9063110835185</v>
      </c>
      <c r="J19" s="102">
        <f>TrRoad_act!J$20</f>
        <v>1051.9969732421064</v>
      </c>
      <c r="K19" s="102">
        <f>TrRoad_act!K$20</f>
        <v>1060.9190504888188</v>
      </c>
      <c r="L19" s="102">
        <f>TrRoad_act!L$20</f>
        <v>1073.8881198852762</v>
      </c>
      <c r="M19" s="102">
        <f>TrRoad_act!M$20</f>
        <v>1069.493550439659</v>
      </c>
      <c r="N19" s="102">
        <f>TrRoad_act!N$20</f>
        <v>1062.8088986061032</v>
      </c>
      <c r="O19" s="102">
        <f>TrRoad_act!O$20</f>
        <v>1028.623697824421</v>
      </c>
      <c r="P19" s="102">
        <f>TrRoad_act!P$20</f>
        <v>1068.4668472662102</v>
      </c>
      <c r="Q19" s="102">
        <f>TrRoad_act!Q$20</f>
        <v>1130.6795143441989</v>
      </c>
      <c r="R19" s="102">
        <f>TrRoad_act!R$20</f>
        <v>1099.6768243112422</v>
      </c>
      <c r="S19" s="102">
        <f>TrRoad_act!S$20</f>
        <v>1046.1295403147649</v>
      </c>
      <c r="T19" s="102">
        <f>TrRoad_act!T$20</f>
        <v>1047.1103016770485</v>
      </c>
      <c r="U19" s="102">
        <f>TrRoad_act!U$20</f>
        <v>1065.431251506029</v>
      </c>
      <c r="V19" s="102">
        <f>TrRoad_act!V$20</f>
        <v>1018.3689130599389</v>
      </c>
      <c r="W19" s="102">
        <f>TrRoad_act!W$20</f>
        <v>1157.936009094007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39585.422645678897</v>
      </c>
      <c r="C20" s="102">
        <f>TrRoad_act!C$26</f>
        <v>41808.527530215099</v>
      </c>
      <c r="D20" s="102">
        <f>TrRoad_act!D$26</f>
        <v>42887.934381712264</v>
      </c>
      <c r="E20" s="102">
        <f>TrRoad_act!E$26</f>
        <v>42441.928282593348</v>
      </c>
      <c r="F20" s="102">
        <f>TrRoad_act!F$26</f>
        <v>45947.519705166997</v>
      </c>
      <c r="G20" s="102">
        <f>TrRoad_act!G$26</f>
        <v>46763.014045659183</v>
      </c>
      <c r="H20" s="102">
        <f>TrRoad_act!H$26</f>
        <v>47963.910197433695</v>
      </c>
      <c r="I20" s="102">
        <f>TrRoad_act!I$26</f>
        <v>49051.799005806381</v>
      </c>
      <c r="J20" s="102">
        <f>TrRoad_act!J$26</f>
        <v>47058.469513292097</v>
      </c>
      <c r="K20" s="102">
        <f>TrRoad_act!K$26</f>
        <v>44425.917672047442</v>
      </c>
      <c r="L20" s="102">
        <f>TrRoad_act!L$26</f>
        <v>45630.946980216286</v>
      </c>
      <c r="M20" s="102">
        <f>TrRoad_act!M$26</f>
        <v>45567.818510325393</v>
      </c>
      <c r="N20" s="102">
        <f>TrRoad_act!N$26</f>
        <v>45849.215594985682</v>
      </c>
      <c r="O20" s="102">
        <f>TrRoad_act!O$26</f>
        <v>47597.470067830429</v>
      </c>
      <c r="P20" s="102">
        <f>TrRoad_act!P$26</f>
        <v>47951.368608799814</v>
      </c>
      <c r="Q20" s="102">
        <f>TrRoad_act!Q$26</f>
        <v>50475.10994432991</v>
      </c>
      <c r="R20" s="102">
        <f>TrRoad_act!R$26</f>
        <v>52334.927832222296</v>
      </c>
      <c r="S20" s="102">
        <f>TrRoad_act!S$26</f>
        <v>52141.982515231633</v>
      </c>
      <c r="T20" s="102">
        <f>TrRoad_act!T$26</f>
        <v>50919</v>
      </c>
      <c r="U20" s="102">
        <f>TrRoad_act!U$26</f>
        <v>52437</v>
      </c>
      <c r="V20" s="102">
        <f>TrRoad_act!V$26</f>
        <v>51947</v>
      </c>
      <c r="W20" s="102">
        <f>TrRoad_act!W$26</f>
        <v>54747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7674</v>
      </c>
      <c r="C21" s="110">
        <f>TrRail_act!C$10</f>
        <v>7081</v>
      </c>
      <c r="D21" s="110">
        <f>TrRail_act!D$10</f>
        <v>7297</v>
      </c>
      <c r="E21" s="110">
        <f>TrRail_act!E$10</f>
        <v>7293</v>
      </c>
      <c r="F21" s="110">
        <f>TrRail_act!F$10</f>
        <v>7691</v>
      </c>
      <c r="G21" s="110">
        <f>TrRail_act!G$10</f>
        <v>8130.0000000000009</v>
      </c>
      <c r="H21" s="110">
        <f>TrRail_act!H$10</f>
        <v>8572</v>
      </c>
      <c r="I21" s="110">
        <f>TrRail_act!I$10</f>
        <v>9258</v>
      </c>
      <c r="J21" s="110">
        <f>TrRail_act!J$10</f>
        <v>8927</v>
      </c>
      <c r="K21" s="110">
        <f>TrRail_act!K$10</f>
        <v>6374</v>
      </c>
      <c r="L21" s="110">
        <f>TrRail_act!L$10</f>
        <v>7476</v>
      </c>
      <c r="M21" s="110">
        <f>TrRail_act!M$10</f>
        <v>7593</v>
      </c>
      <c r="N21" s="110">
        <f>TrRail_act!N$10</f>
        <v>7280</v>
      </c>
      <c r="O21" s="110">
        <f>TrRail_act!O$10</f>
        <v>7280</v>
      </c>
      <c r="P21" s="110">
        <f>TrRail_act!P$10</f>
        <v>7280</v>
      </c>
      <c r="Q21" s="110">
        <f>TrRail_act!Q$10</f>
        <v>7280</v>
      </c>
      <c r="R21" s="110">
        <f>TrRail_act!R$10</f>
        <v>7280</v>
      </c>
      <c r="S21" s="110">
        <f>TrRail_act!S$10</f>
        <v>7700</v>
      </c>
      <c r="T21" s="110">
        <f>TrRail_act!T$10</f>
        <v>7500</v>
      </c>
      <c r="U21" s="110">
        <f>TrRail_act!U$10</f>
        <v>7400</v>
      </c>
      <c r="V21" s="110">
        <f>TrRail_act!V$10</f>
        <v>6700</v>
      </c>
      <c r="W21" s="110">
        <f>TrRail_act!W$10</f>
        <v>6769.9825460368293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1474.7437215442728</v>
      </c>
      <c r="C22" s="110">
        <f t="shared" ref="C22:V22" si="19">C23+C24+C25</f>
        <v>1423.298974625746</v>
      </c>
      <c r="D22" s="110">
        <f t="shared" si="19"/>
        <v>1164.4741052546194</v>
      </c>
      <c r="E22" s="110">
        <f t="shared" si="19"/>
        <v>1384.0834817227178</v>
      </c>
      <c r="F22" s="110">
        <f t="shared" si="19"/>
        <v>1509.5354961236526</v>
      </c>
      <c r="G22" s="110">
        <f t="shared" si="19"/>
        <v>1536.8077853415978</v>
      </c>
      <c r="H22" s="110">
        <f t="shared" si="19"/>
        <v>2294.9712166184472</v>
      </c>
      <c r="I22" s="110">
        <f t="shared" si="19"/>
        <v>2978.8273929107277</v>
      </c>
      <c r="J22" s="110">
        <f t="shared" si="19"/>
        <v>3043.1606188302299</v>
      </c>
      <c r="K22" s="110">
        <f t="shared" si="19"/>
        <v>2399.0855889384507</v>
      </c>
      <c r="L22" s="110">
        <f t="shared" si="19"/>
        <v>3100.9114627113422</v>
      </c>
      <c r="M22" s="110">
        <f t="shared" si="19"/>
        <v>3242.5740075048302</v>
      </c>
      <c r="N22" s="110">
        <f t="shared" si="19"/>
        <v>2830.5196876442633</v>
      </c>
      <c r="O22" s="110">
        <f t="shared" si="19"/>
        <v>2562.1420088653995</v>
      </c>
      <c r="P22" s="110">
        <f t="shared" si="19"/>
        <v>2774.3277945277241</v>
      </c>
      <c r="Q22" s="110">
        <f t="shared" si="19"/>
        <v>3449.3511424316216</v>
      </c>
      <c r="R22" s="110">
        <f t="shared" si="19"/>
        <v>3302.3821983164271</v>
      </c>
      <c r="S22" s="110">
        <f t="shared" si="19"/>
        <v>3718.4531083600377</v>
      </c>
      <c r="T22" s="110">
        <f t="shared" si="19"/>
        <v>4442.5005157738833</v>
      </c>
      <c r="U22" s="110">
        <f t="shared" si="19"/>
        <v>4211.8488654130597</v>
      </c>
      <c r="V22" s="110">
        <f t="shared" si="19"/>
        <v>5507.8019807423143</v>
      </c>
      <c r="W22" s="110">
        <f t="shared" ref="W22" si="20">W23+W24+W25</f>
        <v>6890.319993162946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0</v>
      </c>
      <c r="C23" s="102">
        <f>TrAvia_act!C$9</f>
        <v>0</v>
      </c>
      <c r="D23" s="102">
        <f>TrAvia_act!D$9</f>
        <v>0</v>
      </c>
      <c r="E23" s="102">
        <f>TrAvia_act!E$9</f>
        <v>0</v>
      </c>
      <c r="F23" s="102">
        <f>TrAvia_act!F$9</f>
        <v>0</v>
      </c>
      <c r="G23" s="102">
        <f>TrAvia_act!G$9</f>
        <v>0</v>
      </c>
      <c r="H23" s="102">
        <f>TrAvia_act!H$9</f>
        <v>0</v>
      </c>
      <c r="I23" s="102">
        <f>TrAvia_act!I$9</f>
        <v>0</v>
      </c>
      <c r="J23" s="102">
        <f>TrAvia_act!J$9</f>
        <v>0</v>
      </c>
      <c r="K23" s="102">
        <f>TrAvia_act!K$9</f>
        <v>0</v>
      </c>
      <c r="L23" s="102">
        <f>TrAvia_act!L$9</f>
        <v>0</v>
      </c>
      <c r="M23" s="102">
        <f>TrAvia_act!M$9</f>
        <v>0</v>
      </c>
      <c r="N23" s="102">
        <f>TrAvia_act!N$9</f>
        <v>0</v>
      </c>
      <c r="O23" s="102">
        <f>TrAvia_act!O$9</f>
        <v>0</v>
      </c>
      <c r="P23" s="102">
        <f>TrAvia_act!P$9</f>
        <v>0</v>
      </c>
      <c r="Q23" s="102">
        <f>TrAvia_act!Q$9</f>
        <v>0</v>
      </c>
      <c r="R23" s="102">
        <f>TrAvia_act!R$9</f>
        <v>0</v>
      </c>
      <c r="S23" s="102">
        <f>TrAvia_act!S$9</f>
        <v>0</v>
      </c>
      <c r="T23" s="102">
        <f>TrAvia_act!T$9</f>
        <v>0</v>
      </c>
      <c r="U23" s="102">
        <f>TrAvia_act!U$9</f>
        <v>0</v>
      </c>
      <c r="V23" s="102">
        <f>TrAvia_act!V$9</f>
        <v>0</v>
      </c>
      <c r="W23" s="102">
        <f>TrAvia_act!W$9</f>
        <v>0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248.15311668550524</v>
      </c>
      <c r="C24" s="102">
        <f>TrAvia_act!C$10</f>
        <v>203.70313323165004</v>
      </c>
      <c r="D24" s="102">
        <f>TrAvia_act!D$10</f>
        <v>159.2684620201521</v>
      </c>
      <c r="E24" s="102">
        <f>TrAvia_act!E$10</f>
        <v>164.88894621434707</v>
      </c>
      <c r="F24" s="102">
        <f>TrAvia_act!F$10</f>
        <v>170.32795448412509</v>
      </c>
      <c r="G24" s="102">
        <f>TrAvia_act!G$10</f>
        <v>188.42278023134537</v>
      </c>
      <c r="H24" s="102">
        <f>TrAvia_act!H$10</f>
        <v>343.02449298993997</v>
      </c>
      <c r="I24" s="102">
        <f>TrAvia_act!I$10</f>
        <v>359.01877044924106</v>
      </c>
      <c r="J24" s="102">
        <f>TrAvia_act!J$10</f>
        <v>255.05828534087942</v>
      </c>
      <c r="K24" s="102">
        <f>TrAvia_act!K$10</f>
        <v>196.42178882458964</v>
      </c>
      <c r="L24" s="102">
        <f>TrAvia_act!L$10</f>
        <v>207.56659275295692</v>
      </c>
      <c r="M24" s="102">
        <f>TrAvia_act!M$10</f>
        <v>203.03906549556879</v>
      </c>
      <c r="N24" s="102">
        <f>TrAvia_act!N$10</f>
        <v>212.56538318675467</v>
      </c>
      <c r="O24" s="102">
        <f>TrAvia_act!O$10</f>
        <v>214.50023484861956</v>
      </c>
      <c r="P24" s="102">
        <f>TrAvia_act!P$10</f>
        <v>233.79942370989625</v>
      </c>
      <c r="Q24" s="102">
        <f>TrAvia_act!Q$10</f>
        <v>252.00408553173912</v>
      </c>
      <c r="R24" s="102">
        <f>TrAvia_act!R$10</f>
        <v>254.84368689362441</v>
      </c>
      <c r="S24" s="102">
        <f>TrAvia_act!S$10</f>
        <v>248.24152415561898</v>
      </c>
      <c r="T24" s="102">
        <f>TrAvia_act!T$10</f>
        <v>282.99690999597033</v>
      </c>
      <c r="U24" s="102">
        <f>TrAvia_act!U$10</f>
        <v>279.14469672175488</v>
      </c>
      <c r="V24" s="102">
        <f>TrAvia_act!V$10</f>
        <v>273.57547251621833</v>
      </c>
      <c r="W24" s="102">
        <f>TrAvia_act!W$10</f>
        <v>302.27645150497176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1226.5906048587676</v>
      </c>
      <c r="C25" s="102">
        <f>TrAvia_act!C$11</f>
        <v>1219.5958413940959</v>
      </c>
      <c r="D25" s="102">
        <f>TrAvia_act!D$11</f>
        <v>1005.2056432344673</v>
      </c>
      <c r="E25" s="102">
        <f>TrAvia_act!E$11</f>
        <v>1219.1945355083708</v>
      </c>
      <c r="F25" s="102">
        <f>TrAvia_act!F$11</f>
        <v>1339.2075416395276</v>
      </c>
      <c r="G25" s="102">
        <f>TrAvia_act!G$11</f>
        <v>1348.3850051102525</v>
      </c>
      <c r="H25" s="102">
        <f>TrAvia_act!H$11</f>
        <v>1951.946723628507</v>
      </c>
      <c r="I25" s="102">
        <f>TrAvia_act!I$11</f>
        <v>2619.8086224614867</v>
      </c>
      <c r="J25" s="102">
        <f>TrAvia_act!J$11</f>
        <v>2788.1023334893503</v>
      </c>
      <c r="K25" s="102">
        <f>TrAvia_act!K$11</f>
        <v>2202.6638001138608</v>
      </c>
      <c r="L25" s="102">
        <f>TrAvia_act!L$11</f>
        <v>2893.3448699583855</v>
      </c>
      <c r="M25" s="102">
        <f>TrAvia_act!M$11</f>
        <v>3039.5349420092616</v>
      </c>
      <c r="N25" s="102">
        <f>TrAvia_act!N$11</f>
        <v>2617.9543044575084</v>
      </c>
      <c r="O25" s="102">
        <f>TrAvia_act!O$11</f>
        <v>2347.6417740167799</v>
      </c>
      <c r="P25" s="102">
        <f>TrAvia_act!P$11</f>
        <v>2540.5283708178276</v>
      </c>
      <c r="Q25" s="102">
        <f>TrAvia_act!Q$11</f>
        <v>3197.3470568998823</v>
      </c>
      <c r="R25" s="102">
        <f>TrAvia_act!R$11</f>
        <v>3047.5385114228025</v>
      </c>
      <c r="S25" s="102">
        <f>TrAvia_act!S$11</f>
        <v>3470.2115842044186</v>
      </c>
      <c r="T25" s="102">
        <f>TrAvia_act!T$11</f>
        <v>4159.5036057779134</v>
      </c>
      <c r="U25" s="102">
        <f>TrAvia_act!U$11</f>
        <v>3932.7041686913049</v>
      </c>
      <c r="V25" s="102">
        <f>TrAvia_act!V$11</f>
        <v>5234.2265082260956</v>
      </c>
      <c r="W25" s="102">
        <f>TrAvia_act!W$11</f>
        <v>6588.0435416579739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7496.8</v>
      </c>
      <c r="C26" s="110">
        <f t="shared" si="21"/>
        <v>7905.8530000000001</v>
      </c>
      <c r="D26" s="110">
        <f t="shared" si="21"/>
        <v>8287.6280000000006</v>
      </c>
      <c r="E26" s="110">
        <f t="shared" si="21"/>
        <v>8433.4050000000007</v>
      </c>
      <c r="F26" s="110">
        <f t="shared" si="21"/>
        <v>8543.0679999999993</v>
      </c>
      <c r="G26" s="110">
        <f t="shared" si="21"/>
        <v>8841.0779999999995</v>
      </c>
      <c r="H26" s="110">
        <f t="shared" si="21"/>
        <v>9238.4709999999995</v>
      </c>
      <c r="I26" s="110">
        <f t="shared" si="21"/>
        <v>9393.0869999999995</v>
      </c>
      <c r="J26" s="110">
        <f t="shared" si="21"/>
        <v>9126.3639999999996</v>
      </c>
      <c r="K26" s="110">
        <f t="shared" si="21"/>
        <v>7324.13</v>
      </c>
      <c r="L26" s="110">
        <f t="shared" si="21"/>
        <v>9327.8539999999994</v>
      </c>
      <c r="M26" s="110">
        <f t="shared" si="21"/>
        <v>9454.6830000000009</v>
      </c>
      <c r="N26" s="110">
        <f t="shared" si="21"/>
        <v>10625.572</v>
      </c>
      <c r="O26" s="110">
        <f t="shared" si="21"/>
        <v>10560.071</v>
      </c>
      <c r="P26" s="110">
        <f t="shared" si="21"/>
        <v>10641.514999999999</v>
      </c>
      <c r="Q26" s="110">
        <f t="shared" si="21"/>
        <v>10612.959000000001</v>
      </c>
      <c r="R26" s="110">
        <f t="shared" ref="R26:V26" si="22">R27+R28</f>
        <v>10548.573</v>
      </c>
      <c r="S26" s="110">
        <f t="shared" si="22"/>
        <v>11263.18</v>
      </c>
      <c r="T26" s="110">
        <f t="shared" si="22"/>
        <v>8150.3459999999995</v>
      </c>
      <c r="U26" s="110">
        <f t="shared" si="22"/>
        <v>7959.7380000000003</v>
      </c>
      <c r="V26" s="110">
        <f t="shared" si="22"/>
        <v>7595.2389999999996</v>
      </c>
      <c r="W26" s="110">
        <f t="shared" ref="W26" si="23">W27+W28</f>
        <v>8442.1880000000001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281.8</v>
      </c>
      <c r="C27" s="102">
        <f>TrNavi_act!C4</f>
        <v>250.85300000000001</v>
      </c>
      <c r="D27" s="102">
        <f>TrNavi_act!D4</f>
        <v>214.62799999999999</v>
      </c>
      <c r="E27" s="102">
        <f>TrNavi_act!E4</f>
        <v>203.405</v>
      </c>
      <c r="F27" s="102">
        <f>TrNavi_act!F4</f>
        <v>151.06800000000001</v>
      </c>
      <c r="G27" s="102">
        <f>TrNavi_act!G4</f>
        <v>275.07799999999997</v>
      </c>
      <c r="H27" s="102">
        <f>TrNavi_act!H4</f>
        <v>330.471</v>
      </c>
      <c r="I27" s="102">
        <f>TrNavi_act!I4</f>
        <v>387.08699999999999</v>
      </c>
      <c r="J27" s="102">
        <f>TrNavi_act!J4</f>
        <v>380.36399999999998</v>
      </c>
      <c r="K27" s="102">
        <f>TrNavi_act!K4</f>
        <v>237.13</v>
      </c>
      <c r="L27" s="102">
        <f>TrNavi_act!L4</f>
        <v>257.85399999999998</v>
      </c>
      <c r="M27" s="102">
        <f>TrNavi_act!M4</f>
        <v>203.68299999999999</v>
      </c>
      <c r="N27" s="102">
        <f>TrNavi_act!N4</f>
        <v>205.572</v>
      </c>
      <c r="O27" s="102">
        <f>TrNavi_act!O4</f>
        <v>195.071</v>
      </c>
      <c r="P27" s="102">
        <f>TrNavi_act!P4</f>
        <v>190.51499999999999</v>
      </c>
      <c r="Q27" s="102">
        <f>TrNavi_act!Q4</f>
        <v>186.959</v>
      </c>
      <c r="R27" s="102">
        <f>TrNavi_act!R4</f>
        <v>217.57300000000001</v>
      </c>
      <c r="S27" s="102">
        <f>TrNavi_act!S4</f>
        <v>165.18</v>
      </c>
      <c r="T27" s="102">
        <f>TrNavi_act!T4</f>
        <v>164.346</v>
      </c>
      <c r="U27" s="102">
        <f>TrNavi_act!U4</f>
        <v>192.738</v>
      </c>
      <c r="V27" s="102">
        <f>TrNavi_act!V4</f>
        <v>207.239</v>
      </c>
      <c r="W27" s="102">
        <f>TrNavi_act!W4</f>
        <v>262.18799999999999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7215</v>
      </c>
      <c r="C28" s="169">
        <f>TrNavi_act!C5</f>
        <v>7655</v>
      </c>
      <c r="D28" s="169">
        <f>TrNavi_act!D5</f>
        <v>8073</v>
      </c>
      <c r="E28" s="169">
        <f>TrNavi_act!E5</f>
        <v>8230</v>
      </c>
      <c r="F28" s="169">
        <f>TrNavi_act!F5</f>
        <v>8392</v>
      </c>
      <c r="G28" s="169">
        <f>TrNavi_act!G5</f>
        <v>8566</v>
      </c>
      <c r="H28" s="169">
        <f>TrNavi_act!H5</f>
        <v>8908</v>
      </c>
      <c r="I28" s="169">
        <f>TrNavi_act!I5</f>
        <v>9006</v>
      </c>
      <c r="J28" s="169">
        <f>TrNavi_act!J5</f>
        <v>8746</v>
      </c>
      <c r="K28" s="169">
        <f>TrNavi_act!K5</f>
        <v>7087</v>
      </c>
      <c r="L28" s="169">
        <f>TrNavi_act!L5</f>
        <v>9070</v>
      </c>
      <c r="M28" s="169">
        <f>TrNavi_act!M5</f>
        <v>9251</v>
      </c>
      <c r="N28" s="169">
        <f>TrNavi_act!N5</f>
        <v>10420</v>
      </c>
      <c r="O28" s="169">
        <f>TrNavi_act!O5</f>
        <v>10365</v>
      </c>
      <c r="P28" s="169">
        <f>TrNavi_act!P5</f>
        <v>10451</v>
      </c>
      <c r="Q28" s="169">
        <f>TrNavi_act!Q5</f>
        <v>10426</v>
      </c>
      <c r="R28" s="169">
        <f>TrNavi_act!R5</f>
        <v>10331</v>
      </c>
      <c r="S28" s="169">
        <f>TrNavi_act!S5</f>
        <v>11098</v>
      </c>
      <c r="T28" s="169">
        <f>TrNavi_act!T5</f>
        <v>7986</v>
      </c>
      <c r="U28" s="169">
        <f>TrNavi_act!U5</f>
        <v>7767</v>
      </c>
      <c r="V28" s="169">
        <f>TrNavi_act!V5</f>
        <v>7388</v>
      </c>
      <c r="W28" s="169">
        <f>TrNavi_act!W5</f>
        <v>8180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536916.56472699996</v>
      </c>
      <c r="C29" s="28">
        <f t="shared" si="24"/>
        <v>520691.82786900003</v>
      </c>
      <c r="D29" s="28">
        <f t="shared" si="24"/>
        <v>531595.50188899995</v>
      </c>
      <c r="E29" s="28">
        <f t="shared" si="24"/>
        <v>574420.27238299989</v>
      </c>
      <c r="F29" s="28">
        <f t="shared" si="24"/>
        <v>613771.14148300001</v>
      </c>
      <c r="G29" s="28">
        <f t="shared" si="24"/>
        <v>664874.12805900001</v>
      </c>
      <c r="H29" s="28">
        <f t="shared" si="24"/>
        <v>708968.74720900005</v>
      </c>
      <c r="I29" s="28">
        <f t="shared" si="24"/>
        <v>781322.25958099996</v>
      </c>
      <c r="J29" s="28">
        <f t="shared" si="24"/>
        <v>813581.504128</v>
      </c>
      <c r="K29" s="28">
        <f t="shared" si="24"/>
        <v>669504.83432400005</v>
      </c>
      <c r="L29" s="28">
        <f t="shared" si="24"/>
        <v>739239.87724000006</v>
      </c>
      <c r="M29" s="28">
        <f t="shared" si="24"/>
        <v>790637.17215100012</v>
      </c>
      <c r="N29" s="28">
        <f t="shared" si="24"/>
        <v>738084.92249000003</v>
      </c>
      <c r="O29" s="28">
        <f t="shared" si="24"/>
        <v>750287.93105100002</v>
      </c>
      <c r="P29" s="28">
        <f t="shared" si="24"/>
        <v>776085.00841999997</v>
      </c>
      <c r="Q29" s="28">
        <f t="shared" si="24"/>
        <v>795870.21277400001</v>
      </c>
      <c r="R29" s="28">
        <f t="shared" si="24"/>
        <v>807296.094836</v>
      </c>
      <c r="S29" s="28">
        <f t="shared" si="24"/>
        <v>886372.32640699996</v>
      </c>
      <c r="T29" s="28">
        <f t="shared" si="24"/>
        <v>924557.71506299998</v>
      </c>
      <c r="U29" s="28">
        <f t="shared" si="24"/>
        <v>957033.14185300004</v>
      </c>
      <c r="V29" s="28">
        <f t="shared" si="24"/>
        <v>927838.81251600001</v>
      </c>
      <c r="W29" s="28">
        <f t="shared" si="24"/>
        <v>996096.745704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49184.657199000001</v>
      </c>
      <c r="C30" s="102">
        <f>MBunk_act!C$4</f>
        <v>49571.621654000002</v>
      </c>
      <c r="D30" s="102">
        <f>MBunk_act!D$4</f>
        <v>46311.462051999995</v>
      </c>
      <c r="E30" s="102">
        <f>MBunk_act!E$4</f>
        <v>49835.065215000002</v>
      </c>
      <c r="F30" s="102">
        <f>MBunk_act!F$4</f>
        <v>45353.962316000005</v>
      </c>
      <c r="G30" s="102">
        <f>MBunk_act!G$4</f>
        <v>42186.861394</v>
      </c>
      <c r="H30" s="102">
        <f>MBunk_act!H$4</f>
        <v>43542.823435999999</v>
      </c>
      <c r="I30" s="102">
        <f>MBunk_act!I$4</f>
        <v>45916.212125000005</v>
      </c>
      <c r="J30" s="102">
        <f>MBunk_act!J$4</f>
        <v>47033.962696000002</v>
      </c>
      <c r="K30" s="102">
        <f>MBunk_act!K$4</f>
        <v>38142.209949999997</v>
      </c>
      <c r="L30" s="102">
        <f>MBunk_act!L$4</f>
        <v>46971.507127999997</v>
      </c>
      <c r="M30" s="102">
        <f>MBunk_act!M$4</f>
        <v>45203.572231000006</v>
      </c>
      <c r="N30" s="102">
        <f>MBunk_act!N$4</f>
        <v>46983.007283999999</v>
      </c>
      <c r="O30" s="102">
        <f>MBunk_act!O$4</f>
        <v>50501.311792</v>
      </c>
      <c r="P30" s="102">
        <f>MBunk_act!P$4</f>
        <v>54921.373045</v>
      </c>
      <c r="Q30" s="102">
        <f>MBunk_act!Q$4</f>
        <v>59328.814479000001</v>
      </c>
      <c r="R30" s="102">
        <f>MBunk_act!R$4</f>
        <v>73280.599928000011</v>
      </c>
      <c r="S30" s="102">
        <f>MBunk_act!S$4</f>
        <v>70035.566493000006</v>
      </c>
      <c r="T30" s="102">
        <f>MBunk_act!T$4</f>
        <v>67540.769266000003</v>
      </c>
      <c r="U30" s="102">
        <f>MBunk_act!U$4</f>
        <v>72979.931723000002</v>
      </c>
      <c r="V30" s="102">
        <f>MBunk_act!V$4</f>
        <v>71565.373140000011</v>
      </c>
      <c r="W30" s="102">
        <f>MBunk_act!W$4</f>
        <v>75784.535545999999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487731.90752800001</v>
      </c>
      <c r="C31" s="86">
        <f>MBunk_act!C$5</f>
        <v>471120.20621500001</v>
      </c>
      <c r="D31" s="86">
        <f>MBunk_act!D$5</f>
        <v>485284.03983699996</v>
      </c>
      <c r="E31" s="86">
        <f>MBunk_act!E$5</f>
        <v>524585.20716799994</v>
      </c>
      <c r="F31" s="86">
        <f>MBunk_act!F$5</f>
        <v>568417.17916699999</v>
      </c>
      <c r="G31" s="86">
        <f>MBunk_act!G$5</f>
        <v>622687.266665</v>
      </c>
      <c r="H31" s="86">
        <f>MBunk_act!H$5</f>
        <v>665425.92377300002</v>
      </c>
      <c r="I31" s="86">
        <f>MBunk_act!I$5</f>
        <v>735406.047456</v>
      </c>
      <c r="J31" s="86">
        <f>MBunk_act!J$5</f>
        <v>766547.541432</v>
      </c>
      <c r="K31" s="86">
        <f>MBunk_act!K$5</f>
        <v>631362.62437400001</v>
      </c>
      <c r="L31" s="86">
        <f>MBunk_act!L$5</f>
        <v>692268.37011200003</v>
      </c>
      <c r="M31" s="86">
        <f>MBunk_act!M$5</f>
        <v>745433.59992000007</v>
      </c>
      <c r="N31" s="86">
        <f>MBunk_act!N$5</f>
        <v>691101.91520599998</v>
      </c>
      <c r="O31" s="86">
        <f>MBunk_act!O$5</f>
        <v>699786.61925900006</v>
      </c>
      <c r="P31" s="86">
        <f>MBunk_act!P$5</f>
        <v>721163.63537499995</v>
      </c>
      <c r="Q31" s="86">
        <f>MBunk_act!Q$5</f>
        <v>736541.39829499996</v>
      </c>
      <c r="R31" s="86">
        <f>MBunk_act!R$5</f>
        <v>734015.49490799999</v>
      </c>
      <c r="S31" s="86">
        <f>MBunk_act!S$5</f>
        <v>816336.75991399994</v>
      </c>
      <c r="T31" s="86">
        <f>MBunk_act!T$5</f>
        <v>857016.94579699996</v>
      </c>
      <c r="U31" s="86">
        <f>MBunk_act!U$5</f>
        <v>884053.21013000002</v>
      </c>
      <c r="V31" s="86">
        <f>MBunk_act!V$5</f>
        <v>856273.43937599997</v>
      </c>
      <c r="W31" s="86">
        <f>MBunk_act!W$5</f>
        <v>920312.210158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7064.4365513517205</v>
      </c>
      <c r="C34" s="28">
        <f t="shared" si="25"/>
        <v>7038.9295922691481</v>
      </c>
      <c r="D34" s="28">
        <f t="shared" si="25"/>
        <v>6745.8992374500258</v>
      </c>
      <c r="E34" s="28">
        <f t="shared" si="25"/>
        <v>6952.2909267400073</v>
      </c>
      <c r="F34" s="28">
        <f t="shared" si="25"/>
        <v>6986.2058734079637</v>
      </c>
      <c r="G34" s="28">
        <f t="shared" si="25"/>
        <v>6678.9847037801683</v>
      </c>
      <c r="H34" s="28">
        <f t="shared" si="25"/>
        <v>6748.2945865130259</v>
      </c>
      <c r="I34" s="28">
        <f t="shared" si="25"/>
        <v>6969.4204820713221</v>
      </c>
      <c r="J34" s="28">
        <f t="shared" si="25"/>
        <v>7191.4103501888358</v>
      </c>
      <c r="K34" s="28">
        <f t="shared" si="25"/>
        <v>7169.6636544617313</v>
      </c>
      <c r="L34" s="28">
        <f t="shared" si="25"/>
        <v>7111.0944352476818</v>
      </c>
      <c r="M34" s="28">
        <f t="shared" si="25"/>
        <v>7110.6517040000545</v>
      </c>
      <c r="N34" s="28">
        <f t="shared" si="25"/>
        <v>6894.7942289324183</v>
      </c>
      <c r="O34" s="28">
        <f t="shared" si="25"/>
        <v>6676.3531686837168</v>
      </c>
      <c r="P34" s="28">
        <f t="shared" si="25"/>
        <v>6845.6153945665883</v>
      </c>
      <c r="Q34" s="28">
        <f t="shared" si="25"/>
        <v>7039.907695757337</v>
      </c>
      <c r="R34" s="28">
        <f t="shared" ref="R34:V34" si="26">R35+R39+R43</f>
        <v>6957.5976714331937</v>
      </c>
      <c r="S34" s="28">
        <f t="shared" si="26"/>
        <v>6870.0246483136243</v>
      </c>
      <c r="T34" s="28">
        <f t="shared" si="26"/>
        <v>6895.3380913725277</v>
      </c>
      <c r="U34" s="28">
        <f t="shared" si="26"/>
        <v>6856.7522937329413</v>
      </c>
      <c r="V34" s="28">
        <f t="shared" si="26"/>
        <v>5265.1477137857783</v>
      </c>
      <c r="W34" s="28">
        <f t="shared" ref="W34" si="27">W35+W39+W43</f>
        <v>5815.7918964865385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5636.2143472405405</v>
      </c>
      <c r="C35" s="137">
        <f t="shared" si="28"/>
        <v>5714.3880409637086</v>
      </c>
      <c r="D35" s="137">
        <f t="shared" si="28"/>
        <v>5653.3203281323176</v>
      </c>
      <c r="E35" s="137">
        <f t="shared" si="28"/>
        <v>5795.4621424767993</v>
      </c>
      <c r="F35" s="137">
        <f t="shared" si="28"/>
        <v>5849.2699720981818</v>
      </c>
      <c r="G35" s="137">
        <f t="shared" si="28"/>
        <v>5604.3701243051519</v>
      </c>
      <c r="H35" s="137">
        <f t="shared" si="28"/>
        <v>5712.2172818939171</v>
      </c>
      <c r="I35" s="137">
        <f t="shared" si="28"/>
        <v>5888.1280922121332</v>
      </c>
      <c r="J35" s="137">
        <f t="shared" si="28"/>
        <v>5991.7637197641061</v>
      </c>
      <c r="K35" s="137">
        <f t="shared" si="28"/>
        <v>5993.854260682213</v>
      </c>
      <c r="L35" s="137">
        <f t="shared" si="28"/>
        <v>5907.2427890547233</v>
      </c>
      <c r="M35" s="137">
        <f t="shared" si="28"/>
        <v>5828.7239117337449</v>
      </c>
      <c r="N35" s="137">
        <f t="shared" si="28"/>
        <v>5674.2330649012101</v>
      </c>
      <c r="O35" s="137">
        <f t="shared" si="28"/>
        <v>5507.0185578284954</v>
      </c>
      <c r="P35" s="137">
        <f t="shared" si="28"/>
        <v>5624.7984497076759</v>
      </c>
      <c r="Q35" s="137">
        <f t="shared" si="28"/>
        <v>5756.9754741398674</v>
      </c>
      <c r="R35" s="137">
        <f t="shared" ref="R35:V35" si="29">R36+R37+R38</f>
        <v>5662.0682877891277</v>
      </c>
      <c r="S35" s="137">
        <f t="shared" si="29"/>
        <v>5459.8385811959624</v>
      </c>
      <c r="T35" s="137">
        <f t="shared" si="29"/>
        <v>5420.4683116685728</v>
      </c>
      <c r="U35" s="137">
        <f t="shared" si="29"/>
        <v>5343.644465014555</v>
      </c>
      <c r="V35" s="137">
        <f t="shared" si="29"/>
        <v>4504.3242679391296</v>
      </c>
      <c r="W35" s="137">
        <f t="shared" ref="W35" si="30">W36+W37+W38</f>
        <v>4854.3979629238847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60.046730769153818</v>
      </c>
      <c r="C36" s="102">
        <f>TrRoad_ene!C$19</f>
        <v>62.223230390308245</v>
      </c>
      <c r="D36" s="102">
        <f>TrRoad_ene!D$19</f>
        <v>65.05835324829296</v>
      </c>
      <c r="E36" s="102">
        <f>TrRoad_ene!E$19</f>
        <v>67.278319457158489</v>
      </c>
      <c r="F36" s="102">
        <f>TrRoad_ene!F$19</f>
        <v>67.662390125228185</v>
      </c>
      <c r="G36" s="102">
        <f>TrRoad_ene!G$19</f>
        <v>64.579936768840028</v>
      </c>
      <c r="H36" s="102">
        <f>TrRoad_ene!H$19</f>
        <v>66.350386444919721</v>
      </c>
      <c r="I36" s="102">
        <f>TrRoad_ene!I$19</f>
        <v>68.226162879907221</v>
      </c>
      <c r="J36" s="102">
        <f>TrRoad_ene!J$19</f>
        <v>67.523800218373694</v>
      </c>
      <c r="K36" s="102">
        <f>TrRoad_ene!K$19</f>
        <v>65.616729009477339</v>
      </c>
      <c r="L36" s="102">
        <f>TrRoad_ene!L$19</f>
        <v>62.189287745177353</v>
      </c>
      <c r="M36" s="102">
        <f>TrRoad_ene!M$19</f>
        <v>61.282340205059853</v>
      </c>
      <c r="N36" s="102">
        <f>TrRoad_ene!N$19</f>
        <v>58.530295587848158</v>
      </c>
      <c r="O36" s="102">
        <f>TrRoad_ene!O$19</f>
        <v>55.607175638003248</v>
      </c>
      <c r="P36" s="102">
        <f>TrRoad_ene!P$19</f>
        <v>57.90733154345731</v>
      </c>
      <c r="Q36" s="102">
        <f>TrRoad_ene!Q$19</f>
        <v>56.865087382956048</v>
      </c>
      <c r="R36" s="102">
        <f>TrRoad_ene!R$19</f>
        <v>55.015332174597518</v>
      </c>
      <c r="S36" s="102">
        <f>TrRoad_ene!S$19</f>
        <v>53.120726316464044</v>
      </c>
      <c r="T36" s="102">
        <f>TrRoad_ene!T$19</f>
        <v>50.234628285163446</v>
      </c>
      <c r="U36" s="102">
        <f>TrRoad_ene!U$19</f>
        <v>53.460552955518565</v>
      </c>
      <c r="V36" s="102">
        <f>TrRoad_ene!V$19</f>
        <v>46.169019826076465</v>
      </c>
      <c r="W36" s="102">
        <f>TrRoad_ene!W$19</f>
        <v>45.93010938880213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5183.796039292416</v>
      </c>
      <c r="C37" s="102">
        <f>TrRoad_ene!C$21</f>
        <v>5262.7937205289718</v>
      </c>
      <c r="D37" s="102">
        <f>TrRoad_ene!D$21</f>
        <v>5201.3044192599446</v>
      </c>
      <c r="E37" s="102">
        <f>TrRoad_ene!E$21</f>
        <v>5332.126185106611</v>
      </c>
      <c r="F37" s="102">
        <f>TrRoad_ene!F$21</f>
        <v>5384.3575780805668</v>
      </c>
      <c r="G37" s="102">
        <f>TrRoad_ene!G$21</f>
        <v>5150.4822937465342</v>
      </c>
      <c r="H37" s="102">
        <f>TrRoad_ene!H$21</f>
        <v>5265.629161719733</v>
      </c>
      <c r="I37" s="102">
        <f>TrRoad_ene!I$21</f>
        <v>5444.4753656042803</v>
      </c>
      <c r="J37" s="102">
        <f>TrRoad_ene!J$21</f>
        <v>5541.2667405570382</v>
      </c>
      <c r="K37" s="102">
        <f>TrRoad_ene!K$21</f>
        <v>5552.0132898292522</v>
      </c>
      <c r="L37" s="102">
        <f>TrRoad_ene!L$21</f>
        <v>5471.0866505021622</v>
      </c>
      <c r="M37" s="102">
        <f>TrRoad_ene!M$21</f>
        <v>5406.1404689216397</v>
      </c>
      <c r="N37" s="102">
        <f>TrRoad_ene!N$21</f>
        <v>5265.1303678355362</v>
      </c>
      <c r="O37" s="102">
        <f>TrRoad_ene!O$21</f>
        <v>5110.2477099971247</v>
      </c>
      <c r="P37" s="102">
        <f>TrRoad_ene!P$21</f>
        <v>5218.8425118133409</v>
      </c>
      <c r="Q37" s="102">
        <f>TrRoad_ene!Q$21</f>
        <v>5338.888272956051</v>
      </c>
      <c r="R37" s="102">
        <f>TrRoad_ene!R$21</f>
        <v>5257.5559880812352</v>
      </c>
      <c r="S37" s="102">
        <f>TrRoad_ene!S$21</f>
        <v>5047.5014913163459</v>
      </c>
      <c r="T37" s="102">
        <f>TrRoad_ene!T$21</f>
        <v>4992.7408414849788</v>
      </c>
      <c r="U37" s="102">
        <f>TrRoad_ene!U$21</f>
        <v>4906.8392997751425</v>
      </c>
      <c r="V37" s="102">
        <f>TrRoad_ene!V$21</f>
        <v>4079.0865995903255</v>
      </c>
      <c r="W37" s="102">
        <f>TrRoad_ene!W$21</f>
        <v>4409.451010798628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392.37157717897054</v>
      </c>
      <c r="C38" s="102">
        <f>TrRoad_ene!C$33</f>
        <v>389.37109004442851</v>
      </c>
      <c r="D38" s="102">
        <f>TrRoad_ene!D$33</f>
        <v>386.95755562407965</v>
      </c>
      <c r="E38" s="102">
        <f>TrRoad_ene!E$33</f>
        <v>396.05763791302974</v>
      </c>
      <c r="F38" s="102">
        <f>TrRoad_ene!F$33</f>
        <v>397.25000389238767</v>
      </c>
      <c r="G38" s="102">
        <f>TrRoad_ene!G$33</f>
        <v>389.30789378977784</v>
      </c>
      <c r="H38" s="102">
        <f>TrRoad_ene!H$33</f>
        <v>380.23773372926468</v>
      </c>
      <c r="I38" s="102">
        <f>TrRoad_ene!I$33</f>
        <v>375.4265637279459</v>
      </c>
      <c r="J38" s="102">
        <f>TrRoad_ene!J$33</f>
        <v>382.97317898869449</v>
      </c>
      <c r="K38" s="102">
        <f>TrRoad_ene!K$33</f>
        <v>376.22424184348324</v>
      </c>
      <c r="L38" s="102">
        <f>TrRoad_ene!L$33</f>
        <v>373.96685080738411</v>
      </c>
      <c r="M38" s="102">
        <f>TrRoad_ene!M$33</f>
        <v>361.30110260704549</v>
      </c>
      <c r="N38" s="102">
        <f>TrRoad_ene!N$33</f>
        <v>350.57240147782591</v>
      </c>
      <c r="O38" s="102">
        <f>TrRoad_ene!O$33</f>
        <v>341.16367219336712</v>
      </c>
      <c r="P38" s="102">
        <f>TrRoad_ene!P$33</f>
        <v>348.04860635087755</v>
      </c>
      <c r="Q38" s="102">
        <f>TrRoad_ene!Q$33</f>
        <v>361.22211380086077</v>
      </c>
      <c r="R38" s="102">
        <f>TrRoad_ene!R$33</f>
        <v>349.49696753329494</v>
      </c>
      <c r="S38" s="102">
        <f>TrRoad_ene!S$33</f>
        <v>359.21636356315213</v>
      </c>
      <c r="T38" s="102">
        <f>TrRoad_ene!T$33</f>
        <v>377.49284189843127</v>
      </c>
      <c r="U38" s="102">
        <f>TrRoad_ene!U$33</f>
        <v>383.34461228389438</v>
      </c>
      <c r="V38" s="102">
        <f>TrRoad_ene!V$33</f>
        <v>379.06864852272753</v>
      </c>
      <c r="W38" s="102">
        <f>TrRoad_ene!W$33</f>
        <v>399.01684273645463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123.88622009564459</v>
      </c>
      <c r="C39" s="110">
        <f t="shared" si="31"/>
        <v>125.28730794823163</v>
      </c>
      <c r="D39" s="110">
        <f t="shared" si="31"/>
        <v>123.64982261575796</v>
      </c>
      <c r="E39" s="110">
        <f t="shared" si="31"/>
        <v>126.78745703306031</v>
      </c>
      <c r="F39" s="110">
        <f t="shared" si="31"/>
        <v>135.54344863862161</v>
      </c>
      <c r="G39" s="110">
        <f t="shared" si="31"/>
        <v>133.98229018118587</v>
      </c>
      <c r="H39" s="110">
        <f t="shared" si="31"/>
        <v>145.05623807767785</v>
      </c>
      <c r="I39" s="110">
        <f t="shared" si="31"/>
        <v>145.12658622138153</v>
      </c>
      <c r="J39" s="110">
        <f t="shared" si="31"/>
        <v>147.84905343401718</v>
      </c>
      <c r="K39" s="110">
        <f t="shared" si="31"/>
        <v>143.70798334983022</v>
      </c>
      <c r="L39" s="110">
        <f t="shared" si="31"/>
        <v>140.50628920223471</v>
      </c>
      <c r="M39" s="110">
        <f t="shared" si="31"/>
        <v>133.82690957708991</v>
      </c>
      <c r="N39" s="110">
        <f t="shared" si="31"/>
        <v>131.51263605213825</v>
      </c>
      <c r="O39" s="110">
        <f t="shared" si="31"/>
        <v>128.0934282386213</v>
      </c>
      <c r="P39" s="110">
        <f t="shared" si="31"/>
        <v>118.10291152995619</v>
      </c>
      <c r="Q39" s="110">
        <f t="shared" si="31"/>
        <v>120.34024182140611</v>
      </c>
      <c r="R39" s="110">
        <f t="shared" ref="R39:V39" si="32">R40+R41+R42</f>
        <v>121.730065740729</v>
      </c>
      <c r="S39" s="110">
        <f t="shared" si="32"/>
        <v>125.26115219430815</v>
      </c>
      <c r="T39" s="110">
        <f t="shared" si="32"/>
        <v>114.42520665437202</v>
      </c>
      <c r="U39" s="110">
        <f t="shared" si="32"/>
        <v>117.41306991709367</v>
      </c>
      <c r="V39" s="110">
        <f t="shared" si="32"/>
        <v>105.40100479279639</v>
      </c>
      <c r="W39" s="110">
        <f t="shared" ref="W39" si="33">W40+W41+W42</f>
        <v>108.10850236038659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5.5265356812686006</v>
      </c>
      <c r="C40" s="102">
        <f>TrRail_ene!C$12</f>
        <v>5.434040937071333</v>
      </c>
      <c r="D40" s="102">
        <f>TrRail_ene!D$12</f>
        <v>5.4352740757328499</v>
      </c>
      <c r="E40" s="102">
        <f>TrRail_ene!E$12</f>
        <v>5.4964104934362368</v>
      </c>
      <c r="F40" s="102">
        <f>TrRail_ene!F$12</f>
        <v>5.3676426740308019</v>
      </c>
      <c r="G40" s="102">
        <f>TrRail_ene!G$12</f>
        <v>5.5477639160253309</v>
      </c>
      <c r="H40" s="102">
        <f>TrRail_ene!H$12</f>
        <v>5.5820120843833232</v>
      </c>
      <c r="I40" s="102">
        <f>TrRail_ene!I$12</f>
        <v>5.6490380305738537</v>
      </c>
      <c r="J40" s="102">
        <f>TrRail_ene!J$12</f>
        <v>5.6967635998961565</v>
      </c>
      <c r="K40" s="102">
        <f>TrRail_ene!K$12</f>
        <v>5.6741521140436681</v>
      </c>
      <c r="L40" s="102">
        <f>TrRail_ene!L$12</f>
        <v>5.9615551047427982</v>
      </c>
      <c r="M40" s="102">
        <f>TrRail_ene!M$12</f>
        <v>6.1548627078600653</v>
      </c>
      <c r="N40" s="102">
        <f>TrRail_ene!N$12</f>
        <v>6.5965876443760241</v>
      </c>
      <c r="O40" s="102">
        <f>TrRail_ene!O$12</f>
        <v>6.6260761198554663</v>
      </c>
      <c r="P40" s="102">
        <f>TrRail_ene!P$12</f>
        <v>6.4777277822823027</v>
      </c>
      <c r="Q40" s="102">
        <f>TrRail_ene!Q$12</f>
        <v>6.4640739966147391</v>
      </c>
      <c r="R40" s="102">
        <f>TrRail_ene!R$12</f>
        <v>6.5070839899660244</v>
      </c>
      <c r="S40" s="102">
        <f>TrRail_ene!S$12</f>
        <v>7.1441561058339005</v>
      </c>
      <c r="T40" s="102">
        <f>TrRail_ene!T$12</f>
        <v>7.2824036210388572</v>
      </c>
      <c r="U40" s="102">
        <f>TrRail_ene!U$12</f>
        <v>7.5214795409677135</v>
      </c>
      <c r="V40" s="102">
        <f>TrRail_ene!V$12</f>
        <v>4.8847380613134881</v>
      </c>
      <c r="W40" s="102">
        <f>TrRail_ene!W$12</f>
        <v>4.8798603031474794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110.62877292406149</v>
      </c>
      <c r="C41" s="102">
        <f>TrRail_ene!C$13</f>
        <v>111.94698087512705</v>
      </c>
      <c r="D41" s="102">
        <f>TrRail_ene!D$13</f>
        <v>110.15982529720914</v>
      </c>
      <c r="E41" s="102">
        <f>TrRail_ene!E$13</f>
        <v>113.47497176938688</v>
      </c>
      <c r="F41" s="102">
        <f>TrRail_ene!F$13</f>
        <v>121.82239200870667</v>
      </c>
      <c r="G41" s="102">
        <f>TrRail_ene!G$13</f>
        <v>119.85445176026813</v>
      </c>
      <c r="H41" s="102">
        <f>TrRail_ene!H$13</f>
        <v>131.54004011463178</v>
      </c>
      <c r="I41" s="102">
        <f>TrRail_ene!I$13</f>
        <v>131.11921314083753</v>
      </c>
      <c r="J41" s="102">
        <f>TrRail_ene!J$13</f>
        <v>133.11587696793191</v>
      </c>
      <c r="K41" s="102">
        <f>TrRail_ene!K$13</f>
        <v>129.53433651854871</v>
      </c>
      <c r="L41" s="102">
        <f>TrRail_ene!L$13</f>
        <v>125.97762795161077</v>
      </c>
      <c r="M41" s="102">
        <f>TrRail_ene!M$13</f>
        <v>120.43782911498059</v>
      </c>
      <c r="N41" s="102">
        <f>TrRail_ene!N$13</f>
        <v>117.71850088100608</v>
      </c>
      <c r="O41" s="102">
        <f>TrRail_ene!O$13</f>
        <v>114.31494251422946</v>
      </c>
      <c r="P41" s="102">
        <f>TrRail_ene!P$13</f>
        <v>104.51404027503375</v>
      </c>
      <c r="Q41" s="102">
        <f>TrRail_ene!Q$13</f>
        <v>104.79503742846146</v>
      </c>
      <c r="R41" s="102">
        <f>TrRail_ene!R$13</f>
        <v>104.13063130228205</v>
      </c>
      <c r="S41" s="102">
        <f>TrRail_ene!S$13</f>
        <v>106.73798477217922</v>
      </c>
      <c r="T41" s="102">
        <f>TrRail_ene!T$13</f>
        <v>96.173787381208996</v>
      </c>
      <c r="U41" s="102">
        <f>TrRail_ene!U$13</f>
        <v>98.621270677577286</v>
      </c>
      <c r="V41" s="102">
        <f>TrRail_ene!V$13</f>
        <v>90.106729975591776</v>
      </c>
      <c r="W41" s="102">
        <f>TrRail_ene!W$13</f>
        <v>92.216675796848151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7.7309114903144964</v>
      </c>
      <c r="C42" s="102">
        <f>TrRail_ene!C$16</f>
        <v>7.9062861360332386</v>
      </c>
      <c r="D42" s="102">
        <f>TrRail_ene!D$16</f>
        <v>8.0547232428159639</v>
      </c>
      <c r="E42" s="102">
        <f>TrRail_ene!E$16</f>
        <v>7.8160747702371944</v>
      </c>
      <c r="F42" s="102">
        <f>TrRail_ene!F$16</f>
        <v>8.3534139558841218</v>
      </c>
      <c r="G42" s="102">
        <f>TrRail_ene!G$16</f>
        <v>8.5800745048923996</v>
      </c>
      <c r="H42" s="102">
        <f>TrRail_ene!H$16</f>
        <v>7.9341858786627357</v>
      </c>
      <c r="I42" s="102">
        <f>TrRail_ene!I$16</f>
        <v>8.3583350499701581</v>
      </c>
      <c r="J42" s="102">
        <f>TrRail_ene!J$16</f>
        <v>9.0364128661891243</v>
      </c>
      <c r="K42" s="102">
        <f>TrRail_ene!K$16</f>
        <v>8.499494717237825</v>
      </c>
      <c r="L42" s="102">
        <f>TrRail_ene!L$16</f>
        <v>8.5671061458811568</v>
      </c>
      <c r="M42" s="102">
        <f>TrRail_ene!M$16</f>
        <v>7.2342177542492472</v>
      </c>
      <c r="N42" s="102">
        <f>TrRail_ene!N$16</f>
        <v>7.1975475267561535</v>
      </c>
      <c r="O42" s="102">
        <f>TrRail_ene!O$16</f>
        <v>7.152409604536361</v>
      </c>
      <c r="P42" s="102">
        <f>TrRail_ene!P$16</f>
        <v>7.1111434726401432</v>
      </c>
      <c r="Q42" s="102">
        <f>TrRail_ene!Q$16</f>
        <v>9.0811303963299057</v>
      </c>
      <c r="R42" s="102">
        <f>TrRail_ene!R$16</f>
        <v>11.092350448480921</v>
      </c>
      <c r="S42" s="102">
        <f>TrRail_ene!S$16</f>
        <v>11.379011316295031</v>
      </c>
      <c r="T42" s="102">
        <f>TrRail_ene!T$16</f>
        <v>10.969015652124174</v>
      </c>
      <c r="U42" s="102">
        <f>TrRail_ene!U$16</f>
        <v>11.270319698548667</v>
      </c>
      <c r="V42" s="102">
        <f>TrRail_ene!V$16</f>
        <v>10.40953675589112</v>
      </c>
      <c r="W42" s="102">
        <f>TrRail_ene!W$16</f>
        <v>11.011966260390967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1304.3359840155351</v>
      </c>
      <c r="C43" s="110">
        <f t="shared" si="34"/>
        <v>1199.2542433572078</v>
      </c>
      <c r="D43" s="110">
        <f t="shared" si="34"/>
        <v>968.92908670195015</v>
      </c>
      <c r="E43" s="110">
        <f t="shared" si="34"/>
        <v>1030.0413272301478</v>
      </c>
      <c r="F43" s="110">
        <f t="shared" si="34"/>
        <v>1001.3924526711598</v>
      </c>
      <c r="G43" s="110">
        <f t="shared" si="34"/>
        <v>940.63228929383035</v>
      </c>
      <c r="H43" s="110">
        <f t="shared" si="34"/>
        <v>891.02106654143086</v>
      </c>
      <c r="I43" s="110">
        <f t="shared" si="34"/>
        <v>936.16580363780713</v>
      </c>
      <c r="J43" s="110">
        <f t="shared" si="34"/>
        <v>1051.7975769907123</v>
      </c>
      <c r="K43" s="110">
        <f t="shared" si="34"/>
        <v>1032.1014104296883</v>
      </c>
      <c r="L43" s="110">
        <f t="shared" si="34"/>
        <v>1063.3453569907238</v>
      </c>
      <c r="M43" s="110">
        <f t="shared" si="34"/>
        <v>1148.1008826892191</v>
      </c>
      <c r="N43" s="110">
        <f t="shared" si="34"/>
        <v>1089.0485279790696</v>
      </c>
      <c r="O43" s="110">
        <f t="shared" si="34"/>
        <v>1041.2411826165999</v>
      </c>
      <c r="P43" s="110">
        <f t="shared" si="34"/>
        <v>1102.7140333289562</v>
      </c>
      <c r="Q43" s="110">
        <f t="shared" si="34"/>
        <v>1162.5919797960632</v>
      </c>
      <c r="R43" s="110">
        <f t="shared" ref="R43:V43" si="35">R44+R45+R46</f>
        <v>1173.7993179033369</v>
      </c>
      <c r="S43" s="110">
        <f t="shared" si="35"/>
        <v>1284.9249149233538</v>
      </c>
      <c r="T43" s="110">
        <f t="shared" si="35"/>
        <v>1360.4445730495827</v>
      </c>
      <c r="U43" s="110">
        <f t="shared" si="35"/>
        <v>1395.6947588012927</v>
      </c>
      <c r="V43" s="110">
        <f t="shared" si="35"/>
        <v>655.42244105385225</v>
      </c>
      <c r="W43" s="110">
        <f t="shared" ref="W43" si="36">W44+W45+W46</f>
        <v>853.28543120226686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0</v>
      </c>
      <c r="C44" s="102">
        <f>TrAvia_ene!C$7</f>
        <v>0</v>
      </c>
      <c r="D44" s="102">
        <f>TrAvia_ene!D$7</f>
        <v>0</v>
      </c>
      <c r="E44" s="102">
        <f>TrAvia_ene!E$7</f>
        <v>0</v>
      </c>
      <c r="F44" s="102">
        <f>TrAvia_ene!F$7</f>
        <v>0</v>
      </c>
      <c r="G44" s="102">
        <f>TrAvia_ene!G$7</f>
        <v>0</v>
      </c>
      <c r="H44" s="102">
        <f>TrAvia_ene!H$7</f>
        <v>0</v>
      </c>
      <c r="I44" s="102">
        <f>TrAvia_ene!I$7</f>
        <v>0</v>
      </c>
      <c r="J44" s="102">
        <f>TrAvia_ene!J$7</f>
        <v>0</v>
      </c>
      <c r="K44" s="102">
        <f>TrAvia_ene!K$7</f>
        <v>0</v>
      </c>
      <c r="L44" s="102">
        <f>TrAvia_ene!L$7</f>
        <v>0</v>
      </c>
      <c r="M44" s="102">
        <f>TrAvia_ene!M$7</f>
        <v>0</v>
      </c>
      <c r="N44" s="102">
        <f>TrAvia_ene!N$7</f>
        <v>0</v>
      </c>
      <c r="O44" s="102">
        <f>TrAvia_ene!O$7</f>
        <v>0</v>
      </c>
      <c r="P44" s="102">
        <f>TrAvia_ene!P$7</f>
        <v>0</v>
      </c>
      <c r="Q44" s="102">
        <f>TrAvia_ene!Q$7</f>
        <v>0</v>
      </c>
      <c r="R44" s="102">
        <f>TrAvia_ene!R$7</f>
        <v>0</v>
      </c>
      <c r="S44" s="102">
        <f>TrAvia_ene!S$7</f>
        <v>0</v>
      </c>
      <c r="T44" s="102">
        <f>TrAvia_ene!T$7</f>
        <v>0</v>
      </c>
      <c r="U44" s="102">
        <f>TrAvia_ene!U$7</f>
        <v>0</v>
      </c>
      <c r="V44" s="102">
        <f>TrAvia_ene!V$7</f>
        <v>0</v>
      </c>
      <c r="W44" s="102">
        <f>TrAvia_ene!W$7</f>
        <v>0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706.64362625365231</v>
      </c>
      <c r="C45" s="102">
        <f>TrAvia_ene!C$8</f>
        <v>655.69979322716688</v>
      </c>
      <c r="D45" s="102">
        <f>TrAvia_ene!D$8</f>
        <v>536.97898294928041</v>
      </c>
      <c r="E45" s="102">
        <f>TrAvia_ene!E$8</f>
        <v>570.28274335307242</v>
      </c>
      <c r="F45" s="102">
        <f>TrAvia_ene!F$8</f>
        <v>535.8339847455926</v>
      </c>
      <c r="G45" s="102">
        <f>TrAvia_ene!G$8</f>
        <v>503.77810512530215</v>
      </c>
      <c r="H45" s="102">
        <f>TrAvia_ene!H$8</f>
        <v>482.44841490042444</v>
      </c>
      <c r="I45" s="102">
        <f>TrAvia_ene!I$8</f>
        <v>513.67300893381707</v>
      </c>
      <c r="J45" s="102">
        <f>TrAvia_ene!J$8</f>
        <v>567.25886131793277</v>
      </c>
      <c r="K45" s="102">
        <f>TrAvia_ene!K$8</f>
        <v>539.98953181283207</v>
      </c>
      <c r="L45" s="102">
        <f>TrAvia_ene!L$8</f>
        <v>553.75711326073838</v>
      </c>
      <c r="M45" s="102">
        <f>TrAvia_ene!M$8</f>
        <v>596.27781126471336</v>
      </c>
      <c r="N45" s="102">
        <f>TrAvia_ene!N$8</f>
        <v>558.30860165051126</v>
      </c>
      <c r="O45" s="102">
        <f>TrAvia_ene!O$8</f>
        <v>530.93737520172658</v>
      </c>
      <c r="P45" s="102">
        <f>TrAvia_ene!P$8</f>
        <v>565.29295920446566</v>
      </c>
      <c r="Q45" s="102">
        <f>TrAvia_ene!Q$8</f>
        <v>600.18982665711565</v>
      </c>
      <c r="R45" s="102">
        <f>TrAvia_ene!R$8</f>
        <v>621.71227226969336</v>
      </c>
      <c r="S45" s="102">
        <f>TrAvia_ene!S$8</f>
        <v>693.68621899374909</v>
      </c>
      <c r="T45" s="102">
        <f>TrAvia_ene!T$8</f>
        <v>729.22485349274234</v>
      </c>
      <c r="U45" s="102">
        <f>TrAvia_ene!U$8</f>
        <v>730.03950312983204</v>
      </c>
      <c r="V45" s="102">
        <f>TrAvia_ene!V$8</f>
        <v>318.21540668149606</v>
      </c>
      <c r="W45" s="102">
        <f>TrAvia_ene!W$8</f>
        <v>449.06681129221158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597.69235776188282</v>
      </c>
      <c r="C46" s="102">
        <f>TrAvia_ene!C$9</f>
        <v>543.55445013004089</v>
      </c>
      <c r="D46" s="102">
        <f>TrAvia_ene!D$9</f>
        <v>431.95010375266975</v>
      </c>
      <c r="E46" s="102">
        <f>TrAvia_ene!E$9</f>
        <v>459.75858387707541</v>
      </c>
      <c r="F46" s="102">
        <f>TrAvia_ene!F$9</f>
        <v>465.5584679255673</v>
      </c>
      <c r="G46" s="102">
        <f>TrAvia_ene!G$9</f>
        <v>436.85418416852815</v>
      </c>
      <c r="H46" s="102">
        <f>TrAvia_ene!H$9</f>
        <v>408.57265164100642</v>
      </c>
      <c r="I46" s="102">
        <f>TrAvia_ene!I$9</f>
        <v>422.49279470399006</v>
      </c>
      <c r="J46" s="102">
        <f>TrAvia_ene!J$9</f>
        <v>484.53871567277957</v>
      </c>
      <c r="K46" s="102">
        <f>TrAvia_ene!K$9</f>
        <v>492.11187861685607</v>
      </c>
      <c r="L46" s="102">
        <f>TrAvia_ene!L$9</f>
        <v>509.58824372998549</v>
      </c>
      <c r="M46" s="102">
        <f>TrAvia_ene!M$9</f>
        <v>551.82307142450577</v>
      </c>
      <c r="N46" s="102">
        <f>TrAvia_ene!N$9</f>
        <v>530.73992632855823</v>
      </c>
      <c r="O46" s="102">
        <f>TrAvia_ene!O$9</f>
        <v>510.30380741487323</v>
      </c>
      <c r="P46" s="102">
        <f>TrAvia_ene!P$9</f>
        <v>537.42107412449059</v>
      </c>
      <c r="Q46" s="102">
        <f>TrAvia_ene!Q$9</f>
        <v>562.40215313894771</v>
      </c>
      <c r="R46" s="102">
        <f>TrAvia_ene!R$9</f>
        <v>552.08704563364358</v>
      </c>
      <c r="S46" s="102">
        <f>TrAvia_ene!S$9</f>
        <v>591.23869592960466</v>
      </c>
      <c r="T46" s="102">
        <f>TrAvia_ene!T$9</f>
        <v>631.21971955684035</v>
      </c>
      <c r="U46" s="102">
        <f>TrAvia_ene!U$9</f>
        <v>665.65525567146062</v>
      </c>
      <c r="V46" s="102">
        <f>TrAvia_ene!V$9</f>
        <v>337.20703437235613</v>
      </c>
      <c r="W46" s="102">
        <f>TrAvia_ene!W$9</f>
        <v>404.21861991005528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2615.8607290321597</v>
      </c>
      <c r="C47" s="28">
        <f t="shared" si="37"/>
        <v>2771.3247127955333</v>
      </c>
      <c r="D47" s="28">
        <f t="shared" si="37"/>
        <v>2801.7162982265636</v>
      </c>
      <c r="E47" s="28">
        <f t="shared" si="37"/>
        <v>2907.310944114925</v>
      </c>
      <c r="F47" s="28">
        <f t="shared" si="37"/>
        <v>3160.0301491910086</v>
      </c>
      <c r="G47" s="28">
        <f t="shared" si="37"/>
        <v>3156.1535290465631</v>
      </c>
      <c r="H47" s="28">
        <f t="shared" si="37"/>
        <v>3267.0471683017931</v>
      </c>
      <c r="I47" s="28">
        <f t="shared" si="37"/>
        <v>3411.7847750071187</v>
      </c>
      <c r="J47" s="28">
        <f t="shared" si="37"/>
        <v>3313.2062187097108</v>
      </c>
      <c r="K47" s="28">
        <f t="shared" si="37"/>
        <v>3063.9281549410612</v>
      </c>
      <c r="L47" s="28">
        <f t="shared" si="37"/>
        <v>3160.2174082372576</v>
      </c>
      <c r="M47" s="28">
        <f t="shared" si="37"/>
        <v>3100.2489346313537</v>
      </c>
      <c r="N47" s="28">
        <f t="shared" si="37"/>
        <v>2945.4529679316684</v>
      </c>
      <c r="O47" s="28">
        <f t="shared" si="37"/>
        <v>2934.0344393462874</v>
      </c>
      <c r="P47" s="28">
        <f t="shared" si="37"/>
        <v>2982.5693669981206</v>
      </c>
      <c r="Q47" s="28">
        <f t="shared" si="37"/>
        <v>3281.5241196248007</v>
      </c>
      <c r="R47" s="28">
        <f t="shared" ref="R47:V47" si="38">R48+R51+R52+R56</f>
        <v>3449.9775892868288</v>
      </c>
      <c r="S47" s="28">
        <f t="shared" si="38"/>
        <v>3534.7400510157422</v>
      </c>
      <c r="T47" s="28">
        <f t="shared" si="38"/>
        <v>3654.4635995257145</v>
      </c>
      <c r="U47" s="28">
        <f t="shared" si="38"/>
        <v>3636.2744705601299</v>
      </c>
      <c r="V47" s="28">
        <f t="shared" si="38"/>
        <v>3633.2271682617102</v>
      </c>
      <c r="W47" s="28">
        <f t="shared" ref="W47" si="39">W48+W51+W52+W56</f>
        <v>4209.4923973720279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2067.7444980616542</v>
      </c>
      <c r="C48" s="137">
        <f t="shared" si="40"/>
        <v>2270.4965306529939</v>
      </c>
      <c r="D48" s="137">
        <f t="shared" si="40"/>
        <v>2336.5751731504624</v>
      </c>
      <c r="E48" s="137">
        <f t="shared" si="40"/>
        <v>2372.0727464348829</v>
      </c>
      <c r="F48" s="137">
        <f t="shared" si="40"/>
        <v>2648.0847951267583</v>
      </c>
      <c r="G48" s="137">
        <f t="shared" si="40"/>
        <v>2656.0063716342192</v>
      </c>
      <c r="H48" s="137">
        <f t="shared" si="40"/>
        <v>2742.7251607970838</v>
      </c>
      <c r="I48" s="137">
        <f t="shared" si="40"/>
        <v>2819.9535191225405</v>
      </c>
      <c r="J48" s="137">
        <f t="shared" si="40"/>
        <v>2734.7091689968656</v>
      </c>
      <c r="K48" s="137">
        <f t="shared" si="40"/>
        <v>2633.1320457111206</v>
      </c>
      <c r="L48" s="137">
        <f t="shared" si="40"/>
        <v>2651.0461825471557</v>
      </c>
      <c r="M48" s="137">
        <f t="shared" si="40"/>
        <v>2597.6730295631833</v>
      </c>
      <c r="N48" s="137">
        <f t="shared" si="40"/>
        <v>2504.7205808020844</v>
      </c>
      <c r="O48" s="137">
        <f t="shared" si="40"/>
        <v>2515.9705979229188</v>
      </c>
      <c r="P48" s="137">
        <f t="shared" si="40"/>
        <v>2577.4964580307214</v>
      </c>
      <c r="Q48" s="137">
        <f t="shared" si="40"/>
        <v>2824.7929706489776</v>
      </c>
      <c r="R48" s="137">
        <f t="shared" ref="R48:V48" si="41">R49+R50</f>
        <v>3015.5224501449966</v>
      </c>
      <c r="S48" s="137">
        <f t="shared" si="41"/>
        <v>3065.384071701762</v>
      </c>
      <c r="T48" s="137">
        <f t="shared" si="41"/>
        <v>3146.9689768221033</v>
      </c>
      <c r="U48" s="137">
        <f t="shared" si="41"/>
        <v>3156.0267532767975</v>
      </c>
      <c r="V48" s="137">
        <f t="shared" si="41"/>
        <v>2922.7173380980398</v>
      </c>
      <c r="W48" s="137">
        <f t="shared" ref="W48" si="42">W49+W50</f>
        <v>3380.1508193267709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1041.9873583799549</v>
      </c>
      <c r="C49" s="102">
        <f>TrRoad_ene!C$43</f>
        <v>1049.1059690526661</v>
      </c>
      <c r="D49" s="102">
        <f>TrRoad_ene!D$43</f>
        <v>1090.6253749475338</v>
      </c>
      <c r="E49" s="102">
        <f>TrRoad_ene!E$43</f>
        <v>1094.1240526390193</v>
      </c>
      <c r="F49" s="102">
        <f>TrRoad_ene!F$43</f>
        <v>1167.9532093277712</v>
      </c>
      <c r="G49" s="102">
        <f>TrRoad_ene!G$43</f>
        <v>1181.7876627565818</v>
      </c>
      <c r="H49" s="102">
        <f>TrRoad_ene!H$43</f>
        <v>1195.7188875063193</v>
      </c>
      <c r="I49" s="102">
        <f>TrRoad_ene!I$43</f>
        <v>1237.6383965097159</v>
      </c>
      <c r="J49" s="102">
        <f>TrRoad_ene!J$43</f>
        <v>1233.742801400487</v>
      </c>
      <c r="K49" s="102">
        <f>TrRoad_ene!K$43</f>
        <v>1205.5352094175598</v>
      </c>
      <c r="L49" s="102">
        <f>TrRoad_ene!L$43</f>
        <v>1198.368641539809</v>
      </c>
      <c r="M49" s="102">
        <f>TrRoad_ene!M$43</f>
        <v>1186.1214892298799</v>
      </c>
      <c r="N49" s="102">
        <f>TrRoad_ene!N$43</f>
        <v>1161.1330467149864</v>
      </c>
      <c r="O49" s="102">
        <f>TrRoad_ene!O$43</f>
        <v>1097.2189068639536</v>
      </c>
      <c r="P49" s="102">
        <f>TrRoad_ene!P$43</f>
        <v>1133.6843616985361</v>
      </c>
      <c r="Q49" s="102">
        <f>TrRoad_ene!Q$43</f>
        <v>1199.6448320192667</v>
      </c>
      <c r="R49" s="102">
        <f>TrRoad_ene!R$43</f>
        <v>1131.499034613599</v>
      </c>
      <c r="S49" s="102">
        <f>TrRoad_ene!S$43</f>
        <v>1038.7953786476237</v>
      </c>
      <c r="T49" s="102">
        <f>TrRoad_ene!T$43</f>
        <v>1020.4356156932183</v>
      </c>
      <c r="U49" s="102">
        <f>TrRoad_ene!U$43</f>
        <v>1025.383034370092</v>
      </c>
      <c r="V49" s="102">
        <f>TrRoad_ene!V$43</f>
        <v>961.89437600204781</v>
      </c>
      <c r="W49" s="102">
        <f>TrRoad_ene!W$43</f>
        <v>1122.3579073201374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1025.7571396816993</v>
      </c>
      <c r="C50" s="102">
        <f>TrRoad_ene!C$52</f>
        <v>1221.3905616003276</v>
      </c>
      <c r="D50" s="102">
        <f>TrRoad_ene!D$52</f>
        <v>1245.9497982029284</v>
      </c>
      <c r="E50" s="102">
        <f>TrRoad_ene!E$52</f>
        <v>1277.9486937958636</v>
      </c>
      <c r="F50" s="102">
        <f>TrRoad_ene!F$52</f>
        <v>1480.1315857989871</v>
      </c>
      <c r="G50" s="102">
        <f>TrRoad_ene!G$52</f>
        <v>1474.2187088776377</v>
      </c>
      <c r="H50" s="102">
        <f>TrRoad_ene!H$52</f>
        <v>1547.0062732907645</v>
      </c>
      <c r="I50" s="102">
        <f>TrRoad_ene!I$52</f>
        <v>1582.3151226128243</v>
      </c>
      <c r="J50" s="102">
        <f>TrRoad_ene!J$52</f>
        <v>1500.9663675963784</v>
      </c>
      <c r="K50" s="102">
        <f>TrRoad_ene!K$52</f>
        <v>1427.5968362935605</v>
      </c>
      <c r="L50" s="102">
        <f>TrRoad_ene!L$52</f>
        <v>1452.6775410073467</v>
      </c>
      <c r="M50" s="102">
        <f>TrRoad_ene!M$52</f>
        <v>1411.5515403333034</v>
      </c>
      <c r="N50" s="102">
        <f>TrRoad_ene!N$52</f>
        <v>1343.5875340870978</v>
      </c>
      <c r="O50" s="102">
        <f>TrRoad_ene!O$52</f>
        <v>1418.7516910589652</v>
      </c>
      <c r="P50" s="102">
        <f>TrRoad_ene!P$52</f>
        <v>1443.8120963321853</v>
      </c>
      <c r="Q50" s="102">
        <f>TrRoad_ene!Q$52</f>
        <v>1625.1481386297112</v>
      </c>
      <c r="R50" s="102">
        <f>TrRoad_ene!R$52</f>
        <v>1884.0234155313979</v>
      </c>
      <c r="S50" s="102">
        <f>TrRoad_ene!S$52</f>
        <v>2026.588693054138</v>
      </c>
      <c r="T50" s="102">
        <f>TrRoad_ene!T$52</f>
        <v>2126.5333611288847</v>
      </c>
      <c r="U50" s="102">
        <f>TrRoad_ene!U$52</f>
        <v>2130.6437189067055</v>
      </c>
      <c r="V50" s="102">
        <f>TrRoad_ene!V$52</f>
        <v>1960.8229620959919</v>
      </c>
      <c r="W50" s="102">
        <f>TrRoad_ene!W$52</f>
        <v>2257.7929120066337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53.959867608568658</v>
      </c>
      <c r="C51" s="110">
        <f>TrRail_ene!C$17</f>
        <v>48.126277606368568</v>
      </c>
      <c r="D51" s="110">
        <f>TrRail_ene!D$17</f>
        <v>44.5445024057382</v>
      </c>
      <c r="E51" s="110">
        <f>TrRail_ene!E$17</f>
        <v>43.148054574850256</v>
      </c>
      <c r="F51" s="110">
        <f>TrRail_ene!F$17</f>
        <v>47.699629607294113</v>
      </c>
      <c r="G51" s="110">
        <f>TrRail_ene!G$17</f>
        <v>51.646858572038568</v>
      </c>
      <c r="H51" s="110">
        <f>TrRail_ene!H$17</f>
        <v>55.257605430490713</v>
      </c>
      <c r="I51" s="110">
        <f>TrRail_ene!I$17</f>
        <v>57.203594346116361</v>
      </c>
      <c r="J51" s="110">
        <f>TrRail_ene!J$17</f>
        <v>54.132889816197803</v>
      </c>
      <c r="K51" s="110">
        <f>TrRail_ene!K$17</f>
        <v>36.962695927899816</v>
      </c>
      <c r="L51" s="110">
        <f>TrRail_ene!L$17</f>
        <v>40.473934357524463</v>
      </c>
      <c r="M51" s="110">
        <f>TrRail_ene!M$17</f>
        <v>39.335859124543859</v>
      </c>
      <c r="N51" s="110">
        <f>TrRail_ene!N$17</f>
        <v>39.185300319314898</v>
      </c>
      <c r="O51" s="110">
        <f>TrRail_ene!O$17</f>
        <v>37.661773825007238</v>
      </c>
      <c r="P51" s="110">
        <f>TrRail_ene!P$17</f>
        <v>35.67034728345741</v>
      </c>
      <c r="Q51" s="110">
        <f>TrRail_ene!Q$17</f>
        <v>35.735682512213813</v>
      </c>
      <c r="R51" s="110">
        <f>TrRail_ene!R$17</f>
        <v>35.617053777757619</v>
      </c>
      <c r="S51" s="110">
        <f>TrRail_ene!S$17</f>
        <v>37.18768701463425</v>
      </c>
      <c r="T51" s="110">
        <f>TrRail_ene!T$17</f>
        <v>48.704372021466249</v>
      </c>
      <c r="U51" s="110">
        <f>TrRail_ene!U$17</f>
        <v>46.050386660722324</v>
      </c>
      <c r="V51" s="110">
        <f>TrRail_ene!V$17</f>
        <v>42.81679400342032</v>
      </c>
      <c r="W51" s="110">
        <f>TrRail_ene!W$17</f>
        <v>45.730362643912578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205.61431693029459</v>
      </c>
      <c r="C52" s="110">
        <f t="shared" si="43"/>
        <v>176.7704342008312</v>
      </c>
      <c r="D52" s="110">
        <f t="shared" si="43"/>
        <v>171.70100788102536</v>
      </c>
      <c r="E52" s="110">
        <f t="shared" si="43"/>
        <v>214.83304938206183</v>
      </c>
      <c r="F52" s="110">
        <f t="shared" si="43"/>
        <v>217.29009247071423</v>
      </c>
      <c r="G52" s="110">
        <f t="shared" si="43"/>
        <v>218.37940460126848</v>
      </c>
      <c r="H52" s="110">
        <f t="shared" si="43"/>
        <v>318.31539089623027</v>
      </c>
      <c r="I52" s="110">
        <f t="shared" si="43"/>
        <v>377.31227030888311</v>
      </c>
      <c r="J52" s="110">
        <f t="shared" si="43"/>
        <v>368.49236282012146</v>
      </c>
      <c r="K52" s="110">
        <f t="shared" si="43"/>
        <v>261.86299197787889</v>
      </c>
      <c r="L52" s="110">
        <f t="shared" si="43"/>
        <v>311.9604039723028</v>
      </c>
      <c r="M52" s="110">
        <f t="shared" si="43"/>
        <v>312.96248790407378</v>
      </c>
      <c r="N52" s="110">
        <f t="shared" si="43"/>
        <v>255.95955456607282</v>
      </c>
      <c r="O52" s="110">
        <f t="shared" si="43"/>
        <v>231.77162907729493</v>
      </c>
      <c r="P52" s="110">
        <f t="shared" si="43"/>
        <v>227.71012832194674</v>
      </c>
      <c r="Q52" s="110">
        <f t="shared" si="43"/>
        <v>283.27121882818363</v>
      </c>
      <c r="R52" s="110">
        <f t="shared" si="43"/>
        <v>265.28546283612974</v>
      </c>
      <c r="S52" s="110">
        <f t="shared" si="43"/>
        <v>296.40449178343914</v>
      </c>
      <c r="T52" s="110">
        <f t="shared" si="43"/>
        <v>325.43728421610911</v>
      </c>
      <c r="U52" s="110">
        <f t="shared" si="43"/>
        <v>308.67377086336683</v>
      </c>
      <c r="V52" s="110">
        <f t="shared" si="43"/>
        <v>542.8234746813157</v>
      </c>
      <c r="W52" s="110">
        <f t="shared" ref="W52" si="44">W53+W54+W55</f>
        <v>658.74165392241105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0</v>
      </c>
      <c r="C53" s="102">
        <f>TrAvia_ene!C$11</f>
        <v>0</v>
      </c>
      <c r="D53" s="102">
        <f>TrAvia_ene!D$11</f>
        <v>0</v>
      </c>
      <c r="E53" s="102">
        <f>TrAvia_ene!E$11</f>
        <v>0</v>
      </c>
      <c r="F53" s="102">
        <f>TrAvia_ene!F$11</f>
        <v>0</v>
      </c>
      <c r="G53" s="102">
        <f>TrAvia_ene!G$11</f>
        <v>0</v>
      </c>
      <c r="H53" s="102">
        <f>TrAvia_ene!H$11</f>
        <v>0</v>
      </c>
      <c r="I53" s="102">
        <f>TrAvia_ene!I$11</f>
        <v>0</v>
      </c>
      <c r="J53" s="102">
        <f>TrAvia_ene!J$11</f>
        <v>0</v>
      </c>
      <c r="K53" s="102">
        <f>TrAvia_ene!K$11</f>
        <v>0</v>
      </c>
      <c r="L53" s="102">
        <f>TrAvia_ene!L$11</f>
        <v>0</v>
      </c>
      <c r="M53" s="102">
        <f>TrAvia_ene!M$11</f>
        <v>0</v>
      </c>
      <c r="N53" s="102">
        <f>TrAvia_ene!N$11</f>
        <v>0</v>
      </c>
      <c r="O53" s="102">
        <f>TrAvia_ene!O$11</f>
        <v>0</v>
      </c>
      <c r="P53" s="102">
        <f>TrAvia_ene!P$11</f>
        <v>0</v>
      </c>
      <c r="Q53" s="102">
        <f>TrAvia_ene!Q$11</f>
        <v>0</v>
      </c>
      <c r="R53" s="102">
        <f>TrAvia_ene!R$11</f>
        <v>0</v>
      </c>
      <c r="S53" s="102">
        <f>TrAvia_ene!S$11</f>
        <v>0</v>
      </c>
      <c r="T53" s="102">
        <f>TrAvia_ene!T$11</f>
        <v>0</v>
      </c>
      <c r="U53" s="102">
        <f>TrAvia_ene!U$11</f>
        <v>0</v>
      </c>
      <c r="V53" s="102">
        <f>TrAvia_ene!V$11</f>
        <v>0</v>
      </c>
      <c r="W53" s="102">
        <f>TrAvia_ene!W$11</f>
        <v>0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58.794111834437459</v>
      </c>
      <c r="C54" s="102">
        <f>TrAvia_ene!C$12</f>
        <v>44.099589959874855</v>
      </c>
      <c r="D54" s="102">
        <f>TrAvia_ene!D$12</f>
        <v>41.476050966786268</v>
      </c>
      <c r="E54" s="102">
        <f>TrAvia_ene!E$12</f>
        <v>41.811529857528434</v>
      </c>
      <c r="F54" s="102">
        <f>TrAvia_ene!F$12</f>
        <v>42.447852955516161</v>
      </c>
      <c r="G54" s="102">
        <f>TrAvia_ene!G$12</f>
        <v>46.461536170540278</v>
      </c>
      <c r="H54" s="102">
        <f>TrAvia_ene!H$12</f>
        <v>89.70616172964381</v>
      </c>
      <c r="I54" s="102">
        <f>TrAvia_ene!I$12</f>
        <v>98.090783455886125</v>
      </c>
      <c r="J54" s="102">
        <f>TrAvia_ene!J$12</f>
        <v>78.884706866528177</v>
      </c>
      <c r="K54" s="102">
        <f>TrAvia_ene!K$12</f>
        <v>56.47300008585276</v>
      </c>
      <c r="L54" s="102">
        <f>TrAvia_ene!L$12</f>
        <v>57.761814274200098</v>
      </c>
      <c r="M54" s="102">
        <f>TrAvia_ene!M$12</f>
        <v>55.730585061639466</v>
      </c>
      <c r="N54" s="102">
        <f>TrAvia_ene!N$12</f>
        <v>52.596320950670631</v>
      </c>
      <c r="O54" s="102">
        <f>TrAvia_ene!O$12</f>
        <v>51.817463023297414</v>
      </c>
      <c r="P54" s="102">
        <f>TrAvia_ene!P$12</f>
        <v>50.58204714061209</v>
      </c>
      <c r="Q54" s="102">
        <f>TrAvia_ene!Q$12</f>
        <v>56.601781069248318</v>
      </c>
      <c r="R54" s="102">
        <f>TrAvia_ene!R$12</f>
        <v>51.362578438529852</v>
      </c>
      <c r="S54" s="102">
        <f>TrAvia_ene!S$12</f>
        <v>62.817755956677637</v>
      </c>
      <c r="T54" s="102">
        <f>TrAvia_ene!T$12</f>
        <v>75.916767259514728</v>
      </c>
      <c r="U54" s="102">
        <f>TrAvia_ene!U$12</f>
        <v>74.004329475035519</v>
      </c>
      <c r="V54" s="102">
        <f>TrAvia_ene!V$12</f>
        <v>111.8012124893167</v>
      </c>
      <c r="W54" s="102">
        <f>TrAvia_ene!W$12</f>
        <v>153.65722821580187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146.82020509585715</v>
      </c>
      <c r="C55" s="102">
        <f>TrAvia_ene!C$13</f>
        <v>132.67084424095634</v>
      </c>
      <c r="D55" s="102">
        <f>TrAvia_ene!D$13</f>
        <v>130.2249569142391</v>
      </c>
      <c r="E55" s="102">
        <f>TrAvia_ene!E$13</f>
        <v>173.0215195245334</v>
      </c>
      <c r="F55" s="102">
        <f>TrAvia_ene!F$13</f>
        <v>174.84223951519806</v>
      </c>
      <c r="G55" s="102">
        <f>TrAvia_ene!G$13</f>
        <v>171.91786843072819</v>
      </c>
      <c r="H55" s="102">
        <f>TrAvia_ene!H$13</f>
        <v>228.60922916658646</v>
      </c>
      <c r="I55" s="102">
        <f>TrAvia_ene!I$13</f>
        <v>279.22148685299697</v>
      </c>
      <c r="J55" s="102">
        <f>TrAvia_ene!J$13</f>
        <v>289.60765595359328</v>
      </c>
      <c r="K55" s="102">
        <f>TrAvia_ene!K$13</f>
        <v>205.38999189202616</v>
      </c>
      <c r="L55" s="102">
        <f>TrAvia_ene!L$13</f>
        <v>254.19858969810272</v>
      </c>
      <c r="M55" s="102">
        <f>TrAvia_ene!M$13</f>
        <v>257.23190284243429</v>
      </c>
      <c r="N55" s="102">
        <f>TrAvia_ene!N$13</f>
        <v>203.36323361540218</v>
      </c>
      <c r="O55" s="102">
        <f>TrAvia_ene!O$13</f>
        <v>179.95416605399751</v>
      </c>
      <c r="P55" s="102">
        <f>TrAvia_ene!P$13</f>
        <v>177.12808118133464</v>
      </c>
      <c r="Q55" s="102">
        <f>TrAvia_ene!Q$13</f>
        <v>226.66943775893532</v>
      </c>
      <c r="R55" s="102">
        <f>TrAvia_ene!R$13</f>
        <v>213.92288439759989</v>
      </c>
      <c r="S55" s="102">
        <f>TrAvia_ene!S$13</f>
        <v>233.5867358267615</v>
      </c>
      <c r="T55" s="102">
        <f>TrAvia_ene!T$13</f>
        <v>249.52051695659441</v>
      </c>
      <c r="U55" s="102">
        <f>TrAvia_ene!U$13</f>
        <v>234.66944138833131</v>
      </c>
      <c r="V55" s="102">
        <f>TrAvia_ene!V$13</f>
        <v>431.02226219199895</v>
      </c>
      <c r="W55" s="102">
        <f>TrAvia_ene!W$13</f>
        <v>505.08442570660918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288.54204643164235</v>
      </c>
      <c r="C56" s="110">
        <f t="shared" si="45"/>
        <v>275.93147033533961</v>
      </c>
      <c r="D56" s="110">
        <f t="shared" si="45"/>
        <v>248.89561478933788</v>
      </c>
      <c r="E56" s="110">
        <f t="shared" si="45"/>
        <v>277.2570937231298</v>
      </c>
      <c r="F56" s="110">
        <f t="shared" si="45"/>
        <v>246.95563198624245</v>
      </c>
      <c r="G56" s="110">
        <f t="shared" si="45"/>
        <v>230.12089423903689</v>
      </c>
      <c r="H56" s="110">
        <f t="shared" si="45"/>
        <v>150.74901117798794</v>
      </c>
      <c r="I56" s="110">
        <f t="shared" si="45"/>
        <v>157.31539122957872</v>
      </c>
      <c r="J56" s="110">
        <f t="shared" si="45"/>
        <v>155.87179707652624</v>
      </c>
      <c r="K56" s="110">
        <f t="shared" si="45"/>
        <v>131.97042132416161</v>
      </c>
      <c r="L56" s="110">
        <f t="shared" si="45"/>
        <v>156.7368873602752</v>
      </c>
      <c r="M56" s="110">
        <f t="shared" si="45"/>
        <v>150.2775580395529</v>
      </c>
      <c r="N56" s="110">
        <f t="shared" si="45"/>
        <v>145.58753224419604</v>
      </c>
      <c r="O56" s="110">
        <f t="shared" si="45"/>
        <v>148.6304385210662</v>
      </c>
      <c r="P56" s="110">
        <f t="shared" si="45"/>
        <v>141.69243336199489</v>
      </c>
      <c r="Q56" s="110">
        <f t="shared" si="45"/>
        <v>137.72424763542566</v>
      </c>
      <c r="R56" s="110">
        <f t="shared" ref="R56:V56" si="46">R57+R58</f>
        <v>133.55262252794495</v>
      </c>
      <c r="S56" s="110">
        <f t="shared" si="46"/>
        <v>135.76380051590709</v>
      </c>
      <c r="T56" s="110">
        <f t="shared" si="46"/>
        <v>133.35296646603607</v>
      </c>
      <c r="U56" s="110">
        <f t="shared" si="46"/>
        <v>125.52355975924331</v>
      </c>
      <c r="V56" s="110">
        <f t="shared" si="46"/>
        <v>124.86956147893379</v>
      </c>
      <c r="W56" s="110">
        <f t="shared" ref="W56" si="47">W57+W58</f>
        <v>124.86956147893379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16.767268479576607</v>
      </c>
      <c r="C57" s="102">
        <f>TrNavi_ene!C4</f>
        <v>13.583205230683582</v>
      </c>
      <c r="D57" s="102">
        <f>TrNavi_ene!D4</f>
        <v>10.650109486832735</v>
      </c>
      <c r="E57" s="102">
        <f>TrNavi_ene!E4</f>
        <v>10.333919438663772</v>
      </c>
      <c r="F57" s="102">
        <f>TrNavi_ene!F4</f>
        <v>6.8504456469907069</v>
      </c>
      <c r="G57" s="102">
        <f>TrNavi_ene!G4</f>
        <v>12.045283863766137</v>
      </c>
      <c r="H57" s="102">
        <f>TrNavi_ene!H4</f>
        <v>10.615596453399817</v>
      </c>
      <c r="I57" s="102">
        <f>TrNavi_ene!I4</f>
        <v>12.160169289761759</v>
      </c>
      <c r="J57" s="102">
        <f>TrNavi_ene!J4</f>
        <v>13.130465620419205</v>
      </c>
      <c r="K57" s="102">
        <f>TrNavi_ene!K4</f>
        <v>7.5780583429792463</v>
      </c>
      <c r="L57" s="102">
        <f>TrNavi_ene!L4</f>
        <v>7.6426183622715529</v>
      </c>
      <c r="M57" s="102">
        <f>TrNavi_ene!M4</f>
        <v>6.6476359373267329</v>
      </c>
      <c r="N57" s="102">
        <f>TrNavi_ene!N4</f>
        <v>5.8567313461884929</v>
      </c>
      <c r="O57" s="102">
        <f>TrNavi_ene!O4</f>
        <v>5.9918977862387282</v>
      </c>
      <c r="P57" s="102">
        <f>TrNavi_ene!P4</f>
        <v>5.7547458501875068</v>
      </c>
      <c r="Q57" s="102">
        <f>TrNavi_ene!Q4</f>
        <v>5.0412002221863688</v>
      </c>
      <c r="R57" s="102">
        <f>TrNavi_ene!R4</f>
        <v>5.8154757139400246</v>
      </c>
      <c r="S57" s="102">
        <f>TrNavi_ene!S4</f>
        <v>4.568421007451863</v>
      </c>
      <c r="T57" s="102">
        <f>TrNavi_ene!T4</f>
        <v>5.8043804311510492</v>
      </c>
      <c r="U57" s="102">
        <f>TrNavi_ene!U4</f>
        <v>6.7035699591466047</v>
      </c>
      <c r="V57" s="102">
        <f>TrNavi_ene!V4</f>
        <v>6.7829444300248989</v>
      </c>
      <c r="W57" s="102">
        <f>TrNavi_ene!W4</f>
        <v>8.0612721463602828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271.77477795206573</v>
      </c>
      <c r="C58" s="169">
        <f>TrNavi_ene!C10</f>
        <v>262.34826510465604</v>
      </c>
      <c r="D58" s="169">
        <f>TrNavi_ene!D10</f>
        <v>238.24550530250514</v>
      </c>
      <c r="E58" s="169">
        <f>TrNavi_ene!E10</f>
        <v>266.92317428446603</v>
      </c>
      <c r="F58" s="169">
        <f>TrNavi_ene!F10</f>
        <v>240.10518633925176</v>
      </c>
      <c r="G58" s="169">
        <f>TrNavi_ene!G10</f>
        <v>218.07561037527074</v>
      </c>
      <c r="H58" s="169">
        <f>TrNavi_ene!H10</f>
        <v>140.13341472458814</v>
      </c>
      <c r="I58" s="169">
        <f>TrNavi_ene!I10</f>
        <v>145.15522193981695</v>
      </c>
      <c r="J58" s="169">
        <f>TrNavi_ene!J10</f>
        <v>142.74133145610702</v>
      </c>
      <c r="K58" s="169">
        <f>TrNavi_ene!K10</f>
        <v>124.39236298118236</v>
      </c>
      <c r="L58" s="169">
        <f>TrNavi_ene!L10</f>
        <v>149.09426899800366</v>
      </c>
      <c r="M58" s="169">
        <f>TrNavi_ene!M10</f>
        <v>143.62992210222617</v>
      </c>
      <c r="N58" s="169">
        <f>TrNavi_ene!N10</f>
        <v>139.73080089800754</v>
      </c>
      <c r="O58" s="169">
        <f>TrNavi_ene!O10</f>
        <v>142.63854073482747</v>
      </c>
      <c r="P58" s="169">
        <f>TrNavi_ene!P10</f>
        <v>135.93768751180738</v>
      </c>
      <c r="Q58" s="169">
        <f>TrNavi_ene!Q10</f>
        <v>132.68304741323928</v>
      </c>
      <c r="R58" s="169">
        <f>TrNavi_ene!R10</f>
        <v>127.73714681400492</v>
      </c>
      <c r="S58" s="169">
        <f>TrNavi_ene!S10</f>
        <v>131.19537950845523</v>
      </c>
      <c r="T58" s="169">
        <f>TrNavi_ene!T10</f>
        <v>127.54858603488502</v>
      </c>
      <c r="U58" s="169">
        <f>TrNavi_ene!U10</f>
        <v>118.81998980009671</v>
      </c>
      <c r="V58" s="169">
        <f>TrNavi_ene!V10</f>
        <v>118.08661704890889</v>
      </c>
      <c r="W58" s="169">
        <f>TrNavi_ene!W10</f>
        <v>116.80828933257351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5340.7423043852104</v>
      </c>
      <c r="C59" s="28">
        <f t="shared" ref="C59:W59" si="48">C60+C61</f>
        <v>5220.4500429922609</v>
      </c>
      <c r="D59" s="28">
        <f t="shared" si="48"/>
        <v>6810.6668959587269</v>
      </c>
      <c r="E59" s="28">
        <f t="shared" si="48"/>
        <v>7440.7423903697336</v>
      </c>
      <c r="F59" s="28">
        <f t="shared" si="48"/>
        <v>7709.2194325021501</v>
      </c>
      <c r="G59" s="28">
        <f t="shared" si="48"/>
        <v>7630.3334479793648</v>
      </c>
      <c r="H59" s="28">
        <f t="shared" si="48"/>
        <v>8261.0681857265681</v>
      </c>
      <c r="I59" s="28">
        <f t="shared" si="48"/>
        <v>9234.9814273430784</v>
      </c>
      <c r="J59" s="28">
        <f t="shared" si="48"/>
        <v>9523.9562338779033</v>
      </c>
      <c r="K59" s="28">
        <f t="shared" si="48"/>
        <v>6986.252020636286</v>
      </c>
      <c r="L59" s="28">
        <f t="shared" si="48"/>
        <v>7596.4269131556321</v>
      </c>
      <c r="M59" s="28">
        <f t="shared" si="48"/>
        <v>6749.9235597592442</v>
      </c>
      <c r="N59" s="28">
        <f t="shared" si="48"/>
        <v>6044.2343078245904</v>
      </c>
      <c r="O59" s="28">
        <f t="shared" si="48"/>
        <v>6156.324591573516</v>
      </c>
      <c r="P59" s="28">
        <f t="shared" si="48"/>
        <v>5380.7203783319001</v>
      </c>
      <c r="Q59" s="28">
        <f t="shared" si="48"/>
        <v>5821.295442820292</v>
      </c>
      <c r="R59" s="28">
        <f t="shared" si="48"/>
        <v>6663.7966466036123</v>
      </c>
      <c r="S59" s="28">
        <f t="shared" si="48"/>
        <v>7493.3091143594138</v>
      </c>
      <c r="T59" s="28">
        <f t="shared" si="48"/>
        <v>9282.4941530524484</v>
      </c>
      <c r="U59" s="28">
        <f t="shared" si="48"/>
        <v>8197.5016337059333</v>
      </c>
      <c r="V59" s="28">
        <f t="shared" si="48"/>
        <v>6376.616595012898</v>
      </c>
      <c r="W59" s="28">
        <f t="shared" si="48"/>
        <v>7575.1032674118651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1340.7035909013334</v>
      </c>
      <c r="C60" s="102">
        <f>MBunk_ene!C$4</f>
        <v>1347.5443165936952</v>
      </c>
      <c r="D60" s="102">
        <f>MBunk_ene!D$4</f>
        <v>1651.7708353221506</v>
      </c>
      <c r="E60" s="102">
        <f>MBunk_ene!E$4</f>
        <v>1796.2460893853404</v>
      </c>
      <c r="F60" s="102">
        <f>MBunk_ene!F$4</f>
        <v>1657.2812018070094</v>
      </c>
      <c r="G60" s="102">
        <f>MBunk_ene!G$4</f>
        <v>1464.7159972682057</v>
      </c>
      <c r="H60" s="102">
        <f>MBunk_ene!H$4</f>
        <v>1544.8497496569321</v>
      </c>
      <c r="I60" s="102">
        <f>MBunk_ene!I$4</f>
        <v>1672.5108603875765</v>
      </c>
      <c r="J60" s="102">
        <f>MBunk_ene!J$4</f>
        <v>1708.1007382236767</v>
      </c>
      <c r="K60" s="102">
        <f>MBunk_ene!K$4</f>
        <v>1238.2971568657213</v>
      </c>
      <c r="L60" s="102">
        <f>MBunk_ene!L$4</f>
        <v>1470.5327751308741</v>
      </c>
      <c r="M60" s="102">
        <f>MBunk_ene!M$4</f>
        <v>1212.2793980900344</v>
      </c>
      <c r="N60" s="102">
        <f>MBunk_ene!N$4</f>
        <v>1178.0749089117285</v>
      </c>
      <c r="O60" s="102">
        <f>MBunk_ene!O$4</f>
        <v>1252.9255966519834</v>
      </c>
      <c r="P60" s="102">
        <f>MBunk_ene!P$4</f>
        <v>1134.5770927799883</v>
      </c>
      <c r="Q60" s="102">
        <f>MBunk_ene!Q$4</f>
        <v>1274.7604819125079</v>
      </c>
      <c r="R60" s="102">
        <f>MBunk_ene!R$4</f>
        <v>1667.3341012965707</v>
      </c>
      <c r="S60" s="102">
        <f>MBunk_ene!S$4</f>
        <v>1709.7232425887601</v>
      </c>
      <c r="T60" s="102">
        <f>MBunk_ene!T$4</f>
        <v>2004.0652598507049</v>
      </c>
      <c r="U60" s="102">
        <f>MBunk_ene!U$4</f>
        <v>1841.0366289437375</v>
      </c>
      <c r="V60" s="102">
        <f>MBunk_ene!V$4</f>
        <v>1248.3003628701426</v>
      </c>
      <c r="W60" s="102">
        <f>MBunk_ene!W$4</f>
        <v>1539.4317097464832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4000.0387134838766</v>
      </c>
      <c r="C61" s="86">
        <f>MBunk_ene!C$10</f>
        <v>3872.9057263985655</v>
      </c>
      <c r="D61" s="86">
        <f>MBunk_ene!D$10</f>
        <v>5158.8960606365763</v>
      </c>
      <c r="E61" s="86">
        <f>MBunk_ene!E$10</f>
        <v>5644.4963009843932</v>
      </c>
      <c r="F61" s="86">
        <f>MBunk_ene!F$10</f>
        <v>6051.9382306951411</v>
      </c>
      <c r="G61" s="86">
        <f>MBunk_ene!G$10</f>
        <v>6165.6174507111591</v>
      </c>
      <c r="H61" s="86">
        <f>MBunk_ene!H$10</f>
        <v>6716.2184360696365</v>
      </c>
      <c r="I61" s="86">
        <f>MBunk_ene!I$10</f>
        <v>7562.4705669555015</v>
      </c>
      <c r="J61" s="86">
        <f>MBunk_ene!J$10</f>
        <v>7815.8554956542266</v>
      </c>
      <c r="K61" s="86">
        <f>MBunk_ene!K$10</f>
        <v>5747.9548637705648</v>
      </c>
      <c r="L61" s="86">
        <f>MBunk_ene!L$10</f>
        <v>6125.8941380247579</v>
      </c>
      <c r="M61" s="86">
        <f>MBunk_ene!M$10</f>
        <v>5537.64416166921</v>
      </c>
      <c r="N61" s="86">
        <f>MBunk_ene!N$10</f>
        <v>4866.1593989128623</v>
      </c>
      <c r="O61" s="86">
        <f>MBunk_ene!O$10</f>
        <v>4903.3989949215329</v>
      </c>
      <c r="P61" s="86">
        <f>MBunk_ene!P$10</f>
        <v>4246.1432855519115</v>
      </c>
      <c r="Q61" s="86">
        <f>MBunk_ene!Q$10</f>
        <v>4546.5349609077839</v>
      </c>
      <c r="R61" s="86">
        <f>MBunk_ene!R$10</f>
        <v>4996.4625453070412</v>
      </c>
      <c r="S61" s="86">
        <f>MBunk_ene!S$10</f>
        <v>5783.5858717706542</v>
      </c>
      <c r="T61" s="86">
        <f>MBunk_ene!T$10</f>
        <v>7278.4288932017434</v>
      </c>
      <c r="U61" s="86">
        <f>MBunk_ene!U$10</f>
        <v>6356.4650047621953</v>
      </c>
      <c r="V61" s="86">
        <f>MBunk_ene!V$10</f>
        <v>5128.3162321427553</v>
      </c>
      <c r="W61" s="86">
        <f>MBunk_ene!W$10</f>
        <v>6035.6715576653814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20991.185462281264</v>
      </c>
      <c r="C64" s="28">
        <f t="shared" si="49"/>
        <v>20921.061650330143</v>
      </c>
      <c r="D64" s="28">
        <f t="shared" si="49"/>
        <v>20067.667422449162</v>
      </c>
      <c r="E64" s="28">
        <f t="shared" si="49"/>
        <v>20695.135171558097</v>
      </c>
      <c r="F64" s="28">
        <f t="shared" si="49"/>
        <v>20810.091423706563</v>
      </c>
      <c r="G64" s="28">
        <f t="shared" si="49"/>
        <v>19896.755542522464</v>
      </c>
      <c r="H64" s="28">
        <f t="shared" si="49"/>
        <v>20125.769040229454</v>
      </c>
      <c r="I64" s="28">
        <f t="shared" si="49"/>
        <v>20831.715729186144</v>
      </c>
      <c r="J64" s="28">
        <f t="shared" si="49"/>
        <v>21530.558353450673</v>
      </c>
      <c r="K64" s="28">
        <f t="shared" si="49"/>
        <v>21198.917469746117</v>
      </c>
      <c r="L64" s="28">
        <f t="shared" si="49"/>
        <v>20551.442117902352</v>
      </c>
      <c r="M64" s="28">
        <f t="shared" si="49"/>
        <v>20592.328179141099</v>
      </c>
      <c r="N64" s="28">
        <f t="shared" si="49"/>
        <v>19951.952918658793</v>
      </c>
      <c r="O64" s="28">
        <f t="shared" si="49"/>
        <v>19286.79440271535</v>
      </c>
      <c r="P64" s="28">
        <f t="shared" si="49"/>
        <v>19683.949844397714</v>
      </c>
      <c r="Q64" s="28">
        <f t="shared" si="49"/>
        <v>20569.323104097348</v>
      </c>
      <c r="R64" s="28">
        <f t="shared" ref="R64:V64" si="50">R65+R69+R73</f>
        <v>19971.464139722742</v>
      </c>
      <c r="S64" s="28">
        <f t="shared" si="50"/>
        <v>19566.213659658515</v>
      </c>
      <c r="T64" s="28">
        <f t="shared" si="50"/>
        <v>19617.99510102467</v>
      </c>
      <c r="U64" s="28">
        <f t="shared" si="50"/>
        <v>19413.511140191258</v>
      </c>
      <c r="V64" s="28">
        <f t="shared" si="50"/>
        <v>14291.685733147406</v>
      </c>
      <c r="W64" s="28">
        <f t="shared" ref="W64" si="51">W65+W69+W73</f>
        <v>15757.802248251006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17008.180705076895</v>
      </c>
      <c r="C65" s="137">
        <f t="shared" si="52"/>
        <v>17256.634546672762</v>
      </c>
      <c r="D65" s="137">
        <f t="shared" si="52"/>
        <v>17093.577231236653</v>
      </c>
      <c r="E65" s="137">
        <f t="shared" si="52"/>
        <v>17532.943591076288</v>
      </c>
      <c r="F65" s="137">
        <f t="shared" si="52"/>
        <v>17737.186427123652</v>
      </c>
      <c r="G65" s="137">
        <f t="shared" si="52"/>
        <v>17006.861958993301</v>
      </c>
      <c r="H65" s="137">
        <f t="shared" si="52"/>
        <v>17367.829238318158</v>
      </c>
      <c r="I65" s="137">
        <f t="shared" si="52"/>
        <v>17934.81673625419</v>
      </c>
      <c r="J65" s="137">
        <f t="shared" si="52"/>
        <v>18283.715793030638</v>
      </c>
      <c r="K65" s="137">
        <f t="shared" si="52"/>
        <v>18017.358701087433</v>
      </c>
      <c r="L65" s="137">
        <f t="shared" si="52"/>
        <v>17285.474422780797</v>
      </c>
      <c r="M65" s="137">
        <f t="shared" si="52"/>
        <v>17072.009915861301</v>
      </c>
      <c r="N65" s="137">
        <f t="shared" si="52"/>
        <v>16601.467108463112</v>
      </c>
      <c r="O65" s="137">
        <f t="shared" si="52"/>
        <v>16097.868372205887</v>
      </c>
      <c r="P65" s="137">
        <f t="shared" si="52"/>
        <v>16324.321890696707</v>
      </c>
      <c r="Q65" s="137">
        <f t="shared" si="52"/>
        <v>17027.327506521218</v>
      </c>
      <c r="R65" s="137">
        <f t="shared" ref="R65:V65" si="53">R66+R67+R68</f>
        <v>16394.975124668683</v>
      </c>
      <c r="S65" s="137">
        <f t="shared" si="53"/>
        <v>15652.085672483261</v>
      </c>
      <c r="T65" s="137">
        <f t="shared" si="53"/>
        <v>15487.413479270324</v>
      </c>
      <c r="U65" s="137">
        <f t="shared" si="53"/>
        <v>15178.69347025621</v>
      </c>
      <c r="V65" s="137">
        <f t="shared" si="53"/>
        <v>12293.783456295538</v>
      </c>
      <c r="W65" s="137">
        <f t="shared" ref="W65" si="54">W66+W67+W68</f>
        <v>13164.861822317114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174.22273110231521</v>
      </c>
      <c r="C66" s="102">
        <f>TrRoad_emi!C$19</f>
        <v>180.53774115171279</v>
      </c>
      <c r="D66" s="102">
        <f>TrRoad_emi!D$19</f>
        <v>188.76371517230743</v>
      </c>
      <c r="E66" s="102">
        <f>TrRoad_emi!E$19</f>
        <v>195.20484145693919</v>
      </c>
      <c r="F66" s="102">
        <f>TrRoad_emi!F$19</f>
        <v>196.31920421857964</v>
      </c>
      <c r="G66" s="102">
        <f>TrRoad_emi!G$19</f>
        <v>187.37561252979916</v>
      </c>
      <c r="H66" s="102">
        <f>TrRoad_emi!H$19</f>
        <v>192.51248799153981</v>
      </c>
      <c r="I66" s="102">
        <f>TrRoad_emi!I$19</f>
        <v>197.95496403069774</v>
      </c>
      <c r="J66" s="102">
        <f>TrRoad_emi!J$19</f>
        <v>195.91709220072084</v>
      </c>
      <c r="K66" s="102">
        <f>TrRoad_emi!K$19</f>
        <v>187.67999875317847</v>
      </c>
      <c r="L66" s="102">
        <f>TrRoad_emi!L$19</f>
        <v>172.66665889677523</v>
      </c>
      <c r="M66" s="102">
        <f>TrRoad_emi!M$19</f>
        <v>169.93198525780628</v>
      </c>
      <c r="N66" s="102">
        <f>TrRoad_emi!N$19</f>
        <v>162.33803939748057</v>
      </c>
      <c r="O66" s="102">
        <f>TrRoad_emi!O$19</f>
        <v>154.25628647394274</v>
      </c>
      <c r="P66" s="102">
        <f>TrRoad_emi!P$19</f>
        <v>163.00506264362971</v>
      </c>
      <c r="Q66" s="102">
        <f>TrRoad_emi!Q$19</f>
        <v>160.15451938131173</v>
      </c>
      <c r="R66" s="102">
        <f>TrRoad_emi!R$19</f>
        <v>155.03264803273154</v>
      </c>
      <c r="S66" s="102">
        <f>TrRoad_emi!S$19</f>
        <v>144.52123427846183</v>
      </c>
      <c r="T66" s="102">
        <f>TrRoad_emi!T$19</f>
        <v>136.24432064958046</v>
      </c>
      <c r="U66" s="102">
        <f>TrRoad_emi!U$19</f>
        <v>144.82208268142372</v>
      </c>
      <c r="V66" s="102">
        <f>TrRoad_emi!V$19</f>
        <v>123.37283767903604</v>
      </c>
      <c r="W66" s="102">
        <f>TrRoad_emi!W$19</f>
        <v>122.52070167516047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15617.05872358538</v>
      </c>
      <c r="C67" s="102">
        <f>TrRoad_emi!C$20</f>
        <v>15868.503898196641</v>
      </c>
      <c r="D67" s="102">
        <f>TrRoad_emi!D$20</f>
        <v>15704.683960533293</v>
      </c>
      <c r="E67" s="102">
        <f>TrRoad_emi!E$20</f>
        <v>16109.380297473599</v>
      </c>
      <c r="F67" s="102">
        <f>TrRoad_emi!F$20</f>
        <v>16308.803255386016</v>
      </c>
      <c r="G67" s="102">
        <f>TrRoad_emi!G$20</f>
        <v>15612.681425991381</v>
      </c>
      <c r="H67" s="102">
        <f>TrRoad_emi!H$20</f>
        <v>15996.624138004554</v>
      </c>
      <c r="I67" s="102">
        <f>TrRoad_emi!I$20</f>
        <v>16573.047333466428</v>
      </c>
      <c r="J67" s="102">
        <f>TrRoad_emi!J$20</f>
        <v>16900.518646735407</v>
      </c>
      <c r="K67" s="102">
        <f>TrRoad_emi!K$20</f>
        <v>16681.974180159537</v>
      </c>
      <c r="L67" s="102">
        <f>TrRoad_emi!L$20</f>
        <v>16003.10420876735</v>
      </c>
      <c r="M67" s="102">
        <f>TrRoad_emi!M$20</f>
        <v>15828.773183836905</v>
      </c>
      <c r="N67" s="102">
        <f>TrRoad_emi!N$20</f>
        <v>15399.083605354877</v>
      </c>
      <c r="O67" s="102">
        <f>TrRoad_emi!O$20</f>
        <v>14932.116011833121</v>
      </c>
      <c r="P67" s="102">
        <f>TrRoad_emi!P$20</f>
        <v>15142.036655115402</v>
      </c>
      <c r="Q67" s="102">
        <f>TrRoad_emi!Q$20</f>
        <v>15781.801626732693</v>
      </c>
      <c r="R67" s="102">
        <f>TrRoad_emi!R$20</f>
        <v>15216.803613075213</v>
      </c>
      <c r="S67" s="102">
        <f>TrRoad_emi!S$20</f>
        <v>14455.232367203871</v>
      </c>
      <c r="T67" s="102">
        <f>TrRoad_emi!T$20</f>
        <v>14244.154828533618</v>
      </c>
      <c r="U67" s="102">
        <f>TrRoad_emi!U$20</f>
        <v>13912.249260403118</v>
      </c>
      <c r="V67" s="102">
        <f>TrRoad_emi!V$20</f>
        <v>11115.36087139315</v>
      </c>
      <c r="W67" s="102">
        <f>TrRoad_emi!W$20</f>
        <v>11934.21273880465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1216.8992503891993</v>
      </c>
      <c r="C68" s="102">
        <f>TrRoad_emi!C$27</f>
        <v>1207.5929073244074</v>
      </c>
      <c r="D68" s="102">
        <f>TrRoad_emi!D$27</f>
        <v>1200.1295555310537</v>
      </c>
      <c r="E68" s="102">
        <f>TrRoad_emi!E$27</f>
        <v>1228.3584521457483</v>
      </c>
      <c r="F68" s="102">
        <f>TrRoad_emi!F$27</f>
        <v>1232.0639675190575</v>
      </c>
      <c r="G68" s="102">
        <f>TrRoad_emi!G$27</f>
        <v>1206.804920472121</v>
      </c>
      <c r="H68" s="102">
        <f>TrRoad_emi!H$27</f>
        <v>1178.6926123220637</v>
      </c>
      <c r="I68" s="102">
        <f>TrRoad_emi!I$27</f>
        <v>1163.8144387570653</v>
      </c>
      <c r="J68" s="102">
        <f>TrRoad_emi!J$27</f>
        <v>1187.2800540945086</v>
      </c>
      <c r="K68" s="102">
        <f>TrRoad_emi!K$27</f>
        <v>1147.7045221747176</v>
      </c>
      <c r="L68" s="102">
        <f>TrRoad_emi!L$27</f>
        <v>1109.7035551166703</v>
      </c>
      <c r="M68" s="102">
        <f>TrRoad_emi!M$27</f>
        <v>1073.3047467665906</v>
      </c>
      <c r="N68" s="102">
        <f>TrRoad_emi!N$27</f>
        <v>1040.0454637107523</v>
      </c>
      <c r="O68" s="102">
        <f>TrRoad_emi!O$27</f>
        <v>1011.4960738988237</v>
      </c>
      <c r="P68" s="102">
        <f>TrRoad_emi!P$27</f>
        <v>1019.2801729376758</v>
      </c>
      <c r="Q68" s="102">
        <f>TrRoad_emi!Q$27</f>
        <v>1085.371360407215</v>
      </c>
      <c r="R68" s="102">
        <f>TrRoad_emi!R$27</f>
        <v>1023.1388635607394</v>
      </c>
      <c r="S68" s="102">
        <f>TrRoad_emi!S$27</f>
        <v>1052.3320710009284</v>
      </c>
      <c r="T68" s="102">
        <f>TrRoad_emi!T$27</f>
        <v>1107.0143300871252</v>
      </c>
      <c r="U68" s="102">
        <f>TrRoad_emi!U$27</f>
        <v>1121.622127171669</v>
      </c>
      <c r="V68" s="102">
        <f>TrRoad_emi!V$27</f>
        <v>1055.0497472233517</v>
      </c>
      <c r="W68" s="102">
        <f>TrRoad_emi!W$27</f>
        <v>1108.128381837304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56.550144631351358</v>
      </c>
      <c r="C69" s="110">
        <f t="shared" si="55"/>
        <v>54.301021740139838</v>
      </c>
      <c r="D69" s="110">
        <f t="shared" si="55"/>
        <v>57.321147629674563</v>
      </c>
      <c r="E69" s="110">
        <f t="shared" si="55"/>
        <v>61.45561276369498</v>
      </c>
      <c r="F69" s="110">
        <f t="shared" si="55"/>
        <v>58.404083496351312</v>
      </c>
      <c r="G69" s="110">
        <f t="shared" si="55"/>
        <v>58.299549250884134</v>
      </c>
      <c r="H69" s="110">
        <f t="shared" si="55"/>
        <v>75.690887907814513</v>
      </c>
      <c r="I69" s="110">
        <f t="shared" si="55"/>
        <v>78.750461515668107</v>
      </c>
      <c r="J69" s="110">
        <f t="shared" si="55"/>
        <v>80.60663786718105</v>
      </c>
      <c r="K69" s="110">
        <f t="shared" si="55"/>
        <v>74.614397509216971</v>
      </c>
      <c r="L69" s="110">
        <f t="shared" si="55"/>
        <v>64.969384195092729</v>
      </c>
      <c r="M69" s="110">
        <f t="shared" si="55"/>
        <v>64.179613592317963</v>
      </c>
      <c r="N69" s="110">
        <f t="shared" si="55"/>
        <v>72.113007173831335</v>
      </c>
      <c r="O69" s="110">
        <f t="shared" si="55"/>
        <v>54.468119059832162</v>
      </c>
      <c r="P69" s="110">
        <f t="shared" si="55"/>
        <v>40.117754201743317</v>
      </c>
      <c r="Q69" s="110">
        <f t="shared" si="55"/>
        <v>42.234264949825466</v>
      </c>
      <c r="R69" s="110">
        <f t="shared" ref="R69:V69" si="56">R70+R71+R72</f>
        <v>42.990129415917153</v>
      </c>
      <c r="S69" s="110">
        <f t="shared" si="56"/>
        <v>46.106694472264429</v>
      </c>
      <c r="T69" s="110">
        <f t="shared" si="56"/>
        <v>35.222807413114275</v>
      </c>
      <c r="U69" s="110">
        <f t="shared" si="56"/>
        <v>33.344897123734413</v>
      </c>
      <c r="V69" s="110">
        <f t="shared" si="56"/>
        <v>24.878072660998406</v>
      </c>
      <c r="W69" s="110">
        <f t="shared" ref="W69" si="57">W70+W71+W72</f>
        <v>24.287442159738788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56.550144631351358</v>
      </c>
      <c r="C71" s="102">
        <f>TrRail_emi!C$11</f>
        <v>54.301021740139838</v>
      </c>
      <c r="D71" s="102">
        <f>TrRail_emi!D$11</f>
        <v>57.321147629674563</v>
      </c>
      <c r="E71" s="102">
        <f>TrRail_emi!E$11</f>
        <v>61.45561276369498</v>
      </c>
      <c r="F71" s="102">
        <f>TrRail_emi!F$11</f>
        <v>58.404083496351312</v>
      </c>
      <c r="G71" s="102">
        <f>TrRail_emi!G$11</f>
        <v>58.299549250884134</v>
      </c>
      <c r="H71" s="102">
        <f>TrRail_emi!H$11</f>
        <v>75.690887907814513</v>
      </c>
      <c r="I71" s="102">
        <f>TrRail_emi!I$11</f>
        <v>78.750461515668107</v>
      </c>
      <c r="J71" s="102">
        <f>TrRail_emi!J$11</f>
        <v>80.60663786718105</v>
      </c>
      <c r="K71" s="102">
        <f>TrRail_emi!K$11</f>
        <v>74.614397509216971</v>
      </c>
      <c r="L71" s="102">
        <f>TrRail_emi!L$11</f>
        <v>64.969384195092729</v>
      </c>
      <c r="M71" s="102">
        <f>TrRail_emi!M$11</f>
        <v>64.179613592317963</v>
      </c>
      <c r="N71" s="102">
        <f>TrRail_emi!N$11</f>
        <v>72.113007173831335</v>
      </c>
      <c r="O71" s="102">
        <f>TrRail_emi!O$11</f>
        <v>54.468119059832162</v>
      </c>
      <c r="P71" s="102">
        <f>TrRail_emi!P$11</f>
        <v>40.117754201743317</v>
      </c>
      <c r="Q71" s="102">
        <f>TrRail_emi!Q$11</f>
        <v>42.234264949825466</v>
      </c>
      <c r="R71" s="102">
        <f>TrRail_emi!R$11</f>
        <v>42.990129415917153</v>
      </c>
      <c r="S71" s="102">
        <f>TrRail_emi!S$11</f>
        <v>46.106694472264429</v>
      </c>
      <c r="T71" s="102">
        <f>TrRail_emi!T$11</f>
        <v>35.222807413114275</v>
      </c>
      <c r="U71" s="102">
        <f>TrRail_emi!U$11</f>
        <v>33.344897123734413</v>
      </c>
      <c r="V71" s="102">
        <f>TrRail_emi!V$11</f>
        <v>24.878072660998406</v>
      </c>
      <c r="W71" s="102">
        <f>TrRail_emi!W$11</f>
        <v>24.287442159738788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3926.4546125730194</v>
      </c>
      <c r="C73" s="110">
        <f t="shared" si="58"/>
        <v>3610.1260819172421</v>
      </c>
      <c r="D73" s="110">
        <f t="shared" si="58"/>
        <v>2916.7690435828345</v>
      </c>
      <c r="E73" s="110">
        <f t="shared" si="58"/>
        <v>3100.7359677181153</v>
      </c>
      <c r="F73" s="110">
        <f t="shared" si="58"/>
        <v>3014.5009130865574</v>
      </c>
      <c r="G73" s="110">
        <f t="shared" si="58"/>
        <v>2831.5940342782792</v>
      </c>
      <c r="H73" s="110">
        <f t="shared" si="58"/>
        <v>2682.2489140034818</v>
      </c>
      <c r="I73" s="110">
        <f t="shared" si="58"/>
        <v>2818.1485314162842</v>
      </c>
      <c r="J73" s="110">
        <f t="shared" si="58"/>
        <v>3166.2359225528508</v>
      </c>
      <c r="K73" s="110">
        <f t="shared" si="58"/>
        <v>3106.9443711494664</v>
      </c>
      <c r="L73" s="110">
        <f t="shared" si="58"/>
        <v>3200.9983109264622</v>
      </c>
      <c r="M73" s="110">
        <f t="shared" si="58"/>
        <v>3456.1386496874784</v>
      </c>
      <c r="N73" s="110">
        <f t="shared" si="58"/>
        <v>3278.3728030218504</v>
      </c>
      <c r="O73" s="110">
        <f t="shared" si="58"/>
        <v>3134.457911449631</v>
      </c>
      <c r="P73" s="110">
        <f t="shared" si="58"/>
        <v>3319.5101994992642</v>
      </c>
      <c r="Q73" s="110">
        <f t="shared" si="58"/>
        <v>3499.7613326263045</v>
      </c>
      <c r="R73" s="110">
        <f t="shared" ref="R73:V73" si="59">R74+R75+R76</f>
        <v>3533.4988856381415</v>
      </c>
      <c r="S73" s="110">
        <f t="shared" si="59"/>
        <v>3868.0212927029902</v>
      </c>
      <c r="T73" s="110">
        <f t="shared" si="59"/>
        <v>4095.3588143412317</v>
      </c>
      <c r="U73" s="110">
        <f t="shared" si="59"/>
        <v>4201.4727728113139</v>
      </c>
      <c r="V73" s="110">
        <f t="shared" si="59"/>
        <v>1973.0242041908696</v>
      </c>
      <c r="W73" s="110">
        <f t="shared" ref="W73" si="60">W74+W75+W76</f>
        <v>2568.6529837741518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0</v>
      </c>
      <c r="C74" s="102">
        <f>TrAvia_emi!C$7</f>
        <v>0</v>
      </c>
      <c r="D74" s="102">
        <f>TrAvia_emi!D$7</f>
        <v>0</v>
      </c>
      <c r="E74" s="102">
        <f>TrAvia_emi!E$7</f>
        <v>0</v>
      </c>
      <c r="F74" s="102">
        <f>TrAvia_emi!F$7</f>
        <v>0</v>
      </c>
      <c r="G74" s="102">
        <f>TrAvia_emi!G$7</f>
        <v>0</v>
      </c>
      <c r="H74" s="102">
        <f>TrAvia_emi!H$7</f>
        <v>0</v>
      </c>
      <c r="I74" s="102">
        <f>TrAvia_emi!I$7</f>
        <v>0</v>
      </c>
      <c r="J74" s="102">
        <f>TrAvia_emi!J$7</f>
        <v>0</v>
      </c>
      <c r="K74" s="102">
        <f>TrAvia_emi!K$7</f>
        <v>0</v>
      </c>
      <c r="L74" s="102">
        <f>TrAvia_emi!L$7</f>
        <v>0</v>
      </c>
      <c r="M74" s="102">
        <f>TrAvia_emi!M$7</f>
        <v>0</v>
      </c>
      <c r="N74" s="102">
        <f>TrAvia_emi!N$7</f>
        <v>0</v>
      </c>
      <c r="O74" s="102">
        <f>TrAvia_emi!O$7</f>
        <v>0</v>
      </c>
      <c r="P74" s="102">
        <f>TrAvia_emi!P$7</f>
        <v>0</v>
      </c>
      <c r="Q74" s="102">
        <f>TrAvia_emi!Q$7</f>
        <v>0</v>
      </c>
      <c r="R74" s="102">
        <f>TrAvia_emi!R$7</f>
        <v>0</v>
      </c>
      <c r="S74" s="102">
        <f>TrAvia_emi!S$7</f>
        <v>0</v>
      </c>
      <c r="T74" s="102">
        <f>TrAvia_emi!T$7</f>
        <v>0</v>
      </c>
      <c r="U74" s="102">
        <f>TrAvia_emi!U$7</f>
        <v>0</v>
      </c>
      <c r="V74" s="102">
        <f>TrAvia_emi!V$7</f>
        <v>0</v>
      </c>
      <c r="W74" s="102">
        <f>TrAvia_emi!W$7</f>
        <v>0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2127.2158092327318</v>
      </c>
      <c r="C75" s="102">
        <f>TrAvia_emi!C$8</f>
        <v>1973.8591199898383</v>
      </c>
      <c r="D75" s="102">
        <f>TrAvia_emi!D$8</f>
        <v>1616.4688376238664</v>
      </c>
      <c r="E75" s="102">
        <f>TrAvia_emi!E$8</f>
        <v>1716.7235598584195</v>
      </c>
      <c r="F75" s="102">
        <f>TrAvia_emi!F$8</f>
        <v>1613.0259739523171</v>
      </c>
      <c r="G75" s="102">
        <f>TrAvia_emi!G$8</f>
        <v>1516.5278646172644</v>
      </c>
      <c r="H75" s="102">
        <f>TrAvia_emi!H$8</f>
        <v>1452.318901900165</v>
      </c>
      <c r="I75" s="102">
        <f>TrAvia_emi!I$8</f>
        <v>1546.3145845851516</v>
      </c>
      <c r="J75" s="102">
        <f>TrAvia_emi!J$8</f>
        <v>1707.6245690068977</v>
      </c>
      <c r="K75" s="102">
        <f>TrAvia_emi!K$8</f>
        <v>1625.535455519861</v>
      </c>
      <c r="L75" s="102">
        <f>TrAvia_emi!L$8</f>
        <v>1666.980132614244</v>
      </c>
      <c r="M75" s="102">
        <f>TrAvia_emi!M$8</f>
        <v>1794.9805810060311</v>
      </c>
      <c r="N75" s="102">
        <f>TrAvia_emi!N$8</f>
        <v>1680.6815199876692</v>
      </c>
      <c r="O75" s="102">
        <f>TrAvia_emi!O$8</f>
        <v>1598.2856651936097</v>
      </c>
      <c r="P75" s="102">
        <f>TrAvia_emi!P$8</f>
        <v>1701.7065957884281</v>
      </c>
      <c r="Q75" s="102">
        <f>TrAvia_emi!Q$8</f>
        <v>1806.7569569323207</v>
      </c>
      <c r="R75" s="102">
        <f>TrAvia_emi!R$8</f>
        <v>1871.5461729663639</v>
      </c>
      <c r="S75" s="102">
        <f>TrAvia_emi!S$8</f>
        <v>2088.2100069500984</v>
      </c>
      <c r="T75" s="102">
        <f>TrAvia_emi!T$8</f>
        <v>2195.1922853378551</v>
      </c>
      <c r="U75" s="102">
        <f>TrAvia_emi!U$8</f>
        <v>2197.6446326351634</v>
      </c>
      <c r="V75" s="102">
        <f>TrAvia_emi!V$8</f>
        <v>957.92676631504924</v>
      </c>
      <c r="W75" s="102">
        <f>TrAvia_emi!W$8</f>
        <v>1351.8299534476089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1799.2388033402876</v>
      </c>
      <c r="C76" s="102">
        <f>TrAvia_emi!C$9</f>
        <v>1636.2669619274036</v>
      </c>
      <c r="D76" s="102">
        <f>TrAvia_emi!D$9</f>
        <v>1300.3002059589683</v>
      </c>
      <c r="E76" s="102">
        <f>TrAvia_emi!E$9</f>
        <v>1384.0124078596957</v>
      </c>
      <c r="F76" s="102">
        <f>TrAvia_emi!F$9</f>
        <v>1401.4749391342402</v>
      </c>
      <c r="G76" s="102">
        <f>TrAvia_emi!G$9</f>
        <v>1315.0661696610148</v>
      </c>
      <c r="H76" s="102">
        <f>TrAvia_emi!H$9</f>
        <v>1229.9300121033168</v>
      </c>
      <c r="I76" s="102">
        <f>TrAvia_emi!I$9</f>
        <v>1271.8339468311326</v>
      </c>
      <c r="J76" s="102">
        <f>TrAvia_emi!J$9</f>
        <v>1458.6113535459529</v>
      </c>
      <c r="K76" s="102">
        <f>TrAvia_emi!K$9</f>
        <v>1481.4089156296054</v>
      </c>
      <c r="L76" s="102">
        <f>TrAvia_emi!L$9</f>
        <v>1534.0181783122184</v>
      </c>
      <c r="M76" s="102">
        <f>TrAvia_emi!M$9</f>
        <v>1661.1580686814475</v>
      </c>
      <c r="N76" s="102">
        <f>TrAvia_emi!N$9</f>
        <v>1597.6912830341812</v>
      </c>
      <c r="O76" s="102">
        <f>TrAvia_emi!O$9</f>
        <v>1536.1722462560213</v>
      </c>
      <c r="P76" s="102">
        <f>TrAvia_emi!P$9</f>
        <v>1617.8036037108361</v>
      </c>
      <c r="Q76" s="102">
        <f>TrAvia_emi!Q$9</f>
        <v>1693.0043756939835</v>
      </c>
      <c r="R76" s="102">
        <f>TrAvia_emi!R$9</f>
        <v>1661.9527126717778</v>
      </c>
      <c r="S76" s="102">
        <f>TrAvia_emi!S$9</f>
        <v>1779.8112857528918</v>
      </c>
      <c r="T76" s="102">
        <f>TrAvia_emi!T$9</f>
        <v>1900.1665290033766</v>
      </c>
      <c r="U76" s="102">
        <f>TrAvia_emi!U$9</f>
        <v>2003.828140176151</v>
      </c>
      <c r="V76" s="102">
        <f>TrAvia_emi!V$9</f>
        <v>1015.0974378758202</v>
      </c>
      <c r="W76" s="102">
        <f>TrAvia_emi!W$9</f>
        <v>1216.8230303265429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8023.0108804787378</v>
      </c>
      <c r="C77" s="28">
        <f t="shared" si="61"/>
        <v>8506.5135070298511</v>
      </c>
      <c r="D77" s="28">
        <f t="shared" si="61"/>
        <v>8592.9050952308407</v>
      </c>
      <c r="E77" s="28">
        <f t="shared" si="61"/>
        <v>8918.2114219219002</v>
      </c>
      <c r="F77" s="28">
        <f t="shared" si="61"/>
        <v>9683.3570294534329</v>
      </c>
      <c r="G77" s="28">
        <f t="shared" si="61"/>
        <v>9663.5117631975354</v>
      </c>
      <c r="H77" s="28">
        <f t="shared" si="61"/>
        <v>9989.4290728905471</v>
      </c>
      <c r="I77" s="28">
        <f t="shared" si="61"/>
        <v>10436.886664373858</v>
      </c>
      <c r="J77" s="28">
        <f t="shared" si="61"/>
        <v>10130.092068469336</v>
      </c>
      <c r="K77" s="28">
        <f t="shared" si="61"/>
        <v>9260.6246199338857</v>
      </c>
      <c r="L77" s="28">
        <f t="shared" si="61"/>
        <v>9321.6265839376501</v>
      </c>
      <c r="M77" s="28">
        <f t="shared" si="61"/>
        <v>9152.0994647788993</v>
      </c>
      <c r="N77" s="28">
        <f t="shared" si="61"/>
        <v>8687.144060381208</v>
      </c>
      <c r="O77" s="28">
        <f t="shared" si="61"/>
        <v>8645.36988116465</v>
      </c>
      <c r="P77" s="28">
        <f t="shared" si="61"/>
        <v>8698.6166898022821</v>
      </c>
      <c r="Q77" s="28">
        <f t="shared" si="61"/>
        <v>9790.3777365026453</v>
      </c>
      <c r="R77" s="28">
        <f t="shared" ref="R77:V77" si="62">R78+R81+R82+R86+R92</f>
        <v>10067.528933637259</v>
      </c>
      <c r="S77" s="28">
        <f t="shared" si="62"/>
        <v>10321.315001981493</v>
      </c>
      <c r="T77" s="28">
        <f t="shared" si="62"/>
        <v>10660.841456335331</v>
      </c>
      <c r="U77" s="28">
        <f t="shared" si="62"/>
        <v>10602.545506608736</v>
      </c>
      <c r="V77" s="28">
        <f t="shared" si="62"/>
        <v>10211.023544572596</v>
      </c>
      <c r="W77" s="28">
        <f t="shared" ref="W77" si="63">W78+W81+W82+W86+W92</f>
        <v>11835.660911828996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6380.7008410831077</v>
      </c>
      <c r="C78" s="137">
        <f t="shared" si="64"/>
        <v>7009.6790041272343</v>
      </c>
      <c r="D78" s="137">
        <f t="shared" si="64"/>
        <v>7213.7662255233481</v>
      </c>
      <c r="E78" s="137">
        <f t="shared" si="64"/>
        <v>7326.8122221637095</v>
      </c>
      <c r="F78" s="137">
        <f t="shared" si="64"/>
        <v>8183.6888034363437</v>
      </c>
      <c r="G78" s="137">
        <f t="shared" si="64"/>
        <v>8209.8012468866982</v>
      </c>
      <c r="H78" s="137">
        <f t="shared" si="64"/>
        <v>8480.4739756418421</v>
      </c>
      <c r="I78" s="137">
        <f t="shared" si="64"/>
        <v>8723.2262639458095</v>
      </c>
      <c r="J78" s="137">
        <f t="shared" si="64"/>
        <v>8461.4388998093673</v>
      </c>
      <c r="K78" s="137">
        <f t="shared" si="64"/>
        <v>8020.0401789125681</v>
      </c>
      <c r="L78" s="137">
        <f t="shared" si="64"/>
        <v>7857.4636497792008</v>
      </c>
      <c r="M78" s="137">
        <f t="shared" si="64"/>
        <v>7707.6795393786942</v>
      </c>
      <c r="N78" s="137">
        <f t="shared" si="64"/>
        <v>7422.1889891768897</v>
      </c>
      <c r="O78" s="137">
        <f t="shared" si="64"/>
        <v>7452.8798781941132</v>
      </c>
      <c r="P78" s="137">
        <f t="shared" si="64"/>
        <v>7545.2250498232879</v>
      </c>
      <c r="Q78" s="137">
        <f t="shared" si="64"/>
        <v>8482.9619125587778</v>
      </c>
      <c r="R78" s="137">
        <f t="shared" ref="R78:V78" si="65">R79+R80</f>
        <v>8825.7439492113172</v>
      </c>
      <c r="S78" s="137">
        <f t="shared" si="65"/>
        <v>8975.0393841967452</v>
      </c>
      <c r="T78" s="137">
        <f t="shared" si="65"/>
        <v>9224.1452566896769</v>
      </c>
      <c r="U78" s="137">
        <f t="shared" si="65"/>
        <v>9238.4130109037851</v>
      </c>
      <c r="V78" s="137">
        <f t="shared" si="65"/>
        <v>8145.0799852644632</v>
      </c>
      <c r="W78" s="137">
        <f t="shared" ref="W78" si="66">W79+W80</f>
        <v>9418.5838031228832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3198.3726067003772</v>
      </c>
      <c r="C79" s="102">
        <f>TrRoad_emi!C$34</f>
        <v>3220.4139636758196</v>
      </c>
      <c r="D79" s="102">
        <f>TrRoad_emi!D$34</f>
        <v>3348.3081477223773</v>
      </c>
      <c r="E79" s="102">
        <f>TrRoad_emi!E$34</f>
        <v>3362.0801690959788</v>
      </c>
      <c r="F79" s="102">
        <f>TrRoad_emi!F$34</f>
        <v>3591.7007451797531</v>
      </c>
      <c r="G79" s="102">
        <f>TrRoad_emi!G$34</f>
        <v>3636.1574091529874</v>
      </c>
      <c r="H79" s="102">
        <f>TrRoad_emi!H$34</f>
        <v>3681.0126296666376</v>
      </c>
      <c r="I79" s="102">
        <f>TrRoad_emi!I$34</f>
        <v>3814.2220800274777</v>
      </c>
      <c r="J79" s="102">
        <f>TrRoad_emi!J$34</f>
        <v>3804.8126228106526</v>
      </c>
      <c r="K79" s="102">
        <f>TrRoad_emi!K$34</f>
        <v>3661.905422238473</v>
      </c>
      <c r="L79" s="102">
        <f>TrRoad_emi!L$34</f>
        <v>3543.8733482908438</v>
      </c>
      <c r="M79" s="102">
        <f>TrRoad_emi!M$34</f>
        <v>3511.607544135984</v>
      </c>
      <c r="N79" s="102">
        <f>TrRoad_emi!N$34</f>
        <v>3433.5552969134837</v>
      </c>
      <c r="O79" s="102">
        <f>TrRoad_emi!O$34</f>
        <v>3243.7410877222355</v>
      </c>
      <c r="P79" s="102">
        <f>TrRoad_emi!P$34</f>
        <v>3314.2453619612083</v>
      </c>
      <c r="Q79" s="102">
        <f>TrRoad_emi!Q$34</f>
        <v>3596.8962211134731</v>
      </c>
      <c r="R79" s="102">
        <f>TrRoad_emi!R$34</f>
        <v>3307.3625147383696</v>
      </c>
      <c r="S79" s="102">
        <f>TrRoad_emi!S$34</f>
        <v>3034.7757468483223</v>
      </c>
      <c r="T79" s="102">
        <f>TrRoad_emi!T$34</f>
        <v>2982.9431954824968</v>
      </c>
      <c r="U79" s="102">
        <f>TrRoad_emi!U$34</f>
        <v>2991.9466314642841</v>
      </c>
      <c r="V79" s="102">
        <f>TrRoad_emi!V$34</f>
        <v>2673.9575692394296</v>
      </c>
      <c r="W79" s="102">
        <f>TrRoad_emi!W$34</f>
        <v>3117.8742800476089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3182.3282343827304</v>
      </c>
      <c r="C80" s="102">
        <f>TrRoad_emi!C$40</f>
        <v>3789.2650404514143</v>
      </c>
      <c r="D80" s="102">
        <f>TrRoad_emi!D$40</f>
        <v>3865.4580778009713</v>
      </c>
      <c r="E80" s="102">
        <f>TrRoad_emi!E$40</f>
        <v>3964.7320530677307</v>
      </c>
      <c r="F80" s="102">
        <f>TrRoad_emi!F$40</f>
        <v>4591.9880582565911</v>
      </c>
      <c r="G80" s="102">
        <f>TrRoad_emi!G$40</f>
        <v>4573.6438377337108</v>
      </c>
      <c r="H80" s="102">
        <f>TrRoad_emi!H$40</f>
        <v>4799.4613459752054</v>
      </c>
      <c r="I80" s="102">
        <f>TrRoad_emi!I$40</f>
        <v>4909.0041839183314</v>
      </c>
      <c r="J80" s="102">
        <f>TrRoad_emi!J$40</f>
        <v>4656.6262769987152</v>
      </c>
      <c r="K80" s="102">
        <f>TrRoad_emi!K$40</f>
        <v>4358.1347566740951</v>
      </c>
      <c r="L80" s="102">
        <f>TrRoad_emi!L$40</f>
        <v>4313.590301488357</v>
      </c>
      <c r="M80" s="102">
        <f>TrRoad_emi!M$40</f>
        <v>4196.0719952427107</v>
      </c>
      <c r="N80" s="102">
        <f>TrRoad_emi!N$40</f>
        <v>3988.6336922634055</v>
      </c>
      <c r="O80" s="102">
        <f>TrRoad_emi!O$40</f>
        <v>4209.1387904718777</v>
      </c>
      <c r="P80" s="102">
        <f>TrRoad_emi!P$40</f>
        <v>4230.97968786208</v>
      </c>
      <c r="Q80" s="102">
        <f>TrRoad_emi!Q$40</f>
        <v>4886.0656914453048</v>
      </c>
      <c r="R80" s="102">
        <f>TrRoad_emi!R$40</f>
        <v>5518.3814344729471</v>
      </c>
      <c r="S80" s="102">
        <f>TrRoad_emi!S$40</f>
        <v>5940.263637348422</v>
      </c>
      <c r="T80" s="102">
        <f>TrRoad_emi!T$40</f>
        <v>6241.2020612071801</v>
      </c>
      <c r="U80" s="102">
        <f>TrRoad_emi!U$40</f>
        <v>6246.466379439501</v>
      </c>
      <c r="V80" s="102">
        <f>TrRoad_emi!V$40</f>
        <v>5471.1224160250331</v>
      </c>
      <c r="W80" s="102">
        <f>TrRoad_emi!W$40</f>
        <v>6300.7095230752748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111.06850136864863</v>
      </c>
      <c r="C81" s="110">
        <f>TrRail_emi!C$15</f>
        <v>93.430666259860104</v>
      </c>
      <c r="D81" s="110">
        <f>TrRail_emi!D$15</f>
        <v>77.15256837032544</v>
      </c>
      <c r="E81" s="110">
        <f>TrRail_emi!E$15</f>
        <v>68.283113236305027</v>
      </c>
      <c r="F81" s="110">
        <f>TrRail_emi!F$15</f>
        <v>68.178071423648674</v>
      </c>
      <c r="G81" s="110">
        <f>TrRail_emi!G$15</f>
        <v>73.017595669115835</v>
      </c>
      <c r="H81" s="110">
        <f>TrRail_emi!H$15</f>
        <v>82.457778092185492</v>
      </c>
      <c r="I81" s="110">
        <f>TrRail_emi!I$15</f>
        <v>89.815182484331871</v>
      </c>
      <c r="J81" s="110">
        <f>TrRail_emi!J$15</f>
        <v>75.648032132818997</v>
      </c>
      <c r="K81" s="110">
        <f>TrRail_emi!K$15</f>
        <v>42.813354490782991</v>
      </c>
      <c r="L81" s="110">
        <f>TrRail_emi!L$15</f>
        <v>39.200395804907274</v>
      </c>
      <c r="M81" s="110">
        <f>TrRail_emi!M$15</f>
        <v>36.517751487682041</v>
      </c>
      <c r="N81" s="110">
        <f>TrRail_emi!N$15</f>
        <v>43.105171746168693</v>
      </c>
      <c r="O81" s="110">
        <f>TrRail_emi!O$15</f>
        <v>33.918272020167841</v>
      </c>
      <c r="P81" s="110">
        <f>TrRail_emi!P$15</f>
        <v>28.381678878256693</v>
      </c>
      <c r="Q81" s="110">
        <f>TrRail_emi!Q$15</f>
        <v>27.460774930174519</v>
      </c>
      <c r="R81" s="110">
        <f>TrRail_emi!R$15</f>
        <v>28.914750304082851</v>
      </c>
      <c r="S81" s="110">
        <f>TrRail_emi!S$15</f>
        <v>32.742748327735569</v>
      </c>
      <c r="T81" s="110">
        <f>TrRail_emi!T$15</f>
        <v>43.311058306885712</v>
      </c>
      <c r="U81" s="110">
        <f>TrRail_emi!U$15</f>
        <v>45.504545676265586</v>
      </c>
      <c r="V81" s="110">
        <f>TrRail_emi!V$15</f>
        <v>44.495759019001611</v>
      </c>
      <c r="W81" s="110">
        <f>TrRail_emi!W$15</f>
        <v>46.67974700026123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618.96266990698177</v>
      </c>
      <c r="C82" s="110">
        <f t="shared" si="67"/>
        <v>532.13366436275692</v>
      </c>
      <c r="D82" s="110">
        <f t="shared" si="67"/>
        <v>516.87186545716804</v>
      </c>
      <c r="E82" s="110">
        <f t="shared" si="67"/>
        <v>646.71246256188488</v>
      </c>
      <c r="F82" s="110">
        <f t="shared" si="67"/>
        <v>654.11036443344176</v>
      </c>
      <c r="G82" s="110">
        <f t="shared" si="67"/>
        <v>657.38953076172095</v>
      </c>
      <c r="H82" s="110">
        <f t="shared" si="67"/>
        <v>958.22774971651847</v>
      </c>
      <c r="I82" s="110">
        <f t="shared" si="67"/>
        <v>1135.8265985837174</v>
      </c>
      <c r="J82" s="110">
        <f t="shared" si="67"/>
        <v>1109.2759499271499</v>
      </c>
      <c r="K82" s="110">
        <f t="shared" si="67"/>
        <v>788.28857389053519</v>
      </c>
      <c r="L82" s="110">
        <f t="shared" si="67"/>
        <v>939.09727411354038</v>
      </c>
      <c r="M82" s="110">
        <f t="shared" si="67"/>
        <v>942.11385659252232</v>
      </c>
      <c r="N82" s="110">
        <f t="shared" si="67"/>
        <v>770.51740193815101</v>
      </c>
      <c r="O82" s="110">
        <f t="shared" si="67"/>
        <v>697.70426731036855</v>
      </c>
      <c r="P82" s="110">
        <f t="shared" si="67"/>
        <v>685.47789422073686</v>
      </c>
      <c r="Q82" s="110">
        <f t="shared" si="67"/>
        <v>852.73395613369451</v>
      </c>
      <c r="R82" s="110">
        <f t="shared" si="67"/>
        <v>798.59126940185979</v>
      </c>
      <c r="S82" s="110">
        <f t="shared" si="67"/>
        <v>892.26916853701152</v>
      </c>
      <c r="T82" s="110">
        <f t="shared" si="67"/>
        <v>979.66685069876814</v>
      </c>
      <c r="U82" s="110">
        <f t="shared" si="67"/>
        <v>929.20349222868549</v>
      </c>
      <c r="V82" s="110">
        <f t="shared" si="67"/>
        <v>1634.066499809132</v>
      </c>
      <c r="W82" s="110">
        <f t="shared" ref="W82" si="68">W83+W84+W85</f>
        <v>1983.0160612258508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0</v>
      </c>
      <c r="C83" s="102">
        <f>TrAvia_emi!C$11</f>
        <v>0</v>
      </c>
      <c r="D83" s="102">
        <f>TrAvia_emi!D$11</f>
        <v>0</v>
      </c>
      <c r="E83" s="102">
        <f>TrAvia_emi!E$11</f>
        <v>0</v>
      </c>
      <c r="F83" s="102">
        <f>TrAvia_emi!F$11</f>
        <v>0</v>
      </c>
      <c r="G83" s="102">
        <f>TrAvia_emi!G$11</f>
        <v>0</v>
      </c>
      <c r="H83" s="102">
        <f>TrAvia_emi!H$11</f>
        <v>0</v>
      </c>
      <c r="I83" s="102">
        <f>TrAvia_emi!I$11</f>
        <v>0</v>
      </c>
      <c r="J83" s="102">
        <f>TrAvia_emi!J$11</f>
        <v>0</v>
      </c>
      <c r="K83" s="102">
        <f>TrAvia_emi!K$11</f>
        <v>0</v>
      </c>
      <c r="L83" s="102">
        <f>TrAvia_emi!L$11</f>
        <v>0</v>
      </c>
      <c r="M83" s="102">
        <f>TrAvia_emi!M$11</f>
        <v>0</v>
      </c>
      <c r="N83" s="102">
        <f>TrAvia_emi!N$11</f>
        <v>0</v>
      </c>
      <c r="O83" s="102">
        <f>TrAvia_emi!O$11</f>
        <v>0</v>
      </c>
      <c r="P83" s="102">
        <f>TrAvia_emi!P$11</f>
        <v>0</v>
      </c>
      <c r="Q83" s="102">
        <f>TrAvia_emi!Q$11</f>
        <v>0</v>
      </c>
      <c r="R83" s="102">
        <f>TrAvia_emi!R$11</f>
        <v>0</v>
      </c>
      <c r="S83" s="102">
        <f>TrAvia_emi!S$11</f>
        <v>0</v>
      </c>
      <c r="T83" s="102">
        <f>TrAvia_emi!T$11</f>
        <v>0</v>
      </c>
      <c r="U83" s="102">
        <f>TrAvia_emi!U$11</f>
        <v>0</v>
      </c>
      <c r="V83" s="102">
        <f>TrAvia_emi!V$11</f>
        <v>0</v>
      </c>
      <c r="W83" s="102">
        <f>TrAvia_emi!W$11</f>
        <v>0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176.98845576103599</v>
      </c>
      <c r="C84" s="102">
        <f>TrAvia_emi!C$12</f>
        <v>132.7534013724389</v>
      </c>
      <c r="D84" s="102">
        <f>TrAvia_emi!D$12</f>
        <v>124.85543387056893</v>
      </c>
      <c r="E84" s="102">
        <f>TrAvia_emi!E$12</f>
        <v>125.86535226036681</v>
      </c>
      <c r="F84" s="102">
        <f>TrAvia_emi!F$12</f>
        <v>127.78116227223749</v>
      </c>
      <c r="G84" s="102">
        <f>TrAvia_emi!G$12</f>
        <v>139.86358978031021</v>
      </c>
      <c r="H84" s="102">
        <f>TrAvia_emi!H$12</f>
        <v>270.04328395143472</v>
      </c>
      <c r="I84" s="102">
        <f>TrAvia_emi!I$12</f>
        <v>295.28358787246179</v>
      </c>
      <c r="J84" s="102">
        <f>TrAvia_emi!J$12</f>
        <v>237.46735881961303</v>
      </c>
      <c r="K84" s="102">
        <f>TrAvia_emi!K$12</f>
        <v>170.0011917100434</v>
      </c>
      <c r="L84" s="102">
        <f>TrAvia_emi!L$12</f>
        <v>173.88092091831601</v>
      </c>
      <c r="M84" s="102">
        <f>TrAvia_emi!M$12</f>
        <v>167.76629293243593</v>
      </c>
      <c r="N84" s="102">
        <f>TrAvia_emi!N$12</f>
        <v>158.33118884395654</v>
      </c>
      <c r="O84" s="102">
        <f>TrAvia_emi!O$12</f>
        <v>155.98658565969203</v>
      </c>
      <c r="P84" s="102">
        <f>TrAvia_emi!P$12</f>
        <v>152.2676018622183</v>
      </c>
      <c r="Q84" s="102">
        <f>TrAvia_emi!Q$12</f>
        <v>170.38886228914407</v>
      </c>
      <c r="R84" s="102">
        <f>TrAvia_emi!R$12</f>
        <v>154.61724240922811</v>
      </c>
      <c r="S84" s="102">
        <f>TrAvia_emi!S$12</f>
        <v>189.10086867974152</v>
      </c>
      <c r="T84" s="102">
        <f>TrAvia_emi!T$12</f>
        <v>228.532942915576</v>
      </c>
      <c r="U84" s="102">
        <f>TrAvia_emi!U$12</f>
        <v>222.77591385853069</v>
      </c>
      <c r="V84" s="102">
        <f>TrAvia_emi!V$12</f>
        <v>336.55621852774505</v>
      </c>
      <c r="W84" s="102">
        <f>TrAvia_emi!W$12</f>
        <v>462.55576774452811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441.97421414594572</v>
      </c>
      <c r="C85" s="102">
        <f>TrAvia_emi!C$13</f>
        <v>399.38026299031799</v>
      </c>
      <c r="D85" s="102">
        <f>TrAvia_emi!D$13</f>
        <v>392.01643158659914</v>
      </c>
      <c r="E85" s="102">
        <f>TrAvia_emi!E$13</f>
        <v>520.84711030151811</v>
      </c>
      <c r="F85" s="102">
        <f>TrAvia_emi!F$13</f>
        <v>526.32920216120431</v>
      </c>
      <c r="G85" s="102">
        <f>TrAvia_emi!G$13</f>
        <v>517.52594098141071</v>
      </c>
      <c r="H85" s="102">
        <f>TrAvia_emi!H$13</f>
        <v>688.1844657650837</v>
      </c>
      <c r="I85" s="102">
        <f>TrAvia_emi!I$13</f>
        <v>840.54301071125576</v>
      </c>
      <c r="J85" s="102">
        <f>TrAvia_emi!J$13</f>
        <v>871.80859110753681</v>
      </c>
      <c r="K85" s="102">
        <f>TrAvia_emi!K$13</f>
        <v>618.28738218049182</v>
      </c>
      <c r="L85" s="102">
        <f>TrAvia_emi!L$13</f>
        <v>765.21635319522431</v>
      </c>
      <c r="M85" s="102">
        <f>TrAvia_emi!M$13</f>
        <v>774.34756366008639</v>
      </c>
      <c r="N85" s="102">
        <f>TrAvia_emi!N$13</f>
        <v>612.1862130941945</v>
      </c>
      <c r="O85" s="102">
        <f>TrAvia_emi!O$13</f>
        <v>541.71768165067647</v>
      </c>
      <c r="P85" s="102">
        <f>TrAvia_emi!P$13</f>
        <v>533.21029235851859</v>
      </c>
      <c r="Q85" s="102">
        <f>TrAvia_emi!Q$13</f>
        <v>682.34509384455043</v>
      </c>
      <c r="R85" s="102">
        <f>TrAvia_emi!R$13</f>
        <v>643.97402699263171</v>
      </c>
      <c r="S85" s="102">
        <f>TrAvia_emi!S$13</f>
        <v>703.16829985726997</v>
      </c>
      <c r="T85" s="102">
        <f>TrAvia_emi!T$13</f>
        <v>751.13390778319217</v>
      </c>
      <c r="U85" s="102">
        <f>TrAvia_emi!U$13</f>
        <v>706.42757837015483</v>
      </c>
      <c r="V85" s="102">
        <f>TrAvia_emi!V$13</f>
        <v>1297.5102812813868</v>
      </c>
      <c r="W85" s="102">
        <f>TrAvia_emi!W$13</f>
        <v>1520.4602934813227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912.27886812000008</v>
      </c>
      <c r="C86" s="110">
        <f t="shared" si="69"/>
        <v>871.27017228</v>
      </c>
      <c r="D86" s="110">
        <f t="shared" si="69"/>
        <v>785.11443587999997</v>
      </c>
      <c r="E86" s="110">
        <f t="shared" si="69"/>
        <v>876.40362396</v>
      </c>
      <c r="F86" s="110">
        <f t="shared" si="69"/>
        <v>777.37979016000008</v>
      </c>
      <c r="G86" s="110">
        <f t="shared" si="69"/>
        <v>723.30338987999994</v>
      </c>
      <c r="H86" s="110">
        <f t="shared" si="69"/>
        <v>468.26956943999994</v>
      </c>
      <c r="I86" s="110">
        <f t="shared" si="69"/>
        <v>488.01861936000006</v>
      </c>
      <c r="J86" s="110">
        <f t="shared" si="69"/>
        <v>483.72918659999993</v>
      </c>
      <c r="K86" s="110">
        <f t="shared" si="69"/>
        <v>409.48251263999975</v>
      </c>
      <c r="L86" s="110">
        <f t="shared" si="69"/>
        <v>485.86526424000022</v>
      </c>
      <c r="M86" s="110">
        <f t="shared" si="69"/>
        <v>465.78831732000009</v>
      </c>
      <c r="N86" s="110">
        <f t="shared" si="69"/>
        <v>451.33249752</v>
      </c>
      <c r="O86" s="110">
        <f t="shared" si="69"/>
        <v>460.86746363999998</v>
      </c>
      <c r="P86" s="110">
        <f t="shared" si="69"/>
        <v>439.53206688000006</v>
      </c>
      <c r="Q86" s="110">
        <f t="shared" si="69"/>
        <v>427.22109288000013</v>
      </c>
      <c r="R86" s="110">
        <f t="shared" ref="R86:V86" si="70">R87+R88</f>
        <v>414.27896471999998</v>
      </c>
      <c r="S86" s="110">
        <f t="shared" si="70"/>
        <v>421.26370092000002</v>
      </c>
      <c r="T86" s="110">
        <f t="shared" si="70"/>
        <v>413.71829063999996</v>
      </c>
      <c r="U86" s="110">
        <f t="shared" si="70"/>
        <v>389.42445779999991</v>
      </c>
      <c r="V86" s="110">
        <f t="shared" si="70"/>
        <v>387.38130048000005</v>
      </c>
      <c r="W86" s="110">
        <f t="shared" ref="W86" si="71">W87+W88</f>
        <v>387.38130048000005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53.012810088446273</v>
      </c>
      <c r="C87" s="102">
        <f>TrNavi_emi!C$4</f>
        <v>42.889785449516282</v>
      </c>
      <c r="D87" s="102">
        <f>TrNavi_emi!D$4</f>
        <v>33.59462443278494</v>
      </c>
      <c r="E87" s="102">
        <f>TrNavi_emi!E$4</f>
        <v>32.665293876302641</v>
      </c>
      <c r="F87" s="102">
        <f>TrNavi_emi!F$4</f>
        <v>21.564189310964132</v>
      </c>
      <c r="G87" s="102">
        <f>TrNavi_emi!G$4</f>
        <v>37.8600764591109</v>
      </c>
      <c r="H87" s="102">
        <f>TrNavi_emi!H$4</f>
        <v>32.975080511229066</v>
      </c>
      <c r="I87" s="102">
        <f>TrNavi_emi!I$4</f>
        <v>37.722876201687328</v>
      </c>
      <c r="J87" s="102">
        <f>TrNavi_emi!J$4</f>
        <v>40.748804936959147</v>
      </c>
      <c r="K87" s="102">
        <f>TrNavi_emi!K$4</f>
        <v>23.513468700637787</v>
      </c>
      <c r="L87" s="102">
        <f>TrNavi_emi!L$4</f>
        <v>23.691186245999631</v>
      </c>
      <c r="M87" s="102">
        <f>TrNavi_emi!M$4</f>
        <v>20.604481452835515</v>
      </c>
      <c r="N87" s="102">
        <f>TrNavi_emi!N$4</f>
        <v>18.156315620112469</v>
      </c>
      <c r="O87" s="102">
        <f>TrNavi_emi!O$4</f>
        <v>18.579442828883099</v>
      </c>
      <c r="P87" s="102">
        <f>TrNavi_emi!P$4</f>
        <v>17.85130848476528</v>
      </c>
      <c r="Q87" s="102">
        <f>TrNavi_emi!Q$4</f>
        <v>15.637820538693436</v>
      </c>
      <c r="R87" s="102">
        <f>TrNavi_emi!R$4</f>
        <v>18.039550347438979</v>
      </c>
      <c r="S87" s="102">
        <f>TrNavi_emi!S$4</f>
        <v>14.175427718188814</v>
      </c>
      <c r="T87" s="102">
        <f>TrNavi_emi!T$4</f>
        <v>18.007686021830562</v>
      </c>
      <c r="U87" s="102">
        <f>TrNavi_emi!U$4</f>
        <v>20.797164306621724</v>
      </c>
      <c r="V87" s="102">
        <f>TrNavi_emi!V$4</f>
        <v>21.04264484687813</v>
      </c>
      <c r="W87" s="102">
        <f>TrNavi_emi!W$4</f>
        <v>25.008385154832784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859.26605803155383</v>
      </c>
      <c r="C88" s="169">
        <f>TrNavi_emi!C$5</f>
        <v>828.38038683048376</v>
      </c>
      <c r="D88" s="169">
        <f>TrNavi_emi!D$5</f>
        <v>751.51981144721503</v>
      </c>
      <c r="E88" s="169">
        <f>TrNavi_emi!E$5</f>
        <v>843.73833008369741</v>
      </c>
      <c r="F88" s="169">
        <f>TrNavi_emi!F$5</f>
        <v>755.81560084903595</v>
      </c>
      <c r="G88" s="169">
        <f>TrNavi_emi!G$5</f>
        <v>685.44331342088901</v>
      </c>
      <c r="H88" s="169">
        <f>TrNavi_emi!H$5</f>
        <v>435.29448892877087</v>
      </c>
      <c r="I88" s="169">
        <f>TrNavi_emi!I$5</f>
        <v>450.29574315831275</v>
      </c>
      <c r="J88" s="169">
        <f>TrNavi_emi!J$5</f>
        <v>442.98038166304082</v>
      </c>
      <c r="K88" s="169">
        <f>TrNavi_emi!K$5</f>
        <v>385.969043939362</v>
      </c>
      <c r="L88" s="169">
        <f>TrNavi_emi!L$5</f>
        <v>462.17407799400058</v>
      </c>
      <c r="M88" s="169">
        <f>TrNavi_emi!M$5</f>
        <v>445.18383586716459</v>
      </c>
      <c r="N88" s="169">
        <f>TrNavi_emi!N$5</f>
        <v>433.17618189988752</v>
      </c>
      <c r="O88" s="169">
        <f>TrNavi_emi!O$5</f>
        <v>442.28802081111689</v>
      </c>
      <c r="P88" s="169">
        <f>TrNavi_emi!P$5</f>
        <v>421.68075839523476</v>
      </c>
      <c r="Q88" s="169">
        <f>TrNavi_emi!Q$5</f>
        <v>411.58327234130667</v>
      </c>
      <c r="R88" s="169">
        <f>TrNavi_emi!R$5</f>
        <v>396.23941437256099</v>
      </c>
      <c r="S88" s="169">
        <f>TrNavi_emi!S$5</f>
        <v>407.08827320181121</v>
      </c>
      <c r="T88" s="169">
        <f>TrNavi_emi!T$5</f>
        <v>395.71060461816938</v>
      </c>
      <c r="U88" s="169">
        <f>TrNavi_emi!U$5</f>
        <v>368.6272934933782</v>
      </c>
      <c r="V88" s="169">
        <f>TrNavi_emi!V$5</f>
        <v>366.3386556331219</v>
      </c>
      <c r="W88" s="169">
        <f>TrNavi_emi!W$5</f>
        <v>362.37291532516724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17196.483331080002</v>
      </c>
      <c r="C89" s="28">
        <f t="shared" si="72"/>
        <v>16808.634361800003</v>
      </c>
      <c r="D89" s="28">
        <f t="shared" si="72"/>
        <v>21962.98902384</v>
      </c>
      <c r="E89" s="28">
        <f t="shared" si="72"/>
        <v>24018.859081800001</v>
      </c>
      <c r="F89" s="28">
        <f t="shared" si="72"/>
        <v>24912.639302040003</v>
      </c>
      <c r="G89" s="28">
        <f t="shared" si="72"/>
        <v>24653.909937960001</v>
      </c>
      <c r="H89" s="28">
        <f t="shared" si="72"/>
        <v>26680.145252760001</v>
      </c>
      <c r="I89" s="28">
        <f t="shared" si="72"/>
        <v>29852.640001800002</v>
      </c>
      <c r="J89" s="28">
        <f t="shared" si="72"/>
        <v>30811.860865080005</v>
      </c>
      <c r="K89" s="28">
        <f t="shared" si="72"/>
        <v>22588.043604120001</v>
      </c>
      <c r="L89" s="28">
        <f t="shared" si="72"/>
        <v>24546.999269880005</v>
      </c>
      <c r="M89" s="28">
        <f t="shared" si="72"/>
        <v>21812.817753000003</v>
      </c>
      <c r="N89" s="28">
        <f t="shared" si="72"/>
        <v>19516.554150840002</v>
      </c>
      <c r="O89" s="28">
        <f t="shared" si="72"/>
        <v>19879.089149160001</v>
      </c>
      <c r="P89" s="28">
        <f t="shared" si="72"/>
        <v>17352.324061920001</v>
      </c>
      <c r="Q89" s="28">
        <f t="shared" si="72"/>
        <v>18652.116418200003</v>
      </c>
      <c r="R89" s="28">
        <f t="shared" si="72"/>
        <v>21391.985307240004</v>
      </c>
      <c r="S89" s="28">
        <f t="shared" si="72"/>
        <v>24128.797683959994</v>
      </c>
      <c r="T89" s="28">
        <f t="shared" si="72"/>
        <v>29890.820740679999</v>
      </c>
      <c r="U89" s="28">
        <f t="shared" si="72"/>
        <v>26393.515075800002</v>
      </c>
      <c r="V89" s="28">
        <f t="shared" si="72"/>
        <v>20470.491736199998</v>
      </c>
      <c r="W89" s="28">
        <f t="shared" si="72"/>
        <v>24329.996414640005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4274.0760764313891</v>
      </c>
      <c r="C90" s="102">
        <f>MBunk_emi!C$4</f>
        <v>4296.6472025424755</v>
      </c>
      <c r="D90" s="102">
        <f>MBunk_emi!D$4</f>
        <v>5285.6764925283351</v>
      </c>
      <c r="E90" s="102">
        <f>MBunk_emi!E$4</f>
        <v>5762.7512866746201</v>
      </c>
      <c r="F90" s="102">
        <f>MBunk_emi!F$4</f>
        <v>5329.9104739940894</v>
      </c>
      <c r="G90" s="102">
        <f>MBunk_emi!G$4</f>
        <v>4706.5566295035478</v>
      </c>
      <c r="H90" s="102">
        <f>MBunk_emi!H$4</f>
        <v>4957.2619422125035</v>
      </c>
      <c r="I90" s="102">
        <f>MBunk_emi!I$4</f>
        <v>5380.6069049329381</v>
      </c>
      <c r="J90" s="102">
        <f>MBunk_emi!J$4</f>
        <v>5508.1493312220773</v>
      </c>
      <c r="K90" s="102">
        <f>MBunk_emi!K$4</f>
        <v>3986.4467841880137</v>
      </c>
      <c r="L90" s="102">
        <f>MBunk_emi!L$4</f>
        <v>4727.1347360751861</v>
      </c>
      <c r="M90" s="102">
        <f>MBunk_emi!M$4</f>
        <v>3896.2186416845416</v>
      </c>
      <c r="N90" s="102">
        <f>MBunk_emi!N$4</f>
        <v>3778.615072559317</v>
      </c>
      <c r="O90" s="102">
        <f>MBunk_emi!O$4</f>
        <v>4019.7464373091811</v>
      </c>
      <c r="P90" s="102">
        <f>MBunk_emi!P$4</f>
        <v>3627.5048630036736</v>
      </c>
      <c r="Q90" s="102">
        <f>MBunk_emi!Q$4</f>
        <v>4005.2933823443491</v>
      </c>
      <c r="R90" s="102">
        <f>MBunk_emi!R$4</f>
        <v>5274.895055423106</v>
      </c>
      <c r="S90" s="102">
        <f>MBunk_emi!S$4</f>
        <v>5449.7286477260404</v>
      </c>
      <c r="T90" s="102">
        <f>MBunk_emi!T$4</f>
        <v>6385.9035956948219</v>
      </c>
      <c r="U90" s="102">
        <f>MBunk_emi!U$4</f>
        <v>5866.6218062567759</v>
      </c>
      <c r="V90" s="102">
        <f>MBunk_emi!V$4</f>
        <v>3938.7572695944655</v>
      </c>
      <c r="W90" s="102">
        <f>MBunk_emi!W$4</f>
        <v>4867.1619477571758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12922.407254648613</v>
      </c>
      <c r="C91" s="86">
        <f>MBunk_emi!C$5</f>
        <v>12511.987159257525</v>
      </c>
      <c r="D91" s="86">
        <f>MBunk_emi!D$5</f>
        <v>16677.312531311665</v>
      </c>
      <c r="E91" s="86">
        <f>MBunk_emi!E$5</f>
        <v>18256.107795125383</v>
      </c>
      <c r="F91" s="86">
        <f>MBunk_emi!F$5</f>
        <v>19582.728828045914</v>
      </c>
      <c r="G91" s="86">
        <f>MBunk_emi!G$5</f>
        <v>19947.353308456455</v>
      </c>
      <c r="H91" s="86">
        <f>MBunk_emi!H$5</f>
        <v>21722.883310547499</v>
      </c>
      <c r="I91" s="86">
        <f>MBunk_emi!I$5</f>
        <v>24472.033096867064</v>
      </c>
      <c r="J91" s="86">
        <f>MBunk_emi!J$5</f>
        <v>25303.711533857928</v>
      </c>
      <c r="K91" s="86">
        <f>MBunk_emi!K$5</f>
        <v>18601.596819931987</v>
      </c>
      <c r="L91" s="86">
        <f>MBunk_emi!L$5</f>
        <v>19819.864533804819</v>
      </c>
      <c r="M91" s="86">
        <f>MBunk_emi!M$5</f>
        <v>17916.599111315463</v>
      </c>
      <c r="N91" s="86">
        <f>MBunk_emi!N$5</f>
        <v>15737.939078280684</v>
      </c>
      <c r="O91" s="86">
        <f>MBunk_emi!O$5</f>
        <v>15859.342711850821</v>
      </c>
      <c r="P91" s="86">
        <f>MBunk_emi!P$5</f>
        <v>13724.819198916328</v>
      </c>
      <c r="Q91" s="86">
        <f>MBunk_emi!Q$5</f>
        <v>14646.823035855654</v>
      </c>
      <c r="R91" s="86">
        <f>MBunk_emi!R$5</f>
        <v>16117.090251816899</v>
      </c>
      <c r="S91" s="86">
        <f>MBunk_emi!S$5</f>
        <v>18679.069036233952</v>
      </c>
      <c r="T91" s="86">
        <f>MBunk_emi!T$5</f>
        <v>23504.917144985178</v>
      </c>
      <c r="U91" s="86">
        <f>MBunk_emi!U$5</f>
        <v>20526.893269543227</v>
      </c>
      <c r="V91" s="86">
        <f>MBunk_emi!V$5</f>
        <v>16531.734466605532</v>
      </c>
      <c r="W91" s="86">
        <f>MBunk_emi!W$5</f>
        <v>19462.834466882829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0.80162579198286699</v>
      </c>
      <c r="C97" s="139">
        <f t="shared" si="76"/>
        <v>0.80447795524938115</v>
      </c>
      <c r="D97" s="139">
        <f t="shared" si="76"/>
        <v>0.84221804480758522</v>
      </c>
      <c r="E97" s="139">
        <f t="shared" si="76"/>
        <v>0.8335196257202907</v>
      </c>
      <c r="F97" s="139">
        <f t="shared" si="76"/>
        <v>0.81670891499616982</v>
      </c>
      <c r="G97" s="139">
        <f t="shared" si="76"/>
        <v>0.81950117496716002</v>
      </c>
      <c r="H97" s="139">
        <f t="shared" si="76"/>
        <v>0.81230423782919792</v>
      </c>
      <c r="I97" s="139">
        <f t="shared" si="76"/>
        <v>0.8078835124826248</v>
      </c>
      <c r="J97" s="139">
        <f t="shared" si="76"/>
        <v>0.7955813120115981</v>
      </c>
      <c r="K97" s="139">
        <f t="shared" si="76"/>
        <v>0.79634165776693899</v>
      </c>
      <c r="L97" s="139">
        <f t="shared" si="76"/>
        <v>0.78577984342873941</v>
      </c>
      <c r="M97" s="139">
        <f t="shared" si="76"/>
        <v>0.77418876853763674</v>
      </c>
      <c r="N97" s="139">
        <f t="shared" si="76"/>
        <v>0.77254779968857878</v>
      </c>
      <c r="O97" s="139">
        <f t="shared" si="76"/>
        <v>0.7603960948168802</v>
      </c>
      <c r="P97" s="139">
        <f t="shared" si="76"/>
        <v>0.75573420169506178</v>
      </c>
      <c r="Q97" s="139">
        <f t="shared" si="76"/>
        <v>0.7441478027154258</v>
      </c>
      <c r="R97" s="139">
        <f t="shared" ref="R97:V97" si="77">IF(R5=0,0,R5/R$4)</f>
        <v>0.75132160025983963</v>
      </c>
      <c r="S97" s="139">
        <f t="shared" si="77"/>
        <v>0.73468960229704383</v>
      </c>
      <c r="T97" s="139">
        <f t="shared" si="77"/>
        <v>0.72070517078862961</v>
      </c>
      <c r="U97" s="139">
        <f t="shared" si="77"/>
        <v>0.71365352110117963</v>
      </c>
      <c r="V97" s="139">
        <f t="shared" si="77"/>
        <v>0.83645121742182071</v>
      </c>
      <c r="W97" s="139">
        <f t="shared" ref="W97" si="78">IF(W5=0,0,W5/W$4)</f>
        <v>0.81651127530534207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1.085619385765777E-2</v>
      </c>
      <c r="C98" s="140">
        <f t="shared" si="79"/>
        <v>1.1268942142088149E-2</v>
      </c>
      <c r="D98" s="140">
        <f t="shared" si="79"/>
        <v>1.2180529930659802E-2</v>
      </c>
      <c r="E98" s="140">
        <f t="shared" si="79"/>
        <v>1.2672198310575792E-2</v>
      </c>
      <c r="F98" s="140">
        <f t="shared" si="79"/>
        <v>1.2524718989165726E-2</v>
      </c>
      <c r="G98" s="140">
        <f t="shared" si="79"/>
        <v>1.2183256637373675E-2</v>
      </c>
      <c r="H98" s="140">
        <f t="shared" si="79"/>
        <v>1.2430223848842166E-2</v>
      </c>
      <c r="I98" s="140">
        <f t="shared" si="79"/>
        <v>1.2606227689263755E-2</v>
      </c>
      <c r="J98" s="140">
        <f t="shared" si="79"/>
        <v>1.2201244644522382E-2</v>
      </c>
      <c r="K98" s="140">
        <f t="shared" si="79"/>
        <v>1.2008637844529055E-2</v>
      </c>
      <c r="L98" s="140">
        <f t="shared" si="79"/>
        <v>1.1209823323188735E-2</v>
      </c>
      <c r="M98" s="140">
        <f t="shared" si="79"/>
        <v>1.0960628553965613E-2</v>
      </c>
      <c r="N98" s="140">
        <f t="shared" si="79"/>
        <v>1.0489626948764798E-2</v>
      </c>
      <c r="O98" s="140">
        <f t="shared" si="79"/>
        <v>1.0427783654729631E-2</v>
      </c>
      <c r="P98" s="140">
        <f t="shared" si="79"/>
        <v>1.0720274354808339E-2</v>
      </c>
      <c r="Q98" s="140">
        <f t="shared" si="79"/>
        <v>1.0628404838830669E-2</v>
      </c>
      <c r="R98" s="140">
        <f t="shared" ref="R98:V98" si="80">IF(R6=0,0,R6/R$4)</f>
        <v>1.1129992100345645E-2</v>
      </c>
      <c r="S98" s="140">
        <f t="shared" si="80"/>
        <v>1.0227321285292747E-2</v>
      </c>
      <c r="T98" s="140">
        <f t="shared" si="80"/>
        <v>9.6231500529302995E-3</v>
      </c>
      <c r="U98" s="140">
        <f t="shared" si="80"/>
        <v>1.0175740444628795E-2</v>
      </c>
      <c r="V98" s="140">
        <f t="shared" si="80"/>
        <v>1.2944490506881153E-2</v>
      </c>
      <c r="W98" s="140">
        <f t="shared" ref="W98" si="81">IF(W6=0,0,W6/W$4)</f>
        <v>1.2563402236124323E-2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0.69999248831088789</v>
      </c>
      <c r="C99" s="140">
        <f t="shared" si="82"/>
        <v>0.69993052670518119</v>
      </c>
      <c r="D99" s="140">
        <f t="shared" si="82"/>
        <v>0.72639322185044308</v>
      </c>
      <c r="E99" s="140">
        <f t="shared" si="82"/>
        <v>0.70712517341674264</v>
      </c>
      <c r="F99" s="140">
        <f t="shared" si="82"/>
        <v>0.68946905713415196</v>
      </c>
      <c r="G99" s="140">
        <f t="shared" si="82"/>
        <v>0.68979553692740092</v>
      </c>
      <c r="H99" s="140">
        <f t="shared" si="82"/>
        <v>0.68010911641984817</v>
      </c>
      <c r="I99" s="140">
        <f t="shared" si="82"/>
        <v>0.67447233146198193</v>
      </c>
      <c r="J99" s="140">
        <f t="shared" si="82"/>
        <v>0.67350346358885016</v>
      </c>
      <c r="K99" s="140">
        <f t="shared" si="82"/>
        <v>0.67433003175796635</v>
      </c>
      <c r="L99" s="140">
        <f t="shared" si="82"/>
        <v>0.66837561447613769</v>
      </c>
      <c r="M99" s="140">
        <f t="shared" si="82"/>
        <v>0.65756932928791545</v>
      </c>
      <c r="N99" s="140">
        <f t="shared" si="82"/>
        <v>0.65547208077859187</v>
      </c>
      <c r="O99" s="140">
        <f t="shared" si="82"/>
        <v>0.65229487867408698</v>
      </c>
      <c r="P99" s="140">
        <f t="shared" si="82"/>
        <v>0.65209712361845285</v>
      </c>
      <c r="Q99" s="140">
        <f t="shared" si="82"/>
        <v>0.64661582928085837</v>
      </c>
      <c r="R99" s="140">
        <f t="shared" ref="R99:V99" si="83">IF(R7=0,0,R7/R$4)</f>
        <v>0.65619434145435784</v>
      </c>
      <c r="S99" s="140">
        <f t="shared" si="83"/>
        <v>0.64399247760584377</v>
      </c>
      <c r="T99" s="140">
        <f t="shared" si="83"/>
        <v>0.63151153611098099</v>
      </c>
      <c r="U99" s="140">
        <f t="shared" si="83"/>
        <v>0.62401877704463216</v>
      </c>
      <c r="V99" s="140">
        <f t="shared" si="83"/>
        <v>0.75067472153167847</v>
      </c>
      <c r="W99" s="140">
        <f t="shared" ref="W99" si="84">IF(W7=0,0,W7/W$4)</f>
        <v>0.7336167830087128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9.07771098143213E-2</v>
      </c>
      <c r="C100" s="140">
        <f t="shared" si="85"/>
        <v>9.3278486402111782E-2</v>
      </c>
      <c r="D100" s="140">
        <f t="shared" si="85"/>
        <v>0.10364429302648231</v>
      </c>
      <c r="E100" s="140">
        <f t="shared" si="85"/>
        <v>0.11372225399297231</v>
      </c>
      <c r="F100" s="140">
        <f t="shared" si="85"/>
        <v>0.1147151388728521</v>
      </c>
      <c r="G100" s="140">
        <f t="shared" si="85"/>
        <v>0.11752238140238537</v>
      </c>
      <c r="H100" s="140">
        <f t="shared" si="85"/>
        <v>0.11976489756050768</v>
      </c>
      <c r="I100" s="140">
        <f t="shared" si="85"/>
        <v>0.12080495333137906</v>
      </c>
      <c r="J100" s="140">
        <f t="shared" si="85"/>
        <v>0.10987660377822552</v>
      </c>
      <c r="K100" s="140">
        <f t="shared" si="85"/>
        <v>0.11000298816444357</v>
      </c>
      <c r="L100" s="140">
        <f t="shared" si="85"/>
        <v>0.10619440562941299</v>
      </c>
      <c r="M100" s="140">
        <f t="shared" si="85"/>
        <v>0.10565881069575567</v>
      </c>
      <c r="N100" s="140">
        <f t="shared" si="85"/>
        <v>0.10658609196122219</v>
      </c>
      <c r="O100" s="140">
        <f t="shared" si="85"/>
        <v>9.7673432488063636E-2</v>
      </c>
      <c r="P100" s="140">
        <f t="shared" si="85"/>
        <v>9.2916803721800528E-2</v>
      </c>
      <c r="Q100" s="140">
        <f t="shared" si="85"/>
        <v>8.6903568595736808E-2</v>
      </c>
      <c r="R100" s="140">
        <f t="shared" ref="R100:V100" si="86">IF(R8=0,0,R8/R$4)</f>
        <v>8.3997266705136076E-2</v>
      </c>
      <c r="S100" s="140">
        <f t="shared" si="86"/>
        <v>8.0469803405907342E-2</v>
      </c>
      <c r="T100" s="140">
        <f t="shared" si="86"/>
        <v>7.9570484624718371E-2</v>
      </c>
      <c r="U100" s="140">
        <f t="shared" si="86"/>
        <v>7.9459003611918683E-2</v>
      </c>
      <c r="V100" s="140">
        <f t="shared" si="86"/>
        <v>7.2832005383261109E-2</v>
      </c>
      <c r="W100" s="140">
        <f t="shared" ref="W100" si="87">IF(W8=0,0,W8/W$4)</f>
        <v>7.0331090060504961E-2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5.8732960869368883E-2</v>
      </c>
      <c r="C101" s="124">
        <f t="shared" si="88"/>
        <v>6.0316577724669286E-2</v>
      </c>
      <c r="D101" s="124">
        <f t="shared" si="88"/>
        <v>6.3394505834091744E-2</v>
      </c>
      <c r="E101" s="124">
        <f t="shared" si="88"/>
        <v>6.3230497414128992E-2</v>
      </c>
      <c r="F101" s="124">
        <f t="shared" si="88"/>
        <v>6.7820012527313137E-2</v>
      </c>
      <c r="G101" s="124">
        <f t="shared" si="88"/>
        <v>6.3340464549353784E-2</v>
      </c>
      <c r="H101" s="124">
        <f t="shared" si="88"/>
        <v>6.5679214714020662E-2</v>
      </c>
      <c r="I101" s="124">
        <f t="shared" si="88"/>
        <v>6.226385689872084E-2</v>
      </c>
      <c r="J101" s="124">
        <f t="shared" si="88"/>
        <v>6.2910576032767243E-2</v>
      </c>
      <c r="K101" s="124">
        <f t="shared" si="88"/>
        <v>6.3459830127426453E-2</v>
      </c>
      <c r="L101" s="124">
        <f t="shared" si="88"/>
        <v>6.3800638533227316E-2</v>
      </c>
      <c r="M101" s="124">
        <f t="shared" si="88"/>
        <v>6.5903703604383718E-2</v>
      </c>
      <c r="N101" s="124">
        <f t="shared" si="88"/>
        <v>6.6202346602436526E-2</v>
      </c>
      <c r="O101" s="124">
        <f t="shared" si="88"/>
        <v>6.8832210752449552E-2</v>
      </c>
      <c r="P101" s="124">
        <f t="shared" si="88"/>
        <v>6.7226840719139466E-2</v>
      </c>
      <c r="Q101" s="124">
        <f t="shared" si="88"/>
        <v>6.7496131135675819E-2</v>
      </c>
      <c r="R101" s="124">
        <f t="shared" ref="R101:V101" si="89">IF(R9=0,0,R9/R$4)</f>
        <v>6.8672592694125983E-2</v>
      </c>
      <c r="S101" s="124">
        <f t="shared" si="89"/>
        <v>6.9634994154136473E-2</v>
      </c>
      <c r="T101" s="124">
        <f t="shared" si="89"/>
        <v>7.0199237920622715E-2</v>
      </c>
      <c r="U101" s="124">
        <f t="shared" si="89"/>
        <v>7.1558728771107111E-2</v>
      </c>
      <c r="V101" s="124">
        <f t="shared" si="89"/>
        <v>6.8491816641830017E-2</v>
      </c>
      <c r="W101" s="124">
        <f t="shared" ref="W101" si="90">IF(W9=0,0,W9/W$4)</f>
        <v>6.0016815499005172E-2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5.9388279819096845E-3</v>
      </c>
      <c r="C102" s="140">
        <f t="shared" si="91"/>
        <v>5.9274536781254543E-3</v>
      </c>
      <c r="D102" s="140">
        <f t="shared" si="91"/>
        <v>6.1662415510755908E-3</v>
      </c>
      <c r="E102" s="140">
        <f t="shared" si="91"/>
        <v>6.2092141486869718E-3</v>
      </c>
      <c r="F102" s="140">
        <f t="shared" si="91"/>
        <v>6.0894140503063594E-3</v>
      </c>
      <c r="G102" s="140">
        <f t="shared" si="91"/>
        <v>6.2401093253071005E-3</v>
      </c>
      <c r="H102" s="140">
        <f t="shared" si="91"/>
        <v>6.2936507946660912E-3</v>
      </c>
      <c r="I102" s="140">
        <f t="shared" si="91"/>
        <v>6.2564375776906012E-3</v>
      </c>
      <c r="J102" s="140">
        <f t="shared" si="91"/>
        <v>6.2394437125624942E-3</v>
      </c>
      <c r="K102" s="140">
        <f t="shared" si="91"/>
        <v>6.2395342123904461E-3</v>
      </c>
      <c r="L102" s="140">
        <f t="shared" si="91"/>
        <v>6.5378604156197864E-3</v>
      </c>
      <c r="M102" s="140">
        <f t="shared" si="91"/>
        <v>6.7738848951514607E-3</v>
      </c>
      <c r="N102" s="140">
        <f t="shared" si="91"/>
        <v>7.251860497636882E-3</v>
      </c>
      <c r="O102" s="140">
        <f t="shared" si="91"/>
        <v>7.6788384802663531E-3</v>
      </c>
      <c r="P102" s="140">
        <f t="shared" si="91"/>
        <v>7.4064986262559265E-3</v>
      </c>
      <c r="Q102" s="140">
        <f t="shared" si="91"/>
        <v>7.5073058136895642E-3</v>
      </c>
      <c r="R102" s="140">
        <f t="shared" ref="R102:V102" si="92">IF(R10=0,0,R10/R$4)</f>
        <v>7.8353868924866885E-3</v>
      </c>
      <c r="S102" s="140">
        <f t="shared" si="92"/>
        <v>8.40933939615429E-3</v>
      </c>
      <c r="T102" s="140">
        <f t="shared" si="92"/>
        <v>8.3838052124123857E-3</v>
      </c>
      <c r="U102" s="140">
        <f t="shared" si="92"/>
        <v>8.5497325239910667E-3</v>
      </c>
      <c r="V102" s="140">
        <f t="shared" si="92"/>
        <v>7.7655188501645914E-3</v>
      </c>
      <c r="W102" s="140">
        <f t="shared" ref="W102" si="93">IF(W10=0,0,W10/W$4)</f>
        <v>7.1725952093377489E-3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4.6889436100847844E-2</v>
      </c>
      <c r="C103" s="140">
        <f t="shared" si="94"/>
        <v>4.8373705873195054E-2</v>
      </c>
      <c r="D103" s="140">
        <f t="shared" si="94"/>
        <v>5.0930383867367042E-2</v>
      </c>
      <c r="E103" s="140">
        <f t="shared" si="94"/>
        <v>5.096384990705629E-2</v>
      </c>
      <c r="F103" s="140">
        <f t="shared" si="94"/>
        <v>5.5440434512954051E-2</v>
      </c>
      <c r="G103" s="140">
        <f t="shared" si="94"/>
        <v>5.0511336560120267E-2</v>
      </c>
      <c r="H103" s="140">
        <f t="shared" si="94"/>
        <v>5.2760668346021847E-2</v>
      </c>
      <c r="I103" s="140">
        <f t="shared" si="94"/>
        <v>4.9441384832278661E-2</v>
      </c>
      <c r="J103" s="140">
        <f t="shared" si="94"/>
        <v>4.9938772554349822E-2</v>
      </c>
      <c r="K103" s="140">
        <f t="shared" si="94"/>
        <v>5.0600150115689739E-2</v>
      </c>
      <c r="L103" s="140">
        <f t="shared" si="94"/>
        <v>5.0779909051278001E-2</v>
      </c>
      <c r="M103" s="140">
        <f t="shared" si="94"/>
        <v>5.3718317652092541E-2</v>
      </c>
      <c r="N103" s="140">
        <f t="shared" si="94"/>
        <v>5.3564645053716102E-2</v>
      </c>
      <c r="O103" s="140">
        <f t="shared" si="94"/>
        <v>5.5546863722248048E-2</v>
      </c>
      <c r="P103" s="140">
        <f t="shared" si="94"/>
        <v>5.4331443232358861E-2</v>
      </c>
      <c r="Q103" s="140">
        <f t="shared" si="94"/>
        <v>5.2737192428483522E-2</v>
      </c>
      <c r="R103" s="140">
        <f t="shared" ref="R103:V103" si="95">IF(R11=0,0,R11/R$4)</f>
        <v>5.1563664219661159E-2</v>
      </c>
      <c r="S103" s="140">
        <f t="shared" si="95"/>
        <v>5.1807249718001443E-2</v>
      </c>
      <c r="T103" s="140">
        <f t="shared" si="95"/>
        <v>5.2612259290253073E-2</v>
      </c>
      <c r="U103" s="140">
        <f t="shared" si="95"/>
        <v>5.3925571956352891E-2</v>
      </c>
      <c r="V103" s="140">
        <f t="shared" si="95"/>
        <v>5.2598808970014926E-2</v>
      </c>
      <c r="W103" s="140">
        <f t="shared" ref="W103" si="96">IF(W11=0,0,W11/W$4)</f>
        <v>4.5771653291320692E-2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5.9046967866113534E-3</v>
      </c>
      <c r="C104" s="140">
        <f t="shared" si="97"/>
        <v>6.015418173348777E-3</v>
      </c>
      <c r="D104" s="140">
        <f t="shared" si="97"/>
        <v>6.2978804156491146E-3</v>
      </c>
      <c r="E104" s="140">
        <f t="shared" si="97"/>
        <v>6.0574333583857344E-3</v>
      </c>
      <c r="F104" s="140">
        <f t="shared" si="97"/>
        <v>6.2901639640527227E-3</v>
      </c>
      <c r="G104" s="140">
        <f t="shared" si="97"/>
        <v>6.589018663926422E-3</v>
      </c>
      <c r="H104" s="140">
        <f t="shared" si="97"/>
        <v>6.6248955733327281E-3</v>
      </c>
      <c r="I104" s="140">
        <f t="shared" si="97"/>
        <v>6.5660344887515792E-3</v>
      </c>
      <c r="J104" s="140">
        <f t="shared" si="97"/>
        <v>6.7323597658549309E-3</v>
      </c>
      <c r="K104" s="140">
        <f t="shared" si="97"/>
        <v>6.6201457993462637E-3</v>
      </c>
      <c r="L104" s="140">
        <f t="shared" si="97"/>
        <v>6.4828690663295266E-3</v>
      </c>
      <c r="M104" s="140">
        <f t="shared" si="97"/>
        <v>5.4115010571397218E-3</v>
      </c>
      <c r="N104" s="140">
        <f t="shared" si="97"/>
        <v>5.385841051083533E-3</v>
      </c>
      <c r="O104" s="140">
        <f t="shared" si="97"/>
        <v>5.6065085499351509E-3</v>
      </c>
      <c r="P104" s="140">
        <f t="shared" si="97"/>
        <v>5.4888988605246792E-3</v>
      </c>
      <c r="Q104" s="140">
        <f t="shared" si="97"/>
        <v>7.2516328935027371E-3</v>
      </c>
      <c r="R104" s="140">
        <f t="shared" ref="R104:V104" si="98">IF(R12=0,0,R12/R$4)</f>
        <v>9.2735415819781338E-3</v>
      </c>
      <c r="S104" s="140">
        <f t="shared" si="98"/>
        <v>9.4184050399807335E-3</v>
      </c>
      <c r="T104" s="140">
        <f t="shared" si="98"/>
        <v>9.2031734179572541E-3</v>
      </c>
      <c r="U104" s="140">
        <f t="shared" si="98"/>
        <v>9.083424290763158E-3</v>
      </c>
      <c r="V104" s="140">
        <f t="shared" si="98"/>
        <v>8.1274888216505033E-3</v>
      </c>
      <c r="W104" s="140">
        <f t="shared" ref="W104" si="99">IF(W12=0,0,W12/W$4)</f>
        <v>7.072566998346728E-3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0.13964124714776416</v>
      </c>
      <c r="C105" s="124">
        <f t="shared" si="100"/>
        <v>0.13520546702594949</v>
      </c>
      <c r="D105" s="124">
        <f t="shared" si="100"/>
        <v>9.4387449358322925E-2</v>
      </c>
      <c r="E105" s="124">
        <f t="shared" si="100"/>
        <v>0.10324987686558032</v>
      </c>
      <c r="F105" s="124">
        <f t="shared" si="100"/>
        <v>0.11547107247651701</v>
      </c>
      <c r="G105" s="124">
        <f t="shared" si="100"/>
        <v>0.11715836048348614</v>
      </c>
      <c r="H105" s="124">
        <f t="shared" si="100"/>
        <v>0.12201654745678121</v>
      </c>
      <c r="I105" s="124">
        <f t="shared" si="100"/>
        <v>0.12985263061865435</v>
      </c>
      <c r="J105" s="124">
        <f t="shared" si="100"/>
        <v>0.14150811195563454</v>
      </c>
      <c r="K105" s="124">
        <f t="shared" si="100"/>
        <v>0.14019851210563461</v>
      </c>
      <c r="L105" s="124">
        <f t="shared" si="100"/>
        <v>0.1504195180380333</v>
      </c>
      <c r="M105" s="124">
        <f t="shared" si="100"/>
        <v>0.15990752785797965</v>
      </c>
      <c r="N105" s="124">
        <f t="shared" si="100"/>
        <v>0.16124985370898465</v>
      </c>
      <c r="O105" s="124">
        <f t="shared" si="100"/>
        <v>0.1707716944306702</v>
      </c>
      <c r="P105" s="124">
        <f t="shared" si="100"/>
        <v>0.17703895758579868</v>
      </c>
      <c r="Q105" s="124">
        <f t="shared" si="100"/>
        <v>0.18835606614889833</v>
      </c>
      <c r="R105" s="124">
        <f t="shared" ref="R105:V105" si="101">IF(R13=0,0,R13/R$4)</f>
        <v>0.18000580704603431</v>
      </c>
      <c r="S105" s="124">
        <f t="shared" si="101"/>
        <v>0.19567540354881957</v>
      </c>
      <c r="T105" s="124">
        <f t="shared" si="101"/>
        <v>0.2090955912907477</v>
      </c>
      <c r="U105" s="124">
        <f t="shared" si="101"/>
        <v>0.21478775012771342</v>
      </c>
      <c r="V105" s="124">
        <f t="shared" si="101"/>
        <v>9.5056965936349352E-2</v>
      </c>
      <c r="W105" s="124">
        <f t="shared" ref="W105" si="102">IF(W13=0,0,W13/W$4)</f>
        <v>0.12347190919565265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0</v>
      </c>
      <c r="C106" s="140">
        <f t="shared" si="103"/>
        <v>0</v>
      </c>
      <c r="D106" s="140">
        <f t="shared" si="103"/>
        <v>0</v>
      </c>
      <c r="E106" s="140">
        <f t="shared" si="103"/>
        <v>0</v>
      </c>
      <c r="F106" s="140">
        <f t="shared" si="103"/>
        <v>0</v>
      </c>
      <c r="G106" s="140">
        <f t="shared" si="103"/>
        <v>0</v>
      </c>
      <c r="H106" s="140">
        <f t="shared" si="103"/>
        <v>0</v>
      </c>
      <c r="I106" s="140">
        <f t="shared" si="103"/>
        <v>0</v>
      </c>
      <c r="J106" s="140">
        <f t="shared" si="103"/>
        <v>0</v>
      </c>
      <c r="K106" s="140">
        <f t="shared" si="103"/>
        <v>0</v>
      </c>
      <c r="L106" s="140">
        <f t="shared" si="103"/>
        <v>0</v>
      </c>
      <c r="M106" s="140">
        <f t="shared" si="103"/>
        <v>0</v>
      </c>
      <c r="N106" s="140">
        <f t="shared" si="103"/>
        <v>0</v>
      </c>
      <c r="O106" s="140">
        <f t="shared" si="103"/>
        <v>0</v>
      </c>
      <c r="P106" s="140">
        <f t="shared" si="103"/>
        <v>0</v>
      </c>
      <c r="Q106" s="140">
        <f t="shared" si="103"/>
        <v>0</v>
      </c>
      <c r="R106" s="140">
        <f t="shared" ref="R106:V106" si="104">IF(R14=0,0,R14/R$4)</f>
        <v>0</v>
      </c>
      <c r="S106" s="140">
        <f t="shared" si="104"/>
        <v>0</v>
      </c>
      <c r="T106" s="140">
        <f t="shared" si="104"/>
        <v>0</v>
      </c>
      <c r="U106" s="140">
        <f t="shared" si="104"/>
        <v>0</v>
      </c>
      <c r="V106" s="140">
        <f t="shared" si="104"/>
        <v>0</v>
      </c>
      <c r="W106" s="140">
        <f t="shared" ref="W106" si="105">IF(W14=0,0,W14/W$4)</f>
        <v>0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7.1628040469828042E-2</v>
      </c>
      <c r="C107" s="140">
        <f t="shared" si="106"/>
        <v>7.0592333793887505E-2</v>
      </c>
      <c r="D107" s="140">
        <f t="shared" si="106"/>
        <v>5.1658674981045843E-2</v>
      </c>
      <c r="E107" s="140">
        <f t="shared" si="106"/>
        <v>5.7016527223204869E-2</v>
      </c>
      <c r="F107" s="140">
        <f t="shared" si="106"/>
        <v>6.2418317925123243E-2</v>
      </c>
      <c r="G107" s="140">
        <f t="shared" si="106"/>
        <v>6.1197547628677129E-2</v>
      </c>
      <c r="H107" s="140">
        <f t="shared" si="106"/>
        <v>6.3037952242594841E-2</v>
      </c>
      <c r="I107" s="140">
        <f t="shared" si="106"/>
        <v>6.0993601239171996E-2</v>
      </c>
      <c r="J107" s="140">
        <f t="shared" si="106"/>
        <v>5.7740223283320666E-2</v>
      </c>
      <c r="K107" s="140">
        <f t="shared" si="106"/>
        <v>5.6485201484350128E-2</v>
      </c>
      <c r="L107" s="140">
        <f t="shared" si="106"/>
        <v>6.0218582096005335E-2</v>
      </c>
      <c r="M107" s="140">
        <f t="shared" si="106"/>
        <v>6.53514043543581E-2</v>
      </c>
      <c r="N107" s="140">
        <f t="shared" si="106"/>
        <v>6.6271212702980184E-2</v>
      </c>
      <c r="O107" s="140">
        <f t="shared" si="106"/>
        <v>6.9821421859262836E-2</v>
      </c>
      <c r="P107" s="140">
        <f t="shared" si="106"/>
        <v>7.4301096586232337E-2</v>
      </c>
      <c r="Q107" s="140">
        <f t="shared" si="106"/>
        <v>8.1000392965380849E-2</v>
      </c>
      <c r="R107" s="140">
        <f t="shared" ref="R107:V107" si="107">IF(R15=0,0,R15/R$4)</f>
        <v>8.5176475850678057E-2</v>
      </c>
      <c r="S107" s="140">
        <f t="shared" si="107"/>
        <v>8.9529517533257497E-2</v>
      </c>
      <c r="T107" s="140">
        <f t="shared" si="107"/>
        <v>8.7971743132073413E-2</v>
      </c>
      <c r="U107" s="140">
        <f t="shared" si="107"/>
        <v>8.8922207909239465E-2</v>
      </c>
      <c r="V107" s="140">
        <f t="shared" si="107"/>
        <v>3.6532344997392878E-2</v>
      </c>
      <c r="W107" s="140">
        <f t="shared" ref="W107" si="108">IF(W15=0,0,W15/W$4)</f>
        <v>5.0297096595543114E-2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6.8013206677936103E-2</v>
      </c>
      <c r="C108" s="140">
        <f t="shared" si="109"/>
        <v>6.4613133232061984E-2</v>
      </c>
      <c r="D108" s="140">
        <f t="shared" si="109"/>
        <v>4.2728774377277089E-2</v>
      </c>
      <c r="E108" s="140">
        <f t="shared" si="109"/>
        <v>4.6233349642375458E-2</v>
      </c>
      <c r="F108" s="140">
        <f t="shared" si="109"/>
        <v>5.3052754551393785E-2</v>
      </c>
      <c r="G108" s="140">
        <f t="shared" si="109"/>
        <v>5.5960812854809021E-2</v>
      </c>
      <c r="H108" s="140">
        <f t="shared" si="109"/>
        <v>5.8978595214186372E-2</v>
      </c>
      <c r="I108" s="140">
        <f t="shared" si="109"/>
        <v>6.8859029379482364E-2</v>
      </c>
      <c r="J108" s="140">
        <f t="shared" si="109"/>
        <v>8.3767888672313856E-2</v>
      </c>
      <c r="K108" s="140">
        <f t="shared" si="109"/>
        <v>8.3713310621284481E-2</v>
      </c>
      <c r="L108" s="140">
        <f t="shared" si="109"/>
        <v>9.0200935942027965E-2</v>
      </c>
      <c r="M108" s="140">
        <f t="shared" si="109"/>
        <v>9.4556123503621539E-2</v>
      </c>
      <c r="N108" s="140">
        <f t="shared" si="109"/>
        <v>9.4978641006004477E-2</v>
      </c>
      <c r="O108" s="140">
        <f t="shared" si="109"/>
        <v>0.10095027257140737</v>
      </c>
      <c r="P108" s="140">
        <f t="shared" si="109"/>
        <v>0.10273786099956636</v>
      </c>
      <c r="Q108" s="140">
        <f t="shared" si="109"/>
        <v>0.10735567318351746</v>
      </c>
      <c r="R108" s="140">
        <f t="shared" ref="R108:V108" si="110">IF(R16=0,0,R16/R$4)</f>
        <v>9.4829331195356248E-2</v>
      </c>
      <c r="S108" s="140">
        <f t="shared" si="110"/>
        <v>0.1061458860155621</v>
      </c>
      <c r="T108" s="140">
        <f t="shared" si="110"/>
        <v>0.12112384815867429</v>
      </c>
      <c r="U108" s="140">
        <f t="shared" si="110"/>
        <v>0.12586554221847399</v>
      </c>
      <c r="V108" s="140">
        <f t="shared" si="110"/>
        <v>5.8524620938956461E-2</v>
      </c>
      <c r="W108" s="140">
        <f t="shared" ref="W108" si="111">IF(W16=0,0,W16/W$4)</f>
        <v>7.3174812600109523E-2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0.70750174209339567</v>
      </c>
      <c r="C110" s="139">
        <f t="shared" si="115"/>
        <v>0.72159528895708847</v>
      </c>
      <c r="D110" s="139">
        <f t="shared" si="115"/>
        <v>0.72267603584680995</v>
      </c>
      <c r="E110" s="139">
        <f t="shared" si="115"/>
        <v>0.71648829278886761</v>
      </c>
      <c r="F110" s="139">
        <f t="shared" si="115"/>
        <v>0.72522637121570954</v>
      </c>
      <c r="G110" s="139">
        <f t="shared" si="115"/>
        <v>0.7204249625005722</v>
      </c>
      <c r="H110" s="139">
        <f t="shared" si="115"/>
        <v>0.70877109670680738</v>
      </c>
      <c r="I110" s="139">
        <f t="shared" si="115"/>
        <v>0.6983511964550474</v>
      </c>
      <c r="J110" s="139">
        <f t="shared" si="115"/>
        <v>0.6951677239267382</v>
      </c>
      <c r="K110" s="139">
        <f t="shared" si="115"/>
        <v>0.73861389459200766</v>
      </c>
      <c r="L110" s="139">
        <f t="shared" si="115"/>
        <v>0.7011727244342032</v>
      </c>
      <c r="M110" s="139">
        <f t="shared" si="115"/>
        <v>0.69683260142307535</v>
      </c>
      <c r="N110" s="139">
        <f t="shared" si="115"/>
        <v>0.69347126190343267</v>
      </c>
      <c r="O110" s="139">
        <f t="shared" si="115"/>
        <v>0.70443700617619287</v>
      </c>
      <c r="P110" s="139">
        <f t="shared" si="115"/>
        <v>0.70313933230146175</v>
      </c>
      <c r="Q110" s="139">
        <f t="shared" si="115"/>
        <v>0.70743158136900774</v>
      </c>
      <c r="R110" s="139">
        <f t="shared" ref="R110:V110" si="116">IF(R18=0,0,R18/R$17)</f>
        <v>0.71661239800988352</v>
      </c>
      <c r="S110" s="139">
        <f t="shared" si="116"/>
        <v>0.70104508642596064</v>
      </c>
      <c r="T110" s="139">
        <f t="shared" si="116"/>
        <v>0.72116101310381608</v>
      </c>
      <c r="U110" s="139">
        <f t="shared" si="116"/>
        <v>0.73216763810499175</v>
      </c>
      <c r="V110" s="139">
        <f t="shared" si="116"/>
        <v>0.72786211750891983</v>
      </c>
      <c r="W110" s="139">
        <f t="shared" ref="W110" si="117">IF(W18=0,0,W18/W$17)</f>
        <v>0.71666171392647737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1.190012306238201E-2</v>
      </c>
      <c r="C111" s="140">
        <f t="shared" si="118"/>
        <v>1.229710304284121E-2</v>
      </c>
      <c r="D111" s="140">
        <f t="shared" si="118"/>
        <v>1.2557254413927374E-2</v>
      </c>
      <c r="E111" s="140">
        <f t="shared" si="118"/>
        <v>1.3248080939638082E-2</v>
      </c>
      <c r="F111" s="140">
        <f t="shared" si="118"/>
        <v>1.3692959990386683E-2</v>
      </c>
      <c r="G111" s="140">
        <f t="shared" si="118"/>
        <v>1.403572079928771E-2</v>
      </c>
      <c r="H111" s="140">
        <f t="shared" si="118"/>
        <v>1.401010543122402E-2</v>
      </c>
      <c r="I111" s="140">
        <f t="shared" si="118"/>
        <v>1.4279303564035334E-2</v>
      </c>
      <c r="J111" s="140">
        <f t="shared" si="118"/>
        <v>1.5200732706909477E-2</v>
      </c>
      <c r="K111" s="140">
        <f t="shared" si="118"/>
        <v>1.7227171819142243E-2</v>
      </c>
      <c r="L111" s="140">
        <f t="shared" si="118"/>
        <v>1.6122122198775218E-2</v>
      </c>
      <c r="M111" s="140">
        <f t="shared" si="118"/>
        <v>1.5979865477389676E-2</v>
      </c>
      <c r="N111" s="140">
        <f t="shared" si="118"/>
        <v>1.5710842497945281E-2</v>
      </c>
      <c r="O111" s="140">
        <f t="shared" si="118"/>
        <v>1.4901476595455286E-2</v>
      </c>
      <c r="P111" s="140">
        <f t="shared" si="118"/>
        <v>1.5326062574125648E-2</v>
      </c>
      <c r="Q111" s="140">
        <f t="shared" si="118"/>
        <v>1.5499780261952983E-2</v>
      </c>
      <c r="R111" s="140">
        <f t="shared" ref="R111:V111" si="119">IF(R19=0,0,R19/R$17)</f>
        <v>1.4747784720612084E-2</v>
      </c>
      <c r="S111" s="140">
        <f t="shared" si="119"/>
        <v>1.3788494189017531E-2</v>
      </c>
      <c r="T111" s="140">
        <f t="shared" si="119"/>
        <v>1.4531299756805024E-2</v>
      </c>
      <c r="U111" s="140">
        <f t="shared" si="119"/>
        <v>1.4580165138877806E-2</v>
      </c>
      <c r="V111" s="140">
        <f t="shared" si="119"/>
        <v>1.3994656672395892E-2</v>
      </c>
      <c r="W111" s="140">
        <f t="shared" ref="W111" si="120">IF(W19=0,0,W19/W$17)</f>
        <v>1.4843920128260326E-2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0.6956016190310137</v>
      </c>
      <c r="C112" s="140">
        <f t="shared" si="121"/>
        <v>0.7092981859142472</v>
      </c>
      <c r="D112" s="140">
        <f t="shared" si="121"/>
        <v>0.71011878143288265</v>
      </c>
      <c r="E112" s="140">
        <f t="shared" si="121"/>
        <v>0.70324021184922947</v>
      </c>
      <c r="F112" s="140">
        <f t="shared" si="121"/>
        <v>0.71153341122532288</v>
      </c>
      <c r="G112" s="140">
        <f t="shared" si="121"/>
        <v>0.70638924170128459</v>
      </c>
      <c r="H112" s="140">
        <f t="shared" si="121"/>
        <v>0.69476099127558333</v>
      </c>
      <c r="I112" s="140">
        <f t="shared" si="121"/>
        <v>0.684071892891012</v>
      </c>
      <c r="J112" s="140">
        <f t="shared" si="121"/>
        <v>0.67996699121982862</v>
      </c>
      <c r="K112" s="140">
        <f t="shared" si="121"/>
        <v>0.72138672277286542</v>
      </c>
      <c r="L112" s="140">
        <f t="shared" si="121"/>
        <v>0.68505060223542802</v>
      </c>
      <c r="M112" s="140">
        <f t="shared" si="121"/>
        <v>0.68085273594568574</v>
      </c>
      <c r="N112" s="140">
        <f t="shared" si="121"/>
        <v>0.67776041940548737</v>
      </c>
      <c r="O112" s="140">
        <f t="shared" si="121"/>
        <v>0.68953552958073761</v>
      </c>
      <c r="P112" s="140">
        <f t="shared" si="121"/>
        <v>0.68781326972733614</v>
      </c>
      <c r="Q112" s="140">
        <f t="shared" si="121"/>
        <v>0.69193180110705477</v>
      </c>
      <c r="R112" s="140">
        <f t="shared" ref="R112:V112" si="122">IF(R20=0,0,R20/R$17)</f>
        <v>0.70186461328927141</v>
      </c>
      <c r="S112" s="140">
        <f t="shared" si="122"/>
        <v>0.68725659223694313</v>
      </c>
      <c r="T112" s="140">
        <f t="shared" si="122"/>
        <v>0.70662971334701108</v>
      </c>
      <c r="U112" s="140">
        <f t="shared" si="122"/>
        <v>0.71758747296611392</v>
      </c>
      <c r="V112" s="140">
        <f t="shared" si="122"/>
        <v>0.71386746083652397</v>
      </c>
      <c r="W112" s="140">
        <f t="shared" ref="W112" si="123">IF(W20=0,0,W20/W$17)</f>
        <v>0.70181779379821696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0.13484880210131328</v>
      </c>
      <c r="C113" s="124">
        <f t="shared" si="124"/>
        <v>0.12013196233301891</v>
      </c>
      <c r="D113" s="124">
        <f t="shared" si="124"/>
        <v>0.12082038509938767</v>
      </c>
      <c r="E113" s="124">
        <f t="shared" si="124"/>
        <v>0.12084113687925603</v>
      </c>
      <c r="F113" s="124">
        <f t="shared" si="124"/>
        <v>0.11910117239948782</v>
      </c>
      <c r="G113" s="124">
        <f t="shared" si="124"/>
        <v>0.12280954622437426</v>
      </c>
      <c r="H113" s="124">
        <f t="shared" si="124"/>
        <v>0.12416609056058463</v>
      </c>
      <c r="I113" s="124">
        <f t="shared" si="124"/>
        <v>0.12911121942001189</v>
      </c>
      <c r="J113" s="124">
        <f t="shared" si="124"/>
        <v>0.12898985864605869</v>
      </c>
      <c r="K113" s="124">
        <f t="shared" si="124"/>
        <v>0.10350082141009675</v>
      </c>
      <c r="L113" s="124">
        <f t="shared" si="124"/>
        <v>0.11223607313108155</v>
      </c>
      <c r="M113" s="124">
        <f t="shared" si="124"/>
        <v>0.11345100540338936</v>
      </c>
      <c r="N113" s="124">
        <f t="shared" si="124"/>
        <v>0.10761570921644224</v>
      </c>
      <c r="O113" s="124">
        <f t="shared" si="124"/>
        <v>0.10546398050556263</v>
      </c>
      <c r="P113" s="124">
        <f t="shared" si="124"/>
        <v>0.10442414364573722</v>
      </c>
      <c r="Q113" s="124">
        <f t="shared" si="124"/>
        <v>9.9796979493755739E-2</v>
      </c>
      <c r="R113" s="124">
        <f t="shared" ref="R113:V113" si="125">IF(R21=0,0,R21/R$17)</f>
        <v>9.7632204655491328E-2</v>
      </c>
      <c r="S113" s="124">
        <f t="shared" si="125"/>
        <v>0.10148973063459195</v>
      </c>
      <c r="T113" s="124">
        <f t="shared" si="125"/>
        <v>0.10408144013241781</v>
      </c>
      <c r="U113" s="124">
        <f t="shared" si="125"/>
        <v>0.10126718347634768</v>
      </c>
      <c r="V113" s="124">
        <f t="shared" si="125"/>
        <v>9.2072920238025491E-2</v>
      </c>
      <c r="W113" s="124">
        <f t="shared" ref="W113" si="126">IF(W21=0,0,W21/W$17)</f>
        <v>8.678638490715479E-2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2.5914441524195714E-2</v>
      </c>
      <c r="C114" s="124">
        <f t="shared" si="127"/>
        <v>2.4146829375563419E-2</v>
      </c>
      <c r="D114" s="124">
        <f t="shared" si="127"/>
        <v>1.9280829085258053E-2</v>
      </c>
      <c r="E114" s="124">
        <f t="shared" si="127"/>
        <v>2.2933528241762268E-2</v>
      </c>
      <c r="F114" s="124">
        <f t="shared" si="127"/>
        <v>2.3376342135869137E-2</v>
      </c>
      <c r="G114" s="124">
        <f t="shared" si="127"/>
        <v>2.3214596156443685E-2</v>
      </c>
      <c r="H114" s="124">
        <f t="shared" si="127"/>
        <v>3.3242837601094401E-2</v>
      </c>
      <c r="I114" s="124">
        <f t="shared" si="127"/>
        <v>4.1542453784882152E-2</v>
      </c>
      <c r="J114" s="124">
        <f t="shared" si="127"/>
        <v>4.3971867151356994E-2</v>
      </c>
      <c r="K114" s="124">
        <f t="shared" si="127"/>
        <v>3.8956280057774614E-2</v>
      </c>
      <c r="L114" s="124">
        <f t="shared" si="127"/>
        <v>4.6553521361942116E-2</v>
      </c>
      <c r="M114" s="124">
        <f t="shared" si="127"/>
        <v>4.8449003193246458E-2</v>
      </c>
      <c r="N114" s="124">
        <f t="shared" si="127"/>
        <v>4.1841810939140106E-2</v>
      </c>
      <c r="O114" s="124">
        <f t="shared" si="127"/>
        <v>3.7117265779596648E-2</v>
      </c>
      <c r="P114" s="124">
        <f t="shared" si="127"/>
        <v>3.9794890678039069E-2</v>
      </c>
      <c r="Q114" s="124">
        <f t="shared" si="127"/>
        <v>4.7285003465386194E-2</v>
      </c>
      <c r="R114" s="124">
        <f t="shared" ref="R114:V114" si="128">IF(R22=0,0,R22/R$17)</f>
        <v>4.4288304208335266E-2</v>
      </c>
      <c r="S114" s="124">
        <f t="shared" si="128"/>
        <v>4.9011013551275504E-2</v>
      </c>
      <c r="T114" s="124">
        <f t="shared" si="128"/>
        <v>6.1650913529433964E-2</v>
      </c>
      <c r="U114" s="124">
        <f t="shared" si="128"/>
        <v>5.7638117814652855E-2</v>
      </c>
      <c r="V114" s="124">
        <f t="shared" si="128"/>
        <v>7.5689464546227755E-2</v>
      </c>
      <c r="W114" s="124">
        <f t="shared" ref="W114" si="129">IF(W22=0,0,W22/W$17)</f>
        <v>8.8329025812653922E-2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0</v>
      </c>
      <c r="C115" s="140">
        <f t="shared" si="130"/>
        <v>0</v>
      </c>
      <c r="D115" s="140">
        <f t="shared" si="130"/>
        <v>0</v>
      </c>
      <c r="E115" s="140">
        <f t="shared" si="130"/>
        <v>0</v>
      </c>
      <c r="F115" s="140">
        <f t="shared" si="130"/>
        <v>0</v>
      </c>
      <c r="G115" s="140">
        <f t="shared" si="130"/>
        <v>0</v>
      </c>
      <c r="H115" s="140">
        <f t="shared" si="130"/>
        <v>0</v>
      </c>
      <c r="I115" s="140">
        <f t="shared" si="130"/>
        <v>0</v>
      </c>
      <c r="J115" s="140">
        <f t="shared" si="130"/>
        <v>0</v>
      </c>
      <c r="K115" s="140">
        <f t="shared" si="130"/>
        <v>0</v>
      </c>
      <c r="L115" s="140">
        <f t="shared" si="130"/>
        <v>0</v>
      </c>
      <c r="M115" s="140">
        <f t="shared" si="130"/>
        <v>0</v>
      </c>
      <c r="N115" s="140">
        <f t="shared" si="130"/>
        <v>0</v>
      </c>
      <c r="O115" s="140">
        <f t="shared" si="130"/>
        <v>0</v>
      </c>
      <c r="P115" s="140">
        <f t="shared" si="130"/>
        <v>0</v>
      </c>
      <c r="Q115" s="140">
        <f t="shared" si="130"/>
        <v>0</v>
      </c>
      <c r="R115" s="140">
        <f t="shared" ref="R115:V116" si="131">IF(R23=0,0,R23/R$17)</f>
        <v>0</v>
      </c>
      <c r="S115" s="140">
        <f t="shared" si="131"/>
        <v>0</v>
      </c>
      <c r="T115" s="140">
        <f t="shared" si="131"/>
        <v>0</v>
      </c>
      <c r="U115" s="140">
        <f t="shared" si="131"/>
        <v>0</v>
      </c>
      <c r="V115" s="140">
        <f t="shared" si="131"/>
        <v>0</v>
      </c>
      <c r="W115" s="140">
        <f t="shared" ref="W115" si="132">IF(W23=0,0,W23/W$17)</f>
        <v>0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4.3605877668422988E-3</v>
      </c>
      <c r="C116" s="140">
        <f t="shared" si="133"/>
        <v>3.455904127736551E-3</v>
      </c>
      <c r="D116" s="140">
        <f t="shared" si="133"/>
        <v>2.6370942737374229E-3</v>
      </c>
      <c r="E116" s="140">
        <f t="shared" si="133"/>
        <v>2.7321222705833266E-3</v>
      </c>
      <c r="F116" s="140">
        <f t="shared" si="133"/>
        <v>2.6376620818444802E-3</v>
      </c>
      <c r="G116" s="140">
        <f t="shared" si="133"/>
        <v>2.8462627476686982E-3</v>
      </c>
      <c r="H116" s="140">
        <f t="shared" si="133"/>
        <v>4.9687366146858973E-3</v>
      </c>
      <c r="I116" s="140">
        <f t="shared" si="133"/>
        <v>5.0068428653461707E-3</v>
      </c>
      <c r="J116" s="140">
        <f t="shared" si="133"/>
        <v>3.6854410409573367E-3</v>
      </c>
      <c r="K116" s="140">
        <f t="shared" si="133"/>
        <v>3.1894911336971432E-3</v>
      </c>
      <c r="L116" s="140">
        <f t="shared" si="133"/>
        <v>3.116166303342736E-3</v>
      </c>
      <c r="M116" s="140">
        <f t="shared" si="133"/>
        <v>3.0337134356166074E-3</v>
      </c>
      <c r="N116" s="140">
        <f t="shared" si="133"/>
        <v>3.1422217673773918E-3</v>
      </c>
      <c r="O116" s="140">
        <f t="shared" si="133"/>
        <v>3.107424256389206E-3</v>
      </c>
      <c r="P116" s="140">
        <f t="shared" si="133"/>
        <v>3.3536132700237348E-3</v>
      </c>
      <c r="Q116" s="140">
        <f t="shared" si="133"/>
        <v>3.4545668346364889E-3</v>
      </c>
      <c r="R116" s="140">
        <f t="shared" si="131"/>
        <v>3.4177130486206441E-3</v>
      </c>
      <c r="S116" s="140">
        <f t="shared" si="131"/>
        <v>3.2719435608927691E-3</v>
      </c>
      <c r="T116" s="140">
        <f t="shared" si="131"/>
        <v>3.9272967927206429E-3</v>
      </c>
      <c r="U116" s="140">
        <f t="shared" si="131"/>
        <v>3.8200266512664026E-3</v>
      </c>
      <c r="V116" s="140">
        <f t="shared" si="131"/>
        <v>3.7595362179202846E-3</v>
      </c>
      <c r="W116" s="140">
        <f t="shared" ref="W116" si="134">IF(W24=0,0,W24/W$17)</f>
        <v>3.87497017758732E-3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2.1553853757353417E-2</v>
      </c>
      <c r="C117" s="140">
        <f t="shared" si="135"/>
        <v>2.0690925247826869E-2</v>
      </c>
      <c r="D117" s="140">
        <f t="shared" si="135"/>
        <v>1.6643734811520629E-2</v>
      </c>
      <c r="E117" s="140">
        <f t="shared" si="135"/>
        <v>2.0201405971178941E-2</v>
      </c>
      <c r="F117" s="140">
        <f t="shared" si="135"/>
        <v>2.0738680054024659E-2</v>
      </c>
      <c r="G117" s="140">
        <f t="shared" si="135"/>
        <v>2.0368333408774988E-2</v>
      </c>
      <c r="H117" s="140">
        <f t="shared" si="135"/>
        <v>2.8274100986408496E-2</v>
      </c>
      <c r="I117" s="140">
        <f t="shared" si="135"/>
        <v>3.6535610919535985E-2</v>
      </c>
      <c r="J117" s="140">
        <f t="shared" si="135"/>
        <v>4.0286426110399655E-2</v>
      </c>
      <c r="K117" s="140">
        <f t="shared" si="135"/>
        <v>3.5766788924077468E-2</v>
      </c>
      <c r="L117" s="140">
        <f t="shared" si="135"/>
        <v>4.3437355058599386E-2</v>
      </c>
      <c r="M117" s="140">
        <f t="shared" si="135"/>
        <v>4.5415289757629852E-2</v>
      </c>
      <c r="N117" s="140">
        <f t="shared" si="135"/>
        <v>3.8699589171762708E-2</v>
      </c>
      <c r="O117" s="140">
        <f t="shared" si="135"/>
        <v>3.4009841523207442E-2</v>
      </c>
      <c r="P117" s="140">
        <f t="shared" si="135"/>
        <v>3.6441277408015331E-2</v>
      </c>
      <c r="Q117" s="140">
        <f t="shared" si="135"/>
        <v>4.3830436630749703E-2</v>
      </c>
      <c r="R117" s="140">
        <f t="shared" ref="R117:V117" si="136">IF(R25=0,0,R25/R$17)</f>
        <v>4.0870591159714621E-2</v>
      </c>
      <c r="S117" s="140">
        <f t="shared" si="136"/>
        <v>4.5739069990382734E-2</v>
      </c>
      <c r="T117" s="140">
        <f t="shared" si="136"/>
        <v>5.7723616736713328E-2</v>
      </c>
      <c r="U117" s="140">
        <f t="shared" si="136"/>
        <v>5.3818091163386456E-2</v>
      </c>
      <c r="V117" s="140">
        <f t="shared" si="136"/>
        <v>7.1929928328307469E-2</v>
      </c>
      <c r="W117" s="140">
        <f t="shared" ref="W117" si="137">IF(W25=0,0,W25/W$17)</f>
        <v>8.4454055635066597E-2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0.13173501428109533</v>
      </c>
      <c r="C118" s="124">
        <f t="shared" si="138"/>
        <v>0.13412591933432913</v>
      </c>
      <c r="D118" s="124">
        <f t="shared" si="138"/>
        <v>0.13722274996854433</v>
      </c>
      <c r="E118" s="124">
        <f t="shared" si="138"/>
        <v>0.13973704209011412</v>
      </c>
      <c r="F118" s="124">
        <f t="shared" si="138"/>
        <v>0.13229611424893351</v>
      </c>
      <c r="G118" s="124">
        <f t="shared" si="138"/>
        <v>0.13355089511860985</v>
      </c>
      <c r="H118" s="124">
        <f t="shared" si="138"/>
        <v>0.13381997513151361</v>
      </c>
      <c r="I118" s="124">
        <f t="shared" si="138"/>
        <v>0.13099513034005847</v>
      </c>
      <c r="J118" s="124">
        <f t="shared" si="138"/>
        <v>0.13187055027584618</v>
      </c>
      <c r="K118" s="124">
        <f t="shared" si="138"/>
        <v>0.11892900394012111</v>
      </c>
      <c r="L118" s="124">
        <f t="shared" si="138"/>
        <v>0.14003768107277306</v>
      </c>
      <c r="M118" s="124">
        <f t="shared" si="138"/>
        <v>0.1412673899802889</v>
      </c>
      <c r="N118" s="124">
        <f t="shared" si="138"/>
        <v>0.15707121794098497</v>
      </c>
      <c r="O118" s="124">
        <f t="shared" si="138"/>
        <v>0.15298174753864799</v>
      </c>
      <c r="P118" s="124">
        <f t="shared" si="138"/>
        <v>0.152641633374762</v>
      </c>
      <c r="Q118" s="124">
        <f t="shared" si="138"/>
        <v>0.14548643567185035</v>
      </c>
      <c r="R118" s="124">
        <f t="shared" ref="R118:V118" si="139">IF(R26=0,0,R26/R$17)</f>
        <v>0.14146709312628986</v>
      </c>
      <c r="S118" s="124">
        <f t="shared" si="139"/>
        <v>0.14845416938817188</v>
      </c>
      <c r="T118" s="124">
        <f t="shared" si="139"/>
        <v>0.11310663323433214</v>
      </c>
      <c r="U118" s="124">
        <f t="shared" si="139"/>
        <v>0.10892706060400767</v>
      </c>
      <c r="V118" s="124">
        <f t="shared" si="139"/>
        <v>0.10437549770682694</v>
      </c>
      <c r="W118" s="124">
        <f t="shared" ref="W118" si="140">IF(W26=0,0,W26/W$17)</f>
        <v>0.10822287535371403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4.9518363867800475E-3</v>
      </c>
      <c r="C119" s="140">
        <f t="shared" si="141"/>
        <v>4.2558202439097297E-3</v>
      </c>
      <c r="D119" s="140">
        <f t="shared" si="141"/>
        <v>3.5537121574772336E-3</v>
      </c>
      <c r="E119" s="140">
        <f t="shared" si="141"/>
        <v>3.3703128269470827E-3</v>
      </c>
      <c r="F119" s="140">
        <f t="shared" si="141"/>
        <v>2.3394065676824636E-3</v>
      </c>
      <c r="G119" s="140">
        <f t="shared" si="141"/>
        <v>4.1552526883528182E-3</v>
      </c>
      <c r="H119" s="140">
        <f t="shared" si="141"/>
        <v>4.7868982867063647E-3</v>
      </c>
      <c r="I119" s="140">
        <f t="shared" si="141"/>
        <v>5.3982798219522734E-3</v>
      </c>
      <c r="J119" s="140">
        <f t="shared" si="141"/>
        <v>5.4960343445781866E-3</v>
      </c>
      <c r="K119" s="140">
        <f t="shared" si="141"/>
        <v>3.8505098495412995E-3</v>
      </c>
      <c r="L119" s="140">
        <f t="shared" si="141"/>
        <v>3.8711236491629081E-3</v>
      </c>
      <c r="M119" s="140">
        <f t="shared" si="141"/>
        <v>3.0433347996284147E-3</v>
      </c>
      <c r="N119" s="140">
        <f t="shared" si="141"/>
        <v>3.0388429361322068E-3</v>
      </c>
      <c r="O119" s="140">
        <f t="shared" si="141"/>
        <v>2.8259566128022813E-3</v>
      </c>
      <c r="P119" s="140">
        <f t="shared" si="141"/>
        <v>2.7327425448719269E-3</v>
      </c>
      <c r="Q119" s="140">
        <f t="shared" si="141"/>
        <v>2.5629043254358627E-3</v>
      </c>
      <c r="R119" s="140">
        <f t="shared" ref="R119:V119" si="142">IF(R27=0,0,R27/R$17)</f>
        <v>2.9178752285040129E-3</v>
      </c>
      <c r="S119" s="140">
        <f t="shared" si="142"/>
        <v>2.1771524293794677E-3</v>
      </c>
      <c r="T119" s="140">
        <f t="shared" si="142"/>
        <v>2.2807157813336454E-3</v>
      </c>
      <c r="U119" s="140">
        <f t="shared" si="142"/>
        <v>2.6375722174140945E-3</v>
      </c>
      <c r="V119" s="140">
        <f t="shared" si="142"/>
        <v>2.8479253607773384E-3</v>
      </c>
      <c r="W119" s="140">
        <f t="shared" ref="W119" si="143">IF(W27=0,0,W27/W$17)</f>
        <v>3.3610646011720626E-3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0.12678317789431526</v>
      </c>
      <c r="C120" s="127">
        <f t="shared" si="144"/>
        <v>0.12987009909041941</v>
      </c>
      <c r="D120" s="127">
        <f t="shared" si="144"/>
        <v>0.13366903781106709</v>
      </c>
      <c r="E120" s="127">
        <f t="shared" si="144"/>
        <v>0.13636672926316704</v>
      </c>
      <c r="F120" s="127">
        <f t="shared" si="144"/>
        <v>0.12995670768125106</v>
      </c>
      <c r="G120" s="127">
        <f t="shared" si="144"/>
        <v>0.12939564243025703</v>
      </c>
      <c r="H120" s="127">
        <f t="shared" si="144"/>
        <v>0.12903307684480725</v>
      </c>
      <c r="I120" s="127">
        <f t="shared" si="144"/>
        <v>0.12559685051810621</v>
      </c>
      <c r="J120" s="127">
        <f t="shared" si="144"/>
        <v>0.126374515931268</v>
      </c>
      <c r="K120" s="127">
        <f t="shared" si="144"/>
        <v>0.11507849409057981</v>
      </c>
      <c r="L120" s="127">
        <f t="shared" si="144"/>
        <v>0.13616655742361017</v>
      </c>
      <c r="M120" s="127">
        <f t="shared" si="144"/>
        <v>0.13822405518066047</v>
      </c>
      <c r="N120" s="127">
        <f t="shared" si="144"/>
        <v>0.15403237500485276</v>
      </c>
      <c r="O120" s="127">
        <f t="shared" si="144"/>
        <v>0.15015579092584569</v>
      </c>
      <c r="P120" s="127">
        <f t="shared" si="144"/>
        <v>0.14990889082989009</v>
      </c>
      <c r="Q120" s="127">
        <f t="shared" si="144"/>
        <v>0.14292353134641447</v>
      </c>
      <c r="R120" s="127">
        <f t="shared" ref="R120:V120" si="145">IF(R28=0,0,R28/R$17)</f>
        <v>0.13854921789778582</v>
      </c>
      <c r="S120" s="127">
        <f t="shared" si="145"/>
        <v>0.14627701695879242</v>
      </c>
      <c r="T120" s="127">
        <f t="shared" si="145"/>
        <v>0.1108259174529985</v>
      </c>
      <c r="U120" s="127">
        <f t="shared" si="145"/>
        <v>0.10628948838659358</v>
      </c>
      <c r="V120" s="127">
        <f t="shared" si="145"/>
        <v>0.1015275723460496</v>
      </c>
      <c r="W120" s="127">
        <f t="shared" ref="W120" si="146">IF(W28=0,0,W28/W$17)</f>
        <v>0.10486181075254196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1</v>
      </c>
      <c r="C121" s="31">
        <f>IF(C29=0,0,C29/C$29)</f>
        <v>1</v>
      </c>
      <c r="D121" s="31">
        <f t="shared" ref="D121:W121" si="148">IF(D29=0,0,D29/D$29)</f>
        <v>1</v>
      </c>
      <c r="E121" s="31">
        <f t="shared" si="148"/>
        <v>1</v>
      </c>
      <c r="F121" s="31">
        <f t="shared" si="148"/>
        <v>1</v>
      </c>
      <c r="G121" s="31">
        <f t="shared" si="148"/>
        <v>1</v>
      </c>
      <c r="H121" s="31">
        <f t="shared" si="148"/>
        <v>1</v>
      </c>
      <c r="I121" s="31">
        <f t="shared" si="148"/>
        <v>1</v>
      </c>
      <c r="J121" s="31">
        <f t="shared" si="148"/>
        <v>1</v>
      </c>
      <c r="K121" s="31">
        <f t="shared" si="148"/>
        <v>1</v>
      </c>
      <c r="L121" s="31">
        <f t="shared" si="148"/>
        <v>1</v>
      </c>
      <c r="M121" s="31">
        <f t="shared" si="148"/>
        <v>1</v>
      </c>
      <c r="N121" s="31">
        <f t="shared" si="148"/>
        <v>1</v>
      </c>
      <c r="O121" s="31">
        <f t="shared" si="148"/>
        <v>1</v>
      </c>
      <c r="P121" s="31">
        <f t="shared" si="148"/>
        <v>1</v>
      </c>
      <c r="Q121" s="31">
        <f t="shared" si="148"/>
        <v>1</v>
      </c>
      <c r="R121" s="31">
        <f t="shared" si="148"/>
        <v>1</v>
      </c>
      <c r="S121" s="31">
        <f t="shared" si="148"/>
        <v>1</v>
      </c>
      <c r="T121" s="31">
        <f t="shared" si="148"/>
        <v>1</v>
      </c>
      <c r="U121" s="31">
        <f t="shared" si="148"/>
        <v>1</v>
      </c>
      <c r="V121" s="31">
        <f t="shared" si="148"/>
        <v>1</v>
      </c>
      <c r="W121" s="31">
        <f t="shared" si="148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9.1605773466885643E-2</v>
      </c>
      <c r="C122" s="140">
        <f>IF(C30=0,0,C30/C$29)</f>
        <v>9.520337942863133E-2</v>
      </c>
      <c r="D122" s="140">
        <f t="shared" ref="D122:W122" si="150">IF(D30=0,0,D30/D$29)</f>
        <v>8.7117859138074655E-2</v>
      </c>
      <c r="E122" s="140">
        <f t="shared" si="150"/>
        <v>8.675714909617957E-2</v>
      </c>
      <c r="F122" s="140">
        <f t="shared" si="150"/>
        <v>7.3893930898111804E-2</v>
      </c>
      <c r="G122" s="140">
        <f t="shared" si="150"/>
        <v>6.3450899371221128E-2</v>
      </c>
      <c r="H122" s="140">
        <f t="shared" si="150"/>
        <v>6.1417126787908768E-2</v>
      </c>
      <c r="I122" s="140">
        <f t="shared" si="150"/>
        <v>5.8767315997912968E-2</v>
      </c>
      <c r="J122" s="140">
        <f t="shared" si="150"/>
        <v>5.7811002901806623E-2</v>
      </c>
      <c r="K122" s="140">
        <f t="shared" si="150"/>
        <v>5.6970776004197546E-2</v>
      </c>
      <c r="L122" s="140">
        <f t="shared" si="150"/>
        <v>6.3540277755809338E-2</v>
      </c>
      <c r="M122" s="140">
        <f t="shared" si="150"/>
        <v>5.7173598488949852E-2</v>
      </c>
      <c r="N122" s="140">
        <f t="shared" si="150"/>
        <v>6.3655286610514047E-2</v>
      </c>
      <c r="O122" s="140">
        <f t="shared" si="150"/>
        <v>6.7309241828344468E-2</v>
      </c>
      <c r="P122" s="140">
        <f t="shared" si="150"/>
        <v>7.0767212933042223E-2</v>
      </c>
      <c r="Q122" s="140">
        <f t="shared" si="150"/>
        <v>7.4545841177055538E-2</v>
      </c>
      <c r="R122" s="140">
        <f t="shared" si="150"/>
        <v>9.0772890388980218E-2</v>
      </c>
      <c r="S122" s="140">
        <f t="shared" si="150"/>
        <v>7.9013710611765459E-2</v>
      </c>
      <c r="T122" s="140">
        <f t="shared" si="150"/>
        <v>7.3051977356976286E-2</v>
      </c>
      <c r="U122" s="140">
        <f t="shared" si="150"/>
        <v>7.6256430975521733E-2</v>
      </c>
      <c r="V122" s="140">
        <f t="shared" si="150"/>
        <v>7.7131256177932206E-2</v>
      </c>
      <c r="W122" s="140">
        <f t="shared" si="150"/>
        <v>7.6081500991591555E-2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0.90839422653311441</v>
      </c>
      <c r="C123" s="127">
        <f>IF(C31=0,0,C31/C$29)</f>
        <v>0.90479662057136867</v>
      </c>
      <c r="D123" s="127">
        <f t="shared" ref="D123:W123" si="152">IF(D31=0,0,D31/D$29)</f>
        <v>0.91288214086192532</v>
      </c>
      <c r="E123" s="127">
        <f t="shared" si="152"/>
        <v>0.91324285090382051</v>
      </c>
      <c r="F123" s="127">
        <f t="shared" si="152"/>
        <v>0.9261060691018882</v>
      </c>
      <c r="G123" s="127">
        <f t="shared" si="152"/>
        <v>0.93654910062877883</v>
      </c>
      <c r="H123" s="127">
        <f t="shared" si="152"/>
        <v>0.93858287321209122</v>
      </c>
      <c r="I123" s="127">
        <f t="shared" si="152"/>
        <v>0.94123268400208704</v>
      </c>
      <c r="J123" s="127">
        <f t="shared" si="152"/>
        <v>0.94218899709819337</v>
      </c>
      <c r="K123" s="127">
        <f t="shared" si="152"/>
        <v>0.94302922399580236</v>
      </c>
      <c r="L123" s="127">
        <f t="shared" si="152"/>
        <v>0.93645972224419061</v>
      </c>
      <c r="M123" s="127">
        <f t="shared" si="152"/>
        <v>0.94282640151105013</v>
      </c>
      <c r="N123" s="127">
        <f t="shared" si="152"/>
        <v>0.93634471338948588</v>
      </c>
      <c r="O123" s="127">
        <f t="shared" si="152"/>
        <v>0.93269075817165559</v>
      </c>
      <c r="P123" s="127">
        <f t="shared" si="152"/>
        <v>0.92923278706695778</v>
      </c>
      <c r="Q123" s="127">
        <f t="shared" si="152"/>
        <v>0.92545415882294435</v>
      </c>
      <c r="R123" s="127">
        <f t="shared" si="152"/>
        <v>0.90922710961101982</v>
      </c>
      <c r="S123" s="127">
        <f t="shared" si="152"/>
        <v>0.92098628938823457</v>
      </c>
      <c r="T123" s="127">
        <f t="shared" si="152"/>
        <v>0.92694802264302367</v>
      </c>
      <c r="U123" s="127">
        <f t="shared" si="152"/>
        <v>0.92374356902447829</v>
      </c>
      <c r="V123" s="127">
        <f t="shared" si="152"/>
        <v>0.92286874382206774</v>
      </c>
      <c r="W123" s="127">
        <f t="shared" si="152"/>
        <v>0.92391849900840839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0.79782928281266796</v>
      </c>
      <c r="C127" s="139">
        <f t="shared" ref="C127:W127" si="155">IF(C35=0,0,C35/C$34)</f>
        <v>0.81182628211536845</v>
      </c>
      <c r="D127" s="139">
        <f t="shared" si="155"/>
        <v>0.83803806270152548</v>
      </c>
      <c r="E127" s="139">
        <f t="shared" si="155"/>
        <v>0.83360466406637335</v>
      </c>
      <c r="F127" s="139">
        <f t="shared" si="155"/>
        <v>0.83725989157614544</v>
      </c>
      <c r="G127" s="139">
        <f t="shared" si="155"/>
        <v>0.8391050994821404</v>
      </c>
      <c r="H127" s="139">
        <f t="shared" si="155"/>
        <v>0.84646827560109972</v>
      </c>
      <c r="I127" s="139">
        <f t="shared" si="155"/>
        <v>0.84485189369176539</v>
      </c>
      <c r="J127" s="139">
        <f t="shared" si="155"/>
        <v>0.8331833990820412</v>
      </c>
      <c r="K127" s="139">
        <f t="shared" si="155"/>
        <v>0.83600215429243963</v>
      </c>
      <c r="L127" s="139">
        <f t="shared" si="155"/>
        <v>0.83070796525696433</v>
      </c>
      <c r="M127" s="139">
        <f t="shared" si="155"/>
        <v>0.8197172572037007</v>
      </c>
      <c r="N127" s="139">
        <f t="shared" si="155"/>
        <v>0.82297351835252686</v>
      </c>
      <c r="O127" s="139">
        <f t="shared" si="155"/>
        <v>0.82485429076158912</v>
      </c>
      <c r="P127" s="139">
        <f t="shared" si="155"/>
        <v>0.82166439764818178</v>
      </c>
      <c r="Q127" s="139">
        <f t="shared" si="155"/>
        <v>0.81776292004643181</v>
      </c>
      <c r="R127" s="139">
        <f t="shared" si="155"/>
        <v>0.81379645032317594</v>
      </c>
      <c r="S127" s="139">
        <f t="shared" si="155"/>
        <v>0.79473347778107051</v>
      </c>
      <c r="T127" s="139">
        <f t="shared" si="155"/>
        <v>0.78610624161427012</v>
      </c>
      <c r="U127" s="139">
        <f t="shared" si="155"/>
        <v>0.77932587267278652</v>
      </c>
      <c r="V127" s="139">
        <f t="shared" si="155"/>
        <v>0.85549817646054283</v>
      </c>
      <c r="W127" s="139">
        <f t="shared" si="155"/>
        <v>0.83469251467827532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8.4998612886776348E-3</v>
      </c>
      <c r="C128" s="140">
        <f t="shared" ref="C128:W128" si="156">IF(C36=0,0,C36/C$34)</f>
        <v>8.8398711160071804E-3</v>
      </c>
      <c r="D128" s="140">
        <f t="shared" si="156"/>
        <v>9.6441335629681383E-3</v>
      </c>
      <c r="E128" s="140">
        <f t="shared" si="156"/>
        <v>9.6771438603628617E-3</v>
      </c>
      <c r="F128" s="140">
        <f t="shared" si="156"/>
        <v>9.6851411697980172E-3</v>
      </c>
      <c r="G128" s="140">
        <f t="shared" si="156"/>
        <v>9.6691248195686259E-3</v>
      </c>
      <c r="H128" s="140">
        <f t="shared" si="156"/>
        <v>9.832171016589281E-3</v>
      </c>
      <c r="I128" s="140">
        <f t="shared" si="156"/>
        <v>9.7893595393501506E-3</v>
      </c>
      <c r="J128" s="140">
        <f t="shared" si="156"/>
        <v>9.3895073330922656E-3</v>
      </c>
      <c r="K128" s="140">
        <f t="shared" si="156"/>
        <v>9.1519954312840879E-3</v>
      </c>
      <c r="L128" s="140">
        <f t="shared" si="156"/>
        <v>8.7453890974816279E-3</v>
      </c>
      <c r="M128" s="140">
        <f t="shared" si="156"/>
        <v>8.6183858746148173E-3</v>
      </c>
      <c r="N128" s="140">
        <f t="shared" si="156"/>
        <v>8.4890561841917244E-3</v>
      </c>
      <c r="O128" s="140">
        <f t="shared" si="156"/>
        <v>8.3289745513817001E-3</v>
      </c>
      <c r="P128" s="140">
        <f t="shared" si="156"/>
        <v>8.4590395758164794E-3</v>
      </c>
      <c r="Q128" s="140">
        <f t="shared" si="156"/>
        <v>8.077533092831074E-3</v>
      </c>
      <c r="R128" s="140">
        <f t="shared" si="156"/>
        <v>7.907231026088481E-3</v>
      </c>
      <c r="S128" s="140">
        <f t="shared" si="156"/>
        <v>7.7322468310944874E-3</v>
      </c>
      <c r="T128" s="140">
        <f t="shared" si="156"/>
        <v>7.2853031453261434E-3</v>
      </c>
      <c r="U128" s="140">
        <f t="shared" si="156"/>
        <v>7.7967747215225217E-3</v>
      </c>
      <c r="V128" s="140">
        <f t="shared" si="156"/>
        <v>8.768798585686733E-3</v>
      </c>
      <c r="W128" s="140">
        <f t="shared" si="156"/>
        <v>7.8974815822673485E-3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0.73378761371995627</v>
      </c>
      <c r="C129" s="140">
        <f t="shared" ref="C129:W129" si="157">IF(C37=0,0,C37/C$34)</f>
        <v>0.74766960679775729</v>
      </c>
      <c r="D129" s="140">
        <f t="shared" si="157"/>
        <v>0.77103203534152642</v>
      </c>
      <c r="E129" s="140">
        <f t="shared" si="157"/>
        <v>0.76695958803998066</v>
      </c>
      <c r="F129" s="140">
        <f t="shared" si="157"/>
        <v>0.77071269808629417</v>
      </c>
      <c r="G129" s="140">
        <f t="shared" si="157"/>
        <v>0.77114749055069209</v>
      </c>
      <c r="H129" s="140">
        <f t="shared" si="157"/>
        <v>0.78029035250528167</v>
      </c>
      <c r="I129" s="140">
        <f t="shared" si="157"/>
        <v>0.78119484677529083</v>
      </c>
      <c r="J129" s="140">
        <f t="shared" si="157"/>
        <v>0.77053963975390904</v>
      </c>
      <c r="K129" s="140">
        <f t="shared" si="157"/>
        <v>0.77437569702090503</v>
      </c>
      <c r="L129" s="140">
        <f t="shared" si="157"/>
        <v>0.76937336444071602</v>
      </c>
      <c r="M129" s="140">
        <f t="shared" si="157"/>
        <v>0.76028762115861304</v>
      </c>
      <c r="N129" s="140">
        <f t="shared" si="157"/>
        <v>0.76363850653317944</v>
      </c>
      <c r="O129" s="140">
        <f t="shared" si="157"/>
        <v>0.76542501285992348</v>
      </c>
      <c r="P129" s="140">
        <f t="shared" si="157"/>
        <v>0.76236279881507396</v>
      </c>
      <c r="Q129" s="140">
        <f t="shared" si="157"/>
        <v>0.75837475485276307</v>
      </c>
      <c r="R129" s="140">
        <f t="shared" si="157"/>
        <v>0.7556567994248844</v>
      </c>
      <c r="S129" s="140">
        <f t="shared" si="157"/>
        <v>0.73471373826225639</v>
      </c>
      <c r="T129" s="140">
        <f t="shared" si="157"/>
        <v>0.72407484235354813</v>
      </c>
      <c r="U129" s="140">
        <f t="shared" si="157"/>
        <v>0.71562149098779382</v>
      </c>
      <c r="V129" s="140">
        <f t="shared" si="157"/>
        <v>0.77473355380135311</v>
      </c>
      <c r="W129" s="140">
        <f t="shared" si="157"/>
        <v>0.75818583080018476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5.5541807804034074E-2</v>
      </c>
      <c r="C130" s="140">
        <f t="shared" ref="C130:W130" si="158">IF(C38=0,0,C38/C$34)</f>
        <v>5.5316804201603967E-2</v>
      </c>
      <c r="D130" s="140">
        <f t="shared" si="158"/>
        <v>5.7361893797030827E-2</v>
      </c>
      <c r="E130" s="140">
        <f t="shared" si="158"/>
        <v>5.6967932166029876E-2</v>
      </c>
      <c r="F130" s="140">
        <f t="shared" si="158"/>
        <v>5.6862052320053355E-2</v>
      </c>
      <c r="G130" s="140">
        <f t="shared" si="158"/>
        <v>5.8288484111879695E-2</v>
      </c>
      <c r="H130" s="140">
        <f t="shared" si="158"/>
        <v>5.6345752079228782E-2</v>
      </c>
      <c r="I130" s="140">
        <f t="shared" si="158"/>
        <v>5.386768737712444E-2</v>
      </c>
      <c r="J130" s="140">
        <f t="shared" si="158"/>
        <v>5.3254251995039914E-2</v>
      </c>
      <c r="K130" s="140">
        <f t="shared" si="158"/>
        <v>5.2474461840250522E-2</v>
      </c>
      <c r="L130" s="140">
        <f t="shared" si="158"/>
        <v>5.258921171876671E-2</v>
      </c>
      <c r="M130" s="140">
        <f t="shared" si="158"/>
        <v>5.0811250170472805E-2</v>
      </c>
      <c r="N130" s="140">
        <f t="shared" si="158"/>
        <v>5.0845955635155787E-2</v>
      </c>
      <c r="O130" s="140">
        <f t="shared" si="158"/>
        <v>5.1100303350283906E-2</v>
      </c>
      <c r="P130" s="140">
        <f t="shared" si="158"/>
        <v>5.084255925729133E-2</v>
      </c>
      <c r="Q130" s="140">
        <f t="shared" si="158"/>
        <v>5.1310632100837701E-2</v>
      </c>
      <c r="R130" s="140">
        <f t="shared" si="158"/>
        <v>5.0232419872203123E-2</v>
      </c>
      <c r="S130" s="140">
        <f t="shared" si="158"/>
        <v>5.2287492687719608E-2</v>
      </c>
      <c r="T130" s="140">
        <f t="shared" si="158"/>
        <v>5.4746096115395951E-2</v>
      </c>
      <c r="U130" s="140">
        <f t="shared" si="158"/>
        <v>5.5907606963470247E-2</v>
      </c>
      <c r="V130" s="140">
        <f t="shared" si="158"/>
        <v>7.1995824073503023E-2</v>
      </c>
      <c r="W130" s="140">
        <f t="shared" si="158"/>
        <v>6.8609202295823277E-2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1.753660312398729E-2</v>
      </c>
      <c r="C131" s="124">
        <f t="shared" ref="C131:W131" si="159">IF(C39=0,0,C39/C$34)</f>
        <v>1.7799198913118069E-2</v>
      </c>
      <c r="D131" s="124">
        <f t="shared" si="159"/>
        <v>1.8329627861814614E-2</v>
      </c>
      <c r="E131" s="124">
        <f t="shared" si="159"/>
        <v>1.8236788185230921E-2</v>
      </c>
      <c r="F131" s="124">
        <f t="shared" si="159"/>
        <v>1.9401582360254969E-2</v>
      </c>
      <c r="G131" s="124">
        <f t="shared" si="159"/>
        <v>2.0060278039767728E-2</v>
      </c>
      <c r="H131" s="124">
        <f t="shared" si="159"/>
        <v>2.1495243904672397E-2</v>
      </c>
      <c r="I131" s="124">
        <f t="shared" si="159"/>
        <v>2.0823336257973876E-2</v>
      </c>
      <c r="J131" s="124">
        <f t="shared" si="159"/>
        <v>2.055911792464115E-2</v>
      </c>
      <c r="K131" s="124">
        <f t="shared" si="159"/>
        <v>2.0043894703540205E-2</v>
      </c>
      <c r="L131" s="124">
        <f t="shared" si="159"/>
        <v>1.9758743254172637E-2</v>
      </c>
      <c r="M131" s="124">
        <f t="shared" si="159"/>
        <v>1.8820625049291387E-2</v>
      </c>
      <c r="N131" s="124">
        <f t="shared" si="159"/>
        <v>1.9074193033966947E-2</v>
      </c>
      <c r="O131" s="124">
        <f t="shared" si="159"/>
        <v>1.9186137252214248E-2</v>
      </c>
      <c r="P131" s="124">
        <f t="shared" si="159"/>
        <v>1.725234397826312E-2</v>
      </c>
      <c r="Q131" s="124">
        <f t="shared" si="159"/>
        <v>1.7094008475981897E-2</v>
      </c>
      <c r="R131" s="124">
        <f t="shared" si="159"/>
        <v>1.749599092809485E-2</v>
      </c>
      <c r="S131" s="124">
        <f t="shared" si="159"/>
        <v>1.8232998949291375E-2</v>
      </c>
      <c r="T131" s="124">
        <f t="shared" si="159"/>
        <v>1.6594575224315868E-2</v>
      </c>
      <c r="U131" s="124">
        <f t="shared" si="159"/>
        <v>1.7123714681133953E-2</v>
      </c>
      <c r="V131" s="124">
        <f t="shared" si="159"/>
        <v>2.0018622557696548E-2</v>
      </c>
      <c r="W131" s="124">
        <f t="shared" si="159"/>
        <v>1.8588784517151926E-2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7.8230381731026301E-4</v>
      </c>
      <c r="C132" s="140">
        <f t="shared" ref="C132:W132" si="160">IF(C40=0,0,C40/C$34)</f>
        <v>7.7199819458906597E-4</v>
      </c>
      <c r="D132" s="140">
        <f t="shared" si="160"/>
        <v>8.0571527744719221E-4</v>
      </c>
      <c r="E132" s="140">
        <f t="shared" si="160"/>
        <v>7.9058982878519354E-4</v>
      </c>
      <c r="F132" s="140">
        <f t="shared" si="160"/>
        <v>7.6832013990054304E-4</v>
      </c>
      <c r="G132" s="140">
        <f t="shared" si="160"/>
        <v>8.3062982804638107E-4</v>
      </c>
      <c r="H132" s="140">
        <f t="shared" si="160"/>
        <v>8.271737418724123E-4</v>
      </c>
      <c r="I132" s="140">
        <f t="shared" si="160"/>
        <v>8.1054630655531226E-4</v>
      </c>
      <c r="J132" s="140">
        <f t="shared" si="160"/>
        <v>7.921622216630383E-4</v>
      </c>
      <c r="K132" s="140">
        <f t="shared" si="160"/>
        <v>7.9141119967498109E-4</v>
      </c>
      <c r="L132" s="140">
        <f t="shared" si="160"/>
        <v>8.3834565256130718E-4</v>
      </c>
      <c r="M132" s="140">
        <f t="shared" si="160"/>
        <v>8.6558348855670774E-4</v>
      </c>
      <c r="N132" s="140">
        <f t="shared" si="160"/>
        <v>9.5674902329861576E-4</v>
      </c>
      <c r="O132" s="140">
        <f t="shared" si="160"/>
        <v>9.9246938447413455E-4</v>
      </c>
      <c r="P132" s="140">
        <f t="shared" si="160"/>
        <v>9.462593804822455E-4</v>
      </c>
      <c r="Q132" s="140">
        <f t="shared" si="160"/>
        <v>9.182043680076048E-4</v>
      </c>
      <c r="R132" s="140">
        <f t="shared" si="160"/>
        <v>9.3524867307046109E-4</v>
      </c>
      <c r="S132" s="140">
        <f t="shared" si="160"/>
        <v>1.0399025435210872E-3</v>
      </c>
      <c r="T132" s="140">
        <f t="shared" si="160"/>
        <v>1.0561343801474546E-3</v>
      </c>
      <c r="U132" s="140">
        <f t="shared" si="160"/>
        <v>1.0969449119289801E-3</v>
      </c>
      <c r="V132" s="140">
        <f t="shared" si="160"/>
        <v>9.277494814672985E-4</v>
      </c>
      <c r="W132" s="140">
        <f t="shared" si="160"/>
        <v>8.3907065280233327E-4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1.5659957042560402E-2</v>
      </c>
      <c r="C133" s="140">
        <f t="shared" ref="C133:W133" si="161">IF(C41=0,0,C41/C$34)</f>
        <v>1.5903977928416611E-2</v>
      </c>
      <c r="D133" s="140">
        <f t="shared" si="161"/>
        <v>1.6329894862000628E-2</v>
      </c>
      <c r="E133" s="140">
        <f t="shared" si="161"/>
        <v>1.6321953866018139E-2</v>
      </c>
      <c r="F133" s="140">
        <f t="shared" si="161"/>
        <v>1.7437561133491201E-2</v>
      </c>
      <c r="G133" s="140">
        <f t="shared" si="161"/>
        <v>1.7945010667928762E-2</v>
      </c>
      <c r="H133" s="140">
        <f t="shared" si="161"/>
        <v>1.9492338164597087E-2</v>
      </c>
      <c r="I133" s="140">
        <f t="shared" si="161"/>
        <v>1.8813502999013874E-2</v>
      </c>
      <c r="J133" s="140">
        <f t="shared" si="161"/>
        <v>1.8510399279946039E-2</v>
      </c>
      <c r="K133" s="140">
        <f t="shared" si="161"/>
        <v>1.806700324609211E-2</v>
      </c>
      <c r="L133" s="140">
        <f t="shared" si="161"/>
        <v>1.7715645474650897E-2</v>
      </c>
      <c r="M133" s="140">
        <f t="shared" si="161"/>
        <v>1.6937663962253841E-2</v>
      </c>
      <c r="N133" s="140">
        <f t="shared" si="161"/>
        <v>1.7073533592493226E-2</v>
      </c>
      <c r="O133" s="140">
        <f t="shared" si="161"/>
        <v>1.7122363006564455E-2</v>
      </c>
      <c r="P133" s="140">
        <f t="shared" si="161"/>
        <v>1.5267296546923634E-2</v>
      </c>
      <c r="Q133" s="140">
        <f t="shared" si="161"/>
        <v>1.4885853899990352E-2</v>
      </c>
      <c r="R133" s="140">
        <f t="shared" si="161"/>
        <v>1.4966463457613556E-2</v>
      </c>
      <c r="S133" s="140">
        <f t="shared" si="161"/>
        <v>1.5536768823439382E-2</v>
      </c>
      <c r="T133" s="140">
        <f t="shared" si="161"/>
        <v>1.394765363304549E-2</v>
      </c>
      <c r="U133" s="140">
        <f t="shared" si="161"/>
        <v>1.4383087860373334E-2</v>
      </c>
      <c r="V133" s="140">
        <f t="shared" si="161"/>
        <v>1.7113808552733402E-2</v>
      </c>
      <c r="W133" s="140">
        <f t="shared" si="161"/>
        <v>1.5856254391179041E-2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1.0943422641166267E-3</v>
      </c>
      <c r="C134" s="140">
        <f t="shared" ref="C134:W134" si="162">IF(C42=0,0,C42/C$34)</f>
        <v>1.1232227901123925E-3</v>
      </c>
      <c r="D134" s="140">
        <f t="shared" si="162"/>
        <v>1.1940177223667928E-3</v>
      </c>
      <c r="E134" s="140">
        <f t="shared" si="162"/>
        <v>1.1242444904275926E-3</v>
      </c>
      <c r="F134" s="140">
        <f t="shared" si="162"/>
        <v>1.1957010868632212E-3</v>
      </c>
      <c r="G134" s="140">
        <f t="shared" si="162"/>
        <v>1.2846375437925847E-3</v>
      </c>
      <c r="H134" s="140">
        <f t="shared" si="162"/>
        <v>1.1757319982028944E-3</v>
      </c>
      <c r="I134" s="140">
        <f t="shared" si="162"/>
        <v>1.1992869524046924E-3</v>
      </c>
      <c r="J134" s="140">
        <f t="shared" si="162"/>
        <v>1.2565564230320749E-3</v>
      </c>
      <c r="K134" s="140">
        <f t="shared" si="162"/>
        <v>1.1854802577731147E-3</v>
      </c>
      <c r="L134" s="140">
        <f t="shared" si="162"/>
        <v>1.2047521269604349E-3</v>
      </c>
      <c r="M134" s="140">
        <f t="shared" si="162"/>
        <v>1.017377598480837E-3</v>
      </c>
      <c r="N134" s="140">
        <f t="shared" si="162"/>
        <v>1.0439104181751068E-3</v>
      </c>
      <c r="O134" s="140">
        <f t="shared" si="162"/>
        <v>1.0713048611756561E-3</v>
      </c>
      <c r="P134" s="140">
        <f t="shared" si="162"/>
        <v>1.0387880508572402E-3</v>
      </c>
      <c r="Q134" s="140">
        <f t="shared" si="162"/>
        <v>1.2899502079839384E-3</v>
      </c>
      <c r="R134" s="140">
        <f t="shared" si="162"/>
        <v>1.5942787974108326E-3</v>
      </c>
      <c r="S134" s="140">
        <f t="shared" si="162"/>
        <v>1.656327582330905E-3</v>
      </c>
      <c r="T134" s="140">
        <f t="shared" si="162"/>
        <v>1.5907872111229247E-3</v>
      </c>
      <c r="U134" s="140">
        <f t="shared" si="162"/>
        <v>1.643681908831637E-3</v>
      </c>
      <c r="V134" s="140">
        <f t="shared" si="162"/>
        <v>1.9770645234958454E-3</v>
      </c>
      <c r="W134" s="140">
        <f t="shared" si="162"/>
        <v>1.8934594731705521E-3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0.18463411406334471</v>
      </c>
      <c r="C135" s="124">
        <f t="shared" ref="C135:W135" si="163">IF(C43=0,0,C43/C$34)</f>
        <v>0.17037451897151351</v>
      </c>
      <c r="D135" s="124">
        <f t="shared" si="163"/>
        <v>0.14363230943665989</v>
      </c>
      <c r="E135" s="124">
        <f t="shared" si="163"/>
        <v>0.14815854774839574</v>
      </c>
      <c r="F135" s="124">
        <f t="shared" si="163"/>
        <v>0.14333852606359956</v>
      </c>
      <c r="G135" s="124">
        <f t="shared" si="163"/>
        <v>0.14083462247809189</v>
      </c>
      <c r="H135" s="124">
        <f t="shared" si="163"/>
        <v>0.13203648049422789</v>
      </c>
      <c r="I135" s="124">
        <f t="shared" si="163"/>
        <v>0.13432477005026067</v>
      </c>
      <c r="J135" s="124">
        <f t="shared" si="163"/>
        <v>0.14625748299331767</v>
      </c>
      <c r="K135" s="124">
        <f t="shared" si="163"/>
        <v>0.14395395100402017</v>
      </c>
      <c r="L135" s="124">
        <f t="shared" si="163"/>
        <v>0.14953329148886307</v>
      </c>
      <c r="M135" s="124">
        <f t="shared" si="163"/>
        <v>0.16146211774700789</v>
      </c>
      <c r="N135" s="124">
        <f t="shared" si="163"/>
        <v>0.1579522886135061</v>
      </c>
      <c r="O135" s="124">
        <f t="shared" si="163"/>
        <v>0.15595957198619659</v>
      </c>
      <c r="P135" s="124">
        <f t="shared" si="163"/>
        <v>0.16108325837355511</v>
      </c>
      <c r="Q135" s="124">
        <f t="shared" si="163"/>
        <v>0.16514307147758622</v>
      </c>
      <c r="R135" s="124">
        <f t="shared" si="163"/>
        <v>0.1687075587487292</v>
      </c>
      <c r="S135" s="124">
        <f t="shared" si="163"/>
        <v>0.18703352326963812</v>
      </c>
      <c r="T135" s="124">
        <f t="shared" si="163"/>
        <v>0.19729918316141393</v>
      </c>
      <c r="U135" s="124">
        <f t="shared" si="163"/>
        <v>0.20355041264607954</v>
      </c>
      <c r="V135" s="124">
        <f t="shared" si="163"/>
        <v>0.12448320098176058</v>
      </c>
      <c r="W135" s="124">
        <f t="shared" si="163"/>
        <v>0.14671870080457269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0</v>
      </c>
      <c r="C136" s="140">
        <f t="shared" ref="C136:W136" si="164">IF(C44=0,0,C44/C$34)</f>
        <v>0</v>
      </c>
      <c r="D136" s="140">
        <f t="shared" si="164"/>
        <v>0</v>
      </c>
      <c r="E136" s="140">
        <f t="shared" si="164"/>
        <v>0</v>
      </c>
      <c r="F136" s="140">
        <f t="shared" si="164"/>
        <v>0</v>
      </c>
      <c r="G136" s="140">
        <f t="shared" si="164"/>
        <v>0</v>
      </c>
      <c r="H136" s="140">
        <f t="shared" si="164"/>
        <v>0</v>
      </c>
      <c r="I136" s="140">
        <f t="shared" si="164"/>
        <v>0</v>
      </c>
      <c r="J136" s="140">
        <f t="shared" si="164"/>
        <v>0</v>
      </c>
      <c r="K136" s="140">
        <f t="shared" si="164"/>
        <v>0</v>
      </c>
      <c r="L136" s="140">
        <f t="shared" si="164"/>
        <v>0</v>
      </c>
      <c r="M136" s="140">
        <f t="shared" si="164"/>
        <v>0</v>
      </c>
      <c r="N136" s="140">
        <f t="shared" si="164"/>
        <v>0</v>
      </c>
      <c r="O136" s="140">
        <f t="shared" si="164"/>
        <v>0</v>
      </c>
      <c r="P136" s="140">
        <f t="shared" si="164"/>
        <v>0</v>
      </c>
      <c r="Q136" s="140">
        <f t="shared" si="164"/>
        <v>0</v>
      </c>
      <c r="R136" s="140">
        <f t="shared" si="164"/>
        <v>0</v>
      </c>
      <c r="S136" s="140">
        <f t="shared" si="164"/>
        <v>0</v>
      </c>
      <c r="T136" s="140">
        <f t="shared" si="164"/>
        <v>0</v>
      </c>
      <c r="U136" s="140">
        <f t="shared" si="164"/>
        <v>0</v>
      </c>
      <c r="V136" s="140">
        <f t="shared" si="164"/>
        <v>0</v>
      </c>
      <c r="W136" s="140">
        <f t="shared" si="164"/>
        <v>0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0.1000283067328904</v>
      </c>
      <c r="C137" s="140">
        <f t="shared" ref="C137:W137" si="165">IF(C45=0,0,C45/C$34)</f>
        <v>9.3153338818351236E-2</v>
      </c>
      <c r="D137" s="140">
        <f t="shared" si="165"/>
        <v>7.9600801027123025E-2</v>
      </c>
      <c r="E137" s="140">
        <f t="shared" si="165"/>
        <v>8.2028032106602769E-2</v>
      </c>
      <c r="F137" s="140">
        <f t="shared" si="165"/>
        <v>7.6698854064002217E-2</v>
      </c>
      <c r="G137" s="140">
        <f t="shared" si="165"/>
        <v>7.5427348237550845E-2</v>
      </c>
      <c r="H137" s="140">
        <f t="shared" si="165"/>
        <v>7.1491901948772932E-2</v>
      </c>
      <c r="I137" s="140">
        <f t="shared" si="165"/>
        <v>7.3703833805870853E-2</v>
      </c>
      <c r="J137" s="140">
        <f t="shared" si="165"/>
        <v>7.88800574150295E-2</v>
      </c>
      <c r="K137" s="140">
        <f t="shared" si="165"/>
        <v>7.5315880609935285E-2</v>
      </c>
      <c r="L137" s="140">
        <f t="shared" si="165"/>
        <v>7.7872276666151583E-2</v>
      </c>
      <c r="M137" s="140">
        <f t="shared" si="165"/>
        <v>8.385698471622241E-2</v>
      </c>
      <c r="N137" s="140">
        <f t="shared" si="165"/>
        <v>8.0975382747130814E-2</v>
      </c>
      <c r="O137" s="140">
        <f t="shared" si="165"/>
        <v>7.9525058334564414E-2</v>
      </c>
      <c r="P137" s="140">
        <f t="shared" si="165"/>
        <v>8.2577376411351211E-2</v>
      </c>
      <c r="Q137" s="140">
        <f t="shared" si="165"/>
        <v>8.5255354557961807E-2</v>
      </c>
      <c r="R137" s="140">
        <f t="shared" si="165"/>
        <v>8.9357318665082716E-2</v>
      </c>
      <c r="S137" s="140">
        <f t="shared" si="165"/>
        <v>0.10097288648942873</v>
      </c>
      <c r="T137" s="140">
        <f t="shared" si="165"/>
        <v>0.10575621439145257</v>
      </c>
      <c r="U137" s="140">
        <f t="shared" si="165"/>
        <v>0.10647015844470374</v>
      </c>
      <c r="V137" s="140">
        <f t="shared" si="165"/>
        <v>6.0438077710205568E-2</v>
      </c>
      <c r="W137" s="140">
        <f t="shared" si="165"/>
        <v>7.7215075656937415E-2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8.4605807330454322E-2</v>
      </c>
      <c r="C138" s="140">
        <f t="shared" ref="C138:W138" si="166">IF(C46=0,0,C46/C$34)</f>
        <v>7.7221180153162261E-2</v>
      </c>
      <c r="D138" s="140">
        <f t="shared" si="166"/>
        <v>6.4031508409536878E-2</v>
      </c>
      <c r="E138" s="140">
        <f t="shared" si="166"/>
        <v>6.6130515641792967E-2</v>
      </c>
      <c r="F138" s="140">
        <f t="shared" si="166"/>
        <v>6.6639671999597361E-2</v>
      </c>
      <c r="G138" s="140">
        <f t="shared" si="166"/>
        <v>6.5407274240541033E-2</v>
      </c>
      <c r="H138" s="140">
        <f t="shared" si="166"/>
        <v>6.0544578545454961E-2</v>
      </c>
      <c r="I138" s="140">
        <f t="shared" si="166"/>
        <v>6.06209362443898E-2</v>
      </c>
      <c r="J138" s="140">
        <f t="shared" si="166"/>
        <v>6.7377425578288172E-2</v>
      </c>
      <c r="K138" s="140">
        <f t="shared" si="166"/>
        <v>6.8638070394084871E-2</v>
      </c>
      <c r="L138" s="140">
        <f t="shared" si="166"/>
        <v>7.1661014822711519E-2</v>
      </c>
      <c r="M138" s="140">
        <f t="shared" si="166"/>
        <v>7.7605133030785492E-2</v>
      </c>
      <c r="N138" s="140">
        <f t="shared" si="166"/>
        <v>7.6976905866375275E-2</v>
      </c>
      <c r="O138" s="140">
        <f t="shared" si="166"/>
        <v>7.6434513651632174E-2</v>
      </c>
      <c r="P138" s="140">
        <f t="shared" si="166"/>
        <v>7.8505881962203913E-2</v>
      </c>
      <c r="Q138" s="140">
        <f t="shared" si="166"/>
        <v>7.9887716919624444E-2</v>
      </c>
      <c r="R138" s="140">
        <f t="shared" si="166"/>
        <v>7.9350240083646481E-2</v>
      </c>
      <c r="S138" s="140">
        <f t="shared" si="166"/>
        <v>8.6060636780209407E-2</v>
      </c>
      <c r="T138" s="140">
        <f t="shared" si="166"/>
        <v>9.1542968769961375E-2</v>
      </c>
      <c r="U138" s="140">
        <f t="shared" si="166"/>
        <v>9.708025420137581E-2</v>
      </c>
      <c r="V138" s="140">
        <f t="shared" si="166"/>
        <v>6.4045123271554996E-2</v>
      </c>
      <c r="W138" s="140">
        <f t="shared" si="166"/>
        <v>6.9503625147635278E-2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0.79046429158585108</v>
      </c>
      <c r="C140" s="139">
        <f t="shared" ref="C140:W140" si="169">IF(C48=0,0,C48/C$47)</f>
        <v>0.8192820278944013</v>
      </c>
      <c r="D140" s="139">
        <f t="shared" si="169"/>
        <v>0.83397993388176839</v>
      </c>
      <c r="E140" s="139">
        <f t="shared" si="169"/>
        <v>0.81589922510232726</v>
      </c>
      <c r="F140" s="139">
        <f t="shared" si="169"/>
        <v>0.83799352224683299</v>
      </c>
      <c r="G140" s="139">
        <f t="shared" si="169"/>
        <v>0.84153269072324488</v>
      </c>
      <c r="H140" s="139">
        <f t="shared" si="169"/>
        <v>0.83951195667087619</v>
      </c>
      <c r="I140" s="139">
        <f t="shared" si="169"/>
        <v>0.82653323849147453</v>
      </c>
      <c r="J140" s="139">
        <f t="shared" si="169"/>
        <v>0.82539660633072998</v>
      </c>
      <c r="K140" s="139">
        <f t="shared" si="169"/>
        <v>0.85939745077402852</v>
      </c>
      <c r="L140" s="139">
        <f t="shared" si="169"/>
        <v>0.83888095029065946</v>
      </c>
      <c r="M140" s="139">
        <f t="shared" si="169"/>
        <v>0.83789175783462333</v>
      </c>
      <c r="N140" s="139">
        <f t="shared" si="169"/>
        <v>0.85036855385979182</v>
      </c>
      <c r="O140" s="139">
        <f t="shared" si="169"/>
        <v>0.85751229235178483</v>
      </c>
      <c r="P140" s="139">
        <f t="shared" si="169"/>
        <v>0.86418659245632412</v>
      </c>
      <c r="Q140" s="139">
        <f t="shared" si="169"/>
        <v>0.86081737256039292</v>
      </c>
      <c r="R140" s="139">
        <f t="shared" si="169"/>
        <v>0.87407015613929195</v>
      </c>
      <c r="S140" s="139">
        <f t="shared" si="169"/>
        <v>0.86721626695600817</v>
      </c>
      <c r="T140" s="139">
        <f t="shared" si="169"/>
        <v>0.86113020177038424</v>
      </c>
      <c r="U140" s="139">
        <f t="shared" si="169"/>
        <v>0.86792863927860886</v>
      </c>
      <c r="V140" s="139">
        <f t="shared" si="169"/>
        <v>0.80444112155431002</v>
      </c>
      <c r="W140" s="139">
        <f t="shared" si="169"/>
        <v>0.80298299658101002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0.39833441697237415</v>
      </c>
      <c r="C141" s="140">
        <f t="shared" ref="C141:W141" si="170">IF(C49=0,0,C49/C$47)</f>
        <v>0.37855757725134842</v>
      </c>
      <c r="D141" s="140">
        <f t="shared" si="170"/>
        <v>0.38927045384212533</v>
      </c>
      <c r="E141" s="140">
        <f t="shared" si="170"/>
        <v>0.37633540879202532</v>
      </c>
      <c r="F141" s="140">
        <f t="shared" si="170"/>
        <v>0.36960191966104372</v>
      </c>
      <c r="G141" s="140">
        <f t="shared" si="170"/>
        <v>0.37443921909387784</v>
      </c>
      <c r="H141" s="140">
        <f t="shared" si="170"/>
        <v>0.36599376314724358</v>
      </c>
      <c r="I141" s="140">
        <f t="shared" si="170"/>
        <v>0.36275394789729476</v>
      </c>
      <c r="J141" s="140">
        <f t="shared" si="170"/>
        <v>0.37237126817930266</v>
      </c>
      <c r="K141" s="140">
        <f t="shared" si="170"/>
        <v>0.39346066502030952</v>
      </c>
      <c r="L141" s="140">
        <f t="shared" si="170"/>
        <v>0.3792044934681405</v>
      </c>
      <c r="M141" s="140">
        <f t="shared" si="170"/>
        <v>0.38258911275810825</v>
      </c>
      <c r="N141" s="140">
        <f t="shared" si="170"/>
        <v>0.39421204797927828</v>
      </c>
      <c r="O141" s="140">
        <f t="shared" si="170"/>
        <v>0.3739625180093038</v>
      </c>
      <c r="P141" s="140">
        <f t="shared" si="170"/>
        <v>0.38010326741857486</v>
      </c>
      <c r="Q141" s="140">
        <f t="shared" si="170"/>
        <v>0.36557550342077949</v>
      </c>
      <c r="R141" s="140">
        <f t="shared" si="170"/>
        <v>0.32797286513606011</v>
      </c>
      <c r="S141" s="140">
        <f t="shared" si="170"/>
        <v>0.29388168964479172</v>
      </c>
      <c r="T141" s="140">
        <f t="shared" si="170"/>
        <v>0.27922993016694792</v>
      </c>
      <c r="U141" s="140">
        <f t="shared" si="170"/>
        <v>0.28198724894717381</v>
      </c>
      <c r="V141" s="140">
        <f t="shared" si="170"/>
        <v>0.2647493072838214</v>
      </c>
      <c r="W141" s="140">
        <f t="shared" si="170"/>
        <v>0.26662547437330492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0.39212987461347698</v>
      </c>
      <c r="C142" s="140">
        <f t="shared" ref="C142:W142" si="171">IF(C50=0,0,C50/C$47)</f>
        <v>0.44072445064305282</v>
      </c>
      <c r="D142" s="140">
        <f t="shared" si="171"/>
        <v>0.44470948003964295</v>
      </c>
      <c r="E142" s="140">
        <f t="shared" si="171"/>
        <v>0.439563816310302</v>
      </c>
      <c r="F142" s="140">
        <f t="shared" si="171"/>
        <v>0.46839160258578921</v>
      </c>
      <c r="G142" s="140">
        <f t="shared" si="171"/>
        <v>0.4670934716293671</v>
      </c>
      <c r="H142" s="140">
        <f t="shared" si="171"/>
        <v>0.47351819352363267</v>
      </c>
      <c r="I142" s="140">
        <f t="shared" si="171"/>
        <v>0.46377929059417966</v>
      </c>
      <c r="J142" s="140">
        <f t="shared" si="171"/>
        <v>0.45302533815142726</v>
      </c>
      <c r="K142" s="140">
        <f t="shared" si="171"/>
        <v>0.46593678575371889</v>
      </c>
      <c r="L142" s="140">
        <f t="shared" si="171"/>
        <v>0.45967645682251901</v>
      </c>
      <c r="M142" s="140">
        <f t="shared" si="171"/>
        <v>0.45530264507651513</v>
      </c>
      <c r="N142" s="140">
        <f t="shared" si="171"/>
        <v>0.45615650588051343</v>
      </c>
      <c r="O142" s="140">
        <f t="shared" si="171"/>
        <v>0.48354977434248109</v>
      </c>
      <c r="P142" s="140">
        <f t="shared" si="171"/>
        <v>0.48408332503774926</v>
      </c>
      <c r="Q142" s="140">
        <f t="shared" si="171"/>
        <v>0.49524186913961354</v>
      </c>
      <c r="R142" s="140">
        <f t="shared" si="171"/>
        <v>0.5460972910032319</v>
      </c>
      <c r="S142" s="140">
        <f t="shared" si="171"/>
        <v>0.5733345773112164</v>
      </c>
      <c r="T142" s="140">
        <f t="shared" si="171"/>
        <v>0.58190027160343627</v>
      </c>
      <c r="U142" s="140">
        <f t="shared" si="171"/>
        <v>0.58594139033143511</v>
      </c>
      <c r="V142" s="140">
        <f t="shared" si="171"/>
        <v>0.53969181427048851</v>
      </c>
      <c r="W142" s="140">
        <f t="shared" si="171"/>
        <v>0.53635752220770527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2.0627958900752804E-2</v>
      </c>
      <c r="C143" s="124">
        <f t="shared" ref="C143:W143" si="172">IF(C51=0,0,C51/C$47)</f>
        <v>1.7365802492996893E-2</v>
      </c>
      <c r="D143" s="124">
        <f t="shared" si="172"/>
        <v>1.5899005346806196E-2</v>
      </c>
      <c r="E143" s="124">
        <f t="shared" si="172"/>
        <v>1.4841224555698789E-2</v>
      </c>
      <c r="F143" s="124">
        <f t="shared" si="172"/>
        <v>1.5094675479442998E-2</v>
      </c>
      <c r="G143" s="124">
        <f t="shared" si="172"/>
        <v>1.6363861294048161E-2</v>
      </c>
      <c r="H143" s="124">
        <f t="shared" si="172"/>
        <v>1.6913623398713752E-2</v>
      </c>
      <c r="I143" s="124">
        <f t="shared" si="172"/>
        <v>1.6766472130703793E-2</v>
      </c>
      <c r="J143" s="124">
        <f t="shared" si="172"/>
        <v>1.6338521131135392E-2</v>
      </c>
      <c r="K143" s="124">
        <f t="shared" si="172"/>
        <v>1.2063825931522484E-2</v>
      </c>
      <c r="L143" s="124">
        <f t="shared" si="172"/>
        <v>1.280732593018038E-2</v>
      </c>
      <c r="M143" s="124">
        <f t="shared" si="172"/>
        <v>1.268796795158684E-2</v>
      </c>
      <c r="N143" s="124">
        <f t="shared" si="172"/>
        <v>1.3303658468134114E-2</v>
      </c>
      <c r="O143" s="124">
        <f t="shared" si="172"/>
        <v>1.2836173059167774E-2</v>
      </c>
      <c r="P143" s="124">
        <f t="shared" si="172"/>
        <v>1.195960358144451E-2</v>
      </c>
      <c r="Q143" s="124">
        <f t="shared" si="172"/>
        <v>1.0889964909445712E-2</v>
      </c>
      <c r="R143" s="124">
        <f t="shared" si="172"/>
        <v>1.032385076597564E-2</v>
      </c>
      <c r="S143" s="124">
        <f t="shared" si="172"/>
        <v>1.0520628526544123E-2</v>
      </c>
      <c r="T143" s="124">
        <f t="shared" si="172"/>
        <v>1.3327365479242214E-2</v>
      </c>
      <c r="U143" s="124">
        <f t="shared" si="172"/>
        <v>1.266416686461755E-2</v>
      </c>
      <c r="V143" s="124">
        <f t="shared" si="172"/>
        <v>1.1784783064887651E-2</v>
      </c>
      <c r="W143" s="124">
        <f t="shared" si="172"/>
        <v>1.0863628753068158E-2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7.860292967751753E-2</v>
      </c>
      <c r="C144" s="124">
        <f t="shared" ref="C144:W144" si="173">IF(C52=0,0,C52/C$47)</f>
        <v>6.3785536709091234E-2</v>
      </c>
      <c r="D144" s="124">
        <f t="shared" si="173"/>
        <v>6.128422352745317E-2</v>
      </c>
      <c r="E144" s="124">
        <f t="shared" si="173"/>
        <v>7.3894073771824789E-2</v>
      </c>
      <c r="F144" s="124">
        <f t="shared" si="173"/>
        <v>6.8762031440219681E-2</v>
      </c>
      <c r="G144" s="124">
        <f t="shared" si="173"/>
        <v>6.9191629175035199E-2</v>
      </c>
      <c r="H144" s="124">
        <f t="shared" si="173"/>
        <v>9.7432138104602328E-2</v>
      </c>
      <c r="I144" s="124">
        <f t="shared" si="173"/>
        <v>0.11059087697233067</v>
      </c>
      <c r="J144" s="124">
        <f t="shared" si="173"/>
        <v>0.11121926571888015</v>
      </c>
      <c r="K144" s="124">
        <f t="shared" si="173"/>
        <v>8.5466426996855013E-2</v>
      </c>
      <c r="L144" s="124">
        <f t="shared" si="173"/>
        <v>9.8714855237226118E-2</v>
      </c>
      <c r="M144" s="124">
        <f t="shared" si="173"/>
        <v>0.1009475350215023</v>
      </c>
      <c r="N144" s="124">
        <f t="shared" si="173"/>
        <v>8.6899895314169834E-2</v>
      </c>
      <c r="O144" s="124">
        <f t="shared" si="173"/>
        <v>7.899417469991743E-2</v>
      </c>
      <c r="P144" s="124">
        <f t="shared" si="173"/>
        <v>7.6346968101241891E-2</v>
      </c>
      <c r="Q144" s="124">
        <f t="shared" si="173"/>
        <v>8.6323064680253511E-2</v>
      </c>
      <c r="R144" s="124">
        <f t="shared" si="173"/>
        <v>7.6894836551958279E-2</v>
      </c>
      <c r="S144" s="124">
        <f t="shared" si="173"/>
        <v>8.3854678846401839E-2</v>
      </c>
      <c r="T144" s="124">
        <f t="shared" si="173"/>
        <v>8.9051997742800121E-2</v>
      </c>
      <c r="U144" s="124">
        <f t="shared" si="173"/>
        <v>8.4887368476290762E-2</v>
      </c>
      <c r="V144" s="124">
        <f t="shared" si="173"/>
        <v>0.14940532191963804</v>
      </c>
      <c r="W144" s="124">
        <f t="shared" si="173"/>
        <v>0.15648956970053238</v>
      </c>
      <c r="DA144" s="176"/>
    </row>
    <row r="145" spans="1:105" ht="11.45" customHeight="1" x14ac:dyDescent="0.25">
      <c r="A145" s="128" t="s">
        <v>27</v>
      </c>
      <c r="B145" s="140">
        <f t="shared" si="167"/>
        <v>0</v>
      </c>
      <c r="C145" s="140">
        <f t="shared" ref="C145:W145" si="174">IF(C53=0,0,C53/C$47)</f>
        <v>0</v>
      </c>
      <c r="D145" s="140">
        <f t="shared" si="174"/>
        <v>0</v>
      </c>
      <c r="E145" s="140">
        <f t="shared" si="174"/>
        <v>0</v>
      </c>
      <c r="F145" s="140">
        <f t="shared" si="174"/>
        <v>0</v>
      </c>
      <c r="G145" s="140">
        <f t="shared" si="174"/>
        <v>0</v>
      </c>
      <c r="H145" s="140">
        <f t="shared" si="174"/>
        <v>0</v>
      </c>
      <c r="I145" s="140">
        <f t="shared" si="174"/>
        <v>0</v>
      </c>
      <c r="J145" s="140">
        <f t="shared" si="174"/>
        <v>0</v>
      </c>
      <c r="K145" s="140">
        <f t="shared" si="174"/>
        <v>0</v>
      </c>
      <c r="L145" s="140">
        <f t="shared" si="174"/>
        <v>0</v>
      </c>
      <c r="M145" s="140">
        <f t="shared" si="174"/>
        <v>0</v>
      </c>
      <c r="N145" s="140">
        <f t="shared" si="174"/>
        <v>0</v>
      </c>
      <c r="O145" s="140">
        <f t="shared" si="174"/>
        <v>0</v>
      </c>
      <c r="P145" s="140">
        <f t="shared" si="174"/>
        <v>0</v>
      </c>
      <c r="Q145" s="140">
        <f t="shared" si="174"/>
        <v>0</v>
      </c>
      <c r="R145" s="140">
        <f t="shared" si="174"/>
        <v>0</v>
      </c>
      <c r="S145" s="140">
        <f t="shared" si="174"/>
        <v>0</v>
      </c>
      <c r="T145" s="140">
        <f t="shared" si="174"/>
        <v>0</v>
      </c>
      <c r="U145" s="140">
        <f t="shared" si="174"/>
        <v>0</v>
      </c>
      <c r="V145" s="140">
        <f t="shared" si="174"/>
        <v>0</v>
      </c>
      <c r="W145" s="140">
        <f t="shared" si="174"/>
        <v>0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2.2476009973279674E-2</v>
      </c>
      <c r="C146" s="140">
        <f t="shared" ref="C146:W146" si="175">IF(C54=0,0,C54/C$47)</f>
        <v>1.5912819510561806E-2</v>
      </c>
      <c r="D146" s="140">
        <f t="shared" si="175"/>
        <v>1.4803801153257332E-2</v>
      </c>
      <c r="E146" s="140">
        <f t="shared" si="175"/>
        <v>1.4381512903586979E-2</v>
      </c>
      <c r="F146" s="140">
        <f t="shared" si="175"/>
        <v>1.3432736699168243E-2</v>
      </c>
      <c r="G146" s="140">
        <f t="shared" si="175"/>
        <v>1.4720936653729821E-2</v>
      </c>
      <c r="H146" s="140">
        <f t="shared" si="175"/>
        <v>2.7457871621814678E-2</v>
      </c>
      <c r="I146" s="140">
        <f t="shared" si="175"/>
        <v>2.8750577754624473E-2</v>
      </c>
      <c r="J146" s="140">
        <f t="shared" si="175"/>
        <v>2.3809175058608002E-2</v>
      </c>
      <c r="K146" s="140">
        <f t="shared" si="175"/>
        <v>1.8431567983988546E-2</v>
      </c>
      <c r="L146" s="140">
        <f t="shared" si="175"/>
        <v>1.8277797636213625E-2</v>
      </c>
      <c r="M146" s="140">
        <f t="shared" si="175"/>
        <v>1.7976164571528612E-2</v>
      </c>
      <c r="N146" s="140">
        <f t="shared" si="175"/>
        <v>1.7856785195115299E-2</v>
      </c>
      <c r="O146" s="140">
        <f t="shared" si="175"/>
        <v>1.7660823038887885E-2</v>
      </c>
      <c r="P146" s="140">
        <f t="shared" si="175"/>
        <v>1.6959219021122591E-2</v>
      </c>
      <c r="Q146" s="140">
        <f t="shared" si="175"/>
        <v>1.7248625640368595E-2</v>
      </c>
      <c r="R146" s="140">
        <f t="shared" si="175"/>
        <v>1.4887800604277955E-2</v>
      </c>
      <c r="S146" s="140">
        <f t="shared" si="175"/>
        <v>1.7771534837088328E-2</v>
      </c>
      <c r="T146" s="140">
        <f t="shared" si="175"/>
        <v>2.0773710064964774E-2</v>
      </c>
      <c r="U146" s="140">
        <f t="shared" si="175"/>
        <v>2.0351689641193649E-2</v>
      </c>
      <c r="V146" s="140">
        <f t="shared" si="175"/>
        <v>3.0771875060817386E-2</v>
      </c>
      <c r="W146" s="140">
        <f t="shared" si="175"/>
        <v>3.6502555108955552E-2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5.612691970423786E-2</v>
      </c>
      <c r="C147" s="140">
        <f t="shared" ref="C147:W147" si="176">IF(C55=0,0,C55/C$47)</f>
        <v>4.7872717198529424E-2</v>
      </c>
      <c r="D147" s="140">
        <f t="shared" si="176"/>
        <v>4.6480422374195834E-2</v>
      </c>
      <c r="E147" s="140">
        <f t="shared" si="176"/>
        <v>5.9512560868237807E-2</v>
      </c>
      <c r="F147" s="140">
        <f t="shared" si="176"/>
        <v>5.5329294741051437E-2</v>
      </c>
      <c r="G147" s="140">
        <f t="shared" si="176"/>
        <v>5.4470692521305375E-2</v>
      </c>
      <c r="H147" s="140">
        <f t="shared" si="176"/>
        <v>6.997426648278765E-2</v>
      </c>
      <c r="I147" s="140">
        <f t="shared" si="176"/>
        <v>8.1840299217706192E-2</v>
      </c>
      <c r="J147" s="140">
        <f t="shared" si="176"/>
        <v>8.7410090660272138E-2</v>
      </c>
      <c r="K147" s="140">
        <f t="shared" si="176"/>
        <v>6.7034859012866474E-2</v>
      </c>
      <c r="L147" s="140">
        <f t="shared" si="176"/>
        <v>8.0437057601012496E-2</v>
      </c>
      <c r="M147" s="140">
        <f t="shared" si="176"/>
        <v>8.2971370449973686E-2</v>
      </c>
      <c r="N147" s="140">
        <f t="shared" si="176"/>
        <v>6.9043110119054535E-2</v>
      </c>
      <c r="O147" s="140">
        <f t="shared" si="176"/>
        <v>6.1333351661029545E-2</v>
      </c>
      <c r="P147" s="140">
        <f t="shared" si="176"/>
        <v>5.9387749080119297E-2</v>
      </c>
      <c r="Q147" s="140">
        <f t="shared" si="176"/>
        <v>6.9074439039884916E-2</v>
      </c>
      <c r="R147" s="140">
        <f t="shared" si="176"/>
        <v>6.2007035947680318E-2</v>
      </c>
      <c r="S147" s="140">
        <f t="shared" si="176"/>
        <v>6.6083144009313519E-2</v>
      </c>
      <c r="T147" s="140">
        <f t="shared" si="176"/>
        <v>6.827828767783535E-2</v>
      </c>
      <c r="U147" s="140">
        <f t="shared" si="176"/>
        <v>6.4535678835097102E-2</v>
      </c>
      <c r="V147" s="140">
        <f t="shared" si="176"/>
        <v>0.11863344685882063</v>
      </c>
      <c r="W147" s="140">
        <f t="shared" si="176"/>
        <v>0.11998701459157682</v>
      </c>
      <c r="DA147" s="175"/>
    </row>
    <row r="148" spans="1:105" ht="11.45" customHeight="1" x14ac:dyDescent="0.25">
      <c r="A148" s="109" t="s">
        <v>142</v>
      </c>
      <c r="B148" s="124">
        <f t="shared" si="167"/>
        <v>0.11030481983587857</v>
      </c>
      <c r="C148" s="124">
        <f t="shared" ref="C148:W148" si="177">IF(C56=0,0,C56/C$47)</f>
        <v>9.9566632903510532E-2</v>
      </c>
      <c r="D148" s="124">
        <f t="shared" si="177"/>
        <v>8.883683724397233E-2</v>
      </c>
      <c r="E148" s="124">
        <f t="shared" si="177"/>
        <v>9.5365476570149058E-2</v>
      </c>
      <c r="F148" s="124">
        <f t="shared" si="177"/>
        <v>7.8149770833504523E-2</v>
      </c>
      <c r="G148" s="124">
        <f t="shared" si="177"/>
        <v>7.2911818807671794E-2</v>
      </c>
      <c r="H148" s="124">
        <f t="shared" si="177"/>
        <v>4.6142281825807575E-2</v>
      </c>
      <c r="I148" s="124">
        <f t="shared" si="177"/>
        <v>4.6109412405491046E-2</v>
      </c>
      <c r="J148" s="124">
        <f t="shared" si="177"/>
        <v>4.7045606819254578E-2</v>
      </c>
      <c r="K148" s="124">
        <f t="shared" si="177"/>
        <v>4.3072296297593911E-2</v>
      </c>
      <c r="L148" s="124">
        <f t="shared" si="177"/>
        <v>4.959686854193418E-2</v>
      </c>
      <c r="M148" s="124">
        <f t="shared" si="177"/>
        <v>4.8472739192287534E-2</v>
      </c>
      <c r="N148" s="124">
        <f t="shared" si="177"/>
        <v>4.9427892357904228E-2</v>
      </c>
      <c r="O148" s="124">
        <f t="shared" si="177"/>
        <v>5.0657359889129845E-2</v>
      </c>
      <c r="P148" s="124">
        <f t="shared" si="177"/>
        <v>4.7506835860989437E-2</v>
      </c>
      <c r="Q148" s="124">
        <f t="shared" si="177"/>
        <v>4.1969597849907808E-2</v>
      </c>
      <c r="R148" s="124">
        <f t="shared" si="177"/>
        <v>3.8711156542774135E-2</v>
      </c>
      <c r="S148" s="124">
        <f t="shared" si="177"/>
        <v>3.8408425671045889E-2</v>
      </c>
      <c r="T148" s="124">
        <f t="shared" si="177"/>
        <v>3.6490435007573464E-2</v>
      </c>
      <c r="U148" s="124">
        <f t="shared" si="177"/>
        <v>3.4519825380482823E-2</v>
      </c>
      <c r="V148" s="124">
        <f t="shared" si="177"/>
        <v>3.4368773461164188E-2</v>
      </c>
      <c r="W148" s="124">
        <f t="shared" si="177"/>
        <v>2.966380496538952E-2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6.4098475478777941E-3</v>
      </c>
      <c r="C149" s="140">
        <f t="shared" ref="C149:W149" si="178">IF(C57=0,0,C57/C$47)</f>
        <v>4.9013402031051504E-3</v>
      </c>
      <c r="D149" s="140">
        <f t="shared" si="178"/>
        <v>3.8012804842424853E-3</v>
      </c>
      <c r="E149" s="140">
        <f t="shared" si="178"/>
        <v>3.5544596492446167E-3</v>
      </c>
      <c r="F149" s="140">
        <f t="shared" si="178"/>
        <v>2.1678418633899656E-3</v>
      </c>
      <c r="G149" s="140">
        <f t="shared" si="178"/>
        <v>3.8164442106226929E-3</v>
      </c>
      <c r="H149" s="140">
        <f t="shared" si="178"/>
        <v>3.2492939056395047E-3</v>
      </c>
      <c r="I149" s="140">
        <f t="shared" si="178"/>
        <v>3.5641665848445518E-3</v>
      </c>
      <c r="J149" s="140">
        <f t="shared" si="178"/>
        <v>3.9630692307262147E-3</v>
      </c>
      <c r="K149" s="140">
        <f t="shared" si="178"/>
        <v>2.4733146339474205E-3</v>
      </c>
      <c r="L149" s="140">
        <f t="shared" si="178"/>
        <v>2.4183837296607199E-3</v>
      </c>
      <c r="M149" s="140">
        <f t="shared" si="178"/>
        <v>2.144226504868453E-3</v>
      </c>
      <c r="N149" s="140">
        <f t="shared" si="178"/>
        <v>1.9883975096370858E-3</v>
      </c>
      <c r="O149" s="140">
        <f t="shared" si="178"/>
        <v>2.0422043129029333E-3</v>
      </c>
      <c r="P149" s="140">
        <f t="shared" si="178"/>
        <v>1.9294591816918949E-3</v>
      </c>
      <c r="Q149" s="140">
        <f t="shared" si="178"/>
        <v>1.5362374428510262E-3</v>
      </c>
      <c r="R149" s="140">
        <f t="shared" si="178"/>
        <v>1.6856560842594302E-3</v>
      </c>
      <c r="S149" s="140">
        <f t="shared" si="178"/>
        <v>1.2924347877120645E-3</v>
      </c>
      <c r="T149" s="140">
        <f t="shared" si="178"/>
        <v>1.588298876996437E-3</v>
      </c>
      <c r="U149" s="140">
        <f t="shared" si="178"/>
        <v>1.8435269431446384E-3</v>
      </c>
      <c r="V149" s="140">
        <f t="shared" si="178"/>
        <v>1.8669199903814842E-3</v>
      </c>
      <c r="W149" s="140">
        <f t="shared" si="178"/>
        <v>1.9150223792761588E-3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0.10389497228800078</v>
      </c>
      <c r="C150" s="127">
        <f t="shared" ref="C150:W150" si="179">IF(C58=0,0,C58/C$47)</f>
        <v>9.4665292700405385E-2</v>
      </c>
      <c r="D150" s="127">
        <f t="shared" si="179"/>
        <v>8.5035556759729847E-2</v>
      </c>
      <c r="E150" s="127">
        <f t="shared" si="179"/>
        <v>9.1811016920904431E-2</v>
      </c>
      <c r="F150" s="127">
        <f t="shared" si="179"/>
        <v>7.5981928970114562E-2</v>
      </c>
      <c r="G150" s="127">
        <f t="shared" si="179"/>
        <v>6.9095374597049092E-2</v>
      </c>
      <c r="H150" s="127">
        <f t="shared" si="179"/>
        <v>4.2892987920168074E-2</v>
      </c>
      <c r="I150" s="127">
        <f t="shared" si="179"/>
        <v>4.2545245820646491E-2</v>
      </c>
      <c r="J150" s="127">
        <f t="shared" si="179"/>
        <v>4.3082537588528355E-2</v>
      </c>
      <c r="K150" s="127">
        <f t="shared" si="179"/>
        <v>4.0598981663646491E-2</v>
      </c>
      <c r="L150" s="127">
        <f t="shared" si="179"/>
        <v>4.7178484812273463E-2</v>
      </c>
      <c r="M150" s="127">
        <f t="shared" si="179"/>
        <v>4.6328512687419089E-2</v>
      </c>
      <c r="N150" s="127">
        <f t="shared" si="179"/>
        <v>4.7439494848267143E-2</v>
      </c>
      <c r="O150" s="127">
        <f t="shared" si="179"/>
        <v>4.8615155576226914E-2</v>
      </c>
      <c r="P150" s="127">
        <f t="shared" si="179"/>
        <v>4.5577376679297545E-2</v>
      </c>
      <c r="Q150" s="127">
        <f t="shared" si="179"/>
        <v>4.0433360407056779E-2</v>
      </c>
      <c r="R150" s="127">
        <f t="shared" si="179"/>
        <v>3.7025500458514701E-2</v>
      </c>
      <c r="S150" s="127">
        <f t="shared" si="179"/>
        <v>3.7115990883333824E-2</v>
      </c>
      <c r="T150" s="127">
        <f t="shared" si="179"/>
        <v>3.4902136130577029E-2</v>
      </c>
      <c r="U150" s="127">
        <f t="shared" si="179"/>
        <v>3.2676298437338186E-2</v>
      </c>
      <c r="V150" s="127">
        <f t="shared" si="179"/>
        <v>3.2501853470782709E-2</v>
      </c>
      <c r="W150" s="127">
        <f t="shared" si="179"/>
        <v>2.7748782586113359E-2</v>
      </c>
      <c r="DA150" s="178"/>
    </row>
    <row r="151" spans="1:105" ht="11.45" customHeight="1" x14ac:dyDescent="0.25">
      <c r="A151" s="27" t="s">
        <v>176</v>
      </c>
      <c r="B151" s="31">
        <f>IF(B59=0,0,B59/B$59)</f>
        <v>1</v>
      </c>
      <c r="C151" s="31">
        <f t="shared" ref="C151:W151" si="180">IF(C59=0,0,C59/C$59)</f>
        <v>1</v>
      </c>
      <c r="D151" s="31">
        <f t="shared" si="180"/>
        <v>1</v>
      </c>
      <c r="E151" s="31">
        <f t="shared" si="180"/>
        <v>1</v>
      </c>
      <c r="F151" s="31">
        <f t="shared" si="180"/>
        <v>1</v>
      </c>
      <c r="G151" s="31">
        <f t="shared" si="180"/>
        <v>1</v>
      </c>
      <c r="H151" s="31">
        <f t="shared" si="180"/>
        <v>1</v>
      </c>
      <c r="I151" s="31">
        <f t="shared" si="180"/>
        <v>1</v>
      </c>
      <c r="J151" s="31">
        <f t="shared" si="180"/>
        <v>1</v>
      </c>
      <c r="K151" s="31">
        <f t="shared" si="180"/>
        <v>1</v>
      </c>
      <c r="L151" s="31">
        <f t="shared" si="180"/>
        <v>1</v>
      </c>
      <c r="M151" s="31">
        <f t="shared" si="180"/>
        <v>1</v>
      </c>
      <c r="N151" s="31">
        <f t="shared" si="180"/>
        <v>1</v>
      </c>
      <c r="O151" s="31">
        <f t="shared" si="180"/>
        <v>1</v>
      </c>
      <c r="P151" s="31">
        <f t="shared" si="180"/>
        <v>1</v>
      </c>
      <c r="Q151" s="31">
        <f t="shared" si="180"/>
        <v>1</v>
      </c>
      <c r="R151" s="31">
        <f t="shared" si="180"/>
        <v>1</v>
      </c>
      <c r="S151" s="31">
        <f t="shared" si="180"/>
        <v>1</v>
      </c>
      <c r="T151" s="31">
        <f t="shared" si="180"/>
        <v>1</v>
      </c>
      <c r="U151" s="31">
        <f t="shared" si="180"/>
        <v>1</v>
      </c>
      <c r="V151" s="31">
        <f t="shared" si="180"/>
        <v>1</v>
      </c>
      <c r="W151" s="31">
        <f t="shared" si="180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0.25103319248346806</v>
      </c>
      <c r="C152" s="140">
        <f t="shared" ref="C152:W152" si="181">IF(C60=0,0,C60/C$59)</f>
        <v>0.25812799768146211</v>
      </c>
      <c r="D152" s="140">
        <f t="shared" si="181"/>
        <v>0.24252703304316184</v>
      </c>
      <c r="E152" s="140">
        <f t="shared" si="181"/>
        <v>0.24140683753682329</v>
      </c>
      <c r="F152" s="140">
        <f t="shared" si="181"/>
        <v>0.2149739304111509</v>
      </c>
      <c r="G152" s="140">
        <f t="shared" si="181"/>
        <v>0.19195963154874784</v>
      </c>
      <c r="H152" s="140">
        <f t="shared" si="181"/>
        <v>0.18700363136163381</v>
      </c>
      <c r="I152" s="140">
        <f t="shared" si="181"/>
        <v>0.18110603400192879</v>
      </c>
      <c r="J152" s="140">
        <f t="shared" si="181"/>
        <v>0.17934781473981881</v>
      </c>
      <c r="K152" s="140">
        <f t="shared" si="181"/>
        <v>0.17724770781357255</v>
      </c>
      <c r="L152" s="140">
        <f t="shared" si="181"/>
        <v>0.1935821659238475</v>
      </c>
      <c r="M152" s="140">
        <f t="shared" si="181"/>
        <v>0.17959898173028702</v>
      </c>
      <c r="N152" s="140">
        <f t="shared" si="181"/>
        <v>0.19490887495652615</v>
      </c>
      <c r="O152" s="140">
        <f t="shared" si="181"/>
        <v>0.203518443190427</v>
      </c>
      <c r="P152" s="140">
        <f t="shared" si="181"/>
        <v>0.21085970149069955</v>
      </c>
      <c r="Q152" s="140">
        <f t="shared" si="181"/>
        <v>0.21898226854037045</v>
      </c>
      <c r="R152" s="140">
        <f t="shared" si="181"/>
        <v>0.25020783041847072</v>
      </c>
      <c r="S152" s="140">
        <f t="shared" si="181"/>
        <v>0.22816665060732924</v>
      </c>
      <c r="T152" s="140">
        <f t="shared" si="181"/>
        <v>0.21589728221823762</v>
      </c>
      <c r="U152" s="140">
        <f t="shared" si="181"/>
        <v>0.22458508838520844</v>
      </c>
      <c r="V152" s="140">
        <f t="shared" si="181"/>
        <v>0.19576217956187433</v>
      </c>
      <c r="W152" s="140">
        <f t="shared" si="181"/>
        <v>0.20322253775326427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0.74896680751653189</v>
      </c>
      <c r="C153" s="127">
        <f t="shared" ref="C153:W153" si="182">IF(C61=0,0,C61/C$59)</f>
        <v>0.74187200231853778</v>
      </c>
      <c r="D153" s="127">
        <f t="shared" si="182"/>
        <v>0.75747296695683819</v>
      </c>
      <c r="E153" s="127">
        <f t="shared" si="182"/>
        <v>0.75859316246317676</v>
      </c>
      <c r="F153" s="127">
        <f t="shared" si="182"/>
        <v>0.78502606958884913</v>
      </c>
      <c r="G153" s="127">
        <f t="shared" si="182"/>
        <v>0.80804036845125216</v>
      </c>
      <c r="H153" s="127">
        <f t="shared" si="182"/>
        <v>0.81299636863836622</v>
      </c>
      <c r="I153" s="127">
        <f t="shared" si="182"/>
        <v>0.81889396599807118</v>
      </c>
      <c r="J153" s="127">
        <f t="shared" si="182"/>
        <v>0.82065218526018124</v>
      </c>
      <c r="K153" s="127">
        <f t="shared" si="182"/>
        <v>0.82275229218642743</v>
      </c>
      <c r="L153" s="127">
        <f t="shared" si="182"/>
        <v>0.80641783407615253</v>
      </c>
      <c r="M153" s="127">
        <f t="shared" si="182"/>
        <v>0.82040101826971301</v>
      </c>
      <c r="N153" s="127">
        <f t="shared" si="182"/>
        <v>0.80509112504347391</v>
      </c>
      <c r="O153" s="127">
        <f t="shared" si="182"/>
        <v>0.796481556809573</v>
      </c>
      <c r="P153" s="127">
        <f t="shared" si="182"/>
        <v>0.78914029850930045</v>
      </c>
      <c r="Q153" s="127">
        <f t="shared" si="182"/>
        <v>0.78101773145962949</v>
      </c>
      <c r="R153" s="127">
        <f t="shared" si="182"/>
        <v>0.74979216958152917</v>
      </c>
      <c r="S153" s="127">
        <f t="shared" si="182"/>
        <v>0.77183334939267079</v>
      </c>
      <c r="T153" s="127">
        <f t="shared" si="182"/>
        <v>0.78410271778176244</v>
      </c>
      <c r="U153" s="127">
        <f t="shared" si="182"/>
        <v>0.77541491161479148</v>
      </c>
      <c r="V153" s="127">
        <f t="shared" si="182"/>
        <v>0.80423782043812564</v>
      </c>
      <c r="W153" s="127">
        <f t="shared" si="182"/>
        <v>0.79677746224673573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0.81025346260879982</v>
      </c>
      <c r="C157" s="139">
        <f t="shared" ref="C157:W157" si="185">IF(C65=0,0,C65/C$64)</f>
        <v>0.82484506929410273</v>
      </c>
      <c r="D157" s="139">
        <f t="shared" si="185"/>
        <v>0.85179691647244093</v>
      </c>
      <c r="E157" s="139">
        <f t="shared" si="185"/>
        <v>0.84720121157615358</v>
      </c>
      <c r="F157" s="139">
        <f t="shared" si="185"/>
        <v>0.8523358242875233</v>
      </c>
      <c r="G157" s="139">
        <f t="shared" si="185"/>
        <v>0.85475553653192293</v>
      </c>
      <c r="H157" s="139">
        <f t="shared" si="185"/>
        <v>0.86296474950107782</v>
      </c>
      <c r="I157" s="139">
        <f t="shared" si="185"/>
        <v>0.86093805087435638</v>
      </c>
      <c r="J157" s="139">
        <f t="shared" si="185"/>
        <v>0.84919840409528125</v>
      </c>
      <c r="K157" s="139">
        <f t="shared" si="185"/>
        <v>0.84991880961849953</v>
      </c>
      <c r="L157" s="139">
        <f t="shared" si="185"/>
        <v>0.84108328377225794</v>
      </c>
      <c r="M157" s="139">
        <f t="shared" si="185"/>
        <v>0.82904709789708542</v>
      </c>
      <c r="N157" s="139">
        <f t="shared" si="185"/>
        <v>0.83207228766752184</v>
      </c>
      <c r="O157" s="139">
        <f t="shared" si="185"/>
        <v>0.83465754008035153</v>
      </c>
      <c r="P157" s="139">
        <f t="shared" si="185"/>
        <v>0.82932145325206685</v>
      </c>
      <c r="Q157" s="139">
        <f t="shared" si="185"/>
        <v>0.82780203414323461</v>
      </c>
      <c r="R157" s="139">
        <f t="shared" si="185"/>
        <v>0.82092003921031942</v>
      </c>
      <c r="S157" s="139">
        <f t="shared" si="185"/>
        <v>0.79995475592473075</v>
      </c>
      <c r="T157" s="139">
        <f t="shared" si="185"/>
        <v>0.78944934992166449</v>
      </c>
      <c r="U157" s="139">
        <f t="shared" si="185"/>
        <v>0.7818623514647064</v>
      </c>
      <c r="V157" s="139">
        <f t="shared" si="185"/>
        <v>0.86020527499999277</v>
      </c>
      <c r="W157" s="139">
        <f t="shared" si="185"/>
        <v>0.8354503765763599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8.2998042876317457E-3</v>
      </c>
      <c r="C158" s="140">
        <f t="shared" ref="C158:W158" si="186">IF(C66=0,0,C66/C$64)</f>
        <v>8.6294732155174272E-3</v>
      </c>
      <c r="D158" s="140">
        <f t="shared" si="186"/>
        <v>9.4063605499631973E-3</v>
      </c>
      <c r="E158" s="140">
        <f t="shared" si="186"/>
        <v>9.4324023418418963E-3</v>
      </c>
      <c r="F158" s="140">
        <f t="shared" si="186"/>
        <v>9.4338463114551994E-3</v>
      </c>
      <c r="G158" s="140">
        <f t="shared" si="186"/>
        <v>9.4173953200233224E-3</v>
      </c>
      <c r="H158" s="140">
        <f t="shared" si="186"/>
        <v>9.5654723855136212E-3</v>
      </c>
      <c r="I158" s="140">
        <f t="shared" si="186"/>
        <v>9.5025761009859683E-3</v>
      </c>
      <c r="J158" s="140">
        <f t="shared" si="186"/>
        <v>9.0994896177098664E-3</v>
      </c>
      <c r="K158" s="140">
        <f t="shared" si="186"/>
        <v>8.8532822027834503E-3</v>
      </c>
      <c r="L158" s="140">
        <f t="shared" si="186"/>
        <v>8.4016809091156368E-3</v>
      </c>
      <c r="M158" s="140">
        <f t="shared" si="186"/>
        <v>8.2521987693425589E-3</v>
      </c>
      <c r="N158" s="140">
        <f t="shared" si="186"/>
        <v>8.1364486002602904E-3</v>
      </c>
      <c r="O158" s="140">
        <f t="shared" si="186"/>
        <v>7.9980261754760713E-3</v>
      </c>
      <c r="P158" s="140">
        <f t="shared" si="186"/>
        <v>8.281115524688399E-3</v>
      </c>
      <c r="Q158" s="140">
        <f t="shared" si="186"/>
        <v>7.7860860355394692E-3</v>
      </c>
      <c r="R158" s="140">
        <f t="shared" si="186"/>
        <v>7.7627081794356522E-3</v>
      </c>
      <c r="S158" s="140">
        <f t="shared" si="186"/>
        <v>7.386264751694638E-3</v>
      </c>
      <c r="T158" s="140">
        <f t="shared" si="186"/>
        <v>6.9448646483994819E-3</v>
      </c>
      <c r="U158" s="140">
        <f t="shared" si="186"/>
        <v>7.4598603846370969E-3</v>
      </c>
      <c r="V158" s="140">
        <f t="shared" si="186"/>
        <v>8.6324902452123882E-3</v>
      </c>
      <c r="W158" s="140">
        <f t="shared" si="186"/>
        <v>7.7752404646884892E-3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0.74398174184337662</v>
      </c>
      <c r="C159" s="140">
        <f t="shared" ref="C159:W159" si="187">IF(C67=0,0,C67/C$64)</f>
        <v>0.75849419897609405</v>
      </c>
      <c r="D159" s="140">
        <f t="shared" si="187"/>
        <v>0.782586417740055</v>
      </c>
      <c r="E159" s="140">
        <f t="shared" si="187"/>
        <v>0.7784138718558925</v>
      </c>
      <c r="F159" s="140">
        <f t="shared" si="187"/>
        <v>0.78369685761242058</v>
      </c>
      <c r="G159" s="140">
        <f t="shared" si="187"/>
        <v>0.78468478906647121</v>
      </c>
      <c r="H159" s="140">
        <f t="shared" si="187"/>
        <v>0.79483293811177391</v>
      </c>
      <c r="I159" s="140">
        <f t="shared" si="187"/>
        <v>0.79556804388641233</v>
      </c>
      <c r="J159" s="140">
        <f t="shared" si="187"/>
        <v>0.78495496351244343</v>
      </c>
      <c r="K159" s="140">
        <f t="shared" si="187"/>
        <v>0.78692575712732016</v>
      </c>
      <c r="L159" s="140">
        <f t="shared" si="187"/>
        <v>0.77868521911788635</v>
      </c>
      <c r="M159" s="140">
        <f t="shared" si="187"/>
        <v>0.76867331591337917</v>
      </c>
      <c r="N159" s="140">
        <f t="shared" si="187"/>
        <v>0.77180833716552455</v>
      </c>
      <c r="O159" s="140">
        <f t="shared" si="187"/>
        <v>0.77421450657092383</v>
      </c>
      <c r="P159" s="140">
        <f t="shared" si="187"/>
        <v>0.76925803890040934</v>
      </c>
      <c r="Q159" s="140">
        <f t="shared" si="187"/>
        <v>0.76724943970514059</v>
      </c>
      <c r="R159" s="140">
        <f t="shared" si="187"/>
        <v>0.76192729319275954</v>
      </c>
      <c r="S159" s="140">
        <f t="shared" si="187"/>
        <v>0.73878536842350695</v>
      </c>
      <c r="T159" s="140">
        <f t="shared" si="187"/>
        <v>0.72607597031103499</v>
      </c>
      <c r="U159" s="140">
        <f t="shared" si="187"/>
        <v>0.71662715517755937</v>
      </c>
      <c r="V159" s="140">
        <f t="shared" si="187"/>
        <v>0.7777501604035939</v>
      </c>
      <c r="W159" s="140">
        <f t="shared" si="187"/>
        <v>0.75735261496439044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5.7971916477791437E-2</v>
      </c>
      <c r="C160" s="140">
        <f t="shared" ref="C160:W160" si="188">IF(C68=0,0,C68/C$64)</f>
        <v>5.7721397102491266E-2</v>
      </c>
      <c r="D160" s="140">
        <f t="shared" si="188"/>
        <v>5.9804138182422785E-2</v>
      </c>
      <c r="E160" s="140">
        <f t="shared" si="188"/>
        <v>5.9354937378419043E-2</v>
      </c>
      <c r="F160" s="140">
        <f t="shared" si="188"/>
        <v>5.9205120363647591E-2</v>
      </c>
      <c r="G160" s="140">
        <f t="shared" si="188"/>
        <v>6.0653352145428489E-2</v>
      </c>
      <c r="H160" s="140">
        <f t="shared" si="188"/>
        <v>5.8566339003790213E-2</v>
      </c>
      <c r="I160" s="140">
        <f t="shared" si="188"/>
        <v>5.5867430886958121E-2</v>
      </c>
      <c r="J160" s="140">
        <f t="shared" si="188"/>
        <v>5.5143950965127891E-2</v>
      </c>
      <c r="K160" s="140">
        <f t="shared" si="188"/>
        <v>5.4139770288395901E-2</v>
      </c>
      <c r="L160" s="140">
        <f t="shared" si="188"/>
        <v>5.3996383745255908E-2</v>
      </c>
      <c r="M160" s="140">
        <f t="shared" si="188"/>
        <v>5.2121583214363762E-2</v>
      </c>
      <c r="N160" s="140">
        <f t="shared" si="188"/>
        <v>5.2127501901736949E-2</v>
      </c>
      <c r="O160" s="140">
        <f t="shared" si="188"/>
        <v>5.2445007333951625E-2</v>
      </c>
      <c r="P160" s="140">
        <f t="shared" si="188"/>
        <v>5.1782298826969178E-2</v>
      </c>
      <c r="Q160" s="140">
        <f t="shared" si="188"/>
        <v>5.2766508402554688E-2</v>
      </c>
      <c r="R160" s="140">
        <f t="shared" si="188"/>
        <v>5.123003783812434E-2</v>
      </c>
      <c r="S160" s="140">
        <f t="shared" si="188"/>
        <v>5.3783122749529177E-2</v>
      </c>
      <c r="T160" s="140">
        <f t="shared" si="188"/>
        <v>5.6428514962229989E-2</v>
      </c>
      <c r="U160" s="140">
        <f t="shared" si="188"/>
        <v>5.777533590250996E-2</v>
      </c>
      <c r="V160" s="140">
        <f t="shared" si="188"/>
        <v>7.3822624351186458E-2</v>
      </c>
      <c r="W160" s="140">
        <f t="shared" si="188"/>
        <v>7.0322521147281034E-2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2.6939948071520513E-3</v>
      </c>
      <c r="C161" s="124">
        <f t="shared" ref="C161:W161" si="189">IF(C69=0,0,C69/C$64)</f>
        <v>2.5955194171172927E-3</v>
      </c>
      <c r="D161" s="124">
        <f t="shared" si="189"/>
        <v>2.8563931434079344E-3</v>
      </c>
      <c r="E161" s="124">
        <f t="shared" si="189"/>
        <v>2.969568077436631E-3</v>
      </c>
      <c r="F161" s="124">
        <f t="shared" si="189"/>
        <v>2.806527002078338E-3</v>
      </c>
      <c r="G161" s="124">
        <f t="shared" si="189"/>
        <v>2.9301033088680677E-3</v>
      </c>
      <c r="H161" s="124">
        <f t="shared" si="189"/>
        <v>3.7608941927394571E-3</v>
      </c>
      <c r="I161" s="124">
        <f t="shared" si="189"/>
        <v>3.7803156753591482E-3</v>
      </c>
      <c r="J161" s="124">
        <f t="shared" si="189"/>
        <v>3.7438247788990726E-3</v>
      </c>
      <c r="K161" s="124">
        <f t="shared" si="189"/>
        <v>3.5197267792424955E-3</v>
      </c>
      <c r="L161" s="124">
        <f t="shared" si="189"/>
        <v>3.1613053635052659E-3</v>
      </c>
      <c r="M161" s="124">
        <f t="shared" si="189"/>
        <v>3.1166759306666646E-3</v>
      </c>
      <c r="N161" s="124">
        <f t="shared" si="189"/>
        <v>3.6143332669150516E-3</v>
      </c>
      <c r="O161" s="124">
        <f t="shared" si="189"/>
        <v>2.8241146725846624E-3</v>
      </c>
      <c r="P161" s="124">
        <f t="shared" si="189"/>
        <v>2.0380947177205547E-3</v>
      </c>
      <c r="Q161" s="124">
        <f t="shared" si="189"/>
        <v>2.0532646959788639E-3</v>
      </c>
      <c r="R161" s="124">
        <f t="shared" si="189"/>
        <v>2.1525777536966287E-3</v>
      </c>
      <c r="S161" s="124">
        <f t="shared" si="189"/>
        <v>2.3564443930880145E-3</v>
      </c>
      <c r="T161" s="124">
        <f t="shared" si="189"/>
        <v>1.7954335920531731E-3</v>
      </c>
      <c r="U161" s="124">
        <f t="shared" si="189"/>
        <v>1.7176128976845095E-3</v>
      </c>
      <c r="V161" s="124">
        <f t="shared" si="189"/>
        <v>1.7407374557150718E-3</v>
      </c>
      <c r="W161" s="124">
        <f t="shared" si="189"/>
        <v>1.5412962910125684E-3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2.6939948071520513E-3</v>
      </c>
      <c r="C163" s="140">
        <f t="shared" ref="C163:W163" si="191">IF(C71=0,0,C71/C$64)</f>
        <v>2.5955194171172927E-3</v>
      </c>
      <c r="D163" s="140">
        <f t="shared" si="191"/>
        <v>2.8563931434079344E-3</v>
      </c>
      <c r="E163" s="140">
        <f t="shared" si="191"/>
        <v>2.969568077436631E-3</v>
      </c>
      <c r="F163" s="140">
        <f t="shared" si="191"/>
        <v>2.806527002078338E-3</v>
      </c>
      <c r="G163" s="140">
        <f t="shared" si="191"/>
        <v>2.9301033088680677E-3</v>
      </c>
      <c r="H163" s="140">
        <f t="shared" si="191"/>
        <v>3.7608941927394571E-3</v>
      </c>
      <c r="I163" s="140">
        <f t="shared" si="191"/>
        <v>3.7803156753591482E-3</v>
      </c>
      <c r="J163" s="140">
        <f t="shared" si="191"/>
        <v>3.7438247788990726E-3</v>
      </c>
      <c r="K163" s="140">
        <f t="shared" si="191"/>
        <v>3.5197267792424955E-3</v>
      </c>
      <c r="L163" s="140">
        <f t="shared" si="191"/>
        <v>3.1613053635052659E-3</v>
      </c>
      <c r="M163" s="140">
        <f t="shared" si="191"/>
        <v>3.1166759306666646E-3</v>
      </c>
      <c r="N163" s="140">
        <f t="shared" si="191"/>
        <v>3.6143332669150516E-3</v>
      </c>
      <c r="O163" s="140">
        <f t="shared" si="191"/>
        <v>2.8241146725846624E-3</v>
      </c>
      <c r="P163" s="140">
        <f t="shared" si="191"/>
        <v>2.0380947177205547E-3</v>
      </c>
      <c r="Q163" s="140">
        <f t="shared" si="191"/>
        <v>2.0532646959788639E-3</v>
      </c>
      <c r="R163" s="140">
        <f t="shared" si="191"/>
        <v>2.1525777536966287E-3</v>
      </c>
      <c r="S163" s="140">
        <f t="shared" si="191"/>
        <v>2.3564443930880145E-3</v>
      </c>
      <c r="T163" s="140">
        <f t="shared" si="191"/>
        <v>1.7954335920531731E-3</v>
      </c>
      <c r="U163" s="140">
        <f t="shared" si="191"/>
        <v>1.7176128976845095E-3</v>
      </c>
      <c r="V163" s="140">
        <f t="shared" si="191"/>
        <v>1.7407374557150718E-3</v>
      </c>
      <c r="W163" s="140">
        <f t="shared" si="191"/>
        <v>1.5412962910125684E-3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0.18705254258404819</v>
      </c>
      <c r="C165" s="124">
        <f t="shared" ref="C165:W165" si="193">IF(C73=0,0,C73/C$64)</f>
        <v>0.17255941128878002</v>
      </c>
      <c r="D165" s="124">
        <f t="shared" si="193"/>
        <v>0.14534669038415113</v>
      </c>
      <c r="E165" s="124">
        <f t="shared" si="193"/>
        <v>0.14982922034640989</v>
      </c>
      <c r="F165" s="124">
        <f t="shared" si="193"/>
        <v>0.14485764871039827</v>
      </c>
      <c r="G165" s="124">
        <f t="shared" si="193"/>
        <v>0.14231436015920898</v>
      </c>
      <c r="H165" s="124">
        <f t="shared" si="193"/>
        <v>0.13327435630618276</v>
      </c>
      <c r="I165" s="124">
        <f t="shared" si="193"/>
        <v>0.13528163345028441</v>
      </c>
      <c r="J165" s="124">
        <f t="shared" si="193"/>
        <v>0.14705777112581953</v>
      </c>
      <c r="K165" s="124">
        <f t="shared" si="193"/>
        <v>0.146561463602258</v>
      </c>
      <c r="L165" s="124">
        <f t="shared" si="193"/>
        <v>0.15575541086423683</v>
      </c>
      <c r="M165" s="124">
        <f t="shared" si="193"/>
        <v>0.16783622617224786</v>
      </c>
      <c r="N165" s="124">
        <f t="shared" si="193"/>
        <v>0.16431337906556309</v>
      </c>
      <c r="O165" s="124">
        <f t="shared" si="193"/>
        <v>0.16251834524706379</v>
      </c>
      <c r="P165" s="124">
        <f t="shared" si="193"/>
        <v>0.16864045203021263</v>
      </c>
      <c r="Q165" s="124">
        <f t="shared" si="193"/>
        <v>0.1701447011607865</v>
      </c>
      <c r="R165" s="124">
        <f t="shared" si="193"/>
        <v>0.17692738303598385</v>
      </c>
      <c r="S165" s="124">
        <f t="shared" si="193"/>
        <v>0.19768879968218123</v>
      </c>
      <c r="T165" s="124">
        <f t="shared" si="193"/>
        <v>0.20875521648628237</v>
      </c>
      <c r="U165" s="124">
        <f t="shared" si="193"/>
        <v>0.21642003563760911</v>
      </c>
      <c r="V165" s="124">
        <f t="shared" si="193"/>
        <v>0.13805398754429213</v>
      </c>
      <c r="W165" s="124">
        <f t="shared" si="193"/>
        <v>0.16300832713262742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0</v>
      </c>
      <c r="C166" s="140">
        <f t="shared" ref="C166:W166" si="194">IF(C74=0,0,C74/C$64)</f>
        <v>0</v>
      </c>
      <c r="D166" s="140">
        <f t="shared" si="194"/>
        <v>0</v>
      </c>
      <c r="E166" s="140">
        <f t="shared" si="194"/>
        <v>0</v>
      </c>
      <c r="F166" s="140">
        <f t="shared" si="194"/>
        <v>0</v>
      </c>
      <c r="G166" s="140">
        <f t="shared" si="194"/>
        <v>0</v>
      </c>
      <c r="H166" s="140">
        <f t="shared" si="194"/>
        <v>0</v>
      </c>
      <c r="I166" s="140">
        <f t="shared" si="194"/>
        <v>0</v>
      </c>
      <c r="J166" s="140">
        <f t="shared" si="194"/>
        <v>0</v>
      </c>
      <c r="K166" s="140">
        <f t="shared" si="194"/>
        <v>0</v>
      </c>
      <c r="L166" s="140">
        <f t="shared" si="194"/>
        <v>0</v>
      </c>
      <c r="M166" s="140">
        <f t="shared" si="194"/>
        <v>0</v>
      </c>
      <c r="N166" s="140">
        <f t="shared" si="194"/>
        <v>0</v>
      </c>
      <c r="O166" s="140">
        <f t="shared" si="194"/>
        <v>0</v>
      </c>
      <c r="P166" s="140">
        <f t="shared" si="194"/>
        <v>0</v>
      </c>
      <c r="Q166" s="140">
        <f t="shared" si="194"/>
        <v>0</v>
      </c>
      <c r="R166" s="140">
        <f t="shared" si="194"/>
        <v>0</v>
      </c>
      <c r="S166" s="140">
        <f t="shared" si="194"/>
        <v>0</v>
      </c>
      <c r="T166" s="140">
        <f t="shared" si="194"/>
        <v>0</v>
      </c>
      <c r="U166" s="140">
        <f t="shared" si="194"/>
        <v>0</v>
      </c>
      <c r="V166" s="140">
        <f t="shared" si="194"/>
        <v>0</v>
      </c>
      <c r="W166" s="140">
        <f t="shared" si="194"/>
        <v>0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0.10133852673804883</v>
      </c>
      <c r="C167" s="140">
        <f t="shared" ref="C167:W167" si="195">IF(C75=0,0,C75/C$64)</f>
        <v>9.4347942421874664E-2</v>
      </c>
      <c r="D167" s="140">
        <f t="shared" si="195"/>
        <v>8.0550908264284168E-2</v>
      </c>
      <c r="E167" s="140">
        <f t="shared" si="195"/>
        <v>8.2953000578501204E-2</v>
      </c>
      <c r="F167" s="140">
        <f t="shared" si="195"/>
        <v>7.7511719728188253E-2</v>
      </c>
      <c r="G167" s="140">
        <f t="shared" si="195"/>
        <v>7.6219857120735507E-2</v>
      </c>
      <c r="H167" s="140">
        <f t="shared" si="195"/>
        <v>7.2162156834708821E-2</v>
      </c>
      <c r="I167" s="140">
        <f t="shared" si="195"/>
        <v>7.4228863560129005E-2</v>
      </c>
      <c r="J167" s="140">
        <f t="shared" si="195"/>
        <v>7.931167139161624E-2</v>
      </c>
      <c r="K167" s="140">
        <f t="shared" si="195"/>
        <v>7.6680116229507114E-2</v>
      </c>
      <c r="L167" s="140">
        <f t="shared" si="195"/>
        <v>8.1112562468895477E-2</v>
      </c>
      <c r="M167" s="140">
        <f t="shared" si="195"/>
        <v>8.7167442427624489E-2</v>
      </c>
      <c r="N167" s="140">
        <f t="shared" si="195"/>
        <v>8.4236441757835082E-2</v>
      </c>
      <c r="O167" s="140">
        <f t="shared" si="195"/>
        <v>8.2869430337712852E-2</v>
      </c>
      <c r="P167" s="140">
        <f t="shared" si="195"/>
        <v>8.6451479974317957E-2</v>
      </c>
      <c r="Q167" s="140">
        <f t="shared" si="195"/>
        <v>8.7837453269058716E-2</v>
      </c>
      <c r="R167" s="140">
        <f t="shared" si="195"/>
        <v>9.3711014869656217E-2</v>
      </c>
      <c r="S167" s="140">
        <f t="shared" si="195"/>
        <v>0.10672529919549818</v>
      </c>
      <c r="T167" s="140">
        <f t="shared" si="195"/>
        <v>0.11189687192975177</v>
      </c>
      <c r="U167" s="140">
        <f t="shared" si="195"/>
        <v>0.11320181170553122</v>
      </c>
      <c r="V167" s="140">
        <f t="shared" si="195"/>
        <v>6.7026856327611711E-2</v>
      </c>
      <c r="W167" s="140">
        <f t="shared" si="195"/>
        <v>8.5787975515281736E-2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8.5714015845999358E-2</v>
      </c>
      <c r="C168" s="140">
        <f t="shared" ref="C168:W168" si="196">IF(C76=0,0,C76/C$64)</f>
        <v>7.8211468866905359E-2</v>
      </c>
      <c r="D168" s="140">
        <f t="shared" si="196"/>
        <v>6.4795782119866974E-2</v>
      </c>
      <c r="E168" s="140">
        <f t="shared" si="196"/>
        <v>6.6876219767908682E-2</v>
      </c>
      <c r="F168" s="140">
        <f t="shared" si="196"/>
        <v>6.7345928982210035E-2</v>
      </c>
      <c r="G168" s="140">
        <f t="shared" si="196"/>
        <v>6.6094503038473473E-2</v>
      </c>
      <c r="H168" s="140">
        <f t="shared" si="196"/>
        <v>6.1112199471473928E-2</v>
      </c>
      <c r="I168" s="140">
        <f t="shared" si="196"/>
        <v>6.1052769890155408E-2</v>
      </c>
      <c r="J168" s="140">
        <f t="shared" si="196"/>
        <v>6.7746099734203286E-2</v>
      </c>
      <c r="K168" s="140">
        <f t="shared" si="196"/>
        <v>6.9881347372750868E-2</v>
      </c>
      <c r="L168" s="140">
        <f t="shared" si="196"/>
        <v>7.4642848395341355E-2</v>
      </c>
      <c r="M168" s="140">
        <f t="shared" si="196"/>
        <v>8.0668783744623385E-2</v>
      </c>
      <c r="N168" s="140">
        <f t="shared" si="196"/>
        <v>8.0076937307728011E-2</v>
      </c>
      <c r="O168" s="140">
        <f t="shared" si="196"/>
        <v>7.9648914909350957E-2</v>
      </c>
      <c r="P168" s="140">
        <f t="shared" si="196"/>
        <v>8.2188972055894677E-2</v>
      </c>
      <c r="Q168" s="140">
        <f t="shared" si="196"/>
        <v>8.2307247891727761E-2</v>
      </c>
      <c r="R168" s="140">
        <f t="shared" si="196"/>
        <v>8.3216368166327645E-2</v>
      </c>
      <c r="S168" s="140">
        <f t="shared" si="196"/>
        <v>9.0963500486683044E-2</v>
      </c>
      <c r="T168" s="140">
        <f t="shared" si="196"/>
        <v>9.6858344556530585E-2</v>
      </c>
      <c r="U168" s="140">
        <f t="shared" si="196"/>
        <v>0.10321822393207794</v>
      </c>
      <c r="V168" s="140">
        <f t="shared" si="196"/>
        <v>7.1027131216680417E-2</v>
      </c>
      <c r="W168" s="140">
        <f t="shared" si="196"/>
        <v>7.7220351617345681E-2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0.79530003587660192</v>
      </c>
      <c r="C170" s="139">
        <f t="shared" ref="C170:W170" si="199">IF(C78=0,0,C78/C$77)</f>
        <v>0.8240366630035183</v>
      </c>
      <c r="D170" s="139">
        <f t="shared" si="199"/>
        <v>0.83950260657796272</v>
      </c>
      <c r="E170" s="139">
        <f t="shared" si="199"/>
        <v>0.82155623762783148</v>
      </c>
      <c r="F170" s="139">
        <f t="shared" si="199"/>
        <v>0.84512930572986045</v>
      </c>
      <c r="G170" s="139">
        <f t="shared" si="199"/>
        <v>0.84956705678704292</v>
      </c>
      <c r="H170" s="139">
        <f t="shared" si="199"/>
        <v>0.84894481093581931</v>
      </c>
      <c r="I170" s="139">
        <f t="shared" si="199"/>
        <v>0.83580731921928397</v>
      </c>
      <c r="J170" s="139">
        <f t="shared" si="199"/>
        <v>0.83527759102468824</v>
      </c>
      <c r="K170" s="139">
        <f t="shared" si="199"/>
        <v>0.86603663446730073</v>
      </c>
      <c r="L170" s="139">
        <f t="shared" si="199"/>
        <v>0.84292838583757601</v>
      </c>
      <c r="M170" s="139">
        <f t="shared" si="199"/>
        <v>0.84217611150764515</v>
      </c>
      <c r="N170" s="139">
        <f t="shared" si="199"/>
        <v>0.85438769491882816</v>
      </c>
      <c r="O170" s="139">
        <f t="shared" si="199"/>
        <v>0.86206605161352656</v>
      </c>
      <c r="P170" s="139">
        <f t="shared" si="199"/>
        <v>0.86740516554417679</v>
      </c>
      <c r="Q170" s="139">
        <f t="shared" si="199"/>
        <v>0.86645910309780272</v>
      </c>
      <c r="R170" s="139">
        <f t="shared" si="199"/>
        <v>0.87665444096446199</v>
      </c>
      <c r="S170" s="139">
        <f t="shared" si="199"/>
        <v>0.86956355682136544</v>
      </c>
      <c r="T170" s="139">
        <f t="shared" si="199"/>
        <v>0.86523613492142493</v>
      </c>
      <c r="U170" s="139">
        <f t="shared" si="199"/>
        <v>0.87133915201263079</v>
      </c>
      <c r="V170" s="139">
        <f t="shared" si="199"/>
        <v>0.79767517425750811</v>
      </c>
      <c r="W170" s="139">
        <f t="shared" si="199"/>
        <v>0.79578013203382691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0.39864991514376813</v>
      </c>
      <c r="C171" s="140">
        <f t="shared" ref="C171:W171" si="200">IF(C79=0,0,C79/C$77)</f>
        <v>0.37858212545180159</v>
      </c>
      <c r="D171" s="140">
        <f t="shared" si="200"/>
        <v>0.38965962158487311</v>
      </c>
      <c r="E171" s="140">
        <f t="shared" si="200"/>
        <v>0.37699040873057044</v>
      </c>
      <c r="F171" s="140">
        <f t="shared" si="200"/>
        <v>0.37091483193845254</v>
      </c>
      <c r="G171" s="140">
        <f t="shared" si="200"/>
        <v>0.37627702001677166</v>
      </c>
      <c r="H171" s="140">
        <f t="shared" si="200"/>
        <v>0.36849079189682837</v>
      </c>
      <c r="I171" s="140">
        <f t="shared" si="200"/>
        <v>0.36545592595608634</v>
      </c>
      <c r="J171" s="140">
        <f t="shared" si="200"/>
        <v>0.37559506834626061</v>
      </c>
      <c r="K171" s="140">
        <f t="shared" si="200"/>
        <v>0.39542747628017089</v>
      </c>
      <c r="L171" s="140">
        <f t="shared" si="200"/>
        <v>0.38017757055376888</v>
      </c>
      <c r="M171" s="140">
        <f t="shared" si="200"/>
        <v>0.38369420673913307</v>
      </c>
      <c r="N171" s="140">
        <f t="shared" si="200"/>
        <v>0.39524558048629999</v>
      </c>
      <c r="O171" s="140">
        <f t="shared" si="200"/>
        <v>0.37519980432407585</v>
      </c>
      <c r="P171" s="140">
        <f t="shared" si="200"/>
        <v>0.38100832352420172</v>
      </c>
      <c r="Q171" s="140">
        <f t="shared" si="200"/>
        <v>0.36739095445753145</v>
      </c>
      <c r="R171" s="140">
        <f t="shared" si="200"/>
        <v>0.32851780576343131</v>
      </c>
      <c r="S171" s="140">
        <f t="shared" si="200"/>
        <v>0.29402995124804387</v>
      </c>
      <c r="T171" s="140">
        <f t="shared" si="200"/>
        <v>0.27980372916153329</v>
      </c>
      <c r="U171" s="140">
        <f t="shared" si="200"/>
        <v>0.28219135014316665</v>
      </c>
      <c r="V171" s="140">
        <f t="shared" si="200"/>
        <v>0.26186968990593529</v>
      </c>
      <c r="W171" s="140">
        <f t="shared" si="200"/>
        <v>0.26343051759209241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0.39665012073283379</v>
      </c>
      <c r="C172" s="140">
        <f t="shared" ref="C172:W172" si="201">IF(C80=0,0,C80/C$77)</f>
        <v>0.44545453755171671</v>
      </c>
      <c r="D172" s="140">
        <f t="shared" si="201"/>
        <v>0.44984298499308972</v>
      </c>
      <c r="E172" s="140">
        <f t="shared" si="201"/>
        <v>0.44456582889726104</v>
      </c>
      <c r="F172" s="140">
        <f t="shared" si="201"/>
        <v>0.47421447379140796</v>
      </c>
      <c r="G172" s="140">
        <f t="shared" si="201"/>
        <v>0.47329003677027132</v>
      </c>
      <c r="H172" s="140">
        <f t="shared" si="201"/>
        <v>0.48045401903899104</v>
      </c>
      <c r="I172" s="140">
        <f t="shared" si="201"/>
        <v>0.47035139326319758</v>
      </c>
      <c r="J172" s="140">
        <f t="shared" si="201"/>
        <v>0.45968252267842763</v>
      </c>
      <c r="K172" s="140">
        <f t="shared" si="201"/>
        <v>0.47060915818712984</v>
      </c>
      <c r="L172" s="140">
        <f t="shared" si="201"/>
        <v>0.46275081528380707</v>
      </c>
      <c r="M172" s="140">
        <f t="shared" si="201"/>
        <v>0.45848190476851219</v>
      </c>
      <c r="N172" s="140">
        <f t="shared" si="201"/>
        <v>0.45914211443252811</v>
      </c>
      <c r="O172" s="140">
        <f t="shared" si="201"/>
        <v>0.48686624728945072</v>
      </c>
      <c r="P172" s="140">
        <f t="shared" si="201"/>
        <v>0.48639684201997518</v>
      </c>
      <c r="Q172" s="140">
        <f t="shared" si="201"/>
        <v>0.49906814864027127</v>
      </c>
      <c r="R172" s="140">
        <f t="shared" si="201"/>
        <v>0.54813663520103062</v>
      </c>
      <c r="S172" s="140">
        <f t="shared" si="201"/>
        <v>0.57553360557332145</v>
      </c>
      <c r="T172" s="140">
        <f t="shared" si="201"/>
        <v>0.58543240575989175</v>
      </c>
      <c r="U172" s="140">
        <f t="shared" si="201"/>
        <v>0.58914780186946414</v>
      </c>
      <c r="V172" s="140">
        <f t="shared" si="201"/>
        <v>0.53580548435157282</v>
      </c>
      <c r="W172" s="140">
        <f t="shared" si="201"/>
        <v>0.53234961444173456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1.3843743081403013E-2</v>
      </c>
      <c r="C173" s="124">
        <f t="shared" ref="C173:W173" si="202">IF(C81=0,0,C81/C$77)</f>
        <v>1.0983426545158395E-2</v>
      </c>
      <c r="D173" s="124">
        <f t="shared" si="202"/>
        <v>8.9786361556752192E-3</v>
      </c>
      <c r="E173" s="124">
        <f t="shared" si="202"/>
        <v>7.656592785909736E-3</v>
      </c>
      <c r="F173" s="124">
        <f t="shared" si="202"/>
        <v>7.040747461471728E-3</v>
      </c>
      <c r="G173" s="124">
        <f t="shared" si="202"/>
        <v>7.5560104295827159E-3</v>
      </c>
      <c r="H173" s="124">
        <f t="shared" si="202"/>
        <v>8.2545035847905023E-3</v>
      </c>
      <c r="I173" s="124">
        <f t="shared" si="202"/>
        <v>8.6055531091388127E-3</v>
      </c>
      <c r="J173" s="124">
        <f t="shared" si="202"/>
        <v>7.4676549454352065E-3</v>
      </c>
      <c r="K173" s="124">
        <f t="shared" si="202"/>
        <v>4.6231605585896913E-3</v>
      </c>
      <c r="L173" s="124">
        <f t="shared" si="202"/>
        <v>4.2053171141241113E-3</v>
      </c>
      <c r="M173" s="124">
        <f t="shared" si="202"/>
        <v>3.9900955653090963E-3</v>
      </c>
      <c r="N173" s="124">
        <f t="shared" si="202"/>
        <v>4.9619496864055871E-3</v>
      </c>
      <c r="O173" s="124">
        <f t="shared" si="202"/>
        <v>3.9232875500288698E-3</v>
      </c>
      <c r="P173" s="124">
        <f t="shared" si="202"/>
        <v>3.2627807259894104E-3</v>
      </c>
      <c r="Q173" s="124">
        <f t="shared" si="202"/>
        <v>2.8048738944759202E-3</v>
      </c>
      <c r="R173" s="124">
        <f t="shared" si="202"/>
        <v>2.8720801792259019E-3</v>
      </c>
      <c r="S173" s="124">
        <f t="shared" si="202"/>
        <v>3.1723427025964804E-3</v>
      </c>
      <c r="T173" s="124">
        <f t="shared" si="202"/>
        <v>4.0626303734352604E-3</v>
      </c>
      <c r="U173" s="124">
        <f t="shared" si="202"/>
        <v>4.2918510133158E-3</v>
      </c>
      <c r="V173" s="124">
        <f t="shared" si="202"/>
        <v>4.3576198629619433E-3</v>
      </c>
      <c r="W173" s="124">
        <f t="shared" si="202"/>
        <v>3.9439915817128359E-3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7.7148427084028567E-2</v>
      </c>
      <c r="C174" s="124">
        <f t="shared" ref="C174:W174" si="203">IF(C82=0,0,C82/C$77)</f>
        <v>6.2556024148200953E-2</v>
      </c>
      <c r="D174" s="124">
        <f t="shared" si="203"/>
        <v>6.0151003616231928E-2</v>
      </c>
      <c r="E174" s="124">
        <f t="shared" si="203"/>
        <v>7.2515937553599336E-2</v>
      </c>
      <c r="F174" s="124">
        <f t="shared" si="203"/>
        <v>6.7549958391894829E-2</v>
      </c>
      <c r="G174" s="124">
        <f t="shared" si="203"/>
        <v>6.8028015784626E-2</v>
      </c>
      <c r="H174" s="124">
        <f t="shared" si="203"/>
        <v>9.5924175718607424E-2</v>
      </c>
      <c r="I174" s="124">
        <f t="shared" si="203"/>
        <v>0.10882810507666457</v>
      </c>
      <c r="J174" s="124">
        <f t="shared" si="203"/>
        <v>0.1095030472013037</v>
      </c>
      <c r="K174" s="124">
        <f t="shared" si="203"/>
        <v>8.5122613888669096E-2</v>
      </c>
      <c r="L174" s="124">
        <f t="shared" si="203"/>
        <v>0.10074392764581716</v>
      </c>
      <c r="M174" s="124">
        <f t="shared" si="203"/>
        <v>0.10293964354497784</v>
      </c>
      <c r="N174" s="124">
        <f t="shared" si="203"/>
        <v>8.8696284599698388E-2</v>
      </c>
      <c r="O174" s="124">
        <f t="shared" si="203"/>
        <v>8.0702650887202784E-2</v>
      </c>
      <c r="P174" s="124">
        <f t="shared" si="203"/>
        <v>7.8803092338158617E-2</v>
      </c>
      <c r="Q174" s="124">
        <f t="shared" si="203"/>
        <v>8.7099188517961237E-2</v>
      </c>
      <c r="R174" s="124">
        <f t="shared" si="203"/>
        <v>7.9323464046240369E-2</v>
      </c>
      <c r="S174" s="124">
        <f t="shared" si="203"/>
        <v>8.6449175164764677E-2</v>
      </c>
      <c r="T174" s="124">
        <f t="shared" si="203"/>
        <v>9.1893951777754806E-2</v>
      </c>
      <c r="U174" s="124">
        <f t="shared" si="203"/>
        <v>8.7639660838946462E-2</v>
      </c>
      <c r="V174" s="124">
        <f t="shared" si="203"/>
        <v>0.16002964763289354</v>
      </c>
      <c r="W174" s="124">
        <f t="shared" si="203"/>
        <v>0.16754586634396998</v>
      </c>
      <c r="DA174" s="176"/>
    </row>
    <row r="175" spans="1:105" ht="11.45" customHeight="1" x14ac:dyDescent="0.25">
      <c r="A175" s="128" t="s">
        <v>27</v>
      </c>
      <c r="B175" s="140">
        <f t="shared" si="197"/>
        <v>0</v>
      </c>
      <c r="C175" s="140">
        <f t="shared" ref="C175:W175" si="204">IF(C83=0,0,C83/C$77)</f>
        <v>0</v>
      </c>
      <c r="D175" s="140">
        <f t="shared" si="204"/>
        <v>0</v>
      </c>
      <c r="E175" s="140">
        <f t="shared" si="204"/>
        <v>0</v>
      </c>
      <c r="F175" s="140">
        <f t="shared" si="204"/>
        <v>0</v>
      </c>
      <c r="G175" s="140">
        <f t="shared" si="204"/>
        <v>0</v>
      </c>
      <c r="H175" s="140">
        <f t="shared" si="204"/>
        <v>0</v>
      </c>
      <c r="I175" s="140">
        <f t="shared" si="204"/>
        <v>0</v>
      </c>
      <c r="J175" s="140">
        <f t="shared" si="204"/>
        <v>0</v>
      </c>
      <c r="K175" s="140">
        <f t="shared" si="204"/>
        <v>0</v>
      </c>
      <c r="L175" s="140">
        <f t="shared" si="204"/>
        <v>0</v>
      </c>
      <c r="M175" s="140">
        <f t="shared" si="204"/>
        <v>0</v>
      </c>
      <c r="N175" s="140">
        <f t="shared" si="204"/>
        <v>0</v>
      </c>
      <c r="O175" s="140">
        <f t="shared" si="204"/>
        <v>0</v>
      </c>
      <c r="P175" s="140">
        <f t="shared" si="204"/>
        <v>0</v>
      </c>
      <c r="Q175" s="140">
        <f t="shared" si="204"/>
        <v>0</v>
      </c>
      <c r="R175" s="140">
        <f t="shared" si="204"/>
        <v>0</v>
      </c>
      <c r="S175" s="140">
        <f t="shared" si="204"/>
        <v>0</v>
      </c>
      <c r="T175" s="140">
        <f t="shared" si="204"/>
        <v>0</v>
      </c>
      <c r="U175" s="140">
        <f t="shared" si="204"/>
        <v>0</v>
      </c>
      <c r="V175" s="140">
        <f t="shared" si="204"/>
        <v>0</v>
      </c>
      <c r="W175" s="140">
        <f t="shared" si="204"/>
        <v>0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2.2060104167585897E-2</v>
      </c>
      <c r="C176" s="140">
        <f t="shared" ref="C176:W176" si="205">IF(C84=0,0,C84/C$77)</f>
        <v>1.5606088353675149E-2</v>
      </c>
      <c r="D176" s="140">
        <f t="shared" si="205"/>
        <v>1.4530060845180881E-2</v>
      </c>
      <c r="E176" s="140">
        <f t="shared" si="205"/>
        <v>1.4113295402593456E-2</v>
      </c>
      <c r="F176" s="140">
        <f t="shared" si="205"/>
        <v>1.3195956927289912E-2</v>
      </c>
      <c r="G176" s="140">
        <f t="shared" si="205"/>
        <v>1.4473370882929529E-2</v>
      </c>
      <c r="H176" s="140">
        <f t="shared" si="205"/>
        <v>2.7032904681638111E-2</v>
      </c>
      <c r="I176" s="140">
        <f t="shared" si="205"/>
        <v>2.8292305681579113E-2</v>
      </c>
      <c r="J176" s="140">
        <f t="shared" si="205"/>
        <v>2.3441776956672274E-2</v>
      </c>
      <c r="K176" s="140">
        <f t="shared" si="205"/>
        <v>1.8357421738497925E-2</v>
      </c>
      <c r="L176" s="140">
        <f t="shared" si="205"/>
        <v>1.8653495648273982E-2</v>
      </c>
      <c r="M176" s="140">
        <f t="shared" si="205"/>
        <v>1.8330907960306887E-2</v>
      </c>
      <c r="N176" s="140">
        <f t="shared" si="205"/>
        <v>1.8225919559230686E-2</v>
      </c>
      <c r="O176" s="140">
        <f t="shared" si="205"/>
        <v>1.8042789123405151E-2</v>
      </c>
      <c r="P176" s="140">
        <f t="shared" si="205"/>
        <v>1.7504806487303595E-2</v>
      </c>
      <c r="Q176" s="140">
        <f t="shared" si="205"/>
        <v>1.7403706667400865E-2</v>
      </c>
      <c r="R176" s="140">
        <f t="shared" si="205"/>
        <v>1.5358013215400519E-2</v>
      </c>
      <c r="S176" s="140">
        <f t="shared" si="205"/>
        <v>1.8321393024380888E-2</v>
      </c>
      <c r="T176" s="140">
        <f t="shared" si="205"/>
        <v>2.1436670252681377E-2</v>
      </c>
      <c r="U176" s="140">
        <f t="shared" si="205"/>
        <v>2.1011549888625414E-2</v>
      </c>
      <c r="V176" s="140">
        <f t="shared" si="205"/>
        <v>3.2960086426069672E-2</v>
      </c>
      <c r="W176" s="140">
        <f t="shared" si="205"/>
        <v>3.9081532598000741E-2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5.5088322916442667E-2</v>
      </c>
      <c r="C177" s="140">
        <f t="shared" ref="C177:W177" si="206">IF(C85=0,0,C85/C$77)</f>
        <v>4.6949935794525798E-2</v>
      </c>
      <c r="D177" s="140">
        <f t="shared" si="206"/>
        <v>4.5620942771051047E-2</v>
      </c>
      <c r="E177" s="140">
        <f t="shared" si="206"/>
        <v>5.8402642151005886E-2</v>
      </c>
      <c r="F177" s="140">
        <f t="shared" si="206"/>
        <v>5.435400146460493E-2</v>
      </c>
      <c r="G177" s="140">
        <f t="shared" si="206"/>
        <v>5.3554644901696466E-2</v>
      </c>
      <c r="H177" s="140">
        <f t="shared" si="206"/>
        <v>6.8891271036969307E-2</v>
      </c>
      <c r="I177" s="140">
        <f t="shared" si="206"/>
        <v>8.0535799395085469E-2</v>
      </c>
      <c r="J177" s="140">
        <f t="shared" si="206"/>
        <v>8.6061270244631421E-2</v>
      </c>
      <c r="K177" s="140">
        <f t="shared" si="206"/>
        <v>6.6765192150171182E-2</v>
      </c>
      <c r="L177" s="140">
        <f t="shared" si="206"/>
        <v>8.2090431997543165E-2</v>
      </c>
      <c r="M177" s="140">
        <f t="shared" si="206"/>
        <v>8.4608735584670941E-2</v>
      </c>
      <c r="N177" s="140">
        <f t="shared" si="206"/>
        <v>7.0470365040467706E-2</v>
      </c>
      <c r="O177" s="140">
        <f t="shared" si="206"/>
        <v>6.265986176379762E-2</v>
      </c>
      <c r="P177" s="140">
        <f t="shared" si="206"/>
        <v>6.1298285850855026E-2</v>
      </c>
      <c r="Q177" s="140">
        <f t="shared" si="206"/>
        <v>6.9695481850560376E-2</v>
      </c>
      <c r="R177" s="140">
        <f t="shared" si="206"/>
        <v>6.3965450830839862E-2</v>
      </c>
      <c r="S177" s="140">
        <f t="shared" si="206"/>
        <v>6.8127782140383786E-2</v>
      </c>
      <c r="T177" s="140">
        <f t="shared" si="206"/>
        <v>7.0457281525073426E-2</v>
      </c>
      <c r="U177" s="140">
        <f t="shared" si="206"/>
        <v>6.6628110950321062E-2</v>
      </c>
      <c r="V177" s="140">
        <f t="shared" si="206"/>
        <v>0.12706956120682383</v>
      </c>
      <c r="W177" s="140">
        <f t="shared" si="206"/>
        <v>0.12846433374596922</v>
      </c>
      <c r="DA177" s="175"/>
    </row>
    <row r="178" spans="1:105" ht="11.45" customHeight="1" x14ac:dyDescent="0.25">
      <c r="A178" s="109" t="s">
        <v>142</v>
      </c>
      <c r="B178" s="124">
        <f t="shared" si="197"/>
        <v>0.11370779395796654</v>
      </c>
      <c r="C178" s="124">
        <f t="shared" ref="C178:W178" si="207">IF(C86=0,0,C86/C$77)</f>
        <v>0.10242388630312235</v>
      </c>
      <c r="D178" s="124">
        <f t="shared" si="207"/>
        <v>9.1367753650130196E-2</v>
      </c>
      <c r="E178" s="124">
        <f t="shared" si="207"/>
        <v>9.8271232032659361E-2</v>
      </c>
      <c r="F178" s="124">
        <f t="shared" si="207"/>
        <v>8.0279988416773113E-2</v>
      </c>
      <c r="G178" s="124">
        <f t="shared" si="207"/>
        <v>7.484891699874828E-2</v>
      </c>
      <c r="H178" s="124">
        <f t="shared" si="207"/>
        <v>4.687650976078267E-2</v>
      </c>
      <c r="I178" s="124">
        <f t="shared" si="207"/>
        <v>4.6759022594912679E-2</v>
      </c>
      <c r="J178" s="124">
        <f t="shared" si="207"/>
        <v>4.7751706828572958E-2</v>
      </c>
      <c r="K178" s="124">
        <f t="shared" si="207"/>
        <v>4.4217591085440537E-2</v>
      </c>
      <c r="L178" s="124">
        <f t="shared" si="207"/>
        <v>5.2122369402482605E-2</v>
      </c>
      <c r="M178" s="124">
        <f t="shared" si="207"/>
        <v>5.0894149382067801E-2</v>
      </c>
      <c r="N178" s="124">
        <f t="shared" si="207"/>
        <v>5.195407079506803E-2</v>
      </c>
      <c r="O178" s="124">
        <f t="shared" si="207"/>
        <v>5.330800994924173E-2</v>
      </c>
      <c r="P178" s="124">
        <f t="shared" si="207"/>
        <v>5.0528961391675085E-2</v>
      </c>
      <c r="Q178" s="124">
        <f t="shared" si="207"/>
        <v>4.3636834489760315E-2</v>
      </c>
      <c r="R178" s="124">
        <f t="shared" si="207"/>
        <v>4.1150014810071842E-2</v>
      </c>
      <c r="S178" s="124">
        <f t="shared" si="207"/>
        <v>4.081492531127337E-2</v>
      </c>
      <c r="T178" s="124">
        <f t="shared" si="207"/>
        <v>3.8807282927384966E-2</v>
      </c>
      <c r="U178" s="124">
        <f t="shared" si="207"/>
        <v>3.6729336135106934E-2</v>
      </c>
      <c r="V178" s="124">
        <f t="shared" si="207"/>
        <v>3.7937558246636548E-2</v>
      </c>
      <c r="W178" s="124">
        <f t="shared" si="207"/>
        <v>3.2730010040490164E-2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6.6075954374479129E-3</v>
      </c>
      <c r="C179" s="140">
        <f t="shared" ref="C179:W179" si="208">IF(C87=0,0,C87/C$77)</f>
        <v>5.0419934576100799E-3</v>
      </c>
      <c r="D179" s="140">
        <f t="shared" si="208"/>
        <v>3.9095770359933724E-3</v>
      </c>
      <c r="E179" s="140">
        <f t="shared" si="208"/>
        <v>3.6627628939147954E-3</v>
      </c>
      <c r="F179" s="140">
        <f t="shared" si="208"/>
        <v>2.2269332056406993E-3</v>
      </c>
      <c r="G179" s="140">
        <f t="shared" si="208"/>
        <v>3.917838295938854E-3</v>
      </c>
      <c r="H179" s="140">
        <f t="shared" si="208"/>
        <v>3.300997511531195E-3</v>
      </c>
      <c r="I179" s="140">
        <f t="shared" si="208"/>
        <v>3.6143801705209415E-3</v>
      </c>
      <c r="J179" s="140">
        <f t="shared" si="208"/>
        <v>4.0225503047294931E-3</v>
      </c>
      <c r="K179" s="140">
        <f t="shared" si="208"/>
        <v>2.5390802095599527E-3</v>
      </c>
      <c r="L179" s="140">
        <f t="shared" si="208"/>
        <v>2.5415292098079278E-3</v>
      </c>
      <c r="M179" s="140">
        <f t="shared" si="208"/>
        <v>2.2513393273456178E-3</v>
      </c>
      <c r="N179" s="140">
        <f t="shared" si="208"/>
        <v>2.0900212421843659E-3</v>
      </c>
      <c r="O179" s="140">
        <f t="shared" si="208"/>
        <v>2.1490628028953914E-3</v>
      </c>
      <c r="P179" s="140">
        <f t="shared" si="208"/>
        <v>2.0522008408179479E-3</v>
      </c>
      <c r="Q179" s="140">
        <f t="shared" si="208"/>
        <v>1.597264269016819E-3</v>
      </c>
      <c r="R179" s="140">
        <f t="shared" si="208"/>
        <v>1.7918548301526002E-3</v>
      </c>
      <c r="S179" s="140">
        <f t="shared" si="208"/>
        <v>1.3734129532397186E-3</v>
      </c>
      <c r="T179" s="140">
        <f t="shared" si="208"/>
        <v>1.6891430283047012E-3</v>
      </c>
      <c r="U179" s="140">
        <f t="shared" si="208"/>
        <v>1.9615255877617802E-3</v>
      </c>
      <c r="V179" s="140">
        <f t="shared" si="208"/>
        <v>2.0607772330583649E-3</v>
      </c>
      <c r="W179" s="140">
        <f t="shared" si="208"/>
        <v>2.1129690467761274E-3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0.10710019852051864</v>
      </c>
      <c r="C180" s="127">
        <f t="shared" ref="C180:W180" si="209">IF(C88=0,0,C88/C$77)</f>
        <v>9.7381892845512269E-2</v>
      </c>
      <c r="D180" s="127">
        <f t="shared" si="209"/>
        <v>8.7458176614136823E-2</v>
      </c>
      <c r="E180" s="127">
        <f t="shared" si="209"/>
        <v>9.4608469138744572E-2</v>
      </c>
      <c r="F180" s="127">
        <f t="shared" si="209"/>
        <v>7.8053055211132413E-2</v>
      </c>
      <c r="G180" s="127">
        <f t="shared" si="209"/>
        <v>7.0931078702809416E-2</v>
      </c>
      <c r="H180" s="127">
        <f t="shared" si="209"/>
        <v>4.3575512249251477E-2</v>
      </c>
      <c r="I180" s="127">
        <f t="shared" si="209"/>
        <v>4.3144642424391741E-2</v>
      </c>
      <c r="J180" s="127">
        <f t="shared" si="209"/>
        <v>4.3729156523843467E-2</v>
      </c>
      <c r="K180" s="127">
        <f t="shared" si="209"/>
        <v>4.1678510875880585E-2</v>
      </c>
      <c r="L180" s="127">
        <f t="shared" si="209"/>
        <v>4.9580840192674676E-2</v>
      </c>
      <c r="M180" s="127">
        <f t="shared" si="209"/>
        <v>4.8642810054722187E-2</v>
      </c>
      <c r="N180" s="127">
        <f t="shared" si="209"/>
        <v>4.9864049552883663E-2</v>
      </c>
      <c r="O180" s="127">
        <f t="shared" si="209"/>
        <v>5.1158947146346341E-2</v>
      </c>
      <c r="P180" s="127">
        <f t="shared" si="209"/>
        <v>4.8476760550857138E-2</v>
      </c>
      <c r="Q180" s="127">
        <f t="shared" si="209"/>
        <v>4.2039570220743491E-2</v>
      </c>
      <c r="R180" s="127">
        <f t="shared" si="209"/>
        <v>3.935815997991924E-2</v>
      </c>
      <c r="S180" s="127">
        <f t="shared" si="209"/>
        <v>3.9441512358033656E-2</v>
      </c>
      <c r="T180" s="127">
        <f t="shared" si="209"/>
        <v>3.7118139899080263E-2</v>
      </c>
      <c r="U180" s="127">
        <f t="shared" si="209"/>
        <v>3.4767810547345158E-2</v>
      </c>
      <c r="V180" s="127">
        <f t="shared" si="209"/>
        <v>3.5876781013578184E-2</v>
      </c>
      <c r="W180" s="127">
        <f t="shared" si="209"/>
        <v>3.0617040993714036E-2</v>
      </c>
      <c r="DA180" s="178"/>
    </row>
    <row r="181" spans="1:105" ht="11.45" customHeight="1" x14ac:dyDescent="0.25">
      <c r="A181" s="27" t="s">
        <v>176</v>
      </c>
      <c r="B181" s="31">
        <f>IF(B89=0,0,B89/B$89)</f>
        <v>1</v>
      </c>
      <c r="C181" s="31">
        <f t="shared" ref="C181:W181" si="210">IF(C89=0,0,C89/C$89)</f>
        <v>1</v>
      </c>
      <c r="D181" s="31">
        <f t="shared" si="210"/>
        <v>1</v>
      </c>
      <c r="E181" s="31">
        <f t="shared" si="210"/>
        <v>1</v>
      </c>
      <c r="F181" s="31">
        <f t="shared" si="210"/>
        <v>1</v>
      </c>
      <c r="G181" s="31">
        <f t="shared" si="210"/>
        <v>1</v>
      </c>
      <c r="H181" s="31">
        <f t="shared" si="210"/>
        <v>1</v>
      </c>
      <c r="I181" s="31">
        <f t="shared" si="210"/>
        <v>1</v>
      </c>
      <c r="J181" s="31">
        <f t="shared" si="210"/>
        <v>1</v>
      </c>
      <c r="K181" s="31">
        <f t="shared" si="210"/>
        <v>1</v>
      </c>
      <c r="L181" s="31">
        <f t="shared" si="210"/>
        <v>1</v>
      </c>
      <c r="M181" s="31">
        <f t="shared" si="210"/>
        <v>1</v>
      </c>
      <c r="N181" s="31">
        <f t="shared" si="210"/>
        <v>1</v>
      </c>
      <c r="O181" s="31">
        <f t="shared" si="210"/>
        <v>1</v>
      </c>
      <c r="P181" s="31">
        <f t="shared" si="210"/>
        <v>1</v>
      </c>
      <c r="Q181" s="31">
        <f t="shared" si="210"/>
        <v>1</v>
      </c>
      <c r="R181" s="31">
        <f t="shared" si="210"/>
        <v>1</v>
      </c>
      <c r="S181" s="31">
        <f t="shared" si="210"/>
        <v>1</v>
      </c>
      <c r="T181" s="31">
        <f t="shared" si="210"/>
        <v>1</v>
      </c>
      <c r="U181" s="31">
        <f t="shared" si="210"/>
        <v>1</v>
      </c>
      <c r="V181" s="31">
        <f t="shared" si="210"/>
        <v>1</v>
      </c>
      <c r="W181" s="31">
        <f t="shared" si="210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0.24854361174570228</v>
      </c>
      <c r="C182" s="140">
        <f t="shared" ref="C182:W182" si="211">IF(C90=0,0,C90/C$89)</f>
        <v>0.25562143301226264</v>
      </c>
      <c r="D182" s="140">
        <f t="shared" si="211"/>
        <v>0.24066289368860183</v>
      </c>
      <c r="E182" s="140">
        <f t="shared" si="211"/>
        <v>0.23992610419373644</v>
      </c>
      <c r="F182" s="140">
        <f t="shared" si="211"/>
        <v>0.21394403095450601</v>
      </c>
      <c r="G182" s="140">
        <f t="shared" si="211"/>
        <v>0.19090507920842165</v>
      </c>
      <c r="H182" s="140">
        <f t="shared" si="211"/>
        <v>0.18580340906126386</v>
      </c>
      <c r="I182" s="140">
        <f t="shared" si="211"/>
        <v>0.18023889694876258</v>
      </c>
      <c r="J182" s="140">
        <f t="shared" si="211"/>
        <v>0.17876717525570246</v>
      </c>
      <c r="K182" s="140">
        <f t="shared" si="211"/>
        <v>0.17648481887386192</v>
      </c>
      <c r="L182" s="140">
        <f t="shared" si="211"/>
        <v>0.19257485137401456</v>
      </c>
      <c r="M182" s="140">
        <f t="shared" si="211"/>
        <v>0.17862060215254305</v>
      </c>
      <c r="N182" s="140">
        <f t="shared" si="211"/>
        <v>0.1936107697780596</v>
      </c>
      <c r="O182" s="140">
        <f t="shared" si="211"/>
        <v>0.2022097897518125</v>
      </c>
      <c r="P182" s="140">
        <f t="shared" si="211"/>
        <v>0.20905008747296858</v>
      </c>
      <c r="Q182" s="140">
        <f t="shared" si="211"/>
        <v>0.2147366707638679</v>
      </c>
      <c r="R182" s="140">
        <f t="shared" si="211"/>
        <v>0.24658277292467315</v>
      </c>
      <c r="S182" s="140">
        <f t="shared" si="211"/>
        <v>0.22585993380635103</v>
      </c>
      <c r="T182" s="140">
        <f t="shared" si="211"/>
        <v>0.21364095857708945</v>
      </c>
      <c r="U182" s="140">
        <f t="shared" si="211"/>
        <v>0.22227512286288209</v>
      </c>
      <c r="V182" s="140">
        <f t="shared" si="211"/>
        <v>0.19241146330789752</v>
      </c>
      <c r="W182" s="140">
        <f t="shared" si="211"/>
        <v>0.20004778729965103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0.75145638825429772</v>
      </c>
      <c r="C183" s="127">
        <f t="shared" ref="C183:W183" si="212">IF(C91=0,0,C91/C$89)</f>
        <v>0.7443785669877373</v>
      </c>
      <c r="D183" s="127">
        <f t="shared" si="212"/>
        <v>0.75933710631139817</v>
      </c>
      <c r="E183" s="127">
        <f t="shared" si="212"/>
        <v>0.76007389580626361</v>
      </c>
      <c r="F183" s="127">
        <f t="shared" si="212"/>
        <v>0.78605596904549402</v>
      </c>
      <c r="G183" s="127">
        <f t="shared" si="212"/>
        <v>0.80909492079157841</v>
      </c>
      <c r="H183" s="127">
        <f t="shared" si="212"/>
        <v>0.8141965909387362</v>
      </c>
      <c r="I183" s="127">
        <f t="shared" si="212"/>
        <v>0.81976110305123739</v>
      </c>
      <c r="J183" s="127">
        <f t="shared" si="212"/>
        <v>0.82123282474429748</v>
      </c>
      <c r="K183" s="127">
        <f t="shared" si="212"/>
        <v>0.82351518112613808</v>
      </c>
      <c r="L183" s="127">
        <f t="shared" si="212"/>
        <v>0.80742514862598547</v>
      </c>
      <c r="M183" s="127">
        <f t="shared" si="212"/>
        <v>0.82137939784745706</v>
      </c>
      <c r="N183" s="127">
        <f t="shared" si="212"/>
        <v>0.80638923022194031</v>
      </c>
      <c r="O183" s="127">
        <f t="shared" si="212"/>
        <v>0.79779021024818753</v>
      </c>
      <c r="P183" s="127">
        <f t="shared" si="212"/>
        <v>0.79094991252703151</v>
      </c>
      <c r="Q183" s="127">
        <f t="shared" si="212"/>
        <v>0.78526332923613207</v>
      </c>
      <c r="R183" s="127">
        <f t="shared" si="212"/>
        <v>0.75341722707532688</v>
      </c>
      <c r="S183" s="127">
        <f t="shared" si="212"/>
        <v>0.77414006619364883</v>
      </c>
      <c r="T183" s="127">
        <f t="shared" si="212"/>
        <v>0.78635904142291058</v>
      </c>
      <c r="U183" s="127">
        <f t="shared" si="212"/>
        <v>0.77772487713711791</v>
      </c>
      <c r="V183" s="127">
        <f t="shared" si="212"/>
        <v>0.80758853669210251</v>
      </c>
      <c r="W183" s="127">
        <f t="shared" si="212"/>
        <v>0.79995221270034889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48.223532721371434</v>
      </c>
      <c r="C186" s="32">
        <f t="shared" si="213"/>
        <v>47.628914499728154</v>
      </c>
      <c r="D186" s="32">
        <f t="shared" si="213"/>
        <v>46.738027165543244</v>
      </c>
      <c r="E186" s="32">
        <f t="shared" si="213"/>
        <v>47.964736875669011</v>
      </c>
      <c r="F186" s="32">
        <f t="shared" si="213"/>
        <v>46.74934088336623</v>
      </c>
      <c r="G186" s="32">
        <f t="shared" si="213"/>
        <v>44.814617993163559</v>
      </c>
      <c r="H186" s="32">
        <f t="shared" si="213"/>
        <v>44.70674693373536</v>
      </c>
      <c r="I186" s="32">
        <f t="shared" si="213"/>
        <v>44.952313606966563</v>
      </c>
      <c r="J186" s="32">
        <f t="shared" si="213"/>
        <v>44.870400093942571</v>
      </c>
      <c r="K186" s="32">
        <f t="shared" si="213"/>
        <v>44.735361663346289</v>
      </c>
      <c r="L186" s="32">
        <f t="shared" si="213"/>
        <v>43.449853102747625</v>
      </c>
      <c r="M186" s="32">
        <f t="shared" si="213"/>
        <v>42.5185626664626</v>
      </c>
      <c r="N186" s="32">
        <f t="shared" si="213"/>
        <v>41.032337897191219</v>
      </c>
      <c r="O186" s="32">
        <f t="shared" si="213"/>
        <v>41.360255384101542</v>
      </c>
      <c r="P186" s="32">
        <f t="shared" si="213"/>
        <v>41.291088504205213</v>
      </c>
      <c r="Q186" s="32">
        <f t="shared" si="213"/>
        <v>42.542355178147474</v>
      </c>
      <c r="R186" s="32">
        <f t="shared" si="213"/>
        <v>43.014380877806637</v>
      </c>
      <c r="S186" s="32">
        <f t="shared" si="213"/>
        <v>41.371275429967334</v>
      </c>
      <c r="T186" s="32">
        <f t="shared" si="213"/>
        <v>40.574803216334878</v>
      </c>
      <c r="U186" s="32">
        <f t="shared" si="213"/>
        <v>39.822755972276084</v>
      </c>
      <c r="V186" s="32">
        <f t="shared" si="213"/>
        <v>43.224675947608702</v>
      </c>
      <c r="W186" s="32">
        <f t="shared" ref="W186" si="214">IF(W34=0,0,W34/W4*1000)</f>
        <v>44.099725661758832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47.995145503760561</v>
      </c>
      <c r="C187" s="141">
        <f t="shared" si="215"/>
        <v>48.063970339024173</v>
      </c>
      <c r="D187" s="141">
        <f t="shared" si="215"/>
        <v>46.506063342838473</v>
      </c>
      <c r="E187" s="141">
        <f t="shared" si="215"/>
        <v>47.96963039199224</v>
      </c>
      <c r="F187" s="141">
        <f t="shared" si="215"/>
        <v>47.92570199805769</v>
      </c>
      <c r="G187" s="141">
        <f t="shared" si="215"/>
        <v>45.886663299676833</v>
      </c>
      <c r="H187" s="141">
        <f t="shared" si="215"/>
        <v>46.587031339224495</v>
      </c>
      <c r="I187" s="141">
        <f t="shared" si="215"/>
        <v>47.009310983418061</v>
      </c>
      <c r="J187" s="141">
        <f t="shared" si="215"/>
        <v>46.991139565502017</v>
      </c>
      <c r="K187" s="141">
        <f t="shared" si="215"/>
        <v>46.963333336699854</v>
      </c>
      <c r="L187" s="141">
        <f t="shared" si="215"/>
        <v>45.934162556526267</v>
      </c>
      <c r="M187" s="141">
        <f t="shared" si="215"/>
        <v>45.018994056230646</v>
      </c>
      <c r="N187" s="141">
        <f t="shared" si="215"/>
        <v>43.710599524189433</v>
      </c>
      <c r="O187" s="141">
        <f t="shared" si="215"/>
        <v>44.866332629952801</v>
      </c>
      <c r="P187" s="141">
        <f t="shared" si="215"/>
        <v>44.893320016413966</v>
      </c>
      <c r="Q187" s="141">
        <f t="shared" si="215"/>
        <v>46.750874583229013</v>
      </c>
      <c r="R187" s="141">
        <f t="shared" si="215"/>
        <v>46.591167429635874</v>
      </c>
      <c r="S187" s="141">
        <f t="shared" si="215"/>
        <v>44.752419933395302</v>
      </c>
      <c r="T187" s="141">
        <f t="shared" si="215"/>
        <v>44.256802023120486</v>
      </c>
      <c r="U187" s="141">
        <f t="shared" si="215"/>
        <v>43.487355043722182</v>
      </c>
      <c r="V187" s="141">
        <f t="shared" si="215"/>
        <v>44.208951677129171</v>
      </c>
      <c r="W187" s="141">
        <f t="shared" ref="W187" si="216">IF(W35=0,0,W35/W5*1000)</f>
        <v>45.081693324406586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37.756634079680943</v>
      </c>
      <c r="C188" s="97">
        <f t="shared" si="217"/>
        <v>37.362288337643776</v>
      </c>
      <c r="D188" s="97">
        <f t="shared" si="217"/>
        <v>37.005596556152128</v>
      </c>
      <c r="E188" s="97">
        <f t="shared" si="217"/>
        <v>36.628345579387506</v>
      </c>
      <c r="F188" s="97">
        <f t="shared" si="217"/>
        <v>36.150429118775087</v>
      </c>
      <c r="G188" s="97">
        <f t="shared" si="217"/>
        <v>35.566691896477536</v>
      </c>
      <c r="H188" s="97">
        <f t="shared" si="217"/>
        <v>35.362547512674801</v>
      </c>
      <c r="I188" s="97">
        <f t="shared" si="217"/>
        <v>34.907695693851004</v>
      </c>
      <c r="J188" s="97">
        <f t="shared" si="217"/>
        <v>34.530161716739343</v>
      </c>
      <c r="K188" s="97">
        <f t="shared" si="217"/>
        <v>34.093610854149524</v>
      </c>
      <c r="L188" s="97">
        <f t="shared" si="217"/>
        <v>33.897578994479375</v>
      </c>
      <c r="M188" s="97">
        <f t="shared" si="217"/>
        <v>33.432515123504096</v>
      </c>
      <c r="N188" s="97">
        <f t="shared" si="217"/>
        <v>33.206693000556378</v>
      </c>
      <c r="O188" s="97">
        <f t="shared" si="217"/>
        <v>33.035640740070711</v>
      </c>
      <c r="P188" s="97">
        <f t="shared" si="217"/>
        <v>32.581531052789686</v>
      </c>
      <c r="Q188" s="97">
        <f t="shared" si="217"/>
        <v>32.331971449091547</v>
      </c>
      <c r="R188" s="97">
        <f t="shared" si="217"/>
        <v>30.559289169164558</v>
      </c>
      <c r="S188" s="97">
        <f t="shared" si="217"/>
        <v>31.278269687461524</v>
      </c>
      <c r="T188" s="97">
        <f t="shared" si="217"/>
        <v>30.717565440325039</v>
      </c>
      <c r="U188" s="97">
        <f t="shared" si="217"/>
        <v>30.512674610317134</v>
      </c>
      <c r="V188" s="97">
        <f t="shared" si="217"/>
        <v>29.281065725581939</v>
      </c>
      <c r="W188" s="97">
        <f t="shared" ref="W188" si="218">IF(W36=0,0,W36/W6*1000)</f>
        <v>27.721533120651149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50.551729613769012</v>
      </c>
      <c r="C189" s="97">
        <f t="shared" si="219"/>
        <v>50.877466287758274</v>
      </c>
      <c r="D189" s="97">
        <f t="shared" si="219"/>
        <v>49.61020440347103</v>
      </c>
      <c r="E189" s="97">
        <f t="shared" si="219"/>
        <v>52.023342143030774</v>
      </c>
      <c r="F189" s="97">
        <f t="shared" si="219"/>
        <v>52.258053168823437</v>
      </c>
      <c r="G189" s="97">
        <f t="shared" si="219"/>
        <v>50.099889540243822</v>
      </c>
      <c r="H189" s="97">
        <f t="shared" si="219"/>
        <v>51.292127222058696</v>
      </c>
      <c r="I189" s="97">
        <f t="shared" si="219"/>
        <v>52.065168728672276</v>
      </c>
      <c r="J189" s="97">
        <f t="shared" si="219"/>
        <v>51.335180579125762</v>
      </c>
      <c r="K189" s="97">
        <f t="shared" si="219"/>
        <v>51.372436697243096</v>
      </c>
      <c r="L189" s="97">
        <f t="shared" si="219"/>
        <v>50.015528607094794</v>
      </c>
      <c r="M189" s="97">
        <f t="shared" si="219"/>
        <v>49.160347700180289</v>
      </c>
      <c r="N189" s="97">
        <f t="shared" si="219"/>
        <v>47.803520775677356</v>
      </c>
      <c r="O189" s="97">
        <f t="shared" si="219"/>
        <v>48.53353145070966</v>
      </c>
      <c r="P189" s="97">
        <f t="shared" si="219"/>
        <v>48.273161555310438</v>
      </c>
      <c r="Q189" s="97">
        <f t="shared" si="219"/>
        <v>49.895234106731515</v>
      </c>
      <c r="R189" s="97">
        <f t="shared" si="219"/>
        <v>49.534272592667826</v>
      </c>
      <c r="S189" s="97">
        <f t="shared" si="219"/>
        <v>47.199378074774131</v>
      </c>
      <c r="T189" s="97">
        <f t="shared" si="219"/>
        <v>46.522023054905624</v>
      </c>
      <c r="U189" s="97">
        <f t="shared" si="219"/>
        <v>45.668529621961994</v>
      </c>
      <c r="V189" s="97">
        <f t="shared" si="219"/>
        <v>44.610009966067025</v>
      </c>
      <c r="W189" s="97">
        <f t="shared" ref="W189" si="220">IF(W37=0,0,W37/W7*1000)</f>
        <v>45.576638802882655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29.505479867342107</v>
      </c>
      <c r="C190" s="97">
        <f t="shared" si="221"/>
        <v>28.245305421859317</v>
      </c>
      <c r="D190" s="97">
        <f t="shared" si="221"/>
        <v>25.867143016428429</v>
      </c>
      <c r="E190" s="97">
        <f t="shared" si="221"/>
        <v>24.027415749809546</v>
      </c>
      <c r="F190" s="97">
        <f t="shared" si="221"/>
        <v>23.172734595948526</v>
      </c>
      <c r="G190" s="97">
        <f t="shared" si="221"/>
        <v>22.227052563976144</v>
      </c>
      <c r="H190" s="97">
        <f t="shared" si="221"/>
        <v>21.03316856864847</v>
      </c>
      <c r="I190" s="97">
        <f t="shared" si="221"/>
        <v>20.044518949617885</v>
      </c>
      <c r="J190" s="97">
        <f t="shared" si="221"/>
        <v>21.747483190726548</v>
      </c>
      <c r="K190" s="97">
        <f t="shared" si="221"/>
        <v>21.340002373425026</v>
      </c>
      <c r="L190" s="97">
        <f t="shared" si="221"/>
        <v>21.517080023439821</v>
      </c>
      <c r="M190" s="97">
        <f t="shared" si="221"/>
        <v>20.447147855520399</v>
      </c>
      <c r="N190" s="97">
        <f t="shared" si="221"/>
        <v>19.574115102056165</v>
      </c>
      <c r="O190" s="97">
        <f t="shared" si="221"/>
        <v>21.638653858418348</v>
      </c>
      <c r="P190" s="97">
        <f t="shared" si="221"/>
        <v>22.593810053547482</v>
      </c>
      <c r="Q190" s="97">
        <f t="shared" si="221"/>
        <v>25.118360160829774</v>
      </c>
      <c r="R190" s="97">
        <f t="shared" si="221"/>
        <v>25.723651799073714</v>
      </c>
      <c r="S190" s="97">
        <f t="shared" si="221"/>
        <v>26.882136776380506</v>
      </c>
      <c r="T190" s="97">
        <f t="shared" si="221"/>
        <v>27.916281862819037</v>
      </c>
      <c r="U190" s="97">
        <f t="shared" si="221"/>
        <v>28.019417408932174</v>
      </c>
      <c r="V190" s="97">
        <f t="shared" si="221"/>
        <v>42.728415190300936</v>
      </c>
      <c r="W190" s="97">
        <f t="shared" ref="W190" si="222">IF(W38=0,0,W38/W8*1000)</f>
        <v>43.020049831660423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14.398677370484029</v>
      </c>
      <c r="C191" s="130">
        <f t="shared" si="223"/>
        <v>14.055116440232402</v>
      </c>
      <c r="D191" s="130">
        <f t="shared" si="223"/>
        <v>13.51364181592983</v>
      </c>
      <c r="E191" s="130">
        <f t="shared" si="223"/>
        <v>13.833874198915472</v>
      </c>
      <c r="F191" s="130">
        <f t="shared" si="223"/>
        <v>13.373798582991773</v>
      </c>
      <c r="G191" s="130">
        <f t="shared" si="223"/>
        <v>14.193039214108673</v>
      </c>
      <c r="H191" s="130">
        <f t="shared" si="223"/>
        <v>14.631454314875716</v>
      </c>
      <c r="I191" s="130">
        <f t="shared" si="223"/>
        <v>15.033716002115984</v>
      </c>
      <c r="J191" s="130">
        <f t="shared" si="223"/>
        <v>14.663605152442234</v>
      </c>
      <c r="K191" s="130">
        <f t="shared" si="223"/>
        <v>14.129739662151627</v>
      </c>
      <c r="L191" s="130">
        <f t="shared" si="223"/>
        <v>13.45620532373815</v>
      </c>
      <c r="M191" s="130">
        <f t="shared" si="223"/>
        <v>12.14235136744368</v>
      </c>
      <c r="N191" s="130">
        <f t="shared" si="223"/>
        <v>11.822220417443296</v>
      </c>
      <c r="O191" s="130">
        <f t="shared" si="223"/>
        <v>11.528665546424651</v>
      </c>
      <c r="P191" s="130">
        <f t="shared" si="223"/>
        <v>10.596482810899715</v>
      </c>
      <c r="Q191" s="130">
        <f t="shared" si="223"/>
        <v>10.774237986199264</v>
      </c>
      <c r="R191" s="130">
        <f t="shared" si="223"/>
        <v>10.958945746635463</v>
      </c>
      <c r="S191" s="130">
        <f t="shared" si="223"/>
        <v>10.83251934761066</v>
      </c>
      <c r="T191" s="130">
        <f t="shared" si="223"/>
        <v>9.5915802525753371</v>
      </c>
      <c r="U191" s="130">
        <f t="shared" si="223"/>
        <v>9.5294246110337735</v>
      </c>
      <c r="V191" s="130">
        <f t="shared" si="223"/>
        <v>12.633603770489847</v>
      </c>
      <c r="W191" s="130">
        <f t="shared" ref="W191" si="224">IF(W39=0,0,W39/W9*1000)</f>
        <v>13.658843622010206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6.3523398635271269</v>
      </c>
      <c r="C192" s="97">
        <f t="shared" si="225"/>
        <v>6.2032430788485531</v>
      </c>
      <c r="D192" s="97">
        <f t="shared" si="225"/>
        <v>6.1070495232953377</v>
      </c>
      <c r="E192" s="97">
        <f t="shared" si="225"/>
        <v>6.1071227704847075</v>
      </c>
      <c r="F192" s="97">
        <f t="shared" si="225"/>
        <v>5.898508433000881</v>
      </c>
      <c r="G192" s="97">
        <f t="shared" si="225"/>
        <v>5.9653375441132592</v>
      </c>
      <c r="H192" s="97">
        <f t="shared" si="225"/>
        <v>5.8758021940877088</v>
      </c>
      <c r="I192" s="97">
        <f t="shared" si="225"/>
        <v>5.8237505469833541</v>
      </c>
      <c r="J192" s="97">
        <f t="shared" si="225"/>
        <v>5.6967635998961565</v>
      </c>
      <c r="K192" s="97">
        <f t="shared" si="225"/>
        <v>5.6741521140436681</v>
      </c>
      <c r="L192" s="97">
        <f t="shared" si="225"/>
        <v>5.5715468268624289</v>
      </c>
      <c r="M192" s="97">
        <f t="shared" si="225"/>
        <v>5.4331253587725437</v>
      </c>
      <c r="N192" s="97">
        <f t="shared" si="225"/>
        <v>5.4134589626467751</v>
      </c>
      <c r="O192" s="97">
        <f t="shared" si="225"/>
        <v>5.3457026486808488</v>
      </c>
      <c r="P192" s="97">
        <f t="shared" si="225"/>
        <v>5.275377988853851</v>
      </c>
      <c r="Q192" s="97">
        <f t="shared" si="225"/>
        <v>5.2032749589973255</v>
      </c>
      <c r="R192" s="97">
        <f t="shared" si="225"/>
        <v>5.1342892432652674</v>
      </c>
      <c r="S192" s="97">
        <f t="shared" si="225"/>
        <v>5.1159897967739418</v>
      </c>
      <c r="T192" s="97">
        <f t="shared" si="225"/>
        <v>5.1113359099809372</v>
      </c>
      <c r="U192" s="97">
        <f t="shared" si="225"/>
        <v>5.1093258672361355</v>
      </c>
      <c r="V192" s="97">
        <f t="shared" si="225"/>
        <v>5.1640684248852251</v>
      </c>
      <c r="W192" s="97">
        <f t="shared" ref="W192" si="226">IF(W40=0,0,W40/W10*1000)</f>
        <v>5.1589117354961243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16.105513600824207</v>
      </c>
      <c r="C193" s="97">
        <f t="shared" si="227"/>
        <v>15.659110487498538</v>
      </c>
      <c r="D193" s="97">
        <f t="shared" si="227"/>
        <v>14.985692463230736</v>
      </c>
      <c r="E193" s="97">
        <f t="shared" si="227"/>
        <v>15.361441961471082</v>
      </c>
      <c r="F193" s="97">
        <f t="shared" si="227"/>
        <v>14.703970067435929</v>
      </c>
      <c r="G193" s="97">
        <f t="shared" si="227"/>
        <v>15.921154590896405</v>
      </c>
      <c r="H193" s="97">
        <f t="shared" si="227"/>
        <v>16.516830752716196</v>
      </c>
      <c r="I193" s="97">
        <f t="shared" si="227"/>
        <v>17.105315511007706</v>
      </c>
      <c r="J193" s="97">
        <f t="shared" si="227"/>
        <v>16.631746819285009</v>
      </c>
      <c r="K193" s="97">
        <f t="shared" si="227"/>
        <v>15.972955071059568</v>
      </c>
      <c r="L193" s="97">
        <f t="shared" si="227"/>
        <v>15.158400396437196</v>
      </c>
      <c r="M193" s="97">
        <f t="shared" si="227"/>
        <v>13.406323170184427</v>
      </c>
      <c r="N193" s="97">
        <f t="shared" si="227"/>
        <v>13.078906781958123</v>
      </c>
      <c r="O193" s="97">
        <f t="shared" si="227"/>
        <v>12.749330192104994</v>
      </c>
      <c r="P193" s="97">
        <f t="shared" si="227"/>
        <v>11.602918226245706</v>
      </c>
      <c r="Q193" s="97">
        <f t="shared" si="227"/>
        <v>12.008210042697785</v>
      </c>
      <c r="R193" s="97">
        <f t="shared" si="227"/>
        <v>12.485015743200314</v>
      </c>
      <c r="S193" s="97">
        <f t="shared" si="227"/>
        <v>12.407065532044545</v>
      </c>
      <c r="T193" s="97">
        <f t="shared" si="227"/>
        <v>10.756491151013197</v>
      </c>
      <c r="U193" s="97">
        <f t="shared" si="227"/>
        <v>10.621569270606063</v>
      </c>
      <c r="V193" s="97">
        <f t="shared" si="227"/>
        <v>14.063794283688431</v>
      </c>
      <c r="W193" s="97">
        <f t="shared" ref="W193" si="228">IF(W41=0,0,W41/W11*1000)</f>
        <v>15.277063824274157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8.9374699309994181</v>
      </c>
      <c r="C194" s="97">
        <f t="shared" si="229"/>
        <v>8.8934602205098301</v>
      </c>
      <c r="D194" s="97">
        <f t="shared" si="229"/>
        <v>8.8610816752650869</v>
      </c>
      <c r="E194" s="97">
        <f t="shared" si="229"/>
        <v>8.9021352736186738</v>
      </c>
      <c r="F194" s="97">
        <f t="shared" si="229"/>
        <v>8.8866105913660878</v>
      </c>
      <c r="G194" s="97">
        <f t="shared" si="229"/>
        <v>8.7373467463262742</v>
      </c>
      <c r="H194" s="97">
        <f t="shared" si="229"/>
        <v>7.9341858786627366</v>
      </c>
      <c r="I194" s="97">
        <f t="shared" si="229"/>
        <v>8.2105452357270714</v>
      </c>
      <c r="J194" s="97">
        <f t="shared" si="229"/>
        <v>8.3748033977656391</v>
      </c>
      <c r="K194" s="97">
        <f t="shared" si="229"/>
        <v>8.010833852250542</v>
      </c>
      <c r="L194" s="97">
        <f t="shared" si="229"/>
        <v>8.0745581016787522</v>
      </c>
      <c r="M194" s="97">
        <f t="shared" si="229"/>
        <v>7.9936107781759649</v>
      </c>
      <c r="N194" s="97">
        <f t="shared" si="229"/>
        <v>7.9530911897858054</v>
      </c>
      <c r="O194" s="97">
        <f t="shared" si="229"/>
        <v>7.9032150326368633</v>
      </c>
      <c r="P194" s="97">
        <f t="shared" si="229"/>
        <v>7.8144433765276293</v>
      </c>
      <c r="Q194" s="97">
        <f t="shared" si="229"/>
        <v>7.5676086636082553</v>
      </c>
      <c r="R194" s="97">
        <f t="shared" si="229"/>
        <v>7.394900298987281</v>
      </c>
      <c r="S194" s="97">
        <f t="shared" si="229"/>
        <v>7.2755826830530888</v>
      </c>
      <c r="T194" s="97">
        <f t="shared" si="229"/>
        <v>7.0134371177264532</v>
      </c>
      <c r="U194" s="97">
        <f t="shared" si="229"/>
        <v>7.20608676377792</v>
      </c>
      <c r="V194" s="97">
        <f t="shared" si="229"/>
        <v>10.514683591809211</v>
      </c>
      <c r="W194" s="97">
        <f t="shared" ref="W194" si="230">IF(W42=0,0,W42/W12*1000)</f>
        <v>11.806327651332087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63.761312813208363</v>
      </c>
      <c r="C195" s="130">
        <f t="shared" si="231"/>
        <v>60.01793844230496</v>
      </c>
      <c r="D195" s="130">
        <f t="shared" si="231"/>
        <v>71.122705676847232</v>
      </c>
      <c r="E195" s="130">
        <f t="shared" si="231"/>
        <v>68.827062795287944</v>
      </c>
      <c r="F195" s="130">
        <f t="shared" si="231"/>
        <v>58.031691166887256</v>
      </c>
      <c r="G195" s="130">
        <f t="shared" si="231"/>
        <v>53.871100453447482</v>
      </c>
      <c r="H195" s="130">
        <f t="shared" si="231"/>
        <v>48.378040868328711</v>
      </c>
      <c r="I195" s="130">
        <f t="shared" si="231"/>
        <v>46.500476422504988</v>
      </c>
      <c r="J195" s="130">
        <f t="shared" si="231"/>
        <v>46.376364492098332</v>
      </c>
      <c r="K195" s="130">
        <f t="shared" si="231"/>
        <v>45.933669083308729</v>
      </c>
      <c r="L195" s="130">
        <f t="shared" si="231"/>
        <v>43.193859639402895</v>
      </c>
      <c r="M195" s="130">
        <f t="shared" si="231"/>
        <v>42.931919864230068</v>
      </c>
      <c r="N195" s="130">
        <f t="shared" si="231"/>
        <v>40.193225165468355</v>
      </c>
      <c r="O195" s="130">
        <f t="shared" si="231"/>
        <v>37.772815620583081</v>
      </c>
      <c r="P195" s="130">
        <f t="shared" si="231"/>
        <v>37.569714421893771</v>
      </c>
      <c r="Q195" s="130">
        <f t="shared" si="231"/>
        <v>37.299436889151451</v>
      </c>
      <c r="R195" s="130">
        <f t="shared" si="231"/>
        <v>40.314539336649986</v>
      </c>
      <c r="S195" s="130">
        <f t="shared" si="231"/>
        <v>39.544139250464738</v>
      </c>
      <c r="T195" s="130">
        <f t="shared" si="231"/>
        <v>38.28572129187792</v>
      </c>
      <c r="U195" s="130">
        <f t="shared" si="231"/>
        <v>37.739295681625748</v>
      </c>
      <c r="V195" s="130">
        <f t="shared" si="231"/>
        <v>56.605488828252973</v>
      </c>
      <c r="W195" s="130">
        <f t="shared" ref="W195" si="232">IF(W43=0,0,W43/W13*1000)</f>
        <v>52.402643622191135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0</v>
      </c>
      <c r="C196" s="97">
        <f t="shared" si="233"/>
        <v>0</v>
      </c>
      <c r="D196" s="97">
        <f t="shared" si="233"/>
        <v>0</v>
      </c>
      <c r="E196" s="97">
        <f t="shared" si="233"/>
        <v>0</v>
      </c>
      <c r="F196" s="97">
        <f t="shared" si="233"/>
        <v>0</v>
      </c>
      <c r="G196" s="97">
        <f t="shared" si="233"/>
        <v>0</v>
      </c>
      <c r="H196" s="97">
        <f t="shared" si="233"/>
        <v>0</v>
      </c>
      <c r="I196" s="97">
        <f t="shared" si="233"/>
        <v>0</v>
      </c>
      <c r="J196" s="97">
        <f t="shared" si="233"/>
        <v>0</v>
      </c>
      <c r="K196" s="97">
        <f t="shared" si="233"/>
        <v>0</v>
      </c>
      <c r="L196" s="97">
        <f t="shared" si="233"/>
        <v>0</v>
      </c>
      <c r="M196" s="97">
        <f t="shared" si="233"/>
        <v>0</v>
      </c>
      <c r="N196" s="97">
        <f t="shared" si="233"/>
        <v>0</v>
      </c>
      <c r="O196" s="97">
        <f t="shared" si="233"/>
        <v>0</v>
      </c>
      <c r="P196" s="97">
        <f t="shared" si="233"/>
        <v>0</v>
      </c>
      <c r="Q196" s="97">
        <f t="shared" si="233"/>
        <v>0</v>
      </c>
      <c r="R196" s="97">
        <f t="shared" si="233"/>
        <v>0</v>
      </c>
      <c r="S196" s="97">
        <f t="shared" si="233"/>
        <v>0</v>
      </c>
      <c r="T196" s="97">
        <f t="shared" si="233"/>
        <v>0</v>
      </c>
      <c r="U196" s="97">
        <f t="shared" si="233"/>
        <v>0</v>
      </c>
      <c r="V196" s="97">
        <f t="shared" si="233"/>
        <v>0</v>
      </c>
      <c r="W196" s="97">
        <f t="shared" ref="W196" si="234">IF(W44=0,0,W44/W14*1000)</f>
        <v>0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67.343993932499359</v>
      </c>
      <c r="C197" s="97">
        <f t="shared" si="235"/>
        <v>62.850909886303178</v>
      </c>
      <c r="D197" s="97">
        <f t="shared" si="235"/>
        <v>72.018579690046835</v>
      </c>
      <c r="E197" s="97">
        <f t="shared" si="235"/>
        <v>69.005482586124046</v>
      </c>
      <c r="F197" s="97">
        <f t="shared" si="235"/>
        <v>57.445009625265691</v>
      </c>
      <c r="G197" s="97">
        <f t="shared" si="235"/>
        <v>55.235020494827438</v>
      </c>
      <c r="H197" s="97">
        <f t="shared" si="235"/>
        <v>50.702319071772706</v>
      </c>
      <c r="I197" s="97">
        <f t="shared" si="235"/>
        <v>54.319761154706782</v>
      </c>
      <c r="J197" s="97">
        <f t="shared" si="235"/>
        <v>61.298338218722314</v>
      </c>
      <c r="K197" s="97">
        <f t="shared" si="235"/>
        <v>59.648953523027863</v>
      </c>
      <c r="L197" s="97">
        <f t="shared" si="235"/>
        <v>56.1876228923241</v>
      </c>
      <c r="M197" s="97">
        <f t="shared" si="235"/>
        <v>54.558559145019004</v>
      </c>
      <c r="N197" s="97">
        <f t="shared" si="235"/>
        <v>50.1365393919409</v>
      </c>
      <c r="O197" s="97">
        <f t="shared" si="235"/>
        <v>47.108417940600837</v>
      </c>
      <c r="P197" s="97">
        <f t="shared" si="235"/>
        <v>45.890436541389825</v>
      </c>
      <c r="Q197" s="97">
        <f t="shared" si="235"/>
        <v>44.777110846781326</v>
      </c>
      <c r="R197" s="97">
        <f t="shared" si="235"/>
        <v>45.12571928918107</v>
      </c>
      <c r="S197" s="97">
        <f t="shared" si="235"/>
        <v>46.659216010643803</v>
      </c>
      <c r="T197" s="97">
        <f t="shared" si="235"/>
        <v>48.777453248772233</v>
      </c>
      <c r="U197" s="97">
        <f t="shared" si="235"/>
        <v>47.681397456983923</v>
      </c>
      <c r="V197" s="97">
        <f t="shared" si="235"/>
        <v>71.509680643453436</v>
      </c>
      <c r="W197" s="97">
        <f t="shared" ref="W197" si="236">IF(W45=0,0,W45/W15*1000)</f>
        <v>67.70099834598858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59.988215781947318</v>
      </c>
      <c r="C198" s="97">
        <f t="shared" si="237"/>
        <v>56.922808152228903</v>
      </c>
      <c r="D198" s="97">
        <f t="shared" si="237"/>
        <v>70.039602659119325</v>
      </c>
      <c r="E198" s="97">
        <f t="shared" si="237"/>
        <v>68.60702948729589</v>
      </c>
      <c r="F198" s="97">
        <f t="shared" si="237"/>
        <v>58.721941377180514</v>
      </c>
      <c r="G198" s="97">
        <f t="shared" si="237"/>
        <v>52.379546677939985</v>
      </c>
      <c r="H198" s="97">
        <f t="shared" si="237"/>
        <v>45.893788100776121</v>
      </c>
      <c r="I198" s="97">
        <f t="shared" si="237"/>
        <v>39.574350114463101</v>
      </c>
      <c r="J198" s="97">
        <f t="shared" si="237"/>
        <v>36.090822998107221</v>
      </c>
      <c r="K198" s="97">
        <f t="shared" si="237"/>
        <v>36.679339046148144</v>
      </c>
      <c r="L198" s="97">
        <f t="shared" si="237"/>
        <v>34.519160302746542</v>
      </c>
      <c r="M198" s="97">
        <f t="shared" si="237"/>
        <v>34.896298512938102</v>
      </c>
      <c r="N198" s="97">
        <f t="shared" si="237"/>
        <v>33.255291698580002</v>
      </c>
      <c r="O198" s="97">
        <f t="shared" si="237"/>
        <v>31.315923417194483</v>
      </c>
      <c r="P198" s="97">
        <f t="shared" si="237"/>
        <v>31.552081079590831</v>
      </c>
      <c r="Q198" s="97">
        <f t="shared" si="237"/>
        <v>31.657494446113351</v>
      </c>
      <c r="R198" s="97">
        <f t="shared" si="237"/>
        <v>35.993098408254006</v>
      </c>
      <c r="S198" s="97">
        <f t="shared" si="237"/>
        <v>33.54287614491647</v>
      </c>
      <c r="T198" s="97">
        <f t="shared" si="237"/>
        <v>30.665620355905691</v>
      </c>
      <c r="U198" s="97">
        <f t="shared" si="237"/>
        <v>30.715342774890814</v>
      </c>
      <c r="V198" s="97">
        <f t="shared" si="237"/>
        <v>47.301967189588417</v>
      </c>
      <c r="W198" s="97">
        <f t="shared" ref="W198" si="238">IF(W46=0,0,W46/W16*1000)</f>
        <v>41.88723814379609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45.966339037510402</v>
      </c>
      <c r="C199" s="32">
        <f t="shared" si="239"/>
        <v>47.016618558129849</v>
      </c>
      <c r="D199" s="32">
        <f t="shared" si="239"/>
        <v>46.389535712068557</v>
      </c>
      <c r="E199" s="32">
        <f t="shared" si="239"/>
        <v>48.172598347504554</v>
      </c>
      <c r="F199" s="32">
        <f t="shared" si="239"/>
        <v>48.935547469298861</v>
      </c>
      <c r="G199" s="32">
        <f t="shared" si="239"/>
        <v>47.675988034030233</v>
      </c>
      <c r="H199" s="32">
        <f t="shared" si="239"/>
        <v>47.323433803670326</v>
      </c>
      <c r="I199" s="32">
        <f t="shared" si="239"/>
        <v>47.580437751112555</v>
      </c>
      <c r="J199" s="32">
        <f t="shared" si="239"/>
        <v>47.873866003876813</v>
      </c>
      <c r="K199" s="32">
        <f t="shared" si="239"/>
        <v>49.751973764970515</v>
      </c>
      <c r="L199" s="32">
        <f t="shared" si="239"/>
        <v>47.443872678040904</v>
      </c>
      <c r="M199" s="32">
        <f t="shared" si="239"/>
        <v>46.322449444845752</v>
      </c>
      <c r="N199" s="32">
        <f t="shared" si="239"/>
        <v>43.540798091708957</v>
      </c>
      <c r="O199" s="32">
        <f t="shared" si="239"/>
        <v>42.504800949706905</v>
      </c>
      <c r="P199" s="32">
        <f t="shared" si="239"/>
        <v>42.781902749009248</v>
      </c>
      <c r="Q199" s="32">
        <f t="shared" si="239"/>
        <v>44.984367482755644</v>
      </c>
      <c r="R199" s="32">
        <f t="shared" si="239"/>
        <v>46.267708523916241</v>
      </c>
      <c r="S199" s="32">
        <f t="shared" si="239"/>
        <v>46.589586446869021</v>
      </c>
      <c r="T199" s="32">
        <f t="shared" si="239"/>
        <v>50.714911246684771</v>
      </c>
      <c r="U199" s="32">
        <f t="shared" si="239"/>
        <v>49.761523510888068</v>
      </c>
      <c r="V199" s="32">
        <f t="shared" si="239"/>
        <v>49.928632129848907</v>
      </c>
      <c r="W199" s="32">
        <f t="shared" ref="W199" si="240">IF(W47=0,0,W47/W17*1000)</f>
        <v>53.962713341991417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51.356410115078198</v>
      </c>
      <c r="C200" s="141">
        <f t="shared" si="241"/>
        <v>53.381543902142703</v>
      </c>
      <c r="D200" s="141">
        <f t="shared" si="241"/>
        <v>53.534280932151724</v>
      </c>
      <c r="E200" s="141">
        <f t="shared" si="241"/>
        <v>54.856424115329666</v>
      </c>
      <c r="F200" s="141">
        <f t="shared" si="241"/>
        <v>56.544650628372729</v>
      </c>
      <c r="G200" s="141">
        <f t="shared" si="241"/>
        <v>55.690605658510648</v>
      </c>
      <c r="H200" s="141">
        <f t="shared" si="241"/>
        <v>56.052777396675104</v>
      </c>
      <c r="I200" s="141">
        <f t="shared" si="241"/>
        <v>56.31380529295123</v>
      </c>
      <c r="J200" s="141">
        <f t="shared" si="241"/>
        <v>56.842291682253638</v>
      </c>
      <c r="K200" s="141">
        <f t="shared" si="241"/>
        <v>57.887781068903088</v>
      </c>
      <c r="L200" s="141">
        <f t="shared" si="241"/>
        <v>56.761707366383376</v>
      </c>
      <c r="M200" s="141">
        <f t="shared" si="241"/>
        <v>55.69945854037649</v>
      </c>
      <c r="N200" s="141">
        <f t="shared" si="241"/>
        <v>53.391867177768695</v>
      </c>
      <c r="O200" s="141">
        <f t="shared" si="241"/>
        <v>51.74116206101624</v>
      </c>
      <c r="P200" s="141">
        <f t="shared" si="241"/>
        <v>52.580683595741561</v>
      </c>
      <c r="Q200" s="141">
        <f t="shared" si="241"/>
        <v>54.737908290523691</v>
      </c>
      <c r="R200" s="141">
        <f t="shared" si="241"/>
        <v>56.433887169712285</v>
      </c>
      <c r="S200" s="141">
        <f t="shared" si="241"/>
        <v>57.632879852935233</v>
      </c>
      <c r="T200" s="141">
        <f t="shared" si="241"/>
        <v>60.558101396335303</v>
      </c>
      <c r="U200" s="141">
        <f t="shared" si="241"/>
        <v>58.988473597411691</v>
      </c>
      <c r="V200" s="141">
        <f t="shared" si="241"/>
        <v>55.181666777315137</v>
      </c>
      <c r="W200" s="141">
        <f t="shared" ref="W200" si="242">IF(W48=0,0,W48/W18*1000)</f>
        <v>60.462475420362246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1538.6374380229424</v>
      </c>
      <c r="C201" s="97">
        <f t="shared" si="243"/>
        <v>1447.373186181266</v>
      </c>
      <c r="D201" s="97">
        <f t="shared" si="243"/>
        <v>1438.0592305380085</v>
      </c>
      <c r="E201" s="97">
        <f t="shared" si="243"/>
        <v>1368.4287236984098</v>
      </c>
      <c r="F201" s="97">
        <f t="shared" si="243"/>
        <v>1320.8738137710889</v>
      </c>
      <c r="G201" s="97">
        <f t="shared" si="243"/>
        <v>1271.8805100410154</v>
      </c>
      <c r="H201" s="97">
        <f t="shared" si="243"/>
        <v>1236.2563371046363</v>
      </c>
      <c r="I201" s="97">
        <f t="shared" si="243"/>
        <v>1208.7418381082364</v>
      </c>
      <c r="J201" s="97">
        <f t="shared" si="243"/>
        <v>1172.7626911304369</v>
      </c>
      <c r="K201" s="97">
        <f t="shared" si="243"/>
        <v>1136.3121520554362</v>
      </c>
      <c r="L201" s="97">
        <f t="shared" si="243"/>
        <v>1115.9157265542999</v>
      </c>
      <c r="M201" s="97">
        <f t="shared" si="243"/>
        <v>1109.0496887449917</v>
      </c>
      <c r="N201" s="97">
        <f t="shared" si="243"/>
        <v>1092.5134784229203</v>
      </c>
      <c r="O201" s="97">
        <f t="shared" si="243"/>
        <v>1066.6863977415785</v>
      </c>
      <c r="P201" s="97">
        <f t="shared" si="243"/>
        <v>1061.0384071337282</v>
      </c>
      <c r="Q201" s="97">
        <f t="shared" si="243"/>
        <v>1060.9945760935345</v>
      </c>
      <c r="R201" s="97">
        <f t="shared" si="243"/>
        <v>1028.9377839005454</v>
      </c>
      <c r="S201" s="97">
        <f t="shared" si="243"/>
        <v>992.98924140414351</v>
      </c>
      <c r="T201" s="97">
        <f t="shared" si="243"/>
        <v>974.52542875272252</v>
      </c>
      <c r="U201" s="97">
        <f t="shared" si="243"/>
        <v>962.4112610932641</v>
      </c>
      <c r="V201" s="97">
        <f t="shared" si="243"/>
        <v>944.54412705097252</v>
      </c>
      <c r="W201" s="97">
        <f t="shared" ref="W201" si="244">IF(W49=0,0,W49/W19*1000)</f>
        <v>969.27455274345721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25.912496851758885</v>
      </c>
      <c r="C202" s="97">
        <f t="shared" si="245"/>
        <v>29.213910026312846</v>
      </c>
      <c r="D202" s="97">
        <f t="shared" si="245"/>
        <v>29.051289509858297</v>
      </c>
      <c r="E202" s="97">
        <f t="shared" si="245"/>
        <v>30.110523850067082</v>
      </c>
      <c r="F202" s="97">
        <f t="shared" si="245"/>
        <v>32.213525241331794</v>
      </c>
      <c r="G202" s="97">
        <f t="shared" si="245"/>
        <v>31.525314160422113</v>
      </c>
      <c r="H202" s="97">
        <f t="shared" si="245"/>
        <v>32.25354786385904</v>
      </c>
      <c r="I202" s="97">
        <f t="shared" si="245"/>
        <v>32.25804465246059</v>
      </c>
      <c r="J202" s="97">
        <f t="shared" si="245"/>
        <v>31.895775258318096</v>
      </c>
      <c r="K202" s="97">
        <f t="shared" si="245"/>
        <v>32.134324086045766</v>
      </c>
      <c r="L202" s="97">
        <f t="shared" si="245"/>
        <v>31.835358175607627</v>
      </c>
      <c r="M202" s="97">
        <f t="shared" si="245"/>
        <v>30.976939131142611</v>
      </c>
      <c r="N202" s="97">
        <f t="shared" si="245"/>
        <v>29.304482457362688</v>
      </c>
      <c r="O202" s="97">
        <f t="shared" si="245"/>
        <v>29.807292048025321</v>
      </c>
      <c r="P202" s="97">
        <f t="shared" si="245"/>
        <v>30.109924663698205</v>
      </c>
      <c r="Q202" s="97">
        <f t="shared" si="245"/>
        <v>32.197020282315826</v>
      </c>
      <c r="R202" s="97">
        <f t="shared" si="245"/>
        <v>35.999350597583444</v>
      </c>
      <c r="S202" s="97">
        <f t="shared" si="245"/>
        <v>38.866736462545013</v>
      </c>
      <c r="T202" s="97">
        <f t="shared" si="245"/>
        <v>41.763062140436475</v>
      </c>
      <c r="U202" s="97">
        <f t="shared" si="245"/>
        <v>40.632448822524282</v>
      </c>
      <c r="V202" s="97">
        <f t="shared" si="245"/>
        <v>37.746606389127223</v>
      </c>
      <c r="W202" s="97">
        <f t="shared" ref="W202" si="246">IF(W50=0,0,W50/W20*1000)</f>
        <v>41.240486456000028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7.0315178014814519</v>
      </c>
      <c r="C203" s="130">
        <f t="shared" si="247"/>
        <v>6.7965368742223653</v>
      </c>
      <c r="D203" s="130">
        <f t="shared" si="247"/>
        <v>6.1044953276330274</v>
      </c>
      <c r="E203" s="130">
        <f t="shared" si="247"/>
        <v>5.9163656348348077</v>
      </c>
      <c r="F203" s="130">
        <f t="shared" si="247"/>
        <v>6.2020061900005343</v>
      </c>
      <c r="G203" s="130">
        <f t="shared" si="247"/>
        <v>6.3526271306320492</v>
      </c>
      <c r="H203" s="130">
        <f t="shared" si="247"/>
        <v>6.4462908808318611</v>
      </c>
      <c r="I203" s="130">
        <f t="shared" si="247"/>
        <v>6.1788285100579348</v>
      </c>
      <c r="J203" s="130">
        <f t="shared" si="247"/>
        <v>6.0639509147751545</v>
      </c>
      <c r="K203" s="130">
        <f t="shared" si="247"/>
        <v>5.7989795933322581</v>
      </c>
      <c r="L203" s="130">
        <f t="shared" si="247"/>
        <v>5.4138488974751828</v>
      </c>
      <c r="M203" s="130">
        <f t="shared" si="247"/>
        <v>5.1805424897331562</v>
      </c>
      <c r="N203" s="130">
        <f t="shared" si="247"/>
        <v>5.3825961977080903</v>
      </c>
      <c r="O203" s="130">
        <f t="shared" si="247"/>
        <v>5.173320580358137</v>
      </c>
      <c r="P203" s="130">
        <f t="shared" si="247"/>
        <v>4.8997729784968973</v>
      </c>
      <c r="Q203" s="130">
        <f t="shared" si="247"/>
        <v>4.9087475978315682</v>
      </c>
      <c r="R203" s="130">
        <f t="shared" si="247"/>
        <v>4.8924524419996729</v>
      </c>
      <c r="S203" s="130">
        <f t="shared" si="247"/>
        <v>4.8295697421602926</v>
      </c>
      <c r="T203" s="130">
        <f t="shared" si="247"/>
        <v>6.4939162695288326</v>
      </c>
      <c r="U203" s="130">
        <f t="shared" si="247"/>
        <v>6.223025224421936</v>
      </c>
      <c r="V203" s="130">
        <f t="shared" si="247"/>
        <v>6.3905662691672118</v>
      </c>
      <c r="W203" s="130">
        <f t="shared" ref="W203" si="248">IF(W51=0,0,W51/W21*1000)</f>
        <v>6.754871572111111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139.42376151633061</v>
      </c>
      <c r="C204" s="130">
        <f t="shared" si="249"/>
        <v>124.19768253350473</v>
      </c>
      <c r="D204" s="130">
        <f t="shared" si="249"/>
        <v>147.44939978161375</v>
      </c>
      <c r="E204" s="130">
        <f t="shared" si="249"/>
        <v>155.2168292006975</v>
      </c>
      <c r="F204" s="130">
        <f t="shared" si="249"/>
        <v>143.94500363104748</v>
      </c>
      <c r="G204" s="130">
        <f t="shared" si="249"/>
        <v>142.09936121108836</v>
      </c>
      <c r="H204" s="130">
        <f t="shared" si="249"/>
        <v>138.7012562908113</v>
      </c>
      <c r="I204" s="130">
        <f t="shared" si="249"/>
        <v>126.66469739295525</v>
      </c>
      <c r="J204" s="130">
        <f t="shared" si="249"/>
        <v>121.08869986684022</v>
      </c>
      <c r="K204" s="130">
        <f t="shared" si="249"/>
        <v>109.15116708851902</v>
      </c>
      <c r="L204" s="130">
        <f t="shared" si="249"/>
        <v>100.60280911714072</v>
      </c>
      <c r="M204" s="130">
        <f t="shared" si="249"/>
        <v>96.516683097974777</v>
      </c>
      <c r="N204" s="130">
        <f t="shared" si="249"/>
        <v>90.428466434408904</v>
      </c>
      <c r="O204" s="130">
        <f t="shared" si="249"/>
        <v>90.46010263105245</v>
      </c>
      <c r="P204" s="130">
        <f t="shared" si="249"/>
        <v>82.077586062864654</v>
      </c>
      <c r="Q204" s="130">
        <f t="shared" si="249"/>
        <v>82.123044923890077</v>
      </c>
      <c r="R204" s="130">
        <f t="shared" si="249"/>
        <v>80.331544595708451</v>
      </c>
      <c r="S204" s="130">
        <f t="shared" si="249"/>
        <v>79.71177345682959</v>
      </c>
      <c r="T204" s="130">
        <f t="shared" si="249"/>
        <v>73.255429697888957</v>
      </c>
      <c r="U204" s="130">
        <f t="shared" si="249"/>
        <v>73.287000727433494</v>
      </c>
      <c r="V204" s="130">
        <f t="shared" si="249"/>
        <v>98.555372284491</v>
      </c>
      <c r="W204" s="130">
        <f t="shared" ref="W204" si="250">IF(W52=0,0,W52/W22*1000)</f>
        <v>95.603927622528445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0</v>
      </c>
      <c r="C205" s="97">
        <f t="shared" si="251"/>
        <v>0</v>
      </c>
      <c r="D205" s="97">
        <f t="shared" si="251"/>
        <v>0</v>
      </c>
      <c r="E205" s="97">
        <f t="shared" si="251"/>
        <v>0</v>
      </c>
      <c r="F205" s="97">
        <f t="shared" si="251"/>
        <v>0</v>
      </c>
      <c r="G205" s="97">
        <f t="shared" si="251"/>
        <v>0</v>
      </c>
      <c r="H205" s="97">
        <f t="shared" si="251"/>
        <v>0</v>
      </c>
      <c r="I205" s="97">
        <f t="shared" si="251"/>
        <v>0</v>
      </c>
      <c r="J205" s="97">
        <f t="shared" si="251"/>
        <v>0</v>
      </c>
      <c r="K205" s="97">
        <f t="shared" si="251"/>
        <v>0</v>
      </c>
      <c r="L205" s="97">
        <f t="shared" si="251"/>
        <v>0</v>
      </c>
      <c r="M205" s="97">
        <f t="shared" si="251"/>
        <v>0</v>
      </c>
      <c r="N205" s="97">
        <f t="shared" si="251"/>
        <v>0</v>
      </c>
      <c r="O205" s="97">
        <f t="shared" si="251"/>
        <v>0</v>
      </c>
      <c r="P205" s="97">
        <f t="shared" si="251"/>
        <v>0</v>
      </c>
      <c r="Q205" s="97">
        <f t="shared" si="251"/>
        <v>0</v>
      </c>
      <c r="R205" s="97">
        <f t="shared" si="251"/>
        <v>0</v>
      </c>
      <c r="S205" s="97">
        <f t="shared" si="251"/>
        <v>0</v>
      </c>
      <c r="T205" s="97">
        <f t="shared" si="251"/>
        <v>0</v>
      </c>
      <c r="U205" s="97">
        <f t="shared" si="251"/>
        <v>0</v>
      </c>
      <c r="V205" s="97">
        <f t="shared" si="251"/>
        <v>0</v>
      </c>
      <c r="W205" s="97">
        <f t="shared" ref="W205" si="252">IF(W53=0,0,W53/W23*1000)</f>
        <v>0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236.92675159486183</v>
      </c>
      <c r="C206" s="97">
        <f t="shared" si="253"/>
        <v>216.48950244533083</v>
      </c>
      <c r="D206" s="97">
        <f t="shared" si="253"/>
        <v>260.41596961951166</v>
      </c>
      <c r="E206" s="97">
        <f t="shared" si="253"/>
        <v>253.57387998086674</v>
      </c>
      <c r="F206" s="97">
        <f t="shared" si="253"/>
        <v>249.21248590155756</v>
      </c>
      <c r="G206" s="97">
        <f t="shared" si="253"/>
        <v>246.5813109937919</v>
      </c>
      <c r="H206" s="97">
        <f t="shared" si="253"/>
        <v>261.51532489044348</v>
      </c>
      <c r="I206" s="97">
        <f t="shared" si="253"/>
        <v>273.21909473742807</v>
      </c>
      <c r="J206" s="97">
        <f t="shared" si="253"/>
        <v>309.28109926364715</v>
      </c>
      <c r="K206" s="97">
        <f t="shared" si="253"/>
        <v>287.50883709894725</v>
      </c>
      <c r="L206" s="97">
        <f t="shared" si="253"/>
        <v>278.28088088793493</v>
      </c>
      <c r="M206" s="97">
        <f t="shared" si="253"/>
        <v>274.48208021256755</v>
      </c>
      <c r="N206" s="97">
        <f t="shared" si="253"/>
        <v>247.43596611147547</v>
      </c>
      <c r="O206" s="97">
        <f t="shared" si="253"/>
        <v>241.57298969796858</v>
      </c>
      <c r="P206" s="97">
        <f t="shared" si="253"/>
        <v>216.34804029019108</v>
      </c>
      <c r="Q206" s="97">
        <f t="shared" si="253"/>
        <v>224.60660092004542</v>
      </c>
      <c r="R206" s="97">
        <f t="shared" si="253"/>
        <v>201.54542207658992</v>
      </c>
      <c r="S206" s="97">
        <f t="shared" si="253"/>
        <v>253.05095982772852</v>
      </c>
      <c r="T206" s="97">
        <f t="shared" si="253"/>
        <v>268.26005718788849</v>
      </c>
      <c r="U206" s="97">
        <f t="shared" si="253"/>
        <v>265.11099922059907</v>
      </c>
      <c r="V206" s="97">
        <f t="shared" si="253"/>
        <v>408.66679845609627</v>
      </c>
      <c r="W206" s="97">
        <f t="shared" ref="W206" si="254">IF(W54=0,0,W54/W24*1000)</f>
        <v>508.33343930952748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119.69780667997399</v>
      </c>
      <c r="C207" s="97">
        <f t="shared" si="255"/>
        <v>108.78263088311527</v>
      </c>
      <c r="D207" s="97">
        <f t="shared" si="255"/>
        <v>129.55056290294198</v>
      </c>
      <c r="E207" s="97">
        <f t="shared" si="255"/>
        <v>141.91461205359502</v>
      </c>
      <c r="F207" s="97">
        <f t="shared" si="255"/>
        <v>130.55649261140442</v>
      </c>
      <c r="G207" s="97">
        <f t="shared" si="255"/>
        <v>127.49909542094848</v>
      </c>
      <c r="H207" s="97">
        <f t="shared" si="255"/>
        <v>117.11858033790024</v>
      </c>
      <c r="I207" s="97">
        <f t="shared" si="255"/>
        <v>106.58087177018662</v>
      </c>
      <c r="J207" s="97">
        <f t="shared" si="255"/>
        <v>103.87267801291394</v>
      </c>
      <c r="K207" s="97">
        <f t="shared" si="255"/>
        <v>93.246183045006276</v>
      </c>
      <c r="L207" s="97">
        <f t="shared" si="255"/>
        <v>87.856305115041053</v>
      </c>
      <c r="M207" s="97">
        <f t="shared" si="255"/>
        <v>84.628703979429517</v>
      </c>
      <c r="N207" s="97">
        <f t="shared" si="255"/>
        <v>77.680207507496206</v>
      </c>
      <c r="O207" s="97">
        <f t="shared" si="255"/>
        <v>76.653162354535297</v>
      </c>
      <c r="P207" s="97">
        <f t="shared" si="255"/>
        <v>69.720961677084091</v>
      </c>
      <c r="Q207" s="97">
        <f t="shared" si="255"/>
        <v>70.892972744320062</v>
      </c>
      <c r="R207" s="97">
        <f t="shared" si="255"/>
        <v>70.195301419743444</v>
      </c>
      <c r="S207" s="97">
        <f t="shared" si="255"/>
        <v>67.311957832771071</v>
      </c>
      <c r="T207" s="97">
        <f t="shared" si="255"/>
        <v>59.988051605482113</v>
      </c>
      <c r="U207" s="97">
        <f t="shared" si="255"/>
        <v>59.671267230462135</v>
      </c>
      <c r="V207" s="97">
        <f t="shared" si="255"/>
        <v>82.346887647029718</v>
      </c>
      <c r="W207" s="97">
        <f t="shared" ref="W207" si="256">IF(W55=0,0,W55/W25*1000)</f>
        <v>76.66683174038306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38.488694700624578</v>
      </c>
      <c r="C208" s="130">
        <f t="shared" si="257"/>
        <v>34.902175683678863</v>
      </c>
      <c r="D208" s="130">
        <f t="shared" si="257"/>
        <v>30.03218952266413</v>
      </c>
      <c r="E208" s="130">
        <f t="shared" si="257"/>
        <v>32.876055842584314</v>
      </c>
      <c r="F208" s="130">
        <f t="shared" si="257"/>
        <v>28.907136404186701</v>
      </c>
      <c r="G208" s="130">
        <f t="shared" si="257"/>
        <v>26.028601290367181</v>
      </c>
      <c r="H208" s="130">
        <f t="shared" si="257"/>
        <v>16.317528211972299</v>
      </c>
      <c r="I208" s="130">
        <f t="shared" si="257"/>
        <v>16.747996822511993</v>
      </c>
      <c r="J208" s="130">
        <f t="shared" si="257"/>
        <v>17.079287772931941</v>
      </c>
      <c r="K208" s="130">
        <f t="shared" si="257"/>
        <v>18.018579861930579</v>
      </c>
      <c r="L208" s="130">
        <f t="shared" si="257"/>
        <v>16.803102552878208</v>
      </c>
      <c r="M208" s="130">
        <f t="shared" si="257"/>
        <v>15.894510481160806</v>
      </c>
      <c r="N208" s="130">
        <f t="shared" si="257"/>
        <v>13.701618345270829</v>
      </c>
      <c r="O208" s="130">
        <f t="shared" si="257"/>
        <v>14.074757501257917</v>
      </c>
      <c r="P208" s="130">
        <f t="shared" si="257"/>
        <v>13.315062128089364</v>
      </c>
      <c r="Q208" s="130">
        <f t="shared" si="257"/>
        <v>12.976988569863092</v>
      </c>
      <c r="R208" s="130">
        <f t="shared" si="257"/>
        <v>12.660728851944709</v>
      </c>
      <c r="S208" s="130">
        <f t="shared" si="257"/>
        <v>12.053771715972495</v>
      </c>
      <c r="T208" s="130">
        <f t="shared" si="257"/>
        <v>16.361632557198931</v>
      </c>
      <c r="U208" s="130">
        <f t="shared" si="257"/>
        <v>15.769810483616837</v>
      </c>
      <c r="V208" s="130">
        <f t="shared" si="257"/>
        <v>16.440504568576948</v>
      </c>
      <c r="W208" s="130">
        <f t="shared" ref="W208" si="258">IF(W56=0,0,W56/W26*1000)</f>
        <v>14.791137259550936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59.500597869327919</v>
      </c>
      <c r="C209" s="97">
        <f t="shared" si="259"/>
        <v>54.148067715688398</v>
      </c>
      <c r="D209" s="97">
        <f t="shared" si="259"/>
        <v>49.621249263063227</v>
      </c>
      <c r="E209" s="97">
        <f t="shared" si="259"/>
        <v>50.80464806009573</v>
      </c>
      <c r="F209" s="97">
        <f t="shared" si="259"/>
        <v>45.346768653789724</v>
      </c>
      <c r="G209" s="97">
        <f t="shared" si="259"/>
        <v>43.788612189146853</v>
      </c>
      <c r="H209" s="97">
        <f t="shared" si="259"/>
        <v>32.122626352690006</v>
      </c>
      <c r="I209" s="97">
        <f t="shared" si="259"/>
        <v>31.414563882955925</v>
      </c>
      <c r="J209" s="97">
        <f t="shared" si="259"/>
        <v>34.520789613157937</v>
      </c>
      <c r="K209" s="97">
        <f t="shared" si="259"/>
        <v>31.957400341497266</v>
      </c>
      <c r="L209" s="97">
        <f t="shared" si="259"/>
        <v>29.63932443270825</v>
      </c>
      <c r="M209" s="97">
        <f t="shared" si="259"/>
        <v>32.637166269775747</v>
      </c>
      <c r="N209" s="97">
        <f t="shared" si="259"/>
        <v>28.489927354836713</v>
      </c>
      <c r="O209" s="97">
        <f t="shared" si="259"/>
        <v>30.716496999752543</v>
      </c>
      <c r="P209" s="97">
        <f t="shared" si="259"/>
        <v>30.206261187767403</v>
      </c>
      <c r="Q209" s="97">
        <f t="shared" si="259"/>
        <v>26.964201895529868</v>
      </c>
      <c r="R209" s="97">
        <f t="shared" si="259"/>
        <v>26.728848312704354</v>
      </c>
      <c r="S209" s="97">
        <f t="shared" si="259"/>
        <v>27.657228523137565</v>
      </c>
      <c r="T209" s="97">
        <f t="shared" si="259"/>
        <v>35.318051130852282</v>
      </c>
      <c r="U209" s="97">
        <f t="shared" si="259"/>
        <v>34.780738407302159</v>
      </c>
      <c r="V209" s="97">
        <f t="shared" si="259"/>
        <v>32.730057711265246</v>
      </c>
      <c r="W209" s="97">
        <f t="shared" ref="W209" si="260">IF(W57=0,0,W57/W27*1000)</f>
        <v>30.74615217462387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37.668021892178203</v>
      </c>
      <c r="C210" s="98">
        <f t="shared" si="261"/>
        <v>34.271491195905426</v>
      </c>
      <c r="D210" s="98">
        <f t="shared" si="261"/>
        <v>29.511396668215674</v>
      </c>
      <c r="E210" s="98">
        <f t="shared" si="261"/>
        <v>32.432949487784448</v>
      </c>
      <c r="F210" s="98">
        <f t="shared" si="261"/>
        <v>28.611199516116752</v>
      </c>
      <c r="G210" s="98">
        <f t="shared" si="261"/>
        <v>25.458278119924206</v>
      </c>
      <c r="H210" s="98">
        <f t="shared" si="261"/>
        <v>15.731187104242046</v>
      </c>
      <c r="I210" s="98">
        <f t="shared" si="261"/>
        <v>16.117612918034304</v>
      </c>
      <c r="J210" s="98">
        <f t="shared" si="261"/>
        <v>16.320755940556488</v>
      </c>
      <c r="K210" s="98">
        <f t="shared" si="261"/>
        <v>17.552188934835947</v>
      </c>
      <c r="L210" s="98">
        <f t="shared" si="261"/>
        <v>16.438177397795332</v>
      </c>
      <c r="M210" s="98">
        <f t="shared" si="261"/>
        <v>15.525880672600385</v>
      </c>
      <c r="N210" s="98">
        <f t="shared" si="261"/>
        <v>13.409865729175388</v>
      </c>
      <c r="O210" s="98">
        <f t="shared" si="261"/>
        <v>13.76155723442619</v>
      </c>
      <c r="P210" s="98">
        <f t="shared" si="261"/>
        <v>13.007146446446024</v>
      </c>
      <c r="Q210" s="98">
        <f t="shared" si="261"/>
        <v>12.726169903437491</v>
      </c>
      <c r="R210" s="98">
        <f t="shared" si="261"/>
        <v>12.364451341980923</v>
      </c>
      <c r="S210" s="98">
        <f t="shared" si="261"/>
        <v>11.821533565368105</v>
      </c>
      <c r="T210" s="98">
        <f t="shared" si="261"/>
        <v>15.971523420346236</v>
      </c>
      <c r="U210" s="98">
        <f t="shared" si="261"/>
        <v>15.298054564194246</v>
      </c>
      <c r="V210" s="98">
        <f t="shared" si="261"/>
        <v>15.983570255672563</v>
      </c>
      <c r="W210" s="98">
        <f t="shared" ref="W210:W213" si="262">IF(W58=0,0,W58/W28*1000)</f>
        <v>14.27974197219725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9.9470618998330931</v>
      </c>
      <c r="C211" s="32">
        <f t="shared" si="263"/>
        <v>10.025988048165921</v>
      </c>
      <c r="D211" s="32">
        <f t="shared" si="263"/>
        <v>12.811746660303442</v>
      </c>
      <c r="E211" s="32">
        <f t="shared" si="263"/>
        <v>12.953481532783634</v>
      </c>
      <c r="F211" s="32">
        <f t="shared" si="263"/>
        <v>12.560413664733497</v>
      </c>
      <c r="G211" s="32">
        <f t="shared" si="263"/>
        <v>11.476357893869288</v>
      </c>
      <c r="H211" s="32">
        <f t="shared" si="263"/>
        <v>11.652231806053434</v>
      </c>
      <c r="I211" s="32">
        <f t="shared" si="263"/>
        <v>11.819682997762699</v>
      </c>
      <c r="J211" s="32">
        <f t="shared" si="263"/>
        <v>11.706210361905557</v>
      </c>
      <c r="K211" s="32">
        <f t="shared" si="263"/>
        <v>10.434953808347499</v>
      </c>
      <c r="L211" s="32">
        <f t="shared" si="263"/>
        <v>10.275997206099573</v>
      </c>
      <c r="M211" s="32">
        <f t="shared" si="263"/>
        <v>8.5373212865712667</v>
      </c>
      <c r="N211" s="32">
        <f t="shared" si="263"/>
        <v>8.189077060988847</v>
      </c>
      <c r="O211" s="32">
        <f t="shared" si="263"/>
        <v>8.2052827145303588</v>
      </c>
      <c r="P211" s="32">
        <f t="shared" si="263"/>
        <v>6.9331585070639239</v>
      </c>
      <c r="Q211" s="32">
        <f t="shared" si="263"/>
        <v>7.3143778337050813</v>
      </c>
      <c r="R211" s="32">
        <f t="shared" si="263"/>
        <v>8.2544641169821897</v>
      </c>
      <c r="S211" s="32">
        <f t="shared" si="263"/>
        <v>8.4539068866627431</v>
      </c>
      <c r="T211" s="32">
        <f t="shared" si="263"/>
        <v>10.039929364950389</v>
      </c>
      <c r="U211" s="32">
        <f t="shared" si="263"/>
        <v>8.5655357951700548</v>
      </c>
      <c r="V211" s="32">
        <f t="shared" si="263"/>
        <v>6.8725478057137614</v>
      </c>
      <c r="W211" s="32">
        <f t="shared" si="262"/>
        <v>7.6047866837052007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27.258573450596135</v>
      </c>
      <c r="C212" s="97">
        <f t="shared" si="264"/>
        <v>27.183785230979225</v>
      </c>
      <c r="D212" s="97">
        <f t="shared" si="264"/>
        <v>35.666566377617038</v>
      </c>
      <c r="E212" s="97">
        <f t="shared" si="264"/>
        <v>36.043819379706221</v>
      </c>
      <c r="F212" s="97">
        <f t="shared" si="264"/>
        <v>36.541045526740064</v>
      </c>
      <c r="G212" s="97">
        <f t="shared" si="264"/>
        <v>34.719719573083104</v>
      </c>
      <c r="H212" s="97">
        <f t="shared" si="264"/>
        <v>35.478860297784301</v>
      </c>
      <c r="I212" s="97">
        <f t="shared" si="264"/>
        <v>36.425279503335688</v>
      </c>
      <c r="J212" s="97">
        <f t="shared" si="264"/>
        <v>36.316326337711317</v>
      </c>
      <c r="K212" s="97">
        <f t="shared" si="264"/>
        <v>32.465270326207758</v>
      </c>
      <c r="L212" s="97">
        <f t="shared" si="264"/>
        <v>31.306910615484185</v>
      </c>
      <c r="M212" s="97">
        <f t="shared" si="264"/>
        <v>26.81822117718983</v>
      </c>
      <c r="N212" s="97">
        <f t="shared" si="264"/>
        <v>25.074489203949284</v>
      </c>
      <c r="O212" s="97">
        <f t="shared" si="264"/>
        <v>24.809763394115667</v>
      </c>
      <c r="P212" s="97">
        <f t="shared" si="264"/>
        <v>20.65820699439486</v>
      </c>
      <c r="Q212" s="97">
        <f t="shared" si="264"/>
        <v>21.486363634717858</v>
      </c>
      <c r="R212" s="97">
        <f t="shared" si="264"/>
        <v>22.752735416123329</v>
      </c>
      <c r="S212" s="97">
        <f t="shared" si="264"/>
        <v>24.412214082107059</v>
      </c>
      <c r="T212" s="97">
        <f t="shared" si="264"/>
        <v>29.671934175904486</v>
      </c>
      <c r="U212" s="97">
        <f t="shared" si="264"/>
        <v>25.226614844358991</v>
      </c>
      <c r="V212" s="97">
        <f t="shared" si="264"/>
        <v>17.442798215110969</v>
      </c>
      <c r="W212" s="97">
        <f t="shared" si="262"/>
        <v>20.313269701469277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8.2013061924890369</v>
      </c>
      <c r="C213" s="98">
        <f t="shared" si="265"/>
        <v>8.2206317523794112</v>
      </c>
      <c r="D213" s="98">
        <f t="shared" si="265"/>
        <v>10.63067324936006</v>
      </c>
      <c r="E213" s="98">
        <f t="shared" si="265"/>
        <v>10.759922742496867</v>
      </c>
      <c r="F213" s="98">
        <f t="shared" si="265"/>
        <v>10.64700092204126</v>
      </c>
      <c r="G213" s="98">
        <f t="shared" si="265"/>
        <v>9.9016276400400596</v>
      </c>
      <c r="H213" s="98">
        <f t="shared" si="265"/>
        <v>10.093112089754973</v>
      </c>
      <c r="I213" s="98">
        <f t="shared" si="265"/>
        <v>10.283394586047336</v>
      </c>
      <c r="J213" s="98">
        <f t="shared" si="265"/>
        <v>10.196178414522469</v>
      </c>
      <c r="K213" s="98">
        <f t="shared" si="265"/>
        <v>9.1040467741810005</v>
      </c>
      <c r="L213" s="98">
        <f t="shared" si="265"/>
        <v>8.8490163677905258</v>
      </c>
      <c r="M213" s="98">
        <f t="shared" si="265"/>
        <v>7.4287557768572681</v>
      </c>
      <c r="N213" s="98">
        <f t="shared" si="265"/>
        <v>7.0411603438580883</v>
      </c>
      <c r="O213" s="98">
        <f t="shared" si="265"/>
        <v>7.0069916457015324</v>
      </c>
      <c r="P213" s="98">
        <f t="shared" si="265"/>
        <v>5.8879054312603367</v>
      </c>
      <c r="Q213" s="98">
        <f t="shared" si="265"/>
        <v>6.1728165876791667</v>
      </c>
      <c r="R213" s="98">
        <f t="shared" si="265"/>
        <v>6.8070259823783248</v>
      </c>
      <c r="S213" s="98">
        <f t="shared" si="265"/>
        <v>7.0848039139875905</v>
      </c>
      <c r="T213" s="98">
        <f t="shared" si="265"/>
        <v>8.4927479309443807</v>
      </c>
      <c r="U213" s="98">
        <f t="shared" si="265"/>
        <v>7.1901384802702966</v>
      </c>
      <c r="V213" s="98">
        <f t="shared" si="265"/>
        <v>5.9891104830718094</v>
      </c>
      <c r="W213" s="98">
        <f t="shared" si="262"/>
        <v>6.5582869498484344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143.29085011132386</v>
      </c>
      <c r="C216" s="32">
        <f t="shared" si="266"/>
        <v>141.56235596979315</v>
      </c>
      <c r="D216" s="32">
        <f t="shared" si="266"/>
        <v>139.03605021738429</v>
      </c>
      <c r="E216" s="32">
        <f t="shared" si="266"/>
        <v>142.77836235136434</v>
      </c>
      <c r="F216" s="32">
        <f t="shared" si="266"/>
        <v>139.25413527876771</v>
      </c>
      <c r="G216" s="32">
        <f t="shared" si="266"/>
        <v>133.50315032715071</v>
      </c>
      <c r="H216" s="32">
        <f t="shared" si="266"/>
        <v>133.33111822453299</v>
      </c>
      <c r="I216" s="32">
        <f t="shared" si="266"/>
        <v>134.3632258720088</v>
      </c>
      <c r="J216" s="32">
        <f t="shared" si="266"/>
        <v>134.33870694639768</v>
      </c>
      <c r="K216" s="32">
        <f t="shared" si="266"/>
        <v>132.27137081812239</v>
      </c>
      <c r="L216" s="32">
        <f t="shared" si="266"/>
        <v>125.57239243601407</v>
      </c>
      <c r="M216" s="32">
        <f t="shared" si="266"/>
        <v>123.13304498385651</v>
      </c>
      <c r="N216" s="32">
        <f t="shared" si="266"/>
        <v>118.73817356751209</v>
      </c>
      <c r="O216" s="32">
        <f t="shared" si="266"/>
        <v>119.48240632007185</v>
      </c>
      <c r="P216" s="32">
        <f t="shared" si="266"/>
        <v>118.72880205663687</v>
      </c>
      <c r="Q216" s="32">
        <f t="shared" si="266"/>
        <v>124.30098334896513</v>
      </c>
      <c r="R216" s="32">
        <f t="shared" si="266"/>
        <v>123.47080210180268</v>
      </c>
      <c r="S216" s="32">
        <f t="shared" si="266"/>
        <v>117.82770162753685</v>
      </c>
      <c r="T216" s="32">
        <f t="shared" si="266"/>
        <v>115.43977687171731</v>
      </c>
      <c r="U216" s="32">
        <f t="shared" si="266"/>
        <v>112.75010144489414</v>
      </c>
      <c r="V216" s="32">
        <f t="shared" si="266"/>
        <v>117.32880407949244</v>
      </c>
      <c r="W216" s="32">
        <f t="shared" ref="W216" si="267">IF(W4=0,0,W64/W4*1000)</f>
        <v>119.48755535766864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144.83304881654817</v>
      </c>
      <c r="C217" s="141">
        <f t="shared" si="268"/>
        <v>145.1463157659102</v>
      </c>
      <c r="D217" s="141">
        <f t="shared" si="268"/>
        <v>140.61736100742445</v>
      </c>
      <c r="E217" s="141">
        <f t="shared" si="268"/>
        <v>145.1219597455848</v>
      </c>
      <c r="F217" s="141">
        <f t="shared" si="268"/>
        <v>145.32875299742673</v>
      </c>
      <c r="G217" s="141">
        <f t="shared" si="268"/>
        <v>139.24636153347618</v>
      </c>
      <c r="H217" s="141">
        <f t="shared" si="268"/>
        <v>141.64650346626186</v>
      </c>
      <c r="I217" s="141">
        <f t="shared" si="268"/>
        <v>143.18699664504672</v>
      </c>
      <c r="J217" s="141">
        <f t="shared" si="268"/>
        <v>143.39227659666483</v>
      </c>
      <c r="K217" s="141">
        <f t="shared" si="268"/>
        <v>141.17046990557796</v>
      </c>
      <c r="L217" s="141">
        <f t="shared" si="268"/>
        <v>134.4102181602976</v>
      </c>
      <c r="M217" s="141">
        <f t="shared" si="268"/>
        <v>131.85814332068136</v>
      </c>
      <c r="N217" s="141">
        <f t="shared" si="268"/>
        <v>127.88690065988118</v>
      </c>
      <c r="O217" s="141">
        <f t="shared" si="268"/>
        <v>131.15124080957912</v>
      </c>
      <c r="P217" s="141">
        <f t="shared" si="268"/>
        <v>130.28964739671446</v>
      </c>
      <c r="Q217" s="141">
        <f t="shared" si="268"/>
        <v>138.27442140768775</v>
      </c>
      <c r="R217" s="141">
        <f t="shared" si="268"/>
        <v>134.90848082590315</v>
      </c>
      <c r="S217" s="141">
        <f t="shared" si="268"/>
        <v>128.29476557437255</v>
      </c>
      <c r="T217" s="141">
        <f t="shared" si="268"/>
        <v>126.45095456545185</v>
      </c>
      <c r="U217" s="141">
        <f t="shared" si="268"/>
        <v>123.52641279981965</v>
      </c>
      <c r="V217" s="141">
        <f t="shared" si="268"/>
        <v>120.66077982372384</v>
      </c>
      <c r="W217" s="141">
        <f t="shared" ref="W217" si="269">IF(W5=0,0,W65/W5*1000)</f>
        <v>122.25908709273128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109.54907656641208</v>
      </c>
      <c r="C218" s="97">
        <f t="shared" si="270"/>
        <v>108.40490116674854</v>
      </c>
      <c r="D218" s="97">
        <f t="shared" si="270"/>
        <v>107.36997694127932</v>
      </c>
      <c r="E218" s="97">
        <f t="shared" si="270"/>
        <v>106.27540118934326</v>
      </c>
      <c r="F218" s="97">
        <f t="shared" si="270"/>
        <v>104.88874932769986</v>
      </c>
      <c r="G218" s="97">
        <f t="shared" si="270"/>
        <v>103.1950635630953</v>
      </c>
      <c r="H218" s="97">
        <f t="shared" si="270"/>
        <v>102.60274835076434</v>
      </c>
      <c r="I218" s="97">
        <f t="shared" si="270"/>
        <v>101.28301744939367</v>
      </c>
      <c r="J218" s="97">
        <f t="shared" si="270"/>
        <v>100.18762058542148</v>
      </c>
      <c r="K218" s="97">
        <f t="shared" si="270"/>
        <v>97.516120342937867</v>
      </c>
      <c r="L218" s="97">
        <f t="shared" si="270"/>
        <v>94.115593245721783</v>
      </c>
      <c r="M218" s="97">
        <f t="shared" si="270"/>
        <v>92.706212721125894</v>
      </c>
      <c r="N218" s="97">
        <f t="shared" si="270"/>
        <v>92.101182514847281</v>
      </c>
      <c r="O218" s="97">
        <f t="shared" si="270"/>
        <v>91.642044455282601</v>
      </c>
      <c r="P218" s="97">
        <f t="shared" si="270"/>
        <v>91.714716750497715</v>
      </c>
      <c r="Q218" s="97">
        <f t="shared" si="270"/>
        <v>91.059586582672949</v>
      </c>
      <c r="R218" s="97">
        <f t="shared" si="270"/>
        <v>86.115766907631397</v>
      </c>
      <c r="S218" s="97">
        <f t="shared" si="270"/>
        <v>85.096241237302323</v>
      </c>
      <c r="T218" s="97">
        <f t="shared" si="270"/>
        <v>83.310934673764919</v>
      </c>
      <c r="U218" s="97">
        <f t="shared" si="270"/>
        <v>82.657377093039884</v>
      </c>
      <c r="V218" s="97">
        <f t="shared" si="270"/>
        <v>78.244852986700351</v>
      </c>
      <c r="W218" s="97">
        <f t="shared" ref="W218" si="271">IF(W6=0,0,W66/W6*1000)</f>
        <v>73.948478125798786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152.2956003617771</v>
      </c>
      <c r="C219" s="97">
        <f t="shared" si="272"/>
        <v>153.40697640653724</v>
      </c>
      <c r="D219" s="97">
        <f t="shared" si="272"/>
        <v>149.79176732840105</v>
      </c>
      <c r="E219" s="97">
        <f t="shared" si="272"/>
        <v>157.17253752705622</v>
      </c>
      <c r="F219" s="97">
        <f t="shared" si="272"/>
        <v>158.28560701640137</v>
      </c>
      <c r="G219" s="97">
        <f t="shared" si="272"/>
        <v>151.86803298380158</v>
      </c>
      <c r="H219" s="97">
        <f t="shared" si="272"/>
        <v>155.82200250159894</v>
      </c>
      <c r="I219" s="97">
        <f t="shared" si="272"/>
        <v>158.48698870353527</v>
      </c>
      <c r="J219" s="97">
        <f t="shared" si="272"/>
        <v>156.56910544678624</v>
      </c>
      <c r="K219" s="97">
        <f t="shared" si="272"/>
        <v>154.35727866956273</v>
      </c>
      <c r="L219" s="97">
        <f t="shared" si="272"/>
        <v>146.29702790074759</v>
      </c>
      <c r="M219" s="97">
        <f t="shared" si="272"/>
        <v>143.93780514177593</v>
      </c>
      <c r="N219" s="97">
        <f t="shared" si="272"/>
        <v>139.81238100996791</v>
      </c>
      <c r="O219" s="97">
        <f t="shared" si="272"/>
        <v>141.81471490476062</v>
      </c>
      <c r="P219" s="97">
        <f t="shared" si="272"/>
        <v>140.06055558761068</v>
      </c>
      <c r="Q219" s="97">
        <f t="shared" si="272"/>
        <v>147.49075959887688</v>
      </c>
      <c r="R219" s="97">
        <f t="shared" si="272"/>
        <v>143.36571971233451</v>
      </c>
      <c r="S219" s="97">
        <f t="shared" si="272"/>
        <v>135.17142666171563</v>
      </c>
      <c r="T219" s="97">
        <f t="shared" si="272"/>
        <v>132.72607579078564</v>
      </c>
      <c r="U219" s="97">
        <f t="shared" si="272"/>
        <v>129.48293772040873</v>
      </c>
      <c r="V219" s="97">
        <f t="shared" si="272"/>
        <v>121.56063548616009</v>
      </c>
      <c r="W219" s="97">
        <f t="shared" ref="W219" si="273">IF(W7=0,0,W67/W7*1000)</f>
        <v>123.3535199872301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91.508147942543133</v>
      </c>
      <c r="C220" s="97">
        <f t="shared" si="274"/>
        <v>87.599802257422382</v>
      </c>
      <c r="D220" s="97">
        <f t="shared" si="274"/>
        <v>80.225653692424359</v>
      </c>
      <c r="E220" s="97">
        <f t="shared" si="274"/>
        <v>74.520161699241015</v>
      </c>
      <c r="F220" s="97">
        <f t="shared" si="274"/>
        <v>71.869832711907407</v>
      </c>
      <c r="G220" s="97">
        <f t="shared" si="274"/>
        <v>68.901033936608044</v>
      </c>
      <c r="H220" s="97">
        <f t="shared" si="274"/>
        <v>65.200368628439776</v>
      </c>
      <c r="I220" s="97">
        <f t="shared" si="274"/>
        <v>62.137586482584879</v>
      </c>
      <c r="J220" s="97">
        <f t="shared" si="274"/>
        <v>67.42078671746215</v>
      </c>
      <c r="K220" s="97">
        <f t="shared" si="274"/>
        <v>65.099519125054883</v>
      </c>
      <c r="L220" s="97">
        <f t="shared" si="274"/>
        <v>63.849456565976432</v>
      </c>
      <c r="M220" s="97">
        <f t="shared" si="274"/>
        <v>60.741638187130199</v>
      </c>
      <c r="N220" s="97">
        <f t="shared" si="274"/>
        <v>58.07065682360426</v>
      </c>
      <c r="O220" s="97">
        <f t="shared" si="274"/>
        <v>64.155170102168114</v>
      </c>
      <c r="P220" s="97">
        <f t="shared" si="274"/>
        <v>66.167259970247585</v>
      </c>
      <c r="Q220" s="97">
        <f t="shared" si="274"/>
        <v>75.47364266294052</v>
      </c>
      <c r="R220" s="97">
        <f t="shared" si="274"/>
        <v>75.304996361174943</v>
      </c>
      <c r="S220" s="97">
        <f t="shared" si="274"/>
        <v>78.751798459886629</v>
      </c>
      <c r="T220" s="97">
        <f t="shared" si="274"/>
        <v>81.865722034557081</v>
      </c>
      <c r="U220" s="97">
        <f t="shared" si="274"/>
        <v>81.981584061088327</v>
      </c>
      <c r="V220" s="97">
        <f t="shared" si="274"/>
        <v>118.92464286209247</v>
      </c>
      <c r="W220" s="97">
        <f t="shared" ref="W220" si="275">IF(W8=0,0,W68/W8*1000)</f>
        <v>119.47299737922243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6.572541217032934</v>
      </c>
      <c r="C221" s="130">
        <f t="shared" si="276"/>
        <v>6.0916560175162484</v>
      </c>
      <c r="D221" s="130">
        <f t="shared" si="276"/>
        <v>6.2646062983250896</v>
      </c>
      <c r="E221" s="130">
        <f t="shared" si="276"/>
        <v>6.7054678411014708</v>
      </c>
      <c r="F221" s="130">
        <f t="shared" si="276"/>
        <v>5.7626130731476382</v>
      </c>
      <c r="G221" s="130">
        <f t="shared" si="276"/>
        <v>6.1757997087800991</v>
      </c>
      <c r="H221" s="130">
        <f t="shared" si="276"/>
        <v>7.6347476203161708</v>
      </c>
      <c r="I221" s="130">
        <f t="shared" si="276"/>
        <v>8.1577890329214711</v>
      </c>
      <c r="J221" s="130">
        <f t="shared" si="276"/>
        <v>7.9945314690685052</v>
      </c>
      <c r="K221" s="130">
        <f t="shared" si="276"/>
        <v>7.3362800540251003</v>
      </c>
      <c r="L221" s="130">
        <f t="shared" si="276"/>
        <v>6.2220800111493615</v>
      </c>
      <c r="M221" s="130">
        <f t="shared" si="276"/>
        <v>5.8231294537649356</v>
      </c>
      <c r="N221" s="130">
        <f t="shared" si="276"/>
        <v>6.4825395594360629</v>
      </c>
      <c r="O221" s="130">
        <f t="shared" si="276"/>
        <v>4.9022399994936814</v>
      </c>
      <c r="P221" s="130">
        <f t="shared" si="276"/>
        <v>3.5994632757452947</v>
      </c>
      <c r="Q221" s="130">
        <f t="shared" si="276"/>
        <v>3.7812955571165463</v>
      </c>
      <c r="R221" s="130">
        <f t="shared" si="276"/>
        <v>3.870255824171807</v>
      </c>
      <c r="S221" s="130">
        <f t="shared" si="276"/>
        <v>3.9872829778095626</v>
      </c>
      <c r="T221" s="130">
        <f t="shared" si="276"/>
        <v>2.9525171411257629</v>
      </c>
      <c r="U221" s="130">
        <f t="shared" si="276"/>
        <v>2.7063229291907223</v>
      </c>
      <c r="V221" s="130">
        <f t="shared" si="276"/>
        <v>2.981942280250355</v>
      </c>
      <c r="W221" s="130">
        <f t="shared" ref="W221" si="277">IF(W9=0,0,W69/W9*1000)</f>
        <v>3.0685687729964002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8.2326604500438734</v>
      </c>
      <c r="C223" s="97">
        <f t="shared" si="280"/>
        <v>7.5956108183158255</v>
      </c>
      <c r="D223" s="97">
        <f t="shared" si="280"/>
        <v>7.7977346795911533</v>
      </c>
      <c r="E223" s="97">
        <f t="shared" si="280"/>
        <v>8.3194277465405424</v>
      </c>
      <c r="F223" s="97">
        <f t="shared" si="280"/>
        <v>7.0493764026978045</v>
      </c>
      <c r="G223" s="97">
        <f t="shared" si="280"/>
        <v>7.7443609525616539</v>
      </c>
      <c r="H223" s="97">
        <f t="shared" si="280"/>
        <v>9.5041295715487841</v>
      </c>
      <c r="I223" s="97">
        <f t="shared" si="280"/>
        <v>10.273486688911721</v>
      </c>
      <c r="J223" s="97">
        <f t="shared" si="280"/>
        <v>10.071144205313011</v>
      </c>
      <c r="K223" s="97">
        <f t="shared" si="280"/>
        <v>9.2007451545346797</v>
      </c>
      <c r="L223" s="97">
        <f t="shared" si="280"/>
        <v>7.8175145472453078</v>
      </c>
      <c r="M223" s="97">
        <f t="shared" si="280"/>
        <v>7.1440397678934398</v>
      </c>
      <c r="N223" s="97">
        <f t="shared" si="280"/>
        <v>8.011988697907352</v>
      </c>
      <c r="O223" s="97">
        <f t="shared" si="280"/>
        <v>6.0747267116916728</v>
      </c>
      <c r="P223" s="97">
        <f t="shared" si="280"/>
        <v>4.4537845843344268</v>
      </c>
      <c r="Q223" s="97">
        <f t="shared" si="280"/>
        <v>4.8395223377124665</v>
      </c>
      <c r="R223" s="97">
        <f t="shared" si="280"/>
        <v>5.1544145641627539</v>
      </c>
      <c r="S223" s="97">
        <f t="shared" si="280"/>
        <v>5.359373994218811</v>
      </c>
      <c r="T223" s="97">
        <f t="shared" si="280"/>
        <v>3.9394706870723941</v>
      </c>
      <c r="U223" s="97">
        <f t="shared" si="280"/>
        <v>3.5912651721846434</v>
      </c>
      <c r="V223" s="97">
        <f t="shared" si="280"/>
        <v>3.8829518746680827</v>
      </c>
      <c r="W223" s="97">
        <f t="shared" ref="W223" si="281">IF(W11=0,0,W71/W11*1000)</f>
        <v>4.0235760050610949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191.94126656567906</v>
      </c>
      <c r="C225" s="130">
        <f t="shared" si="284"/>
        <v>180.6725522579043</v>
      </c>
      <c r="D225" s="130">
        <f t="shared" si="284"/>
        <v>214.10081404429323</v>
      </c>
      <c r="E225" s="130">
        <f t="shared" si="284"/>
        <v>207.19027821498108</v>
      </c>
      <c r="F225" s="130">
        <f t="shared" si="284"/>
        <v>174.69333381123948</v>
      </c>
      <c r="G225" s="130">
        <f t="shared" si="284"/>
        <v>162.16866930913713</v>
      </c>
      <c r="H225" s="130">
        <f t="shared" si="284"/>
        <v>145.63286150390593</v>
      </c>
      <c r="I225" s="130">
        <f t="shared" si="284"/>
        <v>139.98081197904986</v>
      </c>
      <c r="J225" s="130">
        <f t="shared" si="284"/>
        <v>139.607196693117</v>
      </c>
      <c r="K225" s="130">
        <f t="shared" si="284"/>
        <v>138.27454663123984</v>
      </c>
      <c r="L225" s="130">
        <f t="shared" si="284"/>
        <v>130.0268730560033</v>
      </c>
      <c r="M225" s="130">
        <f t="shared" si="284"/>
        <v>129.23835334095457</v>
      </c>
      <c r="N225" s="130">
        <f t="shared" si="284"/>
        <v>120.99403549328089</v>
      </c>
      <c r="O225" s="130">
        <f t="shared" si="284"/>
        <v>113.70785437254494</v>
      </c>
      <c r="P225" s="130">
        <f t="shared" si="284"/>
        <v>113.09645696559953</v>
      </c>
      <c r="Q225" s="130">
        <f t="shared" si="284"/>
        <v>112.28283802223203</v>
      </c>
      <c r="R225" s="130">
        <f t="shared" si="284"/>
        <v>121.3592286588794</v>
      </c>
      <c r="S225" s="130">
        <f t="shared" si="284"/>
        <v>119.04008619175514</v>
      </c>
      <c r="T225" s="130">
        <f t="shared" si="284"/>
        <v>115.25185903357601</v>
      </c>
      <c r="U225" s="130">
        <f t="shared" si="284"/>
        <v>113.60694899191832</v>
      </c>
      <c r="V225" s="130">
        <f t="shared" si="284"/>
        <v>170.40002379018719</v>
      </c>
      <c r="W225" s="130">
        <f t="shared" ref="W225" si="285">IF(W13=0,0,W73/W13*1000)</f>
        <v>157.74816020020336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0</v>
      </c>
      <c r="C226" s="97">
        <f t="shared" si="286"/>
        <v>0</v>
      </c>
      <c r="D226" s="97">
        <f t="shared" si="286"/>
        <v>0</v>
      </c>
      <c r="E226" s="97">
        <f t="shared" si="286"/>
        <v>0</v>
      </c>
      <c r="F226" s="97">
        <f t="shared" si="286"/>
        <v>0</v>
      </c>
      <c r="G226" s="97">
        <f t="shared" si="286"/>
        <v>0</v>
      </c>
      <c r="H226" s="97">
        <f t="shared" si="286"/>
        <v>0</v>
      </c>
      <c r="I226" s="97">
        <f t="shared" si="286"/>
        <v>0</v>
      </c>
      <c r="J226" s="97">
        <f t="shared" si="286"/>
        <v>0</v>
      </c>
      <c r="K226" s="97">
        <f t="shared" si="286"/>
        <v>0</v>
      </c>
      <c r="L226" s="97">
        <f t="shared" si="286"/>
        <v>0</v>
      </c>
      <c r="M226" s="97">
        <f t="shared" si="286"/>
        <v>0</v>
      </c>
      <c r="N226" s="97">
        <f t="shared" si="286"/>
        <v>0</v>
      </c>
      <c r="O226" s="97">
        <f t="shared" si="286"/>
        <v>0</v>
      </c>
      <c r="P226" s="97">
        <f t="shared" si="286"/>
        <v>0</v>
      </c>
      <c r="Q226" s="97">
        <f t="shared" si="286"/>
        <v>0</v>
      </c>
      <c r="R226" s="97">
        <f t="shared" si="286"/>
        <v>0</v>
      </c>
      <c r="S226" s="97">
        <f t="shared" si="286"/>
        <v>0</v>
      </c>
      <c r="T226" s="97">
        <f t="shared" si="286"/>
        <v>0</v>
      </c>
      <c r="U226" s="97">
        <f t="shared" si="286"/>
        <v>0</v>
      </c>
      <c r="V226" s="97">
        <f t="shared" si="286"/>
        <v>0</v>
      </c>
      <c r="W226" s="97">
        <f t="shared" ref="W226" si="287">IF(W14=0,0,W74/W14*1000)</f>
        <v>0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202.72624449974708</v>
      </c>
      <c r="C227" s="97">
        <f t="shared" si="288"/>
        <v>189.20067225910944</v>
      </c>
      <c r="D227" s="97">
        <f t="shared" si="288"/>
        <v>216.79766526334922</v>
      </c>
      <c r="E227" s="97">
        <f t="shared" si="288"/>
        <v>207.72737575483018</v>
      </c>
      <c r="F227" s="97">
        <f t="shared" si="288"/>
        <v>172.92724096902586</v>
      </c>
      <c r="G227" s="97">
        <f t="shared" si="288"/>
        <v>166.2744903577676</v>
      </c>
      <c r="H227" s="97">
        <f t="shared" si="288"/>
        <v>152.62965756309285</v>
      </c>
      <c r="I227" s="97">
        <f t="shared" si="288"/>
        <v>163.51927674581643</v>
      </c>
      <c r="J227" s="97">
        <f t="shared" si="288"/>
        <v>184.52695148453145</v>
      </c>
      <c r="K227" s="97">
        <f t="shared" si="288"/>
        <v>179.56179356074318</v>
      </c>
      <c r="L227" s="97">
        <f t="shared" si="288"/>
        <v>169.14211811889399</v>
      </c>
      <c r="M227" s="97">
        <f t="shared" si="288"/>
        <v>164.23813253299494</v>
      </c>
      <c r="N227" s="97">
        <f t="shared" si="288"/>
        <v>150.92648578772207</v>
      </c>
      <c r="O227" s="97">
        <f t="shared" si="288"/>
        <v>141.81090392403578</v>
      </c>
      <c r="P227" s="97">
        <f t="shared" si="288"/>
        <v>138.14440331256199</v>
      </c>
      <c r="Q227" s="97">
        <f t="shared" si="288"/>
        <v>134.79294873148564</v>
      </c>
      <c r="R227" s="97">
        <f t="shared" si="288"/>
        <v>135.84236793283932</v>
      </c>
      <c r="S227" s="97">
        <f t="shared" si="288"/>
        <v>140.45866722162839</v>
      </c>
      <c r="T227" s="97">
        <f t="shared" si="288"/>
        <v>146.83521626734898</v>
      </c>
      <c r="U227" s="97">
        <f t="shared" si="288"/>
        <v>143.53574943361539</v>
      </c>
      <c r="V227" s="97">
        <f t="shared" si="288"/>
        <v>215.26624953004983</v>
      </c>
      <c r="W227" s="97">
        <f t="shared" ref="W227" si="289">IF(W15=0,0,W75/W15*1000)</f>
        <v>203.80093817011431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180.58307785998124</v>
      </c>
      <c r="C228" s="97">
        <f t="shared" si="290"/>
        <v>171.35525307048971</v>
      </c>
      <c r="D228" s="97">
        <f t="shared" si="290"/>
        <v>210.84034700240363</v>
      </c>
      <c r="E228" s="97">
        <f t="shared" si="290"/>
        <v>206.5279114009993</v>
      </c>
      <c r="F228" s="97">
        <f t="shared" si="290"/>
        <v>176.77120036958718</v>
      </c>
      <c r="G228" s="97">
        <f t="shared" si="290"/>
        <v>157.6786312564322</v>
      </c>
      <c r="H228" s="97">
        <f t="shared" si="290"/>
        <v>138.15449254261688</v>
      </c>
      <c r="I228" s="97">
        <f t="shared" si="290"/>
        <v>119.13103023358933</v>
      </c>
      <c r="J228" s="97">
        <f t="shared" si="290"/>
        <v>108.64453650677378</v>
      </c>
      <c r="K228" s="97">
        <f t="shared" si="290"/>
        <v>110.416151780539</v>
      </c>
      <c r="L228" s="97">
        <f t="shared" si="290"/>
        <v>103.91334583563275</v>
      </c>
      <c r="M228" s="97">
        <f t="shared" si="290"/>
        <v>105.04864845944394</v>
      </c>
      <c r="N228" s="97">
        <f t="shared" si="290"/>
        <v>100.10871054891902</v>
      </c>
      <c r="O228" s="97">
        <f t="shared" si="290"/>
        <v>94.270612369275995</v>
      </c>
      <c r="P228" s="97">
        <f t="shared" si="290"/>
        <v>94.981519953038216</v>
      </c>
      <c r="Q228" s="97">
        <f t="shared" si="290"/>
        <v>95.298846780083949</v>
      </c>
      <c r="R228" s="97">
        <f t="shared" si="290"/>
        <v>108.35035527487243</v>
      </c>
      <c r="S228" s="97">
        <f t="shared" si="290"/>
        <v>100.97442865350259</v>
      </c>
      <c r="T228" s="97">
        <f t="shared" si="290"/>
        <v>92.312999081090183</v>
      </c>
      <c r="U228" s="97">
        <f t="shared" si="290"/>
        <v>92.462678936407386</v>
      </c>
      <c r="V228" s="97">
        <f t="shared" si="290"/>
        <v>142.39354700891619</v>
      </c>
      <c r="W228" s="97">
        <f t="shared" ref="W228" si="291">IF(W16=0,0,W76/W16*1000)</f>
        <v>126.09353834686033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140.98167923877517</v>
      </c>
      <c r="C229" s="32">
        <f t="shared" si="292"/>
        <v>144.31636212566397</v>
      </c>
      <c r="D229" s="32">
        <f t="shared" si="292"/>
        <v>142.27738834154866</v>
      </c>
      <c r="E229" s="32">
        <f t="shared" si="292"/>
        <v>147.77002703340312</v>
      </c>
      <c r="F229" s="32">
        <f t="shared" si="292"/>
        <v>149.95438499164291</v>
      </c>
      <c r="G229" s="32">
        <f t="shared" si="292"/>
        <v>145.97435357591536</v>
      </c>
      <c r="H229" s="32">
        <f t="shared" si="292"/>
        <v>144.69766156242002</v>
      </c>
      <c r="I229" s="32">
        <f t="shared" si="292"/>
        <v>145.55186478567396</v>
      </c>
      <c r="J229" s="32">
        <f t="shared" si="292"/>
        <v>146.37382591950487</v>
      </c>
      <c r="K229" s="32">
        <f t="shared" si="292"/>
        <v>150.37374567519959</v>
      </c>
      <c r="L229" s="32">
        <f t="shared" si="292"/>
        <v>139.94418980410111</v>
      </c>
      <c r="M229" s="32">
        <f t="shared" si="292"/>
        <v>136.74633028196862</v>
      </c>
      <c r="N229" s="32">
        <f t="shared" si="292"/>
        <v>128.41664411034716</v>
      </c>
      <c r="O229" s="32">
        <f t="shared" si="292"/>
        <v>125.24383524869876</v>
      </c>
      <c r="P229" s="32">
        <f t="shared" si="292"/>
        <v>124.77274707900011</v>
      </c>
      <c r="Q229" s="32">
        <f t="shared" si="292"/>
        <v>134.21018217113698</v>
      </c>
      <c r="R229" s="32">
        <f t="shared" si="292"/>
        <v>135.01580291537817</v>
      </c>
      <c r="S229" s="32">
        <f t="shared" si="292"/>
        <v>136.03993238258113</v>
      </c>
      <c r="T229" s="32">
        <f t="shared" si="292"/>
        <v>147.94609757316849</v>
      </c>
      <c r="U229" s="32">
        <f t="shared" si="292"/>
        <v>145.09323258568548</v>
      </c>
      <c r="V229" s="32">
        <f t="shared" si="292"/>
        <v>140.32220244298998</v>
      </c>
      <c r="W229" s="32">
        <f t="shared" ref="W229" si="293">IF(W17=0,0,W77/W17*1000)</f>
        <v>151.72479641411621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158.47697310933322</v>
      </c>
      <c r="C230" s="141">
        <f t="shared" si="294"/>
        <v>164.80425424439196</v>
      </c>
      <c r="D230" s="141">
        <f t="shared" si="294"/>
        <v>165.27770736146849</v>
      </c>
      <c r="E230" s="141">
        <f t="shared" si="294"/>
        <v>169.43945723269445</v>
      </c>
      <c r="F230" s="141">
        <f t="shared" si="294"/>
        <v>174.7466036938153</v>
      </c>
      <c r="G230" s="141">
        <f t="shared" si="294"/>
        <v>172.14145593099585</v>
      </c>
      <c r="H230" s="141">
        <f t="shared" si="294"/>
        <v>173.31452920233622</v>
      </c>
      <c r="I230" s="141">
        <f t="shared" si="294"/>
        <v>174.20076679386432</v>
      </c>
      <c r="J230" s="141">
        <f t="shared" si="294"/>
        <v>175.875220461179</v>
      </c>
      <c r="K230" s="141">
        <f t="shared" si="294"/>
        <v>176.31562792184829</v>
      </c>
      <c r="L230" s="141">
        <f t="shared" si="294"/>
        <v>168.23662117505506</v>
      </c>
      <c r="M230" s="141">
        <f t="shared" si="294"/>
        <v>165.26851996393242</v>
      </c>
      <c r="N230" s="141">
        <f t="shared" si="294"/>
        <v>158.21506467261429</v>
      </c>
      <c r="O230" s="141">
        <f t="shared" si="294"/>
        <v>153.26914627590682</v>
      </c>
      <c r="P230" s="141">
        <f t="shared" si="294"/>
        <v>153.92187631037007</v>
      </c>
      <c r="Q230" s="141">
        <f t="shared" si="294"/>
        <v>164.38004343198602</v>
      </c>
      <c r="R230" s="141">
        <f t="shared" si="294"/>
        <v>165.16906985541209</v>
      </c>
      <c r="S230" s="141">
        <f t="shared" si="294"/>
        <v>168.74145438408803</v>
      </c>
      <c r="T230" s="141">
        <f t="shared" si="294"/>
        <v>177.50309197938941</v>
      </c>
      <c r="U230" s="141">
        <f t="shared" si="294"/>
        <v>172.67277009292422</v>
      </c>
      <c r="V230" s="141">
        <f t="shared" si="294"/>
        <v>153.78123767313343</v>
      </c>
      <c r="W230" s="141">
        <f t="shared" ref="W230" si="295">IF(W18=0,0,W78/W18*1000)</f>
        <v>168.47499479457002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4722.8364085601152</v>
      </c>
      <c r="C231" s="97">
        <f t="shared" si="296"/>
        <v>4442.9647308527674</v>
      </c>
      <c r="D231" s="97">
        <f t="shared" si="296"/>
        <v>4414.9581965754487</v>
      </c>
      <c r="E231" s="97">
        <f t="shared" si="296"/>
        <v>4204.9775468062571</v>
      </c>
      <c r="F231" s="97">
        <f t="shared" si="296"/>
        <v>4061.9636328929751</v>
      </c>
      <c r="G231" s="97">
        <f t="shared" si="296"/>
        <v>3913.357607199443</v>
      </c>
      <c r="H231" s="97">
        <f t="shared" si="296"/>
        <v>3805.8068982066925</v>
      </c>
      <c r="I231" s="97">
        <f t="shared" si="296"/>
        <v>3725.1670770455453</v>
      </c>
      <c r="J231" s="97">
        <f t="shared" si="296"/>
        <v>3616.7524428181159</v>
      </c>
      <c r="K231" s="97">
        <f t="shared" si="296"/>
        <v>3451.6350899262752</v>
      </c>
      <c r="L231" s="97">
        <f t="shared" si="296"/>
        <v>3300.0396248628181</v>
      </c>
      <c r="M231" s="97">
        <f t="shared" si="296"/>
        <v>3283.4303139952499</v>
      </c>
      <c r="N231" s="97">
        <f t="shared" si="296"/>
        <v>3230.6422174453619</v>
      </c>
      <c r="O231" s="97">
        <f t="shared" si="296"/>
        <v>3153.4769173438972</v>
      </c>
      <c r="P231" s="97">
        <f t="shared" si="296"/>
        <v>3101.8700958678028</v>
      </c>
      <c r="Q231" s="97">
        <f t="shared" si="296"/>
        <v>3181.1810291793386</v>
      </c>
      <c r="R231" s="97">
        <f t="shared" si="296"/>
        <v>3007.5768094957007</v>
      </c>
      <c r="S231" s="97">
        <f t="shared" si="296"/>
        <v>2900.9559809726848</v>
      </c>
      <c r="T231" s="97">
        <f t="shared" si="296"/>
        <v>2848.7382759056277</v>
      </c>
      <c r="U231" s="97">
        <f t="shared" si="296"/>
        <v>2808.2024318650779</v>
      </c>
      <c r="V231" s="97">
        <f t="shared" si="296"/>
        <v>2625.7258395730764</v>
      </c>
      <c r="W231" s="97">
        <f t="shared" ref="W231" si="297">IF(W19=0,0,W79/W19*1000)</f>
        <v>2692.6136293896743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80.391417387837592</v>
      </c>
      <c r="C232" s="97">
        <f t="shared" si="298"/>
        <v>90.633783687141459</v>
      </c>
      <c r="D232" s="97">
        <f t="shared" si="298"/>
        <v>90.12926673962717</v>
      </c>
      <c r="E232" s="97">
        <f t="shared" si="298"/>
        <v>93.415455270296505</v>
      </c>
      <c r="F232" s="97">
        <f t="shared" si="298"/>
        <v>99.939846322982305</v>
      </c>
      <c r="G232" s="97">
        <f t="shared" si="298"/>
        <v>97.804727327199799</v>
      </c>
      <c r="H232" s="97">
        <f t="shared" si="298"/>
        <v>100.06401325953613</v>
      </c>
      <c r="I232" s="97">
        <f t="shared" si="298"/>
        <v>100.07796418103321</v>
      </c>
      <c r="J232" s="97">
        <f t="shared" si="298"/>
        <v>98.954052801980907</v>
      </c>
      <c r="K232" s="97">
        <f t="shared" si="298"/>
        <v>98.098924795338803</v>
      </c>
      <c r="L232" s="97">
        <f t="shared" si="298"/>
        <v>94.532123196096578</v>
      </c>
      <c r="M232" s="97">
        <f t="shared" si="298"/>
        <v>92.0841096286386</v>
      </c>
      <c r="N232" s="97">
        <f t="shared" si="298"/>
        <v>86.99458955846616</v>
      </c>
      <c r="O232" s="97">
        <f t="shared" si="298"/>
        <v>88.431985659605402</v>
      </c>
      <c r="P232" s="97">
        <f t="shared" si="298"/>
        <v>88.234805608564628</v>
      </c>
      <c r="Q232" s="97">
        <f t="shared" si="298"/>
        <v>96.801486848354614</v>
      </c>
      <c r="R232" s="97">
        <f t="shared" si="298"/>
        <v>105.44356633420851</v>
      </c>
      <c r="S232" s="97">
        <f t="shared" si="298"/>
        <v>113.92477521569421</v>
      </c>
      <c r="T232" s="97">
        <f t="shared" si="298"/>
        <v>122.57118288275851</v>
      </c>
      <c r="U232" s="97">
        <f t="shared" si="298"/>
        <v>119.12325990120527</v>
      </c>
      <c r="V232" s="97">
        <f t="shared" si="298"/>
        <v>105.32123926357697</v>
      </c>
      <c r="W232" s="97">
        <f t="shared" ref="W232" si="299">IF(W20=0,0,W80/W20*1000)</f>
        <v>115.08775865481715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14.473351755101463</v>
      </c>
      <c r="C233" s="130">
        <f t="shared" si="300"/>
        <v>13.194558149959059</v>
      </c>
      <c r="D233" s="130">
        <f t="shared" si="300"/>
        <v>10.573190128864661</v>
      </c>
      <c r="E233" s="130">
        <f t="shared" si="300"/>
        <v>9.362829183642539</v>
      </c>
      <c r="F233" s="130">
        <f t="shared" si="300"/>
        <v>8.8646562766413552</v>
      </c>
      <c r="G233" s="130">
        <f t="shared" si="300"/>
        <v>8.9812540798420457</v>
      </c>
      <c r="H233" s="130">
        <f t="shared" si="300"/>
        <v>9.6194328152339583</v>
      </c>
      <c r="I233" s="130">
        <f t="shared" si="300"/>
        <v>9.7013590931445091</v>
      </c>
      <c r="J233" s="130">
        <f t="shared" si="300"/>
        <v>8.4740710353779534</v>
      </c>
      <c r="K233" s="130">
        <f t="shared" si="300"/>
        <v>6.716873939564322</v>
      </c>
      <c r="L233" s="130">
        <f t="shared" si="300"/>
        <v>5.2434986362904326</v>
      </c>
      <c r="M233" s="130">
        <f t="shared" si="300"/>
        <v>4.8093970087820423</v>
      </c>
      <c r="N233" s="130">
        <f t="shared" si="300"/>
        <v>5.9210400750231722</v>
      </c>
      <c r="O233" s="130">
        <f t="shared" si="300"/>
        <v>4.6591032994736041</v>
      </c>
      <c r="P233" s="130">
        <f t="shared" si="300"/>
        <v>3.8985822634967984</v>
      </c>
      <c r="Q233" s="130">
        <f t="shared" si="300"/>
        <v>3.7720844684305659</v>
      </c>
      <c r="R233" s="130">
        <f t="shared" si="300"/>
        <v>3.971806360450941</v>
      </c>
      <c r="S233" s="130">
        <f t="shared" si="300"/>
        <v>4.252304977627996</v>
      </c>
      <c r="T233" s="130">
        <f t="shared" si="300"/>
        <v>5.7748077742514283</v>
      </c>
      <c r="U233" s="130">
        <f t="shared" si="300"/>
        <v>6.1492629292250784</v>
      </c>
      <c r="V233" s="130">
        <f t="shared" si="300"/>
        <v>6.6411580625375537</v>
      </c>
      <c r="W233" s="130">
        <f t="shared" ref="W233" si="301">IF(W21=0,0,W81/W21*1000)</f>
        <v>6.8951059597026152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419.70863199121618</v>
      </c>
      <c r="C234" s="130">
        <f t="shared" si="302"/>
        <v>373.87342634928865</v>
      </c>
      <c r="D234" s="130">
        <f t="shared" si="302"/>
        <v>443.8672041952799</v>
      </c>
      <c r="E234" s="130">
        <f t="shared" si="302"/>
        <v>467.24960676284184</v>
      </c>
      <c r="F234" s="130">
        <f t="shared" si="302"/>
        <v>433.3189687245756</v>
      </c>
      <c r="G234" s="130">
        <f t="shared" si="302"/>
        <v>427.76301436786258</v>
      </c>
      <c r="H234" s="130">
        <f t="shared" si="302"/>
        <v>417.53366786378729</v>
      </c>
      <c r="I234" s="130">
        <f t="shared" si="302"/>
        <v>381.2999038772291</v>
      </c>
      <c r="J234" s="130">
        <f t="shared" si="302"/>
        <v>364.514427225188</v>
      </c>
      <c r="K234" s="130">
        <f t="shared" si="302"/>
        <v>328.5787624773061</v>
      </c>
      <c r="L234" s="130">
        <f t="shared" si="302"/>
        <v>302.84556183117286</v>
      </c>
      <c r="M234" s="130">
        <f t="shared" si="302"/>
        <v>290.54505908331805</v>
      </c>
      <c r="N234" s="130">
        <f t="shared" si="302"/>
        <v>272.21764444939231</v>
      </c>
      <c r="O234" s="130">
        <f t="shared" si="302"/>
        <v>272.31287918320146</v>
      </c>
      <c r="P234" s="130">
        <f t="shared" si="302"/>
        <v>247.07891243883324</v>
      </c>
      <c r="Q234" s="130">
        <f t="shared" si="302"/>
        <v>247.21575766639964</v>
      </c>
      <c r="R234" s="130">
        <f t="shared" si="302"/>
        <v>241.82278774667151</v>
      </c>
      <c r="S234" s="130">
        <f t="shared" si="302"/>
        <v>239.95708498540998</v>
      </c>
      <c r="T234" s="130">
        <f t="shared" si="302"/>
        <v>220.52149396950836</v>
      </c>
      <c r="U234" s="130">
        <f t="shared" si="302"/>
        <v>220.61653253019983</v>
      </c>
      <c r="V234" s="130">
        <f t="shared" si="302"/>
        <v>296.68214389742832</v>
      </c>
      <c r="W234" s="130">
        <f t="shared" ref="W234" si="303">IF(W22=0,0,W82/W22*1000)</f>
        <v>287.79738287823164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0</v>
      </c>
      <c r="C235" s="97">
        <f t="shared" si="304"/>
        <v>0</v>
      </c>
      <c r="D235" s="97">
        <f t="shared" si="304"/>
        <v>0</v>
      </c>
      <c r="E235" s="97">
        <f t="shared" si="304"/>
        <v>0</v>
      </c>
      <c r="F235" s="97">
        <f t="shared" si="304"/>
        <v>0</v>
      </c>
      <c r="G235" s="97">
        <f t="shared" si="304"/>
        <v>0</v>
      </c>
      <c r="H235" s="97">
        <f t="shared" si="304"/>
        <v>0</v>
      </c>
      <c r="I235" s="97">
        <f t="shared" si="304"/>
        <v>0</v>
      </c>
      <c r="J235" s="97">
        <f t="shared" si="304"/>
        <v>0</v>
      </c>
      <c r="K235" s="97">
        <f t="shared" si="304"/>
        <v>0</v>
      </c>
      <c r="L235" s="97">
        <f t="shared" si="304"/>
        <v>0</v>
      </c>
      <c r="M235" s="97">
        <f t="shared" si="304"/>
        <v>0</v>
      </c>
      <c r="N235" s="97">
        <f t="shared" si="304"/>
        <v>0</v>
      </c>
      <c r="O235" s="97">
        <f t="shared" si="304"/>
        <v>0</v>
      </c>
      <c r="P235" s="97">
        <f t="shared" si="304"/>
        <v>0</v>
      </c>
      <c r="Q235" s="97">
        <f t="shared" si="304"/>
        <v>0</v>
      </c>
      <c r="R235" s="97">
        <f t="shared" si="304"/>
        <v>0</v>
      </c>
      <c r="S235" s="97">
        <f t="shared" si="304"/>
        <v>0</v>
      </c>
      <c r="T235" s="97">
        <f t="shared" si="304"/>
        <v>0</v>
      </c>
      <c r="U235" s="97">
        <f t="shared" si="304"/>
        <v>0</v>
      </c>
      <c r="V235" s="97">
        <f t="shared" si="304"/>
        <v>0</v>
      </c>
      <c r="W235" s="97">
        <f t="shared" ref="W235" si="305">IF(W23=0,0,W83/W23*1000)</f>
        <v>0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713.2227800521274</v>
      </c>
      <c r="C236" s="97">
        <f t="shared" si="306"/>
        <v>651.70034091460195</v>
      </c>
      <c r="D236" s="97">
        <f t="shared" si="306"/>
        <v>783.93068085740094</v>
      </c>
      <c r="E236" s="97">
        <f t="shared" si="306"/>
        <v>763.33408121092839</v>
      </c>
      <c r="F236" s="97">
        <f t="shared" si="306"/>
        <v>750.20663906432901</v>
      </c>
      <c r="G236" s="97">
        <f t="shared" si="306"/>
        <v>742.28598903267311</v>
      </c>
      <c r="H236" s="97">
        <f t="shared" si="306"/>
        <v>787.24198845869125</v>
      </c>
      <c r="I236" s="97">
        <f t="shared" si="306"/>
        <v>822.47395450375132</v>
      </c>
      <c r="J236" s="97">
        <f t="shared" si="306"/>
        <v>931.03173849947063</v>
      </c>
      <c r="K236" s="97">
        <f t="shared" si="306"/>
        <v>865.49049740026237</v>
      </c>
      <c r="L236" s="97">
        <f t="shared" si="306"/>
        <v>837.71149592105519</v>
      </c>
      <c r="M236" s="97">
        <f t="shared" si="306"/>
        <v>826.27593129903039</v>
      </c>
      <c r="N236" s="97">
        <f t="shared" si="306"/>
        <v>744.85876519626277</v>
      </c>
      <c r="O236" s="97">
        <f t="shared" si="306"/>
        <v>727.20939335930018</v>
      </c>
      <c r="P236" s="97">
        <f t="shared" si="306"/>
        <v>651.27449608753307</v>
      </c>
      <c r="Q236" s="97">
        <f t="shared" si="306"/>
        <v>676.13531713034126</v>
      </c>
      <c r="R236" s="97">
        <f t="shared" si="306"/>
        <v>606.71403829504186</v>
      </c>
      <c r="S236" s="97">
        <f t="shared" si="306"/>
        <v>761.76163243824169</v>
      </c>
      <c r="T236" s="97">
        <f t="shared" si="306"/>
        <v>807.54571814522694</v>
      </c>
      <c r="U236" s="97">
        <f t="shared" si="306"/>
        <v>798.06607997496246</v>
      </c>
      <c r="V236" s="97">
        <f t="shared" si="306"/>
        <v>1230.2134231269326</v>
      </c>
      <c r="W236" s="97">
        <f t="shared" ref="W236" si="307">IF(W24=0,0,W84/W24*1000)</f>
        <v>1530.2408290211124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360.32740866854721</v>
      </c>
      <c r="C237" s="97">
        <f t="shared" si="308"/>
        <v>327.46935454764616</v>
      </c>
      <c r="D237" s="97">
        <f t="shared" si="308"/>
        <v>389.98630203189191</v>
      </c>
      <c r="E237" s="97">
        <f t="shared" si="308"/>
        <v>427.20590941981141</v>
      </c>
      <c r="F237" s="97">
        <f t="shared" si="308"/>
        <v>393.0154108278428</v>
      </c>
      <c r="G237" s="97">
        <f t="shared" si="308"/>
        <v>383.81169993735915</v>
      </c>
      <c r="H237" s="97">
        <f t="shared" si="308"/>
        <v>352.56313988212031</v>
      </c>
      <c r="I237" s="97">
        <f t="shared" si="308"/>
        <v>320.84137883381305</v>
      </c>
      <c r="J237" s="97">
        <f t="shared" si="308"/>
        <v>312.68887825091264</v>
      </c>
      <c r="K237" s="97">
        <f t="shared" si="308"/>
        <v>280.69984268526645</v>
      </c>
      <c r="L237" s="97">
        <f t="shared" si="308"/>
        <v>264.47464356581537</v>
      </c>
      <c r="M237" s="97">
        <f t="shared" si="308"/>
        <v>254.75856617335342</v>
      </c>
      <c r="N237" s="97">
        <f t="shared" si="308"/>
        <v>233.84144331772495</v>
      </c>
      <c r="O237" s="97">
        <f t="shared" si="308"/>
        <v>230.74971984495133</v>
      </c>
      <c r="P237" s="97">
        <f t="shared" si="308"/>
        <v>209.88165236937371</v>
      </c>
      <c r="Q237" s="97">
        <f t="shared" si="308"/>
        <v>213.40976806757595</v>
      </c>
      <c r="R237" s="97">
        <f t="shared" si="308"/>
        <v>211.30956166062685</v>
      </c>
      <c r="S237" s="97">
        <f t="shared" si="308"/>
        <v>202.62980593400286</v>
      </c>
      <c r="T237" s="97">
        <f t="shared" si="308"/>
        <v>180.5825836380576</v>
      </c>
      <c r="U237" s="97">
        <f t="shared" si="308"/>
        <v>179.62896471951879</v>
      </c>
      <c r="V237" s="97">
        <f t="shared" si="308"/>
        <v>247.88959347521993</v>
      </c>
      <c r="W237" s="97">
        <f t="shared" ref="W237" si="309">IF(W25=0,0,W85/W25*1000)</f>
        <v>230.79086892292722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121.68910309998934</v>
      </c>
      <c r="C238" s="130">
        <f t="shared" si="310"/>
        <v>110.20571370097572</v>
      </c>
      <c r="D238" s="130">
        <f t="shared" si="310"/>
        <v>94.733310409202716</v>
      </c>
      <c r="E238" s="130">
        <f t="shared" si="310"/>
        <v>103.92049521634499</v>
      </c>
      <c r="F238" s="130">
        <f t="shared" si="310"/>
        <v>90.995388326535647</v>
      </c>
      <c r="G238" s="130">
        <f t="shared" si="310"/>
        <v>81.811673856966308</v>
      </c>
      <c r="H238" s="130">
        <f t="shared" si="310"/>
        <v>50.686912308324608</v>
      </c>
      <c r="I238" s="130">
        <f t="shared" si="310"/>
        <v>51.955083494914945</v>
      </c>
      <c r="J238" s="130">
        <f t="shared" si="310"/>
        <v>53.003494776232898</v>
      </c>
      <c r="K238" s="130">
        <f t="shared" si="310"/>
        <v>55.908689856679189</v>
      </c>
      <c r="L238" s="130">
        <f t="shared" si="310"/>
        <v>52.0875717222847</v>
      </c>
      <c r="M238" s="130">
        <f t="shared" si="310"/>
        <v>49.265355308052108</v>
      </c>
      <c r="N238" s="130">
        <f t="shared" si="310"/>
        <v>42.476065996258839</v>
      </c>
      <c r="O238" s="130">
        <f t="shared" si="310"/>
        <v>43.642458809225808</v>
      </c>
      <c r="P238" s="130">
        <f t="shared" si="310"/>
        <v>41.303523688121487</v>
      </c>
      <c r="Q238" s="130">
        <f t="shared" si="310"/>
        <v>40.254663461905409</v>
      </c>
      <c r="R238" s="130">
        <f t="shared" si="310"/>
        <v>39.273460469013202</v>
      </c>
      <c r="S238" s="130">
        <f t="shared" si="310"/>
        <v>37.401843965913713</v>
      </c>
      <c r="T238" s="130">
        <f t="shared" si="310"/>
        <v>50.760825447165061</v>
      </c>
      <c r="U238" s="130">
        <f t="shared" si="310"/>
        <v>48.924280899697941</v>
      </c>
      <c r="V238" s="130">
        <f t="shared" si="310"/>
        <v>51.00317455184755</v>
      </c>
      <c r="W238" s="130">
        <f t="shared" ref="W238" si="311">IF(W26=0,0,W86/W26*1000)</f>
        <v>45.886362691757164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188.12210819178947</v>
      </c>
      <c r="C239" s="97">
        <f t="shared" si="312"/>
        <v>170.97577246242332</v>
      </c>
      <c r="D239" s="97">
        <f t="shared" si="312"/>
        <v>156.52489159282544</v>
      </c>
      <c r="E239" s="97">
        <f t="shared" si="312"/>
        <v>160.5923840431781</v>
      </c>
      <c r="F239" s="97">
        <f t="shared" si="312"/>
        <v>142.74491825511777</v>
      </c>
      <c r="G239" s="97">
        <f t="shared" si="312"/>
        <v>137.6339673078578</v>
      </c>
      <c r="H239" s="97">
        <f t="shared" si="312"/>
        <v>99.782070170239052</v>
      </c>
      <c r="I239" s="97">
        <f t="shared" si="312"/>
        <v>97.453224214937038</v>
      </c>
      <c r="J239" s="97">
        <f t="shared" si="312"/>
        <v>107.13107690780187</v>
      </c>
      <c r="K239" s="97">
        <f t="shared" si="312"/>
        <v>99.158557334111194</v>
      </c>
      <c r="L239" s="97">
        <f t="shared" si="312"/>
        <v>91.878296423556094</v>
      </c>
      <c r="M239" s="97">
        <f t="shared" si="312"/>
        <v>101.15955407587042</v>
      </c>
      <c r="N239" s="97">
        <f t="shared" si="312"/>
        <v>88.320956259181543</v>
      </c>
      <c r="O239" s="97">
        <f t="shared" si="312"/>
        <v>95.244515222063242</v>
      </c>
      <c r="P239" s="97">
        <f t="shared" si="312"/>
        <v>93.700278113352127</v>
      </c>
      <c r="Q239" s="97">
        <f t="shared" si="312"/>
        <v>83.643047613077925</v>
      </c>
      <c r="R239" s="97">
        <f t="shared" si="312"/>
        <v>82.912633219374541</v>
      </c>
      <c r="S239" s="97">
        <f t="shared" si="312"/>
        <v>85.818063434972842</v>
      </c>
      <c r="T239" s="97">
        <f t="shared" si="312"/>
        <v>109.57179378768308</v>
      </c>
      <c r="U239" s="97">
        <f t="shared" si="312"/>
        <v>107.90380883179094</v>
      </c>
      <c r="V239" s="97">
        <f t="shared" si="312"/>
        <v>101.53805435694116</v>
      </c>
      <c r="W239" s="97">
        <f t="shared" ref="W239" si="313">IF(W27=0,0,W87/W27*1000)</f>
        <v>95.383408679393355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119.09439473756809</v>
      </c>
      <c r="C240" s="98">
        <f t="shared" si="314"/>
        <v>108.21428959248645</v>
      </c>
      <c r="D240" s="98">
        <f t="shared" si="314"/>
        <v>93.090525386747814</v>
      </c>
      <c r="E240" s="98">
        <f t="shared" si="314"/>
        <v>102.51984569668255</v>
      </c>
      <c r="F240" s="98">
        <f t="shared" si="314"/>
        <v>90.063822789446604</v>
      </c>
      <c r="G240" s="98">
        <f t="shared" si="314"/>
        <v>80.019065307131569</v>
      </c>
      <c r="H240" s="98">
        <f t="shared" si="314"/>
        <v>48.865569031069924</v>
      </c>
      <c r="I240" s="98">
        <f t="shared" si="314"/>
        <v>49.999527332701838</v>
      </c>
      <c r="J240" s="98">
        <f t="shared" si="314"/>
        <v>50.64948338246522</v>
      </c>
      <c r="K240" s="98">
        <f t="shared" si="314"/>
        <v>54.461555515643006</v>
      </c>
      <c r="L240" s="98">
        <f t="shared" si="314"/>
        <v>50.956348180154414</v>
      </c>
      <c r="M240" s="98">
        <f t="shared" si="314"/>
        <v>48.122779793229334</v>
      </c>
      <c r="N240" s="98">
        <f t="shared" si="314"/>
        <v>41.57161054701416</v>
      </c>
      <c r="O240" s="98">
        <f t="shared" si="314"/>
        <v>42.671299644101971</v>
      </c>
      <c r="P240" s="98">
        <f t="shared" si="314"/>
        <v>40.348364596233353</v>
      </c>
      <c r="Q240" s="98">
        <f t="shared" si="314"/>
        <v>39.476623090476373</v>
      </c>
      <c r="R240" s="98">
        <f t="shared" si="314"/>
        <v>38.354410451317491</v>
      </c>
      <c r="S240" s="98">
        <f t="shared" si="314"/>
        <v>36.681228437719518</v>
      </c>
      <c r="T240" s="98">
        <f t="shared" si="314"/>
        <v>49.550539020557153</v>
      </c>
      <c r="U240" s="98">
        <f t="shared" si="314"/>
        <v>47.460704711391557</v>
      </c>
      <c r="V240" s="98">
        <f t="shared" si="314"/>
        <v>49.585632868587155</v>
      </c>
      <c r="W240" s="98">
        <f t="shared" ref="W240:W243" si="315">IF(W28=0,0,W88/W28*1000)</f>
        <v>44.299867399164704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32.028222745974894</v>
      </c>
      <c r="C241" s="32">
        <f t="shared" si="316"/>
        <v>32.28134851009964</v>
      </c>
      <c r="D241" s="32">
        <f t="shared" si="316"/>
        <v>41.315227359515909</v>
      </c>
      <c r="E241" s="32">
        <f t="shared" si="316"/>
        <v>41.814086717651932</v>
      </c>
      <c r="F241" s="32">
        <f t="shared" si="316"/>
        <v>40.589460172151192</v>
      </c>
      <c r="G241" s="32">
        <f t="shared" si="316"/>
        <v>37.08056743000872</v>
      </c>
      <c r="H241" s="32">
        <f t="shared" si="316"/>
        <v>37.632329151026518</v>
      </c>
      <c r="I241" s="32">
        <f t="shared" si="316"/>
        <v>38.207845272204445</v>
      </c>
      <c r="J241" s="32">
        <f t="shared" si="316"/>
        <v>37.87187971794453</v>
      </c>
      <c r="K241" s="32">
        <f t="shared" si="316"/>
        <v>33.738432414647434</v>
      </c>
      <c r="L241" s="32">
        <f t="shared" si="316"/>
        <v>33.205729325003162</v>
      </c>
      <c r="M241" s="32">
        <f t="shared" si="316"/>
        <v>27.588909959363857</v>
      </c>
      <c r="N241" s="32">
        <f t="shared" si="316"/>
        <v>26.442152598103537</v>
      </c>
      <c r="O241" s="32">
        <f t="shared" si="316"/>
        <v>26.495280446952492</v>
      </c>
      <c r="P241" s="32">
        <f t="shared" si="316"/>
        <v>22.358793010635388</v>
      </c>
      <c r="Q241" s="32">
        <f t="shared" si="316"/>
        <v>23.436128301859902</v>
      </c>
      <c r="R241" s="32">
        <f t="shared" si="316"/>
        <v>26.49831387031016</v>
      </c>
      <c r="S241" s="32">
        <f t="shared" si="316"/>
        <v>27.221966396185358</v>
      </c>
      <c r="T241" s="32">
        <f t="shared" si="316"/>
        <v>32.329859189637737</v>
      </c>
      <c r="U241" s="32">
        <f t="shared" si="316"/>
        <v>27.578475521440236</v>
      </c>
      <c r="V241" s="32">
        <f t="shared" si="316"/>
        <v>22.062551663139224</v>
      </c>
      <c r="W241" s="32">
        <f t="shared" si="315"/>
        <v>24.425334707267382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86.898563898464815</v>
      </c>
      <c r="C242" s="97">
        <f t="shared" si="317"/>
        <v>86.67554256207741</v>
      </c>
      <c r="D242" s="97">
        <f t="shared" si="317"/>
        <v>114.13322444006212</v>
      </c>
      <c r="E242" s="97">
        <f t="shared" si="317"/>
        <v>115.63647527725263</v>
      </c>
      <c r="F242" s="97">
        <f t="shared" si="317"/>
        <v>117.51807784418871</v>
      </c>
      <c r="G242" s="97">
        <f t="shared" si="317"/>
        <v>111.56451259900872</v>
      </c>
      <c r="H242" s="97">
        <f t="shared" si="317"/>
        <v>113.84796738086527</v>
      </c>
      <c r="I242" s="97">
        <f t="shared" si="317"/>
        <v>117.18316158756829</v>
      </c>
      <c r="J242" s="97">
        <f t="shared" si="317"/>
        <v>117.11004166975106</v>
      </c>
      <c r="K242" s="97">
        <f t="shared" si="317"/>
        <v>104.5153594774341</v>
      </c>
      <c r="L242" s="97">
        <f t="shared" si="317"/>
        <v>100.63834492671224</v>
      </c>
      <c r="M242" s="97">
        <f t="shared" si="317"/>
        <v>86.19271551757069</v>
      </c>
      <c r="N242" s="97">
        <f t="shared" si="317"/>
        <v>80.42514285470439</v>
      </c>
      <c r="O242" s="97">
        <f t="shared" si="317"/>
        <v>79.596871738012084</v>
      </c>
      <c r="P242" s="97">
        <f t="shared" si="317"/>
        <v>66.049056348818254</v>
      </c>
      <c r="Q242" s="97">
        <f t="shared" si="317"/>
        <v>67.510086245900979</v>
      </c>
      <c r="R242" s="97">
        <f t="shared" si="317"/>
        <v>71.982148898969442</v>
      </c>
      <c r="S242" s="97">
        <f t="shared" si="317"/>
        <v>77.813729803566815</v>
      </c>
      <c r="T242" s="97">
        <f t="shared" si="317"/>
        <v>94.548872704496773</v>
      </c>
      <c r="U242" s="97">
        <f t="shared" si="317"/>
        <v>80.386781239038612</v>
      </c>
      <c r="V242" s="97">
        <f t="shared" si="317"/>
        <v>55.037193223170341</v>
      </c>
      <c r="W242" s="97">
        <f t="shared" si="315"/>
        <v>64.22368247942731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26.494898232399848</v>
      </c>
      <c r="C243" s="98">
        <f t="shared" si="318"/>
        <v>26.557950591377452</v>
      </c>
      <c r="D243" s="98">
        <f t="shared" si="318"/>
        <v>34.366084936387644</v>
      </c>
      <c r="E243" s="98">
        <f t="shared" si="318"/>
        <v>34.801034313723626</v>
      </c>
      <c r="F243" s="98">
        <f t="shared" si="318"/>
        <v>34.451331778437577</v>
      </c>
      <c r="G243" s="98">
        <f t="shared" si="318"/>
        <v>32.034304178549945</v>
      </c>
      <c r="H243" s="98">
        <f t="shared" si="318"/>
        <v>32.645081194579269</v>
      </c>
      <c r="I243" s="98">
        <f t="shared" si="318"/>
        <v>33.276899451022324</v>
      </c>
      <c r="J243" s="98">
        <f t="shared" si="318"/>
        <v>33.009970244751749</v>
      </c>
      <c r="K243" s="98">
        <f t="shared" si="318"/>
        <v>29.462619581536977</v>
      </c>
      <c r="L243" s="98">
        <f t="shared" si="318"/>
        <v>28.630319381193484</v>
      </c>
      <c r="M243" s="98">
        <f t="shared" si="318"/>
        <v>24.035137553818707</v>
      </c>
      <c r="N243" s="98">
        <f t="shared" si="318"/>
        <v>22.772240579871063</v>
      </c>
      <c r="O243" s="98">
        <f t="shared" si="318"/>
        <v>22.663112262198133</v>
      </c>
      <c r="P243" s="98">
        <f t="shared" si="318"/>
        <v>19.031490948346999</v>
      </c>
      <c r="Q243" s="98">
        <f t="shared" si="318"/>
        <v>19.885946763835939</v>
      </c>
      <c r="R243" s="98">
        <f t="shared" si="318"/>
        <v>21.957425100184</v>
      </c>
      <c r="S243" s="98">
        <f t="shared" si="318"/>
        <v>22.881572842807874</v>
      </c>
      <c r="T243" s="98">
        <f t="shared" si="318"/>
        <v>27.426432184635875</v>
      </c>
      <c r="U243" s="98">
        <f t="shared" si="318"/>
        <v>23.219069886669772</v>
      </c>
      <c r="V243" s="98">
        <f t="shared" si="318"/>
        <v>19.306606635671027</v>
      </c>
      <c r="W243" s="98">
        <f t="shared" si="315"/>
        <v>21.148078067486939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117433.00886125924</v>
      </c>
      <c r="C4" s="29">
        <f t="shared" si="0"/>
        <v>118891.30258396639</v>
      </c>
      <c r="D4" s="29">
        <f t="shared" si="0"/>
        <v>121560.93037711133</v>
      </c>
      <c r="E4" s="29">
        <f t="shared" si="0"/>
        <v>120815.23445392771</v>
      </c>
      <c r="F4" s="29">
        <f t="shared" si="0"/>
        <v>122048.70723302578</v>
      </c>
      <c r="G4" s="29">
        <f t="shared" si="0"/>
        <v>122135.05452998632</v>
      </c>
      <c r="H4" s="29">
        <f t="shared" si="0"/>
        <v>122613.89313047832</v>
      </c>
      <c r="I4" s="29">
        <f t="shared" si="0"/>
        <v>125254.50743766689</v>
      </c>
      <c r="J4" s="29">
        <f t="shared" si="0"/>
        <v>127508.37232649041</v>
      </c>
      <c r="K4" s="29">
        <f t="shared" si="0"/>
        <v>127628.38228942898</v>
      </c>
      <c r="L4" s="29">
        <f t="shared" ref="L4" si="1">L5+L6+L13</f>
        <v>128602.3835045498</v>
      </c>
      <c r="M4" s="29">
        <f t="shared" ref="M4:V4" si="2">M5+M6+M13</f>
        <v>129472.54895241372</v>
      </c>
      <c r="N4" s="29">
        <f t="shared" si="2"/>
        <v>129813.66365750924</v>
      </c>
      <c r="O4" s="29">
        <f t="shared" si="2"/>
        <v>122742.78362016167</v>
      </c>
      <c r="P4" s="29">
        <f t="shared" si="2"/>
        <v>125292.54792586355</v>
      </c>
      <c r="Q4" s="29">
        <f t="shared" si="2"/>
        <v>123141.55671870732</v>
      </c>
      <c r="R4" s="29">
        <f t="shared" si="2"/>
        <v>121526.64550293238</v>
      </c>
      <c r="S4" s="29">
        <f t="shared" si="2"/>
        <v>122000.96864754577</v>
      </c>
      <c r="T4" s="29">
        <f t="shared" si="2"/>
        <v>122477.63199963773</v>
      </c>
      <c r="U4" s="29">
        <f t="shared" si="2"/>
        <v>122878.12076963649</v>
      </c>
      <c r="V4" s="29">
        <f t="shared" si="2"/>
        <v>101887.15400526843</v>
      </c>
      <c r="W4" s="29">
        <f t="shared" ref="W4" si="3">W5+W6+W13</f>
        <v>107680.02718956838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1590.3623888303243</v>
      </c>
      <c r="C5" s="152">
        <f t="shared" si="4"/>
        <v>1665.4020178848689</v>
      </c>
      <c r="D5" s="152">
        <f t="shared" si="4"/>
        <v>1758.0679492512359</v>
      </c>
      <c r="E5" s="152">
        <f t="shared" si="4"/>
        <v>1836.7829175178247</v>
      </c>
      <c r="F5" s="152">
        <f t="shared" si="4"/>
        <v>1871.6898187547947</v>
      </c>
      <c r="G5" s="152">
        <f t="shared" si="4"/>
        <v>1815.7420138147825</v>
      </c>
      <c r="H5" s="152">
        <f t="shared" si="4"/>
        <v>1876.2897786461263</v>
      </c>
      <c r="I5" s="152">
        <f t="shared" si="4"/>
        <v>1954.4734054710254</v>
      </c>
      <c r="J5" s="152">
        <f t="shared" si="4"/>
        <v>1955.501997711174</v>
      </c>
      <c r="K5" s="152">
        <f t="shared" si="4"/>
        <v>1924.6048560295321</v>
      </c>
      <c r="L5" s="152">
        <f t="shared" ref="L5:L7" si="5">IF(L32=0,0,L32*L142)</f>
        <v>1834.6232854949797</v>
      </c>
      <c r="M5" s="152">
        <f t="shared" ref="M5:V5" si="6">IF(M32=0,0,M32*M142)</f>
        <v>1833.0161514524061</v>
      </c>
      <c r="N5" s="152">
        <f t="shared" si="6"/>
        <v>1762.6053755749626</v>
      </c>
      <c r="O5" s="152">
        <f t="shared" si="6"/>
        <v>1683.2479828536914</v>
      </c>
      <c r="P5" s="152">
        <f t="shared" si="6"/>
        <v>1777.3054142125463</v>
      </c>
      <c r="Q5" s="152">
        <f t="shared" si="6"/>
        <v>1758.7881231583181</v>
      </c>
      <c r="R5" s="152">
        <f t="shared" si="6"/>
        <v>1800.2818020423722</v>
      </c>
      <c r="S5" s="152">
        <f t="shared" si="6"/>
        <v>1698.326884679253</v>
      </c>
      <c r="T5" s="152">
        <f t="shared" si="6"/>
        <v>1635.3714093245499</v>
      </c>
      <c r="U5" s="152">
        <f t="shared" si="6"/>
        <v>1752.0769201085425</v>
      </c>
      <c r="V5" s="152">
        <f t="shared" si="6"/>
        <v>1576.7533961627651</v>
      </c>
      <c r="W5" s="152">
        <f t="shared" ref="W5" si="7">IF(W32=0,0,W32*W142)</f>
        <v>1656.8387177181953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102544.38530389039</v>
      </c>
      <c r="C6" s="116">
        <f t="shared" si="8"/>
        <v>103440.56228671243</v>
      </c>
      <c r="D6" s="116">
        <f t="shared" si="8"/>
        <v>104843.43859901592</v>
      </c>
      <c r="E6" s="116">
        <f t="shared" si="8"/>
        <v>102494.87951863394</v>
      </c>
      <c r="F6" s="116">
        <f t="shared" si="8"/>
        <v>103034.02541013168</v>
      </c>
      <c r="G6" s="116">
        <f t="shared" si="8"/>
        <v>102804.26446068902</v>
      </c>
      <c r="H6" s="116">
        <f t="shared" si="8"/>
        <v>102659.59801049538</v>
      </c>
      <c r="I6" s="116">
        <f t="shared" si="8"/>
        <v>104570.39703409256</v>
      </c>
      <c r="J6" s="116">
        <f t="shared" si="8"/>
        <v>107942.87032877923</v>
      </c>
      <c r="K6" s="116">
        <f t="shared" si="8"/>
        <v>108073.77743339945</v>
      </c>
      <c r="L6" s="116">
        <f t="shared" ref="L6" si="9">SUM(L7:L12)</f>
        <v>109387.76021905482</v>
      </c>
      <c r="M6" s="116">
        <f t="shared" ref="M6:V6" si="10">SUM(M7:M12)</f>
        <v>109969.53280096131</v>
      </c>
      <c r="N6" s="116">
        <f t="shared" si="10"/>
        <v>110141.05828193428</v>
      </c>
      <c r="O6" s="116">
        <f t="shared" si="10"/>
        <v>105293.13563730798</v>
      </c>
      <c r="P6" s="116">
        <f t="shared" si="10"/>
        <v>108110.64251165099</v>
      </c>
      <c r="Q6" s="116">
        <f t="shared" si="10"/>
        <v>107001.968595549</v>
      </c>
      <c r="R6" s="116">
        <f t="shared" si="10"/>
        <v>106139.76370089001</v>
      </c>
      <c r="S6" s="116">
        <f t="shared" si="10"/>
        <v>106940</v>
      </c>
      <c r="T6" s="116">
        <f t="shared" si="10"/>
        <v>107319.94254833911</v>
      </c>
      <c r="U6" s="116">
        <f t="shared" si="10"/>
        <v>107444.65259541536</v>
      </c>
      <c r="V6" s="116">
        <f t="shared" si="10"/>
        <v>91438.818388364336</v>
      </c>
      <c r="W6" s="116">
        <f t="shared" ref="W6" si="11">SUM(W7:W12)</f>
        <v>96748.051778661145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43864.831741316957</v>
      </c>
      <c r="C7" s="87">
        <f t="shared" si="12"/>
        <v>41719.255925989841</v>
      </c>
      <c r="D7" s="87">
        <f t="shared" si="12"/>
        <v>40209.171375847327</v>
      </c>
      <c r="E7" s="87">
        <f t="shared" si="12"/>
        <v>38417.978198981233</v>
      </c>
      <c r="F7" s="87">
        <f t="shared" si="12"/>
        <v>34316.414134853541</v>
      </c>
      <c r="G7" s="87">
        <f t="shared" si="12"/>
        <v>32824.242818227482</v>
      </c>
      <c r="H7" s="87">
        <f t="shared" si="12"/>
        <v>29479.007658603583</v>
      </c>
      <c r="I7" s="87">
        <f t="shared" si="12"/>
        <v>27128.394578379692</v>
      </c>
      <c r="J7" s="87">
        <f t="shared" si="12"/>
        <v>25011.336910660702</v>
      </c>
      <c r="K7" s="87">
        <f t="shared" si="12"/>
        <v>23851.335092871195</v>
      </c>
      <c r="L7" s="87">
        <f t="shared" si="5"/>
        <v>22325.326661812443</v>
      </c>
      <c r="M7" s="87">
        <f t="shared" ref="M7:V7" si="13">IF(M34=0,0,M34*M144)</f>
        <v>21727.30152442394</v>
      </c>
      <c r="N7" s="87">
        <f t="shared" si="13"/>
        <v>21665.0299480717</v>
      </c>
      <c r="O7" s="87">
        <f t="shared" si="13"/>
        <v>21460.169485998413</v>
      </c>
      <c r="P7" s="87">
        <f t="shared" si="13"/>
        <v>22940.220499639094</v>
      </c>
      <c r="Q7" s="87">
        <f t="shared" si="13"/>
        <v>23847.194761851628</v>
      </c>
      <c r="R7" s="87">
        <f t="shared" si="13"/>
        <v>25908.213495053016</v>
      </c>
      <c r="S7" s="87">
        <f t="shared" si="13"/>
        <v>28538.432035433503</v>
      </c>
      <c r="T7" s="87">
        <f t="shared" si="13"/>
        <v>33174.237840186084</v>
      </c>
      <c r="U7" s="87">
        <f t="shared" si="13"/>
        <v>38123.380530323491</v>
      </c>
      <c r="V7" s="87">
        <f t="shared" si="13"/>
        <v>32981.246008250353</v>
      </c>
      <c r="W7" s="87">
        <f t="shared" ref="W7" si="14">IF(W34=0,0,W34*W144)</f>
        <v>38962.350260412939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57682.408524453473</v>
      </c>
      <c r="C8" s="87">
        <f t="shared" si="15"/>
        <v>60557.173752577204</v>
      </c>
      <c r="D8" s="87">
        <f t="shared" si="15"/>
        <v>63441.947565944618</v>
      </c>
      <c r="E8" s="87">
        <f t="shared" si="15"/>
        <v>63025.798682090433</v>
      </c>
      <c r="F8" s="87">
        <f t="shared" si="15"/>
        <v>67733.362115669384</v>
      </c>
      <c r="G8" s="87">
        <f t="shared" si="15"/>
        <v>69076.771469181433</v>
      </c>
      <c r="H8" s="87">
        <f t="shared" si="15"/>
        <v>72372.619815670274</v>
      </c>
      <c r="I8" s="87">
        <f t="shared" si="15"/>
        <v>76734.59458167947</v>
      </c>
      <c r="J8" s="87">
        <f t="shared" si="15"/>
        <v>82273.141600272182</v>
      </c>
      <c r="K8" s="87">
        <f t="shared" si="15"/>
        <v>83627.199075294018</v>
      </c>
      <c r="L8" s="87">
        <f t="shared" ref="L8" si="16">IF(L35=0,0,L35*L145)</f>
        <v>86521.026435810418</v>
      </c>
      <c r="M8" s="87">
        <f t="shared" ref="M8:V8" si="17">IF(M35=0,0,M35*M145)</f>
        <v>87636.726227082414</v>
      </c>
      <c r="N8" s="87">
        <f t="shared" si="17"/>
        <v>87827.886556011043</v>
      </c>
      <c r="O8" s="87">
        <f t="shared" si="17"/>
        <v>83249.98751738228</v>
      </c>
      <c r="P8" s="87">
        <f t="shared" si="17"/>
        <v>84473.217490393887</v>
      </c>
      <c r="Q8" s="87">
        <f t="shared" si="17"/>
        <v>82180.239110577182</v>
      </c>
      <c r="R8" s="87">
        <f t="shared" si="17"/>
        <v>79171.32829032281</v>
      </c>
      <c r="S8" s="87">
        <f t="shared" si="17"/>
        <v>77107.288207016201</v>
      </c>
      <c r="T8" s="87">
        <f t="shared" si="17"/>
        <v>72554.155531066615</v>
      </c>
      <c r="U8" s="87">
        <f t="shared" si="17"/>
        <v>67348.747958784516</v>
      </c>
      <c r="V8" s="87">
        <f t="shared" si="17"/>
        <v>56083.248818330874</v>
      </c>
      <c r="W8" s="87">
        <f t="shared" ref="W8" si="18">IF(W35=0,0,W35*W145)</f>
        <v>54249.377519641414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997.14503811995769</v>
      </c>
      <c r="C9" s="87">
        <f t="shared" si="19"/>
        <v>1164.1326081453856</v>
      </c>
      <c r="D9" s="87">
        <f t="shared" si="19"/>
        <v>1192.3196572239892</v>
      </c>
      <c r="E9" s="87">
        <f t="shared" si="19"/>
        <v>1051.1026375622764</v>
      </c>
      <c r="F9" s="87">
        <f t="shared" si="19"/>
        <v>979.04370537648902</v>
      </c>
      <c r="G9" s="87">
        <f t="shared" si="19"/>
        <v>897.31020172408807</v>
      </c>
      <c r="H9" s="87">
        <f t="shared" si="19"/>
        <v>802.13782319580741</v>
      </c>
      <c r="I9" s="87">
        <f t="shared" si="19"/>
        <v>701.67162485707547</v>
      </c>
      <c r="J9" s="87">
        <f t="shared" si="19"/>
        <v>653.24634366414375</v>
      </c>
      <c r="K9" s="87">
        <f t="shared" si="19"/>
        <v>590.48326958798555</v>
      </c>
      <c r="L9" s="87">
        <f t="shared" ref="L9" si="20">IF(L36=0,0,L36*L146)</f>
        <v>535.51533533068368</v>
      </c>
      <c r="M9" s="87">
        <f t="shared" ref="M9:V9" si="21">IF(M36=0,0,M36*M146)</f>
        <v>594.62360916710804</v>
      </c>
      <c r="N9" s="87">
        <f t="shared" si="21"/>
        <v>624.63982963502485</v>
      </c>
      <c r="O9" s="87">
        <f t="shared" si="21"/>
        <v>550.72722722974515</v>
      </c>
      <c r="P9" s="87">
        <f t="shared" si="21"/>
        <v>618.79689714342339</v>
      </c>
      <c r="Q9" s="87">
        <f t="shared" si="21"/>
        <v>833.36819857101761</v>
      </c>
      <c r="R9" s="87">
        <f t="shared" si="21"/>
        <v>754.54578097666217</v>
      </c>
      <c r="S9" s="87">
        <f t="shared" si="21"/>
        <v>762.26037659360748</v>
      </c>
      <c r="T9" s="87">
        <f t="shared" si="21"/>
        <v>752.61291806211716</v>
      </c>
      <c r="U9" s="87">
        <f t="shared" si="21"/>
        <v>742.72876896520916</v>
      </c>
      <c r="V9" s="87">
        <f t="shared" si="21"/>
        <v>672.16534983018948</v>
      </c>
      <c r="W9" s="87">
        <f t="shared" ref="W9" si="22">IF(W36=0,0,W36*W146)</f>
        <v>665.23990750558767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5.205454232260597</v>
      </c>
      <c r="G10" s="87">
        <f t="shared" si="23"/>
        <v>5.9399715560294872</v>
      </c>
      <c r="H10" s="87">
        <f t="shared" si="23"/>
        <v>5.832713025703459</v>
      </c>
      <c r="I10" s="87">
        <f t="shared" si="23"/>
        <v>5.7362491763178491</v>
      </c>
      <c r="J10" s="87">
        <f t="shared" si="23"/>
        <v>4.9942535054394135</v>
      </c>
      <c r="K10" s="87">
        <f t="shared" si="23"/>
        <v>4.5422234372647416</v>
      </c>
      <c r="L10" s="87">
        <f t="shared" ref="L10" si="24">IF(L37=0,0,L37*L147)</f>
        <v>4.8480665820349538</v>
      </c>
      <c r="M10" s="87">
        <f t="shared" ref="M10:V10" si="25">IF(M37=0,0,M37*M147)</f>
        <v>5.1952781302679369</v>
      </c>
      <c r="N10" s="87">
        <f t="shared" si="25"/>
        <v>5.3173526756712057</v>
      </c>
      <c r="O10" s="87">
        <f t="shared" si="25"/>
        <v>7.903674413546347</v>
      </c>
      <c r="P10" s="87">
        <f t="shared" si="25"/>
        <v>27.304184467555377</v>
      </c>
      <c r="Q10" s="87">
        <f t="shared" si="25"/>
        <v>38.982417180055336</v>
      </c>
      <c r="R10" s="87">
        <f t="shared" si="25"/>
        <v>83.012707777481182</v>
      </c>
      <c r="S10" s="87">
        <f t="shared" si="25"/>
        <v>127.65772288052291</v>
      </c>
      <c r="T10" s="87">
        <f t="shared" si="25"/>
        <v>218.87740105564936</v>
      </c>
      <c r="U10" s="87">
        <f t="shared" si="25"/>
        <v>326.51614943244539</v>
      </c>
      <c r="V10" s="87">
        <f t="shared" si="25"/>
        <v>353.04074569730619</v>
      </c>
      <c r="W10" s="87">
        <f t="shared" ref="W10" si="26">IF(W37=0,0,W37*W147)</f>
        <v>362.40328491992102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0.17198167465410016</v>
      </c>
      <c r="N11" s="87">
        <f t="shared" si="29"/>
        <v>3.9184007164240886</v>
      </c>
      <c r="O11" s="87">
        <f t="shared" si="29"/>
        <v>4.0632184976912908</v>
      </c>
      <c r="P11" s="87">
        <f t="shared" si="29"/>
        <v>13.673253932561124</v>
      </c>
      <c r="Q11" s="87">
        <f t="shared" si="29"/>
        <v>48.789141174743072</v>
      </c>
      <c r="R11" s="87">
        <f t="shared" si="29"/>
        <v>138.44264562346467</v>
      </c>
      <c r="S11" s="87">
        <f t="shared" si="29"/>
        <v>277.89860113052305</v>
      </c>
      <c r="T11" s="87">
        <f t="shared" si="29"/>
        <v>437.19201041540879</v>
      </c>
      <c r="U11" s="87">
        <f t="shared" si="29"/>
        <v>588.13437282368761</v>
      </c>
      <c r="V11" s="87">
        <f t="shared" si="29"/>
        <v>861.05604697134879</v>
      </c>
      <c r="W11" s="87">
        <f t="shared" ref="W11" si="30">IF(W38=0,0,W38*W148)</f>
        <v>1582.8942317620199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0.15122067676102724</v>
      </c>
      <c r="K12" s="87">
        <f t="shared" si="31"/>
        <v>0.21777220898732086</v>
      </c>
      <c r="L12" s="87">
        <f t="shared" ref="L12" si="32">IF(L39=0,0,L39*L149)</f>
        <v>1.0437195192288415</v>
      </c>
      <c r="M12" s="87">
        <f t="shared" ref="M12:V12" si="33">IF(M39=0,0,M39*M149)</f>
        <v>5.5141804829529075</v>
      </c>
      <c r="N12" s="87">
        <f t="shared" si="33"/>
        <v>14.266194824423886</v>
      </c>
      <c r="O12" s="87">
        <f t="shared" si="33"/>
        <v>20.284513786308029</v>
      </c>
      <c r="P12" s="87">
        <f t="shared" si="33"/>
        <v>37.430186074469489</v>
      </c>
      <c r="Q12" s="87">
        <f t="shared" si="33"/>
        <v>53.394966194381716</v>
      </c>
      <c r="R12" s="87">
        <f t="shared" si="33"/>
        <v>84.220781136567098</v>
      </c>
      <c r="S12" s="87">
        <f t="shared" si="33"/>
        <v>126.46305694564172</v>
      </c>
      <c r="T12" s="87">
        <f t="shared" si="33"/>
        <v>182.86684755323151</v>
      </c>
      <c r="U12" s="87">
        <f t="shared" si="33"/>
        <v>315.14481508602307</v>
      </c>
      <c r="V12" s="87">
        <f t="shared" si="33"/>
        <v>488.06141928425654</v>
      </c>
      <c r="W12" s="87">
        <f t="shared" ref="W12" si="34">IF(W39=0,0,W39*W149)</f>
        <v>925.78657441926669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13298.261168538518</v>
      </c>
      <c r="C13" s="116">
        <f t="shared" si="35"/>
        <v>13785.338279369089</v>
      </c>
      <c r="D13" s="116">
        <f t="shared" si="35"/>
        <v>14959.423828844176</v>
      </c>
      <c r="E13" s="116">
        <f t="shared" si="35"/>
        <v>16483.57201777595</v>
      </c>
      <c r="F13" s="116">
        <f t="shared" si="35"/>
        <v>17142.992004139298</v>
      </c>
      <c r="G13" s="116">
        <f t="shared" si="35"/>
        <v>17515.048055482508</v>
      </c>
      <c r="H13" s="116">
        <f t="shared" si="35"/>
        <v>18078.005341336815</v>
      </c>
      <c r="I13" s="116">
        <f t="shared" si="35"/>
        <v>18729.636998103302</v>
      </c>
      <c r="J13" s="116">
        <f t="shared" si="35"/>
        <v>17610</v>
      </c>
      <c r="K13" s="116">
        <f t="shared" si="35"/>
        <v>17630</v>
      </c>
      <c r="L13" s="116">
        <f t="shared" ref="L13" si="36">SUM(L14:L18)</f>
        <v>17380</v>
      </c>
      <c r="M13" s="116">
        <f t="shared" ref="M13:V13" si="37">SUM(M14:M18)</f>
        <v>17670</v>
      </c>
      <c r="N13" s="116">
        <f t="shared" si="37"/>
        <v>17910</v>
      </c>
      <c r="O13" s="116">
        <f t="shared" si="37"/>
        <v>15766.400000000005</v>
      </c>
      <c r="P13" s="116">
        <f t="shared" si="37"/>
        <v>15404.6</v>
      </c>
      <c r="Q13" s="116">
        <f t="shared" si="37"/>
        <v>14380.8</v>
      </c>
      <c r="R13" s="116">
        <f t="shared" si="37"/>
        <v>13586.6</v>
      </c>
      <c r="S13" s="116">
        <f t="shared" si="37"/>
        <v>13362.64176286652</v>
      </c>
      <c r="T13" s="116">
        <f t="shared" si="37"/>
        <v>13522.318041974067</v>
      </c>
      <c r="U13" s="116">
        <f t="shared" si="37"/>
        <v>13681.391254112579</v>
      </c>
      <c r="V13" s="116">
        <f t="shared" si="37"/>
        <v>8871.5822207413294</v>
      </c>
      <c r="W13" s="116">
        <f t="shared" ref="W13" si="38">SUM(W14:W18)</f>
        <v>9275.1366931890407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68.481779258130061</v>
      </c>
      <c r="C14" s="101">
        <f t="shared" si="39"/>
        <v>69.631040317219004</v>
      </c>
      <c r="D14" s="101">
        <f t="shared" si="39"/>
        <v>68.911829624266204</v>
      </c>
      <c r="E14" s="101">
        <f t="shared" si="39"/>
        <v>74.839965846412156</v>
      </c>
      <c r="F14" s="101">
        <f t="shared" si="39"/>
        <v>75.953051093589522</v>
      </c>
      <c r="G14" s="101">
        <f t="shared" si="39"/>
        <v>77.583222063962808</v>
      </c>
      <c r="H14" s="101">
        <f t="shared" si="39"/>
        <v>74.056384463104166</v>
      </c>
      <c r="I14" s="101">
        <f t="shared" si="39"/>
        <v>73.071673014151273</v>
      </c>
      <c r="J14" s="101">
        <f t="shared" si="39"/>
        <v>62.507696487240921</v>
      </c>
      <c r="K14" s="101">
        <f t="shared" si="39"/>
        <v>57.997476579567817</v>
      </c>
      <c r="L14" s="101">
        <f t="shared" ref="L14" si="40">IF(L41=0,0,L41*L151)</f>
        <v>52.077447922357457</v>
      </c>
      <c r="M14" s="101">
        <f t="shared" ref="M14:V14" si="41">IF(M41=0,0,M41*M151)</f>
        <v>51.998232446804309</v>
      </c>
      <c r="N14" s="101">
        <f t="shared" si="41"/>
        <v>51.568197914180004</v>
      </c>
      <c r="O14" s="101">
        <f t="shared" si="41"/>
        <v>43.388498458191897</v>
      </c>
      <c r="P14" s="101">
        <f t="shared" si="41"/>
        <v>40.576230779996123</v>
      </c>
      <c r="Q14" s="101">
        <f t="shared" si="41"/>
        <v>36.011117148549815</v>
      </c>
      <c r="R14" s="101">
        <f t="shared" si="41"/>
        <v>34.011866978955837</v>
      </c>
      <c r="S14" s="101">
        <f t="shared" si="41"/>
        <v>32.645892999955194</v>
      </c>
      <c r="T14" s="101">
        <f t="shared" si="41"/>
        <v>32.115351277298508</v>
      </c>
      <c r="U14" s="101">
        <f t="shared" si="41"/>
        <v>31.801487772348931</v>
      </c>
      <c r="V14" s="101">
        <f t="shared" si="41"/>
        <v>24.404871493684102</v>
      </c>
      <c r="W14" s="101">
        <f t="shared" ref="W14" si="42">IF(W41=0,0,W41*W151)</f>
        <v>23.652883697347338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13228.1312683915</v>
      </c>
      <c r="C15" s="101">
        <f t="shared" si="43"/>
        <v>13714.017848970212</v>
      </c>
      <c r="D15" s="101">
        <f t="shared" si="43"/>
        <v>14888.706224859689</v>
      </c>
      <c r="E15" s="101">
        <f t="shared" si="43"/>
        <v>16406.791904350372</v>
      </c>
      <c r="F15" s="101">
        <f t="shared" si="43"/>
        <v>17065.027456827833</v>
      </c>
      <c r="G15" s="101">
        <f t="shared" si="43"/>
        <v>17415.640199297301</v>
      </c>
      <c r="H15" s="101">
        <f t="shared" si="43"/>
        <v>17980.98294770221</v>
      </c>
      <c r="I15" s="101">
        <f t="shared" si="43"/>
        <v>18633.789412660644</v>
      </c>
      <c r="J15" s="101">
        <f t="shared" si="43"/>
        <v>17527.536571651744</v>
      </c>
      <c r="K15" s="101">
        <f t="shared" si="43"/>
        <v>17551.809600590743</v>
      </c>
      <c r="L15" s="101">
        <f t="shared" ref="L15" si="44">IF(L42=0,0,L42*L152)</f>
        <v>17308.980508655397</v>
      </c>
      <c r="M15" s="101">
        <f t="shared" ref="M15:V15" si="45">IF(M42=0,0,M42*M152)</f>
        <v>17599.376392942584</v>
      </c>
      <c r="N15" s="101">
        <f t="shared" si="45"/>
        <v>17840.304085825945</v>
      </c>
      <c r="O15" s="101">
        <f t="shared" si="45"/>
        <v>15706.579954633606</v>
      </c>
      <c r="P15" s="101">
        <f t="shared" si="45"/>
        <v>15346.319891014822</v>
      </c>
      <c r="Q15" s="101">
        <f t="shared" si="45"/>
        <v>14330.381757272376</v>
      </c>
      <c r="R15" s="101">
        <f t="shared" si="45"/>
        <v>13538.157552217195</v>
      </c>
      <c r="S15" s="101">
        <f t="shared" si="45"/>
        <v>13316.691405865649</v>
      </c>
      <c r="T15" s="101">
        <f t="shared" si="45"/>
        <v>13466.863457756986</v>
      </c>
      <c r="U15" s="101">
        <f t="shared" si="45"/>
        <v>13587.558904290645</v>
      </c>
      <c r="V15" s="101">
        <f t="shared" si="45"/>
        <v>8793.57841775216</v>
      </c>
      <c r="W15" s="101">
        <f t="shared" ref="W15" si="46">IF(W42=0,0,W42*W152)</f>
        <v>9122.3803594347992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0</v>
      </c>
      <c r="G16" s="101">
        <f t="shared" si="47"/>
        <v>0</v>
      </c>
      <c r="H16" s="101">
        <f t="shared" si="47"/>
        <v>0</v>
      </c>
      <c r="I16" s="101">
        <f t="shared" si="47"/>
        <v>0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0</v>
      </c>
      <c r="S16" s="101">
        <f t="shared" si="49"/>
        <v>0</v>
      </c>
      <c r="T16" s="101">
        <f t="shared" si="49"/>
        <v>0</v>
      </c>
      <c r="U16" s="101">
        <f t="shared" si="49"/>
        <v>0</v>
      </c>
      <c r="V16" s="101">
        <f t="shared" si="49"/>
        <v>0</v>
      </c>
      <c r="W16" s="101">
        <f t="shared" ref="W16" si="50">IF(W43=0,0,W43*W153)</f>
        <v>0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0</v>
      </c>
      <c r="G17" s="101">
        <f t="shared" si="51"/>
        <v>0</v>
      </c>
      <c r="H17" s="101">
        <f t="shared" si="51"/>
        <v>0</v>
      </c>
      <c r="I17" s="101">
        <f t="shared" si="51"/>
        <v>0</v>
      </c>
      <c r="J17" s="101">
        <f t="shared" si="51"/>
        <v>0</v>
      </c>
      <c r="K17" s="101">
        <f t="shared" si="51"/>
        <v>0</v>
      </c>
      <c r="L17" s="101">
        <f t="shared" ref="L17" si="52">IF(L44=0,0,L44*L154)</f>
        <v>0</v>
      </c>
      <c r="M17" s="101">
        <f t="shared" ref="M17:V17" si="53">IF(M44=0,0,M44*M154)</f>
        <v>0</v>
      </c>
      <c r="N17" s="101">
        <f t="shared" si="53"/>
        <v>0</v>
      </c>
      <c r="O17" s="101">
        <f t="shared" si="53"/>
        <v>0</v>
      </c>
      <c r="P17" s="101">
        <f t="shared" si="53"/>
        <v>0</v>
      </c>
      <c r="Q17" s="101">
        <f t="shared" si="53"/>
        <v>0</v>
      </c>
      <c r="R17" s="101">
        <f t="shared" si="53"/>
        <v>0.73268800407447565</v>
      </c>
      <c r="S17" s="101">
        <f t="shared" si="53"/>
        <v>0.73074820665644136</v>
      </c>
      <c r="T17" s="101">
        <f t="shared" si="53"/>
        <v>4.4820896223209461</v>
      </c>
      <c r="U17" s="101">
        <f t="shared" si="53"/>
        <v>9.0659786793464985</v>
      </c>
      <c r="V17" s="101">
        <f t="shared" si="53"/>
        <v>11.534050377565521</v>
      </c>
      <c r="W17" s="101">
        <f t="shared" ref="W17" si="54">IF(W44=0,0,W44*W154)</f>
        <v>74.15428352795972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1.6481208888868832</v>
      </c>
      <c r="C18" s="101">
        <f t="shared" si="55"/>
        <v>1.6893900816572553</v>
      </c>
      <c r="D18" s="101">
        <f t="shared" si="55"/>
        <v>1.8057743602210559</v>
      </c>
      <c r="E18" s="101">
        <f t="shared" si="55"/>
        <v>1.940147579168866</v>
      </c>
      <c r="F18" s="101">
        <f t="shared" si="55"/>
        <v>2.0114962178750408</v>
      </c>
      <c r="G18" s="101">
        <f t="shared" si="55"/>
        <v>21.824634121243502</v>
      </c>
      <c r="H18" s="101">
        <f t="shared" si="55"/>
        <v>22.966009171501373</v>
      </c>
      <c r="I18" s="101">
        <f t="shared" si="55"/>
        <v>22.775912428505787</v>
      </c>
      <c r="J18" s="101">
        <f t="shared" si="55"/>
        <v>19.9557318610129</v>
      </c>
      <c r="K18" s="101">
        <f t="shared" si="55"/>
        <v>20.192922829691234</v>
      </c>
      <c r="L18" s="101">
        <f t="shared" ref="L18" si="56">IF(L45=0,0,L45*L155)</f>
        <v>18.942043422244847</v>
      </c>
      <c r="M18" s="101">
        <f t="shared" ref="M18:V18" si="57">IF(M45=0,0,M45*M155)</f>
        <v>18.625374610612916</v>
      </c>
      <c r="N18" s="101">
        <f t="shared" si="57"/>
        <v>18.127716259875452</v>
      </c>
      <c r="O18" s="101">
        <f t="shared" si="57"/>
        <v>16.431546908205799</v>
      </c>
      <c r="P18" s="101">
        <f t="shared" si="57"/>
        <v>17.703878205182715</v>
      </c>
      <c r="Q18" s="101">
        <f t="shared" si="57"/>
        <v>14.407125579072336</v>
      </c>
      <c r="R18" s="101">
        <f t="shared" si="57"/>
        <v>13.697892799775174</v>
      </c>
      <c r="S18" s="101">
        <f t="shared" si="57"/>
        <v>12.573715794259176</v>
      </c>
      <c r="T18" s="101">
        <f t="shared" si="57"/>
        <v>18.857143317461482</v>
      </c>
      <c r="U18" s="101">
        <f t="shared" si="57"/>
        <v>52.964883370239392</v>
      </c>
      <c r="V18" s="101">
        <f t="shared" si="57"/>
        <v>42.064881117920628</v>
      </c>
      <c r="W18" s="101">
        <f t="shared" ref="W18" si="58">IF(W45=0,0,W45*W155)</f>
        <v>54.949166528935962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40262.636999515787</v>
      </c>
      <c r="C19" s="29">
        <f t="shared" si="59"/>
        <v>42533.361995209314</v>
      </c>
      <c r="D19" s="29">
        <f t="shared" si="59"/>
        <v>43646.335254073761</v>
      </c>
      <c r="E19" s="29">
        <f t="shared" si="59"/>
        <v>43241.475992818232</v>
      </c>
      <c r="F19" s="29">
        <f t="shared" si="59"/>
        <v>46831.747401371576</v>
      </c>
      <c r="G19" s="29">
        <f t="shared" si="59"/>
        <v>47692.179681445574</v>
      </c>
      <c r="H19" s="29">
        <f t="shared" si="59"/>
        <v>48931.11970861545</v>
      </c>
      <c r="I19" s="29">
        <f t="shared" si="59"/>
        <v>50075.7053168899</v>
      </c>
      <c r="J19" s="29">
        <f t="shared" si="59"/>
        <v>48110.466486534206</v>
      </c>
      <c r="K19" s="29">
        <f t="shared" si="59"/>
        <v>45486.83672253626</v>
      </c>
      <c r="L19" s="29">
        <f t="shared" ref="L19" si="60">L20+L26</f>
        <v>46704.835100101562</v>
      </c>
      <c r="M19" s="29">
        <f t="shared" ref="M19:V19" si="61">M20+M26</f>
        <v>46637.312060765049</v>
      </c>
      <c r="N19" s="29">
        <f t="shared" si="61"/>
        <v>46912.024493591787</v>
      </c>
      <c r="O19" s="29">
        <f t="shared" si="61"/>
        <v>48626.093765654849</v>
      </c>
      <c r="P19" s="29">
        <f t="shared" si="61"/>
        <v>49019.835456066023</v>
      </c>
      <c r="Q19" s="29">
        <f t="shared" si="61"/>
        <v>51605.789458674109</v>
      </c>
      <c r="R19" s="29">
        <f t="shared" si="61"/>
        <v>53434.604656533542</v>
      </c>
      <c r="S19" s="29">
        <f t="shared" si="61"/>
        <v>53188.1120555464</v>
      </c>
      <c r="T19" s="29">
        <f t="shared" si="61"/>
        <v>51966.11030167705</v>
      </c>
      <c r="U19" s="29">
        <f t="shared" si="61"/>
        <v>53502.43125150603</v>
      </c>
      <c r="V19" s="29">
        <f t="shared" si="61"/>
        <v>52965.368913059938</v>
      </c>
      <c r="W19" s="29">
        <f t="shared" ref="W19" si="62">W20+W26</f>
        <v>55904.93600909401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677.21435383689004</v>
      </c>
      <c r="C20" s="152">
        <f t="shared" si="63"/>
        <v>724.83446499421211</v>
      </c>
      <c r="D20" s="152">
        <f t="shared" si="63"/>
        <v>758.40087236150055</v>
      </c>
      <c r="E20" s="152">
        <f t="shared" si="63"/>
        <v>799.54771022488057</v>
      </c>
      <c r="F20" s="152">
        <f t="shared" si="63"/>
        <v>884.22769620458291</v>
      </c>
      <c r="G20" s="152">
        <f t="shared" si="63"/>
        <v>929.16563578639284</v>
      </c>
      <c r="H20" s="152">
        <f t="shared" si="63"/>
        <v>967.20951118175276</v>
      </c>
      <c r="I20" s="152">
        <f t="shared" si="63"/>
        <v>1023.9063110835185</v>
      </c>
      <c r="J20" s="152">
        <f t="shared" si="63"/>
        <v>1051.9969732421064</v>
      </c>
      <c r="K20" s="152">
        <f t="shared" si="63"/>
        <v>1060.9190504888188</v>
      </c>
      <c r="L20" s="152">
        <f t="shared" ref="L20" si="64">SUM(L21:L25)</f>
        <v>1073.8881198852762</v>
      </c>
      <c r="M20" s="152">
        <f t="shared" ref="M20:V20" si="65">SUM(M21:M25)</f>
        <v>1069.493550439659</v>
      </c>
      <c r="N20" s="152">
        <f t="shared" si="65"/>
        <v>1062.8088986061032</v>
      </c>
      <c r="O20" s="152">
        <f t="shared" si="65"/>
        <v>1028.623697824421</v>
      </c>
      <c r="P20" s="152">
        <f t="shared" si="65"/>
        <v>1068.4668472662102</v>
      </c>
      <c r="Q20" s="152">
        <f t="shared" si="65"/>
        <v>1130.6795143441989</v>
      </c>
      <c r="R20" s="152">
        <f t="shared" si="65"/>
        <v>1099.6768243112422</v>
      </c>
      <c r="S20" s="152">
        <f t="shared" si="65"/>
        <v>1046.1295403147649</v>
      </c>
      <c r="T20" s="152">
        <f t="shared" si="65"/>
        <v>1047.1103016770485</v>
      </c>
      <c r="U20" s="152">
        <f t="shared" si="65"/>
        <v>1065.431251506029</v>
      </c>
      <c r="V20" s="152">
        <f t="shared" si="65"/>
        <v>1018.3689130599389</v>
      </c>
      <c r="W20" s="152">
        <f t="shared" ref="W20" si="66">SUM(W21:W25)</f>
        <v>1157.936009094007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37.828681558461213</v>
      </c>
      <c r="C21" s="87">
        <f t="shared" si="67"/>
        <v>38.22322655050651</v>
      </c>
      <c r="D21" s="87">
        <f t="shared" si="67"/>
        <v>40.404743082949167</v>
      </c>
      <c r="E21" s="87">
        <f t="shared" si="67"/>
        <v>39.130580903618771</v>
      </c>
      <c r="F21" s="87">
        <f t="shared" si="67"/>
        <v>39.019456047580796</v>
      </c>
      <c r="G21" s="87">
        <f t="shared" si="67"/>
        <v>39.419186928239689</v>
      </c>
      <c r="H21" s="87">
        <f t="shared" si="67"/>
        <v>38.163054939038595</v>
      </c>
      <c r="I21" s="87">
        <f t="shared" si="67"/>
        <v>34.586721853469506</v>
      </c>
      <c r="J21" s="87">
        <f t="shared" si="67"/>
        <v>33.036345497422388</v>
      </c>
      <c r="K21" s="87">
        <f t="shared" si="67"/>
        <v>31.081575100331758</v>
      </c>
      <c r="L21" s="87">
        <f t="shared" ref="L21" si="68">IF(L48=0,0,L48*L158)</f>
        <v>29.884709346829709</v>
      </c>
      <c r="M21" s="87">
        <f t="shared" ref="M21:V21" si="69">IF(M48=0,0,M48*M158)</f>
        <v>27.959780928937377</v>
      </c>
      <c r="N21" s="87">
        <f t="shared" si="69"/>
        <v>26.481409735221366</v>
      </c>
      <c r="O21" s="87">
        <f t="shared" si="69"/>
        <v>24.121458877001029</v>
      </c>
      <c r="P21" s="87">
        <f t="shared" si="69"/>
        <v>22.311697069002584</v>
      </c>
      <c r="Q21" s="87">
        <f t="shared" si="69"/>
        <v>20.719298719292073</v>
      </c>
      <c r="R21" s="87">
        <f t="shared" si="69"/>
        <v>21.474042321308772</v>
      </c>
      <c r="S21" s="87">
        <f t="shared" si="69"/>
        <v>23.512552884599312</v>
      </c>
      <c r="T21" s="87">
        <f t="shared" si="69"/>
        <v>27.714373319212136</v>
      </c>
      <c r="U21" s="87">
        <f t="shared" si="69"/>
        <v>30.76893199031133</v>
      </c>
      <c r="V21" s="87">
        <f t="shared" si="69"/>
        <v>28.899521274718278</v>
      </c>
      <c r="W21" s="87">
        <f t="shared" ref="W21" si="70">IF(W48=0,0,W48*W158)</f>
        <v>32.128587514852931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623.48490114539527</v>
      </c>
      <c r="C22" s="87">
        <f t="shared" si="71"/>
        <v>669.06835665217329</v>
      </c>
      <c r="D22" s="87">
        <f t="shared" si="71"/>
        <v>699.97566555679248</v>
      </c>
      <c r="E22" s="87">
        <f t="shared" si="71"/>
        <v>743.70312294244786</v>
      </c>
      <c r="F22" s="87">
        <f t="shared" si="71"/>
        <v>828.0893839309</v>
      </c>
      <c r="G22" s="87">
        <f t="shared" si="71"/>
        <v>873.22766713548651</v>
      </c>
      <c r="H22" s="87">
        <f t="shared" si="71"/>
        <v>912.87678658461039</v>
      </c>
      <c r="I22" s="87">
        <f t="shared" si="71"/>
        <v>974.47176376198138</v>
      </c>
      <c r="J22" s="87">
        <f t="shared" si="71"/>
        <v>1004.9060714272358</v>
      </c>
      <c r="K22" s="87">
        <f t="shared" si="71"/>
        <v>1016.9374782454094</v>
      </c>
      <c r="L22" s="87">
        <f t="shared" ref="L22" si="72">IF(L49=0,0,L49*L159)</f>
        <v>1032.3032049732744</v>
      </c>
      <c r="M22" s="87">
        <f t="shared" ref="M22:V22" si="73">IF(M49=0,0,M49*M159)</f>
        <v>1029.7209940515443</v>
      </c>
      <c r="N22" s="87">
        <f t="shared" si="73"/>
        <v>1024.8454905798426</v>
      </c>
      <c r="O22" s="87">
        <f t="shared" si="73"/>
        <v>994.89455203031935</v>
      </c>
      <c r="P22" s="87">
        <f t="shared" si="73"/>
        <v>1037.2582938127748</v>
      </c>
      <c r="Q22" s="87">
        <f t="shared" si="73"/>
        <v>1102.5719504347287</v>
      </c>
      <c r="R22" s="87">
        <f t="shared" si="73"/>
        <v>1071.1246672482316</v>
      </c>
      <c r="S22" s="87">
        <f t="shared" si="73"/>
        <v>1015.3270543054379</v>
      </c>
      <c r="T22" s="87">
        <f t="shared" si="73"/>
        <v>1011.6134689650974</v>
      </c>
      <c r="U22" s="87">
        <f t="shared" si="73"/>
        <v>1025.8359172285495</v>
      </c>
      <c r="V22" s="87">
        <f t="shared" si="73"/>
        <v>980.0073227240631</v>
      </c>
      <c r="W22" s="87">
        <f t="shared" ref="W22" si="74">IF(W49=0,0,W49*W159)</f>
        <v>1114.6612512805727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15.900771133033595</v>
      </c>
      <c r="C23" s="87">
        <f t="shared" si="75"/>
        <v>17.542881791532345</v>
      </c>
      <c r="D23" s="87">
        <f t="shared" si="75"/>
        <v>18.020463721758887</v>
      </c>
      <c r="E23" s="87">
        <f t="shared" si="75"/>
        <v>16.714006378813931</v>
      </c>
      <c r="F23" s="87">
        <f t="shared" si="75"/>
        <v>17.1188562261021</v>
      </c>
      <c r="G23" s="87">
        <f t="shared" si="75"/>
        <v>16.518781722666631</v>
      </c>
      <c r="H23" s="87">
        <f t="shared" si="75"/>
        <v>16.169669658103796</v>
      </c>
      <c r="I23" s="87">
        <f t="shared" si="75"/>
        <v>14.84782546806764</v>
      </c>
      <c r="J23" s="87">
        <f t="shared" si="75"/>
        <v>13.935307566105612</v>
      </c>
      <c r="K23" s="87">
        <f t="shared" si="75"/>
        <v>12.757167135143796</v>
      </c>
      <c r="L23" s="87">
        <f t="shared" ref="L23" si="76">IF(L50=0,0,L50*L160)</f>
        <v>11.538969698059436</v>
      </c>
      <c r="M23" s="87">
        <f t="shared" ref="M23:V23" si="77">IF(M50=0,0,M50*M160)</f>
        <v>11.646870056644085</v>
      </c>
      <c r="N23" s="87">
        <f t="shared" si="77"/>
        <v>10.933832091417411</v>
      </c>
      <c r="O23" s="87">
        <f t="shared" si="77"/>
        <v>8.9149079855219906</v>
      </c>
      <c r="P23" s="87">
        <f t="shared" si="77"/>
        <v>7.9492151002800213</v>
      </c>
      <c r="Q23" s="87">
        <f t="shared" si="77"/>
        <v>6.0893802920212883</v>
      </c>
      <c r="R23" s="87">
        <f t="shared" si="77"/>
        <v>5.6905607818195945</v>
      </c>
      <c r="S23" s="87">
        <f t="shared" si="77"/>
        <v>5.2758071375109425</v>
      </c>
      <c r="T23" s="87">
        <f t="shared" si="77"/>
        <v>4.8018972618061371</v>
      </c>
      <c r="U23" s="87">
        <f t="shared" si="77"/>
        <v>4.4535328411181068</v>
      </c>
      <c r="V23" s="87">
        <f t="shared" si="77"/>
        <v>4.2621529777006657</v>
      </c>
      <c r="W23" s="87">
        <f t="shared" ref="W23" si="78">IF(W50=0,0,W50*W160)</f>
        <v>4.6126500579078593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5.9117690675873261E-2</v>
      </c>
      <c r="K24" s="87">
        <f t="shared" si="79"/>
        <v>7.958459447385155E-2</v>
      </c>
      <c r="L24" s="87">
        <f t="shared" ref="L24" si="80">IF(L51=0,0,L51*L161)</f>
        <v>9.6916142020939053E-2</v>
      </c>
      <c r="M24" s="87">
        <f t="shared" ref="M24:V24" si="81">IF(M51=0,0,M51*M161)</f>
        <v>8.4916471504472207E-2</v>
      </c>
      <c r="N24" s="87">
        <f t="shared" si="81"/>
        <v>0.20544211840907728</v>
      </c>
      <c r="O24" s="87">
        <f t="shared" si="81"/>
        <v>0.24471704772994393</v>
      </c>
      <c r="P24" s="87">
        <f t="shared" si="81"/>
        <v>0.40336346447432847</v>
      </c>
      <c r="Q24" s="87">
        <f t="shared" si="81"/>
        <v>0.6992641728933866</v>
      </c>
      <c r="R24" s="87">
        <f t="shared" si="81"/>
        <v>0.66719599547680619</v>
      </c>
      <c r="S24" s="87">
        <f t="shared" si="81"/>
        <v>1.204791998000754</v>
      </c>
      <c r="T24" s="87">
        <f t="shared" si="81"/>
        <v>1.9197749546460565</v>
      </c>
      <c r="U24" s="87">
        <f t="shared" si="81"/>
        <v>2.9449816417998105</v>
      </c>
      <c r="V24" s="87">
        <f t="shared" si="81"/>
        <v>3.4256971878728111</v>
      </c>
      <c r="W24" s="87">
        <f t="shared" ref="W24" si="82">IF(W51=0,0,W51*W161)</f>
        <v>3.9282424980601029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6.0131060666567454E-2</v>
      </c>
      <c r="K25" s="87">
        <f t="shared" si="83"/>
        <v>6.3245413460085415E-2</v>
      </c>
      <c r="L25" s="87">
        <f t="shared" ref="L25" si="84">IF(L52=0,0,L52*L162)</f>
        <v>6.4319725091728078E-2</v>
      </c>
      <c r="M25" s="87">
        <f t="shared" ref="M25:V25" si="85">IF(M52=0,0,M52*M162)</f>
        <v>8.0988931028839667E-2</v>
      </c>
      <c r="N25" s="87">
        <f t="shared" si="85"/>
        <v>0.34272408121283421</v>
      </c>
      <c r="O25" s="87">
        <f t="shared" si="85"/>
        <v>0.4480618838488048</v>
      </c>
      <c r="P25" s="87">
        <f t="shared" si="85"/>
        <v>0.54427781967832445</v>
      </c>
      <c r="Q25" s="87">
        <f t="shared" si="85"/>
        <v>0.59962072526336851</v>
      </c>
      <c r="R25" s="87">
        <f t="shared" si="85"/>
        <v>0.720357964405409</v>
      </c>
      <c r="S25" s="87">
        <f t="shared" si="85"/>
        <v>0.80933398921591104</v>
      </c>
      <c r="T25" s="87">
        <f t="shared" si="85"/>
        <v>1.0607871762868357</v>
      </c>
      <c r="U25" s="87">
        <f t="shared" si="85"/>
        <v>1.4278878042500771</v>
      </c>
      <c r="V25" s="87">
        <f t="shared" si="85"/>
        <v>1.7742188955840095</v>
      </c>
      <c r="W25" s="87">
        <f t="shared" ref="W25" si="86">IF(W52=0,0,W52*W162)</f>
        <v>2.6052777426133682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39585.422645678897</v>
      </c>
      <c r="C26" s="116">
        <f t="shared" si="87"/>
        <v>41808.527530215099</v>
      </c>
      <c r="D26" s="116">
        <f t="shared" si="87"/>
        <v>42887.934381712264</v>
      </c>
      <c r="E26" s="116">
        <f t="shared" si="87"/>
        <v>42441.928282593348</v>
      </c>
      <c r="F26" s="116">
        <f t="shared" si="87"/>
        <v>45947.519705166997</v>
      </c>
      <c r="G26" s="116">
        <f t="shared" si="87"/>
        <v>46763.014045659183</v>
      </c>
      <c r="H26" s="116">
        <f t="shared" si="87"/>
        <v>47963.910197433695</v>
      </c>
      <c r="I26" s="116">
        <f t="shared" si="87"/>
        <v>49051.799005806381</v>
      </c>
      <c r="J26" s="116">
        <f t="shared" si="87"/>
        <v>47058.469513292097</v>
      </c>
      <c r="K26" s="116">
        <f t="shared" si="87"/>
        <v>44425.917672047442</v>
      </c>
      <c r="L26" s="116">
        <f t="shared" ref="L26" si="88">SUM(L27:L28)</f>
        <v>45630.946980216286</v>
      </c>
      <c r="M26" s="116">
        <f t="shared" ref="M26:V26" si="89">SUM(M27:M28)</f>
        <v>45567.818510325393</v>
      </c>
      <c r="N26" s="116">
        <f t="shared" si="89"/>
        <v>45849.215594985682</v>
      </c>
      <c r="O26" s="116">
        <f t="shared" si="89"/>
        <v>47597.470067830429</v>
      </c>
      <c r="P26" s="116">
        <f t="shared" si="89"/>
        <v>47951.368608799814</v>
      </c>
      <c r="Q26" s="116">
        <f t="shared" si="89"/>
        <v>50475.10994432991</v>
      </c>
      <c r="R26" s="116">
        <f t="shared" si="89"/>
        <v>52334.927832222296</v>
      </c>
      <c r="S26" s="116">
        <f t="shared" si="89"/>
        <v>52141.982515231633</v>
      </c>
      <c r="T26" s="116">
        <f t="shared" si="89"/>
        <v>50919</v>
      </c>
      <c r="U26" s="116">
        <f t="shared" si="89"/>
        <v>52437</v>
      </c>
      <c r="V26" s="116">
        <f t="shared" si="89"/>
        <v>51947</v>
      </c>
      <c r="W26" s="116">
        <f t="shared" ref="W26" si="90">SUM(W27:W28)</f>
        <v>54747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19754</v>
      </c>
      <c r="C27" s="101">
        <f t="shared" si="91"/>
        <v>20565</v>
      </c>
      <c r="D27" s="101">
        <f t="shared" si="91"/>
        <v>20392</v>
      </c>
      <c r="E27" s="101">
        <f t="shared" si="91"/>
        <v>19584</v>
      </c>
      <c r="F27" s="101">
        <f t="shared" si="91"/>
        <v>19416</v>
      </c>
      <c r="G27" s="101">
        <f t="shared" si="91"/>
        <v>19283</v>
      </c>
      <c r="H27" s="101">
        <f t="shared" si="91"/>
        <v>19615</v>
      </c>
      <c r="I27" s="101">
        <f t="shared" si="91"/>
        <v>19650</v>
      </c>
      <c r="J27" s="101">
        <f t="shared" si="91"/>
        <v>18207</v>
      </c>
      <c r="K27" s="101">
        <f t="shared" si="91"/>
        <v>17603</v>
      </c>
      <c r="L27" s="101">
        <f t="shared" ref="L27:V27" si="92">IF(L54=0,0,L54*L164)</f>
        <v>17755</v>
      </c>
      <c r="M27" s="101">
        <f t="shared" si="92"/>
        <v>17750</v>
      </c>
      <c r="N27" s="101">
        <f t="shared" si="92"/>
        <v>18186</v>
      </c>
      <c r="O27" s="101">
        <f t="shared" si="92"/>
        <v>18980</v>
      </c>
      <c r="P27" s="101">
        <f t="shared" si="92"/>
        <v>19167</v>
      </c>
      <c r="Q27" s="101">
        <f t="shared" si="92"/>
        <v>21277</v>
      </c>
      <c r="R27" s="101">
        <f t="shared" si="92"/>
        <v>21428</v>
      </c>
      <c r="S27" s="101">
        <f t="shared" si="92"/>
        <v>20632</v>
      </c>
      <c r="T27" s="101">
        <f t="shared" si="92"/>
        <v>20592</v>
      </c>
      <c r="U27" s="101">
        <f t="shared" si="92"/>
        <v>21727</v>
      </c>
      <c r="V27" s="101">
        <f t="shared" si="92"/>
        <v>21537</v>
      </c>
      <c r="W27" s="101">
        <f t="shared" ref="W27" si="93">IF(W54=0,0,W54*W164)</f>
        <v>23257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19831.422645678897</v>
      </c>
      <c r="C28" s="88">
        <f t="shared" si="94"/>
        <v>21243.527530215099</v>
      </c>
      <c r="D28" s="88">
        <f t="shared" si="94"/>
        <v>22495.934381712264</v>
      </c>
      <c r="E28" s="88">
        <f t="shared" si="94"/>
        <v>22857.928282593348</v>
      </c>
      <c r="F28" s="88">
        <f t="shared" si="94"/>
        <v>26531.519705166997</v>
      </c>
      <c r="G28" s="88">
        <f t="shared" si="94"/>
        <v>27480.014045659183</v>
      </c>
      <c r="H28" s="88">
        <f t="shared" si="94"/>
        <v>28348.910197433695</v>
      </c>
      <c r="I28" s="88">
        <f t="shared" si="94"/>
        <v>29401.799005806381</v>
      </c>
      <c r="J28" s="88">
        <f t="shared" si="94"/>
        <v>28851.469513292097</v>
      </c>
      <c r="K28" s="88">
        <f t="shared" si="94"/>
        <v>26822.917672047442</v>
      </c>
      <c r="L28" s="88">
        <f t="shared" ref="L28:V28" si="95">IF(L55=0,0,L55*L165)</f>
        <v>27875.946980216286</v>
      </c>
      <c r="M28" s="88">
        <f t="shared" si="95"/>
        <v>27817.818510325393</v>
      </c>
      <c r="N28" s="88">
        <f t="shared" si="95"/>
        <v>27663.215594985682</v>
      </c>
      <c r="O28" s="88">
        <f t="shared" si="95"/>
        <v>28617.470067830429</v>
      </c>
      <c r="P28" s="88">
        <f t="shared" si="95"/>
        <v>28784.368608799814</v>
      </c>
      <c r="Q28" s="88">
        <f t="shared" si="95"/>
        <v>29198.10994432991</v>
      </c>
      <c r="R28" s="88">
        <f t="shared" si="95"/>
        <v>30906.927832222296</v>
      </c>
      <c r="S28" s="88">
        <f t="shared" si="95"/>
        <v>31509.982515231637</v>
      </c>
      <c r="T28" s="88">
        <f t="shared" si="95"/>
        <v>30327</v>
      </c>
      <c r="U28" s="88">
        <f t="shared" si="95"/>
        <v>30710</v>
      </c>
      <c r="V28" s="88">
        <f t="shared" si="95"/>
        <v>30410</v>
      </c>
      <c r="W28" s="88">
        <f t="shared" ref="W28" si="96">IF(W55=0,0,W55*W165)</f>
        <v>31490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89262.03773369985</v>
      </c>
      <c r="C30" s="62">
        <f t="shared" ref="C30:V30" si="98">C31+C46</f>
        <v>92986.043296577525</v>
      </c>
      <c r="D30" s="62">
        <f t="shared" si="98"/>
        <v>93803.2866773141</v>
      </c>
      <c r="E30" s="62">
        <f t="shared" si="98"/>
        <v>96895.412386828903</v>
      </c>
      <c r="F30" s="62">
        <f t="shared" si="98"/>
        <v>99100.604537136402</v>
      </c>
      <c r="G30" s="62">
        <f t="shared" si="98"/>
        <v>96642.262391370998</v>
      </c>
      <c r="H30" s="62">
        <f t="shared" si="98"/>
        <v>99597.289982832008</v>
      </c>
      <c r="I30" s="62">
        <f t="shared" si="98"/>
        <v>104037.46695304979</v>
      </c>
      <c r="J30" s="62">
        <f t="shared" si="98"/>
        <v>106155.66175014722</v>
      </c>
      <c r="K30" s="62">
        <f t="shared" si="98"/>
        <v>106501.89554728995</v>
      </c>
      <c r="L30" s="62">
        <f t="shared" si="98"/>
        <v>106381.42314415277</v>
      </c>
      <c r="M30" s="62">
        <f t="shared" si="98"/>
        <v>106987.15467662209</v>
      </c>
      <c r="N30" s="62">
        <f t="shared" si="98"/>
        <v>105754.05730168664</v>
      </c>
      <c r="O30" s="62">
        <f t="shared" si="98"/>
        <v>103588.33289581146</v>
      </c>
      <c r="P30" s="62">
        <f t="shared" si="98"/>
        <v>107387.60425945354</v>
      </c>
      <c r="Q30" s="62">
        <f t="shared" si="98"/>
        <v>111279.04431036592</v>
      </c>
      <c r="R30" s="62">
        <f t="shared" si="98"/>
        <v>109278.74811667894</v>
      </c>
      <c r="S30" s="62">
        <f t="shared" si="98"/>
        <v>105847.02632733239</v>
      </c>
      <c r="T30" s="62">
        <f t="shared" si="98"/>
        <v>104833.69111474363</v>
      </c>
      <c r="U30" s="62">
        <f t="shared" si="98"/>
        <v>104507.51708788492</v>
      </c>
      <c r="V30" s="62">
        <f t="shared" si="98"/>
        <v>91243.940464942963</v>
      </c>
      <c r="W30" s="62">
        <f t="shared" ref="W30" si="99">W31+W46</f>
        <v>96916.727016499528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78298.983658590558</v>
      </c>
      <c r="C31" s="29">
        <f t="shared" ref="C31:V31" si="101">C32+C33+C40</f>
        <v>81189.36562669916</v>
      </c>
      <c r="D31" s="29">
        <f t="shared" si="101"/>
        <v>81317.002684970284</v>
      </c>
      <c r="E31" s="29">
        <f t="shared" si="101"/>
        <v>84069.6348965574</v>
      </c>
      <c r="F31" s="29">
        <f t="shared" si="101"/>
        <v>84845.37316256683</v>
      </c>
      <c r="G31" s="29">
        <f t="shared" si="101"/>
        <v>81966.658334715175</v>
      </c>
      <c r="H31" s="29">
        <f t="shared" si="101"/>
        <v>84414.868060515</v>
      </c>
      <c r="I31" s="29">
        <f t="shared" si="101"/>
        <v>88120.292552415456</v>
      </c>
      <c r="J31" s="29">
        <f t="shared" si="101"/>
        <v>90292.208986306781</v>
      </c>
      <c r="K31" s="29">
        <f t="shared" si="101"/>
        <v>90769.013016661469</v>
      </c>
      <c r="L31" s="29">
        <f t="shared" si="101"/>
        <v>90581.782736251669</v>
      </c>
      <c r="M31" s="29">
        <f t="shared" si="101"/>
        <v>91278.150426245367</v>
      </c>
      <c r="N31" s="29">
        <f t="shared" si="101"/>
        <v>90235.627395268326</v>
      </c>
      <c r="O31" s="29">
        <f t="shared" si="101"/>
        <v>88535.384059798118</v>
      </c>
      <c r="P31" s="29">
        <f t="shared" si="101"/>
        <v>91802.437283475345</v>
      </c>
      <c r="Q31" s="29">
        <f t="shared" si="101"/>
        <v>94580.359875416223</v>
      </c>
      <c r="R31" s="29">
        <f t="shared" si="101"/>
        <v>93131.742934584516</v>
      </c>
      <c r="S31" s="29">
        <f t="shared" si="101"/>
        <v>90496.110728013169</v>
      </c>
      <c r="T31" s="29">
        <f t="shared" si="101"/>
        <v>89771.472446651169</v>
      </c>
      <c r="U31" s="29">
        <f t="shared" si="101"/>
        <v>89084.13466589991</v>
      </c>
      <c r="V31" s="29">
        <f t="shared" si="101"/>
        <v>76636.442167690911</v>
      </c>
      <c r="W31" s="29">
        <f t="shared" ref="W31" si="102">W32+W33+W40</f>
        <v>80330.229187726334</v>
      </c>
      <c r="DA31" s="173" t="s">
        <v>474</v>
      </c>
    </row>
    <row r="32" spans="1:105" ht="11.45" customHeight="1" x14ac:dyDescent="0.25">
      <c r="A32" s="136" t="s">
        <v>180</v>
      </c>
      <c r="B32" s="152">
        <v>1377</v>
      </c>
      <c r="C32" s="152">
        <v>1442</v>
      </c>
      <c r="D32" s="152">
        <v>1522.5</v>
      </c>
      <c r="E32" s="152">
        <v>1590</v>
      </c>
      <c r="F32" s="152">
        <v>1620</v>
      </c>
      <c r="G32" s="152">
        <v>1573</v>
      </c>
      <c r="H32" s="152">
        <v>1625</v>
      </c>
      <c r="I32" s="152">
        <v>1690</v>
      </c>
      <c r="J32" s="152">
        <v>1690</v>
      </c>
      <c r="K32" s="152">
        <v>1662.5</v>
      </c>
      <c r="L32" s="152">
        <v>1587.5</v>
      </c>
      <c r="M32" s="152">
        <v>1587.5</v>
      </c>
      <c r="N32" s="152">
        <v>1536</v>
      </c>
      <c r="O32" s="152">
        <v>1467.6</v>
      </c>
      <c r="P32" s="152">
        <v>1546.25</v>
      </c>
      <c r="Q32" s="152">
        <v>1527.5</v>
      </c>
      <c r="R32" s="152">
        <v>1561.961892053022</v>
      </c>
      <c r="S32" s="152">
        <v>1475.4369050575754</v>
      </c>
      <c r="T32" s="152">
        <v>1422.1887675267251</v>
      </c>
      <c r="U32" s="152">
        <v>1522.2228377384424</v>
      </c>
      <c r="V32" s="152">
        <v>1371.4604277888254</v>
      </c>
      <c r="W32" s="152">
        <v>1440.9157071303864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76259.861535377771</v>
      </c>
      <c r="C33" s="116">
        <f t="shared" ref="C33:V33" si="104">SUM(C34:C39)</f>
        <v>79077.36562669916</v>
      </c>
      <c r="D33" s="116">
        <f t="shared" si="104"/>
        <v>79114.502684970284</v>
      </c>
      <c r="E33" s="116">
        <f t="shared" si="104"/>
        <v>81782.11611859512</v>
      </c>
      <c r="F33" s="116">
        <f t="shared" si="104"/>
        <v>82525.316154761895</v>
      </c>
      <c r="G33" s="116">
        <f t="shared" si="104"/>
        <v>79700.970151533198</v>
      </c>
      <c r="H33" s="116">
        <f t="shared" si="104"/>
        <v>82110.302952650527</v>
      </c>
      <c r="I33" s="116">
        <f t="shared" si="104"/>
        <v>85753.889498750432</v>
      </c>
      <c r="J33" s="116">
        <f t="shared" si="104"/>
        <v>87912.59288610192</v>
      </c>
      <c r="K33" s="116">
        <f t="shared" si="104"/>
        <v>88424.009896697244</v>
      </c>
      <c r="L33" s="116">
        <f t="shared" si="104"/>
        <v>88314.610651966621</v>
      </c>
      <c r="M33" s="116">
        <f t="shared" si="104"/>
        <v>89026.481557665829</v>
      </c>
      <c r="N33" s="116">
        <f t="shared" si="104"/>
        <v>88048.218105287335</v>
      </c>
      <c r="O33" s="116">
        <f t="shared" si="104"/>
        <v>86434.784059798112</v>
      </c>
      <c r="P33" s="116">
        <f t="shared" si="104"/>
        <v>89610.187283475345</v>
      </c>
      <c r="Q33" s="116">
        <f t="shared" si="104"/>
        <v>92393.859875416223</v>
      </c>
      <c r="R33" s="116">
        <f t="shared" si="104"/>
        <v>90955.781042531496</v>
      </c>
      <c r="S33" s="116">
        <f t="shared" si="104"/>
        <v>88406.673822955592</v>
      </c>
      <c r="T33" s="116">
        <f t="shared" si="104"/>
        <v>87727.87290342871</v>
      </c>
      <c r="U33" s="116">
        <f t="shared" si="104"/>
        <v>86933.117395638503</v>
      </c>
      <c r="V33" s="116">
        <f t="shared" si="104"/>
        <v>74638.905249691888</v>
      </c>
      <c r="W33" s="116">
        <f t="shared" ref="W33" si="105">SUM(W34:W39)</f>
        <v>78262.958423395219</v>
      </c>
      <c r="DA33" s="176" t="s">
        <v>476</v>
      </c>
    </row>
    <row r="34" spans="1:105" ht="11.45" customHeight="1" x14ac:dyDescent="0.25">
      <c r="A34" s="111" t="s">
        <v>110</v>
      </c>
      <c r="B34" s="87">
        <v>33436.301295287049</v>
      </c>
      <c r="C34" s="87">
        <v>32723.523536162986</v>
      </c>
      <c r="D34" s="87">
        <v>31159.287772195225</v>
      </c>
      <c r="E34" s="87">
        <v>31494.317737976253</v>
      </c>
      <c r="F34" s="87">
        <v>28293.270237792247</v>
      </c>
      <c r="G34" s="87">
        <v>26212.435785577884</v>
      </c>
      <c r="H34" s="87">
        <v>24323.128452048757</v>
      </c>
      <c r="I34" s="87">
        <v>22979.61093914806</v>
      </c>
      <c r="J34" s="87">
        <v>21068.024345619593</v>
      </c>
      <c r="K34" s="87">
        <v>20193.8554209555</v>
      </c>
      <c r="L34" s="87">
        <v>18666.114461319317</v>
      </c>
      <c r="M34" s="87">
        <v>18220.560870288587</v>
      </c>
      <c r="N34" s="87">
        <v>17941.035282583132</v>
      </c>
      <c r="O34" s="87">
        <v>18243.268908211805</v>
      </c>
      <c r="P34" s="87">
        <v>19682.549062384267</v>
      </c>
      <c r="Q34" s="87">
        <v>21301.992923431277</v>
      </c>
      <c r="R34" s="87">
        <v>22944.390596650941</v>
      </c>
      <c r="S34" s="87">
        <v>24353.394811202059</v>
      </c>
      <c r="T34" s="87">
        <v>27934.262480685476</v>
      </c>
      <c r="U34" s="87">
        <v>31699.460495476636</v>
      </c>
      <c r="V34" s="87">
        <v>27643.699091345574</v>
      </c>
      <c r="W34" s="87">
        <v>32271.759107566457</v>
      </c>
      <c r="DA34" s="171" t="s">
        <v>477</v>
      </c>
    </row>
    <row r="35" spans="1:105" ht="11.45" customHeight="1" x14ac:dyDescent="0.25">
      <c r="A35" s="111" t="s">
        <v>111</v>
      </c>
      <c r="B35" s="87">
        <v>42059.072148941035</v>
      </c>
      <c r="C35" s="87">
        <v>45436.3717358176</v>
      </c>
      <c r="D35" s="87">
        <v>47027.668145927273</v>
      </c>
      <c r="E35" s="87">
        <v>49423.169841996089</v>
      </c>
      <c r="F35" s="87">
        <v>53419.327974798638</v>
      </c>
      <c r="G35" s="87">
        <v>52766.614825857519</v>
      </c>
      <c r="H35" s="87">
        <v>57120.948028998668</v>
      </c>
      <c r="I35" s="87">
        <v>62176.220667789021</v>
      </c>
      <c r="J35" s="87">
        <v>66291.756395081713</v>
      </c>
      <c r="K35" s="87">
        <v>67728.0605259445</v>
      </c>
      <c r="L35" s="87">
        <v>69197.802818648648</v>
      </c>
      <c r="M35" s="87">
        <v>70300.212054216056</v>
      </c>
      <c r="N35" s="87">
        <v>69572.110524559088</v>
      </c>
      <c r="O35" s="87">
        <v>67696.813777199321</v>
      </c>
      <c r="P35" s="87">
        <v>69329.382231652475</v>
      </c>
      <c r="Q35" s="87">
        <v>70220.655203606802</v>
      </c>
      <c r="R35" s="87">
        <v>67068.953645460264</v>
      </c>
      <c r="S35" s="87">
        <v>62941.830663426561</v>
      </c>
      <c r="T35" s="87">
        <v>58440.387468163659</v>
      </c>
      <c r="U35" s="87">
        <v>53567.889071959689</v>
      </c>
      <c r="V35" s="87">
        <v>44965.228124016612</v>
      </c>
      <c r="W35" s="87">
        <v>42982.01699570661</v>
      </c>
      <c r="DA35" s="171" t="s">
        <v>478</v>
      </c>
    </row>
    <row r="36" spans="1:105" ht="11.45" customHeight="1" x14ac:dyDescent="0.25">
      <c r="A36" s="111" t="s">
        <v>112</v>
      </c>
      <c r="B36" s="87">
        <v>764.48809114969151</v>
      </c>
      <c r="C36" s="87">
        <v>917.4703547185851</v>
      </c>
      <c r="D36" s="87">
        <v>927.54676684778781</v>
      </c>
      <c r="E36" s="87">
        <v>864.62853862278746</v>
      </c>
      <c r="F36" s="87">
        <v>808.41967479592313</v>
      </c>
      <c r="G36" s="87">
        <v>717.17203861838414</v>
      </c>
      <c r="H36" s="87">
        <v>661.41700437035172</v>
      </c>
      <c r="I36" s="87">
        <v>593.20834289647928</v>
      </c>
      <c r="J36" s="87">
        <v>548.48200098678672</v>
      </c>
      <c r="K36" s="87">
        <v>498.06467085521217</v>
      </c>
      <c r="L36" s="87">
        <v>445.72193417288605</v>
      </c>
      <c r="M36" s="87">
        <v>496.26911065741564</v>
      </c>
      <c r="N36" s="87">
        <v>514.78900807411173</v>
      </c>
      <c r="O36" s="87">
        <v>466.07231446901244</v>
      </c>
      <c r="P36" s="87">
        <v>528.76820092477146</v>
      </c>
      <c r="Q36" s="87">
        <v>741.85073679026823</v>
      </c>
      <c r="R36" s="87">
        <v>666.60113983687756</v>
      </c>
      <c r="S36" s="87">
        <v>649.64557138384134</v>
      </c>
      <c r="T36" s="87">
        <v>634.24507270396532</v>
      </c>
      <c r="U36" s="87">
        <v>619.52517576415607</v>
      </c>
      <c r="V36" s="87">
        <v>565.63860446265755</v>
      </c>
      <c r="W36" s="87">
        <v>554.77973980562842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4.2982673750922311</v>
      </c>
      <c r="G37" s="87">
        <v>4.7475014794078705</v>
      </c>
      <c r="H37" s="87">
        <v>4.8094672327538186</v>
      </c>
      <c r="I37" s="87">
        <v>4.8495489168710861</v>
      </c>
      <c r="J37" s="87">
        <v>4.1933004029288981</v>
      </c>
      <c r="K37" s="87">
        <v>3.8313041837927888</v>
      </c>
      <c r="L37" s="87">
        <v>4.0351591660940782</v>
      </c>
      <c r="M37" s="87">
        <v>4.3359463323990202</v>
      </c>
      <c r="N37" s="87">
        <v>4.3822288935503977</v>
      </c>
      <c r="O37" s="87">
        <v>6.6887628658939535</v>
      </c>
      <c r="P37" s="87">
        <v>23.331701508647082</v>
      </c>
      <c r="Q37" s="87">
        <v>34.701510036593078</v>
      </c>
      <c r="R37" s="87">
        <v>73.337320306514471</v>
      </c>
      <c r="S37" s="87">
        <v>108.79782928359138</v>
      </c>
      <c r="T37" s="87">
        <v>184.45326915626711</v>
      </c>
      <c r="U37" s="87">
        <v>272.35376266466744</v>
      </c>
      <c r="V37" s="87">
        <v>297.08980798419498</v>
      </c>
      <c r="W37" s="87">
        <v>302.22780961301555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0.14353482003432774</v>
      </c>
      <c r="N38" s="87">
        <v>3.2293003461265988</v>
      </c>
      <c r="O38" s="87">
        <v>3.4386417736021473</v>
      </c>
      <c r="P38" s="87">
        <v>11.683933639751514</v>
      </c>
      <c r="Q38" s="87">
        <v>43.431295302496686</v>
      </c>
      <c r="R38" s="87">
        <v>122.3067277046889</v>
      </c>
      <c r="S38" s="87">
        <v>236.84242427107009</v>
      </c>
      <c r="T38" s="87">
        <v>368.43226016568019</v>
      </c>
      <c r="U38" s="87">
        <v>490.57484497898082</v>
      </c>
      <c r="V38" s="87">
        <v>724.59334730070475</v>
      </c>
      <c r="W38" s="87">
        <v>1320.061590005238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0.13684401090606416</v>
      </c>
      <c r="K39" s="87">
        <v>0.19797475823183416</v>
      </c>
      <c r="L39" s="87">
        <v>0.93627865967581969</v>
      </c>
      <c r="M39" s="87">
        <v>4.9600413513295933</v>
      </c>
      <c r="N39" s="87">
        <v>12.671760831339792</v>
      </c>
      <c r="O39" s="87">
        <v>18.501655278490485</v>
      </c>
      <c r="P39" s="87">
        <v>34.472153365444527</v>
      </c>
      <c r="Q39" s="87">
        <v>51.228206248799239</v>
      </c>
      <c r="R39" s="87">
        <v>80.191612572227186</v>
      </c>
      <c r="S39" s="87">
        <v>116.16252338847542</v>
      </c>
      <c r="T39" s="87">
        <v>166.09235255367054</v>
      </c>
      <c r="U39" s="87">
        <v>283.3140447943731</v>
      </c>
      <c r="V39" s="87">
        <v>442.65627458214203</v>
      </c>
      <c r="W39" s="87">
        <v>832.11318069827189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662.12212321278344</v>
      </c>
      <c r="C40" s="116">
        <f t="shared" ref="C40:V40" si="107">SUM(C41:C45)</f>
        <v>670</v>
      </c>
      <c r="D40" s="116">
        <f t="shared" si="107"/>
        <v>680</v>
      </c>
      <c r="E40" s="116">
        <f t="shared" si="107"/>
        <v>697.51877796227745</v>
      </c>
      <c r="F40" s="116">
        <f t="shared" si="107"/>
        <v>700.05700780492793</v>
      </c>
      <c r="G40" s="116">
        <f t="shared" si="107"/>
        <v>692.6881831819835</v>
      </c>
      <c r="H40" s="116">
        <f t="shared" si="107"/>
        <v>679.56510786446961</v>
      </c>
      <c r="I40" s="116">
        <f t="shared" si="107"/>
        <v>676.40305366502855</v>
      </c>
      <c r="J40" s="116">
        <f t="shared" si="107"/>
        <v>689.61610020486353</v>
      </c>
      <c r="K40" s="116">
        <f t="shared" si="107"/>
        <v>682.50311996421931</v>
      </c>
      <c r="L40" s="116">
        <f t="shared" si="107"/>
        <v>679.67208428504671</v>
      </c>
      <c r="M40" s="116">
        <f t="shared" si="107"/>
        <v>664.16886857953614</v>
      </c>
      <c r="N40" s="116">
        <f t="shared" si="107"/>
        <v>651.4092899809898</v>
      </c>
      <c r="O40" s="116">
        <f t="shared" si="107"/>
        <v>633</v>
      </c>
      <c r="P40" s="116">
        <f t="shared" si="107"/>
        <v>645.99999999999989</v>
      </c>
      <c r="Q40" s="116">
        <f t="shared" si="107"/>
        <v>659</v>
      </c>
      <c r="R40" s="116">
        <f t="shared" si="107"/>
        <v>614</v>
      </c>
      <c r="S40" s="116">
        <f t="shared" si="107"/>
        <v>614.00000000000011</v>
      </c>
      <c r="T40" s="116">
        <f t="shared" si="107"/>
        <v>621.41077569573372</v>
      </c>
      <c r="U40" s="116">
        <f t="shared" si="107"/>
        <v>628.79443252296301</v>
      </c>
      <c r="V40" s="116">
        <f t="shared" si="107"/>
        <v>626.07649021019051</v>
      </c>
      <c r="W40" s="116">
        <f t="shared" ref="W40" si="108">SUM(W41:W45)</f>
        <v>626.35505720072319</v>
      </c>
      <c r="DA40" s="176" t="s">
        <v>483</v>
      </c>
    </row>
    <row r="41" spans="1:105" ht="11.45" customHeight="1" x14ac:dyDescent="0.25">
      <c r="A41" s="111" t="s">
        <v>110</v>
      </c>
      <c r="B41" s="101">
        <v>8.8652630087268935</v>
      </c>
      <c r="C41" s="101">
        <v>8.7990058549471364</v>
      </c>
      <c r="D41" s="101">
        <v>8.1444389950890343</v>
      </c>
      <c r="E41" s="101">
        <v>8.2340121307108269</v>
      </c>
      <c r="F41" s="101">
        <v>8.06427552089073</v>
      </c>
      <c r="G41" s="101">
        <v>7.9775145642366221</v>
      </c>
      <c r="H41" s="101">
        <v>7.2379639378512008</v>
      </c>
      <c r="I41" s="101">
        <v>6.8611766046129432</v>
      </c>
      <c r="J41" s="101">
        <v>6.3643620726424111</v>
      </c>
      <c r="K41" s="101">
        <v>5.8376059365046853</v>
      </c>
      <c r="L41" s="101">
        <v>5.2950821456530575</v>
      </c>
      <c r="M41" s="101">
        <v>5.0816399972867767</v>
      </c>
      <c r="N41" s="101">
        <v>4.876561043611134</v>
      </c>
      <c r="O41" s="101">
        <v>4.529175383251232</v>
      </c>
      <c r="P41" s="101">
        <v>4.4241224840684916</v>
      </c>
      <c r="Q41" s="101">
        <v>4.2905435109538583</v>
      </c>
      <c r="R41" s="101">
        <v>3.9963305348803306</v>
      </c>
      <c r="S41" s="101">
        <v>3.9001197899320692</v>
      </c>
      <c r="T41" s="101">
        <v>3.8371931311075289</v>
      </c>
      <c r="U41" s="101">
        <v>3.800136625220178</v>
      </c>
      <c r="V41" s="101">
        <v>3.7287782345495284</v>
      </c>
      <c r="W41" s="101">
        <v>3.6003850403770108</v>
      </c>
      <c r="DA41" s="175" t="s">
        <v>484</v>
      </c>
    </row>
    <row r="42" spans="1:105" ht="11.45" customHeight="1" x14ac:dyDescent="0.25">
      <c r="A42" s="111" t="s">
        <v>111</v>
      </c>
      <c r="B42" s="101">
        <v>653.17547968776591</v>
      </c>
      <c r="C42" s="101">
        <v>661.11955274491049</v>
      </c>
      <c r="D42" s="101">
        <v>671.77408499213868</v>
      </c>
      <c r="E42" s="101">
        <v>689.20326567874827</v>
      </c>
      <c r="F42" s="101">
        <v>691.91117503397084</v>
      </c>
      <c r="G42" s="101">
        <v>683.85368854843921</v>
      </c>
      <c r="H42" s="101">
        <v>671.46951700317766</v>
      </c>
      <c r="I42" s="101">
        <v>668.72450114510502</v>
      </c>
      <c r="J42" s="101">
        <v>682.47471608007254</v>
      </c>
      <c r="K42" s="101">
        <v>675.88792169081034</v>
      </c>
      <c r="L42" s="101">
        <v>673.63980595103953</v>
      </c>
      <c r="M42" s="101">
        <v>658.39045566240429</v>
      </c>
      <c r="N42" s="101">
        <v>645.87644724407062</v>
      </c>
      <c r="O42" s="101">
        <v>627.81403263805464</v>
      </c>
      <c r="P42" s="101">
        <v>640.83659323952463</v>
      </c>
      <c r="Q42" s="101">
        <v>654.05190192798045</v>
      </c>
      <c r="R42" s="101">
        <v>609.35414723685881</v>
      </c>
      <c r="S42" s="101">
        <v>609.4909488966257</v>
      </c>
      <c r="T42" s="101">
        <v>616.50512614247975</v>
      </c>
      <c r="U42" s="101">
        <v>622.15399552137444</v>
      </c>
      <c r="V42" s="101">
        <v>618.57733741845061</v>
      </c>
      <c r="W42" s="101">
        <v>614.06419846222832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</v>
      </c>
      <c r="G43" s="101">
        <v>0</v>
      </c>
      <c r="H43" s="101">
        <v>0</v>
      </c>
      <c r="I43" s="101">
        <v>0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0</v>
      </c>
      <c r="U43" s="101">
        <v>0</v>
      </c>
      <c r="V43" s="101">
        <v>0</v>
      </c>
      <c r="W43" s="101">
        <v>0</v>
      </c>
      <c r="DA43" s="175" t="s">
        <v>486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0</v>
      </c>
      <c r="L44" s="101">
        <v>0</v>
      </c>
      <c r="M44" s="101">
        <v>0</v>
      </c>
      <c r="N44" s="101">
        <v>0</v>
      </c>
      <c r="O44" s="101">
        <v>0</v>
      </c>
      <c r="P44" s="101">
        <v>0</v>
      </c>
      <c r="Q44" s="101">
        <v>0</v>
      </c>
      <c r="R44" s="101">
        <v>3.297837775867505E-2</v>
      </c>
      <c r="S44" s="101">
        <v>3.3445576255026969E-2</v>
      </c>
      <c r="T44" s="101">
        <v>0.20518743927705294</v>
      </c>
      <c r="U44" s="101">
        <v>0.4151176012113475</v>
      </c>
      <c r="V44" s="101">
        <v>0.81135367574609607</v>
      </c>
      <c r="W44" s="101">
        <v>4.9916237739465048</v>
      </c>
      <c r="DA44" s="175" t="s">
        <v>487</v>
      </c>
    </row>
    <row r="45" spans="1:105" ht="11.45" customHeight="1" x14ac:dyDescent="0.25">
      <c r="A45" s="111" t="s">
        <v>115</v>
      </c>
      <c r="B45" s="101">
        <v>8.1380516290644397E-2</v>
      </c>
      <c r="C45" s="101">
        <v>8.1441400142322248E-2</v>
      </c>
      <c r="D45" s="101">
        <v>8.147601277230497E-2</v>
      </c>
      <c r="E45" s="101">
        <v>8.1500152818257177E-2</v>
      </c>
      <c r="F45" s="101">
        <v>8.1557250066389336E-2</v>
      </c>
      <c r="G45" s="101">
        <v>0.85698006930774173</v>
      </c>
      <c r="H45" s="101">
        <v>0.85762692344075786</v>
      </c>
      <c r="I45" s="101">
        <v>0.81737591531052833</v>
      </c>
      <c r="J45" s="101">
        <v>0.77702205214862063</v>
      </c>
      <c r="K45" s="101">
        <v>0.77759233690431373</v>
      </c>
      <c r="L45" s="101">
        <v>0.73719618835415857</v>
      </c>
      <c r="M45" s="101">
        <v>0.69677291984515044</v>
      </c>
      <c r="N45" s="101">
        <v>0.65628169330808117</v>
      </c>
      <c r="O45" s="101">
        <v>0.65679197869417327</v>
      </c>
      <c r="P45" s="101">
        <v>0.73928427640683825</v>
      </c>
      <c r="Q45" s="101">
        <v>0.65755456106572541</v>
      </c>
      <c r="R45" s="101">
        <v>0.61654385050216165</v>
      </c>
      <c r="S45" s="101">
        <v>0.57548573718723528</v>
      </c>
      <c r="T45" s="101">
        <v>0.86326898286935905</v>
      </c>
      <c r="U45" s="101">
        <v>2.4251827751570918</v>
      </c>
      <c r="V45" s="101">
        <v>2.9590208814443488</v>
      </c>
      <c r="W45" s="101">
        <v>3.6988499241714536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10963.054075109292</v>
      </c>
      <c r="C46" s="29">
        <f t="shared" ref="C46:V46" si="110">C47+C53</f>
        <v>11796.677669878358</v>
      </c>
      <c r="D46" s="29">
        <f t="shared" si="110"/>
        <v>12486.283992343819</v>
      </c>
      <c r="E46" s="29">
        <f t="shared" si="110"/>
        <v>12825.777490271508</v>
      </c>
      <c r="F46" s="29">
        <f t="shared" si="110"/>
        <v>14255.231374569574</v>
      </c>
      <c r="G46" s="29">
        <f t="shared" si="110"/>
        <v>14675.604056655817</v>
      </c>
      <c r="H46" s="29">
        <f t="shared" si="110"/>
        <v>15182.421922317006</v>
      </c>
      <c r="I46" s="29">
        <f t="shared" si="110"/>
        <v>15917.174400634338</v>
      </c>
      <c r="J46" s="29">
        <f t="shared" si="110"/>
        <v>15863.452763840438</v>
      </c>
      <c r="K46" s="29">
        <f t="shared" si="110"/>
        <v>15732.882530628482</v>
      </c>
      <c r="L46" s="29">
        <f t="shared" si="110"/>
        <v>15799.640407901103</v>
      </c>
      <c r="M46" s="29">
        <f t="shared" si="110"/>
        <v>15709.004250376714</v>
      </c>
      <c r="N46" s="29">
        <f t="shared" si="110"/>
        <v>15518.429906418318</v>
      </c>
      <c r="O46" s="29">
        <f t="shared" si="110"/>
        <v>15052.94883601334</v>
      </c>
      <c r="P46" s="29">
        <f t="shared" si="110"/>
        <v>15585.1669759782</v>
      </c>
      <c r="Q46" s="29">
        <f t="shared" si="110"/>
        <v>16698.684434949704</v>
      </c>
      <c r="R46" s="29">
        <f t="shared" si="110"/>
        <v>16147.005182094421</v>
      </c>
      <c r="S46" s="29">
        <f t="shared" si="110"/>
        <v>15350.915599319229</v>
      </c>
      <c r="T46" s="29">
        <f t="shared" si="110"/>
        <v>15062.218668092464</v>
      </c>
      <c r="U46" s="29">
        <f t="shared" si="110"/>
        <v>15423.38242198501</v>
      </c>
      <c r="V46" s="29">
        <f t="shared" si="110"/>
        <v>14607.49829725205</v>
      </c>
      <c r="W46" s="29">
        <f t="shared" ref="W46" si="111">W47+W53</f>
        <v>16586.497828773186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7591.0997578039332</v>
      </c>
      <c r="C47" s="152">
        <f t="shared" ref="C47:V47" si="113">SUM(C48:C52)</f>
        <v>8149.3866585053711</v>
      </c>
      <c r="D47" s="152">
        <f t="shared" si="113"/>
        <v>8725.3770842078338</v>
      </c>
      <c r="E47" s="152">
        <f t="shared" si="113"/>
        <v>9200.1796410210154</v>
      </c>
      <c r="F47" s="152">
        <f t="shared" si="113"/>
        <v>10271.193481896658</v>
      </c>
      <c r="G47" s="152">
        <f t="shared" si="113"/>
        <v>10779.662305249811</v>
      </c>
      <c r="H47" s="152">
        <f t="shared" si="113"/>
        <v>11221.269611014357</v>
      </c>
      <c r="I47" s="152">
        <f t="shared" si="113"/>
        <v>11926.195081136106</v>
      </c>
      <c r="J47" s="152">
        <f t="shared" si="113"/>
        <v>12235.111719681732</v>
      </c>
      <c r="K47" s="152">
        <f t="shared" si="113"/>
        <v>12263.539587023153</v>
      </c>
      <c r="L47" s="152">
        <f t="shared" si="113"/>
        <v>12324.596509590907</v>
      </c>
      <c r="M47" s="152">
        <f t="shared" si="113"/>
        <v>12186.744317317512</v>
      </c>
      <c r="N47" s="152">
        <f t="shared" si="113"/>
        <v>12003.609187092357</v>
      </c>
      <c r="O47" s="152">
        <f t="shared" si="113"/>
        <v>11412.084409937805</v>
      </c>
      <c r="P47" s="152">
        <f t="shared" si="113"/>
        <v>11876.23983887489</v>
      </c>
      <c r="Q47" s="152">
        <f t="shared" si="113"/>
        <v>12670.93254920359</v>
      </c>
      <c r="R47" s="152">
        <f t="shared" si="113"/>
        <v>12042.440236943872</v>
      </c>
      <c r="S47" s="152">
        <f t="shared" si="113"/>
        <v>11207.158109387199</v>
      </c>
      <c r="T47" s="152">
        <f t="shared" si="113"/>
        <v>11132.87189635916</v>
      </c>
      <c r="U47" s="152">
        <f t="shared" si="113"/>
        <v>11285.682106002025</v>
      </c>
      <c r="V47" s="152">
        <f t="shared" si="113"/>
        <v>10569.647397331704</v>
      </c>
      <c r="W47" s="152">
        <f t="shared" ref="W47" si="114">SUM(W48:W52)</f>
        <v>12291.744083691716</v>
      </c>
      <c r="DA47" s="174" t="s">
        <v>490</v>
      </c>
    </row>
    <row r="48" spans="1:105" ht="11.45" customHeight="1" x14ac:dyDescent="0.25">
      <c r="A48" s="111" t="s">
        <v>110</v>
      </c>
      <c r="B48" s="87">
        <v>522.129375829634</v>
      </c>
      <c r="C48" s="87">
        <v>529.05613970857723</v>
      </c>
      <c r="D48" s="87">
        <v>567.35520215102349</v>
      </c>
      <c r="E48" s="87">
        <v>545.78286580232964</v>
      </c>
      <c r="F48" s="87">
        <v>545.60332876694133</v>
      </c>
      <c r="G48" s="87">
        <v>557.06613963034886</v>
      </c>
      <c r="H48" s="87">
        <v>545.84655359871874</v>
      </c>
      <c r="I48" s="87">
        <v>493.39267943531752</v>
      </c>
      <c r="J48" s="87">
        <v>466.56771625247683</v>
      </c>
      <c r="K48" s="87">
        <v>437.1952844025455</v>
      </c>
      <c r="L48" s="87">
        <v>419.81762852553567</v>
      </c>
      <c r="M48" s="87">
        <v>394.11899807765127</v>
      </c>
      <c r="N48" s="87">
        <v>373.89001551194951</v>
      </c>
      <c r="O48" s="87">
        <v>338.1485896390796</v>
      </c>
      <c r="P48" s="87">
        <v>312.09887010928787</v>
      </c>
      <c r="Q48" s="87">
        <v>289.85011968894935</v>
      </c>
      <c r="R48" s="87">
        <v>302.38230350100366</v>
      </c>
      <c r="S48" s="87">
        <v>332.58743906139927</v>
      </c>
      <c r="T48" s="87">
        <v>390.14574762078632</v>
      </c>
      <c r="U48" s="87">
        <v>433.4276540096165</v>
      </c>
      <c r="V48" s="87">
        <v>397.92026176661267</v>
      </c>
      <c r="W48" s="87">
        <v>451.27388874389044</v>
      </c>
      <c r="DA48" s="171" t="s">
        <v>491</v>
      </c>
    </row>
    <row r="49" spans="1:105" ht="11.45" customHeight="1" x14ac:dyDescent="0.25">
      <c r="A49" s="111" t="s">
        <v>111</v>
      </c>
      <c r="B49" s="87">
        <v>6854.4589346244293</v>
      </c>
      <c r="C49" s="87">
        <v>7382.5057238773152</v>
      </c>
      <c r="D49" s="87">
        <v>7907.5011468424864</v>
      </c>
      <c r="E49" s="87">
        <v>8421.0980139646599</v>
      </c>
      <c r="F49" s="87">
        <v>9483.4470767710427</v>
      </c>
      <c r="G49" s="87">
        <v>9988.6269444973332</v>
      </c>
      <c r="H49" s="87">
        <v>10445.760441092734</v>
      </c>
      <c r="I49" s="87">
        <v>11220.193659479999</v>
      </c>
      <c r="J49" s="87">
        <v>11567.178682640031</v>
      </c>
      <c r="K49" s="87">
        <v>11642.269990910361</v>
      </c>
      <c r="L49" s="87">
        <v>11738.705524781552</v>
      </c>
      <c r="M49" s="87">
        <v>11625.927953068662</v>
      </c>
      <c r="N49" s="87">
        <v>11468.921309529338</v>
      </c>
      <c r="O49" s="87">
        <v>10941.472763114536</v>
      </c>
      <c r="P49" s="87">
        <v>11440.9439819441</v>
      </c>
      <c r="Q49" s="87">
        <v>12277.725188582888</v>
      </c>
      <c r="R49" s="87">
        <v>11641.414848126688</v>
      </c>
      <c r="S49" s="87">
        <v>10773.536146209313</v>
      </c>
      <c r="T49" s="87">
        <v>10635.84615271244</v>
      </c>
      <c r="U49" s="87">
        <v>10731.605977873218</v>
      </c>
      <c r="V49" s="87">
        <v>10045.051057845702</v>
      </c>
      <c r="W49" s="87">
        <v>11687.845747994155</v>
      </c>
      <c r="DA49" s="171" t="s">
        <v>492</v>
      </c>
    </row>
    <row r="50" spans="1:105" ht="11.45" customHeight="1" x14ac:dyDescent="0.25">
      <c r="A50" s="111" t="s">
        <v>112</v>
      </c>
      <c r="B50" s="87">
        <v>214.51144734986983</v>
      </c>
      <c r="C50" s="87">
        <v>237.82479491947879</v>
      </c>
      <c r="D50" s="87">
        <v>250.52073521432354</v>
      </c>
      <c r="E50" s="87">
        <v>233.29876125402637</v>
      </c>
      <c r="F50" s="87">
        <v>242.14307635867357</v>
      </c>
      <c r="G50" s="87">
        <v>233.96922112212863</v>
      </c>
      <c r="H50" s="87">
        <v>229.66261632290542</v>
      </c>
      <c r="I50" s="87">
        <v>212.60874222078863</v>
      </c>
      <c r="J50" s="87">
        <v>199.68592380508187</v>
      </c>
      <c r="K50" s="87">
        <v>182.05915154078193</v>
      </c>
      <c r="L50" s="87">
        <v>163.79936652052328</v>
      </c>
      <c r="M50" s="87">
        <v>164.36770488426745</v>
      </c>
      <c r="N50" s="87">
        <v>153.13304804205191</v>
      </c>
      <c r="O50" s="87">
        <v>122.82725319423139</v>
      </c>
      <c r="P50" s="87">
        <v>110.00453683160444</v>
      </c>
      <c r="Q50" s="87">
        <v>85.186647983914284</v>
      </c>
      <c r="R50" s="87">
        <v>79.272834865780681</v>
      </c>
      <c r="S50" s="87">
        <v>73.037934248512613</v>
      </c>
      <c r="T50" s="87">
        <v>65.761869048572251</v>
      </c>
      <c r="U50" s="87">
        <v>60.61362771436788</v>
      </c>
      <c r="V50" s="87">
        <v>56.697381333366828</v>
      </c>
      <c r="W50" s="87">
        <v>62.767658283794241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0.83979427989946165</v>
      </c>
      <c r="K51" s="87">
        <v>1.1320577334270012</v>
      </c>
      <c r="L51" s="87">
        <v>1.3757556423181028</v>
      </c>
      <c r="M51" s="87">
        <v>1.1983928265859007</v>
      </c>
      <c r="N51" s="87">
        <v>2.8773057355520284</v>
      </c>
      <c r="O51" s="87">
        <v>3.3716470019977063</v>
      </c>
      <c r="P51" s="87">
        <v>5.5819109842337493</v>
      </c>
      <c r="Q51" s="87">
        <v>9.7822714442850316</v>
      </c>
      <c r="R51" s="87">
        <v>9.2944298462674393</v>
      </c>
      <c r="S51" s="87">
        <v>16.679062831441627</v>
      </c>
      <c r="T51" s="87">
        <v>26.291272446482342</v>
      </c>
      <c r="U51" s="87">
        <v>40.081891664435503</v>
      </c>
      <c r="V51" s="87">
        <v>45.570410262056981</v>
      </c>
      <c r="W51" s="87">
        <v>53.454430680559575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0.83960270424115846</v>
      </c>
      <c r="K52" s="87">
        <v>0.88310243603791827</v>
      </c>
      <c r="L52" s="87">
        <v>0.89823412097831434</v>
      </c>
      <c r="M52" s="87">
        <v>1.1312684603467915</v>
      </c>
      <c r="N52" s="87">
        <v>4.787508273466063</v>
      </c>
      <c r="O52" s="87">
        <v>6.2641569879592938</v>
      </c>
      <c r="P52" s="87">
        <v>7.6105390056630782</v>
      </c>
      <c r="Q52" s="87">
        <v>8.3883215035523317</v>
      </c>
      <c r="R52" s="87">
        <v>10.07582060413247</v>
      </c>
      <c r="S52" s="87">
        <v>11.317527036533757</v>
      </c>
      <c r="T52" s="87">
        <v>14.826854530878087</v>
      </c>
      <c r="U52" s="87">
        <v>19.952954740387558</v>
      </c>
      <c r="V52" s="87">
        <v>24.408286123967383</v>
      </c>
      <c r="W52" s="87">
        <v>36.402357989316961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3371.954317305358</v>
      </c>
      <c r="C53" s="116">
        <f t="shared" ref="C53:V53" si="116">SUM(C54:C55)</f>
        <v>3647.2910113729868</v>
      </c>
      <c r="D53" s="116">
        <f t="shared" si="116"/>
        <v>3760.9069081359858</v>
      </c>
      <c r="E53" s="116">
        <f t="shared" si="116"/>
        <v>3625.5978492504928</v>
      </c>
      <c r="F53" s="116">
        <f t="shared" si="116"/>
        <v>3984.0378926729149</v>
      </c>
      <c r="G53" s="116">
        <f t="shared" si="116"/>
        <v>3895.9417514060065</v>
      </c>
      <c r="H53" s="116">
        <f t="shared" si="116"/>
        <v>3961.1523113026487</v>
      </c>
      <c r="I53" s="116">
        <f t="shared" si="116"/>
        <v>3990.9793194982326</v>
      </c>
      <c r="J53" s="116">
        <f t="shared" si="116"/>
        <v>3628.3410441587057</v>
      </c>
      <c r="K53" s="116">
        <f t="shared" si="116"/>
        <v>3469.3429436053275</v>
      </c>
      <c r="L53" s="116">
        <f t="shared" si="116"/>
        <v>3475.0438983101958</v>
      </c>
      <c r="M53" s="116">
        <f t="shared" si="116"/>
        <v>3522.259933059202</v>
      </c>
      <c r="N53" s="116">
        <f t="shared" si="116"/>
        <v>3514.8207193259614</v>
      </c>
      <c r="O53" s="116">
        <f t="shared" si="116"/>
        <v>3640.8644260755345</v>
      </c>
      <c r="P53" s="116">
        <f t="shared" si="116"/>
        <v>3708.9271371033096</v>
      </c>
      <c r="Q53" s="116">
        <f t="shared" si="116"/>
        <v>4027.7518857461146</v>
      </c>
      <c r="R53" s="116">
        <f t="shared" si="116"/>
        <v>4104.5649451505496</v>
      </c>
      <c r="S53" s="116">
        <f t="shared" si="116"/>
        <v>4143.7574899320307</v>
      </c>
      <c r="T53" s="116">
        <f t="shared" si="116"/>
        <v>3929.3467717333033</v>
      </c>
      <c r="U53" s="116">
        <f t="shared" si="116"/>
        <v>4137.7003159829856</v>
      </c>
      <c r="V53" s="116">
        <f t="shared" si="116"/>
        <v>4037.8508999203459</v>
      </c>
      <c r="W53" s="116">
        <f t="shared" ref="W53" si="117">SUM(W54:W55)</f>
        <v>4294.7537450814689</v>
      </c>
      <c r="DA53" s="176" t="s">
        <v>496</v>
      </c>
    </row>
    <row r="54" spans="1:105" ht="11.45" customHeight="1" x14ac:dyDescent="0.25">
      <c r="A54" s="128" t="s">
        <v>27</v>
      </c>
      <c r="B54" s="101">
        <v>1981</v>
      </c>
      <c r="C54" s="101">
        <v>2156</v>
      </c>
      <c r="D54" s="101">
        <v>2192</v>
      </c>
      <c r="E54" s="101">
        <v>2022</v>
      </c>
      <c r="F54" s="101">
        <v>2088</v>
      </c>
      <c r="G54" s="101">
        <v>1933</v>
      </c>
      <c r="H54" s="101">
        <v>1949</v>
      </c>
      <c r="I54" s="101">
        <v>1908</v>
      </c>
      <c r="J54" s="101">
        <v>1555</v>
      </c>
      <c r="K54" s="101">
        <v>1516</v>
      </c>
      <c r="L54" s="101">
        <v>1509</v>
      </c>
      <c r="M54" s="101">
        <v>1554</v>
      </c>
      <c r="N54" s="101">
        <v>1551</v>
      </c>
      <c r="O54" s="101">
        <v>1612</v>
      </c>
      <c r="P54" s="101">
        <v>1673</v>
      </c>
      <c r="Q54" s="101">
        <v>1943</v>
      </c>
      <c r="R54" s="101">
        <v>1886</v>
      </c>
      <c r="S54" s="101">
        <v>1901</v>
      </c>
      <c r="T54" s="101">
        <v>1787</v>
      </c>
      <c r="U54" s="101">
        <v>1960</v>
      </c>
      <c r="V54" s="101">
        <v>1848</v>
      </c>
      <c r="W54" s="101">
        <v>2052</v>
      </c>
      <c r="DA54" s="175" t="s">
        <v>497</v>
      </c>
    </row>
    <row r="55" spans="1:105" ht="11.45" customHeight="1" x14ac:dyDescent="0.25">
      <c r="A55" s="138" t="s">
        <v>116</v>
      </c>
      <c r="B55" s="88">
        <v>1390.9543173053578</v>
      </c>
      <c r="C55" s="88">
        <v>1491.2910113729865</v>
      </c>
      <c r="D55" s="88">
        <v>1568.9069081359858</v>
      </c>
      <c r="E55" s="88">
        <v>1603.5978492504926</v>
      </c>
      <c r="F55" s="88">
        <v>1896.0378926729149</v>
      </c>
      <c r="G55" s="88">
        <v>1962.9417514060065</v>
      </c>
      <c r="H55" s="88">
        <v>2012.152311302649</v>
      </c>
      <c r="I55" s="88">
        <v>2082.9793194982326</v>
      </c>
      <c r="J55" s="88">
        <v>2073.3410441587057</v>
      </c>
      <c r="K55" s="88">
        <v>1953.3429436053277</v>
      </c>
      <c r="L55" s="88">
        <v>1966.0438983101956</v>
      </c>
      <c r="M55" s="88">
        <v>1968.259933059202</v>
      </c>
      <c r="N55" s="88">
        <v>1963.8207193259614</v>
      </c>
      <c r="O55" s="88">
        <v>2028.8644260755343</v>
      </c>
      <c r="P55" s="88">
        <v>2035.9271371033096</v>
      </c>
      <c r="Q55" s="88">
        <v>2084.7518857461146</v>
      </c>
      <c r="R55" s="88">
        <v>2218.5649451505496</v>
      </c>
      <c r="S55" s="88">
        <v>2242.7574899320307</v>
      </c>
      <c r="T55" s="88">
        <v>2142.3467717333033</v>
      </c>
      <c r="U55" s="88">
        <v>2177.700315982986</v>
      </c>
      <c r="V55" s="88">
        <v>2189.8508999203459</v>
      </c>
      <c r="W55" s="88">
        <v>2242.7537450814684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5511463</v>
      </c>
      <c r="C57" s="54">
        <f t="shared" si="118"/>
        <v>5655727</v>
      </c>
      <c r="D57" s="54">
        <f t="shared" si="118"/>
        <v>5693649</v>
      </c>
      <c r="E57" s="54">
        <f t="shared" si="118"/>
        <v>5763246</v>
      </c>
      <c r="F57" s="54">
        <f t="shared" si="118"/>
        <v>5853288</v>
      </c>
      <c r="G57" s="54">
        <f t="shared" si="118"/>
        <v>5949635</v>
      </c>
      <c r="H57" s="54">
        <f t="shared" si="118"/>
        <v>6036495</v>
      </c>
      <c r="I57" s="54">
        <f t="shared" si="118"/>
        <v>6140127</v>
      </c>
      <c r="J57" s="54">
        <f t="shared" si="118"/>
        <v>6258305</v>
      </c>
      <c r="K57" s="54">
        <f t="shared" si="118"/>
        <v>6347783</v>
      </c>
      <c r="L57" s="54">
        <f t="shared" ref="L57" si="119">L58+L73</f>
        <v>6460711</v>
      </c>
      <c r="M57" s="54">
        <f t="shared" ref="M57:V57" si="120">M58+M73</f>
        <v>6631859</v>
      </c>
      <c r="N57" s="54">
        <f t="shared" si="120"/>
        <v>6688267</v>
      </c>
      <c r="O57" s="54">
        <f t="shared" si="120"/>
        <v>6759604</v>
      </c>
      <c r="P57" s="54">
        <f t="shared" si="120"/>
        <v>6840969</v>
      </c>
      <c r="Q57" s="54">
        <f t="shared" si="120"/>
        <v>6935081</v>
      </c>
      <c r="R57" s="54">
        <f t="shared" si="120"/>
        <v>7060898</v>
      </c>
      <c r="S57" s="54">
        <f t="shared" si="120"/>
        <v>7174448</v>
      </c>
      <c r="T57" s="54">
        <f t="shared" si="120"/>
        <v>7451140</v>
      </c>
      <c r="U57" s="54">
        <f t="shared" si="120"/>
        <v>7551297</v>
      </c>
      <c r="V57" s="54">
        <f t="shared" si="120"/>
        <v>7604362</v>
      </c>
      <c r="W57" s="54">
        <f t="shared" ref="W57" si="121">W58+W73</f>
        <v>7725292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4970560</v>
      </c>
      <c r="C58" s="28">
        <f t="shared" si="122"/>
        <v>5048306</v>
      </c>
      <c r="D58" s="28">
        <f t="shared" si="122"/>
        <v>5107279</v>
      </c>
      <c r="E58" s="28">
        <f t="shared" si="122"/>
        <v>5155540</v>
      </c>
      <c r="F58" s="28">
        <f t="shared" si="122"/>
        <v>5213090</v>
      </c>
      <c r="G58" s="28">
        <f t="shared" si="122"/>
        <v>5280684</v>
      </c>
      <c r="H58" s="28">
        <f t="shared" si="122"/>
        <v>5351329</v>
      </c>
      <c r="I58" s="28">
        <f t="shared" si="122"/>
        <v>5438479</v>
      </c>
      <c r="J58" s="28">
        <f t="shared" si="122"/>
        <v>5534992</v>
      </c>
      <c r="K58" s="28">
        <f t="shared" si="122"/>
        <v>5613061</v>
      </c>
      <c r="L58" s="28">
        <f t="shared" ref="L58" si="123">L59+L60+L67</f>
        <v>5711226</v>
      </c>
      <c r="M58" s="28">
        <f t="shared" ref="M58:V58" si="124">M59+M60+M67</f>
        <v>5857100</v>
      </c>
      <c r="N58" s="28">
        <f t="shared" si="124"/>
        <v>5901031</v>
      </c>
      <c r="O58" s="28">
        <f t="shared" si="124"/>
        <v>5960087</v>
      </c>
      <c r="P58" s="28">
        <f t="shared" si="124"/>
        <v>6027987</v>
      </c>
      <c r="Q58" s="28">
        <f t="shared" si="124"/>
        <v>6105504</v>
      </c>
      <c r="R58" s="28">
        <f t="shared" si="124"/>
        <v>6201572</v>
      </c>
      <c r="S58" s="28">
        <f t="shared" si="124"/>
        <v>6283586</v>
      </c>
      <c r="T58" s="28">
        <f t="shared" si="124"/>
        <v>6527978</v>
      </c>
      <c r="U58" s="28">
        <f t="shared" si="124"/>
        <v>6596531</v>
      </c>
      <c r="V58" s="28">
        <f t="shared" si="124"/>
        <v>6623716</v>
      </c>
      <c r="W58" s="28">
        <f t="shared" ref="W58" si="125">W59+W60+W67</f>
        <v>6707322</v>
      </c>
      <c r="DA58" s="173" t="s">
        <v>500</v>
      </c>
    </row>
    <row r="59" spans="1:105" ht="11.45" customHeight="1" x14ac:dyDescent="0.25">
      <c r="A59" s="136" t="s">
        <v>180</v>
      </c>
      <c r="B59" s="137">
        <v>277838</v>
      </c>
      <c r="C59" s="137">
        <v>293630</v>
      </c>
      <c r="D59" s="137">
        <v>305510</v>
      </c>
      <c r="E59" s="137">
        <v>319480</v>
      </c>
      <c r="F59" s="137">
        <v>322762</v>
      </c>
      <c r="G59" s="137">
        <v>346293</v>
      </c>
      <c r="H59" s="137">
        <v>360000</v>
      </c>
      <c r="I59" s="137">
        <v>374000</v>
      </c>
      <c r="J59" s="137">
        <v>388000</v>
      </c>
      <c r="K59" s="137">
        <v>404000</v>
      </c>
      <c r="L59" s="137">
        <v>419000</v>
      </c>
      <c r="M59" s="137">
        <v>434000</v>
      </c>
      <c r="N59" s="137">
        <v>441000</v>
      </c>
      <c r="O59" s="137">
        <v>450793</v>
      </c>
      <c r="P59" s="137">
        <v>456512</v>
      </c>
      <c r="Q59" s="137">
        <v>465786</v>
      </c>
      <c r="R59" s="137">
        <v>473326</v>
      </c>
      <c r="S59" s="137">
        <v>481984</v>
      </c>
      <c r="T59" s="137">
        <v>657884</v>
      </c>
      <c r="U59" s="137">
        <v>690684</v>
      </c>
      <c r="V59" s="137">
        <v>718558</v>
      </c>
      <c r="W59" s="137">
        <v>762575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4678000</v>
      </c>
      <c r="C60" s="110">
        <f t="shared" si="126"/>
        <v>4740000</v>
      </c>
      <c r="D60" s="110">
        <f t="shared" si="126"/>
        <v>4787000</v>
      </c>
      <c r="E60" s="110">
        <f t="shared" si="126"/>
        <v>4821000</v>
      </c>
      <c r="F60" s="110">
        <f t="shared" si="126"/>
        <v>4875000</v>
      </c>
      <c r="G60" s="110">
        <f t="shared" si="126"/>
        <v>4919000</v>
      </c>
      <c r="H60" s="110">
        <f t="shared" si="126"/>
        <v>4976000</v>
      </c>
      <c r="I60" s="110">
        <f t="shared" si="126"/>
        <v>5049000</v>
      </c>
      <c r="J60" s="110">
        <f t="shared" si="126"/>
        <v>5131000</v>
      </c>
      <c r="K60" s="110">
        <f t="shared" si="126"/>
        <v>5193000</v>
      </c>
      <c r="L60" s="110">
        <f t="shared" ref="L60" si="127">SUM(L61:L66)</f>
        <v>5276000</v>
      </c>
      <c r="M60" s="110">
        <f t="shared" ref="M60:V60" si="128">SUM(M61:M66)</f>
        <v>5407000</v>
      </c>
      <c r="N60" s="110">
        <f t="shared" si="128"/>
        <v>5444000</v>
      </c>
      <c r="O60" s="110">
        <f t="shared" si="128"/>
        <v>5493472</v>
      </c>
      <c r="P60" s="110">
        <f t="shared" si="128"/>
        <v>5555499</v>
      </c>
      <c r="Q60" s="110">
        <f t="shared" si="128"/>
        <v>5623579</v>
      </c>
      <c r="R60" s="110">
        <f t="shared" si="128"/>
        <v>5712179</v>
      </c>
      <c r="S60" s="110">
        <f t="shared" si="128"/>
        <v>5785447</v>
      </c>
      <c r="T60" s="110">
        <f t="shared" si="128"/>
        <v>5853782</v>
      </c>
      <c r="U60" s="110">
        <f t="shared" si="128"/>
        <v>5889210</v>
      </c>
      <c r="V60" s="110">
        <f t="shared" si="128"/>
        <v>5888589</v>
      </c>
      <c r="W60" s="110">
        <f t="shared" ref="W60" si="129">SUM(W61:W66)</f>
        <v>5927912</v>
      </c>
      <c r="DA60" s="176" t="s">
        <v>502</v>
      </c>
    </row>
    <row r="61" spans="1:105" ht="11.45" customHeight="1" x14ac:dyDescent="0.25">
      <c r="A61" s="111" t="s">
        <v>110</v>
      </c>
      <c r="B61" s="84">
        <v>2743881</v>
      </c>
      <c r="C61" s="84">
        <v>2688945</v>
      </c>
      <c r="D61" s="84">
        <v>2630605</v>
      </c>
      <c r="E61" s="84">
        <v>2567269</v>
      </c>
      <c r="F61" s="84">
        <v>2499760</v>
      </c>
      <c r="G61" s="84">
        <v>2432622</v>
      </c>
      <c r="H61" s="84">
        <v>2339711</v>
      </c>
      <c r="I61" s="84">
        <v>2257871</v>
      </c>
      <c r="J61" s="84">
        <v>2172126</v>
      </c>
      <c r="K61" s="84">
        <v>2103948</v>
      </c>
      <c r="L61" s="84">
        <v>2049251</v>
      </c>
      <c r="M61" s="84">
        <v>2019541</v>
      </c>
      <c r="N61" s="84">
        <v>1997760</v>
      </c>
      <c r="O61" s="84">
        <v>2012690</v>
      </c>
      <c r="P61" s="84">
        <v>2053000</v>
      </c>
      <c r="Q61" s="84">
        <v>2112924</v>
      </c>
      <c r="R61" s="84">
        <v>2231899</v>
      </c>
      <c r="S61" s="84">
        <v>2383207</v>
      </c>
      <c r="T61" s="84">
        <v>2582180</v>
      </c>
      <c r="U61" s="84">
        <v>2787316</v>
      </c>
      <c r="V61" s="84">
        <v>2939127</v>
      </c>
      <c r="W61" s="84">
        <v>3100213</v>
      </c>
      <c r="DA61" s="171" t="s">
        <v>503</v>
      </c>
    </row>
    <row r="62" spans="1:105" ht="11.45" customHeight="1" x14ac:dyDescent="0.25">
      <c r="A62" s="111" t="s">
        <v>111</v>
      </c>
      <c r="B62" s="84">
        <v>1875119</v>
      </c>
      <c r="C62" s="84">
        <v>1979055</v>
      </c>
      <c r="D62" s="84">
        <v>2082395</v>
      </c>
      <c r="E62" s="84">
        <v>2182731</v>
      </c>
      <c r="F62" s="84">
        <v>2310020</v>
      </c>
      <c r="G62" s="84">
        <v>2426120</v>
      </c>
      <c r="H62" s="84">
        <v>2580027</v>
      </c>
      <c r="I62" s="84">
        <v>2739866</v>
      </c>
      <c r="J62" s="84">
        <v>2911636</v>
      </c>
      <c r="K62" s="84">
        <v>3046831</v>
      </c>
      <c r="L62" s="84">
        <v>3189483</v>
      </c>
      <c r="M62" s="84">
        <v>3345897</v>
      </c>
      <c r="N62" s="84">
        <v>3401740</v>
      </c>
      <c r="O62" s="84">
        <v>3439228</v>
      </c>
      <c r="P62" s="84">
        <v>3453760</v>
      </c>
      <c r="Q62" s="84">
        <v>3440514</v>
      </c>
      <c r="R62" s="84">
        <v>3405211</v>
      </c>
      <c r="S62" s="84">
        <v>3313526</v>
      </c>
      <c r="T62" s="84">
        <v>3166352</v>
      </c>
      <c r="U62" s="84">
        <v>2976742</v>
      </c>
      <c r="V62" s="84">
        <v>2774711</v>
      </c>
      <c r="W62" s="84">
        <v>2584443</v>
      </c>
      <c r="DA62" s="171" t="s">
        <v>504</v>
      </c>
    </row>
    <row r="63" spans="1:105" ht="11.45" customHeight="1" x14ac:dyDescent="0.25">
      <c r="A63" s="111" t="s">
        <v>112</v>
      </c>
      <c r="B63" s="84">
        <v>59000</v>
      </c>
      <c r="C63" s="84">
        <v>72000</v>
      </c>
      <c r="D63" s="84">
        <v>74000</v>
      </c>
      <c r="E63" s="84">
        <v>71000</v>
      </c>
      <c r="F63" s="84">
        <v>65000</v>
      </c>
      <c r="G63" s="84">
        <v>60000</v>
      </c>
      <c r="H63" s="84">
        <v>56000</v>
      </c>
      <c r="I63" s="84">
        <v>51000</v>
      </c>
      <c r="J63" s="84">
        <v>47000</v>
      </c>
      <c r="K63" s="84">
        <v>42000</v>
      </c>
      <c r="L63" s="84">
        <v>37000</v>
      </c>
      <c r="M63" s="84">
        <v>41000</v>
      </c>
      <c r="N63" s="84">
        <v>43110</v>
      </c>
      <c r="O63" s="84">
        <v>39632</v>
      </c>
      <c r="P63" s="84">
        <v>44090</v>
      </c>
      <c r="Q63" s="84">
        <v>60838</v>
      </c>
      <c r="R63" s="84">
        <v>54427</v>
      </c>
      <c r="S63" s="84">
        <v>52842</v>
      </c>
      <c r="T63" s="84">
        <v>51013</v>
      </c>
      <c r="U63" s="84">
        <v>49102</v>
      </c>
      <c r="V63" s="84">
        <v>47831</v>
      </c>
      <c r="W63" s="84">
        <v>45712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220</v>
      </c>
      <c r="G64" s="84">
        <v>258</v>
      </c>
      <c r="H64" s="84">
        <v>262</v>
      </c>
      <c r="I64" s="84">
        <v>263</v>
      </c>
      <c r="J64" s="84">
        <v>229</v>
      </c>
      <c r="K64" s="84">
        <v>208</v>
      </c>
      <c r="L64" s="84">
        <v>205</v>
      </c>
      <c r="M64" s="84">
        <v>223</v>
      </c>
      <c r="N64" s="84">
        <v>227</v>
      </c>
      <c r="O64" s="84">
        <v>359</v>
      </c>
      <c r="P64" s="84">
        <v>1253</v>
      </c>
      <c r="Q64" s="84">
        <v>1889</v>
      </c>
      <c r="R64" s="84">
        <v>4014</v>
      </c>
      <c r="S64" s="84">
        <v>6051</v>
      </c>
      <c r="T64" s="84">
        <v>10347</v>
      </c>
      <c r="U64" s="84">
        <v>15356</v>
      </c>
      <c r="V64" s="84">
        <v>18229</v>
      </c>
      <c r="W64" s="84">
        <v>18431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16</v>
      </c>
      <c r="N65" s="84">
        <v>338</v>
      </c>
      <c r="O65" s="84">
        <v>359</v>
      </c>
      <c r="P65" s="84">
        <v>1159</v>
      </c>
      <c r="Q65" s="84">
        <v>4098</v>
      </c>
      <c r="R65" s="84">
        <v>11422</v>
      </c>
      <c r="S65" s="84">
        <v>22273</v>
      </c>
      <c r="T65" s="84">
        <v>33005</v>
      </c>
      <c r="U65" s="84">
        <v>41987</v>
      </c>
      <c r="V65" s="84">
        <v>74988</v>
      </c>
      <c r="W65" s="84">
        <v>123435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9</v>
      </c>
      <c r="K66" s="84">
        <v>13</v>
      </c>
      <c r="L66" s="84">
        <v>61</v>
      </c>
      <c r="M66" s="84">
        <v>323</v>
      </c>
      <c r="N66" s="84">
        <v>825</v>
      </c>
      <c r="O66" s="84">
        <v>1204</v>
      </c>
      <c r="P66" s="84">
        <v>2237</v>
      </c>
      <c r="Q66" s="84">
        <v>3316</v>
      </c>
      <c r="R66" s="84">
        <v>5206</v>
      </c>
      <c r="S66" s="84">
        <v>7548</v>
      </c>
      <c r="T66" s="84">
        <v>10885</v>
      </c>
      <c r="U66" s="84">
        <v>18707</v>
      </c>
      <c r="V66" s="84">
        <v>33703</v>
      </c>
      <c r="W66" s="84">
        <v>55678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14722</v>
      </c>
      <c r="C67" s="110">
        <f t="shared" si="130"/>
        <v>14676</v>
      </c>
      <c r="D67" s="110">
        <f t="shared" si="130"/>
        <v>14769</v>
      </c>
      <c r="E67" s="110">
        <f t="shared" si="130"/>
        <v>15060</v>
      </c>
      <c r="F67" s="110">
        <f t="shared" si="130"/>
        <v>15328</v>
      </c>
      <c r="G67" s="110">
        <f t="shared" si="130"/>
        <v>15391</v>
      </c>
      <c r="H67" s="110">
        <f t="shared" si="130"/>
        <v>15329</v>
      </c>
      <c r="I67" s="110">
        <f t="shared" si="130"/>
        <v>15479</v>
      </c>
      <c r="J67" s="110">
        <f t="shared" si="130"/>
        <v>15992</v>
      </c>
      <c r="K67" s="110">
        <f t="shared" si="130"/>
        <v>16061</v>
      </c>
      <c r="L67" s="110">
        <f t="shared" ref="L67" si="131">SUM(L68:L72)</f>
        <v>16226</v>
      </c>
      <c r="M67" s="110">
        <f t="shared" ref="M67:V67" si="132">SUM(M68:M72)</f>
        <v>16100</v>
      </c>
      <c r="N67" s="110">
        <f t="shared" si="132"/>
        <v>16031</v>
      </c>
      <c r="O67" s="110">
        <f t="shared" si="132"/>
        <v>15822</v>
      </c>
      <c r="P67" s="110">
        <f t="shared" si="132"/>
        <v>15976</v>
      </c>
      <c r="Q67" s="110">
        <f t="shared" si="132"/>
        <v>16139</v>
      </c>
      <c r="R67" s="110">
        <f t="shared" si="132"/>
        <v>16067</v>
      </c>
      <c r="S67" s="110">
        <f t="shared" si="132"/>
        <v>16155</v>
      </c>
      <c r="T67" s="110">
        <f t="shared" si="132"/>
        <v>16312</v>
      </c>
      <c r="U67" s="110">
        <f t="shared" si="132"/>
        <v>16637</v>
      </c>
      <c r="V67" s="110">
        <f t="shared" si="132"/>
        <v>16569</v>
      </c>
      <c r="W67" s="110">
        <f t="shared" ref="W67" si="133">SUM(W68:W72)</f>
        <v>16835</v>
      </c>
      <c r="DA67" s="176" t="s">
        <v>509</v>
      </c>
    </row>
    <row r="68" spans="1:105" ht="11.45" customHeight="1" x14ac:dyDescent="0.25">
      <c r="A68" s="111" t="s">
        <v>110</v>
      </c>
      <c r="B68" s="102">
        <v>214</v>
      </c>
      <c r="C68" s="102">
        <v>207</v>
      </c>
      <c r="D68" s="102">
        <v>188</v>
      </c>
      <c r="E68" s="102">
        <v>187</v>
      </c>
      <c r="F68" s="102">
        <v>184</v>
      </c>
      <c r="G68" s="102">
        <v>183</v>
      </c>
      <c r="H68" s="102">
        <v>167</v>
      </c>
      <c r="I68" s="102">
        <v>160</v>
      </c>
      <c r="J68" s="102">
        <v>152</v>
      </c>
      <c r="K68" s="102">
        <v>143</v>
      </c>
      <c r="L68" s="102">
        <v>133</v>
      </c>
      <c r="M68" s="102">
        <v>131</v>
      </c>
      <c r="N68" s="102">
        <v>129</v>
      </c>
      <c r="O68" s="102">
        <v>123</v>
      </c>
      <c r="P68" s="102">
        <v>120</v>
      </c>
      <c r="Q68" s="102">
        <v>116</v>
      </c>
      <c r="R68" s="102">
        <v>117</v>
      </c>
      <c r="S68" s="102">
        <v>116</v>
      </c>
      <c r="T68" s="102">
        <v>115</v>
      </c>
      <c r="U68" s="102">
        <v>116</v>
      </c>
      <c r="V68" s="102">
        <v>115</v>
      </c>
      <c r="W68" s="102">
        <v>114</v>
      </c>
      <c r="DA68" s="175" t="s">
        <v>510</v>
      </c>
    </row>
    <row r="69" spans="1:105" ht="11.45" customHeight="1" x14ac:dyDescent="0.25">
      <c r="A69" s="111" t="s">
        <v>111</v>
      </c>
      <c r="B69" s="102">
        <v>14506</v>
      </c>
      <c r="C69" s="102">
        <v>14467</v>
      </c>
      <c r="D69" s="102">
        <v>14579</v>
      </c>
      <c r="E69" s="102">
        <v>14871</v>
      </c>
      <c r="F69" s="102">
        <v>15142</v>
      </c>
      <c r="G69" s="102">
        <v>15187</v>
      </c>
      <c r="H69" s="102">
        <v>15141</v>
      </c>
      <c r="I69" s="102">
        <v>15299</v>
      </c>
      <c r="J69" s="102">
        <v>15821</v>
      </c>
      <c r="K69" s="102">
        <v>15899</v>
      </c>
      <c r="L69" s="102">
        <v>16075</v>
      </c>
      <c r="M69" s="102">
        <v>15952</v>
      </c>
      <c r="N69" s="102">
        <v>15886</v>
      </c>
      <c r="O69" s="102">
        <v>15683</v>
      </c>
      <c r="P69" s="102">
        <v>15838</v>
      </c>
      <c r="Q69" s="102">
        <v>16007</v>
      </c>
      <c r="R69" s="102">
        <v>15934</v>
      </c>
      <c r="S69" s="102">
        <v>16024</v>
      </c>
      <c r="T69" s="102">
        <v>16170</v>
      </c>
      <c r="U69" s="102">
        <v>16450</v>
      </c>
      <c r="V69" s="102">
        <v>16359</v>
      </c>
      <c r="W69" s="102">
        <v>16490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512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1</v>
      </c>
      <c r="S71" s="102">
        <v>1</v>
      </c>
      <c r="T71" s="102">
        <v>6</v>
      </c>
      <c r="U71" s="102">
        <v>12</v>
      </c>
      <c r="V71" s="102">
        <v>23</v>
      </c>
      <c r="W71" s="102">
        <v>141</v>
      </c>
      <c r="DA71" s="175" t="s">
        <v>513</v>
      </c>
    </row>
    <row r="72" spans="1:105" ht="11.45" customHeight="1" x14ac:dyDescent="0.25">
      <c r="A72" s="111" t="s">
        <v>115</v>
      </c>
      <c r="B72" s="102">
        <v>2</v>
      </c>
      <c r="C72" s="102">
        <v>2</v>
      </c>
      <c r="D72" s="102">
        <v>2</v>
      </c>
      <c r="E72" s="102">
        <v>2</v>
      </c>
      <c r="F72" s="102">
        <v>2</v>
      </c>
      <c r="G72" s="102">
        <v>21</v>
      </c>
      <c r="H72" s="102">
        <v>21</v>
      </c>
      <c r="I72" s="102">
        <v>20</v>
      </c>
      <c r="J72" s="102">
        <v>19</v>
      </c>
      <c r="K72" s="102">
        <v>19</v>
      </c>
      <c r="L72" s="102">
        <v>18</v>
      </c>
      <c r="M72" s="102">
        <v>17</v>
      </c>
      <c r="N72" s="102">
        <v>16</v>
      </c>
      <c r="O72" s="102">
        <v>16</v>
      </c>
      <c r="P72" s="102">
        <v>18</v>
      </c>
      <c r="Q72" s="102">
        <v>16</v>
      </c>
      <c r="R72" s="102">
        <v>15</v>
      </c>
      <c r="S72" s="102">
        <v>14</v>
      </c>
      <c r="T72" s="102">
        <v>21</v>
      </c>
      <c r="U72" s="102">
        <v>59</v>
      </c>
      <c r="V72" s="102">
        <v>72</v>
      </c>
      <c r="W72" s="102">
        <v>90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540903</v>
      </c>
      <c r="C73" s="28">
        <f t="shared" si="134"/>
        <v>607421</v>
      </c>
      <c r="D73" s="28">
        <f t="shared" si="134"/>
        <v>586370</v>
      </c>
      <c r="E73" s="28">
        <f t="shared" si="134"/>
        <v>607706</v>
      </c>
      <c r="F73" s="28">
        <f t="shared" si="134"/>
        <v>640198</v>
      </c>
      <c r="G73" s="28">
        <f t="shared" si="134"/>
        <v>668951</v>
      </c>
      <c r="H73" s="28">
        <f t="shared" si="134"/>
        <v>685166</v>
      </c>
      <c r="I73" s="28">
        <f t="shared" si="134"/>
        <v>701648</v>
      </c>
      <c r="J73" s="28">
        <f t="shared" si="134"/>
        <v>723313</v>
      </c>
      <c r="K73" s="28">
        <f t="shared" si="134"/>
        <v>734722</v>
      </c>
      <c r="L73" s="28">
        <f t="shared" ref="L73" si="135">L74+L80</f>
        <v>749485</v>
      </c>
      <c r="M73" s="28">
        <f t="shared" ref="M73:V73" si="136">M74+M80</f>
        <v>774759</v>
      </c>
      <c r="N73" s="28">
        <f t="shared" si="136"/>
        <v>787236</v>
      </c>
      <c r="O73" s="28">
        <f t="shared" si="136"/>
        <v>799517</v>
      </c>
      <c r="P73" s="28">
        <f t="shared" si="136"/>
        <v>812982</v>
      </c>
      <c r="Q73" s="28">
        <f t="shared" si="136"/>
        <v>829577</v>
      </c>
      <c r="R73" s="28">
        <f t="shared" si="136"/>
        <v>859326</v>
      </c>
      <c r="S73" s="28">
        <f t="shared" si="136"/>
        <v>890862</v>
      </c>
      <c r="T73" s="28">
        <f t="shared" si="136"/>
        <v>923162</v>
      </c>
      <c r="U73" s="28">
        <f t="shared" si="136"/>
        <v>954766</v>
      </c>
      <c r="V73" s="28">
        <f t="shared" si="136"/>
        <v>980646</v>
      </c>
      <c r="W73" s="28">
        <f t="shared" ref="W73" si="137">W74+W80</f>
        <v>1017970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445600</v>
      </c>
      <c r="C74" s="137">
        <f t="shared" si="138"/>
        <v>469743</v>
      </c>
      <c r="D74" s="137">
        <f t="shared" si="138"/>
        <v>448274</v>
      </c>
      <c r="E74" s="137">
        <f t="shared" si="138"/>
        <v>465435</v>
      </c>
      <c r="F74" s="137">
        <f t="shared" si="138"/>
        <v>489814</v>
      </c>
      <c r="G74" s="137">
        <f t="shared" si="138"/>
        <v>512872</v>
      </c>
      <c r="H74" s="137">
        <f t="shared" si="138"/>
        <v>529076</v>
      </c>
      <c r="I74" s="137">
        <f t="shared" si="138"/>
        <v>542914</v>
      </c>
      <c r="J74" s="137">
        <f t="shared" si="138"/>
        <v>557353</v>
      </c>
      <c r="K74" s="137">
        <f t="shared" si="138"/>
        <v>571913</v>
      </c>
      <c r="L74" s="137">
        <f t="shared" ref="L74" si="139">SUM(L75:L79)</f>
        <v>591941</v>
      </c>
      <c r="M74" s="137">
        <f t="shared" ref="M74:V74" si="140">SUM(M75:M79)</f>
        <v>604799</v>
      </c>
      <c r="N74" s="137">
        <f t="shared" si="140"/>
        <v>620502</v>
      </c>
      <c r="O74" s="137">
        <f t="shared" si="140"/>
        <v>640421</v>
      </c>
      <c r="P74" s="137">
        <f t="shared" si="140"/>
        <v>655516</v>
      </c>
      <c r="Q74" s="137">
        <f t="shared" si="140"/>
        <v>665119</v>
      </c>
      <c r="R74" s="137">
        <f t="shared" si="140"/>
        <v>709653</v>
      </c>
      <c r="S74" s="137">
        <f t="shared" si="140"/>
        <v>740801</v>
      </c>
      <c r="T74" s="137">
        <f t="shared" si="140"/>
        <v>769679</v>
      </c>
      <c r="U74" s="137">
        <f t="shared" si="140"/>
        <v>798942</v>
      </c>
      <c r="V74" s="137">
        <f t="shared" si="140"/>
        <v>829277</v>
      </c>
      <c r="W74" s="137">
        <f t="shared" ref="W74" si="141">SUM(W75:W79)</f>
        <v>861148</v>
      </c>
      <c r="DA74" s="174" t="s">
        <v>516</v>
      </c>
    </row>
    <row r="75" spans="1:105" ht="11.45" customHeight="1" x14ac:dyDescent="0.25">
      <c r="A75" s="111" t="s">
        <v>110</v>
      </c>
      <c r="B75" s="84">
        <v>38214</v>
      </c>
      <c r="C75" s="84">
        <v>38182</v>
      </c>
      <c r="D75" s="84">
        <v>38104</v>
      </c>
      <c r="E75" s="84">
        <v>37908</v>
      </c>
      <c r="F75" s="84">
        <v>37422</v>
      </c>
      <c r="G75" s="84">
        <v>36236</v>
      </c>
      <c r="H75" s="84">
        <v>33432</v>
      </c>
      <c r="I75" s="84">
        <v>30620</v>
      </c>
      <c r="J75" s="84">
        <v>30446</v>
      </c>
      <c r="K75" s="84">
        <v>29110</v>
      </c>
      <c r="L75" s="84">
        <v>28134</v>
      </c>
      <c r="M75" s="84">
        <v>25965</v>
      </c>
      <c r="N75" s="84">
        <v>24432</v>
      </c>
      <c r="O75" s="84">
        <v>22899</v>
      </c>
      <c r="P75" s="84">
        <v>21366</v>
      </c>
      <c r="Q75" s="84">
        <v>19834</v>
      </c>
      <c r="R75" s="84">
        <v>20025</v>
      </c>
      <c r="S75" s="84">
        <v>21533</v>
      </c>
      <c r="T75" s="84">
        <v>25873</v>
      </c>
      <c r="U75" s="84">
        <v>28650</v>
      </c>
      <c r="V75" s="84">
        <v>29478</v>
      </c>
      <c r="W75" s="84">
        <v>30264</v>
      </c>
      <c r="DA75" s="171" t="s">
        <v>517</v>
      </c>
    </row>
    <row r="76" spans="1:105" ht="11.45" customHeight="1" x14ac:dyDescent="0.25">
      <c r="A76" s="111" t="s">
        <v>111</v>
      </c>
      <c r="B76" s="84">
        <v>377386</v>
      </c>
      <c r="C76" s="84">
        <v>399104</v>
      </c>
      <c r="D76" s="84">
        <v>380020</v>
      </c>
      <c r="E76" s="84">
        <v>400011</v>
      </c>
      <c r="F76" s="84">
        <v>425667</v>
      </c>
      <c r="G76" s="84">
        <v>450986</v>
      </c>
      <c r="H76" s="84">
        <v>470814</v>
      </c>
      <c r="I76" s="84">
        <v>490223</v>
      </c>
      <c r="J76" s="84">
        <v>506135</v>
      </c>
      <c r="K76" s="84">
        <v>523443</v>
      </c>
      <c r="L76" s="84">
        <v>545889</v>
      </c>
      <c r="M76" s="84">
        <v>560320</v>
      </c>
      <c r="N76" s="84">
        <v>577764</v>
      </c>
      <c r="O76" s="84">
        <v>601355</v>
      </c>
      <c r="P76" s="84">
        <v>619635</v>
      </c>
      <c r="Q76" s="84">
        <v>634033</v>
      </c>
      <c r="R76" s="84">
        <v>678775</v>
      </c>
      <c r="S76" s="84">
        <v>708183</v>
      </c>
      <c r="T76" s="84">
        <v>732038</v>
      </c>
      <c r="U76" s="84">
        <v>757320</v>
      </c>
      <c r="V76" s="84">
        <v>785031</v>
      </c>
      <c r="W76" s="84">
        <v>815315</v>
      </c>
      <c r="DA76" s="171" t="s">
        <v>518</v>
      </c>
    </row>
    <row r="77" spans="1:105" ht="11.45" customHeight="1" x14ac:dyDescent="0.25">
      <c r="A77" s="111" t="s">
        <v>112</v>
      </c>
      <c r="B77" s="84">
        <v>30000</v>
      </c>
      <c r="C77" s="84">
        <v>32457</v>
      </c>
      <c r="D77" s="84">
        <v>30150</v>
      </c>
      <c r="E77" s="84">
        <v>27516</v>
      </c>
      <c r="F77" s="84">
        <v>26725</v>
      </c>
      <c r="G77" s="84">
        <v>25650</v>
      </c>
      <c r="H77" s="84">
        <v>24830</v>
      </c>
      <c r="I77" s="84">
        <v>22071</v>
      </c>
      <c r="J77" s="84">
        <v>20655</v>
      </c>
      <c r="K77" s="84">
        <v>19220</v>
      </c>
      <c r="L77" s="84">
        <v>17759</v>
      </c>
      <c r="M77" s="84">
        <v>18349</v>
      </c>
      <c r="N77" s="84">
        <v>17759</v>
      </c>
      <c r="O77" s="84">
        <v>15461</v>
      </c>
      <c r="P77" s="84">
        <v>13546</v>
      </c>
      <c r="Q77" s="84">
        <v>9936</v>
      </c>
      <c r="R77" s="84">
        <v>9443</v>
      </c>
      <c r="S77" s="84">
        <v>8976</v>
      </c>
      <c r="T77" s="84">
        <v>8531</v>
      </c>
      <c r="U77" s="84">
        <v>8111</v>
      </c>
      <c r="V77" s="84">
        <v>8506</v>
      </c>
      <c r="W77" s="84">
        <v>8407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59</v>
      </c>
      <c r="K78" s="84">
        <v>79</v>
      </c>
      <c r="L78" s="84">
        <v>97</v>
      </c>
      <c r="M78" s="84">
        <v>87</v>
      </c>
      <c r="N78" s="84">
        <v>217</v>
      </c>
      <c r="O78" s="84">
        <v>276</v>
      </c>
      <c r="P78" s="84">
        <v>447</v>
      </c>
      <c r="Q78" s="84">
        <v>742</v>
      </c>
      <c r="R78" s="84">
        <v>720</v>
      </c>
      <c r="S78" s="84">
        <v>1333</v>
      </c>
      <c r="T78" s="84">
        <v>2218</v>
      </c>
      <c r="U78" s="84">
        <v>3488</v>
      </c>
      <c r="V78" s="84">
        <v>4446</v>
      </c>
      <c r="W78" s="84">
        <v>4656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58</v>
      </c>
      <c r="K79" s="84">
        <v>61</v>
      </c>
      <c r="L79" s="84">
        <v>62</v>
      </c>
      <c r="M79" s="84">
        <v>78</v>
      </c>
      <c r="N79" s="84">
        <v>330</v>
      </c>
      <c r="O79" s="84">
        <v>430</v>
      </c>
      <c r="P79" s="84">
        <v>522</v>
      </c>
      <c r="Q79" s="84">
        <v>574</v>
      </c>
      <c r="R79" s="84">
        <v>690</v>
      </c>
      <c r="S79" s="84">
        <v>776</v>
      </c>
      <c r="T79" s="84">
        <v>1019</v>
      </c>
      <c r="U79" s="84">
        <v>1373</v>
      </c>
      <c r="V79" s="84">
        <v>1816</v>
      </c>
      <c r="W79" s="84">
        <v>2506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95303</v>
      </c>
      <c r="C80" s="110">
        <f t="shared" si="142"/>
        <v>137678</v>
      </c>
      <c r="D80" s="110">
        <f t="shared" si="142"/>
        <v>138096</v>
      </c>
      <c r="E80" s="110">
        <f t="shared" si="142"/>
        <v>142271</v>
      </c>
      <c r="F80" s="110">
        <f t="shared" si="142"/>
        <v>150384</v>
      </c>
      <c r="G80" s="110">
        <f t="shared" si="142"/>
        <v>156079</v>
      </c>
      <c r="H80" s="110">
        <f t="shared" si="142"/>
        <v>156090</v>
      </c>
      <c r="I80" s="110">
        <f t="shared" si="142"/>
        <v>158734</v>
      </c>
      <c r="J80" s="110">
        <f t="shared" si="142"/>
        <v>165960</v>
      </c>
      <c r="K80" s="110">
        <f t="shared" si="142"/>
        <v>162809</v>
      </c>
      <c r="L80" s="110">
        <f t="shared" ref="L80" si="143">SUM(L81:L82)</f>
        <v>157544</v>
      </c>
      <c r="M80" s="110">
        <f t="shared" ref="M80:V80" si="144">SUM(M81:M82)</f>
        <v>169960</v>
      </c>
      <c r="N80" s="110">
        <f t="shared" si="144"/>
        <v>166734</v>
      </c>
      <c r="O80" s="110">
        <f t="shared" si="144"/>
        <v>159096</v>
      </c>
      <c r="P80" s="110">
        <f t="shared" si="144"/>
        <v>157466</v>
      </c>
      <c r="Q80" s="110">
        <f t="shared" si="144"/>
        <v>164458</v>
      </c>
      <c r="R80" s="110">
        <f t="shared" si="144"/>
        <v>149673</v>
      </c>
      <c r="S80" s="110">
        <f t="shared" si="144"/>
        <v>150061</v>
      </c>
      <c r="T80" s="110">
        <f t="shared" si="144"/>
        <v>153483</v>
      </c>
      <c r="U80" s="110">
        <f t="shared" si="144"/>
        <v>155824</v>
      </c>
      <c r="V80" s="110">
        <f t="shared" si="144"/>
        <v>151369</v>
      </c>
      <c r="W80" s="110">
        <f t="shared" ref="W80" si="145">SUM(W81:W82)</f>
        <v>156822</v>
      </c>
      <c r="DA80" s="176" t="s">
        <v>522</v>
      </c>
    </row>
    <row r="81" spans="1:105" ht="11.45" customHeight="1" x14ac:dyDescent="0.25">
      <c r="A81" s="128" t="s">
        <v>27</v>
      </c>
      <c r="B81" s="102">
        <v>78939</v>
      </c>
      <c r="C81" s="102">
        <v>120133</v>
      </c>
      <c r="D81" s="102">
        <v>119638</v>
      </c>
      <c r="E81" s="102">
        <v>123405</v>
      </c>
      <c r="F81" s="102">
        <v>128078</v>
      </c>
      <c r="G81" s="102">
        <v>132986</v>
      </c>
      <c r="H81" s="102">
        <v>132418</v>
      </c>
      <c r="I81" s="102">
        <v>134228</v>
      </c>
      <c r="J81" s="102">
        <v>141568</v>
      </c>
      <c r="K81" s="102">
        <v>139828</v>
      </c>
      <c r="L81" s="102">
        <v>134414</v>
      </c>
      <c r="M81" s="102">
        <v>146804</v>
      </c>
      <c r="N81" s="102">
        <v>143630</v>
      </c>
      <c r="O81" s="102">
        <v>135227</v>
      </c>
      <c r="P81" s="102">
        <v>133514</v>
      </c>
      <c r="Q81" s="102">
        <v>139932</v>
      </c>
      <c r="R81" s="102">
        <v>123572</v>
      </c>
      <c r="S81" s="102">
        <v>123676</v>
      </c>
      <c r="T81" s="102">
        <v>128279</v>
      </c>
      <c r="U81" s="102">
        <v>130204</v>
      </c>
      <c r="V81" s="102">
        <v>125606</v>
      </c>
      <c r="W81" s="102">
        <v>130437</v>
      </c>
      <c r="DA81" s="175" t="s">
        <v>523</v>
      </c>
    </row>
    <row r="82" spans="1:105" ht="11.45" customHeight="1" x14ac:dyDescent="0.25">
      <c r="A82" s="138" t="s">
        <v>116</v>
      </c>
      <c r="B82" s="86">
        <v>16364</v>
      </c>
      <c r="C82" s="86">
        <v>17545</v>
      </c>
      <c r="D82" s="86">
        <v>18458</v>
      </c>
      <c r="E82" s="86">
        <v>18866</v>
      </c>
      <c r="F82" s="86">
        <v>22306</v>
      </c>
      <c r="G82" s="86">
        <v>23093</v>
      </c>
      <c r="H82" s="86">
        <v>23672</v>
      </c>
      <c r="I82" s="86">
        <v>24506</v>
      </c>
      <c r="J82" s="86">
        <v>24392</v>
      </c>
      <c r="K82" s="86">
        <v>22981</v>
      </c>
      <c r="L82" s="86">
        <v>23130</v>
      </c>
      <c r="M82" s="86">
        <v>23156</v>
      </c>
      <c r="N82" s="86">
        <v>23104</v>
      </c>
      <c r="O82" s="86">
        <v>23869</v>
      </c>
      <c r="P82" s="86">
        <v>23952</v>
      </c>
      <c r="Q82" s="86">
        <v>24526</v>
      </c>
      <c r="R82" s="86">
        <v>26101</v>
      </c>
      <c r="S82" s="86">
        <v>26385</v>
      </c>
      <c r="T82" s="86">
        <v>25204</v>
      </c>
      <c r="U82" s="86">
        <v>25620</v>
      </c>
      <c r="V82" s="86">
        <v>25763</v>
      </c>
      <c r="W82" s="86">
        <v>26385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5511463</v>
      </c>
      <c r="C84" s="54">
        <f t="shared" si="146"/>
        <v>5655727</v>
      </c>
      <c r="D84" s="54">
        <f t="shared" ref="D84:V84" si="147">D85+D100</f>
        <v>5693649</v>
      </c>
      <c r="E84" s="54">
        <f t="shared" si="147"/>
        <v>5763246</v>
      </c>
      <c r="F84" s="54">
        <f t="shared" si="147"/>
        <v>5853288</v>
      </c>
      <c r="G84" s="54">
        <f t="shared" si="147"/>
        <v>5949635</v>
      </c>
      <c r="H84" s="54">
        <f t="shared" si="147"/>
        <v>6036495</v>
      </c>
      <c r="I84" s="54">
        <f t="shared" si="147"/>
        <v>6140127</v>
      </c>
      <c r="J84" s="54">
        <f t="shared" si="147"/>
        <v>6258305</v>
      </c>
      <c r="K84" s="54">
        <f t="shared" si="147"/>
        <v>6347783</v>
      </c>
      <c r="L84" s="54">
        <f t="shared" si="147"/>
        <v>6460711</v>
      </c>
      <c r="M84" s="54">
        <f t="shared" si="147"/>
        <v>6631859</v>
      </c>
      <c r="N84" s="54">
        <f t="shared" si="147"/>
        <v>6688267</v>
      </c>
      <c r="O84" s="54">
        <f t="shared" si="147"/>
        <v>6759604</v>
      </c>
      <c r="P84" s="54">
        <f t="shared" si="147"/>
        <v>6840969</v>
      </c>
      <c r="Q84" s="54">
        <f t="shared" si="147"/>
        <v>6935081</v>
      </c>
      <c r="R84" s="54">
        <f t="shared" si="147"/>
        <v>7060898</v>
      </c>
      <c r="S84" s="54">
        <f t="shared" si="147"/>
        <v>7174448</v>
      </c>
      <c r="T84" s="54">
        <f t="shared" si="147"/>
        <v>7451140</v>
      </c>
      <c r="U84" s="54">
        <f t="shared" si="147"/>
        <v>7551297</v>
      </c>
      <c r="V84" s="54">
        <f t="shared" si="147"/>
        <v>7604362</v>
      </c>
      <c r="W84" s="54">
        <f t="shared" ref="W84" si="148">W85+W100</f>
        <v>7725292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4970560</v>
      </c>
      <c r="C85" s="28">
        <f t="shared" si="149"/>
        <v>5048306</v>
      </c>
      <c r="D85" s="28">
        <f t="shared" ref="D85:V85" si="150">D86+D87+D94</f>
        <v>5107279</v>
      </c>
      <c r="E85" s="28">
        <f t="shared" si="150"/>
        <v>5155540</v>
      </c>
      <c r="F85" s="28">
        <f t="shared" si="150"/>
        <v>5213090</v>
      </c>
      <c r="G85" s="28">
        <f t="shared" si="150"/>
        <v>5280684</v>
      </c>
      <c r="H85" s="28">
        <f t="shared" si="150"/>
        <v>5351329</v>
      </c>
      <c r="I85" s="28">
        <f t="shared" si="150"/>
        <v>5438479</v>
      </c>
      <c r="J85" s="28">
        <f t="shared" si="150"/>
        <v>5534992</v>
      </c>
      <c r="K85" s="28">
        <f t="shared" si="150"/>
        <v>5613061</v>
      </c>
      <c r="L85" s="28">
        <f t="shared" si="150"/>
        <v>5711226</v>
      </c>
      <c r="M85" s="28">
        <f t="shared" si="150"/>
        <v>5857100</v>
      </c>
      <c r="N85" s="28">
        <f t="shared" si="150"/>
        <v>5901031</v>
      </c>
      <c r="O85" s="28">
        <f t="shared" si="150"/>
        <v>5960087</v>
      </c>
      <c r="P85" s="28">
        <f t="shared" si="150"/>
        <v>6027987</v>
      </c>
      <c r="Q85" s="28">
        <f t="shared" si="150"/>
        <v>6105504</v>
      </c>
      <c r="R85" s="28">
        <f t="shared" si="150"/>
        <v>6201572</v>
      </c>
      <c r="S85" s="28">
        <f t="shared" si="150"/>
        <v>6283586</v>
      </c>
      <c r="T85" s="28">
        <f t="shared" si="150"/>
        <v>6527978</v>
      </c>
      <c r="U85" s="28">
        <f t="shared" si="150"/>
        <v>6596531</v>
      </c>
      <c r="V85" s="28">
        <f t="shared" si="150"/>
        <v>6623716</v>
      </c>
      <c r="W85" s="28">
        <f t="shared" ref="W85" si="151">W86+W87+W94</f>
        <v>6707322</v>
      </c>
      <c r="DA85" s="173"/>
    </row>
    <row r="86" spans="1:105" ht="11.45" hidden="1" customHeight="1" x14ac:dyDescent="0.25">
      <c r="A86" s="136" t="s">
        <v>180</v>
      </c>
      <c r="B86" s="137">
        <v>277838</v>
      </c>
      <c r="C86" s="137">
        <v>293630</v>
      </c>
      <c r="D86" s="137">
        <v>305510</v>
      </c>
      <c r="E86" s="137">
        <v>319480</v>
      </c>
      <c r="F86" s="137">
        <v>322762</v>
      </c>
      <c r="G86" s="137">
        <v>346293</v>
      </c>
      <c r="H86" s="137">
        <v>360000</v>
      </c>
      <c r="I86" s="137">
        <v>374000</v>
      </c>
      <c r="J86" s="137">
        <v>388000</v>
      </c>
      <c r="K86" s="137">
        <v>404000</v>
      </c>
      <c r="L86" s="137">
        <v>419000</v>
      </c>
      <c r="M86" s="137">
        <v>434000</v>
      </c>
      <c r="N86" s="137">
        <v>441000</v>
      </c>
      <c r="O86" s="137">
        <v>450793</v>
      </c>
      <c r="P86" s="137">
        <v>456512</v>
      </c>
      <c r="Q86" s="137">
        <v>465786</v>
      </c>
      <c r="R86" s="137">
        <v>473326</v>
      </c>
      <c r="S86" s="137">
        <v>481984</v>
      </c>
      <c r="T86" s="137">
        <v>657884</v>
      </c>
      <c r="U86" s="137">
        <v>690684</v>
      </c>
      <c r="V86" s="137">
        <v>718558</v>
      </c>
      <c r="W86" s="137">
        <v>762575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4678000</v>
      </c>
      <c r="C87" s="110">
        <f t="shared" si="152"/>
        <v>4740000</v>
      </c>
      <c r="D87" s="110">
        <f t="shared" ref="D87:V87" si="153">SUM(D88:D93)</f>
        <v>4787000</v>
      </c>
      <c r="E87" s="110">
        <f t="shared" si="153"/>
        <v>4821000</v>
      </c>
      <c r="F87" s="110">
        <f t="shared" si="153"/>
        <v>4875000</v>
      </c>
      <c r="G87" s="110">
        <f t="shared" si="153"/>
        <v>4919000</v>
      </c>
      <c r="H87" s="110">
        <f t="shared" si="153"/>
        <v>4976000</v>
      </c>
      <c r="I87" s="110">
        <f t="shared" si="153"/>
        <v>5049000</v>
      </c>
      <c r="J87" s="110">
        <f t="shared" si="153"/>
        <v>5131000</v>
      </c>
      <c r="K87" s="110">
        <f t="shared" si="153"/>
        <v>5193000</v>
      </c>
      <c r="L87" s="110">
        <f t="shared" si="153"/>
        <v>5276000</v>
      </c>
      <c r="M87" s="110">
        <f t="shared" si="153"/>
        <v>5407000</v>
      </c>
      <c r="N87" s="110">
        <f t="shared" si="153"/>
        <v>5444000</v>
      </c>
      <c r="O87" s="110">
        <f t="shared" si="153"/>
        <v>5493472</v>
      </c>
      <c r="P87" s="110">
        <f t="shared" si="153"/>
        <v>5555499</v>
      </c>
      <c r="Q87" s="110">
        <f t="shared" si="153"/>
        <v>5623579</v>
      </c>
      <c r="R87" s="110">
        <f t="shared" si="153"/>
        <v>5712179</v>
      </c>
      <c r="S87" s="110">
        <f t="shared" si="153"/>
        <v>5785447</v>
      </c>
      <c r="T87" s="110">
        <f t="shared" si="153"/>
        <v>5853782</v>
      </c>
      <c r="U87" s="110">
        <f t="shared" si="153"/>
        <v>5889210</v>
      </c>
      <c r="V87" s="110">
        <f t="shared" si="153"/>
        <v>5888589</v>
      </c>
      <c r="W87" s="110">
        <f t="shared" ref="W87" si="154">SUM(W88:W93)</f>
        <v>5927912</v>
      </c>
      <c r="DA87" s="176"/>
    </row>
    <row r="88" spans="1:105" ht="11.45" hidden="1" customHeight="1" x14ac:dyDescent="0.25">
      <c r="A88" s="111" t="s">
        <v>110</v>
      </c>
      <c r="B88" s="84">
        <v>2743881</v>
      </c>
      <c r="C88" s="84">
        <v>2688945</v>
      </c>
      <c r="D88" s="84">
        <v>2630605</v>
      </c>
      <c r="E88" s="84">
        <v>2567269</v>
      </c>
      <c r="F88" s="84">
        <v>2499760</v>
      </c>
      <c r="G88" s="84">
        <v>2432622</v>
      </c>
      <c r="H88" s="84">
        <v>2339711</v>
      </c>
      <c r="I88" s="84">
        <v>2257871</v>
      </c>
      <c r="J88" s="84">
        <v>2172126</v>
      </c>
      <c r="K88" s="84">
        <v>2103948</v>
      </c>
      <c r="L88" s="84">
        <v>2049251</v>
      </c>
      <c r="M88" s="84">
        <v>2019541</v>
      </c>
      <c r="N88" s="84">
        <v>1997760</v>
      </c>
      <c r="O88" s="84">
        <v>2012690</v>
      </c>
      <c r="P88" s="84">
        <v>2053000</v>
      </c>
      <c r="Q88" s="84">
        <v>2112924</v>
      </c>
      <c r="R88" s="84">
        <v>2231899</v>
      </c>
      <c r="S88" s="84">
        <v>2383207</v>
      </c>
      <c r="T88" s="84">
        <v>2582180</v>
      </c>
      <c r="U88" s="84">
        <v>2787316</v>
      </c>
      <c r="V88" s="84">
        <v>2939127</v>
      </c>
      <c r="W88" s="84">
        <v>3100213</v>
      </c>
      <c r="DA88" s="171"/>
    </row>
    <row r="89" spans="1:105" ht="11.45" hidden="1" customHeight="1" x14ac:dyDescent="0.25">
      <c r="A89" s="111" t="s">
        <v>111</v>
      </c>
      <c r="B89" s="84">
        <v>1875119</v>
      </c>
      <c r="C89" s="84">
        <v>1979055</v>
      </c>
      <c r="D89" s="84">
        <v>2082395</v>
      </c>
      <c r="E89" s="84">
        <v>2182731</v>
      </c>
      <c r="F89" s="84">
        <v>2310020</v>
      </c>
      <c r="G89" s="84">
        <v>2426120</v>
      </c>
      <c r="H89" s="84">
        <v>2580027</v>
      </c>
      <c r="I89" s="84">
        <v>2739866</v>
      </c>
      <c r="J89" s="84">
        <v>2911636</v>
      </c>
      <c r="K89" s="84">
        <v>3046831</v>
      </c>
      <c r="L89" s="84">
        <v>3189483</v>
      </c>
      <c r="M89" s="84">
        <v>3345897</v>
      </c>
      <c r="N89" s="84">
        <v>3401740</v>
      </c>
      <c r="O89" s="84">
        <v>3439228</v>
      </c>
      <c r="P89" s="84">
        <v>3453760</v>
      </c>
      <c r="Q89" s="84">
        <v>3440514</v>
      </c>
      <c r="R89" s="84">
        <v>3405211</v>
      </c>
      <c r="S89" s="84">
        <v>3313526</v>
      </c>
      <c r="T89" s="84">
        <v>3166352</v>
      </c>
      <c r="U89" s="84">
        <v>2976742</v>
      </c>
      <c r="V89" s="84">
        <v>2774711</v>
      </c>
      <c r="W89" s="84">
        <v>2584443</v>
      </c>
      <c r="DA89" s="171"/>
    </row>
    <row r="90" spans="1:105" ht="11.45" hidden="1" customHeight="1" x14ac:dyDescent="0.25">
      <c r="A90" s="111" t="s">
        <v>112</v>
      </c>
      <c r="B90" s="84">
        <v>59000</v>
      </c>
      <c r="C90" s="84">
        <v>72000</v>
      </c>
      <c r="D90" s="84">
        <v>74000</v>
      </c>
      <c r="E90" s="84">
        <v>71000</v>
      </c>
      <c r="F90" s="84">
        <v>65000</v>
      </c>
      <c r="G90" s="84">
        <v>60000</v>
      </c>
      <c r="H90" s="84">
        <v>56000</v>
      </c>
      <c r="I90" s="84">
        <v>51000</v>
      </c>
      <c r="J90" s="84">
        <v>47000</v>
      </c>
      <c r="K90" s="84">
        <v>42000</v>
      </c>
      <c r="L90" s="84">
        <v>37000</v>
      </c>
      <c r="M90" s="84">
        <v>41000</v>
      </c>
      <c r="N90" s="84">
        <v>43110</v>
      </c>
      <c r="O90" s="84">
        <v>39632</v>
      </c>
      <c r="P90" s="84">
        <v>44090</v>
      </c>
      <c r="Q90" s="84">
        <v>60838</v>
      </c>
      <c r="R90" s="84">
        <v>54427</v>
      </c>
      <c r="S90" s="84">
        <v>52842</v>
      </c>
      <c r="T90" s="84">
        <v>51013</v>
      </c>
      <c r="U90" s="84">
        <v>49102</v>
      </c>
      <c r="V90" s="84">
        <v>47831</v>
      </c>
      <c r="W90" s="84">
        <v>45712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220</v>
      </c>
      <c r="G91" s="84">
        <v>258</v>
      </c>
      <c r="H91" s="84">
        <v>262</v>
      </c>
      <c r="I91" s="84">
        <v>263</v>
      </c>
      <c r="J91" s="84">
        <v>229</v>
      </c>
      <c r="K91" s="84">
        <v>208</v>
      </c>
      <c r="L91" s="84">
        <v>205</v>
      </c>
      <c r="M91" s="84">
        <v>223</v>
      </c>
      <c r="N91" s="84">
        <v>227</v>
      </c>
      <c r="O91" s="84">
        <v>359</v>
      </c>
      <c r="P91" s="84">
        <v>1253</v>
      </c>
      <c r="Q91" s="84">
        <v>1889</v>
      </c>
      <c r="R91" s="84">
        <v>4014</v>
      </c>
      <c r="S91" s="84">
        <v>6051</v>
      </c>
      <c r="T91" s="84">
        <v>10347</v>
      </c>
      <c r="U91" s="84">
        <v>15356</v>
      </c>
      <c r="V91" s="84">
        <v>18229</v>
      </c>
      <c r="W91" s="84">
        <v>18431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16</v>
      </c>
      <c r="N92" s="84">
        <v>338</v>
      </c>
      <c r="O92" s="84">
        <v>359</v>
      </c>
      <c r="P92" s="84">
        <v>1159</v>
      </c>
      <c r="Q92" s="84">
        <v>4098</v>
      </c>
      <c r="R92" s="84">
        <v>11422</v>
      </c>
      <c r="S92" s="84">
        <v>22273</v>
      </c>
      <c r="T92" s="84">
        <v>33005</v>
      </c>
      <c r="U92" s="84">
        <v>41987</v>
      </c>
      <c r="V92" s="84">
        <v>74988</v>
      </c>
      <c r="W92" s="84">
        <v>123435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9</v>
      </c>
      <c r="K93" s="84">
        <v>13</v>
      </c>
      <c r="L93" s="84">
        <v>61</v>
      </c>
      <c r="M93" s="84">
        <v>323</v>
      </c>
      <c r="N93" s="84">
        <v>825</v>
      </c>
      <c r="O93" s="84">
        <v>1204</v>
      </c>
      <c r="P93" s="84">
        <v>2237</v>
      </c>
      <c r="Q93" s="84">
        <v>3316</v>
      </c>
      <c r="R93" s="84">
        <v>5206</v>
      </c>
      <c r="S93" s="84">
        <v>7548</v>
      </c>
      <c r="T93" s="84">
        <v>10885</v>
      </c>
      <c r="U93" s="84">
        <v>18707</v>
      </c>
      <c r="V93" s="84">
        <v>33703</v>
      </c>
      <c r="W93" s="84">
        <v>55678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14722</v>
      </c>
      <c r="C94" s="110">
        <f t="shared" si="155"/>
        <v>14676</v>
      </c>
      <c r="D94" s="110">
        <f t="shared" ref="D94:V94" si="156">SUM(D95:D99)</f>
        <v>14769</v>
      </c>
      <c r="E94" s="110">
        <f t="shared" si="156"/>
        <v>15060</v>
      </c>
      <c r="F94" s="110">
        <f t="shared" si="156"/>
        <v>15328</v>
      </c>
      <c r="G94" s="110">
        <f t="shared" si="156"/>
        <v>15391</v>
      </c>
      <c r="H94" s="110">
        <f t="shared" si="156"/>
        <v>15329</v>
      </c>
      <c r="I94" s="110">
        <f t="shared" si="156"/>
        <v>15479</v>
      </c>
      <c r="J94" s="110">
        <f t="shared" si="156"/>
        <v>15992</v>
      </c>
      <c r="K94" s="110">
        <f t="shared" si="156"/>
        <v>16061</v>
      </c>
      <c r="L94" s="110">
        <f t="shared" si="156"/>
        <v>16226</v>
      </c>
      <c r="M94" s="110">
        <f t="shared" si="156"/>
        <v>16100</v>
      </c>
      <c r="N94" s="110">
        <f t="shared" si="156"/>
        <v>16031</v>
      </c>
      <c r="O94" s="110">
        <f t="shared" si="156"/>
        <v>15822</v>
      </c>
      <c r="P94" s="110">
        <f t="shared" si="156"/>
        <v>15976</v>
      </c>
      <c r="Q94" s="110">
        <f t="shared" si="156"/>
        <v>16139</v>
      </c>
      <c r="R94" s="110">
        <f t="shared" si="156"/>
        <v>16067</v>
      </c>
      <c r="S94" s="110">
        <f t="shared" si="156"/>
        <v>16155</v>
      </c>
      <c r="T94" s="110">
        <f t="shared" si="156"/>
        <v>16312</v>
      </c>
      <c r="U94" s="110">
        <f t="shared" si="156"/>
        <v>16637</v>
      </c>
      <c r="V94" s="110">
        <f t="shared" si="156"/>
        <v>16569</v>
      </c>
      <c r="W94" s="110">
        <f t="shared" ref="W94" si="157">SUM(W95:W99)</f>
        <v>16835</v>
      </c>
      <c r="DA94" s="176"/>
    </row>
    <row r="95" spans="1:105" ht="11.45" hidden="1" customHeight="1" x14ac:dyDescent="0.25">
      <c r="A95" s="111" t="s">
        <v>110</v>
      </c>
      <c r="B95" s="102">
        <v>214</v>
      </c>
      <c r="C95" s="102">
        <v>207</v>
      </c>
      <c r="D95" s="102">
        <v>188</v>
      </c>
      <c r="E95" s="102">
        <v>187</v>
      </c>
      <c r="F95" s="102">
        <v>184</v>
      </c>
      <c r="G95" s="102">
        <v>183</v>
      </c>
      <c r="H95" s="102">
        <v>167</v>
      </c>
      <c r="I95" s="102">
        <v>160</v>
      </c>
      <c r="J95" s="102">
        <v>152</v>
      </c>
      <c r="K95" s="102">
        <v>143</v>
      </c>
      <c r="L95" s="102">
        <v>133</v>
      </c>
      <c r="M95" s="102">
        <v>131</v>
      </c>
      <c r="N95" s="102">
        <v>129</v>
      </c>
      <c r="O95" s="102">
        <v>123</v>
      </c>
      <c r="P95" s="102">
        <v>120</v>
      </c>
      <c r="Q95" s="102">
        <v>116</v>
      </c>
      <c r="R95" s="102">
        <v>117</v>
      </c>
      <c r="S95" s="102">
        <v>116</v>
      </c>
      <c r="T95" s="102">
        <v>115</v>
      </c>
      <c r="U95" s="102">
        <v>116</v>
      </c>
      <c r="V95" s="102">
        <v>115</v>
      </c>
      <c r="W95" s="102">
        <v>114</v>
      </c>
      <c r="DA95" s="175"/>
    </row>
    <row r="96" spans="1:105" ht="11.45" hidden="1" customHeight="1" x14ac:dyDescent="0.25">
      <c r="A96" s="111" t="s">
        <v>111</v>
      </c>
      <c r="B96" s="102">
        <v>14506</v>
      </c>
      <c r="C96" s="102">
        <v>14467</v>
      </c>
      <c r="D96" s="102">
        <v>14579</v>
      </c>
      <c r="E96" s="102">
        <v>14871</v>
      </c>
      <c r="F96" s="102">
        <v>15142</v>
      </c>
      <c r="G96" s="102">
        <v>15187</v>
      </c>
      <c r="H96" s="102">
        <v>15141</v>
      </c>
      <c r="I96" s="102">
        <v>15299</v>
      </c>
      <c r="J96" s="102">
        <v>15821</v>
      </c>
      <c r="K96" s="102">
        <v>15899</v>
      </c>
      <c r="L96" s="102">
        <v>16075</v>
      </c>
      <c r="M96" s="102">
        <v>15952</v>
      </c>
      <c r="N96" s="102">
        <v>15886</v>
      </c>
      <c r="O96" s="102">
        <v>15683</v>
      </c>
      <c r="P96" s="102">
        <v>15838</v>
      </c>
      <c r="Q96" s="102">
        <v>16007</v>
      </c>
      <c r="R96" s="102">
        <v>15934</v>
      </c>
      <c r="S96" s="102">
        <v>16024</v>
      </c>
      <c r="T96" s="102">
        <v>16170</v>
      </c>
      <c r="U96" s="102">
        <v>16450</v>
      </c>
      <c r="V96" s="102">
        <v>16359</v>
      </c>
      <c r="W96" s="102">
        <v>16490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0</v>
      </c>
      <c r="G97" s="102">
        <v>0</v>
      </c>
      <c r="H97" s="102">
        <v>0</v>
      </c>
      <c r="I97" s="102">
        <v>0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0</v>
      </c>
      <c r="S97" s="102">
        <v>0</v>
      </c>
      <c r="T97" s="102">
        <v>0</v>
      </c>
      <c r="U97" s="102">
        <v>0</v>
      </c>
      <c r="V97" s="102">
        <v>0</v>
      </c>
      <c r="W97" s="102">
        <v>0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0</v>
      </c>
      <c r="L98" s="102">
        <v>0</v>
      </c>
      <c r="M98" s="102">
        <v>0</v>
      </c>
      <c r="N98" s="102">
        <v>0</v>
      </c>
      <c r="O98" s="102">
        <v>0</v>
      </c>
      <c r="P98" s="102">
        <v>0</v>
      </c>
      <c r="Q98" s="102">
        <v>0</v>
      </c>
      <c r="R98" s="102">
        <v>1</v>
      </c>
      <c r="S98" s="102">
        <v>1</v>
      </c>
      <c r="T98" s="102">
        <v>6</v>
      </c>
      <c r="U98" s="102">
        <v>12</v>
      </c>
      <c r="V98" s="102">
        <v>23</v>
      </c>
      <c r="W98" s="102">
        <v>141</v>
      </c>
      <c r="DA98" s="175"/>
    </row>
    <row r="99" spans="1:105" ht="11.45" hidden="1" customHeight="1" x14ac:dyDescent="0.25">
      <c r="A99" s="111" t="s">
        <v>115</v>
      </c>
      <c r="B99" s="102">
        <v>2</v>
      </c>
      <c r="C99" s="102">
        <v>2</v>
      </c>
      <c r="D99" s="102">
        <v>2</v>
      </c>
      <c r="E99" s="102">
        <v>2</v>
      </c>
      <c r="F99" s="102">
        <v>2</v>
      </c>
      <c r="G99" s="102">
        <v>21</v>
      </c>
      <c r="H99" s="102">
        <v>21</v>
      </c>
      <c r="I99" s="102">
        <v>20</v>
      </c>
      <c r="J99" s="102">
        <v>19</v>
      </c>
      <c r="K99" s="102">
        <v>19</v>
      </c>
      <c r="L99" s="102">
        <v>18</v>
      </c>
      <c r="M99" s="102">
        <v>17</v>
      </c>
      <c r="N99" s="102">
        <v>16</v>
      </c>
      <c r="O99" s="102">
        <v>16</v>
      </c>
      <c r="P99" s="102">
        <v>18</v>
      </c>
      <c r="Q99" s="102">
        <v>16</v>
      </c>
      <c r="R99" s="102">
        <v>15</v>
      </c>
      <c r="S99" s="102">
        <v>14</v>
      </c>
      <c r="T99" s="102">
        <v>21</v>
      </c>
      <c r="U99" s="102">
        <v>59</v>
      </c>
      <c r="V99" s="102">
        <v>72</v>
      </c>
      <c r="W99" s="102">
        <v>90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540903</v>
      </c>
      <c r="C100" s="28">
        <f t="shared" si="158"/>
        <v>607421</v>
      </c>
      <c r="D100" s="28">
        <f t="shared" ref="D100:V100" si="159">D101+D107</f>
        <v>586370</v>
      </c>
      <c r="E100" s="28">
        <f t="shared" si="159"/>
        <v>607706</v>
      </c>
      <c r="F100" s="28">
        <f t="shared" si="159"/>
        <v>640198</v>
      </c>
      <c r="G100" s="28">
        <f t="shared" si="159"/>
        <v>668951</v>
      </c>
      <c r="H100" s="28">
        <f t="shared" si="159"/>
        <v>685166</v>
      </c>
      <c r="I100" s="28">
        <f t="shared" si="159"/>
        <v>701648</v>
      </c>
      <c r="J100" s="28">
        <f t="shared" si="159"/>
        <v>723313</v>
      </c>
      <c r="K100" s="28">
        <f t="shared" si="159"/>
        <v>734722</v>
      </c>
      <c r="L100" s="28">
        <f t="shared" si="159"/>
        <v>749485</v>
      </c>
      <c r="M100" s="28">
        <f t="shared" si="159"/>
        <v>774759</v>
      </c>
      <c r="N100" s="28">
        <f t="shared" si="159"/>
        <v>787236</v>
      </c>
      <c r="O100" s="28">
        <f t="shared" si="159"/>
        <v>799517</v>
      </c>
      <c r="P100" s="28">
        <f t="shared" si="159"/>
        <v>812982</v>
      </c>
      <c r="Q100" s="28">
        <f t="shared" si="159"/>
        <v>829577</v>
      </c>
      <c r="R100" s="28">
        <f t="shared" si="159"/>
        <v>859326</v>
      </c>
      <c r="S100" s="28">
        <f t="shared" si="159"/>
        <v>890862</v>
      </c>
      <c r="T100" s="28">
        <f t="shared" si="159"/>
        <v>923162</v>
      </c>
      <c r="U100" s="28">
        <f t="shared" si="159"/>
        <v>954766</v>
      </c>
      <c r="V100" s="28">
        <f t="shared" si="159"/>
        <v>980646</v>
      </c>
      <c r="W100" s="28">
        <f t="shared" ref="W100" si="160">W101+W107</f>
        <v>1017970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445600</v>
      </c>
      <c r="C101" s="137">
        <f t="shared" si="161"/>
        <v>469743</v>
      </c>
      <c r="D101" s="137">
        <f t="shared" ref="D101:V101" si="162">SUM(D102:D106)</f>
        <v>448274</v>
      </c>
      <c r="E101" s="137">
        <f t="shared" si="162"/>
        <v>465435</v>
      </c>
      <c r="F101" s="137">
        <f t="shared" si="162"/>
        <v>489814</v>
      </c>
      <c r="G101" s="137">
        <f t="shared" si="162"/>
        <v>512872</v>
      </c>
      <c r="H101" s="137">
        <f t="shared" si="162"/>
        <v>529076</v>
      </c>
      <c r="I101" s="137">
        <f t="shared" si="162"/>
        <v>542914</v>
      </c>
      <c r="J101" s="137">
        <f t="shared" si="162"/>
        <v>557353</v>
      </c>
      <c r="K101" s="137">
        <f t="shared" si="162"/>
        <v>571913</v>
      </c>
      <c r="L101" s="137">
        <f t="shared" si="162"/>
        <v>591941</v>
      </c>
      <c r="M101" s="137">
        <f t="shared" si="162"/>
        <v>604799</v>
      </c>
      <c r="N101" s="137">
        <f t="shared" si="162"/>
        <v>620502</v>
      </c>
      <c r="O101" s="137">
        <f t="shared" si="162"/>
        <v>640421</v>
      </c>
      <c r="P101" s="137">
        <f t="shared" si="162"/>
        <v>655516</v>
      </c>
      <c r="Q101" s="137">
        <f t="shared" si="162"/>
        <v>665119</v>
      </c>
      <c r="R101" s="137">
        <f t="shared" si="162"/>
        <v>709653</v>
      </c>
      <c r="S101" s="137">
        <f t="shared" si="162"/>
        <v>740801</v>
      </c>
      <c r="T101" s="137">
        <f t="shared" si="162"/>
        <v>769679</v>
      </c>
      <c r="U101" s="137">
        <f t="shared" si="162"/>
        <v>798942</v>
      </c>
      <c r="V101" s="137">
        <f t="shared" si="162"/>
        <v>829277</v>
      </c>
      <c r="W101" s="137">
        <f t="shared" ref="W101" si="163">SUM(W102:W106)</f>
        <v>861148</v>
      </c>
      <c r="DA101" s="174"/>
    </row>
    <row r="102" spans="1:105" ht="11.45" hidden="1" customHeight="1" x14ac:dyDescent="0.25">
      <c r="A102" s="111" t="s">
        <v>110</v>
      </c>
      <c r="B102" s="84">
        <v>38214</v>
      </c>
      <c r="C102" s="84">
        <v>38182</v>
      </c>
      <c r="D102" s="84">
        <v>38104</v>
      </c>
      <c r="E102" s="84">
        <v>37908</v>
      </c>
      <c r="F102" s="84">
        <v>37422</v>
      </c>
      <c r="G102" s="84">
        <v>36236</v>
      </c>
      <c r="H102" s="84">
        <v>33432</v>
      </c>
      <c r="I102" s="84">
        <v>30620</v>
      </c>
      <c r="J102" s="84">
        <v>30446</v>
      </c>
      <c r="K102" s="84">
        <v>29110</v>
      </c>
      <c r="L102" s="84">
        <v>28134</v>
      </c>
      <c r="M102" s="84">
        <v>25965</v>
      </c>
      <c r="N102" s="84">
        <v>24432</v>
      </c>
      <c r="O102" s="84">
        <v>22899</v>
      </c>
      <c r="P102" s="84">
        <v>21366</v>
      </c>
      <c r="Q102" s="84">
        <v>19834</v>
      </c>
      <c r="R102" s="84">
        <v>20025</v>
      </c>
      <c r="S102" s="84">
        <v>21533</v>
      </c>
      <c r="T102" s="84">
        <v>25873</v>
      </c>
      <c r="U102" s="84">
        <v>28650</v>
      </c>
      <c r="V102" s="84">
        <v>29478</v>
      </c>
      <c r="W102" s="84">
        <v>30264</v>
      </c>
      <c r="DA102" s="171"/>
    </row>
    <row r="103" spans="1:105" ht="11.45" hidden="1" customHeight="1" x14ac:dyDescent="0.25">
      <c r="A103" s="111" t="s">
        <v>111</v>
      </c>
      <c r="B103" s="84">
        <v>377386</v>
      </c>
      <c r="C103" s="84">
        <v>399104</v>
      </c>
      <c r="D103" s="84">
        <v>380020</v>
      </c>
      <c r="E103" s="84">
        <v>400011</v>
      </c>
      <c r="F103" s="84">
        <v>425667</v>
      </c>
      <c r="G103" s="84">
        <v>450986</v>
      </c>
      <c r="H103" s="84">
        <v>470814</v>
      </c>
      <c r="I103" s="84">
        <v>490223</v>
      </c>
      <c r="J103" s="84">
        <v>506135</v>
      </c>
      <c r="K103" s="84">
        <v>523443</v>
      </c>
      <c r="L103" s="84">
        <v>545889</v>
      </c>
      <c r="M103" s="84">
        <v>560320</v>
      </c>
      <c r="N103" s="84">
        <v>577764</v>
      </c>
      <c r="O103" s="84">
        <v>601355</v>
      </c>
      <c r="P103" s="84">
        <v>619635</v>
      </c>
      <c r="Q103" s="84">
        <v>634033</v>
      </c>
      <c r="R103" s="84">
        <v>678775</v>
      </c>
      <c r="S103" s="84">
        <v>708183</v>
      </c>
      <c r="T103" s="84">
        <v>732038</v>
      </c>
      <c r="U103" s="84">
        <v>757320</v>
      </c>
      <c r="V103" s="84">
        <v>785031</v>
      </c>
      <c r="W103" s="84">
        <v>815315</v>
      </c>
      <c r="DA103" s="171"/>
    </row>
    <row r="104" spans="1:105" ht="11.45" hidden="1" customHeight="1" x14ac:dyDescent="0.25">
      <c r="A104" s="111" t="s">
        <v>112</v>
      </c>
      <c r="B104" s="84">
        <v>30000</v>
      </c>
      <c r="C104" s="84">
        <v>32457</v>
      </c>
      <c r="D104" s="84">
        <v>30150</v>
      </c>
      <c r="E104" s="84">
        <v>27516</v>
      </c>
      <c r="F104" s="84">
        <v>26725</v>
      </c>
      <c r="G104" s="84">
        <v>25650</v>
      </c>
      <c r="H104" s="84">
        <v>24830</v>
      </c>
      <c r="I104" s="84">
        <v>22071</v>
      </c>
      <c r="J104" s="84">
        <v>20655</v>
      </c>
      <c r="K104" s="84">
        <v>19220</v>
      </c>
      <c r="L104" s="84">
        <v>17759</v>
      </c>
      <c r="M104" s="84">
        <v>18349</v>
      </c>
      <c r="N104" s="84">
        <v>17759</v>
      </c>
      <c r="O104" s="84">
        <v>15461</v>
      </c>
      <c r="P104" s="84">
        <v>13546</v>
      </c>
      <c r="Q104" s="84">
        <v>9936</v>
      </c>
      <c r="R104" s="84">
        <v>9443</v>
      </c>
      <c r="S104" s="84">
        <v>8976</v>
      </c>
      <c r="T104" s="84">
        <v>8531</v>
      </c>
      <c r="U104" s="84">
        <v>8111</v>
      </c>
      <c r="V104" s="84">
        <v>8506</v>
      </c>
      <c r="W104" s="84">
        <v>8407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59</v>
      </c>
      <c r="K105" s="84">
        <v>79</v>
      </c>
      <c r="L105" s="84">
        <v>97</v>
      </c>
      <c r="M105" s="84">
        <v>87</v>
      </c>
      <c r="N105" s="84">
        <v>217</v>
      </c>
      <c r="O105" s="84">
        <v>276</v>
      </c>
      <c r="P105" s="84">
        <v>447</v>
      </c>
      <c r="Q105" s="84">
        <v>742</v>
      </c>
      <c r="R105" s="84">
        <v>720</v>
      </c>
      <c r="S105" s="84">
        <v>1333</v>
      </c>
      <c r="T105" s="84">
        <v>2218</v>
      </c>
      <c r="U105" s="84">
        <v>3488</v>
      </c>
      <c r="V105" s="84">
        <v>4446</v>
      </c>
      <c r="W105" s="84">
        <v>4656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58</v>
      </c>
      <c r="K106" s="84">
        <v>61</v>
      </c>
      <c r="L106" s="84">
        <v>62</v>
      </c>
      <c r="M106" s="84">
        <v>78</v>
      </c>
      <c r="N106" s="84">
        <v>330</v>
      </c>
      <c r="O106" s="84">
        <v>430</v>
      </c>
      <c r="P106" s="84">
        <v>522</v>
      </c>
      <c r="Q106" s="84">
        <v>574</v>
      </c>
      <c r="R106" s="84">
        <v>690</v>
      </c>
      <c r="S106" s="84">
        <v>776</v>
      </c>
      <c r="T106" s="84">
        <v>1019</v>
      </c>
      <c r="U106" s="84">
        <v>1373</v>
      </c>
      <c r="V106" s="84">
        <v>1816</v>
      </c>
      <c r="W106" s="84">
        <v>2506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95303</v>
      </c>
      <c r="C107" s="110">
        <f t="shared" si="164"/>
        <v>137678</v>
      </c>
      <c r="D107" s="110">
        <f t="shared" ref="D107:V107" si="165">SUM(D108:D109)</f>
        <v>138096</v>
      </c>
      <c r="E107" s="110">
        <f t="shared" si="165"/>
        <v>142271</v>
      </c>
      <c r="F107" s="110">
        <f t="shared" si="165"/>
        <v>150384</v>
      </c>
      <c r="G107" s="110">
        <f t="shared" si="165"/>
        <v>156079</v>
      </c>
      <c r="H107" s="110">
        <f t="shared" si="165"/>
        <v>156090</v>
      </c>
      <c r="I107" s="110">
        <f t="shared" si="165"/>
        <v>158734</v>
      </c>
      <c r="J107" s="110">
        <f t="shared" si="165"/>
        <v>165960</v>
      </c>
      <c r="K107" s="110">
        <f t="shared" si="165"/>
        <v>162809</v>
      </c>
      <c r="L107" s="110">
        <f t="shared" si="165"/>
        <v>157544</v>
      </c>
      <c r="M107" s="110">
        <f t="shared" si="165"/>
        <v>169960</v>
      </c>
      <c r="N107" s="110">
        <f t="shared" si="165"/>
        <v>166734</v>
      </c>
      <c r="O107" s="110">
        <f t="shared" si="165"/>
        <v>159096</v>
      </c>
      <c r="P107" s="110">
        <f t="shared" si="165"/>
        <v>157466</v>
      </c>
      <c r="Q107" s="110">
        <f t="shared" si="165"/>
        <v>164458</v>
      </c>
      <c r="R107" s="110">
        <f t="shared" si="165"/>
        <v>149673</v>
      </c>
      <c r="S107" s="110">
        <f t="shared" si="165"/>
        <v>150061</v>
      </c>
      <c r="T107" s="110">
        <f t="shared" si="165"/>
        <v>153483</v>
      </c>
      <c r="U107" s="110">
        <f t="shared" si="165"/>
        <v>155824</v>
      </c>
      <c r="V107" s="110">
        <f t="shared" si="165"/>
        <v>151369</v>
      </c>
      <c r="W107" s="110">
        <f t="shared" ref="W107" si="166">SUM(W108:W109)</f>
        <v>156822</v>
      </c>
      <c r="DA107" s="176"/>
    </row>
    <row r="108" spans="1:105" ht="11.45" hidden="1" customHeight="1" x14ac:dyDescent="0.25">
      <c r="A108" s="128" t="s">
        <v>27</v>
      </c>
      <c r="B108" s="102">
        <v>78939</v>
      </c>
      <c r="C108" s="102">
        <v>120133</v>
      </c>
      <c r="D108" s="102">
        <v>119638</v>
      </c>
      <c r="E108" s="102">
        <v>123405</v>
      </c>
      <c r="F108" s="102">
        <v>128078</v>
      </c>
      <c r="G108" s="102">
        <v>132986</v>
      </c>
      <c r="H108" s="102">
        <v>132418</v>
      </c>
      <c r="I108" s="102">
        <v>134228</v>
      </c>
      <c r="J108" s="102">
        <v>141568</v>
      </c>
      <c r="K108" s="102">
        <v>139828</v>
      </c>
      <c r="L108" s="102">
        <v>134414</v>
      </c>
      <c r="M108" s="102">
        <v>146804</v>
      </c>
      <c r="N108" s="102">
        <v>143630</v>
      </c>
      <c r="O108" s="102">
        <v>135227</v>
      </c>
      <c r="P108" s="102">
        <v>133514</v>
      </c>
      <c r="Q108" s="102">
        <v>139932</v>
      </c>
      <c r="R108" s="102">
        <v>123572</v>
      </c>
      <c r="S108" s="102">
        <v>123676</v>
      </c>
      <c r="T108" s="102">
        <v>128279</v>
      </c>
      <c r="U108" s="102">
        <v>130204</v>
      </c>
      <c r="V108" s="102">
        <v>125606</v>
      </c>
      <c r="W108" s="102">
        <v>130437</v>
      </c>
      <c r="DA108" s="175"/>
    </row>
    <row r="109" spans="1:105" ht="11.45" hidden="1" customHeight="1" x14ac:dyDescent="0.25">
      <c r="A109" s="138" t="s">
        <v>116</v>
      </c>
      <c r="B109" s="86">
        <v>16364</v>
      </c>
      <c r="C109" s="86">
        <v>17545</v>
      </c>
      <c r="D109" s="86">
        <v>18458</v>
      </c>
      <c r="E109" s="86">
        <v>18866</v>
      </c>
      <c r="F109" s="86">
        <v>22306</v>
      </c>
      <c r="G109" s="86">
        <v>23093</v>
      </c>
      <c r="H109" s="86">
        <v>23672</v>
      </c>
      <c r="I109" s="86">
        <v>24506</v>
      </c>
      <c r="J109" s="86">
        <v>24392</v>
      </c>
      <c r="K109" s="86">
        <v>22981</v>
      </c>
      <c r="L109" s="86">
        <v>23130</v>
      </c>
      <c r="M109" s="86">
        <v>23156</v>
      </c>
      <c r="N109" s="86">
        <v>23104</v>
      </c>
      <c r="O109" s="86">
        <v>23869</v>
      </c>
      <c r="P109" s="86">
        <v>23952</v>
      </c>
      <c r="Q109" s="86">
        <v>24526</v>
      </c>
      <c r="R109" s="86">
        <v>26101</v>
      </c>
      <c r="S109" s="86">
        <v>26385</v>
      </c>
      <c r="T109" s="86">
        <v>25204</v>
      </c>
      <c r="U109" s="86">
        <v>25620</v>
      </c>
      <c r="V109" s="86">
        <v>25763</v>
      </c>
      <c r="W109" s="86">
        <v>26385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566075</v>
      </c>
      <c r="C111" s="54">
        <f t="shared" si="167"/>
        <v>663857</v>
      </c>
      <c r="D111" s="54">
        <f t="shared" si="167"/>
        <v>541566</v>
      </c>
      <c r="E111" s="54">
        <f t="shared" si="167"/>
        <v>568899</v>
      </c>
      <c r="F111" s="54">
        <f t="shared" si="167"/>
        <v>606371</v>
      </c>
      <c r="G111" s="54">
        <f t="shared" si="167"/>
        <v>599291</v>
      </c>
      <c r="H111" s="54">
        <f t="shared" si="167"/>
        <v>634923</v>
      </c>
      <c r="I111" s="54">
        <f t="shared" si="167"/>
        <v>639393</v>
      </c>
      <c r="J111" s="54">
        <f t="shared" si="167"/>
        <v>660624</v>
      </c>
      <c r="K111" s="54">
        <f t="shared" si="167"/>
        <v>597471</v>
      </c>
      <c r="L111" s="54">
        <f t="shared" ref="L111" si="168">L112+L127</f>
        <v>682714</v>
      </c>
      <c r="M111" s="54">
        <f t="shared" ref="M111:V111" si="169">M112+M127</f>
        <v>733263</v>
      </c>
      <c r="N111" s="54">
        <f t="shared" si="169"/>
        <v>632023</v>
      </c>
      <c r="O111" s="54">
        <f t="shared" si="169"/>
        <v>617638</v>
      </c>
      <c r="P111" s="54">
        <f t="shared" si="169"/>
        <v>622237</v>
      </c>
      <c r="Q111" s="54">
        <f t="shared" si="169"/>
        <v>661293</v>
      </c>
      <c r="R111" s="54">
        <f t="shared" si="169"/>
        <v>668259</v>
      </c>
      <c r="S111" s="54">
        <f t="shared" si="169"/>
        <v>692519</v>
      </c>
      <c r="T111" s="54">
        <f t="shared" si="169"/>
        <v>907359</v>
      </c>
      <c r="U111" s="54">
        <f t="shared" si="169"/>
        <v>741636</v>
      </c>
      <c r="V111" s="54">
        <f t="shared" si="169"/>
        <v>637771</v>
      </c>
      <c r="W111" s="54">
        <f t="shared" ref="W111" si="170">W112+W127</f>
        <v>660373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564439</v>
      </c>
      <c r="C112" s="28">
        <f t="shared" si="171"/>
        <v>540721</v>
      </c>
      <c r="D112" s="28">
        <f t="shared" si="171"/>
        <v>503032</v>
      </c>
      <c r="E112" s="28">
        <f t="shared" si="171"/>
        <v>492097</v>
      </c>
      <c r="F112" s="28">
        <f t="shared" si="171"/>
        <v>521808</v>
      </c>
      <c r="G112" s="28">
        <f t="shared" si="171"/>
        <v>522025</v>
      </c>
      <c r="H112" s="28">
        <f t="shared" si="171"/>
        <v>567247</v>
      </c>
      <c r="I112" s="28">
        <f t="shared" si="171"/>
        <v>569664</v>
      </c>
      <c r="J112" s="28">
        <f t="shared" si="171"/>
        <v>577715</v>
      </c>
      <c r="K112" s="28">
        <f t="shared" si="171"/>
        <v>515309</v>
      </c>
      <c r="L112" s="28">
        <f t="shared" ref="L112" si="172">L113+L114+L121</f>
        <v>590659</v>
      </c>
      <c r="M112" s="28">
        <f t="shared" ref="M112:V112" si="173">M113+M114+M121</f>
        <v>627973</v>
      </c>
      <c r="N112" s="28">
        <f t="shared" si="173"/>
        <v>537159</v>
      </c>
      <c r="O112" s="28">
        <f t="shared" si="173"/>
        <v>524034</v>
      </c>
      <c r="P112" s="28">
        <f t="shared" si="173"/>
        <v>530783</v>
      </c>
      <c r="Q112" s="28">
        <f t="shared" si="173"/>
        <v>563393</v>
      </c>
      <c r="R112" s="28">
        <f t="shared" si="173"/>
        <v>593809</v>
      </c>
      <c r="S112" s="28">
        <f t="shared" si="173"/>
        <v>607006</v>
      </c>
      <c r="T112" s="28">
        <f t="shared" si="173"/>
        <v>813709</v>
      </c>
      <c r="U112" s="28">
        <f t="shared" si="173"/>
        <v>643692</v>
      </c>
      <c r="V112" s="28">
        <f t="shared" si="173"/>
        <v>558002</v>
      </c>
      <c r="W112" s="28">
        <f t="shared" ref="W112" si="174">W113+W114+W121</f>
        <v>572825</v>
      </c>
      <c r="DA112" s="173" t="s">
        <v>526</v>
      </c>
    </row>
    <row r="113" spans="1:105" ht="11.45" customHeight="1" x14ac:dyDescent="0.25">
      <c r="A113" s="136" t="s">
        <v>180</v>
      </c>
      <c r="B113" s="137">
        <v>31649</v>
      </c>
      <c r="C113" s="137">
        <v>26536</v>
      </c>
      <c r="D113" s="137">
        <v>26879</v>
      </c>
      <c r="E113" s="137">
        <v>27780</v>
      </c>
      <c r="F113" s="137">
        <v>31319</v>
      </c>
      <c r="G113" s="137">
        <v>35465</v>
      </c>
      <c r="H113" s="137">
        <v>34086</v>
      </c>
      <c r="I113" s="137">
        <v>37664</v>
      </c>
      <c r="J113" s="137">
        <v>32991</v>
      </c>
      <c r="K113" s="137">
        <v>33029</v>
      </c>
      <c r="L113" s="137">
        <v>33036</v>
      </c>
      <c r="M113" s="137">
        <v>31309</v>
      </c>
      <c r="N113" s="137">
        <v>29285</v>
      </c>
      <c r="O113" s="137">
        <v>25805</v>
      </c>
      <c r="P113" s="137">
        <v>25851</v>
      </c>
      <c r="Q113" s="137">
        <v>26971</v>
      </c>
      <c r="R113" s="137">
        <v>29526</v>
      </c>
      <c r="S113" s="137">
        <v>26738</v>
      </c>
      <c r="T113" s="137">
        <v>228913</v>
      </c>
      <c r="U113" s="137">
        <v>53335</v>
      </c>
      <c r="V113" s="137">
        <v>47793</v>
      </c>
      <c r="W113" s="137">
        <v>68494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531640</v>
      </c>
      <c r="C114" s="110">
        <f t="shared" si="175"/>
        <v>512976</v>
      </c>
      <c r="D114" s="110">
        <f t="shared" si="175"/>
        <v>474830</v>
      </c>
      <c r="E114" s="110">
        <f t="shared" si="175"/>
        <v>463173</v>
      </c>
      <c r="F114" s="110">
        <f t="shared" si="175"/>
        <v>489326</v>
      </c>
      <c r="G114" s="110">
        <f t="shared" si="175"/>
        <v>485432</v>
      </c>
      <c r="H114" s="110">
        <f t="shared" si="175"/>
        <v>531996</v>
      </c>
      <c r="I114" s="110">
        <f t="shared" si="175"/>
        <v>530652</v>
      </c>
      <c r="J114" s="110">
        <f t="shared" si="175"/>
        <v>543253</v>
      </c>
      <c r="K114" s="110">
        <f t="shared" si="175"/>
        <v>481031</v>
      </c>
      <c r="L114" s="110">
        <f t="shared" ref="L114" si="176">SUM(L115:L120)</f>
        <v>556335</v>
      </c>
      <c r="M114" s="110">
        <f t="shared" ref="M114:V114" si="177">SUM(M115:M120)</f>
        <v>595681</v>
      </c>
      <c r="N114" s="110">
        <f t="shared" si="177"/>
        <v>506684</v>
      </c>
      <c r="O114" s="110">
        <f t="shared" si="177"/>
        <v>497149</v>
      </c>
      <c r="P114" s="110">
        <f t="shared" si="177"/>
        <v>503527</v>
      </c>
      <c r="Q114" s="110">
        <f t="shared" si="177"/>
        <v>535175</v>
      </c>
      <c r="R114" s="110">
        <f t="shared" si="177"/>
        <v>563212</v>
      </c>
      <c r="S114" s="110">
        <f t="shared" si="177"/>
        <v>579136</v>
      </c>
      <c r="T114" s="110">
        <f t="shared" si="177"/>
        <v>583475</v>
      </c>
      <c r="U114" s="110">
        <f t="shared" si="177"/>
        <v>588786</v>
      </c>
      <c r="V114" s="110">
        <f t="shared" si="177"/>
        <v>508883</v>
      </c>
      <c r="W114" s="110">
        <f t="shared" ref="W114" si="178">SUM(W115:W120)</f>
        <v>502702</v>
      </c>
      <c r="DA114" s="176" t="s">
        <v>528</v>
      </c>
    </row>
    <row r="115" spans="1:105" ht="11.45" customHeight="1" x14ac:dyDescent="0.25">
      <c r="A115" s="111" t="s">
        <v>110</v>
      </c>
      <c r="B115" s="84">
        <v>232786</v>
      </c>
      <c r="C115" s="84">
        <v>186329</v>
      </c>
      <c r="D115" s="84">
        <v>168334</v>
      </c>
      <c r="E115" s="84">
        <v>146753</v>
      </c>
      <c r="F115" s="84">
        <v>146346</v>
      </c>
      <c r="G115" s="84">
        <v>132688</v>
      </c>
      <c r="H115" s="84">
        <v>135282</v>
      </c>
      <c r="I115" s="84">
        <v>122028</v>
      </c>
      <c r="J115" s="84">
        <v>115850</v>
      </c>
      <c r="K115" s="84">
        <v>119093</v>
      </c>
      <c r="L115" s="84">
        <v>134553</v>
      </c>
      <c r="M115" s="84">
        <v>147172</v>
      </c>
      <c r="N115" s="84">
        <v>157126</v>
      </c>
      <c r="O115" s="84">
        <v>175137</v>
      </c>
      <c r="P115" s="84">
        <v>188898</v>
      </c>
      <c r="Q115" s="84">
        <v>204868</v>
      </c>
      <c r="R115" s="84">
        <v>265351</v>
      </c>
      <c r="S115" s="84">
        <v>301411</v>
      </c>
      <c r="T115" s="84">
        <v>361472</v>
      </c>
      <c r="U115" s="84">
        <v>385355</v>
      </c>
      <c r="V115" s="84">
        <v>295602</v>
      </c>
      <c r="W115" s="84">
        <v>309933</v>
      </c>
      <c r="DA115" s="171" t="s">
        <v>529</v>
      </c>
    </row>
    <row r="116" spans="1:105" ht="11.45" customHeight="1" x14ac:dyDescent="0.25">
      <c r="A116" s="111" t="s">
        <v>111</v>
      </c>
      <c r="B116" s="84">
        <v>298854</v>
      </c>
      <c r="C116" s="84">
        <v>313647</v>
      </c>
      <c r="D116" s="84">
        <v>304496</v>
      </c>
      <c r="E116" s="84">
        <v>316420</v>
      </c>
      <c r="F116" s="84">
        <v>342760</v>
      </c>
      <c r="G116" s="84">
        <v>352380</v>
      </c>
      <c r="H116" s="84">
        <v>396234</v>
      </c>
      <c r="I116" s="84">
        <v>408255</v>
      </c>
      <c r="J116" s="84">
        <v>426992</v>
      </c>
      <c r="K116" s="84">
        <v>361638</v>
      </c>
      <c r="L116" s="84">
        <v>421479</v>
      </c>
      <c r="M116" s="84">
        <v>439209</v>
      </c>
      <c r="N116" s="84">
        <v>342081</v>
      </c>
      <c r="O116" s="84">
        <v>320132</v>
      </c>
      <c r="P116" s="84">
        <v>304090</v>
      </c>
      <c r="Q116" s="84">
        <v>306105</v>
      </c>
      <c r="R116" s="84">
        <v>286099</v>
      </c>
      <c r="S116" s="84">
        <v>260543</v>
      </c>
      <c r="T116" s="84">
        <v>202864</v>
      </c>
      <c r="U116" s="84">
        <v>180351</v>
      </c>
      <c r="V116" s="84">
        <v>161293</v>
      </c>
      <c r="W116" s="84">
        <v>118236</v>
      </c>
      <c r="DA116" s="171" t="s">
        <v>530</v>
      </c>
    </row>
    <row r="117" spans="1:105" ht="11.45" customHeight="1" x14ac:dyDescent="0.25">
      <c r="A117" s="111" t="s">
        <v>112</v>
      </c>
      <c r="B117" s="84">
        <v>0</v>
      </c>
      <c r="C117" s="84">
        <v>13000</v>
      </c>
      <c r="D117" s="84">
        <v>2000</v>
      </c>
      <c r="E117" s="84">
        <v>0</v>
      </c>
      <c r="F117" s="84">
        <v>0</v>
      </c>
      <c r="G117" s="84">
        <v>326</v>
      </c>
      <c r="H117" s="84">
        <v>476</v>
      </c>
      <c r="I117" s="84">
        <v>368</v>
      </c>
      <c r="J117" s="84">
        <v>402</v>
      </c>
      <c r="K117" s="84">
        <v>296</v>
      </c>
      <c r="L117" s="84">
        <v>249</v>
      </c>
      <c r="M117" s="84">
        <v>8978</v>
      </c>
      <c r="N117" s="84">
        <v>6509</v>
      </c>
      <c r="O117" s="84">
        <v>1066</v>
      </c>
      <c r="P117" s="84">
        <v>7475</v>
      </c>
      <c r="Q117" s="84">
        <v>18985</v>
      </c>
      <c r="R117" s="84">
        <v>76</v>
      </c>
      <c r="S117" s="84">
        <v>84</v>
      </c>
      <c r="T117" s="84">
        <v>51</v>
      </c>
      <c r="U117" s="84">
        <v>165</v>
      </c>
      <c r="V117" s="84">
        <v>987</v>
      </c>
      <c r="W117" s="84">
        <v>2088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220</v>
      </c>
      <c r="G118" s="84">
        <v>38</v>
      </c>
      <c r="H118" s="84">
        <v>4</v>
      </c>
      <c r="I118" s="84">
        <v>1</v>
      </c>
      <c r="J118" s="84">
        <v>0</v>
      </c>
      <c r="K118" s="84">
        <v>0</v>
      </c>
      <c r="L118" s="84">
        <v>0</v>
      </c>
      <c r="M118" s="84">
        <v>18</v>
      </c>
      <c r="N118" s="84">
        <v>57</v>
      </c>
      <c r="O118" s="84">
        <v>146</v>
      </c>
      <c r="P118" s="84">
        <v>925</v>
      </c>
      <c r="Q118" s="84">
        <v>665</v>
      </c>
      <c r="R118" s="84">
        <v>2146</v>
      </c>
      <c r="S118" s="84">
        <v>2502</v>
      </c>
      <c r="T118" s="84">
        <v>4315</v>
      </c>
      <c r="U118" s="84">
        <v>5041</v>
      </c>
      <c r="V118" s="84">
        <v>2924</v>
      </c>
      <c r="W118" s="84">
        <v>995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16</v>
      </c>
      <c r="N119" s="84">
        <v>326</v>
      </c>
      <c r="O119" s="84">
        <v>167</v>
      </c>
      <c r="P119" s="84">
        <v>800</v>
      </c>
      <c r="Q119" s="84">
        <v>2939</v>
      </c>
      <c r="R119" s="84">
        <v>7324</v>
      </c>
      <c r="S119" s="84">
        <v>11651</v>
      </c>
      <c r="T119" s="84">
        <v>10732</v>
      </c>
      <c r="U119" s="84">
        <v>8982</v>
      </c>
      <c r="V119" s="84">
        <v>33006</v>
      </c>
      <c r="W119" s="84">
        <v>48676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9</v>
      </c>
      <c r="K120" s="84">
        <v>4</v>
      </c>
      <c r="L120" s="84">
        <v>54</v>
      </c>
      <c r="M120" s="84">
        <v>288</v>
      </c>
      <c r="N120" s="84">
        <v>585</v>
      </c>
      <c r="O120" s="84">
        <v>501</v>
      </c>
      <c r="P120" s="84">
        <v>1339</v>
      </c>
      <c r="Q120" s="84">
        <v>1613</v>
      </c>
      <c r="R120" s="84">
        <v>2216</v>
      </c>
      <c r="S120" s="84">
        <v>2945</v>
      </c>
      <c r="T120" s="84">
        <v>4041</v>
      </c>
      <c r="U120" s="84">
        <v>8892</v>
      </c>
      <c r="V120" s="84">
        <v>15071</v>
      </c>
      <c r="W120" s="84">
        <v>22774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1150</v>
      </c>
      <c r="C121" s="110">
        <f t="shared" si="179"/>
        <v>1209</v>
      </c>
      <c r="D121" s="110">
        <f t="shared" si="179"/>
        <v>1323</v>
      </c>
      <c r="E121" s="110">
        <f t="shared" si="179"/>
        <v>1144</v>
      </c>
      <c r="F121" s="110">
        <f t="shared" si="179"/>
        <v>1163</v>
      </c>
      <c r="G121" s="110">
        <f t="shared" si="179"/>
        <v>1128</v>
      </c>
      <c r="H121" s="110">
        <f t="shared" si="179"/>
        <v>1165</v>
      </c>
      <c r="I121" s="110">
        <f t="shared" si="179"/>
        <v>1348</v>
      </c>
      <c r="J121" s="110">
        <f t="shared" si="179"/>
        <v>1471</v>
      </c>
      <c r="K121" s="110">
        <f t="shared" si="179"/>
        <v>1249</v>
      </c>
      <c r="L121" s="110">
        <f t="shared" ref="L121" si="180">SUM(L122:L126)</f>
        <v>1288</v>
      </c>
      <c r="M121" s="110">
        <f t="shared" ref="M121:V121" si="181">SUM(M122:M126)</f>
        <v>983</v>
      </c>
      <c r="N121" s="110">
        <f t="shared" si="181"/>
        <v>1190</v>
      </c>
      <c r="O121" s="110">
        <f t="shared" si="181"/>
        <v>1080</v>
      </c>
      <c r="P121" s="110">
        <f t="shared" si="181"/>
        <v>1405</v>
      </c>
      <c r="Q121" s="110">
        <f t="shared" si="181"/>
        <v>1247</v>
      </c>
      <c r="R121" s="110">
        <f t="shared" si="181"/>
        <v>1071</v>
      </c>
      <c r="S121" s="110">
        <f t="shared" si="181"/>
        <v>1132</v>
      </c>
      <c r="T121" s="110">
        <f t="shared" si="181"/>
        <v>1321</v>
      </c>
      <c r="U121" s="110">
        <f t="shared" si="181"/>
        <v>1571</v>
      </c>
      <c r="V121" s="110">
        <f t="shared" si="181"/>
        <v>1326</v>
      </c>
      <c r="W121" s="110">
        <f t="shared" ref="W121" si="182">SUM(W122:W126)</f>
        <v>1629</v>
      </c>
      <c r="DA121" s="176" t="s">
        <v>535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0</v>
      </c>
      <c r="J122" s="102">
        <v>0</v>
      </c>
      <c r="K122" s="102">
        <v>1</v>
      </c>
      <c r="L122" s="102">
        <v>2</v>
      </c>
      <c r="M122" s="102">
        <v>2</v>
      </c>
      <c r="N122" s="102">
        <v>0</v>
      </c>
      <c r="O122" s="102">
        <v>0</v>
      </c>
      <c r="P122" s="102">
        <v>0</v>
      </c>
      <c r="Q122" s="102">
        <v>0</v>
      </c>
      <c r="R122" s="102">
        <v>1</v>
      </c>
      <c r="S122" s="102">
        <v>0</v>
      </c>
      <c r="T122" s="102">
        <v>0</v>
      </c>
      <c r="U122" s="102">
        <v>1</v>
      </c>
      <c r="V122" s="102">
        <v>0</v>
      </c>
      <c r="W122" s="102">
        <v>0</v>
      </c>
      <c r="DA122" s="175" t="s">
        <v>536</v>
      </c>
    </row>
    <row r="123" spans="1:105" ht="11.45" customHeight="1" x14ac:dyDescent="0.25">
      <c r="A123" s="111" t="s">
        <v>111</v>
      </c>
      <c r="B123" s="102">
        <v>1150</v>
      </c>
      <c r="C123" s="102">
        <v>1209</v>
      </c>
      <c r="D123" s="102">
        <v>1323</v>
      </c>
      <c r="E123" s="102">
        <v>1144</v>
      </c>
      <c r="F123" s="102">
        <v>1163</v>
      </c>
      <c r="G123" s="102">
        <v>1109</v>
      </c>
      <c r="H123" s="102">
        <v>1165</v>
      </c>
      <c r="I123" s="102">
        <v>1348</v>
      </c>
      <c r="J123" s="102">
        <v>1471</v>
      </c>
      <c r="K123" s="102">
        <v>1248</v>
      </c>
      <c r="L123" s="102">
        <v>1286</v>
      </c>
      <c r="M123" s="102">
        <v>981</v>
      </c>
      <c r="N123" s="102">
        <v>1190</v>
      </c>
      <c r="O123" s="102">
        <v>1080</v>
      </c>
      <c r="P123" s="102">
        <v>1402</v>
      </c>
      <c r="Q123" s="102">
        <v>1247</v>
      </c>
      <c r="R123" s="102">
        <v>1069</v>
      </c>
      <c r="S123" s="102">
        <v>1132</v>
      </c>
      <c r="T123" s="102">
        <v>1294</v>
      </c>
      <c r="U123" s="102">
        <v>1526</v>
      </c>
      <c r="V123" s="102">
        <v>1299</v>
      </c>
      <c r="W123" s="102">
        <v>1482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0</v>
      </c>
      <c r="G125" s="102">
        <v>0</v>
      </c>
      <c r="H125" s="102">
        <v>0</v>
      </c>
      <c r="I125" s="102">
        <v>0</v>
      </c>
      <c r="J125" s="102">
        <v>0</v>
      </c>
      <c r="K125" s="102">
        <v>0</v>
      </c>
      <c r="L125" s="102">
        <v>0</v>
      </c>
      <c r="M125" s="102">
        <v>0</v>
      </c>
      <c r="N125" s="102">
        <v>0</v>
      </c>
      <c r="O125" s="102">
        <v>0</v>
      </c>
      <c r="P125" s="102">
        <v>0</v>
      </c>
      <c r="Q125" s="102">
        <v>0</v>
      </c>
      <c r="R125" s="102">
        <v>1</v>
      </c>
      <c r="S125" s="102">
        <v>0</v>
      </c>
      <c r="T125" s="102">
        <v>6</v>
      </c>
      <c r="U125" s="102">
        <v>6</v>
      </c>
      <c r="V125" s="102">
        <v>13</v>
      </c>
      <c r="W125" s="102">
        <v>118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19</v>
      </c>
      <c r="H126" s="102">
        <v>0</v>
      </c>
      <c r="I126" s="102">
        <v>0</v>
      </c>
      <c r="J126" s="102">
        <v>0</v>
      </c>
      <c r="K126" s="102">
        <v>0</v>
      </c>
      <c r="L126" s="102">
        <v>0</v>
      </c>
      <c r="M126" s="102">
        <v>0</v>
      </c>
      <c r="N126" s="102">
        <v>0</v>
      </c>
      <c r="O126" s="102">
        <v>0</v>
      </c>
      <c r="P126" s="102">
        <v>3</v>
      </c>
      <c r="Q126" s="102">
        <v>0</v>
      </c>
      <c r="R126" s="102">
        <v>0</v>
      </c>
      <c r="S126" s="102">
        <v>0</v>
      </c>
      <c r="T126" s="102">
        <v>21</v>
      </c>
      <c r="U126" s="102">
        <v>38</v>
      </c>
      <c r="V126" s="102">
        <v>14</v>
      </c>
      <c r="W126" s="102">
        <v>29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1636</v>
      </c>
      <c r="C127" s="28">
        <f t="shared" si="183"/>
        <v>123136</v>
      </c>
      <c r="D127" s="28">
        <f t="shared" si="183"/>
        <v>38534</v>
      </c>
      <c r="E127" s="28">
        <f t="shared" si="183"/>
        <v>76802</v>
      </c>
      <c r="F127" s="28">
        <f t="shared" si="183"/>
        <v>84563</v>
      </c>
      <c r="G127" s="28">
        <f t="shared" si="183"/>
        <v>77266</v>
      </c>
      <c r="H127" s="28">
        <f t="shared" si="183"/>
        <v>67676</v>
      </c>
      <c r="I127" s="28">
        <f t="shared" si="183"/>
        <v>69729</v>
      </c>
      <c r="J127" s="28">
        <f t="shared" si="183"/>
        <v>82909</v>
      </c>
      <c r="K127" s="28">
        <f t="shared" si="183"/>
        <v>82162</v>
      </c>
      <c r="L127" s="28">
        <f t="shared" ref="L127" si="184">L128+L134</f>
        <v>92055</v>
      </c>
      <c r="M127" s="28">
        <f t="shared" ref="M127:V127" si="185">M128+M134</f>
        <v>105290</v>
      </c>
      <c r="N127" s="28">
        <f t="shared" si="185"/>
        <v>94864</v>
      </c>
      <c r="O127" s="28">
        <f t="shared" si="185"/>
        <v>93604</v>
      </c>
      <c r="P127" s="28">
        <f t="shared" si="185"/>
        <v>91454</v>
      </c>
      <c r="Q127" s="28">
        <f t="shared" si="185"/>
        <v>97900</v>
      </c>
      <c r="R127" s="28">
        <f t="shared" si="185"/>
        <v>74450</v>
      </c>
      <c r="S127" s="28">
        <f t="shared" si="185"/>
        <v>85513</v>
      </c>
      <c r="T127" s="28">
        <f t="shared" si="185"/>
        <v>93650</v>
      </c>
      <c r="U127" s="28">
        <f t="shared" si="185"/>
        <v>97944</v>
      </c>
      <c r="V127" s="28">
        <f t="shared" si="185"/>
        <v>79769</v>
      </c>
      <c r="W127" s="28">
        <f t="shared" ref="W127" si="186">W128+W134</f>
        <v>87548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0</v>
      </c>
      <c r="C128" s="137">
        <f t="shared" si="187"/>
        <v>79843</v>
      </c>
      <c r="D128" s="137">
        <f t="shared" si="187"/>
        <v>34229</v>
      </c>
      <c r="E128" s="137">
        <f t="shared" si="187"/>
        <v>68577</v>
      </c>
      <c r="F128" s="137">
        <f t="shared" si="187"/>
        <v>71515</v>
      </c>
      <c r="G128" s="137">
        <f t="shared" si="187"/>
        <v>66152</v>
      </c>
      <c r="H128" s="137">
        <f t="shared" si="187"/>
        <v>57676</v>
      </c>
      <c r="I128" s="137">
        <f t="shared" si="187"/>
        <v>59041</v>
      </c>
      <c r="J128" s="137">
        <f t="shared" si="187"/>
        <v>66577</v>
      </c>
      <c r="K128" s="137">
        <f t="shared" si="187"/>
        <v>73867</v>
      </c>
      <c r="L128" s="137">
        <f t="shared" ref="L128" si="188">SUM(L129:L133)</f>
        <v>85572</v>
      </c>
      <c r="M128" s="137">
        <f t="shared" ref="M128:V128" si="189">SUM(M129:M133)</f>
        <v>82246</v>
      </c>
      <c r="N128" s="137">
        <f t="shared" si="189"/>
        <v>85552</v>
      </c>
      <c r="O128" s="137">
        <f t="shared" si="189"/>
        <v>87742</v>
      </c>
      <c r="P128" s="137">
        <f t="shared" si="189"/>
        <v>80525</v>
      </c>
      <c r="Q128" s="137">
        <f t="shared" si="189"/>
        <v>76097</v>
      </c>
      <c r="R128" s="137">
        <f t="shared" si="189"/>
        <v>69216</v>
      </c>
      <c r="S128" s="137">
        <f t="shared" si="189"/>
        <v>77312</v>
      </c>
      <c r="T128" s="137">
        <f t="shared" si="189"/>
        <v>78931</v>
      </c>
      <c r="U128" s="137">
        <f t="shared" si="189"/>
        <v>82349</v>
      </c>
      <c r="V128" s="137">
        <f t="shared" si="189"/>
        <v>73084</v>
      </c>
      <c r="W128" s="137">
        <f t="shared" ref="W128" si="190">SUM(W129:W133)</f>
        <v>70443</v>
      </c>
      <c r="DA128" s="174" t="s">
        <v>542</v>
      </c>
    </row>
    <row r="129" spans="1:105" ht="11.45" customHeight="1" x14ac:dyDescent="0.25">
      <c r="A129" s="111" t="s">
        <v>110</v>
      </c>
      <c r="B129" s="84">
        <v>0</v>
      </c>
      <c r="C129" s="84">
        <v>4745</v>
      </c>
      <c r="D129" s="84">
        <v>4698</v>
      </c>
      <c r="E129" s="84">
        <v>4213</v>
      </c>
      <c r="F129" s="84">
        <v>3557</v>
      </c>
      <c r="G129" s="84">
        <v>2503</v>
      </c>
      <c r="H129" s="84">
        <v>684</v>
      </c>
      <c r="I129" s="84">
        <v>871</v>
      </c>
      <c r="J129" s="84">
        <v>4034</v>
      </c>
      <c r="K129" s="84">
        <v>3368</v>
      </c>
      <c r="L129" s="84">
        <v>3906</v>
      </c>
      <c r="M129" s="84">
        <v>2456</v>
      </c>
      <c r="N129" s="84">
        <v>2442</v>
      </c>
      <c r="O129" s="84">
        <v>1682</v>
      </c>
      <c r="P129" s="84">
        <v>1354</v>
      </c>
      <c r="Q129" s="84">
        <v>1820</v>
      </c>
      <c r="R129" s="84">
        <v>3007</v>
      </c>
      <c r="S129" s="84">
        <v>4243</v>
      </c>
      <c r="T129" s="84">
        <v>7024</v>
      </c>
      <c r="U129" s="84">
        <v>5451</v>
      </c>
      <c r="V129" s="84">
        <v>3497</v>
      </c>
      <c r="W129" s="84">
        <v>3550</v>
      </c>
      <c r="DA129" s="171" t="s">
        <v>543</v>
      </c>
    </row>
    <row r="130" spans="1:105" ht="11.45" customHeight="1" x14ac:dyDescent="0.25">
      <c r="A130" s="111" t="s">
        <v>111</v>
      </c>
      <c r="B130" s="84">
        <v>0</v>
      </c>
      <c r="C130" s="84">
        <v>68891</v>
      </c>
      <c r="D130" s="84">
        <v>28089</v>
      </c>
      <c r="E130" s="84">
        <v>63536</v>
      </c>
      <c r="F130" s="84">
        <v>65575</v>
      </c>
      <c r="G130" s="84">
        <v>61821</v>
      </c>
      <c r="H130" s="84">
        <v>54993</v>
      </c>
      <c r="I130" s="84">
        <v>57829</v>
      </c>
      <c r="J130" s="84">
        <v>60414</v>
      </c>
      <c r="K130" s="84">
        <v>68462</v>
      </c>
      <c r="L130" s="84">
        <v>79855</v>
      </c>
      <c r="M130" s="84">
        <v>76184</v>
      </c>
      <c r="N130" s="84">
        <v>80622</v>
      </c>
      <c r="O130" s="84">
        <v>85881</v>
      </c>
      <c r="P130" s="84">
        <v>78867</v>
      </c>
      <c r="Q130" s="84">
        <v>73894</v>
      </c>
      <c r="R130" s="84">
        <v>65614</v>
      </c>
      <c r="S130" s="84">
        <v>72263</v>
      </c>
      <c r="T130" s="84">
        <v>70745</v>
      </c>
      <c r="U130" s="84">
        <v>75198</v>
      </c>
      <c r="V130" s="84">
        <v>67385</v>
      </c>
      <c r="W130" s="84">
        <v>65276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6207</v>
      </c>
      <c r="D131" s="84">
        <v>1442</v>
      </c>
      <c r="E131" s="84">
        <v>828</v>
      </c>
      <c r="F131" s="84">
        <v>2383</v>
      </c>
      <c r="G131" s="84">
        <v>1828</v>
      </c>
      <c r="H131" s="84">
        <v>1999</v>
      </c>
      <c r="I131" s="84">
        <v>341</v>
      </c>
      <c r="J131" s="84">
        <v>2012</v>
      </c>
      <c r="K131" s="84">
        <v>2014</v>
      </c>
      <c r="L131" s="84">
        <v>1792</v>
      </c>
      <c r="M131" s="84">
        <v>3590</v>
      </c>
      <c r="N131" s="84">
        <v>2104</v>
      </c>
      <c r="O131" s="84">
        <v>11</v>
      </c>
      <c r="P131" s="84">
        <v>30</v>
      </c>
      <c r="Q131" s="84">
        <v>12</v>
      </c>
      <c r="R131" s="84">
        <v>4</v>
      </c>
      <c r="S131" s="84">
        <v>5</v>
      </c>
      <c r="T131" s="84">
        <v>9</v>
      </c>
      <c r="U131" s="84">
        <v>6</v>
      </c>
      <c r="V131" s="84">
        <v>767</v>
      </c>
      <c r="W131" s="84">
        <v>251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59</v>
      </c>
      <c r="K132" s="84">
        <v>20</v>
      </c>
      <c r="L132" s="84">
        <v>18</v>
      </c>
      <c r="M132" s="84">
        <v>0</v>
      </c>
      <c r="N132" s="84">
        <v>131</v>
      </c>
      <c r="O132" s="84">
        <v>62</v>
      </c>
      <c r="P132" s="84">
        <v>180</v>
      </c>
      <c r="Q132" s="84">
        <v>302</v>
      </c>
      <c r="R132" s="84">
        <v>418</v>
      </c>
      <c r="S132" s="84">
        <v>619</v>
      </c>
      <c r="T132" s="84">
        <v>894</v>
      </c>
      <c r="U132" s="84">
        <v>1284</v>
      </c>
      <c r="V132" s="84">
        <v>979</v>
      </c>
      <c r="W132" s="84">
        <v>660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58</v>
      </c>
      <c r="K133" s="84">
        <v>3</v>
      </c>
      <c r="L133" s="84">
        <v>1</v>
      </c>
      <c r="M133" s="84">
        <v>16</v>
      </c>
      <c r="N133" s="84">
        <v>253</v>
      </c>
      <c r="O133" s="84">
        <v>106</v>
      </c>
      <c r="P133" s="84">
        <v>94</v>
      </c>
      <c r="Q133" s="84">
        <v>69</v>
      </c>
      <c r="R133" s="84">
        <v>173</v>
      </c>
      <c r="S133" s="84">
        <v>182</v>
      </c>
      <c r="T133" s="84">
        <v>259</v>
      </c>
      <c r="U133" s="84">
        <v>410</v>
      </c>
      <c r="V133" s="84">
        <v>456</v>
      </c>
      <c r="W133" s="84">
        <v>706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1636</v>
      </c>
      <c r="C134" s="110">
        <f t="shared" si="191"/>
        <v>43293</v>
      </c>
      <c r="D134" s="110">
        <f t="shared" si="191"/>
        <v>4305</v>
      </c>
      <c r="E134" s="110">
        <f t="shared" si="191"/>
        <v>8225</v>
      </c>
      <c r="F134" s="110">
        <f t="shared" si="191"/>
        <v>13048</v>
      </c>
      <c r="G134" s="110">
        <f t="shared" si="191"/>
        <v>11114</v>
      </c>
      <c r="H134" s="110">
        <f t="shared" si="191"/>
        <v>10000</v>
      </c>
      <c r="I134" s="110">
        <f t="shared" si="191"/>
        <v>10688</v>
      </c>
      <c r="J134" s="110">
        <f t="shared" si="191"/>
        <v>16332</v>
      </c>
      <c r="K134" s="110">
        <f t="shared" si="191"/>
        <v>8295</v>
      </c>
      <c r="L134" s="110">
        <f t="shared" ref="L134" si="192">SUM(L135:L136)</f>
        <v>6483</v>
      </c>
      <c r="M134" s="110">
        <f t="shared" ref="M134:V134" si="193">SUM(M135:M136)</f>
        <v>23044</v>
      </c>
      <c r="N134" s="110">
        <f t="shared" si="193"/>
        <v>9312</v>
      </c>
      <c r="O134" s="110">
        <f t="shared" si="193"/>
        <v>5862</v>
      </c>
      <c r="P134" s="110">
        <f t="shared" si="193"/>
        <v>10929</v>
      </c>
      <c r="Q134" s="110">
        <f t="shared" si="193"/>
        <v>21803</v>
      </c>
      <c r="R134" s="110">
        <f t="shared" si="193"/>
        <v>5234</v>
      </c>
      <c r="S134" s="110">
        <f t="shared" si="193"/>
        <v>8201</v>
      </c>
      <c r="T134" s="110">
        <f t="shared" si="193"/>
        <v>14719</v>
      </c>
      <c r="U134" s="110">
        <f t="shared" si="193"/>
        <v>15595</v>
      </c>
      <c r="V134" s="110">
        <f t="shared" si="193"/>
        <v>6685</v>
      </c>
      <c r="W134" s="110">
        <f t="shared" ref="W134" si="194">SUM(W135:W136)</f>
        <v>17105</v>
      </c>
      <c r="DA134" s="176" t="s">
        <v>548</v>
      </c>
    </row>
    <row r="135" spans="1:105" ht="11.45" customHeight="1" x14ac:dyDescent="0.25">
      <c r="A135" s="128" t="s">
        <v>27</v>
      </c>
      <c r="B135" s="102">
        <v>0</v>
      </c>
      <c r="C135" s="102">
        <v>41194</v>
      </c>
      <c r="D135" s="102">
        <v>2285</v>
      </c>
      <c r="E135" s="102">
        <v>6524</v>
      </c>
      <c r="F135" s="102">
        <v>8140</v>
      </c>
      <c r="G135" s="102">
        <v>8661</v>
      </c>
      <c r="H135" s="102">
        <v>7580</v>
      </c>
      <c r="I135" s="102">
        <v>7862</v>
      </c>
      <c r="J135" s="102">
        <v>14331</v>
      </c>
      <c r="K135" s="102">
        <v>7504</v>
      </c>
      <c r="L135" s="102">
        <v>4099</v>
      </c>
      <c r="M135" s="102">
        <v>20794</v>
      </c>
      <c r="N135" s="102">
        <v>7184</v>
      </c>
      <c r="O135" s="102">
        <v>2980</v>
      </c>
      <c r="P135" s="102">
        <v>8675</v>
      </c>
      <c r="Q135" s="102">
        <v>19014</v>
      </c>
      <c r="R135" s="102">
        <v>1399</v>
      </c>
      <c r="S135" s="102">
        <v>5593</v>
      </c>
      <c r="T135" s="102">
        <v>13522</v>
      </c>
      <c r="U135" s="102">
        <v>12792</v>
      </c>
      <c r="V135" s="102">
        <v>4155</v>
      </c>
      <c r="W135" s="102">
        <v>14094</v>
      </c>
      <c r="DA135" s="175" t="s">
        <v>549</v>
      </c>
    </row>
    <row r="136" spans="1:105" ht="11.45" customHeight="1" x14ac:dyDescent="0.25">
      <c r="A136" s="138" t="s">
        <v>116</v>
      </c>
      <c r="B136" s="86">
        <v>1636</v>
      </c>
      <c r="C136" s="86">
        <v>2099</v>
      </c>
      <c r="D136" s="86">
        <v>2020</v>
      </c>
      <c r="E136" s="86">
        <v>1701</v>
      </c>
      <c r="F136" s="86">
        <v>4908</v>
      </c>
      <c r="G136" s="86">
        <v>2453</v>
      </c>
      <c r="H136" s="86">
        <v>2420</v>
      </c>
      <c r="I136" s="86">
        <v>2826</v>
      </c>
      <c r="J136" s="86">
        <v>2001</v>
      </c>
      <c r="K136" s="86">
        <v>791</v>
      </c>
      <c r="L136" s="86">
        <v>2384</v>
      </c>
      <c r="M136" s="86">
        <v>2250</v>
      </c>
      <c r="N136" s="86">
        <v>2128</v>
      </c>
      <c r="O136" s="86">
        <v>2882</v>
      </c>
      <c r="P136" s="86">
        <v>2254</v>
      </c>
      <c r="Q136" s="86">
        <v>2789</v>
      </c>
      <c r="R136" s="86">
        <v>3835</v>
      </c>
      <c r="S136" s="86">
        <v>2608</v>
      </c>
      <c r="T136" s="86">
        <v>1197</v>
      </c>
      <c r="U136" s="86">
        <v>2803</v>
      </c>
      <c r="V136" s="86">
        <v>2530</v>
      </c>
      <c r="W136" s="86">
        <v>3011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1.499802467083174</v>
      </c>
      <c r="C141" s="32">
        <f t="shared" si="195"/>
        <v>1.4643703847941993</v>
      </c>
      <c r="D141" s="32">
        <f t="shared" si="195"/>
        <v>1.4949017593288554</v>
      </c>
      <c r="E141" s="32">
        <f t="shared" si="195"/>
        <v>1.4370852758262069</v>
      </c>
      <c r="F141" s="32">
        <f t="shared" si="195"/>
        <v>1.4384839465456296</v>
      </c>
      <c r="G141" s="32">
        <f t="shared" si="195"/>
        <v>1.4900577504482539</v>
      </c>
      <c r="H141" s="32">
        <f t="shared" si="195"/>
        <v>1.4525153678209786</v>
      </c>
      <c r="I141" s="32">
        <f t="shared" si="195"/>
        <v>1.4214036722944761</v>
      </c>
      <c r="J141" s="32">
        <f t="shared" si="195"/>
        <v>1.4121746910171133</v>
      </c>
      <c r="K141" s="32">
        <f t="shared" si="195"/>
        <v>1.4060787712432397</v>
      </c>
      <c r="L141" s="32">
        <f t="shared" ref="L141" si="196">IF(L4=0,0,L4/L31)</f>
        <v>1.4197378282894175</v>
      </c>
      <c r="M141" s="32">
        <f t="shared" ref="M141:V141" si="197">IF(M4=0,0,M4/M31)</f>
        <v>1.4184396632470135</v>
      </c>
      <c r="N141" s="32">
        <f t="shared" si="197"/>
        <v>1.4386076476076706</v>
      </c>
      <c r="O141" s="32">
        <f t="shared" si="197"/>
        <v>1.3863698104845783</v>
      </c>
      <c r="P141" s="32">
        <f t="shared" si="197"/>
        <v>1.364806334487336</v>
      </c>
      <c r="Q141" s="32">
        <f t="shared" si="197"/>
        <v>1.3019780944047228</v>
      </c>
      <c r="R141" s="32">
        <f t="shared" si="197"/>
        <v>1.3048896291814529</v>
      </c>
      <c r="S141" s="32">
        <f t="shared" si="197"/>
        <v>1.3481349382430448</v>
      </c>
      <c r="T141" s="32">
        <f t="shared" si="197"/>
        <v>1.3643268697906561</v>
      </c>
      <c r="U141" s="32">
        <f t="shared" si="197"/>
        <v>1.3793490976870029</v>
      </c>
      <c r="V141" s="32">
        <f t="shared" si="197"/>
        <v>1.329487005442209</v>
      </c>
      <c r="W141" s="32">
        <f t="shared" ref="W141" si="198">IF(W4=0,0,W4/W31)</f>
        <v>1.3404670729611317</v>
      </c>
      <c r="DA141" s="173" t="s">
        <v>551</v>
      </c>
    </row>
    <row r="142" spans="1:105" ht="11.45" customHeight="1" x14ac:dyDescent="0.25">
      <c r="A142" s="136" t="s">
        <v>180</v>
      </c>
      <c r="B142" s="141">
        <v>1.1549472685768514</v>
      </c>
      <c r="C142" s="141">
        <v>1.1549251164250132</v>
      </c>
      <c r="D142" s="141">
        <v>1.1547244330057378</v>
      </c>
      <c r="E142" s="141">
        <v>1.1552093820866822</v>
      </c>
      <c r="F142" s="141">
        <v>1.1553640856511078</v>
      </c>
      <c r="G142" s="141">
        <v>1.1543178727366703</v>
      </c>
      <c r="H142" s="141">
        <v>1.1546398637822315</v>
      </c>
      <c r="I142" s="141">
        <v>1.1564931393319677</v>
      </c>
      <c r="J142" s="141">
        <v>1.157101773793594</v>
      </c>
      <c r="K142" s="141">
        <v>1.1576570562583652</v>
      </c>
      <c r="L142" s="141">
        <v>1.1556682113354202</v>
      </c>
      <c r="M142" s="141">
        <v>1.1546558434345866</v>
      </c>
      <c r="N142" s="141">
        <v>1.1475295413899496</v>
      </c>
      <c r="O142" s="141">
        <v>1.1469392088128179</v>
      </c>
      <c r="P142" s="141">
        <v>1.1494295322312345</v>
      </c>
      <c r="Q142" s="141">
        <v>1.1514161199072459</v>
      </c>
      <c r="R142" s="141">
        <v>1.1525772883460721</v>
      </c>
      <c r="S142" s="141">
        <v>1.1510671034848352</v>
      </c>
      <c r="T142" s="141">
        <v>1.1498975710295918</v>
      </c>
      <c r="U142" s="141">
        <v>1.1509989711569384</v>
      </c>
      <c r="V142" s="141">
        <v>1.1496893123667657</v>
      </c>
      <c r="W142" s="141">
        <v>1.1498512435663735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1.3446704890267727</v>
      </c>
      <c r="C143" s="130">
        <f t="shared" si="199"/>
        <v>1.3080931751700571</v>
      </c>
      <c r="D143" s="130">
        <f t="shared" si="199"/>
        <v>1.3252113713777218</v>
      </c>
      <c r="E143" s="130">
        <f t="shared" si="199"/>
        <v>1.2532676382450476</v>
      </c>
      <c r="F143" s="130">
        <f t="shared" si="199"/>
        <v>1.24851415554603</v>
      </c>
      <c r="G143" s="130">
        <f t="shared" si="199"/>
        <v>1.289874693686039</v>
      </c>
      <c r="H143" s="130">
        <f t="shared" si="199"/>
        <v>1.2502645139391915</v>
      </c>
      <c r="I143" s="130">
        <f t="shared" si="199"/>
        <v>1.219424537421318</v>
      </c>
      <c r="J143" s="130">
        <f t="shared" si="199"/>
        <v>1.2278430971616114</v>
      </c>
      <c r="K143" s="130">
        <f t="shared" si="199"/>
        <v>1.2222220815325877</v>
      </c>
      <c r="L143" s="130">
        <f t="shared" ref="L143" si="200">IF(L6=0,0,L6/L33)</f>
        <v>1.2386145328787557</v>
      </c>
      <c r="M143" s="130">
        <f t="shared" ref="M143:V143" si="201">IF(M6=0,0,M6/M33)</f>
        <v>1.2352451863407616</v>
      </c>
      <c r="N143" s="130">
        <f t="shared" si="201"/>
        <v>1.2509175160163777</v>
      </c>
      <c r="O143" s="130">
        <f t="shared" si="201"/>
        <v>1.2181801202217744</v>
      </c>
      <c r="P143" s="130">
        <f t="shared" si="201"/>
        <v>1.2064548215890989</v>
      </c>
      <c r="Q143" s="130">
        <f t="shared" si="201"/>
        <v>1.1581069211723629</v>
      </c>
      <c r="R143" s="130">
        <f t="shared" si="201"/>
        <v>1.1669380712728792</v>
      </c>
      <c r="S143" s="130">
        <f t="shared" si="201"/>
        <v>1.2096371843392673</v>
      </c>
      <c r="T143" s="130">
        <f t="shared" si="201"/>
        <v>1.2233277634176478</v>
      </c>
      <c r="U143" s="130">
        <f t="shared" si="201"/>
        <v>1.2359461596945556</v>
      </c>
      <c r="V143" s="130">
        <f t="shared" si="201"/>
        <v>1.2250825234168583</v>
      </c>
      <c r="W143" s="130">
        <f t="shared" ref="W143" si="202">IF(W6=0,0,W6/W33)</f>
        <v>1.2361921108995564</v>
      </c>
      <c r="DA143" s="176" t="s">
        <v>553</v>
      </c>
    </row>
    <row r="144" spans="1:105" ht="11.45" customHeight="1" x14ac:dyDescent="0.25">
      <c r="A144" s="111" t="s">
        <v>110</v>
      </c>
      <c r="B144" s="96">
        <v>1.3118924654354589</v>
      </c>
      <c r="C144" s="96">
        <v>1.2749010930893676</v>
      </c>
      <c r="D144" s="96">
        <v>1.2904393601617461</v>
      </c>
      <c r="E144" s="96">
        <v>1.2198384012826651</v>
      </c>
      <c r="F144" s="96">
        <v>1.2128825634661342</v>
      </c>
      <c r="G144" s="96">
        <v>1.2522393220811407</v>
      </c>
      <c r="H144" s="96">
        <v>1.2119743443660735</v>
      </c>
      <c r="I144" s="96">
        <v>1.1805419443443999</v>
      </c>
      <c r="J144" s="96">
        <v>1.1871704959302931</v>
      </c>
      <c r="K144" s="96">
        <v>1.1811184439857021</v>
      </c>
      <c r="L144" s="96">
        <v>1.1960350242186661</v>
      </c>
      <c r="M144" s="96">
        <v>1.1924606316512258</v>
      </c>
      <c r="N144" s="96">
        <v>1.2075685492410664</v>
      </c>
      <c r="O144" s="96">
        <v>1.1763335613793748</v>
      </c>
      <c r="P144" s="96">
        <v>1.1655106473724295</v>
      </c>
      <c r="Q144" s="96">
        <v>1.1194818647987033</v>
      </c>
      <c r="R144" s="96">
        <v>1.1291741825051866</v>
      </c>
      <c r="S144" s="96">
        <v>1.1718461535517182</v>
      </c>
      <c r="T144" s="96">
        <v>1.1875823771300091</v>
      </c>
      <c r="U144" s="96">
        <v>1.2026507686389021</v>
      </c>
      <c r="V144" s="96">
        <v>1.1930836715906739</v>
      </c>
      <c r="W144" s="96">
        <v>1.2073203115623716</v>
      </c>
      <c r="DA144" s="171" t="s">
        <v>554</v>
      </c>
    </row>
    <row r="145" spans="1:105" ht="11.45" customHeight="1" x14ac:dyDescent="0.25">
      <c r="A145" s="111" t="s">
        <v>111</v>
      </c>
      <c r="B145" s="96">
        <v>1.3714617459982603</v>
      </c>
      <c r="C145" s="96">
        <v>1.332790701349946</v>
      </c>
      <c r="D145" s="96">
        <v>1.3490345166399424</v>
      </c>
      <c r="E145" s="96">
        <v>1.275227770367247</v>
      </c>
      <c r="F145" s="96">
        <v>1.2679560878718581</v>
      </c>
      <c r="G145" s="96">
        <v>1.3090999242068369</v>
      </c>
      <c r="H145" s="96">
        <v>1.2670066291429332</v>
      </c>
      <c r="I145" s="96">
        <v>1.23414697383549</v>
      </c>
      <c r="J145" s="96">
        <v>1.2410765089696152</v>
      </c>
      <c r="K145" s="96">
        <v>1.2347496506748346</v>
      </c>
      <c r="L145" s="96">
        <v>1.2503435501060909</v>
      </c>
      <c r="M145" s="96">
        <v>1.2466068546065878</v>
      </c>
      <c r="N145" s="96">
        <v>1.2624007794762475</v>
      </c>
      <c r="O145" s="96">
        <v>1.2297475002497291</v>
      </c>
      <c r="P145" s="96">
        <v>1.2184331487065734</v>
      </c>
      <c r="Q145" s="96">
        <v>1.1703143309086652</v>
      </c>
      <c r="R145" s="96">
        <v>1.1804467490105495</v>
      </c>
      <c r="S145" s="96">
        <v>1.2250563320812453</v>
      </c>
      <c r="T145" s="96">
        <v>1.241507092515286</v>
      </c>
      <c r="U145" s="96">
        <v>1.2572596965378362</v>
      </c>
      <c r="V145" s="96">
        <v>1.2472581850057591</v>
      </c>
      <c r="W145" s="96">
        <v>1.2621412700353332</v>
      </c>
      <c r="DA145" s="171" t="s">
        <v>555</v>
      </c>
    </row>
    <row r="146" spans="1:105" ht="11.45" customHeight="1" x14ac:dyDescent="0.25">
      <c r="A146" s="111" t="s">
        <v>112</v>
      </c>
      <c r="B146" s="96">
        <v>1.3043303743559695</v>
      </c>
      <c r="C146" s="96">
        <v>1.2688503799149553</v>
      </c>
      <c r="D146" s="96">
        <v>1.2854550302363903</v>
      </c>
      <c r="E146" s="96">
        <v>1.2156696090976962</v>
      </c>
      <c r="F146" s="96">
        <v>1.2110587308796488</v>
      </c>
      <c r="G146" s="96">
        <v>1.2511784528754579</v>
      </c>
      <c r="H146" s="96">
        <v>1.2127565785210157</v>
      </c>
      <c r="I146" s="96">
        <v>1.1828418012986781</v>
      </c>
      <c r="J146" s="96">
        <v>1.1910078042467631</v>
      </c>
      <c r="K146" s="96">
        <v>1.18555541908661</v>
      </c>
      <c r="L146" s="96">
        <v>1.2014560968923926</v>
      </c>
      <c r="M146" s="96">
        <v>1.1981878307505389</v>
      </c>
      <c r="N146" s="96">
        <v>1.2133899905358865</v>
      </c>
      <c r="O146" s="96">
        <v>1.1816347166151211</v>
      </c>
      <c r="P146" s="96">
        <v>1.170261176941426</v>
      </c>
      <c r="Q146" s="96">
        <v>1.1233637135371919</v>
      </c>
      <c r="R146" s="96">
        <v>1.1319299291346927</v>
      </c>
      <c r="S146" s="96">
        <v>1.1733480688090892</v>
      </c>
      <c r="T146" s="96">
        <v>1.1866279305151184</v>
      </c>
      <c r="U146" s="96">
        <v>1.1988677749037189</v>
      </c>
      <c r="V146" s="96">
        <v>1.1883300477143524</v>
      </c>
      <c r="W146" s="96">
        <v>1.1991063475725696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1.2110587308796488</v>
      </c>
      <c r="G147" s="96">
        <v>1.2511784528754579</v>
      </c>
      <c r="H147" s="96">
        <v>1.2127565785210157</v>
      </c>
      <c r="I147" s="96">
        <v>1.1828418012986781</v>
      </c>
      <c r="J147" s="96">
        <v>1.1910078042467631</v>
      </c>
      <c r="K147" s="96">
        <v>1.18555541908661</v>
      </c>
      <c r="L147" s="96">
        <v>1.2014560968923929</v>
      </c>
      <c r="M147" s="96">
        <v>1.1981878307505389</v>
      </c>
      <c r="N147" s="96">
        <v>1.2133899905358865</v>
      </c>
      <c r="O147" s="96">
        <v>1.1816347166151211</v>
      </c>
      <c r="P147" s="96">
        <v>1.170261176941426</v>
      </c>
      <c r="Q147" s="96">
        <v>1.1233637135371919</v>
      </c>
      <c r="R147" s="96">
        <v>1.1319299291346927</v>
      </c>
      <c r="S147" s="96">
        <v>1.1733480688090892</v>
      </c>
      <c r="T147" s="96">
        <v>1.1866279305151184</v>
      </c>
      <c r="U147" s="96">
        <v>1.1988677749037189</v>
      </c>
      <c r="V147" s="96">
        <v>1.1883300477143524</v>
      </c>
      <c r="W147" s="96">
        <v>1.1991063475725696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1.1981878307505389</v>
      </c>
      <c r="N148" s="96">
        <v>1.2133899905358865</v>
      </c>
      <c r="O148" s="96">
        <v>1.1816347166151211</v>
      </c>
      <c r="P148" s="96">
        <v>1.170261176941426</v>
      </c>
      <c r="Q148" s="96">
        <v>1.1233637135371919</v>
      </c>
      <c r="R148" s="96">
        <v>1.1319299291346927</v>
      </c>
      <c r="S148" s="96">
        <v>1.1733480688090892</v>
      </c>
      <c r="T148" s="96">
        <v>1.1866279305151184</v>
      </c>
      <c r="U148" s="96">
        <v>1.1988677749037189</v>
      </c>
      <c r="V148" s="96">
        <v>1.1883300477143524</v>
      </c>
      <c r="W148" s="96">
        <v>1.1991063475725696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1.1050587874454503</v>
      </c>
      <c r="K149" s="96">
        <v>1.099999873379329</v>
      </c>
      <c r="L149" s="96">
        <v>1.11475307959088</v>
      </c>
      <c r="M149" s="96">
        <v>1.1117206677066858</v>
      </c>
      <c r="N149" s="96">
        <v>1.1258257644147402</v>
      </c>
      <c r="O149" s="96">
        <v>1.0963621081995969</v>
      </c>
      <c r="P149" s="96">
        <v>1.0858093394301891</v>
      </c>
      <c r="Q149" s="96">
        <v>1.0422962290551265</v>
      </c>
      <c r="R149" s="96">
        <v>1.0502442641455914</v>
      </c>
      <c r="S149" s="96">
        <v>1.0886734659053405</v>
      </c>
      <c r="T149" s="96">
        <v>1.1009949870758831</v>
      </c>
      <c r="U149" s="96">
        <v>1.1123515437251001</v>
      </c>
      <c r="V149" s="96">
        <v>1.1025742710751723</v>
      </c>
      <c r="W149" s="96">
        <v>1.1125728998096007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20.084302732571452</v>
      </c>
      <c r="C150" s="130">
        <f t="shared" si="203"/>
        <v>20.575131760252372</v>
      </c>
      <c r="D150" s="130">
        <f t="shared" si="203"/>
        <v>21.99915268947673</v>
      </c>
      <c r="E150" s="130">
        <f t="shared" si="203"/>
        <v>23.631725107001206</v>
      </c>
      <c r="F150" s="130">
        <f t="shared" si="203"/>
        <v>24.48799428191171</v>
      </c>
      <c r="G150" s="130">
        <f t="shared" si="203"/>
        <v>25.285616935204658</v>
      </c>
      <c r="H150" s="130">
        <f t="shared" si="203"/>
        <v>26.602315410434869</v>
      </c>
      <c r="I150" s="130">
        <f t="shared" si="203"/>
        <v>27.690053876336695</v>
      </c>
      <c r="J150" s="130">
        <f t="shared" si="203"/>
        <v>25.535946731476564</v>
      </c>
      <c r="K150" s="130">
        <f t="shared" si="203"/>
        <v>25.831383746530367</v>
      </c>
      <c r="L150" s="130">
        <f t="shared" ref="L150" si="204">IF(L13=0,0,L13/L40)</f>
        <v>25.571154681572924</v>
      </c>
      <c r="M150" s="130">
        <f t="shared" ref="M150:V150" si="205">IF(M13=0,0,M13/M40)</f>
        <v>26.604679677008932</v>
      </c>
      <c r="N150" s="130">
        <f t="shared" si="205"/>
        <v>27.494234846608759</v>
      </c>
      <c r="O150" s="130">
        <f t="shared" si="205"/>
        <v>24.907424960505537</v>
      </c>
      <c r="P150" s="130">
        <f t="shared" si="205"/>
        <v>23.846130030959756</v>
      </c>
      <c r="Q150" s="130">
        <f t="shared" si="205"/>
        <v>21.822154779969651</v>
      </c>
      <c r="R150" s="130">
        <f t="shared" si="205"/>
        <v>22.128013029315962</v>
      </c>
      <c r="S150" s="130">
        <f t="shared" si="205"/>
        <v>21.763260200108334</v>
      </c>
      <c r="T150" s="130">
        <f t="shared" si="205"/>
        <v>21.760675177919843</v>
      </c>
      <c r="U150" s="130">
        <f t="shared" si="205"/>
        <v>21.758130394408266</v>
      </c>
      <c r="V150" s="130">
        <f t="shared" si="205"/>
        <v>14.170125151581564</v>
      </c>
      <c r="W150" s="130">
        <f t="shared" ref="W150" si="206">IF(W13=0,0,W13/W40)</f>
        <v>14.808113364073485</v>
      </c>
      <c r="DA150" s="176" t="s">
        <v>560</v>
      </c>
    </row>
    <row r="151" spans="1:105" ht="11.45" customHeight="1" x14ac:dyDescent="0.25">
      <c r="A151" s="111" t="s">
        <v>110</v>
      </c>
      <c r="B151" s="97">
        <v>7.7247318202197892</v>
      </c>
      <c r="C151" s="97">
        <v>7.9135122154816822</v>
      </c>
      <c r="D151" s="97">
        <v>8.4612125728756666</v>
      </c>
      <c r="E151" s="97">
        <v>9.089125041154313</v>
      </c>
      <c r="F151" s="97">
        <v>9.4184593391968114</v>
      </c>
      <c r="G151" s="97">
        <v>9.7252372827710207</v>
      </c>
      <c r="H151" s="97">
        <v>10.23165977324418</v>
      </c>
      <c r="I151" s="97">
        <v>10.650020721667962</v>
      </c>
      <c r="J151" s="97">
        <v>9.8215179736448324</v>
      </c>
      <c r="K151" s="97">
        <v>9.935147594819373</v>
      </c>
      <c r="L151" s="97">
        <v>9.8350594929126629</v>
      </c>
      <c r="M151" s="97">
        <v>10.232569106541895</v>
      </c>
      <c r="N151" s="97">
        <v>10.574705710234138</v>
      </c>
      <c r="O151" s="97">
        <v>9.5797788309636651</v>
      </c>
      <c r="P151" s="97">
        <v>9.1715884734460591</v>
      </c>
      <c r="Q151" s="97">
        <v>8.3931364538344813</v>
      </c>
      <c r="R151" s="97">
        <v>8.5107742420446009</v>
      </c>
      <c r="S151" s="97">
        <v>8.3704846923493612</v>
      </c>
      <c r="T151" s="97">
        <v>8.3694904530460938</v>
      </c>
      <c r="U151" s="97">
        <v>8.3685116901570265</v>
      </c>
      <c r="V151" s="97">
        <v>6.5450048135223682</v>
      </c>
      <c r="W151" s="97">
        <v>6.5695428216951344</v>
      </c>
      <c r="DA151" s="175" t="s">
        <v>561</v>
      </c>
    </row>
    <row r="152" spans="1:105" ht="11.45" customHeight="1" x14ac:dyDescent="0.25">
      <c r="A152" s="111" t="s">
        <v>111</v>
      </c>
      <c r="B152" s="97">
        <v>20.252032845315743</v>
      </c>
      <c r="C152" s="97">
        <v>20.743627672227831</v>
      </c>
      <c r="D152" s="97">
        <v>22.163263748160098</v>
      </c>
      <c r="E152" s="97">
        <v>23.80544713204814</v>
      </c>
      <c r="F152" s="97">
        <v>24.663610117281298</v>
      </c>
      <c r="G152" s="97">
        <v>25.466909795082145</v>
      </c>
      <c r="H152" s="97">
        <v>26.778554338479548</v>
      </c>
      <c r="I152" s="97">
        <v>27.8646727923871</v>
      </c>
      <c r="J152" s="97">
        <v>25.682323694458002</v>
      </c>
      <c r="K152" s="97">
        <v>25.968520870565197</v>
      </c>
      <c r="L152" s="97">
        <v>25.694711559122773</v>
      </c>
      <c r="M152" s="97">
        <v>26.730910573780893</v>
      </c>
      <c r="N152" s="97">
        <v>27.621852696362936</v>
      </c>
      <c r="O152" s="97">
        <v>25.017886090623133</v>
      </c>
      <c r="P152" s="97">
        <v>23.947321443422705</v>
      </c>
      <c r="Q152" s="97">
        <v>21.910159904787399</v>
      </c>
      <c r="R152" s="97">
        <v>22.21722394703724</v>
      </c>
      <c r="S152" s="97">
        <v>21.848874753551527</v>
      </c>
      <c r="T152" s="97">
        <v>21.84387912882443</v>
      </c>
      <c r="U152" s="97">
        <v>21.839542946122311</v>
      </c>
      <c r="V152" s="97">
        <v>14.215810838546039</v>
      </c>
      <c r="W152" s="97">
        <v>14.855743719108753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563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0</v>
      </c>
      <c r="G154" s="97">
        <v>0</v>
      </c>
      <c r="H154" s="97">
        <v>0</v>
      </c>
      <c r="I154" s="97">
        <v>0</v>
      </c>
      <c r="J154" s="97">
        <v>0</v>
      </c>
      <c r="K154" s="97">
        <v>0</v>
      </c>
      <c r="L154" s="97">
        <v>0</v>
      </c>
      <c r="M154" s="97">
        <v>0</v>
      </c>
      <c r="N154" s="97">
        <v>0</v>
      </c>
      <c r="O154" s="97">
        <v>0</v>
      </c>
      <c r="P154" s="97">
        <v>0</v>
      </c>
      <c r="Q154" s="97">
        <v>0</v>
      </c>
      <c r="R154" s="97">
        <v>22.21722394703724</v>
      </c>
      <c r="S154" s="97">
        <v>21.848874753551531</v>
      </c>
      <c r="T154" s="97">
        <v>21.843879128824426</v>
      </c>
      <c r="U154" s="97">
        <v>21.839542946122311</v>
      </c>
      <c r="V154" s="97">
        <v>14.215810838546039</v>
      </c>
      <c r="W154" s="97">
        <v>14.855743719108753</v>
      </c>
      <c r="DA154" s="175" t="s">
        <v>564</v>
      </c>
    </row>
    <row r="155" spans="1:105" ht="11.45" customHeight="1" x14ac:dyDescent="0.25">
      <c r="A155" s="111" t="s">
        <v>115</v>
      </c>
      <c r="B155" s="97">
        <v>20.252032845315743</v>
      </c>
      <c r="C155" s="97">
        <v>20.743627672227831</v>
      </c>
      <c r="D155" s="97">
        <v>22.163263748160098</v>
      </c>
      <c r="E155" s="97">
        <v>23.805447132048148</v>
      </c>
      <c r="F155" s="97">
        <v>24.663610117281298</v>
      </c>
      <c r="G155" s="97">
        <v>25.466909795082142</v>
      </c>
      <c r="H155" s="97">
        <v>26.778554338479548</v>
      </c>
      <c r="I155" s="97">
        <v>27.864672792387108</v>
      </c>
      <c r="J155" s="97">
        <v>25.682323694458002</v>
      </c>
      <c r="K155" s="97">
        <v>25.968520870565197</v>
      </c>
      <c r="L155" s="97">
        <v>25.694711559122773</v>
      </c>
      <c r="M155" s="97">
        <v>26.730910573780889</v>
      </c>
      <c r="N155" s="97">
        <v>27.621852696362932</v>
      </c>
      <c r="O155" s="97">
        <v>25.017886090623129</v>
      </c>
      <c r="P155" s="97">
        <v>23.947321443422705</v>
      </c>
      <c r="Q155" s="97">
        <v>21.910159904787402</v>
      </c>
      <c r="R155" s="97">
        <v>22.21722394703724</v>
      </c>
      <c r="S155" s="97">
        <v>21.848874753551531</v>
      </c>
      <c r="T155" s="97">
        <v>21.843879128824426</v>
      </c>
      <c r="U155" s="97">
        <v>21.839542946122311</v>
      </c>
      <c r="V155" s="97">
        <v>14.215810838546039</v>
      </c>
      <c r="W155" s="97">
        <v>14.855743719108753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3.6725748795610502</v>
      </c>
      <c r="C156" s="32">
        <f t="shared" si="207"/>
        <v>3.6055373542852678</v>
      </c>
      <c r="D156" s="32">
        <f t="shared" si="207"/>
        <v>3.4955424112439113</v>
      </c>
      <c r="E156" s="32">
        <f t="shared" si="207"/>
        <v>3.371450660641615</v>
      </c>
      <c r="F156" s="32">
        <f t="shared" si="207"/>
        <v>3.2852323593229387</v>
      </c>
      <c r="G156" s="32">
        <f t="shared" si="207"/>
        <v>3.24975922608213</v>
      </c>
      <c r="H156" s="32">
        <f t="shared" si="207"/>
        <v>3.2228797196506851</v>
      </c>
      <c r="I156" s="32">
        <f t="shared" si="207"/>
        <v>3.1460172551036609</v>
      </c>
      <c r="J156" s="32">
        <f t="shared" si="207"/>
        <v>3.0327865694030014</v>
      </c>
      <c r="K156" s="32">
        <f t="shared" si="207"/>
        <v>2.8911953441451899</v>
      </c>
      <c r="L156" s="32">
        <f t="shared" ref="L156" si="208">IF(L19=0,0,L19/L46)</f>
        <v>2.9560694986922202</v>
      </c>
      <c r="M156" s="32">
        <f t="shared" ref="M156:V156" si="209">IF(M19=0,0,M19/M46)</f>
        <v>2.9688267516794804</v>
      </c>
      <c r="N156" s="32">
        <f t="shared" si="209"/>
        <v>3.0229878136182635</v>
      </c>
      <c r="O156" s="32">
        <f t="shared" si="209"/>
        <v>3.2303367463336907</v>
      </c>
      <c r="P156" s="32">
        <f t="shared" si="209"/>
        <v>3.1452877939403217</v>
      </c>
      <c r="Q156" s="32">
        <f t="shared" si="209"/>
        <v>3.0904104847125069</v>
      </c>
      <c r="R156" s="32">
        <f t="shared" si="209"/>
        <v>3.3092579121599415</v>
      </c>
      <c r="S156" s="32">
        <f t="shared" si="209"/>
        <v>3.4648169167124565</v>
      </c>
      <c r="T156" s="32">
        <f t="shared" si="209"/>
        <v>3.4500966588515363</v>
      </c>
      <c r="U156" s="32">
        <f t="shared" si="209"/>
        <v>3.4689168554390415</v>
      </c>
      <c r="V156" s="32">
        <f t="shared" si="209"/>
        <v>3.625902795622693</v>
      </c>
      <c r="W156" s="32">
        <f t="shared" ref="W156" si="210">IF(W19=0,0,W19/W46)</f>
        <v>3.3705087467056325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8.9211626173228517E-2</v>
      </c>
      <c r="C157" s="141">
        <f t="shared" si="211"/>
        <v>8.8943437754019833E-2</v>
      </c>
      <c r="D157" s="141">
        <f t="shared" si="211"/>
        <v>8.6918979551512968E-2</v>
      </c>
      <c r="E157" s="141">
        <f t="shared" si="211"/>
        <v>8.6905662869877234E-2</v>
      </c>
      <c r="F157" s="141">
        <f t="shared" si="211"/>
        <v>8.6088116026931588E-2</v>
      </c>
      <c r="G157" s="141">
        <f t="shared" si="211"/>
        <v>8.6196172892529233E-2</v>
      </c>
      <c r="H157" s="141">
        <f t="shared" si="211"/>
        <v>8.6194302847191012E-2</v>
      </c>
      <c r="I157" s="141">
        <f t="shared" si="211"/>
        <v>8.5853560512610685E-2</v>
      </c>
      <c r="J157" s="141">
        <f t="shared" si="211"/>
        <v>8.598180362749247E-2</v>
      </c>
      <c r="K157" s="141">
        <f t="shared" si="211"/>
        <v>8.6510019636699839E-2</v>
      </c>
      <c r="L157" s="141">
        <f t="shared" ref="L157" si="212">IF(L20=0,0,L20/L47)</f>
        <v>8.7133734483687525E-2</v>
      </c>
      <c r="M157" s="141">
        <f t="shared" ref="M157:V157" si="213">IF(M20=0,0,M20/M47)</f>
        <v>8.7758758417528754E-2</v>
      </c>
      <c r="N157" s="141">
        <f t="shared" si="213"/>
        <v>8.8540778197690406E-2</v>
      </c>
      <c r="O157" s="141">
        <f t="shared" si="213"/>
        <v>9.0134603011583131E-2</v>
      </c>
      <c r="P157" s="141">
        <f t="shared" si="213"/>
        <v>8.9966762355940491E-2</v>
      </c>
      <c r="Q157" s="141">
        <f t="shared" si="213"/>
        <v>8.9234119900296199E-2</v>
      </c>
      <c r="R157" s="141">
        <f t="shared" si="213"/>
        <v>9.1316776556436371E-2</v>
      </c>
      <c r="S157" s="141">
        <f t="shared" si="213"/>
        <v>9.3344765024642506E-2</v>
      </c>
      <c r="T157" s="141">
        <f t="shared" si="213"/>
        <v>9.405572177826732E-2</v>
      </c>
      <c r="U157" s="141">
        <f t="shared" si="213"/>
        <v>9.4405569951275206E-2</v>
      </c>
      <c r="V157" s="141">
        <f t="shared" si="213"/>
        <v>9.6348428171504089E-2</v>
      </c>
      <c r="W157" s="141">
        <f t="shared" ref="W157" si="214">IF(W20=0,0,W20/W47)</f>
        <v>9.4204370121105815E-2</v>
      </c>
      <c r="DA157" s="174" t="s">
        <v>567</v>
      </c>
    </row>
    <row r="158" spans="1:105" ht="11.45" customHeight="1" x14ac:dyDescent="0.25">
      <c r="A158" s="111" t="s">
        <v>110</v>
      </c>
      <c r="B158" s="96">
        <v>7.2450781951031926E-2</v>
      </c>
      <c r="C158" s="96">
        <v>7.2247959491711422E-2</v>
      </c>
      <c r="D158" s="96">
        <v>7.1215955947459317E-2</v>
      </c>
      <c r="E158" s="96">
        <v>7.169624287507588E-2</v>
      </c>
      <c r="F158" s="96">
        <v>7.1516161999532549E-2</v>
      </c>
      <c r="G158" s="96">
        <v>7.0762130605168339E-2</v>
      </c>
      <c r="H158" s="96">
        <v>6.9915353843370262E-2</v>
      </c>
      <c r="I158" s="96">
        <v>7.009978723854117E-2</v>
      </c>
      <c r="J158" s="96">
        <v>7.0807182637439958E-2</v>
      </c>
      <c r="K158" s="96">
        <v>7.1093116072390078E-2</v>
      </c>
      <c r="L158" s="96">
        <v>7.1184979658404104E-2</v>
      </c>
      <c r="M158" s="96">
        <v>7.0942484542266607E-2</v>
      </c>
      <c r="N158" s="96">
        <v>7.0826736838537005E-2</v>
      </c>
      <c r="O158" s="96">
        <v>7.133390354443557E-2</v>
      </c>
      <c r="P158" s="96">
        <v>7.148919527068355E-2</v>
      </c>
      <c r="Q158" s="96">
        <v>7.1482802013422816E-2</v>
      </c>
      <c r="R158" s="96">
        <v>7.1016200593357462E-2</v>
      </c>
      <c r="S158" s="96">
        <v>7.0695853550436213E-2</v>
      </c>
      <c r="T158" s="96">
        <v>7.1035948714606875E-2</v>
      </c>
      <c r="U158" s="96">
        <v>7.0989775815339773E-2</v>
      </c>
      <c r="V158" s="96">
        <v>7.2626413006504215E-2</v>
      </c>
      <c r="W158" s="96">
        <v>7.1195316893432614E-2</v>
      </c>
      <c r="DA158" s="171" t="s">
        <v>568</v>
      </c>
    </row>
    <row r="159" spans="1:105" ht="11.45" customHeight="1" x14ac:dyDescent="0.25">
      <c r="A159" s="111" t="s">
        <v>111</v>
      </c>
      <c r="B159" s="96">
        <v>9.0960483838620793E-2</v>
      </c>
      <c r="C159" s="96">
        <v>9.0628897785774626E-2</v>
      </c>
      <c r="D159" s="96">
        <v>8.8520463362347673E-2</v>
      </c>
      <c r="E159" s="96">
        <v>8.8314269909834694E-2</v>
      </c>
      <c r="F159" s="96">
        <v>8.7319450114214242E-2</v>
      </c>
      <c r="G159" s="96">
        <v>8.7422192458247894E-2</v>
      </c>
      <c r="H159" s="96">
        <v>8.7392085213196219E-2</v>
      </c>
      <c r="I159" s="96">
        <v>8.6849816797827301E-2</v>
      </c>
      <c r="J159" s="96">
        <v>8.6875641761754246E-2</v>
      </c>
      <c r="K159" s="96">
        <v>8.7348728301214262E-2</v>
      </c>
      <c r="L159" s="96">
        <v>8.7940122766857198E-2</v>
      </c>
      <c r="M159" s="96">
        <v>8.8571079935150426E-2</v>
      </c>
      <c r="N159" s="96">
        <v>8.935849003762153E-2</v>
      </c>
      <c r="O159" s="96">
        <v>9.0928760101132711E-2</v>
      </c>
      <c r="P159" s="96">
        <v>9.0661950224540738E-2</v>
      </c>
      <c r="Q159" s="96">
        <v>8.9802624956943591E-2</v>
      </c>
      <c r="R159" s="96">
        <v>9.2009835679087992E-2</v>
      </c>
      <c r="S159" s="96">
        <v>9.4242692513050355E-2</v>
      </c>
      <c r="T159" s="96">
        <v>9.5113586116240267E-2</v>
      </c>
      <c r="U159" s="96">
        <v>9.5590158578655618E-2</v>
      </c>
      <c r="V159" s="96">
        <v>9.7561208706712046E-2</v>
      </c>
      <c r="W159" s="96">
        <v>9.5369264389194103E-2</v>
      </c>
      <c r="DA159" s="171" t="s">
        <v>569</v>
      </c>
    </row>
    <row r="160" spans="1:105" ht="11.45" customHeight="1" x14ac:dyDescent="0.25">
      <c r="A160" s="111" t="s">
        <v>112</v>
      </c>
      <c r="B160" s="96">
        <v>7.4125513251044897E-2</v>
      </c>
      <c r="C160" s="96">
        <v>7.3763889074189695E-2</v>
      </c>
      <c r="D160" s="96">
        <v>7.1932024733769681E-2</v>
      </c>
      <c r="E160" s="96">
        <v>7.1642070832150517E-2</v>
      </c>
      <c r="F160" s="96">
        <v>7.0697277343354042E-2</v>
      </c>
      <c r="G160" s="96">
        <v>7.060237087357768E-2</v>
      </c>
      <c r="H160" s="96">
        <v>7.0406189378985629E-2</v>
      </c>
      <c r="I160" s="96">
        <v>6.9836382610497558E-2</v>
      </c>
      <c r="J160" s="96">
        <v>6.9786128639233447E-2</v>
      </c>
      <c r="K160" s="96">
        <v>7.0071551071060237E-2</v>
      </c>
      <c r="L160" s="96">
        <v>7.0445752893761399E-2</v>
      </c>
      <c r="M160" s="96">
        <v>7.0858628006302909E-2</v>
      </c>
      <c r="N160" s="96">
        <v>7.1400865007368419E-2</v>
      </c>
      <c r="O160" s="96">
        <v>7.2580862582870831E-2</v>
      </c>
      <c r="P160" s="96">
        <v>7.2262611427097084E-2</v>
      </c>
      <c r="Q160" s="96">
        <v>7.1482802013422816E-2</v>
      </c>
      <c r="R160" s="96">
        <v>7.1784499588723696E-2</v>
      </c>
      <c r="S160" s="96">
        <v>7.2233794558864903E-2</v>
      </c>
      <c r="T160" s="96">
        <v>7.3019476655376336E-2</v>
      </c>
      <c r="U160" s="96">
        <v>7.3474118099393013E-2</v>
      </c>
      <c r="V160" s="96">
        <v>7.5173718388160504E-2</v>
      </c>
      <c r="W160" s="96">
        <v>7.3487687513408215E-2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7.0395443373287445E-2</v>
      </c>
      <c r="K161" s="96">
        <v>7.0300826648593731E-2</v>
      </c>
      <c r="L161" s="96">
        <v>7.0445752893761399E-2</v>
      </c>
      <c r="M161" s="96">
        <v>7.0858628006302909E-2</v>
      </c>
      <c r="N161" s="96">
        <v>7.1400865007368419E-2</v>
      </c>
      <c r="O161" s="96">
        <v>7.2580862582870831E-2</v>
      </c>
      <c r="P161" s="96">
        <v>7.2262611427097084E-2</v>
      </c>
      <c r="Q161" s="96">
        <v>7.1482802013422816E-2</v>
      </c>
      <c r="R161" s="96">
        <v>7.1784499588723696E-2</v>
      </c>
      <c r="S161" s="96">
        <v>7.2233794558864903E-2</v>
      </c>
      <c r="T161" s="96">
        <v>7.3019476655376336E-2</v>
      </c>
      <c r="U161" s="96">
        <v>7.3474118099393013E-2</v>
      </c>
      <c r="V161" s="96">
        <v>7.5173718388160504E-2</v>
      </c>
      <c r="W161" s="96">
        <v>7.3487687513408215E-2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7.1618469500898674E-2</v>
      </c>
      <c r="K162" s="96">
        <v>7.1617301548661805E-2</v>
      </c>
      <c r="L162" s="96">
        <v>7.1606860159881325E-2</v>
      </c>
      <c r="M162" s="96">
        <v>7.1591256954173746E-2</v>
      </c>
      <c r="N162" s="96">
        <v>7.1587151736598173E-2</v>
      </c>
      <c r="O162" s="96">
        <v>7.15278823168147E-2</v>
      </c>
      <c r="P162" s="96">
        <v>7.1516330088226582E-2</v>
      </c>
      <c r="Q162" s="96">
        <v>7.1482802013422816E-2</v>
      </c>
      <c r="R162" s="96">
        <v>7.1493726685642189E-2</v>
      </c>
      <c r="S162" s="96">
        <v>7.1511557834439021E-2</v>
      </c>
      <c r="T162" s="96">
        <v>7.1544991156260632E-2</v>
      </c>
      <c r="U162" s="96">
        <v>7.1562724560279456E-2</v>
      </c>
      <c r="V162" s="96">
        <v>7.2689204255182813E-2</v>
      </c>
      <c r="W162" s="96">
        <v>7.1568928127621348E-2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11.739608227347794</v>
      </c>
      <c r="C163" s="130">
        <f t="shared" si="215"/>
        <v>11.462898737678925</v>
      </c>
      <c r="D163" s="130">
        <f t="shared" si="215"/>
        <v>11.403614986835386</v>
      </c>
      <c r="E163" s="130">
        <f t="shared" si="215"/>
        <v>11.706187516458071</v>
      </c>
      <c r="F163" s="130">
        <f t="shared" si="215"/>
        <v>11.532902282297453</v>
      </c>
      <c r="G163" s="130">
        <f t="shared" si="215"/>
        <v>12.003006469176004</v>
      </c>
      <c r="H163" s="130">
        <f t="shared" si="215"/>
        <v>12.108575088257709</v>
      </c>
      <c r="I163" s="130">
        <f t="shared" si="215"/>
        <v>12.2906672971619</v>
      </c>
      <c r="J163" s="130">
        <f t="shared" si="215"/>
        <v>12.969693019638243</v>
      </c>
      <c r="K163" s="130">
        <f t="shared" si="215"/>
        <v>12.805282842946683</v>
      </c>
      <c r="L163" s="130">
        <f t="shared" ref="L163" si="216">IF(L26=0,0,L26/L53)</f>
        <v>13.131041884796096</v>
      </c>
      <c r="M163" s="130">
        <f t="shared" ref="M163:V163" si="217">IF(M26=0,0,M26/M53)</f>
        <v>12.937097027574623</v>
      </c>
      <c r="N163" s="130">
        <f t="shared" si="217"/>
        <v>13.044538898637825</v>
      </c>
      <c r="O163" s="130">
        <f t="shared" si="217"/>
        <v>13.073123439296928</v>
      </c>
      <c r="P163" s="130">
        <f t="shared" si="217"/>
        <v>12.928635919833699</v>
      </c>
      <c r="Q163" s="130">
        <f t="shared" si="217"/>
        <v>12.531831993663067</v>
      </c>
      <c r="R163" s="130">
        <f t="shared" si="217"/>
        <v>12.750420210564538</v>
      </c>
      <c r="S163" s="130">
        <f t="shared" si="217"/>
        <v>12.583261120352608</v>
      </c>
      <c r="T163" s="130">
        <f t="shared" si="217"/>
        <v>12.95864248131471</v>
      </c>
      <c r="U163" s="130">
        <f t="shared" si="217"/>
        <v>12.672981607065141</v>
      </c>
      <c r="V163" s="130">
        <f t="shared" si="217"/>
        <v>12.865011930238621</v>
      </c>
      <c r="W163" s="130">
        <f t="shared" ref="W163" si="218">IF(W26=0,0,W26/W53)</f>
        <v>12.747413064765016</v>
      </c>
      <c r="DA163" s="176" t="s">
        <v>573</v>
      </c>
    </row>
    <row r="164" spans="1:105" ht="11.45" customHeight="1" x14ac:dyDescent="0.25">
      <c r="A164" s="128" t="s">
        <v>27</v>
      </c>
      <c r="B164" s="97">
        <v>9.9717314487632507</v>
      </c>
      <c r="C164" s="97">
        <v>9.5384972170686453</v>
      </c>
      <c r="D164" s="97">
        <v>9.3029197080291972</v>
      </c>
      <c r="E164" s="97">
        <v>9.6854599406528195</v>
      </c>
      <c r="F164" s="97">
        <v>9.2988505747126435</v>
      </c>
      <c r="G164" s="97">
        <v>9.9756854630108638</v>
      </c>
      <c r="H164" s="97">
        <v>10.064135454079015</v>
      </c>
      <c r="I164" s="97">
        <v>10.29874213836478</v>
      </c>
      <c r="J164" s="97">
        <v>11.708681672025724</v>
      </c>
      <c r="K164" s="97">
        <v>11.611477572559366</v>
      </c>
      <c r="L164" s="97">
        <v>11.766070245195493</v>
      </c>
      <c r="M164" s="97">
        <v>11.422136422136422</v>
      </c>
      <c r="N164" s="97">
        <v>11.725338491295938</v>
      </c>
      <c r="O164" s="97">
        <v>11.774193548387096</v>
      </c>
      <c r="P164" s="97">
        <v>11.456664674237896</v>
      </c>
      <c r="Q164" s="97">
        <v>10.950591868244983</v>
      </c>
      <c r="R164" s="97">
        <v>11.361611876988334</v>
      </c>
      <c r="S164" s="97">
        <v>10.853235139400315</v>
      </c>
      <c r="T164" s="97">
        <v>11.523223279238948</v>
      </c>
      <c r="U164" s="97">
        <v>11.085204081632654</v>
      </c>
      <c r="V164" s="97">
        <v>11.654220779220779</v>
      </c>
      <c r="W164" s="97">
        <v>11.333820662768032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14.24505838780375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14.115262081857328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14.086426180736334</v>
      </c>
      <c r="O165" s="98">
        <v>14.105166269382361</v>
      </c>
      <c r="P165" s="98">
        <v>14.138211571635042</v>
      </c>
      <c r="Q165" s="98">
        <v>14.005556317739059</v>
      </c>
      <c r="R165" s="98">
        <v>13.931044885469865</v>
      </c>
      <c r="S165" s="98">
        <v>14.049661034098957</v>
      </c>
      <c r="T165" s="98">
        <v>14.155971572922999</v>
      </c>
      <c r="U165" s="98">
        <v>14.102032210128922</v>
      </c>
      <c r="V165" s="98">
        <v>13.886790192476639</v>
      </c>
      <c r="W165" s="98">
        <v>14.040774681152575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16195.706608880409</v>
      </c>
      <c r="C167" s="54">
        <f t="shared" si="219"/>
        <v>16441.041672728818</v>
      </c>
      <c r="D167" s="54">
        <f t="shared" si="219"/>
        <v>16475.07366142769</v>
      </c>
      <c r="E167" s="54">
        <f t="shared" si="219"/>
        <v>16812.645579735603</v>
      </c>
      <c r="F167" s="54">
        <f t="shared" si="219"/>
        <v>16930.758325429466</v>
      </c>
      <c r="G167" s="54">
        <f t="shared" si="219"/>
        <v>16243.393484032382</v>
      </c>
      <c r="H167" s="54">
        <f t="shared" si="219"/>
        <v>16499.191995161429</v>
      </c>
      <c r="I167" s="54">
        <f t="shared" si="219"/>
        <v>16943.862391290895</v>
      </c>
      <c r="J167" s="54">
        <f t="shared" si="219"/>
        <v>16962.366287700457</v>
      </c>
      <c r="K167" s="54">
        <f t="shared" si="219"/>
        <v>16777.809756144776</v>
      </c>
      <c r="L167" s="54">
        <f t="shared" si="219"/>
        <v>16465.900292421804</v>
      </c>
      <c r="M167" s="54">
        <f>IF(M30=0,0,M30*1000000/M57)</f>
        <v>16132.302372023001</v>
      </c>
      <c r="N167" s="54">
        <f t="shared" ref="N167:V167" si="220">IF(N30=0,0,N30*1000000/N57)</f>
        <v>15811.877322135411</v>
      </c>
      <c r="O167" s="54">
        <f t="shared" si="220"/>
        <v>15324.615598163955</v>
      </c>
      <c r="P167" s="54">
        <f t="shared" si="220"/>
        <v>15697.718299769162</v>
      </c>
      <c r="Q167" s="54">
        <f t="shared" si="220"/>
        <v>16045.817534123382</v>
      </c>
      <c r="R167" s="54">
        <f t="shared" si="220"/>
        <v>15476.607666146563</v>
      </c>
      <c r="S167" s="54">
        <f t="shared" si="220"/>
        <v>14753.333821268536</v>
      </c>
      <c r="T167" s="54">
        <f t="shared" si="220"/>
        <v>14069.483476990586</v>
      </c>
      <c r="U167" s="54">
        <f t="shared" si="220"/>
        <v>13839.677751767003</v>
      </c>
      <c r="V167" s="54">
        <f t="shared" si="220"/>
        <v>11998.894905968833</v>
      </c>
      <c r="W167" s="54">
        <f t="shared" ref="W167:W191" si="221">IF(W30=0,0,W30*1000000/W57)</f>
        <v>12545.380422707585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15752.547732768655</v>
      </c>
      <c r="C168" s="28">
        <f t="shared" si="219"/>
        <v>16082.496906229368</v>
      </c>
      <c r="D168" s="28">
        <f t="shared" si="219"/>
        <v>15921.785883436227</v>
      </c>
      <c r="E168" s="28">
        <f t="shared" si="219"/>
        <v>16306.659418132223</v>
      </c>
      <c r="F168" s="28">
        <f t="shared" si="219"/>
        <v>16275.447606422838</v>
      </c>
      <c r="G168" s="28">
        <f t="shared" si="219"/>
        <v>15521.977519335598</v>
      </c>
      <c r="H168" s="28">
        <f t="shared" si="219"/>
        <v>15774.561433340205</v>
      </c>
      <c r="I168" s="28">
        <f t="shared" si="219"/>
        <v>16203.113508834998</v>
      </c>
      <c r="J168" s="28">
        <f t="shared" si="219"/>
        <v>16312.979131009904</v>
      </c>
      <c r="K168" s="28">
        <f t="shared" si="219"/>
        <v>16171.036269989132</v>
      </c>
      <c r="L168" s="28">
        <f t="shared" si="219"/>
        <v>15860.304378823683</v>
      </c>
      <c r="M168" s="28">
        <f t="shared" ref="M168:M192" si="222">IF(M31=0,0,M31*1000000/M58)</f>
        <v>15584.188493665015</v>
      </c>
      <c r="N168" s="28">
        <f t="shared" si="219"/>
        <v>15291.502009609563</v>
      </c>
      <c r="O168" s="28">
        <f t="shared" si="219"/>
        <v>14854.713372438709</v>
      </c>
      <c r="P168" s="28">
        <f t="shared" si="219"/>
        <v>15229.368823037499</v>
      </c>
      <c r="Q168" s="28">
        <f t="shared" si="219"/>
        <v>15490.999576024557</v>
      </c>
      <c r="R168" s="28">
        <f t="shared" si="219"/>
        <v>15017.441212419128</v>
      </c>
      <c r="S168" s="28">
        <f t="shared" si="219"/>
        <v>14401.984906073247</v>
      </c>
      <c r="T168" s="28">
        <f t="shared" si="219"/>
        <v>13751.803766288913</v>
      </c>
      <c r="U168" s="28">
        <f t="shared" si="219"/>
        <v>13504.694310676312</v>
      </c>
      <c r="V168" s="28">
        <f t="shared" si="219"/>
        <v>11570.007253887534</v>
      </c>
      <c r="W168" s="28">
        <f t="shared" si="221"/>
        <v>11976.498099796958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4956.1255119890011</v>
      </c>
      <c r="C169" s="137">
        <f t="shared" si="219"/>
        <v>4910.942342403705</v>
      </c>
      <c r="D169" s="137">
        <f t="shared" si="219"/>
        <v>4983.4702628391869</v>
      </c>
      <c r="E169" s="137">
        <f t="shared" si="219"/>
        <v>4976.8373607111553</v>
      </c>
      <c r="F169" s="137">
        <f t="shared" si="219"/>
        <v>5019.1782180058372</v>
      </c>
      <c r="G169" s="137">
        <f t="shared" si="219"/>
        <v>4542.3961789582809</v>
      </c>
      <c r="H169" s="137">
        <f t="shared" si="219"/>
        <v>4513.8888888888887</v>
      </c>
      <c r="I169" s="137">
        <f t="shared" si="219"/>
        <v>4518.7165775401072</v>
      </c>
      <c r="J169" s="137">
        <f t="shared" si="219"/>
        <v>4355.6701030927834</v>
      </c>
      <c r="K169" s="137">
        <f t="shared" si="219"/>
        <v>4115.0990099009905</v>
      </c>
      <c r="L169" s="137">
        <f t="shared" si="219"/>
        <v>3788.7828162291171</v>
      </c>
      <c r="M169" s="137">
        <f t="shared" si="222"/>
        <v>3657.8341013824884</v>
      </c>
      <c r="N169" s="137">
        <f t="shared" si="219"/>
        <v>3482.9931972789113</v>
      </c>
      <c r="O169" s="137">
        <f t="shared" si="219"/>
        <v>3255.5962492762756</v>
      </c>
      <c r="P169" s="137">
        <f t="shared" si="219"/>
        <v>3387.0960675732513</v>
      </c>
      <c r="Q169" s="137">
        <f t="shared" si="219"/>
        <v>3279.4029876381001</v>
      </c>
      <c r="R169" s="137">
        <f t="shared" si="219"/>
        <v>3299.9706165581902</v>
      </c>
      <c r="S169" s="137">
        <f t="shared" si="219"/>
        <v>3061.17403286743</v>
      </c>
      <c r="T169" s="137">
        <f t="shared" si="219"/>
        <v>2161.7622065998339</v>
      </c>
      <c r="U169" s="137">
        <f t="shared" si="219"/>
        <v>2203.9352840639749</v>
      </c>
      <c r="V169" s="137">
        <f t="shared" si="219"/>
        <v>1908.6287088708573</v>
      </c>
      <c r="W169" s="137">
        <f t="shared" si="221"/>
        <v>1889.5396611879307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16301.808793368486</v>
      </c>
      <c r="C170" s="110">
        <f t="shared" si="219"/>
        <v>16682.988528839483</v>
      </c>
      <c r="D170" s="110">
        <f t="shared" si="219"/>
        <v>16526.94854501155</v>
      </c>
      <c r="E170" s="110">
        <f t="shared" si="219"/>
        <v>16963.724563077187</v>
      </c>
      <c r="F170" s="110">
        <f t="shared" si="219"/>
        <v>16928.269980463981</v>
      </c>
      <c r="G170" s="110">
        <f t="shared" si="219"/>
        <v>16202.677404255581</v>
      </c>
      <c r="H170" s="110">
        <f t="shared" si="219"/>
        <v>16501.266670548739</v>
      </c>
      <c r="I170" s="110">
        <f t="shared" si="219"/>
        <v>16984.33145152514</v>
      </c>
      <c r="J170" s="110">
        <f t="shared" si="219"/>
        <v>17133.617791093726</v>
      </c>
      <c r="K170" s="110">
        <f t="shared" si="219"/>
        <v>17027.538974908002</v>
      </c>
      <c r="L170" s="110">
        <f t="shared" si="219"/>
        <v>16738.933027287076</v>
      </c>
      <c r="M170" s="110">
        <f t="shared" si="222"/>
        <v>16465.041900807442</v>
      </c>
      <c r="N170" s="110">
        <f t="shared" si="219"/>
        <v>16173.44197378533</v>
      </c>
      <c r="O170" s="110">
        <f t="shared" si="219"/>
        <v>15734.09021831696</v>
      </c>
      <c r="P170" s="110">
        <f t="shared" si="219"/>
        <v>16129.99791440433</v>
      </c>
      <c r="Q170" s="110">
        <f t="shared" si="219"/>
        <v>16429.725602755156</v>
      </c>
      <c r="R170" s="110">
        <f t="shared" si="219"/>
        <v>15923.132143185901</v>
      </c>
      <c r="S170" s="110">
        <f t="shared" si="219"/>
        <v>15280.871784488838</v>
      </c>
      <c r="T170" s="110">
        <f t="shared" si="219"/>
        <v>14986.52886346446</v>
      </c>
      <c r="U170" s="110">
        <f t="shared" si="219"/>
        <v>14761.422566972225</v>
      </c>
      <c r="V170" s="110">
        <f t="shared" si="219"/>
        <v>12675.176557523695</v>
      </c>
      <c r="W170" s="110">
        <f t="shared" si="221"/>
        <v>13202.449433020467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12185.769461316671</v>
      </c>
      <c r="C171" s="84">
        <f t="shared" si="219"/>
        <v>12169.651493862086</v>
      </c>
      <c r="D171" s="84">
        <f t="shared" si="219"/>
        <v>11844.913155793145</v>
      </c>
      <c r="E171" s="84">
        <f t="shared" si="219"/>
        <v>12267.634493298619</v>
      </c>
      <c r="F171" s="84">
        <f t="shared" si="219"/>
        <v>11318.394661004355</v>
      </c>
      <c r="G171" s="84">
        <f t="shared" si="219"/>
        <v>10775.383839157043</v>
      </c>
      <c r="H171" s="84">
        <f t="shared" si="219"/>
        <v>10395.783262141673</v>
      </c>
      <c r="I171" s="84">
        <f t="shared" si="219"/>
        <v>10177.557061119993</v>
      </c>
      <c r="J171" s="84">
        <f t="shared" si="219"/>
        <v>9699.2643822778209</v>
      </c>
      <c r="K171" s="84">
        <f t="shared" si="219"/>
        <v>9598.0772438080694</v>
      </c>
      <c r="L171" s="84">
        <f t="shared" si="219"/>
        <v>9108.7497145636717</v>
      </c>
      <c r="M171" s="84">
        <f t="shared" si="222"/>
        <v>9022.1297167468183</v>
      </c>
      <c r="N171" s="84">
        <f t="shared" si="219"/>
        <v>8980.5758862842049</v>
      </c>
      <c r="O171" s="84">
        <f t="shared" si="219"/>
        <v>9064.1225962328044</v>
      </c>
      <c r="P171" s="84">
        <f t="shared" si="219"/>
        <v>9587.2133767093364</v>
      </c>
      <c r="Q171" s="84">
        <f t="shared" si="219"/>
        <v>10081.76012172292</v>
      </c>
      <c r="R171" s="84">
        <f t="shared" si="219"/>
        <v>10280.210079690407</v>
      </c>
      <c r="S171" s="84">
        <f t="shared" si="219"/>
        <v>10218.749278263307</v>
      </c>
      <c r="T171" s="84">
        <f t="shared" si="219"/>
        <v>10818.092650661642</v>
      </c>
      <c r="U171" s="84">
        <f t="shared" si="219"/>
        <v>11372.754468986162</v>
      </c>
      <c r="V171" s="84">
        <f t="shared" si="219"/>
        <v>9405.4115699476661</v>
      </c>
      <c r="W171" s="84">
        <f t="shared" si="221"/>
        <v>10409.529637985021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22430.081583590712</v>
      </c>
      <c r="C172" s="84">
        <f t="shared" si="219"/>
        <v>22958.620016026638</v>
      </c>
      <c r="D172" s="84">
        <f t="shared" si="219"/>
        <v>22583.452296959644</v>
      </c>
      <c r="E172" s="84">
        <f t="shared" si="219"/>
        <v>22642.812990696555</v>
      </c>
      <c r="F172" s="84">
        <f t="shared" si="219"/>
        <v>23125.049988657516</v>
      </c>
      <c r="G172" s="84">
        <f t="shared" si="219"/>
        <v>21749.383717976656</v>
      </c>
      <c r="H172" s="84">
        <f t="shared" si="219"/>
        <v>22139.670642593534</v>
      </c>
      <c r="I172" s="84">
        <f t="shared" si="219"/>
        <v>22693.161150139833</v>
      </c>
      <c r="J172" s="84">
        <f t="shared" si="219"/>
        <v>22767.87221860209</v>
      </c>
      <c r="K172" s="84">
        <f t="shared" si="219"/>
        <v>22229.017797818291</v>
      </c>
      <c r="L172" s="84">
        <f t="shared" si="219"/>
        <v>21695.617383334116</v>
      </c>
      <c r="M172" s="84">
        <f t="shared" si="222"/>
        <v>21010.871540342112</v>
      </c>
      <c r="N172" s="84">
        <f t="shared" si="219"/>
        <v>20451.918878150325</v>
      </c>
      <c r="O172" s="84">
        <f t="shared" si="219"/>
        <v>19683.723724393763</v>
      </c>
      <c r="P172" s="84">
        <f t="shared" si="219"/>
        <v>20073.595800418236</v>
      </c>
      <c r="Q172" s="84">
        <f t="shared" si="219"/>
        <v>20409.931540347399</v>
      </c>
      <c r="R172" s="84">
        <f t="shared" si="219"/>
        <v>19695.975857431527</v>
      </c>
      <c r="S172" s="84">
        <f t="shared" si="219"/>
        <v>18995.423806370181</v>
      </c>
      <c r="T172" s="84">
        <f t="shared" si="219"/>
        <v>18456.693212935155</v>
      </c>
      <c r="U172" s="84">
        <f t="shared" si="219"/>
        <v>17995.475950539108</v>
      </c>
      <c r="V172" s="84">
        <f t="shared" si="219"/>
        <v>16205.373505210671</v>
      </c>
      <c r="W172" s="84">
        <f t="shared" si="221"/>
        <v>16631.056283967806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12957.425273723584</v>
      </c>
      <c r="C173" s="84">
        <f t="shared" si="219"/>
        <v>12742.643815535905</v>
      </c>
      <c r="D173" s="84">
        <f t="shared" si="219"/>
        <v>12534.41576821335</v>
      </c>
      <c r="E173" s="84">
        <f t="shared" si="219"/>
        <v>12177.866741166021</v>
      </c>
      <c r="F173" s="84">
        <f t="shared" si="219"/>
        <v>12437.225766091125</v>
      </c>
      <c r="G173" s="84">
        <f t="shared" si="219"/>
        <v>11952.867310306403</v>
      </c>
      <c r="H173" s="84">
        <f t="shared" si="219"/>
        <v>11811.017935184851</v>
      </c>
      <c r="I173" s="84">
        <f t="shared" si="219"/>
        <v>11631.536135225084</v>
      </c>
      <c r="J173" s="84">
        <f t="shared" si="219"/>
        <v>11669.829808229504</v>
      </c>
      <c r="K173" s="84">
        <f t="shared" si="219"/>
        <v>11858.682639409813</v>
      </c>
      <c r="L173" s="84">
        <f t="shared" si="219"/>
        <v>12046.538761429354</v>
      </c>
      <c r="M173" s="84">
        <f t="shared" si="222"/>
        <v>12104.124650180869</v>
      </c>
      <c r="N173" s="84">
        <f t="shared" si="219"/>
        <v>11941.289911252883</v>
      </c>
      <c r="O173" s="84">
        <f t="shared" si="219"/>
        <v>11759.999860441372</v>
      </c>
      <c r="P173" s="84">
        <f t="shared" si="219"/>
        <v>11992.928122584974</v>
      </c>
      <c r="Q173" s="84">
        <f t="shared" si="219"/>
        <v>12193.871211911441</v>
      </c>
      <c r="R173" s="84">
        <f t="shared" si="219"/>
        <v>12247.618642160647</v>
      </c>
      <c r="S173" s="84">
        <f t="shared" si="219"/>
        <v>12294.113988566696</v>
      </c>
      <c r="T173" s="84">
        <f t="shared" si="219"/>
        <v>12433.008697860649</v>
      </c>
      <c r="U173" s="84">
        <f t="shared" si="219"/>
        <v>12617.106752559082</v>
      </c>
      <c r="V173" s="84">
        <f t="shared" si="219"/>
        <v>11825.774172872354</v>
      </c>
      <c r="W173" s="84">
        <f t="shared" si="221"/>
        <v>12136.413628929567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19537.578977691959</v>
      </c>
      <c r="G174" s="84">
        <f t="shared" si="219"/>
        <v>18401.168524836707</v>
      </c>
      <c r="H174" s="84">
        <f t="shared" si="219"/>
        <v>18356.745163182513</v>
      </c>
      <c r="I174" s="84">
        <f t="shared" si="219"/>
        <v>18439.34949380641</v>
      </c>
      <c r="J174" s="84">
        <f t="shared" si="219"/>
        <v>18311.355471305233</v>
      </c>
      <c r="K174" s="84">
        <f t="shared" si="219"/>
        <v>18419.731652849947</v>
      </c>
      <c r="L174" s="84">
        <f t="shared" si="219"/>
        <v>19683.703249239406</v>
      </c>
      <c r="M174" s="84">
        <f t="shared" si="222"/>
        <v>19443.705526453003</v>
      </c>
      <c r="N174" s="84">
        <f t="shared" si="219"/>
        <v>19304.973099340961</v>
      </c>
      <c r="O174" s="84">
        <f t="shared" si="219"/>
        <v>18631.651437030512</v>
      </c>
      <c r="P174" s="84">
        <f t="shared" si="219"/>
        <v>18620.671595089454</v>
      </c>
      <c r="Q174" s="84">
        <f t="shared" si="219"/>
        <v>18370.307060133975</v>
      </c>
      <c r="R174" s="84">
        <f t="shared" si="219"/>
        <v>18270.383733561153</v>
      </c>
      <c r="S174" s="84">
        <f t="shared" si="219"/>
        <v>17980.140354254072</v>
      </c>
      <c r="T174" s="84">
        <f t="shared" si="219"/>
        <v>17826.739069901141</v>
      </c>
      <c r="U174" s="84">
        <f t="shared" si="219"/>
        <v>17735.983502518066</v>
      </c>
      <c r="V174" s="84">
        <f t="shared" si="219"/>
        <v>16297.647045048823</v>
      </c>
      <c r="W174" s="84">
        <f t="shared" si="221"/>
        <v>16397.79771108543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8970.9262521454839</v>
      </c>
      <c r="N175" s="84">
        <f t="shared" si="219"/>
        <v>9554.1430358775106</v>
      </c>
      <c r="O175" s="84">
        <f t="shared" si="219"/>
        <v>9578.3893415101593</v>
      </c>
      <c r="P175" s="84">
        <f t="shared" si="219"/>
        <v>10081.047143875336</v>
      </c>
      <c r="Q175" s="84">
        <f t="shared" si="219"/>
        <v>10598.168692654144</v>
      </c>
      <c r="R175" s="84">
        <f t="shared" si="219"/>
        <v>10707.995771729022</v>
      </c>
      <c r="S175" s="84">
        <f t="shared" si="219"/>
        <v>10633.611290399591</v>
      </c>
      <c r="T175" s="84">
        <f t="shared" si="219"/>
        <v>11162.922592506595</v>
      </c>
      <c r="U175" s="84">
        <f t="shared" si="219"/>
        <v>11683.969918760113</v>
      </c>
      <c r="V175" s="84">
        <f t="shared" si="219"/>
        <v>9662.7906771844118</v>
      </c>
      <c r="W175" s="84">
        <f t="shared" si="221"/>
        <v>10694.386438248779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15204.890100673794</v>
      </c>
      <c r="K176" s="84">
        <f t="shared" si="219"/>
        <v>15228.827556294935</v>
      </c>
      <c r="L176" s="84">
        <f t="shared" si="219"/>
        <v>15348.830486488847</v>
      </c>
      <c r="M176" s="84">
        <f t="shared" si="222"/>
        <v>15356.165174395024</v>
      </c>
      <c r="N176" s="84">
        <f t="shared" si="219"/>
        <v>15359.710098593689</v>
      </c>
      <c r="O176" s="84">
        <f t="shared" si="219"/>
        <v>15366.823321005386</v>
      </c>
      <c r="P176" s="84">
        <f t="shared" si="219"/>
        <v>15409.992563900101</v>
      </c>
      <c r="Q176" s="84">
        <f t="shared" si="219"/>
        <v>15448.795611821242</v>
      </c>
      <c r="R176" s="84">
        <f t="shared" si="219"/>
        <v>15403.690467196922</v>
      </c>
      <c r="S176" s="84">
        <f t="shared" si="219"/>
        <v>15389.841466411688</v>
      </c>
      <c r="T176" s="84">
        <f t="shared" si="219"/>
        <v>15258.828897902667</v>
      </c>
      <c r="U176" s="84">
        <f t="shared" si="219"/>
        <v>15144.814496946228</v>
      </c>
      <c r="V176" s="84">
        <f t="shared" si="219"/>
        <v>13134.031824530222</v>
      </c>
      <c r="W176" s="84">
        <f t="shared" si="221"/>
        <v>14945.098256012641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44975.011765574207</v>
      </c>
      <c r="C177" s="110">
        <f t="shared" si="219"/>
        <v>45652.766421368222</v>
      </c>
      <c r="D177" s="110">
        <f t="shared" si="219"/>
        <v>46042.386078949152</v>
      </c>
      <c r="E177" s="110">
        <f t="shared" si="219"/>
        <v>46315.98791250182</v>
      </c>
      <c r="F177" s="110">
        <f t="shared" si="219"/>
        <v>45671.777649068892</v>
      </c>
      <c r="G177" s="110">
        <f t="shared" si="219"/>
        <v>45006.054394255312</v>
      </c>
      <c r="H177" s="110">
        <f t="shared" si="219"/>
        <v>44331.992162859264</v>
      </c>
      <c r="I177" s="110">
        <f t="shared" si="219"/>
        <v>43698.110579819666</v>
      </c>
      <c r="J177" s="110">
        <f t="shared" si="219"/>
        <v>43122.567546577258</v>
      </c>
      <c r="K177" s="110">
        <f t="shared" si="219"/>
        <v>42494.434964461696</v>
      </c>
      <c r="L177" s="110">
        <f t="shared" si="219"/>
        <v>41887.839534392129</v>
      </c>
      <c r="M177" s="110">
        <f t="shared" si="222"/>
        <v>41252.724756492928</v>
      </c>
      <c r="N177" s="110">
        <f t="shared" si="219"/>
        <v>40634.351567649544</v>
      </c>
      <c r="O177" s="110">
        <f t="shared" si="219"/>
        <v>40007.584376185056</v>
      </c>
      <c r="P177" s="110">
        <f t="shared" si="219"/>
        <v>40435.653480220324</v>
      </c>
      <c r="Q177" s="110">
        <f t="shared" si="219"/>
        <v>40832.765351013077</v>
      </c>
      <c r="R177" s="110">
        <f t="shared" si="219"/>
        <v>38214.974793054083</v>
      </c>
      <c r="S177" s="110">
        <f t="shared" si="219"/>
        <v>38006.809037449711</v>
      </c>
      <c r="T177" s="110">
        <f t="shared" si="219"/>
        <v>38095.31484157269</v>
      </c>
      <c r="U177" s="110">
        <f t="shared" si="219"/>
        <v>37794.940946262126</v>
      </c>
      <c r="V177" s="110">
        <f t="shared" si="219"/>
        <v>37786.015463225936</v>
      </c>
      <c r="W177" s="110">
        <f t="shared" si="221"/>
        <v>37205.527603250557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41426.4626576023</v>
      </c>
      <c r="C178" s="102">
        <f t="shared" si="219"/>
        <v>42507.27466158037</v>
      </c>
      <c r="D178" s="102">
        <f t="shared" si="219"/>
        <v>43321.484016431037</v>
      </c>
      <c r="E178" s="102">
        <f t="shared" si="219"/>
        <v>44032.150431608701</v>
      </c>
      <c r="F178" s="102">
        <f t="shared" si="219"/>
        <v>43827.584352667007</v>
      </c>
      <c r="G178" s="102">
        <f t="shared" si="219"/>
        <v>43592.975760855858</v>
      </c>
      <c r="H178" s="102">
        <f t="shared" si="219"/>
        <v>43341.10142425869</v>
      </c>
      <c r="I178" s="102">
        <f t="shared" si="219"/>
        <v>42882.353778830889</v>
      </c>
      <c r="J178" s="102">
        <f t="shared" si="219"/>
        <v>41870.803109489549</v>
      </c>
      <c r="K178" s="102">
        <f t="shared" si="219"/>
        <v>40822.419136396398</v>
      </c>
      <c r="L178" s="102">
        <f t="shared" si="219"/>
        <v>39812.647711677128</v>
      </c>
      <c r="M178" s="102">
        <f t="shared" si="222"/>
        <v>38791.145017456314</v>
      </c>
      <c r="N178" s="102">
        <f t="shared" si="219"/>
        <v>37802.798787683212</v>
      </c>
      <c r="O178" s="102">
        <f t="shared" si="219"/>
        <v>36822.564091473432</v>
      </c>
      <c r="P178" s="102">
        <f t="shared" si="219"/>
        <v>36867.687367237428</v>
      </c>
      <c r="Q178" s="102">
        <f t="shared" si="219"/>
        <v>36987.444059947054</v>
      </c>
      <c r="R178" s="102">
        <f t="shared" si="219"/>
        <v>34156.671238293427</v>
      </c>
      <c r="S178" s="102">
        <f t="shared" si="219"/>
        <v>33621.7223270006</v>
      </c>
      <c r="T178" s="102">
        <f t="shared" si="219"/>
        <v>33366.896792239379</v>
      </c>
      <c r="U178" s="102">
        <f t="shared" si="219"/>
        <v>32759.798493277398</v>
      </c>
      <c r="V178" s="102">
        <f t="shared" si="219"/>
        <v>32424.158561300246</v>
      </c>
      <c r="W178" s="102">
        <f t="shared" si="221"/>
        <v>31582.324915587811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45027.952549825313</v>
      </c>
      <c r="C179" s="102">
        <f t="shared" si="219"/>
        <v>45698.455294457075</v>
      </c>
      <c r="D179" s="102">
        <f t="shared" si="219"/>
        <v>46078.200493321805</v>
      </c>
      <c r="E179" s="102">
        <f t="shared" si="219"/>
        <v>46345.455294112588</v>
      </c>
      <c r="F179" s="102">
        <f t="shared" si="219"/>
        <v>45694.833907936256</v>
      </c>
      <c r="G179" s="102">
        <f t="shared" si="219"/>
        <v>45028.885793668218</v>
      </c>
      <c r="H179" s="102">
        <f t="shared" si="219"/>
        <v>44347.76547144691</v>
      </c>
      <c r="I179" s="102">
        <f t="shared" si="219"/>
        <v>43710.340619982024</v>
      </c>
      <c r="J179" s="102">
        <f t="shared" si="219"/>
        <v>43137.267940084224</v>
      </c>
      <c r="K179" s="102">
        <f t="shared" si="219"/>
        <v>42511.34798986165</v>
      </c>
      <c r="L179" s="102">
        <f t="shared" si="219"/>
        <v>41906.05324734305</v>
      </c>
      <c r="M179" s="102">
        <f t="shared" si="222"/>
        <v>41273.223148345307</v>
      </c>
      <c r="N179" s="102">
        <f t="shared" si="219"/>
        <v>40656.958784091061</v>
      </c>
      <c r="O179" s="102">
        <f t="shared" si="219"/>
        <v>40031.501156542407</v>
      </c>
      <c r="P179" s="102">
        <f t="shared" si="219"/>
        <v>40461.96446770581</v>
      </c>
      <c r="Q179" s="102">
        <f t="shared" si="219"/>
        <v>40860.367459735142</v>
      </c>
      <c r="R179" s="102">
        <f t="shared" si="219"/>
        <v>38242.384036454052</v>
      </c>
      <c r="S179" s="102">
        <f t="shared" si="219"/>
        <v>38036.130110872793</v>
      </c>
      <c r="T179" s="102">
        <f t="shared" si="219"/>
        <v>38126.476570345068</v>
      </c>
      <c r="U179" s="102">
        <f t="shared" si="219"/>
        <v>37820.911581846471</v>
      </c>
      <c r="V179" s="102">
        <f t="shared" si="219"/>
        <v>37812.661985356717</v>
      </c>
      <c r="W179" s="102">
        <f t="shared" si="221"/>
        <v>37238.580864901654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0</v>
      </c>
      <c r="G180" s="102">
        <f t="shared" si="223"/>
        <v>0</v>
      </c>
      <c r="H180" s="102">
        <f t="shared" si="223"/>
        <v>0</v>
      </c>
      <c r="I180" s="102">
        <f t="shared" si="223"/>
        <v>0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0</v>
      </c>
      <c r="S180" s="102">
        <f t="shared" si="223"/>
        <v>0</v>
      </c>
      <c r="T180" s="102">
        <f t="shared" si="223"/>
        <v>0</v>
      </c>
      <c r="U180" s="102">
        <f t="shared" si="223"/>
        <v>0</v>
      </c>
      <c r="V180" s="102">
        <f t="shared" si="223"/>
        <v>0</v>
      </c>
      <c r="W180" s="102">
        <f t="shared" si="221"/>
        <v>0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0</v>
      </c>
      <c r="G181" s="102">
        <f t="shared" si="223"/>
        <v>0</v>
      </c>
      <c r="H181" s="102">
        <f t="shared" si="223"/>
        <v>0</v>
      </c>
      <c r="I181" s="102">
        <f t="shared" si="223"/>
        <v>0</v>
      </c>
      <c r="J181" s="102">
        <f t="shared" si="223"/>
        <v>0</v>
      </c>
      <c r="K181" s="102">
        <f t="shared" si="223"/>
        <v>0</v>
      </c>
      <c r="L181" s="102">
        <f t="shared" si="223"/>
        <v>0</v>
      </c>
      <c r="M181" s="102">
        <f t="shared" si="222"/>
        <v>0</v>
      </c>
      <c r="N181" s="102">
        <f t="shared" si="223"/>
        <v>0</v>
      </c>
      <c r="O181" s="102">
        <f t="shared" si="223"/>
        <v>0</v>
      </c>
      <c r="P181" s="102">
        <f t="shared" si="223"/>
        <v>0</v>
      </c>
      <c r="Q181" s="102">
        <f t="shared" si="223"/>
        <v>0</v>
      </c>
      <c r="R181" s="102">
        <f t="shared" si="223"/>
        <v>32978.377758675051</v>
      </c>
      <c r="S181" s="102">
        <f t="shared" si="223"/>
        <v>33445.576255026972</v>
      </c>
      <c r="T181" s="102">
        <f t="shared" si="223"/>
        <v>34197.906546175487</v>
      </c>
      <c r="U181" s="102">
        <f t="shared" si="223"/>
        <v>34593.133434278956</v>
      </c>
      <c r="V181" s="102">
        <f t="shared" si="223"/>
        <v>35276.246771569393</v>
      </c>
      <c r="W181" s="102">
        <f t="shared" si="221"/>
        <v>35401.587049265996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40690.258145322201</v>
      </c>
      <c r="C182" s="102">
        <f t="shared" si="223"/>
        <v>40720.700071161125</v>
      </c>
      <c r="D182" s="102">
        <f t="shared" si="223"/>
        <v>40738.006386152483</v>
      </c>
      <c r="E182" s="102">
        <f t="shared" si="223"/>
        <v>40750.076409128589</v>
      </c>
      <c r="F182" s="102">
        <f t="shared" si="223"/>
        <v>40778.625033194665</v>
      </c>
      <c r="G182" s="102">
        <f t="shared" si="223"/>
        <v>40808.574728940082</v>
      </c>
      <c r="H182" s="102">
        <f t="shared" si="223"/>
        <v>40839.377306702758</v>
      </c>
      <c r="I182" s="102">
        <f t="shared" si="223"/>
        <v>40868.795765526418</v>
      </c>
      <c r="J182" s="102">
        <f t="shared" si="223"/>
        <v>40895.897481506348</v>
      </c>
      <c r="K182" s="102">
        <f t="shared" si="223"/>
        <v>40925.912468648094</v>
      </c>
      <c r="L182" s="102">
        <f t="shared" si="223"/>
        <v>40955.34379745325</v>
      </c>
      <c r="M182" s="102">
        <f t="shared" si="222"/>
        <v>40986.642343832376</v>
      </c>
      <c r="N182" s="102">
        <f t="shared" si="223"/>
        <v>41017.605831755071</v>
      </c>
      <c r="O182" s="102">
        <f t="shared" si="223"/>
        <v>41049.49866838583</v>
      </c>
      <c r="P182" s="102">
        <f t="shared" si="223"/>
        <v>41071.348689268787</v>
      </c>
      <c r="Q182" s="102">
        <f t="shared" si="223"/>
        <v>41097.160066607838</v>
      </c>
      <c r="R182" s="102">
        <f t="shared" si="223"/>
        <v>41102.923366810777</v>
      </c>
      <c r="S182" s="102">
        <f t="shared" si="223"/>
        <v>41106.124084802519</v>
      </c>
      <c r="T182" s="102">
        <f t="shared" si="223"/>
        <v>41108.046803302816</v>
      </c>
      <c r="U182" s="102">
        <f t="shared" si="223"/>
        <v>41104.792799272742</v>
      </c>
      <c r="V182" s="102">
        <f t="shared" si="223"/>
        <v>41097.512242282624</v>
      </c>
      <c r="W182" s="102">
        <f t="shared" si="221"/>
        <v>41098.332490793931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20268.059291794081</v>
      </c>
      <c r="C183" s="28">
        <f t="shared" si="223"/>
        <v>19420.924976051796</v>
      </c>
      <c r="D183" s="28">
        <f t="shared" si="223"/>
        <v>21294.206716482458</v>
      </c>
      <c r="E183" s="28">
        <f t="shared" si="223"/>
        <v>21105.234258459695</v>
      </c>
      <c r="F183" s="28">
        <f t="shared" si="223"/>
        <v>22266.910197422632</v>
      </c>
      <c r="G183" s="28">
        <f t="shared" si="223"/>
        <v>21938.234723702957</v>
      </c>
      <c r="H183" s="28">
        <f t="shared" si="223"/>
        <v>22158.749737022859</v>
      </c>
      <c r="I183" s="28">
        <f t="shared" si="223"/>
        <v>22685.412629458559</v>
      </c>
      <c r="J183" s="28">
        <f t="shared" si="223"/>
        <v>21931.657199359666</v>
      </c>
      <c r="K183" s="28">
        <f t="shared" si="223"/>
        <v>21413.381565583284</v>
      </c>
      <c r="L183" s="28">
        <f t="shared" si="223"/>
        <v>21080.662598852683</v>
      </c>
      <c r="M183" s="28">
        <f t="shared" si="222"/>
        <v>20275.988081941243</v>
      </c>
      <c r="N183" s="28">
        <f t="shared" si="223"/>
        <v>19712.551136404225</v>
      </c>
      <c r="O183" s="28">
        <f t="shared" si="223"/>
        <v>18827.553180249251</v>
      </c>
      <c r="P183" s="28">
        <f t="shared" si="223"/>
        <v>19170.371516193714</v>
      </c>
      <c r="Q183" s="28">
        <f t="shared" si="223"/>
        <v>20129.155503286256</v>
      </c>
      <c r="R183" s="28">
        <f t="shared" si="223"/>
        <v>18790.313783237587</v>
      </c>
      <c r="S183" s="28">
        <f t="shared" si="223"/>
        <v>17231.530359718148</v>
      </c>
      <c r="T183" s="28">
        <f t="shared" si="223"/>
        <v>16315.89977500424</v>
      </c>
      <c r="U183" s="28">
        <f t="shared" si="223"/>
        <v>16154.096838371926</v>
      </c>
      <c r="V183" s="28">
        <f t="shared" si="223"/>
        <v>14895.791444876184</v>
      </c>
      <c r="W183" s="28">
        <f t="shared" si="221"/>
        <v>16293.700039071078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17035.681682683873</v>
      </c>
      <c r="C184" s="137">
        <f t="shared" si="223"/>
        <v>17348.606915920773</v>
      </c>
      <c r="D184" s="137">
        <f t="shared" si="223"/>
        <v>19464.383578364646</v>
      </c>
      <c r="E184" s="137">
        <f t="shared" si="223"/>
        <v>19766.841000399658</v>
      </c>
      <c r="F184" s="137">
        <f t="shared" si="223"/>
        <v>20969.5792319057</v>
      </c>
      <c r="G184" s="137">
        <f t="shared" si="223"/>
        <v>21018.231264818143</v>
      </c>
      <c r="H184" s="137">
        <f t="shared" si="223"/>
        <v>21209.182822532788</v>
      </c>
      <c r="I184" s="137">
        <f t="shared" si="223"/>
        <v>21967.005973572439</v>
      </c>
      <c r="J184" s="137">
        <f t="shared" si="223"/>
        <v>21952.177021890493</v>
      </c>
      <c r="K184" s="137">
        <f t="shared" si="223"/>
        <v>21443.015960509994</v>
      </c>
      <c r="L184" s="137">
        <f t="shared" si="223"/>
        <v>20820.650216137936</v>
      </c>
      <c r="M184" s="137">
        <f t="shared" si="222"/>
        <v>20150.07352412539</v>
      </c>
      <c r="N184" s="137">
        <f t="shared" si="223"/>
        <v>19344.996772117345</v>
      </c>
      <c r="O184" s="137">
        <f t="shared" si="223"/>
        <v>17819.659895502809</v>
      </c>
      <c r="P184" s="137">
        <f t="shared" si="223"/>
        <v>18117.39124426389</v>
      </c>
      <c r="Q184" s="137">
        <f t="shared" si="223"/>
        <v>19050.624849393251</v>
      </c>
      <c r="R184" s="137">
        <f t="shared" si="223"/>
        <v>16969.476965423768</v>
      </c>
      <c r="S184" s="137">
        <f t="shared" si="223"/>
        <v>15128.432749668533</v>
      </c>
      <c r="T184" s="137">
        <f t="shared" si="223"/>
        <v>14464.305114676585</v>
      </c>
      <c r="U184" s="137">
        <f t="shared" si="223"/>
        <v>14125.783981818488</v>
      </c>
      <c r="V184" s="137">
        <f t="shared" si="223"/>
        <v>12745.617444269774</v>
      </c>
      <c r="W184" s="137">
        <f t="shared" si="221"/>
        <v>14273.671986338835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13663.300775360705</v>
      </c>
      <c r="C185" s="84">
        <f t="shared" si="223"/>
        <v>13856.166248718695</v>
      </c>
      <c r="D185" s="84">
        <f t="shared" si="223"/>
        <v>14889.649437093836</v>
      </c>
      <c r="E185" s="84">
        <f t="shared" si="223"/>
        <v>14397.564255627563</v>
      </c>
      <c r="F185" s="84">
        <f t="shared" si="223"/>
        <v>14579.747976242352</v>
      </c>
      <c r="G185" s="84">
        <f t="shared" si="223"/>
        <v>15373.279049297627</v>
      </c>
      <c r="H185" s="84">
        <f t="shared" si="223"/>
        <v>16327.068485245238</v>
      </c>
      <c r="I185" s="84">
        <f t="shared" si="223"/>
        <v>16113.41213048065</v>
      </c>
      <c r="J185" s="84">
        <f t="shared" si="223"/>
        <v>15324.433956922972</v>
      </c>
      <c r="K185" s="84">
        <f t="shared" si="223"/>
        <v>15018.731858555326</v>
      </c>
      <c r="L185" s="84">
        <f t="shared" si="223"/>
        <v>14922.073950577083</v>
      </c>
      <c r="M185" s="84">
        <f t="shared" si="222"/>
        <v>15178.856078476845</v>
      </c>
      <c r="N185" s="84">
        <f t="shared" si="223"/>
        <v>15303.291401111228</v>
      </c>
      <c r="O185" s="84">
        <f t="shared" si="223"/>
        <v>14766.958803401005</v>
      </c>
      <c r="P185" s="84">
        <f t="shared" si="223"/>
        <v>14607.267158536359</v>
      </c>
      <c r="Q185" s="84">
        <f t="shared" si="223"/>
        <v>14613.800528836813</v>
      </c>
      <c r="R185" s="84">
        <f t="shared" si="223"/>
        <v>15100.239875206176</v>
      </c>
      <c r="S185" s="84">
        <f t="shared" si="223"/>
        <v>15445.476202173375</v>
      </c>
      <c r="T185" s="84">
        <f t="shared" si="223"/>
        <v>15079.262073234117</v>
      </c>
      <c r="U185" s="84">
        <f t="shared" si="223"/>
        <v>15128.364886897609</v>
      </c>
      <c r="V185" s="84">
        <f t="shared" si="223"/>
        <v>13498.889401133478</v>
      </c>
      <c r="W185" s="84">
        <f t="shared" si="221"/>
        <v>14911.24401083434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18162.992094631041</v>
      </c>
      <c r="C186" s="84">
        <f t="shared" si="223"/>
        <v>18497.699155802286</v>
      </c>
      <c r="D186" s="84">
        <f t="shared" si="223"/>
        <v>20808.118380197058</v>
      </c>
      <c r="E186" s="84">
        <f t="shared" si="223"/>
        <v>21052.166100343889</v>
      </c>
      <c r="F186" s="84">
        <f t="shared" si="223"/>
        <v>22279.028152924802</v>
      </c>
      <c r="G186" s="84">
        <f t="shared" si="223"/>
        <v>22148.419118325921</v>
      </c>
      <c r="H186" s="84">
        <f t="shared" si="223"/>
        <v>22186.596917450912</v>
      </c>
      <c r="I186" s="84">
        <f t="shared" si="223"/>
        <v>22887.938059780958</v>
      </c>
      <c r="J186" s="84">
        <f t="shared" si="223"/>
        <v>22853.939527280334</v>
      </c>
      <c r="K186" s="84">
        <f t="shared" si="223"/>
        <v>22241.714935361368</v>
      </c>
      <c r="L186" s="84">
        <f t="shared" si="223"/>
        <v>21503.832326318265</v>
      </c>
      <c r="M186" s="84">
        <f t="shared" si="222"/>
        <v>20748.729213786162</v>
      </c>
      <c r="N186" s="84">
        <f t="shared" si="223"/>
        <v>19850.529471426635</v>
      </c>
      <c r="O186" s="84">
        <f t="shared" si="223"/>
        <v>18194.69824498763</v>
      </c>
      <c r="P186" s="84">
        <f t="shared" si="223"/>
        <v>18464.005393407569</v>
      </c>
      <c r="Q186" s="84">
        <f t="shared" si="223"/>
        <v>19364.489212048724</v>
      </c>
      <c r="R186" s="84">
        <f t="shared" si="223"/>
        <v>17150.624062652114</v>
      </c>
      <c r="S186" s="84">
        <f t="shared" si="223"/>
        <v>15212.926808761737</v>
      </c>
      <c r="T186" s="84">
        <f t="shared" si="223"/>
        <v>14529.090228529722</v>
      </c>
      <c r="U186" s="84">
        <f t="shared" si="223"/>
        <v>14170.503852893386</v>
      </c>
      <c r="V186" s="84">
        <f t="shared" si="223"/>
        <v>12795.73807638896</v>
      </c>
      <c r="W186" s="84">
        <f t="shared" si="221"/>
        <v>14335.374362049215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7150.3815783289938</v>
      </c>
      <c r="C187" s="84">
        <f t="shared" si="223"/>
        <v>7327.3806858144253</v>
      </c>
      <c r="D187" s="84">
        <f t="shared" si="223"/>
        <v>8309.1454465778952</v>
      </c>
      <c r="E187" s="84">
        <f t="shared" si="223"/>
        <v>8478.6582807830491</v>
      </c>
      <c r="F187" s="84">
        <f t="shared" si="223"/>
        <v>9060.5454203432582</v>
      </c>
      <c r="G187" s="84">
        <f t="shared" si="223"/>
        <v>9121.6070612915646</v>
      </c>
      <c r="H187" s="84">
        <f t="shared" si="223"/>
        <v>9249.4005768387196</v>
      </c>
      <c r="I187" s="84">
        <f t="shared" si="223"/>
        <v>9632.945594707473</v>
      </c>
      <c r="J187" s="84">
        <f t="shared" si="223"/>
        <v>9667.6796807108149</v>
      </c>
      <c r="K187" s="84">
        <f t="shared" si="223"/>
        <v>9472.3804131520246</v>
      </c>
      <c r="L187" s="84">
        <f t="shared" si="223"/>
        <v>9223.4566428584531</v>
      </c>
      <c r="M187" s="84">
        <f t="shared" si="222"/>
        <v>8957.8562801388325</v>
      </c>
      <c r="N187" s="84">
        <f t="shared" si="223"/>
        <v>8622.841829047351</v>
      </c>
      <c r="O187" s="84">
        <f t="shared" si="223"/>
        <v>7944.3278697517235</v>
      </c>
      <c r="P187" s="84">
        <f t="shared" si="223"/>
        <v>8120.8132903886344</v>
      </c>
      <c r="Q187" s="84">
        <f t="shared" si="223"/>
        <v>8573.5354251121462</v>
      </c>
      <c r="R187" s="84">
        <f t="shared" si="223"/>
        <v>8394.8782024548</v>
      </c>
      <c r="S187" s="84">
        <f t="shared" si="223"/>
        <v>8137.0247603066637</v>
      </c>
      <c r="T187" s="84">
        <f t="shared" si="223"/>
        <v>7708.5768431100987</v>
      </c>
      <c r="U187" s="84">
        <f t="shared" si="223"/>
        <v>7473.0153759546147</v>
      </c>
      <c r="V187" s="84">
        <f t="shared" si="223"/>
        <v>6665.5750450701653</v>
      </c>
      <c r="W187" s="84">
        <f t="shared" si="221"/>
        <v>7466.1185064582178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14233.801354228164</v>
      </c>
      <c r="K188" s="84">
        <f t="shared" si="223"/>
        <v>14329.844726924066</v>
      </c>
      <c r="L188" s="84">
        <f t="shared" si="223"/>
        <v>14183.047858949512</v>
      </c>
      <c r="M188" s="84">
        <f t="shared" si="222"/>
        <v>13774.630190642538</v>
      </c>
      <c r="N188" s="84">
        <f t="shared" si="223"/>
        <v>13259.473435723632</v>
      </c>
      <c r="O188" s="84">
        <f t="shared" si="223"/>
        <v>12216.112326078646</v>
      </c>
      <c r="P188" s="84">
        <f t="shared" si="223"/>
        <v>12487.496609024047</v>
      </c>
      <c r="Q188" s="84">
        <f t="shared" si="223"/>
        <v>13183.654237580904</v>
      </c>
      <c r="R188" s="84">
        <f t="shared" si="223"/>
        <v>12908.930342038111</v>
      </c>
      <c r="S188" s="84">
        <f t="shared" si="223"/>
        <v>12512.425229888691</v>
      </c>
      <c r="T188" s="84">
        <f t="shared" si="223"/>
        <v>11853.59443033469</v>
      </c>
      <c r="U188" s="84">
        <f t="shared" si="223"/>
        <v>11491.368023060639</v>
      </c>
      <c r="V188" s="84">
        <f t="shared" si="223"/>
        <v>10249.75489474966</v>
      </c>
      <c r="W188" s="84">
        <f t="shared" si="221"/>
        <v>11480.762603212966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14475.908693813077</v>
      </c>
      <c r="K189" s="84">
        <f t="shared" si="223"/>
        <v>14477.089115375709</v>
      </c>
      <c r="L189" s="84">
        <f t="shared" si="223"/>
        <v>14487.647112553457</v>
      </c>
      <c r="M189" s="84">
        <f t="shared" si="222"/>
        <v>14503.441799317839</v>
      </c>
      <c r="N189" s="84">
        <f t="shared" si="223"/>
        <v>14507.600828685039</v>
      </c>
      <c r="O189" s="84">
        <f t="shared" si="223"/>
        <v>14567.806948742544</v>
      </c>
      <c r="P189" s="84">
        <f t="shared" si="223"/>
        <v>14579.576639201299</v>
      </c>
      <c r="Q189" s="84">
        <f t="shared" si="223"/>
        <v>14613.800528836815</v>
      </c>
      <c r="R189" s="84">
        <f t="shared" si="223"/>
        <v>14602.638556713724</v>
      </c>
      <c r="S189" s="84">
        <f t="shared" si="223"/>
        <v>14584.442057388864</v>
      </c>
      <c r="T189" s="84">
        <f t="shared" si="223"/>
        <v>14550.39698810411</v>
      </c>
      <c r="U189" s="84">
        <f t="shared" si="223"/>
        <v>14532.377815285914</v>
      </c>
      <c r="V189" s="84">
        <f t="shared" si="223"/>
        <v>13440.686191611994</v>
      </c>
      <c r="W189" s="84">
        <f t="shared" si="221"/>
        <v>14526.08060228131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35381.407902220897</v>
      </c>
      <c r="C190" s="110">
        <f t="shared" si="223"/>
        <v>26491.458412912642</v>
      </c>
      <c r="D190" s="110">
        <f t="shared" si="223"/>
        <v>27234.003216139394</v>
      </c>
      <c r="E190" s="110">
        <f t="shared" si="223"/>
        <v>25483.744749460486</v>
      </c>
      <c r="F190" s="110">
        <f t="shared" si="223"/>
        <v>26492.431991920119</v>
      </c>
      <c r="G190" s="110">
        <f t="shared" si="223"/>
        <v>24961.344904862322</v>
      </c>
      <c r="H190" s="110">
        <f t="shared" si="223"/>
        <v>25377.361210216211</v>
      </c>
      <c r="I190" s="110">
        <f t="shared" si="223"/>
        <v>25142.561262856303</v>
      </c>
      <c r="J190" s="110">
        <f t="shared" si="223"/>
        <v>21862.744300787574</v>
      </c>
      <c r="K190" s="110">
        <f t="shared" si="223"/>
        <v>21309.282309978735</v>
      </c>
      <c r="L190" s="110">
        <f t="shared" si="223"/>
        <v>22057.608657328721</v>
      </c>
      <c r="M190" s="110">
        <f t="shared" si="222"/>
        <v>20724.052324424585</v>
      </c>
      <c r="N190" s="110">
        <f t="shared" si="223"/>
        <v>21080.407831191969</v>
      </c>
      <c r="O190" s="110">
        <f t="shared" si="223"/>
        <v>22884.701224892735</v>
      </c>
      <c r="P190" s="110">
        <f t="shared" si="223"/>
        <v>23553.828363604269</v>
      </c>
      <c r="Q190" s="110">
        <f t="shared" si="223"/>
        <v>24491.066933479153</v>
      </c>
      <c r="R190" s="110">
        <f t="shared" si="223"/>
        <v>27423.549639217155</v>
      </c>
      <c r="S190" s="110">
        <f t="shared" si="223"/>
        <v>27613.82031261974</v>
      </c>
      <c r="T190" s="110">
        <f t="shared" si="223"/>
        <v>25601.185614910468</v>
      </c>
      <c r="U190" s="110">
        <f t="shared" si="223"/>
        <v>26553.677969908265</v>
      </c>
      <c r="V190" s="110">
        <f t="shared" si="223"/>
        <v>26675.54717227666</v>
      </c>
      <c r="W190" s="110">
        <f t="shared" si="221"/>
        <v>27386.168682209569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25095.326771304426</v>
      </c>
      <c r="C191" s="102">
        <f t="shared" si="223"/>
        <v>17946.775656980179</v>
      </c>
      <c r="D191" s="102">
        <f t="shared" si="223"/>
        <v>18321.937845834935</v>
      </c>
      <c r="E191" s="102">
        <f t="shared" si="223"/>
        <v>16385.073538349337</v>
      </c>
      <c r="F191" s="102">
        <f t="shared" si="223"/>
        <v>16302.565624072831</v>
      </c>
      <c r="G191" s="102">
        <f t="shared" si="223"/>
        <v>14535.364624847729</v>
      </c>
      <c r="H191" s="102">
        <f t="shared" si="223"/>
        <v>14718.542796296577</v>
      </c>
      <c r="I191" s="102">
        <f t="shared" si="223"/>
        <v>14214.61990046786</v>
      </c>
      <c r="J191" s="102">
        <f t="shared" si="223"/>
        <v>10984.120705244122</v>
      </c>
      <c r="K191" s="102">
        <f t="shared" si="223"/>
        <v>10841.891466659039</v>
      </c>
      <c r="L191" s="102">
        <f t="shared" si="223"/>
        <v>11226.509143392801</v>
      </c>
      <c r="M191" s="102">
        <f t="shared" si="222"/>
        <v>10585.542628266259</v>
      </c>
      <c r="N191" s="102">
        <f t="shared" si="223"/>
        <v>10798.579683910046</v>
      </c>
      <c r="O191" s="102">
        <f t="shared" si="223"/>
        <v>11920.696310648022</v>
      </c>
      <c r="P191" s="102">
        <f t="shared" si="223"/>
        <v>12530.521143850083</v>
      </c>
      <c r="Q191" s="102">
        <f t="shared" si="223"/>
        <v>13885.315724780608</v>
      </c>
      <c r="R191" s="102">
        <f t="shared" si="223"/>
        <v>15262.357168290551</v>
      </c>
      <c r="S191" s="102">
        <f t="shared" si="223"/>
        <v>15370.80759403603</v>
      </c>
      <c r="T191" s="102">
        <f t="shared" si="223"/>
        <v>13930.573203720016</v>
      </c>
      <c r="U191" s="102">
        <f t="shared" si="223"/>
        <v>15053.300973856411</v>
      </c>
      <c r="V191" s="102">
        <f t="shared" si="223"/>
        <v>14712.672961482731</v>
      </c>
      <c r="W191" s="102">
        <f t="shared" si="221"/>
        <v>15731.73256054647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85000.874926995704</v>
      </c>
      <c r="C192" s="86">
        <f t="shared" si="223"/>
        <v>84998.062774179911</v>
      </c>
      <c r="D192" s="86">
        <f t="shared" si="223"/>
        <v>84998.748950914829</v>
      </c>
      <c r="E192" s="86">
        <f t="shared" si="223"/>
        <v>84999.35594458245</v>
      </c>
      <c r="F192" s="86">
        <f t="shared" si="223"/>
        <v>85001.250456061825</v>
      </c>
      <c r="G192" s="86">
        <f t="shared" si="223"/>
        <v>85001.591452215245</v>
      </c>
      <c r="H192" s="86">
        <f t="shared" si="223"/>
        <v>85001.364958712787</v>
      </c>
      <c r="I192" s="86">
        <f t="shared" si="223"/>
        <v>84998.748041223895</v>
      </c>
      <c r="J192" s="86">
        <f t="shared" si="223"/>
        <v>85000.862748389045</v>
      </c>
      <c r="K192" s="86">
        <f t="shared" si="223"/>
        <v>84998.169949320203</v>
      </c>
      <c r="L192" s="86">
        <f t="shared" si="223"/>
        <v>84999.736200181389</v>
      </c>
      <c r="M192" s="86">
        <f t="shared" si="222"/>
        <v>84999.997109138101</v>
      </c>
      <c r="N192" s="86">
        <f t="shared" si="223"/>
        <v>84999.165483291261</v>
      </c>
      <c r="O192" s="86">
        <f t="shared" si="223"/>
        <v>84999.975955236267</v>
      </c>
      <c r="P192" s="86">
        <f t="shared" si="223"/>
        <v>85000.297975255075</v>
      </c>
      <c r="Q192" s="86">
        <f t="shared" si="223"/>
        <v>85001.70780992067</v>
      </c>
      <c r="R192" s="86">
        <f t="shared" si="223"/>
        <v>84999.231644402491</v>
      </c>
      <c r="S192" s="86">
        <f t="shared" si="223"/>
        <v>85001.23137889069</v>
      </c>
      <c r="T192" s="86">
        <f t="shared" si="223"/>
        <v>85000.26867692839</v>
      </c>
      <c r="U192" s="86">
        <f t="shared" si="223"/>
        <v>85000.012333449878</v>
      </c>
      <c r="V192" s="86">
        <f t="shared" ref="V192:W192" si="224">IF(V55=0,0,V55*1000000/V82)</f>
        <v>84999.840853951246</v>
      </c>
      <c r="W192" s="86">
        <f t="shared" si="224"/>
        <v>85001.08944784796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23625.709952451882</v>
      </c>
      <c r="C195" s="28">
        <f t="shared" si="225"/>
        <v>23550.732183026619</v>
      </c>
      <c r="D195" s="28">
        <f t="shared" si="225"/>
        <v>23801.505728806147</v>
      </c>
      <c r="E195" s="28">
        <f t="shared" si="225"/>
        <v>23434.060147710559</v>
      </c>
      <c r="F195" s="28">
        <f t="shared" si="225"/>
        <v>23411.970104683744</v>
      </c>
      <c r="G195" s="28">
        <f t="shared" si="225"/>
        <v>23128.642904969565</v>
      </c>
      <c r="H195" s="28">
        <f t="shared" si="225"/>
        <v>22912.792902562767</v>
      </c>
      <c r="I195" s="28">
        <f t="shared" si="225"/>
        <v>23031.165044062298</v>
      </c>
      <c r="J195" s="28">
        <f t="shared" si="225"/>
        <v>23036.776263902535</v>
      </c>
      <c r="K195" s="28">
        <f t="shared" si="225"/>
        <v>22737.750808236178</v>
      </c>
      <c r="L195" s="28">
        <f t="shared" si="225"/>
        <v>22517.474094800276</v>
      </c>
      <c r="M195" s="28">
        <f>IF(M4=0,0,M4*1000000/M58)</f>
        <v>22105.231078932189</v>
      </c>
      <c r="N195" s="28">
        <f t="shared" ref="N195:V195" si="226">IF(N4=0,0,N4*1000000/N58)</f>
        <v>21998.47173443238</v>
      </c>
      <c r="O195" s="28">
        <f t="shared" si="226"/>
        <v>20594.126162950586</v>
      </c>
      <c r="P195" s="28">
        <f t="shared" si="226"/>
        <v>20785.139039925525</v>
      </c>
      <c r="Q195" s="28">
        <f t="shared" si="226"/>
        <v>20168.942108416817</v>
      </c>
      <c r="R195" s="28">
        <f t="shared" si="226"/>
        <v>19596.103294927863</v>
      </c>
      <c r="S195" s="28">
        <f t="shared" si="226"/>
        <v>19415.819031926319</v>
      </c>
      <c r="T195" s="28">
        <f t="shared" si="226"/>
        <v>18761.955386436308</v>
      </c>
      <c r="U195" s="28">
        <f t="shared" si="226"/>
        <v>18627.68791197017</v>
      </c>
      <c r="V195" s="28">
        <f t="shared" si="226"/>
        <v>15382.174296915573</v>
      </c>
      <c r="W195" s="28">
        <f t="shared" ref="W195" si="227">IF(W4=0,0,W4*1000000/W58)</f>
        <v>16054.101352159385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5724.0636227957457</v>
      </c>
      <c r="C196" s="137">
        <f t="shared" si="228"/>
        <v>5671.7706565571261</v>
      </c>
      <c r="D196" s="137">
        <f t="shared" si="228"/>
        <v>5754.5348736579353</v>
      </c>
      <c r="E196" s="137">
        <f t="shared" si="228"/>
        <v>5749.2892122130479</v>
      </c>
      <c r="F196" s="137">
        <f t="shared" si="228"/>
        <v>5798.9782525662704</v>
      </c>
      <c r="G196" s="137">
        <f t="shared" si="228"/>
        <v>5243.3690944223026</v>
      </c>
      <c r="H196" s="137">
        <f t="shared" si="228"/>
        <v>5211.9160517947948</v>
      </c>
      <c r="I196" s="137">
        <f t="shared" si="228"/>
        <v>5225.8647205107636</v>
      </c>
      <c r="J196" s="137">
        <f t="shared" si="228"/>
        <v>5039.953602348387</v>
      </c>
      <c r="K196" s="137">
        <f t="shared" si="228"/>
        <v>4763.873406013694</v>
      </c>
      <c r="L196" s="137">
        <f t="shared" si="228"/>
        <v>4378.5758603698796</v>
      </c>
      <c r="M196" s="137">
        <f>IF(M5=0,0,M5*1000000/M59)</f>
        <v>4223.5395194755902</v>
      </c>
      <c r="N196" s="137">
        <f t="shared" ref="N196:V196" si="229">IF(N5=0,0,N5*1000000/N59)</f>
        <v>3996.8375863377837</v>
      </c>
      <c r="O196" s="137">
        <f t="shared" si="229"/>
        <v>3733.9709863589082</v>
      </c>
      <c r="P196" s="137">
        <f t="shared" si="229"/>
        <v>3893.2282485729756</v>
      </c>
      <c r="Q196" s="137">
        <f t="shared" si="229"/>
        <v>3775.9574636384909</v>
      </c>
      <c r="R196" s="137">
        <f t="shared" si="229"/>
        <v>3803.4711848543548</v>
      </c>
      <c r="S196" s="137">
        <f t="shared" si="229"/>
        <v>3523.6167272757043</v>
      </c>
      <c r="T196" s="137">
        <f t="shared" si="229"/>
        <v>2485.8051105127192</v>
      </c>
      <c r="U196" s="137">
        <f t="shared" si="229"/>
        <v>2536.72724445411</v>
      </c>
      <c r="V196" s="137">
        <f t="shared" si="229"/>
        <v>2194.3300278652036</v>
      </c>
      <c r="W196" s="137">
        <f t="shared" ref="W196" si="230">IF(W5=0,0,W5*1000000/W59)</f>
        <v>2172.6895291849264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21920.561202199744</v>
      </c>
      <c r="C197" s="110">
        <f t="shared" si="231"/>
        <v>21822.90343601528</v>
      </c>
      <c r="D197" s="110">
        <f t="shared" si="231"/>
        <v>21901.700146023795</v>
      </c>
      <c r="E197" s="110">
        <f t="shared" si="231"/>
        <v>21260.087019007249</v>
      </c>
      <c r="F197" s="110">
        <f t="shared" si="231"/>
        <v>21135.184699514193</v>
      </c>
      <c r="G197" s="110">
        <f t="shared" si="231"/>
        <v>20899.423553707871</v>
      </c>
      <c r="H197" s="110">
        <f t="shared" si="231"/>
        <v>20630.9481532346</v>
      </c>
      <c r="I197" s="110">
        <f t="shared" si="231"/>
        <v>20711.110523686384</v>
      </c>
      <c r="J197" s="110">
        <f t="shared" si="231"/>
        <v>21037.394334199813</v>
      </c>
      <c r="K197" s="110">
        <f t="shared" si="231"/>
        <v>20811.434129289322</v>
      </c>
      <c r="L197" s="110">
        <f t="shared" si="231"/>
        <v>20733.085712481959</v>
      </c>
      <c r="M197" s="110">
        <f>IF(M6=0,0,M6*1000000/M60)</f>
        <v>20338.363750871336</v>
      </c>
      <c r="N197" s="110">
        <f t="shared" ref="N197:V197" si="232">IF(N6=0,0,N6*1000000/N60)</f>
        <v>20231.641859282565</v>
      </c>
      <c r="O197" s="110">
        <f t="shared" si="232"/>
        <v>19166.955913729602</v>
      </c>
      <c r="P197" s="110">
        <f t="shared" si="232"/>
        <v>19460.113756055212</v>
      </c>
      <c r="Q197" s="110">
        <f t="shared" si="232"/>
        <v>19027.378933513515</v>
      </c>
      <c r="R197" s="110">
        <f t="shared" si="232"/>
        <v>18581.30911179254</v>
      </c>
      <c r="S197" s="110">
        <f t="shared" si="232"/>
        <v>18484.31071963843</v>
      </c>
      <c r="T197" s="110">
        <f t="shared" si="232"/>
        <v>18333.436835936001</v>
      </c>
      <c r="U197" s="110">
        <f t="shared" si="232"/>
        <v>18244.323533277868</v>
      </c>
      <c r="V197" s="110">
        <f t="shared" si="232"/>
        <v>15528.137281845335</v>
      </c>
      <c r="W197" s="110">
        <f t="shared" ref="W197:W209" si="233">IF(W6=0,0,W6*1000000/W60)</f>
        <v>16320.76383365022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15986.419141834853</v>
      </c>
      <c r="C198" s="84">
        <f t="shared" si="231"/>
        <v>15515.101992041427</v>
      </c>
      <c r="D198" s="84">
        <f t="shared" si="231"/>
        <v>15285.142153933155</v>
      </c>
      <c r="E198" s="84">
        <f t="shared" si="231"/>
        <v>14964.531647825464</v>
      </c>
      <c r="F198" s="84">
        <f t="shared" si="231"/>
        <v>13727.883530760369</v>
      </c>
      <c r="G198" s="84">
        <f t="shared" si="231"/>
        <v>13493.359353910095</v>
      </c>
      <c r="H198" s="84">
        <f t="shared" si="231"/>
        <v>12599.422603305957</v>
      </c>
      <c r="I198" s="84">
        <f t="shared" si="231"/>
        <v>12015.033001610673</v>
      </c>
      <c r="J198" s="84">
        <f t="shared" si="231"/>
        <v>11514.680506867788</v>
      </c>
      <c r="K198" s="84">
        <f t="shared" si="231"/>
        <v>11336.466059461163</v>
      </c>
      <c r="L198" s="84">
        <f t="shared" si="231"/>
        <v>10894.383685459929</v>
      </c>
      <c r="M198" s="84">
        <f t="shared" ref="M198:M219" si="234">IF(M7=0,0,M7*1000000/M61)</f>
        <v>10758.534500871207</v>
      </c>
      <c r="N198" s="84">
        <f t="shared" si="231"/>
        <v>10844.660994349522</v>
      </c>
      <c r="O198" s="84">
        <f t="shared" si="231"/>
        <v>10662.431614405801</v>
      </c>
      <c r="P198" s="84">
        <f t="shared" si="231"/>
        <v>11173.999269186115</v>
      </c>
      <c r="Q198" s="84">
        <f t="shared" si="231"/>
        <v>11286.347621519575</v>
      </c>
      <c r="R198" s="84">
        <f t="shared" si="231"/>
        <v>11608.147812715995</v>
      </c>
      <c r="S198" s="84">
        <f t="shared" si="231"/>
        <v>11974.802035842251</v>
      </c>
      <c r="T198" s="84">
        <f t="shared" si="231"/>
        <v>12847.376186085434</v>
      </c>
      <c r="U198" s="84">
        <f t="shared" si="231"/>
        <v>13677.451903667719</v>
      </c>
      <c r="V198" s="84">
        <f t="shared" si="231"/>
        <v>11221.442968694566</v>
      </c>
      <c r="W198" s="84">
        <f t="shared" si="233"/>
        <v>12567.636565749819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30761.998851514745</v>
      </c>
      <c r="C199" s="84">
        <f t="shared" si="231"/>
        <v>30599.035273187052</v>
      </c>
      <c r="D199" s="84">
        <f t="shared" si="231"/>
        <v>30465.856653490147</v>
      </c>
      <c r="E199" s="84">
        <f t="shared" si="231"/>
        <v>28874.743924968505</v>
      </c>
      <c r="F199" s="84">
        <f t="shared" si="231"/>
        <v>29321.547915459341</v>
      </c>
      <c r="G199" s="84">
        <f t="shared" si="231"/>
        <v>28472.116576748645</v>
      </c>
      <c r="H199" s="84">
        <f t="shared" si="231"/>
        <v>28051.10947120719</v>
      </c>
      <c r="I199" s="84">
        <f t="shared" si="231"/>
        <v>28006.696160206182</v>
      </c>
      <c r="J199" s="84">
        <f t="shared" si="231"/>
        <v>28256.671369728971</v>
      </c>
      <c r="K199" s="84">
        <f t="shared" si="231"/>
        <v>27447.271960700815</v>
      </c>
      <c r="L199" s="84">
        <f t="shared" si="231"/>
        <v>27126.9752608214</v>
      </c>
      <c r="M199" s="84">
        <f t="shared" si="234"/>
        <v>26192.296483448958</v>
      </c>
      <c r="N199" s="84">
        <f t="shared" si="231"/>
        <v>25818.518333561955</v>
      </c>
      <c r="O199" s="84">
        <f t="shared" si="231"/>
        <v>24206.010045679519</v>
      </c>
      <c r="P199" s="84">
        <f t="shared" si="231"/>
        <v>24458.334536966635</v>
      </c>
      <c r="Q199" s="84">
        <f t="shared" si="231"/>
        <v>23886.035374533334</v>
      </c>
      <c r="R199" s="84">
        <f t="shared" si="231"/>
        <v>23250.050669495315</v>
      </c>
      <c r="S199" s="84">
        <f t="shared" si="231"/>
        <v>23270.464214560623</v>
      </c>
      <c r="T199" s="84">
        <f t="shared" si="231"/>
        <v>22914.115528237737</v>
      </c>
      <c r="U199" s="84">
        <f t="shared" si="231"/>
        <v>22624.98663262873</v>
      </c>
      <c r="V199" s="84">
        <f t="shared" si="231"/>
        <v>20212.28474544948</v>
      </c>
      <c r="W199" s="84">
        <f t="shared" si="233"/>
        <v>20990.742500276236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16900.763357965385</v>
      </c>
      <c r="C200" s="84">
        <f t="shared" si="231"/>
        <v>16168.508446463688</v>
      </c>
      <c r="D200" s="84">
        <f t="shared" si="231"/>
        <v>16112.42780032418</v>
      </c>
      <c r="E200" s="84">
        <f t="shared" si="231"/>
        <v>14804.262500877132</v>
      </c>
      <c r="F200" s="84">
        <f t="shared" si="231"/>
        <v>15062.210851945985</v>
      </c>
      <c r="G200" s="84">
        <f t="shared" si="231"/>
        <v>14955.170028734801</v>
      </c>
      <c r="H200" s="84">
        <f t="shared" si="231"/>
        <v>14323.889699925134</v>
      </c>
      <c r="I200" s="84">
        <f t="shared" si="231"/>
        <v>13758.267154060302</v>
      </c>
      <c r="J200" s="84">
        <f t="shared" si="231"/>
        <v>13898.858375832846</v>
      </c>
      <c r="K200" s="84">
        <f t="shared" si="231"/>
        <v>14059.125466380607</v>
      </c>
      <c r="L200" s="84">
        <f t="shared" si="231"/>
        <v>14473.38744136983</v>
      </c>
      <c r="M200" s="84">
        <f t="shared" si="234"/>
        <v>14503.014857734343</v>
      </c>
      <c r="N200" s="84">
        <f t="shared" si="231"/>
        <v>14489.441652401412</v>
      </c>
      <c r="O200" s="84">
        <f t="shared" si="231"/>
        <v>13896.024102486504</v>
      </c>
      <c r="P200" s="84">
        <f t="shared" si="231"/>
        <v>14034.858179710216</v>
      </c>
      <c r="Q200" s="84">
        <f t="shared" si="231"/>
        <v>13698.152447007094</v>
      </c>
      <c r="R200" s="84">
        <f t="shared" si="231"/>
        <v>13863.446101689642</v>
      </c>
      <c r="S200" s="84">
        <f t="shared" si="231"/>
        <v>14425.27490620354</v>
      </c>
      <c r="T200" s="84">
        <f t="shared" si="231"/>
        <v>14753.355381218851</v>
      </c>
      <c r="U200" s="84">
        <f t="shared" si="231"/>
        <v>15126.242698163194</v>
      </c>
      <c r="V200" s="84">
        <f t="shared" si="231"/>
        <v>14052.922787108559</v>
      </c>
      <c r="W200" s="84">
        <f t="shared" si="233"/>
        <v>14552.850619215691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0</v>
      </c>
      <c r="E201" s="84">
        <f t="shared" si="231"/>
        <v>0</v>
      </c>
      <c r="F201" s="84">
        <f t="shared" si="231"/>
        <v>23661.155601184531</v>
      </c>
      <c r="G201" s="84">
        <f t="shared" si="231"/>
        <v>23023.145566005765</v>
      </c>
      <c r="H201" s="84">
        <f t="shared" si="231"/>
        <v>22262.263456883433</v>
      </c>
      <c r="I201" s="84">
        <f t="shared" si="231"/>
        <v>21810.833370029846</v>
      </c>
      <c r="J201" s="84">
        <f t="shared" si="231"/>
        <v>21808.967272661197</v>
      </c>
      <c r="K201" s="84">
        <f t="shared" si="231"/>
        <v>21837.61267915741</v>
      </c>
      <c r="L201" s="84">
        <f t="shared" si="231"/>
        <v>23649.105278219286</v>
      </c>
      <c r="M201" s="84">
        <f t="shared" si="234"/>
        <v>23297.21134649299</v>
      </c>
      <c r="N201" s="84">
        <f t="shared" si="231"/>
        <v>23424.461126304872</v>
      </c>
      <c r="O201" s="84">
        <f t="shared" si="231"/>
        <v>22015.806165867263</v>
      </c>
      <c r="P201" s="84">
        <f t="shared" si="231"/>
        <v>21791.049056309159</v>
      </c>
      <c r="Q201" s="84">
        <f t="shared" si="231"/>
        <v>20636.536357890596</v>
      </c>
      <c r="R201" s="84">
        <f t="shared" si="231"/>
        <v>20680.794164793519</v>
      </c>
      <c r="S201" s="84">
        <f t="shared" si="231"/>
        <v>21096.962961580386</v>
      </c>
      <c r="T201" s="84">
        <f t="shared" si="231"/>
        <v>21153.706490349799</v>
      </c>
      <c r="U201" s="84">
        <f t="shared" si="231"/>
        <v>21263.099077392901</v>
      </c>
      <c r="V201" s="84">
        <f t="shared" si="231"/>
        <v>19366.98369067454</v>
      </c>
      <c r="W201" s="84">
        <f t="shared" si="233"/>
        <v>19662.703321573492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10748.854665881261</v>
      </c>
      <c r="N202" s="84">
        <f t="shared" si="231"/>
        <v>11592.901527881919</v>
      </c>
      <c r="O202" s="84">
        <f t="shared" si="231"/>
        <v>11318.157375184654</v>
      </c>
      <c r="P202" s="84">
        <f t="shared" si="231"/>
        <v>11797.458095393549</v>
      </c>
      <c r="Q202" s="84">
        <f t="shared" si="231"/>
        <v>11905.598139273565</v>
      </c>
      <c r="R202" s="84">
        <f t="shared" si="231"/>
        <v>12120.700895067823</v>
      </c>
      <c r="S202" s="84">
        <f t="shared" si="231"/>
        <v>12476.927272056886</v>
      </c>
      <c r="T202" s="84">
        <f t="shared" si="231"/>
        <v>13246.235734446562</v>
      </c>
      <c r="U202" s="84">
        <f t="shared" si="231"/>
        <v>14007.535018545923</v>
      </c>
      <c r="V202" s="84">
        <f t="shared" si="231"/>
        <v>11482.584506472353</v>
      </c>
      <c r="W202" s="84">
        <f t="shared" si="233"/>
        <v>12823.706661498116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16802.297417891918</v>
      </c>
      <c r="K203" s="84">
        <f t="shared" si="231"/>
        <v>16751.708383640067</v>
      </c>
      <c r="L203" s="84">
        <f t="shared" si="231"/>
        <v>17110.156052931827</v>
      </c>
      <c r="M203" s="84">
        <f t="shared" si="234"/>
        <v>17071.766201092592</v>
      </c>
      <c r="N203" s="84">
        <f t="shared" si="231"/>
        <v>17292.357362938044</v>
      </c>
      <c r="O203" s="84">
        <f t="shared" si="231"/>
        <v>16847.602812548197</v>
      </c>
      <c r="P203" s="84">
        <f t="shared" si="231"/>
        <v>16732.313846432495</v>
      </c>
      <c r="Q203" s="84">
        <f t="shared" si="231"/>
        <v>16102.221409644666</v>
      </c>
      <c r="R203" s="84">
        <f t="shared" si="231"/>
        <v>16177.637559847695</v>
      </c>
      <c r="S203" s="84">
        <f t="shared" si="231"/>
        <v>16754.512048972141</v>
      </c>
      <c r="T203" s="84">
        <f t="shared" si="231"/>
        <v>16799.894125239458</v>
      </c>
      <c r="U203" s="84">
        <f t="shared" si="231"/>
        <v>16846.357785108412</v>
      </c>
      <c r="V203" s="84">
        <f t="shared" si="231"/>
        <v>14481.245565209521</v>
      </c>
      <c r="W203" s="84">
        <f t="shared" si="233"/>
        <v>16627.511304631393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903291.75170075521</v>
      </c>
      <c r="C204" s="110">
        <f t="shared" si="231"/>
        <v>939311.68433967629</v>
      </c>
      <c r="D204" s="110">
        <f t="shared" si="231"/>
        <v>1012893.4815386401</v>
      </c>
      <c r="E204" s="110">
        <f t="shared" si="231"/>
        <v>1094526.6944074335</v>
      </c>
      <c r="F204" s="110">
        <f t="shared" si="231"/>
        <v>1118410.2299151421</v>
      </c>
      <c r="G204" s="110">
        <f t="shared" si="231"/>
        <v>1138005.8511781243</v>
      </c>
      <c r="H204" s="110">
        <f t="shared" si="231"/>
        <v>1179333.6382893089</v>
      </c>
      <c r="I204" s="110">
        <f t="shared" si="231"/>
        <v>1210003.0362493249</v>
      </c>
      <c r="J204" s="110">
        <f t="shared" si="231"/>
        <v>1101175.5877938969</v>
      </c>
      <c r="K204" s="110">
        <f t="shared" si="231"/>
        <v>1097690.0566589877</v>
      </c>
      <c r="L204" s="110">
        <f t="shared" si="231"/>
        <v>1071120.4240108468</v>
      </c>
      <c r="M204" s="110">
        <f t="shared" si="234"/>
        <v>1097515.5279503106</v>
      </c>
      <c r="N204" s="110">
        <f t="shared" si="231"/>
        <v>1117210.4048406214</v>
      </c>
      <c r="O204" s="110">
        <f t="shared" si="231"/>
        <v>996485.90570092318</v>
      </c>
      <c r="P204" s="110">
        <f t="shared" si="231"/>
        <v>964233.85077616421</v>
      </c>
      <c r="Q204" s="110">
        <f t="shared" si="231"/>
        <v>891058.92558398913</v>
      </c>
      <c r="R204" s="110">
        <f t="shared" si="231"/>
        <v>845621.46013568179</v>
      </c>
      <c r="S204" s="110">
        <f t="shared" si="231"/>
        <v>827152.07445784705</v>
      </c>
      <c r="T204" s="110">
        <f t="shared" si="231"/>
        <v>828979.7720680522</v>
      </c>
      <c r="U204" s="110">
        <f t="shared" si="231"/>
        <v>822347.2533577315</v>
      </c>
      <c r="V204" s="110">
        <f t="shared" si="231"/>
        <v>535432.56809350767</v>
      </c>
      <c r="W204" s="110">
        <f t="shared" si="233"/>
        <v>550943.67051909957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320008.31429032737</v>
      </c>
      <c r="C205" s="102">
        <f t="shared" si="231"/>
        <v>336381.83728125121</v>
      </c>
      <c r="D205" s="102">
        <f t="shared" si="231"/>
        <v>366552.28523545858</v>
      </c>
      <c r="E205" s="102">
        <f t="shared" si="231"/>
        <v>400213.72110380832</v>
      </c>
      <c r="F205" s="102">
        <f t="shared" si="231"/>
        <v>412788.32116081269</v>
      </c>
      <c r="G205" s="102">
        <f t="shared" si="231"/>
        <v>423952.03313640878</v>
      </c>
      <c r="H205" s="102">
        <f t="shared" si="231"/>
        <v>443451.40397068369</v>
      </c>
      <c r="I205" s="102">
        <f t="shared" si="231"/>
        <v>456697.95633844548</v>
      </c>
      <c r="J205" s="102">
        <f t="shared" si="231"/>
        <v>411234.84531079553</v>
      </c>
      <c r="K205" s="102">
        <f t="shared" si="231"/>
        <v>405576.75929767708</v>
      </c>
      <c r="L205" s="102">
        <f t="shared" si="231"/>
        <v>391559.7588147177</v>
      </c>
      <c r="M205" s="102">
        <f t="shared" si="234"/>
        <v>396933.07211300998</v>
      </c>
      <c r="N205" s="102">
        <f t="shared" si="231"/>
        <v>399753.47220294573</v>
      </c>
      <c r="O205" s="102">
        <f t="shared" si="231"/>
        <v>352752.01998529996</v>
      </c>
      <c r="P205" s="102">
        <f t="shared" si="231"/>
        <v>338135.25649996771</v>
      </c>
      <c r="Q205" s="102">
        <f t="shared" si="231"/>
        <v>310440.66507370531</v>
      </c>
      <c r="R205" s="102">
        <f t="shared" si="231"/>
        <v>290699.7177688533</v>
      </c>
      <c r="S205" s="102">
        <f t="shared" si="231"/>
        <v>281430.1120685793</v>
      </c>
      <c r="T205" s="102">
        <f t="shared" si="231"/>
        <v>279263.92415042181</v>
      </c>
      <c r="U205" s="102">
        <f t="shared" si="231"/>
        <v>274150.75665818044</v>
      </c>
      <c r="V205" s="102">
        <f t="shared" si="231"/>
        <v>212216.27385812261</v>
      </c>
      <c r="W205" s="102">
        <f t="shared" si="233"/>
        <v>207481.43594164331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911907.57399638079</v>
      </c>
      <c r="C206" s="102">
        <f t="shared" si="231"/>
        <v>947951.74182416627</v>
      </c>
      <c r="D206" s="102">
        <f t="shared" si="231"/>
        <v>1021243.3105740921</v>
      </c>
      <c r="E206" s="102">
        <f t="shared" si="231"/>
        <v>1103274.2858146979</v>
      </c>
      <c r="F206" s="102">
        <f t="shared" si="231"/>
        <v>1126999.5678792652</v>
      </c>
      <c r="G206" s="102">
        <f t="shared" si="231"/>
        <v>1146746.5726804044</v>
      </c>
      <c r="H206" s="102">
        <f t="shared" si="231"/>
        <v>1187569.0474672881</v>
      </c>
      <c r="I206" s="102">
        <f t="shared" si="231"/>
        <v>1217974.3390195859</v>
      </c>
      <c r="J206" s="102">
        <f t="shared" si="231"/>
        <v>1107865.2785318086</v>
      </c>
      <c r="K206" s="102">
        <f t="shared" si="231"/>
        <v>1103956.8275105821</v>
      </c>
      <c r="L206" s="102">
        <f t="shared" si="231"/>
        <v>1076763.9507717197</v>
      </c>
      <c r="M206" s="102">
        <f t="shared" si="234"/>
        <v>1103270.8370701219</v>
      </c>
      <c r="N206" s="102">
        <f t="shared" si="231"/>
        <v>1123020.5266162623</v>
      </c>
      <c r="O206" s="102">
        <f t="shared" si="231"/>
        <v>1001503.5359710263</v>
      </c>
      <c r="P206" s="102">
        <f t="shared" si="231"/>
        <v>968955.66934049898</v>
      </c>
      <c r="Q206" s="102">
        <f t="shared" si="231"/>
        <v>895257.1848111687</v>
      </c>
      <c r="R206" s="102">
        <f t="shared" si="231"/>
        <v>849639.61040650157</v>
      </c>
      <c r="S206" s="102">
        <f t="shared" si="231"/>
        <v>831046.64290224982</v>
      </c>
      <c r="T206" s="102">
        <f t="shared" si="231"/>
        <v>832830.14581057429</v>
      </c>
      <c r="U206" s="102">
        <f t="shared" si="231"/>
        <v>825991.42275323079</v>
      </c>
      <c r="V206" s="102">
        <f t="shared" si="231"/>
        <v>537537.65008571174</v>
      </c>
      <c r="W206" s="102">
        <f t="shared" si="233"/>
        <v>553206.81379228621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0</v>
      </c>
      <c r="D207" s="102">
        <f t="shared" si="231"/>
        <v>0</v>
      </c>
      <c r="E207" s="102">
        <f t="shared" si="231"/>
        <v>0</v>
      </c>
      <c r="F207" s="102">
        <f t="shared" si="231"/>
        <v>0</v>
      </c>
      <c r="G207" s="102">
        <f t="shared" si="231"/>
        <v>0</v>
      </c>
      <c r="H207" s="102">
        <f t="shared" si="231"/>
        <v>0</v>
      </c>
      <c r="I207" s="102">
        <f t="shared" si="231"/>
        <v>0</v>
      </c>
      <c r="J207" s="102">
        <f t="shared" si="231"/>
        <v>0</v>
      </c>
      <c r="K207" s="102">
        <f t="shared" si="231"/>
        <v>0</v>
      </c>
      <c r="L207" s="102">
        <f t="shared" si="231"/>
        <v>0</v>
      </c>
      <c r="M207" s="102">
        <f t="shared" si="234"/>
        <v>0</v>
      </c>
      <c r="N207" s="102">
        <f t="shared" si="231"/>
        <v>0</v>
      </c>
      <c r="O207" s="102">
        <f t="shared" si="231"/>
        <v>0</v>
      </c>
      <c r="P207" s="102">
        <f t="shared" si="231"/>
        <v>0</v>
      </c>
      <c r="Q207" s="102">
        <f t="shared" si="231"/>
        <v>0</v>
      </c>
      <c r="R207" s="102">
        <f t="shared" si="231"/>
        <v>0</v>
      </c>
      <c r="S207" s="102">
        <f t="shared" si="231"/>
        <v>0</v>
      </c>
      <c r="T207" s="102">
        <f t="shared" si="231"/>
        <v>0</v>
      </c>
      <c r="U207" s="102">
        <f t="shared" si="231"/>
        <v>0</v>
      </c>
      <c r="V207" s="102">
        <f t="shared" si="231"/>
        <v>0</v>
      </c>
      <c r="W207" s="102">
        <f t="shared" si="233"/>
        <v>0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0</v>
      </c>
      <c r="C208" s="102">
        <f t="shared" si="231"/>
        <v>0</v>
      </c>
      <c r="D208" s="102">
        <f t="shared" si="231"/>
        <v>0</v>
      </c>
      <c r="E208" s="102">
        <f t="shared" si="231"/>
        <v>0</v>
      </c>
      <c r="F208" s="102">
        <f t="shared" si="231"/>
        <v>0</v>
      </c>
      <c r="G208" s="102">
        <f t="shared" si="231"/>
        <v>0</v>
      </c>
      <c r="H208" s="102">
        <f t="shared" si="231"/>
        <v>0</v>
      </c>
      <c r="I208" s="102">
        <f t="shared" si="231"/>
        <v>0</v>
      </c>
      <c r="J208" s="102">
        <f t="shared" si="231"/>
        <v>0</v>
      </c>
      <c r="K208" s="102">
        <f t="shared" si="231"/>
        <v>0</v>
      </c>
      <c r="L208" s="102">
        <f t="shared" si="231"/>
        <v>0</v>
      </c>
      <c r="M208" s="102">
        <f t="shared" si="234"/>
        <v>0</v>
      </c>
      <c r="N208" s="102">
        <f t="shared" si="231"/>
        <v>0</v>
      </c>
      <c r="O208" s="102">
        <f t="shared" si="231"/>
        <v>0</v>
      </c>
      <c r="P208" s="102">
        <f t="shared" si="231"/>
        <v>0</v>
      </c>
      <c r="Q208" s="102">
        <f t="shared" si="231"/>
        <v>0</v>
      </c>
      <c r="R208" s="102">
        <f t="shared" si="231"/>
        <v>732688.00407447561</v>
      </c>
      <c r="S208" s="102">
        <f t="shared" si="231"/>
        <v>730748.20665644133</v>
      </c>
      <c r="T208" s="102">
        <f t="shared" si="231"/>
        <v>747014.93705349101</v>
      </c>
      <c r="U208" s="102">
        <f t="shared" si="231"/>
        <v>755498.22327887488</v>
      </c>
      <c r="V208" s="102">
        <f t="shared" si="231"/>
        <v>501480.45119850087</v>
      </c>
      <c r="W208" s="102">
        <f t="shared" si="233"/>
        <v>525916.90445361508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824060.44444344158</v>
      </c>
      <c r="C209" s="102">
        <f t="shared" si="231"/>
        <v>844695.04082862765</v>
      </c>
      <c r="D209" s="102">
        <f t="shared" si="231"/>
        <v>902887.1801105279</v>
      </c>
      <c r="E209" s="102">
        <f t="shared" si="231"/>
        <v>970073.78958443308</v>
      </c>
      <c r="F209" s="102">
        <f t="shared" si="231"/>
        <v>1005748.1089375204</v>
      </c>
      <c r="G209" s="102">
        <f t="shared" si="231"/>
        <v>1039268.2914877859</v>
      </c>
      <c r="H209" s="102">
        <f t="shared" si="231"/>
        <v>1093619.4843572082</v>
      </c>
      <c r="I209" s="102">
        <f t="shared" si="231"/>
        <v>1138795.6214252892</v>
      </c>
      <c r="J209" s="102">
        <f t="shared" si="231"/>
        <v>1050301.6768954156</v>
      </c>
      <c r="K209" s="102">
        <f t="shared" si="231"/>
        <v>1062785.4120890123</v>
      </c>
      <c r="L209" s="102">
        <f t="shared" si="231"/>
        <v>1052335.7456802693</v>
      </c>
      <c r="M209" s="102">
        <f t="shared" si="234"/>
        <v>1095610.2712125243</v>
      </c>
      <c r="N209" s="102">
        <f t="shared" si="231"/>
        <v>1132982.2662422159</v>
      </c>
      <c r="O209" s="102">
        <f t="shared" si="231"/>
        <v>1026971.6817628625</v>
      </c>
      <c r="P209" s="102">
        <f t="shared" si="231"/>
        <v>983548.78917681752</v>
      </c>
      <c r="Q209" s="102">
        <f t="shared" si="231"/>
        <v>900445.34869202098</v>
      </c>
      <c r="R209" s="102">
        <f t="shared" si="231"/>
        <v>913192.85331834492</v>
      </c>
      <c r="S209" s="102">
        <f t="shared" si="231"/>
        <v>898122.55673279823</v>
      </c>
      <c r="T209" s="102">
        <f t="shared" si="231"/>
        <v>897959.20559340401</v>
      </c>
      <c r="U209" s="102">
        <f t="shared" si="231"/>
        <v>897709.88763117616</v>
      </c>
      <c r="V209" s="102">
        <f t="shared" si="231"/>
        <v>584234.45997111988</v>
      </c>
      <c r="W209" s="102">
        <f t="shared" si="233"/>
        <v>610546.29476595507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74435.965412496851</v>
      </c>
      <c r="C210" s="28">
        <f t="shared" si="231"/>
        <v>70022.870455926473</v>
      </c>
      <c r="D210" s="28">
        <f t="shared" si="231"/>
        <v>74434.802691259378</v>
      </c>
      <c r="E210" s="28">
        <f t="shared" si="231"/>
        <v>71155.255983679992</v>
      </c>
      <c r="F210" s="28">
        <f t="shared" ref="B210:V219" si="235">IF(F19=0,0,F19*1000000/F73)</f>
        <v>73151.973922710749</v>
      </c>
      <c r="G210" s="28">
        <f t="shared" si="235"/>
        <v>71293.980697309031</v>
      </c>
      <c r="H210" s="28">
        <f t="shared" si="235"/>
        <v>71414.985140265926</v>
      </c>
      <c r="I210" s="28">
        <f t="shared" si="235"/>
        <v>71368.699571423131</v>
      </c>
      <c r="J210" s="28">
        <f t="shared" si="235"/>
        <v>66514.035398968641</v>
      </c>
      <c r="K210" s="28">
        <f t="shared" si="235"/>
        <v>61910.269084818836</v>
      </c>
      <c r="L210" s="28">
        <f t="shared" si="235"/>
        <v>62315.903720690294</v>
      </c>
      <c r="M210" s="28">
        <f t="shared" si="234"/>
        <v>60195.895834401468</v>
      </c>
      <c r="N210" s="28">
        <f t="shared" si="235"/>
        <v>59590.801860676838</v>
      </c>
      <c r="O210" s="28">
        <f t="shared" si="235"/>
        <v>60819.336881710893</v>
      </c>
      <c r="P210" s="28">
        <f t="shared" si="235"/>
        <v>60296.33553518531</v>
      </c>
      <c r="Q210" s="28">
        <f t="shared" si="235"/>
        <v>62207.353215764313</v>
      </c>
      <c r="R210" s="28">
        <f t="shared" si="235"/>
        <v>62181.99455914698</v>
      </c>
      <c r="S210" s="28">
        <f t="shared" si="235"/>
        <v>59704.097891195721</v>
      </c>
      <c r="T210" s="28">
        <f t="shared" si="235"/>
        <v>56291.431299898664</v>
      </c>
      <c r="U210" s="28">
        <f t="shared" si="235"/>
        <v>56037.218807022902</v>
      </c>
      <c r="V210" s="28">
        <f t="shared" si="235"/>
        <v>54010.691842989152</v>
      </c>
      <c r="W210" s="28">
        <f t="shared" ref="W210" si="236">IF(W19=0,0,W19*1000000/W73)</f>
        <v>54918.058497886981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1519.78086588171</v>
      </c>
      <c r="C211" s="137">
        <f t="shared" si="235"/>
        <v>1543.044739345157</v>
      </c>
      <c r="D211" s="137">
        <f t="shared" si="235"/>
        <v>1691.8243582306814</v>
      </c>
      <c r="E211" s="137">
        <f t="shared" si="235"/>
        <v>1717.8504199831998</v>
      </c>
      <c r="F211" s="137">
        <f t="shared" si="235"/>
        <v>1805.2315699522328</v>
      </c>
      <c r="G211" s="137">
        <f t="shared" si="235"/>
        <v>1811.6910959974277</v>
      </c>
      <c r="H211" s="137">
        <f t="shared" si="235"/>
        <v>1828.1107273468326</v>
      </c>
      <c r="I211" s="137">
        <f t="shared" si="235"/>
        <v>1885.9456766329815</v>
      </c>
      <c r="J211" s="137">
        <f t="shared" si="235"/>
        <v>1887.4877738921409</v>
      </c>
      <c r="K211" s="137">
        <f t="shared" si="235"/>
        <v>1855.0357318137876</v>
      </c>
      <c r="L211" s="137">
        <f t="shared" si="235"/>
        <v>1814.1810077106943</v>
      </c>
      <c r="M211" s="137">
        <f t="shared" si="234"/>
        <v>1768.3454344991626</v>
      </c>
      <c r="N211" s="137">
        <f t="shared" si="235"/>
        <v>1712.8210684350786</v>
      </c>
      <c r="O211" s="137">
        <f t="shared" si="235"/>
        <v>1606.1679704825749</v>
      </c>
      <c r="P211" s="137">
        <f t="shared" si="235"/>
        <v>1629.9630325822866</v>
      </c>
      <c r="Q211" s="137">
        <f t="shared" si="235"/>
        <v>1699.9657419863197</v>
      </c>
      <c r="R211" s="137">
        <f t="shared" si="235"/>
        <v>1549.5979363311958</v>
      </c>
      <c r="S211" s="137">
        <f t="shared" si="235"/>
        <v>1412.1600002089156</v>
      </c>
      <c r="T211" s="137">
        <f t="shared" si="235"/>
        <v>1360.4506575819898</v>
      </c>
      <c r="U211" s="137">
        <f t="shared" si="235"/>
        <v>1333.552687812168</v>
      </c>
      <c r="V211" s="137">
        <f t="shared" si="235"/>
        <v>1228.0202068306958</v>
      </c>
      <c r="W211" s="137">
        <f t="shared" ref="W211" si="237">IF(W20=0,0,W20*1000000/W74)</f>
        <v>1344.6422787883232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989.91682520702386</v>
      </c>
      <c r="C212" s="84">
        <f t="shared" si="235"/>
        <v>1001.0797378478474</v>
      </c>
      <c r="D212" s="84">
        <f t="shared" si="235"/>
        <v>1060.3806183851871</v>
      </c>
      <c r="E212" s="84">
        <f t="shared" si="235"/>
        <v>1032.2512636809847</v>
      </c>
      <c r="F212" s="84">
        <f t="shared" si="235"/>
        <v>1042.687618181305</v>
      </c>
      <c r="G212" s="84">
        <f t="shared" si="235"/>
        <v>1087.8459799160969</v>
      </c>
      <c r="H212" s="84">
        <f t="shared" si="235"/>
        <v>1141.5127703708602</v>
      </c>
      <c r="I212" s="84">
        <f t="shared" si="235"/>
        <v>1129.5467620336219</v>
      </c>
      <c r="J212" s="84">
        <f t="shared" si="235"/>
        <v>1085.0799940032316</v>
      </c>
      <c r="K212" s="84">
        <f t="shared" si="235"/>
        <v>1067.7284472803765</v>
      </c>
      <c r="L212" s="84">
        <f t="shared" si="235"/>
        <v>1062.2275306330316</v>
      </c>
      <c r="M212" s="84">
        <f t="shared" si="234"/>
        <v>1076.8257627166329</v>
      </c>
      <c r="N212" s="84">
        <f t="shared" si="235"/>
        <v>1083.8821928299512</v>
      </c>
      <c r="O212" s="84">
        <f t="shared" si="235"/>
        <v>1053.3848149264609</v>
      </c>
      <c r="P212" s="84">
        <f t="shared" si="235"/>
        <v>1044.2617742676487</v>
      </c>
      <c r="Q212" s="84">
        <f t="shared" si="235"/>
        <v>1044.6354098664956</v>
      </c>
      <c r="R212" s="84">
        <f t="shared" si="235"/>
        <v>1072.3616639854567</v>
      </c>
      <c r="S212" s="84">
        <f t="shared" si="235"/>
        <v>1091.9311236055967</v>
      </c>
      <c r="T212" s="84">
        <f t="shared" si="235"/>
        <v>1071.1696872883754</v>
      </c>
      <c r="U212" s="84">
        <f t="shared" si="235"/>
        <v>1073.9592317735194</v>
      </c>
      <c r="V212" s="84">
        <f t="shared" si="235"/>
        <v>980.37591677584226</v>
      </c>
      <c r="W212" s="84">
        <f t="shared" ref="W212" si="238">IF(W21=0,0,W21*1000000/W75)</f>
        <v>1061.6107426266499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1652.1145488846837</v>
      </c>
      <c r="C213" s="84">
        <f t="shared" si="235"/>
        <v>1676.4260860632148</v>
      </c>
      <c r="D213" s="84">
        <f t="shared" si="235"/>
        <v>1841.944280713627</v>
      </c>
      <c r="E213" s="84">
        <f t="shared" si="235"/>
        <v>1859.2066791724426</v>
      </c>
      <c r="F213" s="84">
        <f t="shared" si="235"/>
        <v>1945.3924873924923</v>
      </c>
      <c r="G213" s="84">
        <f t="shared" si="235"/>
        <v>1936.2633588082258</v>
      </c>
      <c r="H213" s="84">
        <f t="shared" si="235"/>
        <v>1938.9329684007068</v>
      </c>
      <c r="I213" s="84">
        <f t="shared" si="235"/>
        <v>1987.8132273719948</v>
      </c>
      <c r="J213" s="84">
        <f t="shared" si="235"/>
        <v>1985.4506632168016</v>
      </c>
      <c r="K213" s="84">
        <f t="shared" si="235"/>
        <v>1942.7855148419396</v>
      </c>
      <c r="L213" s="84">
        <f t="shared" si="235"/>
        <v>1891.0496547343407</v>
      </c>
      <c r="M213" s="84">
        <f t="shared" si="234"/>
        <v>1837.7373537470451</v>
      </c>
      <c r="N213" s="84">
        <f t="shared" si="235"/>
        <v>1773.8133400139893</v>
      </c>
      <c r="O213" s="84">
        <f t="shared" si="235"/>
        <v>1654.4213518309805</v>
      </c>
      <c r="P213" s="84">
        <f t="shared" si="235"/>
        <v>1673.9827379227686</v>
      </c>
      <c r="Q213" s="84">
        <f t="shared" si="235"/>
        <v>1738.9819621923916</v>
      </c>
      <c r="R213" s="84">
        <f t="shared" si="235"/>
        <v>1578.0261017984335</v>
      </c>
      <c r="S213" s="84">
        <f t="shared" si="235"/>
        <v>1433.7071834616727</v>
      </c>
      <c r="T213" s="84">
        <f t="shared" si="235"/>
        <v>1381.9138746418864</v>
      </c>
      <c r="U213" s="84">
        <f t="shared" si="235"/>
        <v>1354.560710437529</v>
      </c>
      <c r="V213" s="84">
        <f t="shared" si="235"/>
        <v>1248.3676730270056</v>
      </c>
      <c r="W213" s="84">
        <f t="shared" ref="W213" si="239">IF(W22=0,0,W22*1000000/W76)</f>
        <v>1367.1541076523463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530.02570443445325</v>
      </c>
      <c r="C214" s="84">
        <f t="shared" si="235"/>
        <v>540.49609611277526</v>
      </c>
      <c r="D214" s="84">
        <f t="shared" si="235"/>
        <v>597.69365577973088</v>
      </c>
      <c r="E214" s="84">
        <f t="shared" si="235"/>
        <v>607.42863711345876</v>
      </c>
      <c r="F214" s="84">
        <f t="shared" si="235"/>
        <v>640.55589246406362</v>
      </c>
      <c r="G214" s="84">
        <f t="shared" si="235"/>
        <v>644.00708470435211</v>
      </c>
      <c r="H214" s="84">
        <f t="shared" si="235"/>
        <v>651.21504865500583</v>
      </c>
      <c r="I214" s="84">
        <f t="shared" si="235"/>
        <v>672.73007421809803</v>
      </c>
      <c r="J214" s="84">
        <f t="shared" si="235"/>
        <v>674.66993784098827</v>
      </c>
      <c r="K214" s="84">
        <f t="shared" si="235"/>
        <v>663.74438788469286</v>
      </c>
      <c r="L214" s="84">
        <f t="shared" si="235"/>
        <v>649.75334748912871</v>
      </c>
      <c r="M214" s="84">
        <f t="shared" si="234"/>
        <v>634.74140588828186</v>
      </c>
      <c r="N214" s="84">
        <f t="shared" si="235"/>
        <v>615.67836541569977</v>
      </c>
      <c r="O214" s="84">
        <f t="shared" si="235"/>
        <v>576.60616942772072</v>
      </c>
      <c r="P214" s="84">
        <f t="shared" si="235"/>
        <v>586.83117527535967</v>
      </c>
      <c r="Q214" s="84">
        <f t="shared" si="235"/>
        <v>612.86033534835838</v>
      </c>
      <c r="R214" s="84">
        <f t="shared" si="235"/>
        <v>602.62213087150212</v>
      </c>
      <c r="S214" s="84">
        <f t="shared" si="235"/>
        <v>587.76817485638844</v>
      </c>
      <c r="T214" s="84">
        <f t="shared" si="235"/>
        <v>562.87624684165246</v>
      </c>
      <c r="U214" s="84">
        <f t="shared" si="235"/>
        <v>549.07321429146918</v>
      </c>
      <c r="V214" s="84">
        <f t="shared" si="235"/>
        <v>501.07606133325481</v>
      </c>
      <c r="W214" s="84">
        <f t="shared" ref="W214" si="240">IF(W23=0,0,W23*1000000/W77)</f>
        <v>548.66778374067553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0</v>
      </c>
      <c r="D215" s="84">
        <f t="shared" si="235"/>
        <v>0</v>
      </c>
      <c r="E215" s="84">
        <f t="shared" si="235"/>
        <v>0</v>
      </c>
      <c r="F215" s="84">
        <f t="shared" si="235"/>
        <v>0</v>
      </c>
      <c r="G215" s="84">
        <f t="shared" si="235"/>
        <v>0</v>
      </c>
      <c r="H215" s="84">
        <f t="shared" si="235"/>
        <v>0</v>
      </c>
      <c r="I215" s="84">
        <f t="shared" si="235"/>
        <v>0</v>
      </c>
      <c r="J215" s="84">
        <f t="shared" si="235"/>
        <v>1001.9947572181908</v>
      </c>
      <c r="K215" s="84">
        <f t="shared" si="235"/>
        <v>1007.3999300487538</v>
      </c>
      <c r="L215" s="84">
        <f t="shared" si="235"/>
        <v>999.13548475194898</v>
      </c>
      <c r="M215" s="84">
        <f t="shared" si="234"/>
        <v>976.05139660312886</v>
      </c>
      <c r="N215" s="84">
        <f t="shared" si="235"/>
        <v>946.73787285289075</v>
      </c>
      <c r="O215" s="84">
        <f t="shared" si="235"/>
        <v>886.65597003602875</v>
      </c>
      <c r="P215" s="84">
        <f t="shared" si="235"/>
        <v>902.37911515509722</v>
      </c>
      <c r="Q215" s="84">
        <f t="shared" si="235"/>
        <v>942.40454567841857</v>
      </c>
      <c r="R215" s="84">
        <f t="shared" si="235"/>
        <v>926.66110482889746</v>
      </c>
      <c r="S215" s="84">
        <f t="shared" si="235"/>
        <v>903.81995348893781</v>
      </c>
      <c r="T215" s="84">
        <f t="shared" si="235"/>
        <v>865.54326178812289</v>
      </c>
      <c r="U215" s="84">
        <f t="shared" si="235"/>
        <v>844.31813124994562</v>
      </c>
      <c r="V215" s="84">
        <f t="shared" si="235"/>
        <v>770.51218800558058</v>
      </c>
      <c r="W215" s="84">
        <f t="shared" ref="W215" si="241">IF(W24=0,0,W24*1000000/W78)</f>
        <v>843.69469460053756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0</v>
      </c>
      <c r="H216" s="84">
        <f t="shared" si="235"/>
        <v>0</v>
      </c>
      <c r="I216" s="84">
        <f t="shared" si="235"/>
        <v>0</v>
      </c>
      <c r="J216" s="84">
        <f t="shared" si="235"/>
        <v>1036.7424252856458</v>
      </c>
      <c r="K216" s="84">
        <f t="shared" si="235"/>
        <v>1036.8100567227118</v>
      </c>
      <c r="L216" s="84">
        <f t="shared" si="235"/>
        <v>1037.4149208343238</v>
      </c>
      <c r="M216" s="84">
        <f t="shared" si="234"/>
        <v>1038.3196285748675</v>
      </c>
      <c r="N216" s="84">
        <f t="shared" si="235"/>
        <v>1038.5578218570733</v>
      </c>
      <c r="O216" s="84">
        <f t="shared" si="235"/>
        <v>1042.0043810437321</v>
      </c>
      <c r="P216" s="84">
        <f t="shared" si="235"/>
        <v>1042.6778154757171</v>
      </c>
      <c r="Q216" s="84">
        <f t="shared" si="235"/>
        <v>1044.6354098664958</v>
      </c>
      <c r="R216" s="84">
        <f t="shared" si="235"/>
        <v>1043.9970498629116</v>
      </c>
      <c r="S216" s="84">
        <f t="shared" si="235"/>
        <v>1042.9561716699884</v>
      </c>
      <c r="T216" s="84">
        <f t="shared" si="235"/>
        <v>1041.0080238339899</v>
      </c>
      <c r="U216" s="84">
        <f t="shared" si="235"/>
        <v>1039.9765508012215</v>
      </c>
      <c r="V216" s="84">
        <f t="shared" si="235"/>
        <v>976.99278391189944</v>
      </c>
      <c r="W216" s="84">
        <f t="shared" ref="W216" si="242">IF(W25=0,0,W25*1000000/W79)</f>
        <v>1039.6160186007055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415363.86730406067</v>
      </c>
      <c r="C217" s="110">
        <f t="shared" si="235"/>
        <v>303668.90520065004</v>
      </c>
      <c r="D217" s="110">
        <f t="shared" si="235"/>
        <v>310566.08722709032</v>
      </c>
      <c r="E217" s="110">
        <f t="shared" si="235"/>
        <v>298317.4946587382</v>
      </c>
      <c r="F217" s="110">
        <f t="shared" si="235"/>
        <v>305534.62938322563</v>
      </c>
      <c r="G217" s="110">
        <f t="shared" si="235"/>
        <v>299611.18437239592</v>
      </c>
      <c r="H217" s="110">
        <f t="shared" si="235"/>
        <v>307283.68375574151</v>
      </c>
      <c r="I217" s="110">
        <f t="shared" si="235"/>
        <v>309018.85548027756</v>
      </c>
      <c r="J217" s="110">
        <f t="shared" si="235"/>
        <v>283553.08214806038</v>
      </c>
      <c r="K217" s="110">
        <f t="shared" si="235"/>
        <v>272871.38715947792</v>
      </c>
      <c r="L217" s="110">
        <f t="shared" si="235"/>
        <v>289639.3831578244</v>
      </c>
      <c r="M217" s="110">
        <f t="shared" si="234"/>
        <v>268109.07572561421</v>
      </c>
      <c r="N217" s="110">
        <f t="shared" si="235"/>
        <v>274984.19995313301</v>
      </c>
      <c r="O217" s="110">
        <f t="shared" si="235"/>
        <v>299174.52398445236</v>
      </c>
      <c r="P217" s="110">
        <f t="shared" si="235"/>
        <v>304518.87143129192</v>
      </c>
      <c r="Q217" s="110">
        <f t="shared" si="235"/>
        <v>306917.93615591771</v>
      </c>
      <c r="R217" s="110">
        <f t="shared" si="235"/>
        <v>349661.78156529431</v>
      </c>
      <c r="S217" s="110">
        <f t="shared" si="235"/>
        <v>347471.91152419109</v>
      </c>
      <c r="T217" s="110">
        <f t="shared" si="235"/>
        <v>331756.61148140184</v>
      </c>
      <c r="U217" s="110">
        <f t="shared" si="235"/>
        <v>336514.27251257829</v>
      </c>
      <c r="V217" s="110">
        <f t="shared" si="235"/>
        <v>343181.23261698236</v>
      </c>
      <c r="W217" s="110">
        <f t="shared" ref="W217" si="243">IF(W26=0,0,W26*1000000/W80)</f>
        <v>349102.80445345677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250243.85918240668</v>
      </c>
      <c r="C218" s="163">
        <f t="shared" si="235"/>
        <v>171185.26965946076</v>
      </c>
      <c r="D218" s="163">
        <f t="shared" si="235"/>
        <v>170447.51667530384</v>
      </c>
      <c r="E218" s="163">
        <f t="shared" si="235"/>
        <v>158696.97338033305</v>
      </c>
      <c r="F218" s="163">
        <f t="shared" si="235"/>
        <v>151595.12172270022</v>
      </c>
      <c r="G218" s="163">
        <f t="shared" si="235"/>
        <v>145000.22558765585</v>
      </c>
      <c r="H218" s="163">
        <f t="shared" si="235"/>
        <v>148129.40838858765</v>
      </c>
      <c r="I218" s="163">
        <f t="shared" si="235"/>
        <v>146392.70494978692</v>
      </c>
      <c r="J218" s="163">
        <f t="shared" si="235"/>
        <v>128609.57278481012</v>
      </c>
      <c r="K218" s="163">
        <f t="shared" si="235"/>
        <v>125890.37960923421</v>
      </c>
      <c r="L218" s="163">
        <f t="shared" si="235"/>
        <v>132091.89518948918</v>
      </c>
      <c r="M218" s="163">
        <f t="shared" si="234"/>
        <v>120909.51200239775</v>
      </c>
      <c r="N218" s="163">
        <f t="shared" si="235"/>
        <v>126617.0020190768</v>
      </c>
      <c r="O218" s="163">
        <f t="shared" si="235"/>
        <v>140356.58559311379</v>
      </c>
      <c r="P218" s="163">
        <f t="shared" si="235"/>
        <v>143557.97893853829</v>
      </c>
      <c r="Q218" s="163">
        <f t="shared" si="235"/>
        <v>152052.42546379671</v>
      </c>
      <c r="R218" s="163">
        <f t="shared" si="235"/>
        <v>173404.97847408798</v>
      </c>
      <c r="S218" s="163">
        <f t="shared" si="235"/>
        <v>166822.98910055307</v>
      </c>
      <c r="T218" s="163">
        <f t="shared" si="235"/>
        <v>160525.10543424878</v>
      </c>
      <c r="U218" s="163">
        <f t="shared" si="235"/>
        <v>166868.91339743786</v>
      </c>
      <c r="V218" s="163">
        <f t="shared" si="235"/>
        <v>171464.73894559176</v>
      </c>
      <c r="W218" s="163">
        <f t="shared" ref="W218" si="244">IF(W27=0,0,W27*1000000/W81)</f>
        <v>178300.63555586222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1211893.3418283365</v>
      </c>
      <c r="C219" s="86">
        <f t="shared" si="235"/>
        <v>1210802.3670684013</v>
      </c>
      <c r="D219" s="86">
        <f t="shared" si="235"/>
        <v>1218763.3753230178</v>
      </c>
      <c r="E219" s="86">
        <f t="shared" si="235"/>
        <v>1211593.781543165</v>
      </c>
      <c r="F219" s="86">
        <f t="shared" si="235"/>
        <v>1189434.2197241548</v>
      </c>
      <c r="G219" s="86">
        <f t="shared" si="235"/>
        <v>1189971.5951006445</v>
      </c>
      <c r="H219" s="86">
        <f t="shared" si="235"/>
        <v>1197571.4007026739</v>
      </c>
      <c r="I219" s="86">
        <f t="shared" si="235"/>
        <v>1199779.6052316322</v>
      </c>
      <c r="J219" s="86">
        <f t="shared" si="235"/>
        <v>1182825.0866387379</v>
      </c>
      <c r="K219" s="86">
        <f t="shared" si="235"/>
        <v>1167178.0023518316</v>
      </c>
      <c r="L219" s="86">
        <f t="shared" si="235"/>
        <v>1205185.775193095</v>
      </c>
      <c r="M219" s="86">
        <f t="shared" si="234"/>
        <v>1201322.2711316892</v>
      </c>
      <c r="N219" s="86">
        <f t="shared" si="235"/>
        <v>1197334.4700045742</v>
      </c>
      <c r="O219" s="86">
        <f t="shared" si="235"/>
        <v>1198938.7937421103</v>
      </c>
      <c r="P219" s="86">
        <f t="shared" si="235"/>
        <v>1201752.1964261779</v>
      </c>
      <c r="Q219" s="86">
        <f t="shared" si="235"/>
        <v>1190496.2058358439</v>
      </c>
      <c r="R219" s="86">
        <f t="shared" si="235"/>
        <v>1184128.1112686219</v>
      </c>
      <c r="S219" s="86">
        <f t="shared" si="235"/>
        <v>1194238.4883544301</v>
      </c>
      <c r="T219" s="86">
        <f t="shared" si="235"/>
        <v>1203261.3870814156</v>
      </c>
      <c r="U219" s="86">
        <f t="shared" si="235"/>
        <v>1198672.9117876659</v>
      </c>
      <c r="V219" s="86">
        <f t="shared" si="235"/>
        <v>1180374.9563327252</v>
      </c>
      <c r="W219" s="86">
        <f t="shared" ref="W219" si="245">IF(W28=0,0,W28*1000000/W82)</f>
        <v>1193481.1445897289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1.3542720264531854E-2</v>
      </c>
      <c r="C223" s="154">
        <f t="shared" si="250"/>
        <v>1.4007769968780408E-2</v>
      </c>
      <c r="D223" s="154">
        <f t="shared" si="250"/>
        <v>1.4462442363654876E-2</v>
      </c>
      <c r="E223" s="154">
        <f t="shared" si="250"/>
        <v>1.5203239275410028E-2</v>
      </c>
      <c r="F223" s="154">
        <f t="shared" si="250"/>
        <v>1.5335597247918449E-2</v>
      </c>
      <c r="G223" s="154">
        <f t="shared" si="250"/>
        <v>1.4866673788310183E-2</v>
      </c>
      <c r="H223" s="154">
        <f t="shared" si="250"/>
        <v>1.5302423981020582E-2</v>
      </c>
      <c r="I223" s="154">
        <f t="shared" si="250"/>
        <v>1.5604016537637756E-2</v>
      </c>
      <c r="J223" s="154">
        <f t="shared" si="250"/>
        <v>1.5336263509850404E-2</v>
      </c>
      <c r="K223" s="154">
        <f t="shared" si="250"/>
        <v>1.5079755940688912E-2</v>
      </c>
      <c r="L223" s="154">
        <f t="shared" ref="L223" si="251">IF(L5=0,0,L5/L$4)</f>
        <v>1.4265857564219039E-2</v>
      </c>
      <c r="M223" s="154">
        <f t="shared" ref="M223:V223" si="252">IF(M5=0,0,M5/M$4)</f>
        <v>1.4157565957291163E-2</v>
      </c>
      <c r="N223" s="154">
        <f t="shared" si="252"/>
        <v>1.357796495309839E-2</v>
      </c>
      <c r="O223" s="154">
        <f t="shared" si="252"/>
        <v>1.3713620737677337E-2</v>
      </c>
      <c r="P223" s="154">
        <f t="shared" si="252"/>
        <v>1.4185244403076471E-2</v>
      </c>
      <c r="Q223" s="154">
        <f t="shared" si="252"/>
        <v>1.4282652989160465E-2</v>
      </c>
      <c r="R223" s="154">
        <f t="shared" si="252"/>
        <v>1.4813885420699217E-2</v>
      </c>
      <c r="S223" s="154">
        <f t="shared" si="252"/>
        <v>1.3920601643628157E-2</v>
      </c>
      <c r="T223" s="154">
        <f t="shared" si="252"/>
        <v>1.3352408783747445E-2</v>
      </c>
      <c r="U223" s="154">
        <f t="shared" si="252"/>
        <v>1.4258656538157975E-2</v>
      </c>
      <c r="V223" s="154">
        <f t="shared" si="252"/>
        <v>1.5475487676113061E-2</v>
      </c>
      <c r="W223" s="154">
        <f t="shared" ref="W223" si="253">IF(W5=0,0,W5/W$4)</f>
        <v>1.5386685543841535E-2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0.87321602587089497</v>
      </c>
      <c r="C224" s="156">
        <f t="shared" si="254"/>
        <v>0.87004314057084242</v>
      </c>
      <c r="D224" s="156">
        <f t="shared" si="254"/>
        <v>0.86247644102234389</v>
      </c>
      <c r="E224" s="156">
        <f t="shared" si="254"/>
        <v>0.84836055636443641</v>
      </c>
      <c r="F224" s="156">
        <f t="shared" si="254"/>
        <v>0.84420415214567046</v>
      </c>
      <c r="G224" s="156">
        <f t="shared" si="254"/>
        <v>0.84172611095407301</v>
      </c>
      <c r="H224" s="156">
        <f t="shared" si="254"/>
        <v>0.8372591016358254</v>
      </c>
      <c r="I224" s="156">
        <f t="shared" si="254"/>
        <v>0.8348633448271886</v>
      </c>
      <c r="J224" s="156">
        <f t="shared" si="254"/>
        <v>0.84655515837334261</v>
      </c>
      <c r="K224" s="156">
        <f t="shared" si="254"/>
        <v>0.84678482555953249</v>
      </c>
      <c r="L224" s="156">
        <f t="shared" ref="L224" si="255">IF(L6=0,0,L6/L$4)</f>
        <v>0.85058890230588002</v>
      </c>
      <c r="M224" s="156">
        <f t="shared" ref="M224:V224" si="256">IF(M6=0,0,M6/M$4)</f>
        <v>0.84936562762334633</v>
      </c>
      <c r="N224" s="156">
        <f t="shared" si="256"/>
        <v>0.84845504840324282</v>
      </c>
      <c r="O224" s="156">
        <f t="shared" si="256"/>
        <v>0.85783565055153743</v>
      </c>
      <c r="P224" s="156">
        <f t="shared" si="256"/>
        <v>0.86286570351830338</v>
      </c>
      <c r="Q224" s="156">
        <f t="shared" si="256"/>
        <v>0.86893467523700363</v>
      </c>
      <c r="R224" s="156">
        <f t="shared" si="256"/>
        <v>0.87338676437282969</v>
      </c>
      <c r="S224" s="156">
        <f t="shared" si="256"/>
        <v>0.87655041747204399</v>
      </c>
      <c r="T224" s="156">
        <f t="shared" si="256"/>
        <v>0.8762411617221384</v>
      </c>
      <c r="U224" s="156">
        <f t="shared" si="256"/>
        <v>0.87440019364265231</v>
      </c>
      <c r="V224" s="156">
        <f t="shared" si="256"/>
        <v>0.89745188469624126</v>
      </c>
      <c r="W224" s="156">
        <f t="shared" ref="W224" si="257">IF(W6=0,0,W6/W$4)</f>
        <v>0.8984772227846699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0.37353068074020729</v>
      </c>
      <c r="C225" s="103">
        <f t="shared" si="258"/>
        <v>0.35090250522342309</v>
      </c>
      <c r="D225" s="103">
        <f t="shared" si="258"/>
        <v>0.33077380414174828</v>
      </c>
      <c r="E225" s="103">
        <f t="shared" si="258"/>
        <v>0.31798951823109473</v>
      </c>
      <c r="F225" s="103">
        <f t="shared" si="258"/>
        <v>0.28116982893832476</v>
      </c>
      <c r="G225" s="103">
        <f t="shared" si="258"/>
        <v>0.26875365917299809</v>
      </c>
      <c r="H225" s="103">
        <f t="shared" si="258"/>
        <v>0.24042143109536371</v>
      </c>
      <c r="I225" s="103">
        <f t="shared" si="258"/>
        <v>0.21658617428901855</v>
      </c>
      <c r="J225" s="103">
        <f t="shared" si="258"/>
        <v>0.19615446777579554</v>
      </c>
      <c r="K225" s="103">
        <f t="shared" si="258"/>
        <v>0.18688112052366521</v>
      </c>
      <c r="L225" s="103">
        <f t="shared" ref="L225" si="259">IF(L7=0,0,L7/L$4)</f>
        <v>0.17359963364149156</v>
      </c>
      <c r="M225" s="103">
        <f t="shared" ref="M225:V225" si="260">IF(M7=0,0,M7/M$4)</f>
        <v>0.1678139628842063</v>
      </c>
      <c r="N225" s="103">
        <f t="shared" si="260"/>
        <v>0.16689329410832368</v>
      </c>
      <c r="O225" s="103">
        <f t="shared" si="260"/>
        <v>0.17483854327769519</v>
      </c>
      <c r="P225" s="103">
        <f t="shared" si="260"/>
        <v>0.18309325557983686</v>
      </c>
      <c r="Q225" s="103">
        <f t="shared" si="260"/>
        <v>0.19365675891466808</v>
      </c>
      <c r="R225" s="103">
        <f t="shared" si="260"/>
        <v>0.21318957161890775</v>
      </c>
      <c r="S225" s="103">
        <f t="shared" si="260"/>
        <v>0.23391971680060589</v>
      </c>
      <c r="T225" s="103">
        <f t="shared" si="260"/>
        <v>0.27085956266924077</v>
      </c>
      <c r="U225" s="103">
        <f t="shared" si="260"/>
        <v>0.31025360976828903</v>
      </c>
      <c r="V225" s="103">
        <f t="shared" si="260"/>
        <v>0.32370367324761024</v>
      </c>
      <c r="W225" s="103">
        <f t="shared" ref="W225" si="261">IF(W7=0,0,W7/W$4)</f>
        <v>0.36183451357994695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0.49119416324078119</v>
      </c>
      <c r="C226" s="103">
        <f t="shared" si="262"/>
        <v>0.50934906453572582</v>
      </c>
      <c r="D226" s="103">
        <f t="shared" si="262"/>
        <v>0.52189422513576023</v>
      </c>
      <c r="E226" s="103">
        <f t="shared" si="262"/>
        <v>0.52167095455271417</v>
      </c>
      <c r="F226" s="103">
        <f t="shared" si="262"/>
        <v>0.55496992677150681</v>
      </c>
      <c r="G226" s="103">
        <f t="shared" si="262"/>
        <v>0.56557694869020481</v>
      </c>
      <c r="H226" s="103">
        <f t="shared" si="262"/>
        <v>0.59024811926211085</v>
      </c>
      <c r="I226" s="103">
        <f t="shared" si="262"/>
        <v>0.61262940672906774</v>
      </c>
      <c r="J226" s="103">
        <f t="shared" si="262"/>
        <v>0.64523717226668409</v>
      </c>
      <c r="K226" s="103">
        <f t="shared" si="262"/>
        <v>0.65523982655870872</v>
      </c>
      <c r="L226" s="103">
        <f t="shared" ref="L226" si="263">IF(L8=0,0,L8/L$4)</f>
        <v>0.67277933797198564</v>
      </c>
      <c r="M226" s="103">
        <f t="shared" ref="M226:V226" si="264">IF(M8=0,0,M8/M$4)</f>
        <v>0.67687495871647951</v>
      </c>
      <c r="N226" s="103">
        <f t="shared" si="264"/>
        <v>0.67656889175957347</v>
      </c>
      <c r="O226" s="103">
        <f t="shared" si="264"/>
        <v>0.67824751127534044</v>
      </c>
      <c r="P226" s="103">
        <f t="shared" si="264"/>
        <v>0.67420783509309157</v>
      </c>
      <c r="Q226" s="103">
        <f t="shared" si="264"/>
        <v>0.66736397768871625</v>
      </c>
      <c r="R226" s="103">
        <f t="shared" si="264"/>
        <v>0.65147299970863126</v>
      </c>
      <c r="S226" s="103">
        <f t="shared" si="264"/>
        <v>0.63202193443049626</v>
      </c>
      <c r="T226" s="103">
        <f t="shared" si="264"/>
        <v>0.59238698810964296</v>
      </c>
      <c r="U226" s="103">
        <f t="shared" si="264"/>
        <v>0.54809389610576276</v>
      </c>
      <c r="V226" s="103">
        <f t="shared" si="264"/>
        <v>0.55044474807325461</v>
      </c>
      <c r="W226" s="103">
        <f t="shared" ref="W226" si="265">IF(W8=0,0,W8/W$4)</f>
        <v>0.50380166996184483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8.4911818899065308E-3</v>
      </c>
      <c r="C227" s="103">
        <f t="shared" si="266"/>
        <v>9.7915708116935018E-3</v>
      </c>
      <c r="D227" s="103">
        <f t="shared" si="266"/>
        <v>9.8084117448355001E-3</v>
      </c>
      <c r="E227" s="103">
        <f t="shared" si="266"/>
        <v>8.7000835806274844E-3</v>
      </c>
      <c r="F227" s="103">
        <f t="shared" si="266"/>
        <v>8.0217458060183738E-3</v>
      </c>
      <c r="G227" s="103">
        <f t="shared" si="266"/>
        <v>7.3468686379779902E-3</v>
      </c>
      <c r="H227" s="103">
        <f t="shared" si="266"/>
        <v>6.5419815219652198E-3</v>
      </c>
      <c r="I227" s="103">
        <f t="shared" si="266"/>
        <v>5.6019670605967093E-3</v>
      </c>
      <c r="J227" s="103">
        <f t="shared" si="266"/>
        <v>5.1231643204689313E-3</v>
      </c>
      <c r="K227" s="103">
        <f t="shared" si="266"/>
        <v>4.6265827318011325E-3</v>
      </c>
      <c r="L227" s="103">
        <f t="shared" ref="L227" si="267">IF(L9=0,0,L9/L$4)</f>
        <v>4.164116719592042E-3</v>
      </c>
      <c r="M227" s="103">
        <f t="shared" ref="M227:V227" si="268">IF(M9=0,0,M9/M$4)</f>
        <v>4.5926616412383737E-3</v>
      </c>
      <c r="N227" s="103">
        <f t="shared" si="268"/>
        <v>4.8118188181101515E-3</v>
      </c>
      <c r="O227" s="103">
        <f t="shared" si="268"/>
        <v>4.4868399671789986E-3</v>
      </c>
      <c r="P227" s="103">
        <f t="shared" si="268"/>
        <v>4.9388164530708538E-3</v>
      </c>
      <c r="Q227" s="103">
        <f t="shared" si="268"/>
        <v>6.7675626391071496E-3</v>
      </c>
      <c r="R227" s="103">
        <f t="shared" si="268"/>
        <v>6.2088917031652563E-3</v>
      </c>
      <c r="S227" s="103">
        <f t="shared" si="268"/>
        <v>6.247986266369218E-3</v>
      </c>
      <c r="T227" s="103">
        <f t="shared" si="268"/>
        <v>6.1449009568077155E-3</v>
      </c>
      <c r="U227" s="103">
        <f t="shared" si="268"/>
        <v>6.0444346341984373E-3</v>
      </c>
      <c r="V227" s="103">
        <f t="shared" si="268"/>
        <v>6.5971550230506278E-3</v>
      </c>
      <c r="W227" s="103">
        <f t="shared" ref="W227" si="269">IF(W9=0,0,W9/W$4)</f>
        <v>6.177932202175683E-3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0</v>
      </c>
      <c r="E228" s="103">
        <f t="shared" si="270"/>
        <v>0</v>
      </c>
      <c r="F228" s="103">
        <f t="shared" si="270"/>
        <v>4.2650629820452756E-5</v>
      </c>
      <c r="G228" s="103">
        <f t="shared" si="270"/>
        <v>4.8634452892237576E-5</v>
      </c>
      <c r="H228" s="103">
        <f t="shared" si="270"/>
        <v>4.7569756385572372E-5</v>
      </c>
      <c r="I228" s="103">
        <f t="shared" si="270"/>
        <v>4.5796748505617676E-5</v>
      </c>
      <c r="J228" s="103">
        <f t="shared" si="270"/>
        <v>3.9168043747366036E-5</v>
      </c>
      <c r="K228" s="103">
        <f t="shared" si="270"/>
        <v>3.5589446138744628E-5</v>
      </c>
      <c r="L228" s="103">
        <f t="shared" ref="L228" si="271">IF(L10=0,0,L10/L$4)</f>
        <v>3.7698108308104839E-5</v>
      </c>
      <c r="M228" s="103">
        <f t="shared" ref="M228:V228" si="272">IF(M10=0,0,M10/M$4)</f>
        <v>4.0126483739633543E-5</v>
      </c>
      <c r="N228" s="103">
        <f t="shared" si="272"/>
        <v>4.0961425214067722E-5</v>
      </c>
      <c r="O228" s="103">
        <f t="shared" si="272"/>
        <v>6.4392171828243382E-5</v>
      </c>
      <c r="P228" s="103">
        <f t="shared" si="272"/>
        <v>2.179234513110185E-4</v>
      </c>
      <c r="Q228" s="103">
        <f t="shared" si="272"/>
        <v>3.1656589553356879E-4</v>
      </c>
      <c r="R228" s="103">
        <f t="shared" si="272"/>
        <v>6.8308235970751063E-4</v>
      </c>
      <c r="S228" s="103">
        <f t="shared" si="272"/>
        <v>1.0463664698377863E-3</v>
      </c>
      <c r="T228" s="103">
        <f t="shared" si="272"/>
        <v>1.7870806079619238E-3</v>
      </c>
      <c r="U228" s="103">
        <f t="shared" si="272"/>
        <v>2.6572358641826529E-3</v>
      </c>
      <c r="V228" s="103">
        <f t="shared" si="272"/>
        <v>3.4650172452461575E-3</v>
      </c>
      <c r="W228" s="103">
        <f t="shared" ref="W228" si="273">IF(W10=0,0,W10/W$4)</f>
        <v>3.3655571453554503E-3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1.3283253944224906E-6</v>
      </c>
      <c r="N229" s="103">
        <f t="shared" si="276"/>
        <v>3.0184809564901479E-5</v>
      </c>
      <c r="O229" s="103">
        <f t="shared" si="276"/>
        <v>3.3103522487034979E-5</v>
      </c>
      <c r="P229" s="103">
        <f t="shared" si="276"/>
        <v>1.0913062395898982E-4</v>
      </c>
      <c r="Q229" s="103">
        <f t="shared" si="276"/>
        <v>3.9620370632630764E-4</v>
      </c>
      <c r="R229" s="103">
        <f t="shared" si="276"/>
        <v>1.1391958121655232E-3</v>
      </c>
      <c r="S229" s="103">
        <f t="shared" si="276"/>
        <v>2.2778393008776607E-3</v>
      </c>
      <c r="T229" s="103">
        <f t="shared" si="276"/>
        <v>3.5695661589595553E-3</v>
      </c>
      <c r="U229" s="103">
        <f t="shared" si="276"/>
        <v>4.7863229771090152E-3</v>
      </c>
      <c r="V229" s="103">
        <f t="shared" si="276"/>
        <v>8.4510756569648113E-3</v>
      </c>
      <c r="W229" s="103">
        <f t="shared" ref="W229" si="277">IF(W11=0,0,W11/W$4)</f>
        <v>1.469997986697541E-2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1.1859666467533637E-6</v>
      </c>
      <c r="K230" s="103">
        <f t="shared" si="278"/>
        <v>1.7062992187229047E-6</v>
      </c>
      <c r="L230" s="103">
        <f t="shared" ref="L230" si="279">IF(L12=0,0,L12/L$4)</f>
        <v>8.1158645025573425E-6</v>
      </c>
      <c r="M230" s="103">
        <f t="shared" ref="M230:V230" si="280">IF(M12=0,0,M12/M$4)</f>
        <v>4.2589572288250746E-5</v>
      </c>
      <c r="N230" s="103">
        <f t="shared" si="280"/>
        <v>1.0989748245656758E-4</v>
      </c>
      <c r="O230" s="103">
        <f t="shared" si="280"/>
        <v>1.652603370075119E-4</v>
      </c>
      <c r="P230" s="103">
        <f t="shared" si="280"/>
        <v>2.9874231703402811E-4</v>
      </c>
      <c r="Q230" s="103">
        <f t="shared" si="280"/>
        <v>4.3360639265225485E-4</v>
      </c>
      <c r="R230" s="103">
        <f t="shared" si="280"/>
        <v>6.9302317025227926E-4</v>
      </c>
      <c r="S230" s="103">
        <f t="shared" si="280"/>
        <v>1.036574203857239E-3</v>
      </c>
      <c r="T230" s="103">
        <f t="shared" si="280"/>
        <v>1.4930632195254429E-3</v>
      </c>
      <c r="U230" s="103">
        <f t="shared" si="280"/>
        <v>2.5646942931104475E-3</v>
      </c>
      <c r="V230" s="103">
        <f t="shared" si="280"/>
        <v>4.7902154501147385E-3</v>
      </c>
      <c r="W230" s="103">
        <f t="shared" ref="W230" si="281">IF(W12=0,0,W12/W$4)</f>
        <v>8.5975700283715505E-3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0.11324125386457309</v>
      </c>
      <c r="C231" s="156">
        <f t="shared" si="282"/>
        <v>0.11594908946037716</v>
      </c>
      <c r="D231" s="156">
        <f t="shared" si="282"/>
        <v>0.12306111661400118</v>
      </c>
      <c r="E231" s="156">
        <f t="shared" si="282"/>
        <v>0.13643620436015358</v>
      </c>
      <c r="F231" s="156">
        <f t="shared" si="282"/>
        <v>0.14046025060641107</v>
      </c>
      <c r="G231" s="156">
        <f t="shared" si="282"/>
        <v>0.14340721525761677</v>
      </c>
      <c r="H231" s="156">
        <f t="shared" si="282"/>
        <v>0.14743847438315405</v>
      </c>
      <c r="I231" s="156">
        <f t="shared" si="282"/>
        <v>0.14953263863517355</v>
      </c>
      <c r="J231" s="156">
        <f t="shared" si="282"/>
        <v>0.13810857811680691</v>
      </c>
      <c r="K231" s="156">
        <f t="shared" si="282"/>
        <v>0.13813541849977859</v>
      </c>
      <c r="L231" s="156">
        <f t="shared" ref="L231" si="283">IF(L13=0,0,L13/L$4)</f>
        <v>0.13514524012990098</v>
      </c>
      <c r="M231" s="156">
        <f t="shared" ref="M231:V231" si="284">IF(M13=0,0,M13/M$4)</f>
        <v>0.13647680641936247</v>
      </c>
      <c r="N231" s="156">
        <f t="shared" si="284"/>
        <v>0.13796698664365886</v>
      </c>
      <c r="O231" s="156">
        <f t="shared" si="284"/>
        <v>0.12845072871078528</v>
      </c>
      <c r="P231" s="156">
        <f t="shared" si="284"/>
        <v>0.12294905207862009</v>
      </c>
      <c r="Q231" s="156">
        <f t="shared" si="284"/>
        <v>0.11678267177383594</v>
      </c>
      <c r="R231" s="156">
        <f t="shared" si="284"/>
        <v>0.11179935020647107</v>
      </c>
      <c r="S231" s="156">
        <f t="shared" si="284"/>
        <v>0.10952898088432783</v>
      </c>
      <c r="T231" s="156">
        <f t="shared" si="284"/>
        <v>0.11040642949411419</v>
      </c>
      <c r="U231" s="156">
        <f t="shared" si="284"/>
        <v>0.11134114981918967</v>
      </c>
      <c r="V231" s="156">
        <f t="shared" si="284"/>
        <v>8.7072627627645713E-2</v>
      </c>
      <c r="W231" s="156">
        <f t="shared" ref="W231" si="285">IF(W13=0,0,W13/W$4)</f>
        <v>8.6136091671488543E-2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5.8315613235319203E-4</v>
      </c>
      <c r="C232" s="103">
        <f t="shared" si="286"/>
        <v>5.8566975719727204E-4</v>
      </c>
      <c r="D232" s="103">
        <f t="shared" si="286"/>
        <v>5.6689126523205347E-4</v>
      </c>
      <c r="E232" s="103">
        <f t="shared" si="286"/>
        <v>6.1945801938539469E-4</v>
      </c>
      <c r="F232" s="103">
        <f t="shared" si="286"/>
        <v>6.2231753875584685E-4</v>
      </c>
      <c r="G232" s="103">
        <f t="shared" si="286"/>
        <v>6.352248530327938E-4</v>
      </c>
      <c r="H232" s="103">
        <f t="shared" si="286"/>
        <v>6.0398036937215445E-4</v>
      </c>
      <c r="I232" s="103">
        <f t="shared" si="286"/>
        <v>5.8338557636750522E-4</v>
      </c>
      <c r="J232" s="103">
        <f t="shared" si="286"/>
        <v>4.9022425231174153E-4</v>
      </c>
      <c r="K232" s="103">
        <f t="shared" si="286"/>
        <v>4.5442460007088527E-4</v>
      </c>
      <c r="L232" s="103">
        <f t="shared" ref="L232" si="287">IF(L14=0,0,L14/L$4)</f>
        <v>4.0494932133598456E-4</v>
      </c>
      <c r="M232" s="103">
        <f t="shared" ref="M232:V232" si="288">IF(M14=0,0,M14/M$4)</f>
        <v>4.0161588589652093E-4</v>
      </c>
      <c r="N232" s="103">
        <f t="shared" si="288"/>
        <v>3.9724784326427854E-4</v>
      </c>
      <c r="O232" s="103">
        <f t="shared" si="288"/>
        <v>3.5349123735421722E-4</v>
      </c>
      <c r="P232" s="103">
        <f t="shared" si="288"/>
        <v>3.2385190860677012E-4</v>
      </c>
      <c r="Q232" s="103">
        <f t="shared" si="288"/>
        <v>2.9243675415611427E-4</v>
      </c>
      <c r="R232" s="103">
        <f t="shared" si="288"/>
        <v>2.7987168442113501E-4</v>
      </c>
      <c r="S232" s="103">
        <f t="shared" si="288"/>
        <v>2.6758716231399293E-4</v>
      </c>
      <c r="T232" s="103">
        <f t="shared" si="288"/>
        <v>2.6221401208502708E-4</v>
      </c>
      <c r="U232" s="103">
        <f t="shared" si="288"/>
        <v>2.5880512798505596E-4</v>
      </c>
      <c r="V232" s="103">
        <f t="shared" si="288"/>
        <v>2.3952844430635646E-4</v>
      </c>
      <c r="W232" s="103">
        <f t="shared" ref="W232" si="289">IF(W14=0,0,W14/W$4)</f>
        <v>2.1965896847060543E-4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0.11264406316983518</v>
      </c>
      <c r="C233" s="103">
        <f t="shared" si="290"/>
        <v>0.11534921016854664</v>
      </c>
      <c r="D233" s="103">
        <f t="shared" si="290"/>
        <v>0.12247937045785459</v>
      </c>
      <c r="E233" s="103">
        <f t="shared" si="290"/>
        <v>0.13580068754166114</v>
      </c>
      <c r="F233" s="103">
        <f t="shared" si="290"/>
        <v>0.13982145197364385</v>
      </c>
      <c r="G233" s="103">
        <f t="shared" si="290"/>
        <v>0.14259329777448498</v>
      </c>
      <c r="H233" s="103">
        <f t="shared" si="290"/>
        <v>0.14664719053140196</v>
      </c>
      <c r="I233" s="103">
        <f t="shared" si="290"/>
        <v>0.14876741599046869</v>
      </c>
      <c r="J233" s="103">
        <f t="shared" si="290"/>
        <v>0.13746184859745342</v>
      </c>
      <c r="K233" s="103">
        <f t="shared" si="290"/>
        <v>0.13752277734577617</v>
      </c>
      <c r="L233" s="103">
        <f t="shared" ref="L233" si="291">IF(L15=0,0,L15/L$4)</f>
        <v>0.13459299926616855</v>
      </c>
      <c r="M233" s="103">
        <f t="shared" ref="M233:V233" si="292">IF(M15=0,0,M15/M$4)</f>
        <v>0.13593133475275171</v>
      </c>
      <c r="N233" s="103">
        <f t="shared" si="292"/>
        <v>0.13743009466934453</v>
      </c>
      <c r="O233" s="103">
        <f t="shared" si="292"/>
        <v>0.12796336771405639</v>
      </c>
      <c r="P233" s="103">
        <f t="shared" si="292"/>
        <v>0.12248389984131654</v>
      </c>
      <c r="Q233" s="103">
        <f t="shared" si="292"/>
        <v>0.11637323856484384</v>
      </c>
      <c r="R233" s="103">
        <f t="shared" si="292"/>
        <v>0.11140073435080972</v>
      </c>
      <c r="S233" s="103">
        <f t="shared" si="292"/>
        <v>0.10915234160424458</v>
      </c>
      <c r="T233" s="103">
        <f t="shared" si="292"/>
        <v>0.10995365633617753</v>
      </c>
      <c r="U233" s="103">
        <f t="shared" si="292"/>
        <v>0.11057752852327285</v>
      </c>
      <c r="V233" s="103">
        <f t="shared" si="292"/>
        <v>8.6307037463206185E-2</v>
      </c>
      <c r="W233" s="103">
        <f t="shared" ref="W233" si="293">IF(W15=0,0,W15/W$4)</f>
        <v>8.4717478231827001E-2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0</v>
      </c>
      <c r="D234" s="103">
        <f t="shared" si="294"/>
        <v>0</v>
      </c>
      <c r="E234" s="103">
        <f t="shared" si="294"/>
        <v>0</v>
      </c>
      <c r="F234" s="103">
        <f t="shared" si="294"/>
        <v>0</v>
      </c>
      <c r="G234" s="103">
        <f t="shared" si="294"/>
        <v>0</v>
      </c>
      <c r="H234" s="103">
        <f t="shared" si="294"/>
        <v>0</v>
      </c>
      <c r="I234" s="103">
        <f t="shared" si="294"/>
        <v>0</v>
      </c>
      <c r="J234" s="103">
        <f t="shared" si="294"/>
        <v>0</v>
      </c>
      <c r="K234" s="103">
        <f t="shared" si="294"/>
        <v>0</v>
      </c>
      <c r="L234" s="103">
        <f t="shared" ref="L234" si="295">IF(L16=0,0,L16/L$4)</f>
        <v>0</v>
      </c>
      <c r="M234" s="103">
        <f t="shared" ref="M234:V234" si="296">IF(M16=0,0,M16/M$4)</f>
        <v>0</v>
      </c>
      <c r="N234" s="103">
        <f t="shared" si="296"/>
        <v>0</v>
      </c>
      <c r="O234" s="103">
        <f t="shared" si="296"/>
        <v>0</v>
      </c>
      <c r="P234" s="103">
        <f t="shared" si="296"/>
        <v>0</v>
      </c>
      <c r="Q234" s="103">
        <f t="shared" si="296"/>
        <v>0</v>
      </c>
      <c r="R234" s="103">
        <f t="shared" si="296"/>
        <v>0</v>
      </c>
      <c r="S234" s="103">
        <f t="shared" si="296"/>
        <v>0</v>
      </c>
      <c r="T234" s="103">
        <f t="shared" si="296"/>
        <v>0</v>
      </c>
      <c r="U234" s="103">
        <f t="shared" si="296"/>
        <v>0</v>
      </c>
      <c r="V234" s="103">
        <f t="shared" si="296"/>
        <v>0</v>
      </c>
      <c r="W234" s="103">
        <f t="shared" ref="W234" si="297">IF(W16=0,0,W16/W$4)</f>
        <v>0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0</v>
      </c>
      <c r="C235" s="103">
        <f t="shared" si="298"/>
        <v>0</v>
      </c>
      <c r="D235" s="103">
        <f t="shared" si="298"/>
        <v>0</v>
      </c>
      <c r="E235" s="103">
        <f t="shared" si="298"/>
        <v>0</v>
      </c>
      <c r="F235" s="103">
        <f t="shared" si="298"/>
        <v>0</v>
      </c>
      <c r="G235" s="103">
        <f t="shared" si="298"/>
        <v>0</v>
      </c>
      <c r="H235" s="103">
        <f t="shared" si="298"/>
        <v>0</v>
      </c>
      <c r="I235" s="103">
        <f t="shared" si="298"/>
        <v>0</v>
      </c>
      <c r="J235" s="103">
        <f t="shared" si="298"/>
        <v>0</v>
      </c>
      <c r="K235" s="103">
        <f t="shared" si="298"/>
        <v>0</v>
      </c>
      <c r="L235" s="103">
        <f t="shared" ref="L235" si="299">IF(L17=0,0,L17/L$4)</f>
        <v>0</v>
      </c>
      <c r="M235" s="103">
        <f t="shared" ref="M235:V235" si="300">IF(M17=0,0,M17/M$4)</f>
        <v>0</v>
      </c>
      <c r="N235" s="103">
        <f t="shared" si="300"/>
        <v>0</v>
      </c>
      <c r="O235" s="103">
        <f t="shared" si="300"/>
        <v>0</v>
      </c>
      <c r="P235" s="103">
        <f t="shared" si="300"/>
        <v>0</v>
      </c>
      <c r="Q235" s="103">
        <f t="shared" si="300"/>
        <v>0</v>
      </c>
      <c r="R235" s="103">
        <f t="shared" si="300"/>
        <v>6.0290317488998427E-6</v>
      </c>
      <c r="S235" s="103">
        <f t="shared" si="300"/>
        <v>5.9896918422634301E-6</v>
      </c>
      <c r="T235" s="103">
        <f t="shared" si="300"/>
        <v>3.6595168841394673E-5</v>
      </c>
      <c r="U235" s="103">
        <f t="shared" si="300"/>
        <v>7.378025170439233E-5</v>
      </c>
      <c r="V235" s="103">
        <f t="shared" si="300"/>
        <v>1.1320416680761455E-4</v>
      </c>
      <c r="W235" s="103">
        <f t="shared" ref="W235" si="301">IF(W17=0,0,W17/W$4)</f>
        <v>6.8865401935135745E-4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1.4034562384704364E-5</v>
      </c>
      <c r="C236" s="103">
        <f t="shared" si="302"/>
        <v>1.4209534633234689E-5</v>
      </c>
      <c r="D236" s="103">
        <f t="shared" si="302"/>
        <v>1.4854890914532393E-5</v>
      </c>
      <c r="E236" s="103">
        <f t="shared" si="302"/>
        <v>1.6058799107067343E-5</v>
      </c>
      <c r="F236" s="103">
        <f t="shared" si="302"/>
        <v>1.648109401138122E-5</v>
      </c>
      <c r="G236" s="103">
        <f t="shared" si="302"/>
        <v>1.7869263009896285E-4</v>
      </c>
      <c r="H236" s="103">
        <f t="shared" si="302"/>
        <v>1.8730348237994799E-4</v>
      </c>
      <c r="I236" s="103">
        <f t="shared" si="302"/>
        <v>1.8183706833736307E-4</v>
      </c>
      <c r="J236" s="103">
        <f t="shared" si="302"/>
        <v>1.5650526704172359E-4</v>
      </c>
      <c r="K236" s="103">
        <f t="shared" si="302"/>
        <v>1.5821655393154463E-4</v>
      </c>
      <c r="L236" s="103">
        <f t="shared" ref="L236" si="303">IF(L18=0,0,L18/L$4)</f>
        <v>1.4729154239644945E-4</v>
      </c>
      <c r="M236" s="103">
        <f t="shared" ref="M236:V236" si="304">IF(M18=0,0,M18/M$4)</f>
        <v>1.4385578071424604E-4</v>
      </c>
      <c r="N236" s="103">
        <f t="shared" si="304"/>
        <v>1.3964413105004321E-4</v>
      </c>
      <c r="O236" s="103">
        <f t="shared" si="304"/>
        <v>1.3386975937465021E-4</v>
      </c>
      <c r="P236" s="103">
        <f t="shared" si="304"/>
        <v>1.4130032869678904E-4</v>
      </c>
      <c r="Q236" s="103">
        <f t="shared" si="304"/>
        <v>1.1699645483597858E-4</v>
      </c>
      <c r="R236" s="103">
        <f t="shared" si="304"/>
        <v>1.1271513949131961E-4</v>
      </c>
      <c r="S236" s="103">
        <f t="shared" si="304"/>
        <v>1.0306242592699377E-4</v>
      </c>
      <c r="T236" s="103">
        <f t="shared" si="304"/>
        <v>1.539639770102451E-4</v>
      </c>
      <c r="U236" s="103">
        <f t="shared" si="304"/>
        <v>4.3103591622738386E-4</v>
      </c>
      <c r="V236" s="103">
        <f t="shared" si="304"/>
        <v>4.1285755332556953E-4</v>
      </c>
      <c r="W236" s="103">
        <f t="shared" ref="W236" si="305">IF(W18=0,0,W18/W$4)</f>
        <v>5.1030045183958885E-4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1.6819920509554168E-2</v>
      </c>
      <c r="C238" s="154">
        <f t="shared" si="310"/>
        <v>1.7041551172838225E-2</v>
      </c>
      <c r="D238" s="154">
        <f t="shared" si="310"/>
        <v>1.737604928218377E-2</v>
      </c>
      <c r="E238" s="154">
        <f t="shared" si="310"/>
        <v>1.8490296454211543E-2</v>
      </c>
      <c r="F238" s="154">
        <f t="shared" si="310"/>
        <v>1.8880946051965729E-2</v>
      </c>
      <c r="G238" s="154">
        <f t="shared" si="310"/>
        <v>1.9482557559596728E-2</v>
      </c>
      <c r="H238" s="154">
        <f t="shared" si="310"/>
        <v>1.9766756144994842E-2</v>
      </c>
      <c r="I238" s="154">
        <f t="shared" si="310"/>
        <v>2.0447167036470437E-2</v>
      </c>
      <c r="J238" s="154">
        <f t="shared" si="310"/>
        <v>2.1866280875421428E-2</v>
      </c>
      <c r="K238" s="154">
        <f t="shared" si="310"/>
        <v>2.3323649805773172E-2</v>
      </c>
      <c r="L238" s="154">
        <f t="shared" ref="L238" si="311">IF(L20=0,0,L20/L$19)</f>
        <v>2.2993082356112225E-2</v>
      </c>
      <c r="M238" s="154">
        <f t="shared" ref="M238:V238" si="312">IF(M20=0,0,M20/M$19)</f>
        <v>2.2932143881838347E-2</v>
      </c>
      <c r="N238" s="154">
        <f t="shared" si="312"/>
        <v>2.2655362033060063E-2</v>
      </c>
      <c r="O238" s="154">
        <f t="shared" si="312"/>
        <v>2.1153739035294449E-2</v>
      </c>
      <c r="P238" s="154">
        <f t="shared" si="312"/>
        <v>2.1796622475891876E-2</v>
      </c>
      <c r="Q238" s="154">
        <f t="shared" si="312"/>
        <v>2.1909935420126581E-2</v>
      </c>
      <c r="R238" s="154">
        <f t="shared" si="312"/>
        <v>2.0579862644811067E-2</v>
      </c>
      <c r="S238" s="154">
        <f t="shared" si="312"/>
        <v>1.9668484175979991E-2</v>
      </c>
      <c r="T238" s="154">
        <f t="shared" si="312"/>
        <v>2.0149868743269326E-2</v>
      </c>
      <c r="U238" s="154">
        <f t="shared" si="312"/>
        <v>1.9913697874730473E-2</v>
      </c>
      <c r="V238" s="154">
        <f t="shared" si="312"/>
        <v>1.9227071083589387E-2</v>
      </c>
      <c r="W238" s="154">
        <f t="shared" ref="W238" si="313">IF(W20=0,0,W20/W$19)</f>
        <v>2.071258983116708E-2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9.3954803702788153E-4</v>
      </c>
      <c r="C239" s="103">
        <f t="shared" si="314"/>
        <v>8.9866459544890272E-4</v>
      </c>
      <c r="D239" s="103">
        <f t="shared" si="314"/>
        <v>9.2573048453542181E-4</v>
      </c>
      <c r="E239" s="103">
        <f t="shared" si="314"/>
        <v>9.0493166584132748E-4</v>
      </c>
      <c r="F239" s="103">
        <f t="shared" si="314"/>
        <v>8.3318385951231921E-4</v>
      </c>
      <c r="G239" s="103">
        <f t="shared" si="314"/>
        <v>8.2653355731559369E-4</v>
      </c>
      <c r="H239" s="103">
        <f t="shared" si="314"/>
        <v>7.7993422521902987E-4</v>
      </c>
      <c r="I239" s="103">
        <f t="shared" si="314"/>
        <v>6.9068866099033946E-4</v>
      </c>
      <c r="J239" s="103">
        <f t="shared" si="314"/>
        <v>6.8667688987528392E-4</v>
      </c>
      <c r="K239" s="103">
        <f t="shared" si="314"/>
        <v>6.833092239393407E-4</v>
      </c>
      <c r="L239" s="103">
        <f t="shared" ref="L239" si="315">IF(L21=0,0,L21/L$19)</f>
        <v>6.3986328787540717E-4</v>
      </c>
      <c r="M239" s="103">
        <f t="shared" ref="M239:V239" si="316">IF(M21=0,0,M21/M$19)</f>
        <v>5.9951527421880154E-4</v>
      </c>
      <c r="N239" s="103">
        <f t="shared" si="316"/>
        <v>5.6449087459098564E-4</v>
      </c>
      <c r="O239" s="103">
        <f t="shared" si="316"/>
        <v>4.9605997539613775E-4</v>
      </c>
      <c r="P239" s="103">
        <f t="shared" si="316"/>
        <v>4.5515650677773937E-4</v>
      </c>
      <c r="Q239" s="103">
        <f t="shared" si="316"/>
        <v>4.0149174998832402E-4</v>
      </c>
      <c r="R239" s="103">
        <f t="shared" si="316"/>
        <v>4.0187519790479265E-4</v>
      </c>
      <c r="S239" s="103">
        <f t="shared" si="316"/>
        <v>4.4206406236123297E-4</v>
      </c>
      <c r="T239" s="103">
        <f t="shared" si="316"/>
        <v>5.3331629322115606E-4</v>
      </c>
      <c r="U239" s="103">
        <f t="shared" si="316"/>
        <v>5.7509408956897112E-4</v>
      </c>
      <c r="V239" s="103">
        <f t="shared" si="316"/>
        <v>5.4563051042192171E-4</v>
      </c>
      <c r="W239" s="103">
        <f t="shared" ref="W239" si="317">IF(W21=0,0,W21/W$19)</f>
        <v>5.7470037188892583E-4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1.5485446250152307E-2</v>
      </c>
      <c r="C240" s="103">
        <f t="shared" si="318"/>
        <v>1.5730436656465879E-2</v>
      </c>
      <c r="D240" s="103">
        <f t="shared" si="318"/>
        <v>1.6037444185911572E-2</v>
      </c>
      <c r="E240" s="103">
        <f t="shared" si="318"/>
        <v>1.719883759439585E-2</v>
      </c>
      <c r="F240" s="103">
        <f t="shared" si="318"/>
        <v>1.7682222634866865E-2</v>
      </c>
      <c r="G240" s="103">
        <f t="shared" si="318"/>
        <v>1.8309661520360575E-2</v>
      </c>
      <c r="H240" s="103">
        <f t="shared" si="318"/>
        <v>1.8656364130246489E-2</v>
      </c>
      <c r="I240" s="103">
        <f t="shared" si="318"/>
        <v>1.9459970810102686E-2</v>
      </c>
      <c r="J240" s="103">
        <f t="shared" si="318"/>
        <v>2.088747303476058E-2</v>
      </c>
      <c r="K240" s="103">
        <f t="shared" si="318"/>
        <v>2.2356742115275999E-2</v>
      </c>
      <c r="L240" s="103">
        <f t="shared" ref="L240" si="319">IF(L22=0,0,L22/L$19)</f>
        <v>2.2102705271536856E-2</v>
      </c>
      <c r="M240" s="103">
        <f t="shared" ref="M240:V240" si="320">IF(M22=0,0,M22/M$19)</f>
        <v>2.2079338378461696E-2</v>
      </c>
      <c r="N240" s="103">
        <f t="shared" si="320"/>
        <v>2.1846115183535453E-2</v>
      </c>
      <c r="O240" s="103">
        <f t="shared" si="320"/>
        <v>2.0460096112697099E-2</v>
      </c>
      <c r="P240" s="103">
        <f t="shared" si="320"/>
        <v>2.115997094160825E-2</v>
      </c>
      <c r="Q240" s="103">
        <f t="shared" si="320"/>
        <v>2.1365276299428918E-2</v>
      </c>
      <c r="R240" s="103">
        <f t="shared" si="320"/>
        <v>2.0045524321424233E-2</v>
      </c>
      <c r="S240" s="103">
        <f t="shared" si="320"/>
        <v>1.9089360668509772E-2</v>
      </c>
      <c r="T240" s="103">
        <f t="shared" si="320"/>
        <v>1.946679216690287E-2</v>
      </c>
      <c r="U240" s="103">
        <f t="shared" si="320"/>
        <v>1.9173631800137557E-2</v>
      </c>
      <c r="V240" s="103">
        <f t="shared" si="320"/>
        <v>1.8502794237734797E-2</v>
      </c>
      <c r="W240" s="103">
        <f t="shared" ref="W240" si="321">IF(W22=0,0,W22/W$19)</f>
        <v>1.9938512246919515E-2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3.9492622237397972E-4</v>
      </c>
      <c r="C241" s="103">
        <f t="shared" si="322"/>
        <v>4.1244992092344504E-4</v>
      </c>
      <c r="D241" s="103">
        <f t="shared" si="322"/>
        <v>4.1287461173677655E-4</v>
      </c>
      <c r="E241" s="103">
        <f t="shared" si="322"/>
        <v>3.8652719397436571E-4</v>
      </c>
      <c r="F241" s="103">
        <f t="shared" si="322"/>
        <v>3.6553955758654298E-4</v>
      </c>
      <c r="G241" s="103">
        <f t="shared" si="322"/>
        <v>3.4636248192055664E-4</v>
      </c>
      <c r="H241" s="103">
        <f t="shared" si="322"/>
        <v>3.304577895293239E-4</v>
      </c>
      <c r="I241" s="103">
        <f t="shared" si="322"/>
        <v>2.9650756537740982E-4</v>
      </c>
      <c r="J241" s="103">
        <f t="shared" si="322"/>
        <v>2.8965230611526101E-4</v>
      </c>
      <c r="K241" s="103">
        <f t="shared" si="322"/>
        <v>2.8045843708501524E-4</v>
      </c>
      <c r="L241" s="103">
        <f t="shared" ref="L241" si="323">IF(L23=0,0,L23/L$19)</f>
        <v>2.4706156596695367E-4</v>
      </c>
      <c r="M241" s="103">
        <f t="shared" ref="M241:V241" si="324">IF(M23=0,0,M23/M$19)</f>
        <v>2.497328757169593E-4</v>
      </c>
      <c r="N241" s="103">
        <f t="shared" si="324"/>
        <v>2.3307099212720994E-4</v>
      </c>
      <c r="O241" s="103">
        <f t="shared" si="324"/>
        <v>1.8333588604681813E-4</v>
      </c>
      <c r="P241" s="103">
        <f t="shared" si="324"/>
        <v>1.6216323507255541E-4</v>
      </c>
      <c r="Q241" s="103">
        <f t="shared" si="324"/>
        <v>1.1799800673328834E-4</v>
      </c>
      <c r="R241" s="103">
        <f t="shared" si="324"/>
        <v>1.0649579646742647E-4</v>
      </c>
      <c r="S241" s="103">
        <f t="shared" si="324"/>
        <v>9.9191472184634294E-5</v>
      </c>
      <c r="T241" s="103">
        <f t="shared" si="324"/>
        <v>9.2404400366505213E-5</v>
      </c>
      <c r="U241" s="103">
        <f t="shared" si="324"/>
        <v>8.3239821760300751E-5</v>
      </c>
      <c r="V241" s="103">
        <f t="shared" si="324"/>
        <v>8.047056152288454E-5</v>
      </c>
      <c r="W241" s="103">
        <f t="shared" ref="W241" si="325">IF(W23=0,0,W23/W$19)</f>
        <v>8.2508815628686583E-5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0</v>
      </c>
      <c r="D242" s="103">
        <f t="shared" si="326"/>
        <v>0</v>
      </c>
      <c r="E242" s="103">
        <f t="shared" si="326"/>
        <v>0</v>
      </c>
      <c r="F242" s="103">
        <f t="shared" si="326"/>
        <v>0</v>
      </c>
      <c r="G242" s="103">
        <f t="shared" si="326"/>
        <v>0</v>
      </c>
      <c r="H242" s="103">
        <f t="shared" si="326"/>
        <v>0</v>
      </c>
      <c r="I242" s="103">
        <f t="shared" si="326"/>
        <v>0</v>
      </c>
      <c r="J242" s="103">
        <f t="shared" si="326"/>
        <v>1.2287906352439942E-6</v>
      </c>
      <c r="K242" s="103">
        <f t="shared" si="326"/>
        <v>1.7496181358863696E-6</v>
      </c>
      <c r="L242" s="103">
        <f t="shared" ref="L242" si="327">IF(L24=0,0,L24/L$19)</f>
        <v>2.0750772765436507E-6</v>
      </c>
      <c r="M242" s="103">
        <f t="shared" ref="M242:V242" si="328">IF(M24=0,0,M24/M$19)</f>
        <v>1.820783997882043E-6</v>
      </c>
      <c r="N242" s="103">
        <f t="shared" si="328"/>
        <v>4.379306172069824E-6</v>
      </c>
      <c r="O242" s="103">
        <f t="shared" si="328"/>
        <v>5.0326281380798533E-6</v>
      </c>
      <c r="P242" s="103">
        <f t="shared" si="328"/>
        <v>8.2285764674963577E-6</v>
      </c>
      <c r="Q242" s="103">
        <f t="shared" si="328"/>
        <v>1.3550110951279159E-5</v>
      </c>
      <c r="R242" s="103">
        <f t="shared" si="328"/>
        <v>1.2486215623104213E-5</v>
      </c>
      <c r="S242" s="103">
        <f t="shared" si="328"/>
        <v>2.2651527783925536E-5</v>
      </c>
      <c r="T242" s="103">
        <f t="shared" si="328"/>
        <v>3.6942825689689953E-5</v>
      </c>
      <c r="U242" s="103">
        <f t="shared" si="328"/>
        <v>5.5043884416316368E-5</v>
      </c>
      <c r="V242" s="103">
        <f t="shared" si="328"/>
        <v>6.4678057722885411E-5</v>
      </c>
      <c r="W242" s="103">
        <f t="shared" ref="W242" si="329">IF(W24=0,0,W24/W$19)</f>
        <v>7.0266469805476553E-5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0</v>
      </c>
      <c r="H243" s="103">
        <f t="shared" si="330"/>
        <v>0</v>
      </c>
      <c r="I243" s="103">
        <f t="shared" si="330"/>
        <v>0</v>
      </c>
      <c r="J243" s="103">
        <f t="shared" si="330"/>
        <v>1.2498540350548821E-6</v>
      </c>
      <c r="K243" s="103">
        <f t="shared" si="330"/>
        <v>1.3904113369297177E-6</v>
      </c>
      <c r="L243" s="103">
        <f t="shared" ref="L243" si="331">IF(L25=0,0,L25/L$19)</f>
        <v>1.3771534564649007E-6</v>
      </c>
      <c r="M243" s="103">
        <f t="shared" ref="M243:V243" si="332">IF(M25=0,0,M25/M$19)</f>
        <v>1.7365694430098574E-6</v>
      </c>
      <c r="N243" s="103">
        <f t="shared" si="332"/>
        <v>7.3056766343488445E-6</v>
      </c>
      <c r="O243" s="103">
        <f t="shared" si="332"/>
        <v>9.2144330163175863E-6</v>
      </c>
      <c r="P243" s="103">
        <f t="shared" si="332"/>
        <v>1.1103215965833523E-5</v>
      </c>
      <c r="Q243" s="103">
        <f t="shared" si="332"/>
        <v>1.1619253024770496E-5</v>
      </c>
      <c r="R243" s="103">
        <f t="shared" si="332"/>
        <v>1.348111339151322E-5</v>
      </c>
      <c r="S243" s="103">
        <f t="shared" si="332"/>
        <v>1.521644514042334E-5</v>
      </c>
      <c r="T243" s="103">
        <f t="shared" si="332"/>
        <v>2.0413057089104514E-5</v>
      </c>
      <c r="U243" s="103">
        <f t="shared" si="332"/>
        <v>2.6688278847325909E-5</v>
      </c>
      <c r="V243" s="103">
        <f t="shared" si="332"/>
        <v>3.3497716186897576E-5</v>
      </c>
      <c r="W243" s="103">
        <f t="shared" ref="W243" si="333">IF(W25=0,0,W25/W$19)</f>
        <v>4.6601926924477112E-5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0.98318007949044584</v>
      </c>
      <c r="C244" s="156">
        <f t="shared" si="334"/>
        <v>0.98295844882716166</v>
      </c>
      <c r="D244" s="156">
        <f t="shared" si="334"/>
        <v>0.98262395071781627</v>
      </c>
      <c r="E244" s="156">
        <f t="shared" si="334"/>
        <v>0.98150970354578837</v>
      </c>
      <c r="F244" s="156">
        <f t="shared" si="334"/>
        <v>0.98111905394803434</v>
      </c>
      <c r="G244" s="156">
        <f t="shared" si="334"/>
        <v>0.98051744244040329</v>
      </c>
      <c r="H244" s="156">
        <f t="shared" si="334"/>
        <v>0.9802332438550051</v>
      </c>
      <c r="I244" s="156">
        <f t="shared" si="334"/>
        <v>0.97955283296352957</v>
      </c>
      <c r="J244" s="156">
        <f t="shared" si="334"/>
        <v>0.97813371912457847</v>
      </c>
      <c r="K244" s="156">
        <f t="shared" si="334"/>
        <v>0.97667635019422683</v>
      </c>
      <c r="L244" s="156">
        <f t="shared" ref="L244" si="335">IF(L26=0,0,L26/L$19)</f>
        <v>0.97700691764388781</v>
      </c>
      <c r="M244" s="156">
        <f t="shared" ref="M244:V244" si="336">IF(M26=0,0,M26/M$19)</f>
        <v>0.97706785611816171</v>
      </c>
      <c r="N244" s="156">
        <f t="shared" si="336"/>
        <v>0.97734463796693993</v>
      </c>
      <c r="O244" s="156">
        <f t="shared" si="336"/>
        <v>0.97884626096470562</v>
      </c>
      <c r="P244" s="156">
        <f t="shared" si="336"/>
        <v>0.97820337752410813</v>
      </c>
      <c r="Q244" s="156">
        <f t="shared" si="336"/>
        <v>0.97809006457987335</v>
      </c>
      <c r="R244" s="156">
        <f t="shared" si="336"/>
        <v>0.97942013735518885</v>
      </c>
      <c r="S244" s="156">
        <f t="shared" si="336"/>
        <v>0.98033151582402001</v>
      </c>
      <c r="T244" s="156">
        <f t="shared" si="336"/>
        <v>0.97985013125673059</v>
      </c>
      <c r="U244" s="156">
        <f t="shared" si="336"/>
        <v>0.98008630212526948</v>
      </c>
      <c r="V244" s="156">
        <f t="shared" si="336"/>
        <v>0.98077292891641066</v>
      </c>
      <c r="W244" s="156">
        <f t="shared" ref="W244" si="337">IF(W26=0,0,W26/W$19)</f>
        <v>0.97928741016883292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0.49062856961498991</v>
      </c>
      <c r="C245" s="103">
        <f t="shared" si="338"/>
        <v>0.4835028089788978</v>
      </c>
      <c r="D245" s="103">
        <f t="shared" si="338"/>
        <v>0.46720990161703663</v>
      </c>
      <c r="E245" s="103">
        <f t="shared" si="338"/>
        <v>0.45289850890502931</v>
      </c>
      <c r="F245" s="103">
        <f t="shared" si="338"/>
        <v>0.41459055186634691</v>
      </c>
      <c r="G245" s="103">
        <f t="shared" si="338"/>
        <v>0.40432205298224111</v>
      </c>
      <c r="H245" s="103">
        <f t="shared" si="338"/>
        <v>0.40086963300262118</v>
      </c>
      <c r="I245" s="103">
        <f t="shared" si="338"/>
        <v>0.39240585580673398</v>
      </c>
      <c r="J245" s="103">
        <f t="shared" si="338"/>
        <v>0.37844156021841974</v>
      </c>
      <c r="K245" s="103">
        <f t="shared" si="338"/>
        <v>0.38699107848224296</v>
      </c>
      <c r="L245" s="103">
        <f t="shared" ref="L245" si="339">IF(L27=0,0,L27/L$19)</f>
        <v>0.38015336018093321</v>
      </c>
      <c r="M245" s="103">
        <f t="shared" ref="M245:V245" si="340">IF(M27=0,0,M27/M$19)</f>
        <v>0.3805965484647364</v>
      </c>
      <c r="N245" s="103">
        <f t="shared" si="340"/>
        <v>0.38766180305188536</v>
      </c>
      <c r="O245" s="103">
        <f t="shared" si="340"/>
        <v>0.39032541029248347</v>
      </c>
      <c r="P245" s="103">
        <f t="shared" si="340"/>
        <v>0.39100498444509069</v>
      </c>
      <c r="Q245" s="103">
        <f t="shared" si="340"/>
        <v>0.41229870181597766</v>
      </c>
      <c r="R245" s="103">
        <f t="shared" si="340"/>
        <v>0.40101354052742977</v>
      </c>
      <c r="S245" s="103">
        <f t="shared" si="340"/>
        <v>0.38790622946821662</v>
      </c>
      <c r="T245" s="103">
        <f t="shared" si="340"/>
        <v>0.39625825139611143</v>
      </c>
      <c r="U245" s="103">
        <f t="shared" si="340"/>
        <v>0.40609369502976389</v>
      </c>
      <c r="V245" s="103">
        <f t="shared" si="340"/>
        <v>0.40662418561365882</v>
      </c>
      <c r="W245" s="103">
        <f t="shared" ref="W245" si="341">IF(W27=0,0,W27/W$19)</f>
        <v>0.41600977767359937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0.49255150987545587</v>
      </c>
      <c r="C246" s="105">
        <f t="shared" si="342"/>
        <v>0.49945563984826391</v>
      </c>
      <c r="D246" s="105">
        <f t="shared" si="342"/>
        <v>0.5154140491007797</v>
      </c>
      <c r="E246" s="105">
        <f t="shared" si="342"/>
        <v>0.52861119464075901</v>
      </c>
      <c r="F246" s="105">
        <f t="shared" si="342"/>
        <v>0.56652850208168737</v>
      </c>
      <c r="G246" s="105">
        <f t="shared" si="342"/>
        <v>0.57619538945816218</v>
      </c>
      <c r="H246" s="105">
        <f t="shared" si="342"/>
        <v>0.57936361085238397</v>
      </c>
      <c r="I246" s="105">
        <f t="shared" si="342"/>
        <v>0.58714697715679554</v>
      </c>
      <c r="J246" s="105">
        <f t="shared" si="342"/>
        <v>0.59969215890615879</v>
      </c>
      <c r="K246" s="105">
        <f t="shared" si="342"/>
        <v>0.58968527171198393</v>
      </c>
      <c r="L246" s="105">
        <f t="shared" ref="L246" si="343">IF(L28=0,0,L28/L$19)</f>
        <v>0.59685355746295454</v>
      </c>
      <c r="M246" s="105">
        <f t="shared" ref="M246:V246" si="344">IF(M28=0,0,M28/M$19)</f>
        <v>0.59647130765342526</v>
      </c>
      <c r="N246" s="105">
        <f t="shared" si="344"/>
        <v>0.58968283491505458</v>
      </c>
      <c r="O246" s="105">
        <f t="shared" si="344"/>
        <v>0.58852085067222215</v>
      </c>
      <c r="P246" s="105">
        <f t="shared" si="344"/>
        <v>0.58719839307901744</v>
      </c>
      <c r="Q246" s="105">
        <f t="shared" si="344"/>
        <v>0.56579136276389574</v>
      </c>
      <c r="R246" s="105">
        <f t="shared" si="344"/>
        <v>0.57840659682775908</v>
      </c>
      <c r="S246" s="105">
        <f t="shared" si="344"/>
        <v>0.59242528635580338</v>
      </c>
      <c r="T246" s="105">
        <f t="shared" si="344"/>
        <v>0.58359187986061922</v>
      </c>
      <c r="U246" s="105">
        <f t="shared" si="344"/>
        <v>0.57399260709550559</v>
      </c>
      <c r="V246" s="105">
        <f t="shared" si="344"/>
        <v>0.57414874330275179</v>
      </c>
      <c r="W246" s="105">
        <f t="shared" ref="W246" si="345">IF(W28=0,0,W28/W$19)</f>
        <v>0.56327763249523344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1.7586435170144417E-2</v>
      </c>
      <c r="C250" s="154">
        <f t="shared" si="350"/>
        <v>1.7760946755393758E-2</v>
      </c>
      <c r="D250" s="154">
        <f t="shared" si="350"/>
        <v>1.8723021628063545E-2</v>
      </c>
      <c r="E250" s="154">
        <f t="shared" si="350"/>
        <v>1.8912892888810554E-2</v>
      </c>
      <c r="F250" s="154">
        <f t="shared" si="350"/>
        <v>1.909355736931018E-2</v>
      </c>
      <c r="G250" s="154">
        <f t="shared" si="350"/>
        <v>1.9190729888933271E-2</v>
      </c>
      <c r="H250" s="154">
        <f t="shared" si="350"/>
        <v>1.9250163357894208E-2</v>
      </c>
      <c r="I250" s="154">
        <f t="shared" si="350"/>
        <v>1.9178329429566512E-2</v>
      </c>
      <c r="J250" s="154">
        <f t="shared" si="350"/>
        <v>1.8717008022877103E-2</v>
      </c>
      <c r="K250" s="154">
        <f t="shared" si="350"/>
        <v>1.8315721904950462E-2</v>
      </c>
      <c r="L250" s="154">
        <f t="shared" ref="L250" si="351">IF(L32=0,0,L32/L$31)</f>
        <v>1.7525598989615247E-2</v>
      </c>
      <c r="M250" s="154">
        <f t="shared" ref="M250:V250" si="352">IF(M32=0,0,M32/M$31)</f>
        <v>1.7391894912274025E-2</v>
      </c>
      <c r="N250" s="154">
        <f t="shared" si="352"/>
        <v>1.702210140648441E-2</v>
      </c>
      <c r="O250" s="154">
        <f t="shared" si="352"/>
        <v>1.657642326381914E-2</v>
      </c>
      <c r="P250" s="154">
        <f t="shared" si="352"/>
        <v>1.684323473052636E-2</v>
      </c>
      <c r="Q250" s="154">
        <f t="shared" si="352"/>
        <v>1.6150287459384419E-2</v>
      </c>
      <c r="R250" s="154">
        <f t="shared" si="352"/>
        <v>1.677153076744349E-2</v>
      </c>
      <c r="S250" s="154">
        <f t="shared" si="352"/>
        <v>1.6303870886694938E-2</v>
      </c>
      <c r="T250" s="154">
        <f t="shared" si="352"/>
        <v>1.5842324167868523E-2</v>
      </c>
      <c r="U250" s="154">
        <f t="shared" si="352"/>
        <v>1.7087474031682173E-2</v>
      </c>
      <c r="V250" s="154">
        <f t="shared" si="352"/>
        <v>1.7895669331672318E-2</v>
      </c>
      <c r="W250" s="154">
        <f t="shared" ref="W250" si="353">IF(W32=0,0,W32/W$31)</f>
        <v>1.7937403163173646E-2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0.9739572338243363</v>
      </c>
      <c r="C251" s="156">
        <f t="shared" si="354"/>
        <v>0.9739867409518782</v>
      </c>
      <c r="D251" s="156">
        <f t="shared" si="354"/>
        <v>0.97291464358895896</v>
      </c>
      <c r="E251" s="156">
        <f t="shared" si="354"/>
        <v>0.97279019017060164</v>
      </c>
      <c r="F251" s="156">
        <f t="shared" si="354"/>
        <v>0.97265546816136195</v>
      </c>
      <c r="G251" s="156">
        <f t="shared" si="354"/>
        <v>0.97235841707819881</v>
      </c>
      <c r="H251" s="156">
        <f t="shared" si="354"/>
        <v>0.97269953551058819</v>
      </c>
      <c r="I251" s="156">
        <f t="shared" si="354"/>
        <v>0.97314576489566862</v>
      </c>
      <c r="J251" s="156">
        <f t="shared" si="354"/>
        <v>0.973645388379348</v>
      </c>
      <c r="K251" s="156">
        <f t="shared" si="354"/>
        <v>0.97416515788781599</v>
      </c>
      <c r="L251" s="156">
        <f t="shared" ref="L251" si="355">IF(L33=0,0,L33/L$31)</f>
        <v>0.97497099288842204</v>
      </c>
      <c r="M251" s="156">
        <f t="shared" ref="M251:V251" si="356">IF(M33=0,0,M33/M$31)</f>
        <v>0.97533178687270916</v>
      </c>
      <c r="N251" s="156">
        <f t="shared" si="356"/>
        <v>0.97575891747946453</v>
      </c>
      <c r="O251" s="156">
        <f t="shared" si="356"/>
        <v>0.97627389294904698</v>
      </c>
      <c r="P251" s="156">
        <f t="shared" si="356"/>
        <v>0.97611991506030948</v>
      </c>
      <c r="Q251" s="156">
        <f t="shared" si="356"/>
        <v>0.97688209261542125</v>
      </c>
      <c r="R251" s="156">
        <f t="shared" si="356"/>
        <v>0.97663565800995034</v>
      </c>
      <c r="S251" s="156">
        <f t="shared" si="356"/>
        <v>0.97691130714625518</v>
      </c>
      <c r="T251" s="156">
        <f t="shared" si="356"/>
        <v>0.9772355349920665</v>
      </c>
      <c r="U251" s="156">
        <f t="shared" si="356"/>
        <v>0.97585409255723754</v>
      </c>
      <c r="V251" s="156">
        <f t="shared" si="356"/>
        <v>0.97393489492077223</v>
      </c>
      <c r="W251" s="156">
        <f t="shared" ref="W251" si="357">IF(W33=0,0,W33/W$31)</f>
        <v>0.97426534462512182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0.42703365654247022</v>
      </c>
      <c r="C252" s="103">
        <f t="shared" si="358"/>
        <v>0.40305184408784001</v>
      </c>
      <c r="D252" s="103">
        <f t="shared" si="358"/>
        <v>0.38318293522093078</v>
      </c>
      <c r="E252" s="103">
        <f t="shared" si="358"/>
        <v>0.37462179747453533</v>
      </c>
      <c r="F252" s="103">
        <f t="shared" si="358"/>
        <v>0.33346862867326083</v>
      </c>
      <c r="G252" s="103">
        <f t="shared" si="358"/>
        <v>0.31979388105024387</v>
      </c>
      <c r="H252" s="103">
        <f t="shared" si="358"/>
        <v>0.28813796681660497</v>
      </c>
      <c r="I252" s="103">
        <f t="shared" si="358"/>
        <v>0.26077547263565193</v>
      </c>
      <c r="J252" s="103">
        <f t="shared" si="358"/>
        <v>0.23333158621487102</v>
      </c>
      <c r="K252" s="103">
        <f t="shared" si="358"/>
        <v>0.22247521207759235</v>
      </c>
      <c r="L252" s="103">
        <f t="shared" ref="L252" si="359">IF(L34=0,0,L34/L$31)</f>
        <v>0.20606918849974196</v>
      </c>
      <c r="M252" s="103">
        <f t="shared" ref="M252:V252" si="360">IF(M34=0,0,M34/M$31)</f>
        <v>0.19961579836141813</v>
      </c>
      <c r="N252" s="103">
        <f t="shared" si="360"/>
        <v>0.19882429812333641</v>
      </c>
      <c r="O252" s="103">
        <f t="shared" si="360"/>
        <v>0.20605624634654579</v>
      </c>
      <c r="P252" s="103">
        <f t="shared" si="360"/>
        <v>0.21440116019585431</v>
      </c>
      <c r="Q252" s="103">
        <f t="shared" si="360"/>
        <v>0.22522638898277433</v>
      </c>
      <c r="R252" s="103">
        <f t="shared" si="360"/>
        <v>0.24636487918804462</v>
      </c>
      <c r="S252" s="103">
        <f t="shared" si="360"/>
        <v>0.2691098503050191</v>
      </c>
      <c r="T252" s="103">
        <f t="shared" si="360"/>
        <v>0.31117081762567811</v>
      </c>
      <c r="U252" s="103">
        <f t="shared" si="360"/>
        <v>0.35583732854746719</v>
      </c>
      <c r="V252" s="103">
        <f t="shared" si="360"/>
        <v>0.36071219265186422</v>
      </c>
      <c r="W252" s="103">
        <f t="shared" ref="W252" si="361">IF(W34=0,0,W34/W$31)</f>
        <v>0.40173866592798496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0.53715987339417437</v>
      </c>
      <c r="C253" s="103">
        <f t="shared" si="362"/>
        <v>0.55963452091410149</v>
      </c>
      <c r="D253" s="103">
        <f t="shared" si="362"/>
        <v>0.5783251545573671</v>
      </c>
      <c r="E253" s="103">
        <f t="shared" si="362"/>
        <v>0.58788372166488301</v>
      </c>
      <c r="F253" s="103">
        <f t="shared" si="362"/>
        <v>0.62960802673877403</v>
      </c>
      <c r="G253" s="103">
        <f t="shared" si="362"/>
        <v>0.64375705802696337</v>
      </c>
      <c r="H253" s="103">
        <f t="shared" si="362"/>
        <v>0.67666928044062125</v>
      </c>
      <c r="I253" s="103">
        <f t="shared" si="362"/>
        <v>0.70558345719069804</v>
      </c>
      <c r="J253" s="103">
        <f t="shared" si="362"/>
        <v>0.73419132325287506</v>
      </c>
      <c r="K253" s="103">
        <f t="shared" si="362"/>
        <v>0.74615838902547504</v>
      </c>
      <c r="L253" s="103">
        <f t="shared" ref="L253" si="363">IF(L35=0,0,L35/L$31)</f>
        <v>0.76392626340919922</v>
      </c>
      <c r="M253" s="103">
        <f t="shared" ref="M253:V253" si="364">IF(M35=0,0,M35/M$31)</f>
        <v>0.77017568526457025</v>
      </c>
      <c r="N253" s="103">
        <f t="shared" si="364"/>
        <v>0.77100489610168355</v>
      </c>
      <c r="O253" s="103">
        <f t="shared" si="364"/>
        <v>0.76463003460261592</v>
      </c>
      <c r="P253" s="103">
        <f t="shared" si="364"/>
        <v>0.75520197810839529</v>
      </c>
      <c r="Q253" s="103">
        <f t="shared" si="364"/>
        <v>0.74244436472966824</v>
      </c>
      <c r="R253" s="103">
        <f t="shared" si="364"/>
        <v>0.7201513848244987</v>
      </c>
      <c r="S253" s="103">
        <f t="shared" si="364"/>
        <v>0.6955197318103401</v>
      </c>
      <c r="T253" s="103">
        <f t="shared" si="364"/>
        <v>0.65099063071393026</v>
      </c>
      <c r="U253" s="103">
        <f t="shared" si="364"/>
        <v>0.60131794817180484</v>
      </c>
      <c r="V253" s="103">
        <f t="shared" si="364"/>
        <v>0.58673428531072214</v>
      </c>
      <c r="W253" s="103">
        <f t="shared" ref="W253" si="365">IF(W35=0,0,W35/W$31)</f>
        <v>0.53506653012604422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9.763703887691726E-3</v>
      </c>
      <c r="C254" s="103">
        <f t="shared" si="366"/>
        <v>1.1300375949936903E-2</v>
      </c>
      <c r="D254" s="103">
        <f t="shared" si="366"/>
        <v>1.1406553810661114E-2</v>
      </c>
      <c r="E254" s="103">
        <f t="shared" si="366"/>
        <v>1.0284671031183383E-2</v>
      </c>
      <c r="F254" s="103">
        <f t="shared" si="366"/>
        <v>9.5281527402438504E-3</v>
      </c>
      <c r="G254" s="103">
        <f t="shared" si="366"/>
        <v>8.7495580909224616E-3</v>
      </c>
      <c r="H254" s="103">
        <f t="shared" si="366"/>
        <v>7.835314081118953E-3</v>
      </c>
      <c r="I254" s="103">
        <f t="shared" si="366"/>
        <v>6.7318017872401957E-3</v>
      </c>
      <c r="J254" s="103">
        <f t="shared" si="366"/>
        <v>6.0745219011085049E-3</v>
      </c>
      <c r="K254" s="103">
        <f t="shared" si="366"/>
        <v>5.4871663170314288E-3</v>
      </c>
      <c r="L254" s="103">
        <f t="shared" ref="L254" si="367">IF(L36=0,0,L36/L$31)</f>
        <v>4.9206575616942902E-3</v>
      </c>
      <c r="M254" s="103">
        <f t="shared" ref="M254:V254" si="368">IF(M36=0,0,M36/M$31)</f>
        <v>5.4368883280387168E-3</v>
      </c>
      <c r="N254" s="103">
        <f t="shared" si="368"/>
        <v>5.7049418609251635E-3</v>
      </c>
      <c r="O254" s="103">
        <f t="shared" si="368"/>
        <v>5.2642490843459863E-3</v>
      </c>
      <c r="P254" s="103">
        <f t="shared" si="368"/>
        <v>5.759849265134391E-3</v>
      </c>
      <c r="Q254" s="103">
        <f t="shared" si="368"/>
        <v>7.8436023902579127E-3</v>
      </c>
      <c r="R254" s="103">
        <f t="shared" si="368"/>
        <v>7.1576147813006826E-3</v>
      </c>
      <c r="S254" s="103">
        <f t="shared" si="368"/>
        <v>7.1787126115989298E-3</v>
      </c>
      <c r="T254" s="103">
        <f t="shared" si="368"/>
        <v>7.0651071595253219E-3</v>
      </c>
      <c r="U254" s="103">
        <f t="shared" si="368"/>
        <v>6.9543828212241835E-3</v>
      </c>
      <c r="V254" s="103">
        <f t="shared" si="368"/>
        <v>7.3808045945682561E-3</v>
      </c>
      <c r="W254" s="103">
        <f t="shared" ref="W254" si="369">IF(W36=0,0,W36/W$31)</f>
        <v>6.9062387275050036E-3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0</v>
      </c>
      <c r="E255" s="103">
        <f t="shared" si="370"/>
        <v>0</v>
      </c>
      <c r="F255" s="103">
        <f t="shared" si="370"/>
        <v>5.066000908330728E-5</v>
      </c>
      <c r="G255" s="103">
        <f t="shared" si="370"/>
        <v>5.7919910069057561E-5</v>
      </c>
      <c r="H255" s="103">
        <f t="shared" si="370"/>
        <v>5.6974172243046412E-5</v>
      </c>
      <c r="I255" s="103">
        <f t="shared" si="370"/>
        <v>5.5033282078432633E-5</v>
      </c>
      <c r="J255" s="103">
        <f t="shared" si="370"/>
        <v>4.6441442179854423E-5</v>
      </c>
      <c r="K255" s="103">
        <f t="shared" si="370"/>
        <v>4.220938463977259E-5</v>
      </c>
      <c r="L255" s="103">
        <f t="shared" ref="L255" si="371">IF(L37=0,0,L37/L$31)</f>
        <v>4.4547137892431542E-5</v>
      </c>
      <c r="M255" s="103">
        <f t="shared" ref="M255:V255" si="372">IF(M37=0,0,M37/M$31)</f>
        <v>4.7502565643051177E-5</v>
      </c>
      <c r="N255" s="103">
        <f t="shared" si="372"/>
        <v>4.856428685705784E-5</v>
      </c>
      <c r="O255" s="103">
        <f t="shared" si="372"/>
        <v>7.554903541589952E-5</v>
      </c>
      <c r="P255" s="103">
        <f t="shared" si="372"/>
        <v>2.5415122080693213E-4</v>
      </c>
      <c r="Q255" s="103">
        <f t="shared" si="372"/>
        <v>3.6689974622958546E-4</v>
      </c>
      <c r="R255" s="103">
        <f t="shared" si="372"/>
        <v>7.8745783119324214E-4</v>
      </c>
      <c r="S255" s="103">
        <f t="shared" si="372"/>
        <v>1.2022376255548062E-3</v>
      </c>
      <c r="T255" s="103">
        <f t="shared" si="372"/>
        <v>2.054698047488113E-3</v>
      </c>
      <c r="U255" s="103">
        <f t="shared" si="372"/>
        <v>3.05726450266481E-3</v>
      </c>
      <c r="V255" s="103">
        <f t="shared" si="372"/>
        <v>3.8766127390689963E-3</v>
      </c>
      <c r="W255" s="103">
        <f t="shared" ref="W255" si="373">IF(W37=0,0,W37/W$31)</f>
        <v>3.7623172829088975E-3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1.5724992165601214E-6</v>
      </c>
      <c r="N256" s="103">
        <f t="shared" si="376"/>
        <v>3.5787420549324323E-5</v>
      </c>
      <c r="O256" s="103">
        <f t="shared" si="376"/>
        <v>3.8839180629516863E-5</v>
      </c>
      <c r="P256" s="103">
        <f t="shared" si="376"/>
        <v>1.2727258649650961E-4</v>
      </c>
      <c r="Q256" s="103">
        <f t="shared" si="376"/>
        <v>4.5919993706627411E-4</v>
      </c>
      <c r="R256" s="103">
        <f t="shared" si="376"/>
        <v>1.3132657443187421E-3</v>
      </c>
      <c r="S256" s="103">
        <f t="shared" si="376"/>
        <v>2.6171558353806166E-3</v>
      </c>
      <c r="T256" s="103">
        <f t="shared" si="376"/>
        <v>4.104112922784349E-3</v>
      </c>
      <c r="U256" s="103">
        <f t="shared" si="376"/>
        <v>5.5068710811282725E-3</v>
      </c>
      <c r="V256" s="103">
        <f t="shared" si="376"/>
        <v>9.4549450210018419E-3</v>
      </c>
      <c r="W256" s="103">
        <f t="shared" ref="W256" si="377">IF(W38=0,0,W38/W$31)</f>
        <v>1.6432936932376265E-2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1.5155683136162629E-6</v>
      </c>
      <c r="K257" s="103">
        <f t="shared" si="378"/>
        <v>2.1810830772776401E-6</v>
      </c>
      <c r="L257" s="103">
        <f t="shared" ref="L257" si="379">IF(L39=0,0,L39/L$31)</f>
        <v>1.0336279894181331E-5</v>
      </c>
      <c r="M257" s="103">
        <f t="shared" ref="M257:V257" si="380">IF(M39=0,0,M39/M$31)</f>
        <v>5.433985382227272E-5</v>
      </c>
      <c r="N257" s="103">
        <f t="shared" si="380"/>
        <v>1.4042968611314006E-4</v>
      </c>
      <c r="O257" s="103">
        <f t="shared" si="380"/>
        <v>2.0897469949409371E-4</v>
      </c>
      <c r="P257" s="103">
        <f t="shared" si="380"/>
        <v>3.7550368362223858E-4</v>
      </c>
      <c r="Q257" s="103">
        <f t="shared" si="380"/>
        <v>5.4163682942503502E-4</v>
      </c>
      <c r="R257" s="103">
        <f t="shared" si="380"/>
        <v>8.6105564059456676E-4</v>
      </c>
      <c r="S257" s="103">
        <f t="shared" si="380"/>
        <v>1.2836189583616789E-3</v>
      </c>
      <c r="T257" s="103">
        <f t="shared" si="380"/>
        <v>1.8501685226604127E-3</v>
      </c>
      <c r="U257" s="103">
        <f t="shared" si="380"/>
        <v>3.1802974329481985E-3</v>
      </c>
      <c r="V257" s="103">
        <f t="shared" si="380"/>
        <v>5.7760546035468367E-3</v>
      </c>
      <c r="W257" s="103">
        <f t="shared" ref="W257" si="381">IF(W39=0,0,W39/W$31)</f>
        <v>1.0358655628302509E-2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8.4563310055192371E-3</v>
      </c>
      <c r="C258" s="156">
        <f t="shared" si="382"/>
        <v>8.2523122927280288E-3</v>
      </c>
      <c r="D258" s="156">
        <f t="shared" si="382"/>
        <v>8.3623347829774788E-3</v>
      </c>
      <c r="E258" s="156">
        <f t="shared" si="382"/>
        <v>8.2969169405877896E-3</v>
      </c>
      <c r="F258" s="156">
        <f t="shared" si="382"/>
        <v>8.2509744693277879E-3</v>
      </c>
      <c r="G258" s="156">
        <f t="shared" si="382"/>
        <v>8.4508530328680082E-3</v>
      </c>
      <c r="H258" s="156">
        <f t="shared" si="382"/>
        <v>8.0503011315175618E-3</v>
      </c>
      <c r="I258" s="156">
        <f t="shared" si="382"/>
        <v>7.6759056747648952E-3</v>
      </c>
      <c r="J258" s="156">
        <f t="shared" si="382"/>
        <v>7.6376035977749413E-3</v>
      </c>
      <c r="K258" s="156">
        <f t="shared" si="382"/>
        <v>7.5191202072334941E-3</v>
      </c>
      <c r="L258" s="156">
        <f t="shared" ref="L258" si="383">IF(L40=0,0,L40/L$31)</f>
        <v>7.5034081219626479E-3</v>
      </c>
      <c r="M258" s="156">
        <f t="shared" ref="M258:V258" si="384">IF(M40=0,0,M40/M$31)</f>
        <v>7.276318215016838E-3</v>
      </c>
      <c r="N258" s="156">
        <f t="shared" si="384"/>
        <v>7.2189811140510526E-3</v>
      </c>
      <c r="O258" s="156">
        <f t="shared" si="384"/>
        <v>7.1496837871337674E-3</v>
      </c>
      <c r="P258" s="156">
        <f t="shared" si="384"/>
        <v>7.0368502091641243E-3</v>
      </c>
      <c r="Q258" s="156">
        <f t="shared" si="384"/>
        <v>6.9676199251943261E-3</v>
      </c>
      <c r="R258" s="156">
        <f t="shared" si="384"/>
        <v>6.5928112226061519E-3</v>
      </c>
      <c r="S258" s="156">
        <f t="shared" si="384"/>
        <v>6.7848219670498585E-3</v>
      </c>
      <c r="T258" s="156">
        <f t="shared" si="384"/>
        <v>6.9221408400649978E-3</v>
      </c>
      <c r="U258" s="156">
        <f t="shared" si="384"/>
        <v>7.0584334110802812E-3</v>
      </c>
      <c r="V258" s="156">
        <f t="shared" si="384"/>
        <v>8.1694357475553259E-3</v>
      </c>
      <c r="W258" s="156">
        <f t="shared" ref="W258" si="385">IF(W40=0,0,W40/W$31)</f>
        <v>7.7972522117044337E-3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1.1322321944027231E-4</v>
      </c>
      <c r="C259" s="103">
        <f t="shared" si="386"/>
        <v>1.0837633459785994E-4</v>
      </c>
      <c r="D259" s="103">
        <f t="shared" si="386"/>
        <v>1.0015665514186937E-4</v>
      </c>
      <c r="E259" s="103">
        <f t="shared" si="386"/>
        <v>9.7942760675031839E-5</v>
      </c>
      <c r="F259" s="103">
        <f t="shared" si="386"/>
        <v>9.5046732901265973E-5</v>
      </c>
      <c r="G259" s="103">
        <f t="shared" si="386"/>
        <v>9.7326336419133012E-5</v>
      </c>
      <c r="H259" s="103">
        <f t="shared" si="386"/>
        <v>8.5742761958266373E-5</v>
      </c>
      <c r="I259" s="103">
        <f t="shared" si="386"/>
        <v>7.7861482365503923E-5</v>
      </c>
      <c r="J259" s="103">
        <f t="shared" si="386"/>
        <v>7.0486281641504581E-5</v>
      </c>
      <c r="K259" s="103">
        <f t="shared" si="386"/>
        <v>6.431276205937306E-5</v>
      </c>
      <c r="L259" s="103">
        <f t="shared" ref="L259" si="387">IF(L41=0,0,L41/L$31)</f>
        <v>5.8456369323960287E-5</v>
      </c>
      <c r="M259" s="103">
        <f t="shared" ref="M259:V259" si="388">IF(M41=0,0,M41/M$31)</f>
        <v>5.567203074949297E-5</v>
      </c>
      <c r="N259" s="103">
        <f t="shared" si="388"/>
        <v>5.4042523827643332E-5</v>
      </c>
      <c r="O259" s="103">
        <f t="shared" si="388"/>
        <v>5.1156669520879468E-5</v>
      </c>
      <c r="P259" s="103">
        <f t="shared" si="388"/>
        <v>4.8191775893784944E-5</v>
      </c>
      <c r="Q259" s="103">
        <f t="shared" si="388"/>
        <v>4.5364000693225074E-5</v>
      </c>
      <c r="R259" s="103">
        <f t="shared" si="388"/>
        <v>4.2910509445606984E-5</v>
      </c>
      <c r="S259" s="103">
        <f t="shared" si="388"/>
        <v>4.3097098411819185E-5</v>
      </c>
      <c r="T259" s="103">
        <f t="shared" si="388"/>
        <v>4.2744014624332604E-5</v>
      </c>
      <c r="U259" s="103">
        <f t="shared" si="388"/>
        <v>4.2657838452067427E-5</v>
      </c>
      <c r="V259" s="103">
        <f t="shared" si="388"/>
        <v>4.8655419394215307E-5</v>
      </c>
      <c r="W259" s="103">
        <f t="shared" ref="W259" si="389">IF(W41=0,0,W41/W$31)</f>
        <v>4.4819802915825791E-5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8.3420684301066649E-3</v>
      </c>
      <c r="C260" s="103">
        <f t="shared" si="390"/>
        <v>8.1429328538502703E-3</v>
      </c>
      <c r="D260" s="103">
        <f t="shared" si="390"/>
        <v>8.2611761724009272E-3</v>
      </c>
      <c r="E260" s="103">
        <f t="shared" si="390"/>
        <v>8.1980047436481813E-3</v>
      </c>
      <c r="F260" s="103">
        <f t="shared" si="390"/>
        <v>8.1549664907271235E-3</v>
      </c>
      <c r="G260" s="103">
        <f t="shared" si="390"/>
        <v>8.3430714688390323E-3</v>
      </c>
      <c r="H260" s="103">
        <f t="shared" si="390"/>
        <v>7.9543987028661486E-3</v>
      </c>
      <c r="I260" s="103">
        <f t="shared" si="390"/>
        <v>7.5887685092209181E-3</v>
      </c>
      <c r="J260" s="103">
        <f t="shared" si="390"/>
        <v>7.5585116782730709E-3</v>
      </c>
      <c r="K260" s="103">
        <f t="shared" si="390"/>
        <v>7.4462407293857547E-3</v>
      </c>
      <c r="L260" s="103">
        <f t="shared" ref="L260" si="391">IF(L42=0,0,L42/L$31)</f>
        <v>7.4368132929386764E-3</v>
      </c>
      <c r="M260" s="103">
        <f t="shared" ref="M260:V260" si="392">IF(M42=0,0,M42/M$31)</f>
        <v>7.2130126715746435E-3</v>
      </c>
      <c r="N260" s="103">
        <f t="shared" si="392"/>
        <v>7.15766561266175E-3</v>
      </c>
      <c r="O260" s="103">
        <f t="shared" si="392"/>
        <v>7.0911087053512943E-3</v>
      </c>
      <c r="P260" s="103">
        <f t="shared" si="392"/>
        <v>6.9806054414513537E-3</v>
      </c>
      <c r="Q260" s="103">
        <f t="shared" si="392"/>
        <v>6.9153035872301085E-3</v>
      </c>
      <c r="R260" s="103">
        <f t="shared" si="392"/>
        <v>6.542926482809062E-3</v>
      </c>
      <c r="S260" s="103">
        <f t="shared" si="392"/>
        <v>6.734996056664313E-3</v>
      </c>
      <c r="T260" s="103">
        <f t="shared" si="392"/>
        <v>6.8674948660205236E-3</v>
      </c>
      <c r="U260" s="103">
        <f t="shared" si="392"/>
        <v>6.9838922256436958E-3</v>
      </c>
      <c r="V260" s="103">
        <f t="shared" si="392"/>
        <v>8.0715821340573146E-3</v>
      </c>
      <c r="W260" s="103">
        <f t="shared" ref="W260" si="393">IF(W42=0,0,W42/W$31)</f>
        <v>7.6442480579409482E-3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0</v>
      </c>
      <c r="D261" s="103">
        <f t="shared" si="394"/>
        <v>0</v>
      </c>
      <c r="E261" s="103">
        <f t="shared" si="394"/>
        <v>0</v>
      </c>
      <c r="F261" s="103">
        <f t="shared" si="394"/>
        <v>0</v>
      </c>
      <c r="G261" s="103">
        <f t="shared" si="394"/>
        <v>0</v>
      </c>
      <c r="H261" s="103">
        <f t="shared" si="394"/>
        <v>0</v>
      </c>
      <c r="I261" s="103">
        <f t="shared" si="394"/>
        <v>0</v>
      </c>
      <c r="J261" s="103">
        <f t="shared" si="394"/>
        <v>0</v>
      </c>
      <c r="K261" s="103">
        <f t="shared" si="394"/>
        <v>0</v>
      </c>
      <c r="L261" s="103">
        <f t="shared" ref="L261" si="395">IF(L43=0,0,L43/L$31)</f>
        <v>0</v>
      </c>
      <c r="M261" s="103">
        <f t="shared" ref="M261:V261" si="396">IF(M43=0,0,M43/M$31)</f>
        <v>0</v>
      </c>
      <c r="N261" s="103">
        <f t="shared" si="396"/>
        <v>0</v>
      </c>
      <c r="O261" s="103">
        <f t="shared" si="396"/>
        <v>0</v>
      </c>
      <c r="P261" s="103">
        <f t="shared" si="396"/>
        <v>0</v>
      </c>
      <c r="Q261" s="103">
        <f t="shared" si="396"/>
        <v>0</v>
      </c>
      <c r="R261" s="103">
        <f t="shared" si="396"/>
        <v>0</v>
      </c>
      <c r="S261" s="103">
        <f t="shared" si="396"/>
        <v>0</v>
      </c>
      <c r="T261" s="103">
        <f t="shared" si="396"/>
        <v>0</v>
      </c>
      <c r="U261" s="103">
        <f t="shared" si="396"/>
        <v>0</v>
      </c>
      <c r="V261" s="103">
        <f t="shared" si="396"/>
        <v>0</v>
      </c>
      <c r="W261" s="103">
        <f t="shared" ref="W261" si="397">IF(W43=0,0,W43/W$31)</f>
        <v>0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0</v>
      </c>
      <c r="C262" s="103">
        <f t="shared" si="398"/>
        <v>0</v>
      </c>
      <c r="D262" s="103">
        <f t="shared" si="398"/>
        <v>0</v>
      </c>
      <c r="E262" s="103">
        <f t="shared" si="398"/>
        <v>0</v>
      </c>
      <c r="F262" s="103">
        <f t="shared" si="398"/>
        <v>0</v>
      </c>
      <c r="G262" s="103">
        <f t="shared" si="398"/>
        <v>0</v>
      </c>
      <c r="H262" s="103">
        <f t="shared" si="398"/>
        <v>0</v>
      </c>
      <c r="I262" s="103">
        <f t="shared" si="398"/>
        <v>0</v>
      </c>
      <c r="J262" s="103">
        <f t="shared" si="398"/>
        <v>0</v>
      </c>
      <c r="K262" s="103">
        <f t="shared" si="398"/>
        <v>0</v>
      </c>
      <c r="L262" s="103">
        <f t="shared" ref="L262" si="399">IF(L44=0,0,L44/L$31)</f>
        <v>0</v>
      </c>
      <c r="M262" s="103">
        <f t="shared" ref="M262:V262" si="400">IF(M44=0,0,M44/M$31)</f>
        <v>0</v>
      </c>
      <c r="N262" s="103">
        <f t="shared" si="400"/>
        <v>0</v>
      </c>
      <c r="O262" s="103">
        <f t="shared" si="400"/>
        <v>0</v>
      </c>
      <c r="P262" s="103">
        <f t="shared" si="400"/>
        <v>0</v>
      </c>
      <c r="Q262" s="103">
        <f t="shared" si="400"/>
        <v>0</v>
      </c>
      <c r="R262" s="103">
        <f t="shared" si="400"/>
        <v>3.5410459119012703E-7</v>
      </c>
      <c r="S262" s="103">
        <f t="shared" si="400"/>
        <v>3.6958026136115325E-7</v>
      </c>
      <c r="T262" s="103">
        <f t="shared" si="400"/>
        <v>2.28566418356333E-6</v>
      </c>
      <c r="U262" s="103">
        <f t="shared" si="400"/>
        <v>4.6598376104589179E-6</v>
      </c>
      <c r="V262" s="103">
        <f t="shared" si="400"/>
        <v>1.0587047790798331E-5</v>
      </c>
      <c r="W262" s="103">
        <f t="shared" ref="W262" si="401">IF(W44=0,0,W44/W$31)</f>
        <v>6.2138796620154249E-5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1.0393559723008709E-6</v>
      </c>
      <c r="C263" s="103">
        <f t="shared" si="402"/>
        <v>1.0031042798977136E-6</v>
      </c>
      <c r="D263" s="103">
        <f t="shared" si="402"/>
        <v>1.0019554346825927E-6</v>
      </c>
      <c r="E263" s="103">
        <f t="shared" si="402"/>
        <v>9.6943626457445883E-7</v>
      </c>
      <c r="F263" s="103">
        <f t="shared" si="402"/>
        <v>9.612456993986303E-7</v>
      </c>
      <c r="G263" s="103">
        <f t="shared" si="402"/>
        <v>1.0455227609843729E-5</v>
      </c>
      <c r="H263" s="103">
        <f t="shared" si="402"/>
        <v>1.015966669314635E-5</v>
      </c>
      <c r="I263" s="103">
        <f t="shared" si="402"/>
        <v>9.2756831784726441E-6</v>
      </c>
      <c r="J263" s="103">
        <f t="shared" si="402"/>
        <v>8.6056378603657767E-6</v>
      </c>
      <c r="K263" s="103">
        <f t="shared" si="402"/>
        <v>8.5667157883668912E-6</v>
      </c>
      <c r="L263" s="103">
        <f t="shared" ref="L263" si="403">IF(L45=0,0,L45/L$31)</f>
        <v>8.1384597000112461E-6</v>
      </c>
      <c r="M263" s="103">
        <f t="shared" ref="M263:V263" si="404">IF(M45=0,0,M45/M$31)</f>
        <v>7.6335126927024823E-6</v>
      </c>
      <c r="N263" s="103">
        <f t="shared" si="404"/>
        <v>7.272977561659803E-6</v>
      </c>
      <c r="O263" s="103">
        <f t="shared" si="404"/>
        <v>7.4184122615943718E-6</v>
      </c>
      <c r="P263" s="103">
        <f t="shared" si="404"/>
        <v>8.0529918189863915E-6</v>
      </c>
      <c r="Q263" s="103">
        <f t="shared" si="404"/>
        <v>6.9523372709923484E-6</v>
      </c>
      <c r="R263" s="103">
        <f t="shared" si="404"/>
        <v>6.6201257602922821E-6</v>
      </c>
      <c r="S263" s="103">
        <f t="shared" si="404"/>
        <v>6.3592317123645518E-6</v>
      </c>
      <c r="T263" s="103">
        <f t="shared" si="404"/>
        <v>9.6162952365783819E-6</v>
      </c>
      <c r="U263" s="103">
        <f t="shared" si="404"/>
        <v>2.7223509374059351E-5</v>
      </c>
      <c r="V263" s="103">
        <f t="shared" si="404"/>
        <v>3.8611146312998331E-5</v>
      </c>
      <c r="W263" s="103">
        <f t="shared" ref="W263" si="405">IF(W45=0,0,W45/W$31)</f>
        <v>4.6045554227506191E-5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0.69242564214281288</v>
      </c>
      <c r="C265" s="154">
        <f t="shared" si="410"/>
        <v>0.69082049086701913</v>
      </c>
      <c r="D265" s="154">
        <f t="shared" si="410"/>
        <v>0.6987969430743326</v>
      </c>
      <c r="E265" s="154">
        <f t="shared" si="410"/>
        <v>0.71731944889886412</v>
      </c>
      <c r="F265" s="154">
        <f t="shared" si="410"/>
        <v>0.72052099415375426</v>
      </c>
      <c r="G265" s="154">
        <f t="shared" si="410"/>
        <v>0.73452937702832877</v>
      </c>
      <c r="H265" s="154">
        <f t="shared" si="410"/>
        <v>0.73909615135381945</v>
      </c>
      <c r="I265" s="154">
        <f t="shared" si="410"/>
        <v>0.74926584209951341</v>
      </c>
      <c r="J265" s="154">
        <f t="shared" si="410"/>
        <v>0.77127671395541075</v>
      </c>
      <c r="K265" s="154">
        <f t="shared" si="410"/>
        <v>0.77948459623649535</v>
      </c>
      <c r="L265" s="154">
        <f t="shared" ref="L265" si="411">IF(L47=0,0,L47/L$46)</f>
        <v>0.78005550704986981</v>
      </c>
      <c r="M265" s="154">
        <f t="shared" ref="M265:V265" si="412">IF(M47=0,0,M47/M$46)</f>
        <v>0.775780827548332</v>
      </c>
      <c r="N265" s="154">
        <f t="shared" si="412"/>
        <v>0.77350667944363016</v>
      </c>
      <c r="O265" s="154">
        <f t="shared" si="412"/>
        <v>0.75812948906296884</v>
      </c>
      <c r="P265" s="154">
        <f t="shared" si="412"/>
        <v>0.76202198264414034</v>
      </c>
      <c r="Q265" s="154">
        <f t="shared" si="412"/>
        <v>0.7587982513570839</v>
      </c>
      <c r="R265" s="154">
        <f t="shared" si="412"/>
        <v>0.7458002336122278</v>
      </c>
      <c r="S265" s="154">
        <f t="shared" si="412"/>
        <v>0.73006447315000589</v>
      </c>
      <c r="T265" s="154">
        <f t="shared" si="412"/>
        <v>0.73912563226444439</v>
      </c>
      <c r="U265" s="154">
        <f t="shared" si="412"/>
        <v>0.73172549297066203</v>
      </c>
      <c r="V265" s="154">
        <f t="shared" si="412"/>
        <v>0.72357683583095522</v>
      </c>
      <c r="W265" s="154">
        <f t="shared" ref="W265" si="413">IF(W47=0,0,W47/W$46)</f>
        <v>0.74106928482327306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4.7626270221095196E-2</v>
      </c>
      <c r="C266" s="103">
        <f t="shared" si="414"/>
        <v>4.4847893153804601E-2</v>
      </c>
      <c r="D266" s="103">
        <f t="shared" si="414"/>
        <v>4.5438274709986348E-2</v>
      </c>
      <c r="E266" s="103">
        <f t="shared" si="414"/>
        <v>4.2553589146257363E-2</v>
      </c>
      <c r="F266" s="103">
        <f t="shared" si="414"/>
        <v>3.8273902010476167E-2</v>
      </c>
      <c r="G266" s="103">
        <f t="shared" si="414"/>
        <v>3.7958651478996741E-2</v>
      </c>
      <c r="H266" s="103">
        <f t="shared" si="414"/>
        <v>3.5952534871683803E-2</v>
      </c>
      <c r="I266" s="103">
        <f t="shared" si="414"/>
        <v>3.0997504143427279E-2</v>
      </c>
      <c r="J266" s="103">
        <f t="shared" si="414"/>
        <v>2.9411485834659103E-2</v>
      </c>
      <c r="K266" s="103">
        <f t="shared" si="414"/>
        <v>2.7788632092779049E-2</v>
      </c>
      <c r="L266" s="103">
        <f t="shared" ref="L266" si="415">IF(L48=0,0,L48/L$46)</f>
        <v>2.6571340719602248E-2</v>
      </c>
      <c r="M266" s="103">
        <f t="shared" ref="M266:V266" si="416">IF(M48=0,0,M48/M$46)</f>
        <v>2.5088732028842629E-2</v>
      </c>
      <c r="N266" s="103">
        <f t="shared" si="416"/>
        <v>2.4093288932362362E-2</v>
      </c>
      <c r="O266" s="103">
        <f t="shared" si="416"/>
        <v>2.2463943332490306E-2</v>
      </c>
      <c r="P266" s="103">
        <f t="shared" si="416"/>
        <v>2.0025378655893357E-2</v>
      </c>
      <c r="Q266" s="103">
        <f t="shared" si="416"/>
        <v>1.735766196541233E-2</v>
      </c>
      <c r="R266" s="103">
        <f t="shared" si="416"/>
        <v>1.8726835106012012E-2</v>
      </c>
      <c r="S266" s="103">
        <f t="shared" si="416"/>
        <v>2.1665641825048442E-2</v>
      </c>
      <c r="T266" s="103">
        <f t="shared" si="416"/>
        <v>2.5902276166476331E-2</v>
      </c>
      <c r="U266" s="103">
        <f t="shared" si="416"/>
        <v>2.8101984516171633E-2</v>
      </c>
      <c r="V266" s="103">
        <f t="shared" si="416"/>
        <v>2.7240822053798842E-2</v>
      </c>
      <c r="W266" s="103">
        <f t="shared" ref="W266" si="417">IF(W48=0,0,W48/W$46)</f>
        <v>2.720730400127323E-2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0.62523261197688618</v>
      </c>
      <c r="C267" s="103">
        <f t="shared" si="418"/>
        <v>0.62581227786937066</v>
      </c>
      <c r="D267" s="103">
        <f t="shared" si="418"/>
        <v>0.63329499406637779</v>
      </c>
      <c r="E267" s="103">
        <f t="shared" si="418"/>
        <v>0.65657602592530195</v>
      </c>
      <c r="F267" s="103">
        <f t="shared" si="418"/>
        <v>0.66526083145089521</v>
      </c>
      <c r="G267" s="103">
        <f t="shared" si="418"/>
        <v>0.68062799363731796</v>
      </c>
      <c r="H267" s="103">
        <f t="shared" si="418"/>
        <v>0.6880167403158689</v>
      </c>
      <c r="I267" s="103">
        <f t="shared" si="418"/>
        <v>0.70491114673172439</v>
      </c>
      <c r="J267" s="103">
        <f t="shared" si="418"/>
        <v>0.72917156528536808</v>
      </c>
      <c r="K267" s="103">
        <f t="shared" si="418"/>
        <v>0.73999599045155318</v>
      </c>
      <c r="L267" s="103">
        <f t="shared" ref="L267" si="419">IF(L49=0,0,L49/L$46)</f>
        <v>0.74297295518898299</v>
      </c>
      <c r="M267" s="103">
        <f t="shared" ref="M267:V267" si="420">IF(M49=0,0,M49/M$46)</f>
        <v>0.74008051482893089</v>
      </c>
      <c r="N267" s="103">
        <f t="shared" si="420"/>
        <v>0.73905165526996197</v>
      </c>
      <c r="O267" s="103">
        <f t="shared" si="420"/>
        <v>0.72686573789035092</v>
      </c>
      <c r="P267" s="103">
        <f t="shared" si="420"/>
        <v>0.73409184512288561</v>
      </c>
      <c r="Q267" s="103">
        <f t="shared" si="420"/>
        <v>0.73525104545877173</v>
      </c>
      <c r="R267" s="103">
        <f t="shared" si="420"/>
        <v>0.72096433467649912</v>
      </c>
      <c r="S267" s="103">
        <f t="shared" si="420"/>
        <v>0.70181717022058865</v>
      </c>
      <c r="T267" s="103">
        <f t="shared" si="420"/>
        <v>0.70612745619230899</v>
      </c>
      <c r="U267" s="103">
        <f t="shared" si="420"/>
        <v>0.69580106906874228</v>
      </c>
      <c r="V267" s="103">
        <f t="shared" si="420"/>
        <v>0.68766402387569459</v>
      </c>
      <c r="W267" s="103">
        <f t="shared" ref="W267" si="421">IF(W49=0,0,W49/W$46)</f>
        <v>0.70466025249277364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1.9566759944831463E-2</v>
      </c>
      <c r="C268" s="103">
        <f t="shared" si="422"/>
        <v>2.0160319843843894E-2</v>
      </c>
      <c r="D268" s="103">
        <f t="shared" si="422"/>
        <v>2.0063674297968449E-2</v>
      </c>
      <c r="E268" s="103">
        <f t="shared" si="422"/>
        <v>1.8189833827304897E-2</v>
      </c>
      <c r="F268" s="103">
        <f t="shared" si="422"/>
        <v>1.6986260692382828E-2</v>
      </c>
      <c r="G268" s="103">
        <f t="shared" si="422"/>
        <v>1.5942731912013987E-2</v>
      </c>
      <c r="H268" s="103">
        <f t="shared" si="422"/>
        <v>1.5126876166266914E-2</v>
      </c>
      <c r="I268" s="103">
        <f t="shared" si="422"/>
        <v>1.3357191224361759E-2</v>
      </c>
      <c r="J268" s="103">
        <f t="shared" si="422"/>
        <v>1.2587797043796865E-2</v>
      </c>
      <c r="K268" s="103">
        <f t="shared" si="422"/>
        <v>1.1571887807994025E-2</v>
      </c>
      <c r="L268" s="103">
        <f t="shared" ref="L268" si="423">IF(L50=0,0,L50/L$46)</f>
        <v>1.0367284462917922E-2</v>
      </c>
      <c r="M268" s="103">
        <f t="shared" ref="M268:V268" si="424">IF(M50=0,0,M50/M$46)</f>
        <v>1.046327967479707E-2</v>
      </c>
      <c r="N268" s="103">
        <f t="shared" si="424"/>
        <v>9.8678183917766775E-3</v>
      </c>
      <c r="O268" s="103">
        <f t="shared" si="424"/>
        <v>8.1596805072753614E-3</v>
      </c>
      <c r="P268" s="103">
        <f t="shared" si="424"/>
        <v>7.0582841365227035E-3</v>
      </c>
      <c r="Q268" s="103">
        <f t="shared" si="424"/>
        <v>5.1013987548397472E-3</v>
      </c>
      <c r="R268" s="103">
        <f t="shared" si="424"/>
        <v>4.909445062523863E-3</v>
      </c>
      <c r="S268" s="103">
        <f t="shared" si="424"/>
        <v>4.7578878130078214E-3</v>
      </c>
      <c r="T268" s="103">
        <f t="shared" si="424"/>
        <v>4.3660147616818908E-3</v>
      </c>
      <c r="U268" s="103">
        <f t="shared" si="424"/>
        <v>3.9299828050666221E-3</v>
      </c>
      <c r="V268" s="103">
        <f t="shared" si="424"/>
        <v>3.881388871634008E-3</v>
      </c>
      <c r="W268" s="103">
        <f t="shared" ref="W268" si="425">IF(W50=0,0,W50/W$46)</f>
        <v>3.7842622916399479E-3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0</v>
      </c>
      <c r="D269" s="103">
        <f t="shared" si="426"/>
        <v>0</v>
      </c>
      <c r="E269" s="103">
        <f t="shared" si="426"/>
        <v>0</v>
      </c>
      <c r="F269" s="103">
        <f t="shared" si="426"/>
        <v>0</v>
      </c>
      <c r="G269" s="103">
        <f t="shared" si="426"/>
        <v>0</v>
      </c>
      <c r="H269" s="103">
        <f t="shared" si="426"/>
        <v>0</v>
      </c>
      <c r="I269" s="103">
        <f t="shared" si="426"/>
        <v>0</v>
      </c>
      <c r="J269" s="103">
        <f t="shared" si="426"/>
        <v>5.2938934064449723E-5</v>
      </c>
      <c r="K269" s="103">
        <f t="shared" si="426"/>
        <v>7.1954883742577527E-5</v>
      </c>
      <c r="L269" s="103">
        <f t="shared" ref="L269" si="427">IF(L51=0,0,L51/L$46)</f>
        <v>8.7075123661049475E-5</v>
      </c>
      <c r="M269" s="103">
        <f t="shared" ref="M269:V269" si="428">IF(M51=0,0,M51/M$46)</f>
        <v>7.6287001230976323E-5</v>
      </c>
      <c r="N269" s="103">
        <f t="shared" si="428"/>
        <v>1.8541216817056952E-4</v>
      </c>
      <c r="O269" s="103">
        <f t="shared" si="428"/>
        <v>2.239858142566212E-4</v>
      </c>
      <c r="P269" s="103">
        <f t="shared" si="428"/>
        <v>3.5815535328157124E-4</v>
      </c>
      <c r="Q269" s="103">
        <f t="shared" si="428"/>
        <v>5.8581090518790291E-4</v>
      </c>
      <c r="R269" s="103">
        <f t="shared" si="428"/>
        <v>5.7561323238900842E-4</v>
      </c>
      <c r="S269" s="103">
        <f t="shared" si="428"/>
        <v>1.0865190889448508E-3</v>
      </c>
      <c r="T269" s="103">
        <f t="shared" si="428"/>
        <v>1.7455112706720494E-3</v>
      </c>
      <c r="U269" s="103">
        <f t="shared" si="428"/>
        <v>2.5987744171668478E-3</v>
      </c>
      <c r="V269" s="103">
        <f t="shared" si="428"/>
        <v>3.119658776248473E-3</v>
      </c>
      <c r="W269" s="103">
        <f t="shared" ref="W269" si="429">IF(W51=0,0,W51/W$46)</f>
        <v>3.2227677736664986E-3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0</v>
      </c>
      <c r="H270" s="103">
        <f t="shared" si="430"/>
        <v>0</v>
      </c>
      <c r="I270" s="103">
        <f t="shared" si="430"/>
        <v>0</v>
      </c>
      <c r="J270" s="103">
        <f t="shared" si="430"/>
        <v>5.2926857522151196E-5</v>
      </c>
      <c r="K270" s="103">
        <f t="shared" si="430"/>
        <v>5.6131000426572238E-5</v>
      </c>
      <c r="L270" s="103">
        <f t="shared" ref="L270" si="431">IF(L52=0,0,L52/L$46)</f>
        <v>5.6851554705582054E-5</v>
      </c>
      <c r="M270" s="103">
        <f t="shared" ref="M270:V270" si="432">IF(M52=0,0,M52/M$46)</f>
        <v>7.2014014530530335E-5</v>
      </c>
      <c r="N270" s="103">
        <f t="shared" si="432"/>
        <v>3.085046813586458E-4</v>
      </c>
      <c r="O270" s="103">
        <f t="shared" si="432"/>
        <v>4.1614151859552245E-4</v>
      </c>
      <c r="P270" s="103">
        <f t="shared" si="432"/>
        <v>4.8831937555711717E-4</v>
      </c>
      <c r="Q270" s="103">
        <f t="shared" si="432"/>
        <v>5.02334272872173E-4</v>
      </c>
      <c r="R270" s="103">
        <f t="shared" si="432"/>
        <v>6.2400553480379452E-4</v>
      </c>
      <c r="S270" s="103">
        <f t="shared" si="432"/>
        <v>7.3725420241615156E-4</v>
      </c>
      <c r="T270" s="103">
        <f t="shared" si="432"/>
        <v>9.8437387330506843E-4</v>
      </c>
      <c r="U270" s="103">
        <f t="shared" si="432"/>
        <v>1.2936821635146608E-3</v>
      </c>
      <c r="V270" s="103">
        <f t="shared" si="432"/>
        <v>1.6709422535793859E-3</v>
      </c>
      <c r="W270" s="103">
        <f t="shared" ref="W270" si="433">IF(W52=0,0,W52/W$46)</f>
        <v>2.1946982639197347E-3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0.30757435785718701</v>
      </c>
      <c r="C271" s="156">
        <f t="shared" si="434"/>
        <v>0.30917950913298081</v>
      </c>
      <c r="D271" s="156">
        <f t="shared" si="434"/>
        <v>0.30120305692566746</v>
      </c>
      <c r="E271" s="156">
        <f t="shared" si="434"/>
        <v>0.28268055110113582</v>
      </c>
      <c r="F271" s="156">
        <f t="shared" si="434"/>
        <v>0.27947900584624569</v>
      </c>
      <c r="G271" s="156">
        <f t="shared" si="434"/>
        <v>0.26547062297167134</v>
      </c>
      <c r="H271" s="156">
        <f t="shared" si="434"/>
        <v>0.26090384864618049</v>
      </c>
      <c r="I271" s="156">
        <f t="shared" si="434"/>
        <v>0.25073415790048659</v>
      </c>
      <c r="J271" s="156">
        <f t="shared" si="434"/>
        <v>0.22872328604458922</v>
      </c>
      <c r="K271" s="156">
        <f t="shared" si="434"/>
        <v>0.22051540376350459</v>
      </c>
      <c r="L271" s="156">
        <f t="shared" ref="L271" si="435">IF(L53=0,0,L53/L$46)</f>
        <v>0.21994449295013016</v>
      </c>
      <c r="M271" s="156">
        <f t="shared" ref="M271:V271" si="436">IF(M53=0,0,M53/M$46)</f>
        <v>0.224219172451668</v>
      </c>
      <c r="N271" s="156">
        <f t="shared" si="436"/>
        <v>0.22649332055636989</v>
      </c>
      <c r="O271" s="156">
        <f t="shared" si="436"/>
        <v>0.24187051093703113</v>
      </c>
      <c r="P271" s="156">
        <f t="shared" si="436"/>
        <v>0.23797801735585958</v>
      </c>
      <c r="Q271" s="156">
        <f t="shared" si="436"/>
        <v>0.24120174864291613</v>
      </c>
      <c r="R271" s="156">
        <f t="shared" si="436"/>
        <v>0.25419976638777225</v>
      </c>
      <c r="S271" s="156">
        <f t="shared" si="436"/>
        <v>0.26993552684999422</v>
      </c>
      <c r="T271" s="156">
        <f t="shared" si="436"/>
        <v>0.26087436773555556</v>
      </c>
      <c r="U271" s="156">
        <f t="shared" si="436"/>
        <v>0.26827450702933797</v>
      </c>
      <c r="V271" s="156">
        <f t="shared" si="436"/>
        <v>0.27642316416904478</v>
      </c>
      <c r="W271" s="156">
        <f t="shared" ref="W271" si="437">IF(W53=0,0,W53/W$46)</f>
        <v>0.25893071517672689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0.18069782256184402</v>
      </c>
      <c r="C272" s="104">
        <f t="shared" si="438"/>
        <v>0.18276332204152118</v>
      </c>
      <c r="D272" s="104">
        <f t="shared" si="438"/>
        <v>0.17555263049791778</v>
      </c>
      <c r="E272" s="104">
        <f t="shared" si="438"/>
        <v>0.15765126141738456</v>
      </c>
      <c r="F272" s="104">
        <f t="shared" si="438"/>
        <v>0.14647254366736265</v>
      </c>
      <c r="G272" s="104">
        <f t="shared" si="438"/>
        <v>0.13171519158854164</v>
      </c>
      <c r="H272" s="104">
        <f t="shared" si="438"/>
        <v>0.12837214049064979</v>
      </c>
      <c r="I272" s="104">
        <f t="shared" si="438"/>
        <v>0.11987052173807693</v>
      </c>
      <c r="J272" s="104">
        <f t="shared" si="438"/>
        <v>9.8024057129889597E-2</v>
      </c>
      <c r="K272" s="104">
        <f t="shared" si="438"/>
        <v>9.6358693141493909E-2</v>
      </c>
      <c r="L272" s="104">
        <f t="shared" ref="L272" si="439">IF(L54=0,0,L54/L$46)</f>
        <v>9.5508502791327929E-2</v>
      </c>
      <c r="M272" s="104">
        <f t="shared" ref="M272:V272" si="440">IF(M54=0,0,M54/M$46)</f>
        <v>9.8924156823162981E-2</v>
      </c>
      <c r="N272" s="104">
        <f t="shared" si="440"/>
        <v>9.9945678097145441E-2</v>
      </c>
      <c r="O272" s="104">
        <f t="shared" si="440"/>
        <v>0.1070886520349674</v>
      </c>
      <c r="P272" s="104">
        <f t="shared" si="440"/>
        <v>0.10734565773845323</v>
      </c>
      <c r="Q272" s="104">
        <f t="shared" si="440"/>
        <v>0.11635647152738426</v>
      </c>
      <c r="R272" s="104">
        <f t="shared" si="440"/>
        <v>0.11680184521718025</v>
      </c>
      <c r="S272" s="104">
        <f t="shared" si="440"/>
        <v>0.12383626160281307</v>
      </c>
      <c r="T272" s="104">
        <f t="shared" si="440"/>
        <v>0.11864122008702137</v>
      </c>
      <c r="U272" s="104">
        <f t="shared" si="440"/>
        <v>0.12707977707964693</v>
      </c>
      <c r="V272" s="104">
        <f t="shared" si="440"/>
        <v>0.12651036901696194</v>
      </c>
      <c r="W272" s="104">
        <f t="shared" ref="W272" si="441">IF(W54=0,0,W54/W$46)</f>
        <v>0.12371508567892631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0.12687653529534298</v>
      </c>
      <c r="C273" s="105">
        <f t="shared" si="442"/>
        <v>0.12641618709145963</v>
      </c>
      <c r="D273" s="105">
        <f t="shared" si="442"/>
        <v>0.12565042642774971</v>
      </c>
      <c r="E273" s="105">
        <f t="shared" si="442"/>
        <v>0.12502928968375127</v>
      </c>
      <c r="F273" s="105">
        <f t="shared" si="442"/>
        <v>0.13300646217888304</v>
      </c>
      <c r="G273" s="105">
        <f t="shared" si="442"/>
        <v>0.13375543138312967</v>
      </c>
      <c r="H273" s="105">
        <f t="shared" si="442"/>
        <v>0.1325317081555307</v>
      </c>
      <c r="I273" s="105">
        <f t="shared" si="442"/>
        <v>0.13086363616240962</v>
      </c>
      <c r="J273" s="105">
        <f t="shared" si="442"/>
        <v>0.13069922891469962</v>
      </c>
      <c r="K273" s="105">
        <f t="shared" si="442"/>
        <v>0.1241567106220107</v>
      </c>
      <c r="L273" s="105">
        <f t="shared" ref="L273" si="443">IF(L55=0,0,L55/L$46)</f>
        <v>0.12443599015880222</v>
      </c>
      <c r="M273" s="105">
        <f t="shared" ref="M273:V273" si="444">IF(M55=0,0,M55/M$46)</f>
        <v>0.12529501562850501</v>
      </c>
      <c r="N273" s="105">
        <f t="shared" si="444"/>
        <v>0.12654764245922445</v>
      </c>
      <c r="O273" s="105">
        <f t="shared" si="444"/>
        <v>0.13478185890206373</v>
      </c>
      <c r="P273" s="105">
        <f t="shared" si="444"/>
        <v>0.13063235961740635</v>
      </c>
      <c r="Q273" s="105">
        <f t="shared" si="444"/>
        <v>0.12484527711553187</v>
      </c>
      <c r="R273" s="105">
        <f t="shared" si="444"/>
        <v>0.13739792117059199</v>
      </c>
      <c r="S273" s="105">
        <f t="shared" si="444"/>
        <v>0.14609926524718114</v>
      </c>
      <c r="T273" s="105">
        <f t="shared" si="444"/>
        <v>0.14223314764853418</v>
      </c>
      <c r="U273" s="105">
        <f t="shared" si="444"/>
        <v>0.14119472994969109</v>
      </c>
      <c r="V273" s="105">
        <f t="shared" si="444"/>
        <v>0.14991279515208286</v>
      </c>
      <c r="W273" s="105">
        <f t="shared" ref="W273" si="445">IF(W55=0,0,W55/W$46)</f>
        <v>0.13521562949780055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7703.9588453021943</v>
      </c>
      <c r="C4" s="145">
        <f t="shared" si="0"/>
        <v>7984.8845716167016</v>
      </c>
      <c r="D4" s="145">
        <f t="shared" si="0"/>
        <v>7989.8955012827801</v>
      </c>
      <c r="E4" s="145">
        <f t="shared" si="0"/>
        <v>8167.5348889116831</v>
      </c>
      <c r="F4" s="145">
        <f t="shared" si="0"/>
        <v>8497.3547672249406</v>
      </c>
      <c r="G4" s="145">
        <f t="shared" si="0"/>
        <v>8260.3764959393739</v>
      </c>
      <c r="H4" s="145">
        <f t="shared" si="0"/>
        <v>8454.9424426910009</v>
      </c>
      <c r="I4" s="145">
        <f t="shared" si="0"/>
        <v>8708.0816113346737</v>
      </c>
      <c r="J4" s="145">
        <f t="shared" si="0"/>
        <v>8726.4728887609726</v>
      </c>
      <c r="K4" s="145">
        <f t="shared" si="0"/>
        <v>8626.9863063933317</v>
      </c>
      <c r="L4" s="145">
        <f t="shared" ref="L4" si="1">L5+L9+L10+L15</f>
        <v>8558.2889716018799</v>
      </c>
      <c r="M4" s="145">
        <f t="shared" ref="M4:V4" si="2">M5+M9+M10+M15</f>
        <v>8426.3969412969291</v>
      </c>
      <c r="N4" s="145">
        <f t="shared" si="2"/>
        <v>8178.9536457032946</v>
      </c>
      <c r="O4" s="145">
        <f t="shared" si="2"/>
        <v>8022.9891557514147</v>
      </c>
      <c r="P4" s="145">
        <f t="shared" si="2"/>
        <v>8202.2949077383964</v>
      </c>
      <c r="Q4" s="145">
        <f t="shared" si="2"/>
        <v>8581.7684447888441</v>
      </c>
      <c r="R4" s="145">
        <f t="shared" si="2"/>
        <v>8677.5907379341224</v>
      </c>
      <c r="S4" s="145">
        <f t="shared" si="2"/>
        <v>8525.2226528977244</v>
      </c>
      <c r="T4" s="145">
        <f t="shared" si="2"/>
        <v>8567.4372884906752</v>
      </c>
      <c r="U4" s="145">
        <f t="shared" si="2"/>
        <v>8499.6712182913525</v>
      </c>
      <c r="V4" s="145">
        <f t="shared" si="2"/>
        <v>7427.0416060371681</v>
      </c>
      <c r="W4" s="145">
        <f t="shared" ref="W4" si="3">W5+W9+W10+W15</f>
        <v>8234.5487822506566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7703.9361994840938</v>
      </c>
      <c r="C5" s="97">
        <f t="shared" si="4"/>
        <v>7984.8619088564046</v>
      </c>
      <c r="D5" s="97">
        <f t="shared" si="4"/>
        <v>7989.8728288908005</v>
      </c>
      <c r="E5" s="97">
        <f t="shared" si="4"/>
        <v>8167.5122098022348</v>
      </c>
      <c r="F5" s="97">
        <f t="shared" si="4"/>
        <v>8497.0430782459152</v>
      </c>
      <c r="G5" s="97">
        <f t="shared" si="4"/>
        <v>8259.840412725709</v>
      </c>
      <c r="H5" s="97">
        <f t="shared" si="4"/>
        <v>8454.4234737747192</v>
      </c>
      <c r="I5" s="97">
        <f t="shared" si="4"/>
        <v>8707.5714531384347</v>
      </c>
      <c r="J5" s="97">
        <f t="shared" si="4"/>
        <v>8726.0102321582126</v>
      </c>
      <c r="K5" s="97">
        <f t="shared" si="4"/>
        <v>8492.0076526225275</v>
      </c>
      <c r="L5" s="97">
        <f t="shared" ref="L5" si="5">SUM(L6:L8)</f>
        <v>8192.9331900257948</v>
      </c>
      <c r="M5" s="97">
        <f t="shared" ref="M5:V5" si="6">SUM(M6:M8)</f>
        <v>8072.7040412725701</v>
      </c>
      <c r="N5" s="97">
        <f t="shared" si="6"/>
        <v>7826.4540842648312</v>
      </c>
      <c r="O5" s="97">
        <f t="shared" si="6"/>
        <v>7672.5949269131561</v>
      </c>
      <c r="P5" s="97">
        <f t="shared" si="6"/>
        <v>7780.636285468614</v>
      </c>
      <c r="Q5" s="97">
        <f t="shared" si="6"/>
        <v>8315.6517626827153</v>
      </c>
      <c r="R5" s="97">
        <f t="shared" si="6"/>
        <v>8227.6764402407553</v>
      </c>
      <c r="S5" s="97">
        <f t="shared" si="6"/>
        <v>8033.1509028374894</v>
      </c>
      <c r="T5" s="97">
        <f t="shared" si="6"/>
        <v>8066.2503869303519</v>
      </c>
      <c r="U5" s="97">
        <f t="shared" si="6"/>
        <v>7973.9514187446248</v>
      </c>
      <c r="V5" s="97">
        <f t="shared" si="6"/>
        <v>6659.0355116079099</v>
      </c>
      <c r="W5" s="97">
        <f t="shared" ref="W5" si="7">SUM(W6:W8)</f>
        <v>7351.596818572656</v>
      </c>
      <c r="DA5" s="175"/>
    </row>
    <row r="6" spans="1:105" ht="11.45" customHeight="1" x14ac:dyDescent="0.25">
      <c r="A6" s="128" t="s">
        <v>52</v>
      </c>
      <c r="B6" s="97">
        <v>97.783490971625099</v>
      </c>
      <c r="C6" s="97">
        <v>112.0664660361135</v>
      </c>
      <c r="D6" s="97">
        <v>102.1782459157352</v>
      </c>
      <c r="E6" s="97">
        <v>91.191401547721412</v>
      </c>
      <c r="F6" s="97">
        <v>87.895270851246764</v>
      </c>
      <c r="G6" s="97">
        <v>83.500515907136716</v>
      </c>
      <c r="H6" s="97">
        <v>80.204471195184865</v>
      </c>
      <c r="I6" s="97">
        <v>69.217540842648319</v>
      </c>
      <c r="J6" s="97">
        <v>63.724075666380052</v>
      </c>
      <c r="K6" s="97">
        <v>58.230610490111772</v>
      </c>
      <c r="L6" s="97">
        <v>52.737145313843499</v>
      </c>
      <c r="M6" s="97">
        <v>54.934565778159929</v>
      </c>
      <c r="N6" s="97">
        <v>52.737145313843499</v>
      </c>
      <c r="O6" s="97">
        <v>46.145055889939812</v>
      </c>
      <c r="P6" s="97">
        <v>48.342390369733437</v>
      </c>
      <c r="Q6" s="97">
        <v>63.724075666380052</v>
      </c>
      <c r="R6" s="97">
        <v>64.822785898538257</v>
      </c>
      <c r="S6" s="97">
        <v>58.779965606190878</v>
      </c>
      <c r="T6" s="97">
        <v>55.154256233877888</v>
      </c>
      <c r="U6" s="97">
        <v>54.714789337919171</v>
      </c>
      <c r="V6" s="97">
        <v>48.465864144454002</v>
      </c>
      <c r="W6" s="97">
        <v>48.126999140154773</v>
      </c>
      <c r="DA6" s="175" t="s">
        <v>629</v>
      </c>
    </row>
    <row r="7" spans="1:105" ht="11.45" customHeight="1" x14ac:dyDescent="0.25">
      <c r="A7" s="128" t="s">
        <v>53</v>
      </c>
      <c r="B7" s="97">
        <v>2323.3782459157351</v>
      </c>
      <c r="C7" s="97">
        <v>2261.3738607050732</v>
      </c>
      <c r="D7" s="97">
        <v>2157.2274290627684</v>
      </c>
      <c r="E7" s="97">
        <v>2175.9338779019772</v>
      </c>
      <c r="F7" s="97">
        <v>1993.9141874462593</v>
      </c>
      <c r="G7" s="97">
        <v>1846.5748925193463</v>
      </c>
      <c r="H7" s="97">
        <v>1714.7893379191744</v>
      </c>
      <c r="I7" s="97">
        <v>1618.7350816852963</v>
      </c>
      <c r="J7" s="97">
        <v>1481.9049871023215</v>
      </c>
      <c r="K7" s="97">
        <v>1403.5387790197769</v>
      </c>
      <c r="L7" s="97">
        <v>1250.0642304385208</v>
      </c>
      <c r="M7" s="97">
        <v>1196.6006878761818</v>
      </c>
      <c r="N7" s="97">
        <v>1165.6458297506449</v>
      </c>
      <c r="O7" s="97">
        <v>1163.4851246775584</v>
      </c>
      <c r="P7" s="97">
        <v>1251.0500429922608</v>
      </c>
      <c r="Q7" s="97">
        <v>1329.7441100601889</v>
      </c>
      <c r="R7" s="97">
        <v>1438.7344797936373</v>
      </c>
      <c r="S7" s="97">
        <v>1440.0012037833189</v>
      </c>
      <c r="T7" s="97">
        <v>1610.3728288907998</v>
      </c>
      <c r="U7" s="97">
        <v>1807.2263112639723</v>
      </c>
      <c r="V7" s="97">
        <v>1496.6137575236455</v>
      </c>
      <c r="W7" s="97">
        <v>1824.9382631126396</v>
      </c>
      <c r="DA7" s="175" t="s">
        <v>630</v>
      </c>
    </row>
    <row r="8" spans="1:105" ht="11.45" customHeight="1" x14ac:dyDescent="0.25">
      <c r="A8" s="128" t="s">
        <v>54</v>
      </c>
      <c r="B8" s="97">
        <v>5282.7744625967334</v>
      </c>
      <c r="C8" s="97">
        <v>5611.4215821152184</v>
      </c>
      <c r="D8" s="97">
        <v>5730.4671539122965</v>
      </c>
      <c r="E8" s="97">
        <v>5900.3869303525362</v>
      </c>
      <c r="F8" s="97">
        <v>6415.2336199484089</v>
      </c>
      <c r="G8" s="97">
        <v>6329.7650042992254</v>
      </c>
      <c r="H8" s="97">
        <v>6659.4296646603607</v>
      </c>
      <c r="I8" s="97">
        <v>7019.6188306104896</v>
      </c>
      <c r="J8" s="97">
        <v>7180.3811693895104</v>
      </c>
      <c r="K8" s="97">
        <v>7030.2382631126393</v>
      </c>
      <c r="L8" s="97">
        <v>6890.1318142734299</v>
      </c>
      <c r="M8" s="97">
        <v>6821.1687876182286</v>
      </c>
      <c r="N8" s="97">
        <v>6608.071109200343</v>
      </c>
      <c r="O8" s="97">
        <v>6462.9647463456577</v>
      </c>
      <c r="P8" s="97">
        <v>6481.2438521066197</v>
      </c>
      <c r="Q8" s="97">
        <v>6922.1835769561467</v>
      </c>
      <c r="R8" s="97">
        <v>6724.1191745485803</v>
      </c>
      <c r="S8" s="97">
        <v>6534.3697334479793</v>
      </c>
      <c r="T8" s="97">
        <v>6400.7233018056741</v>
      </c>
      <c r="U8" s="97">
        <v>6112.010318142733</v>
      </c>
      <c r="V8" s="97">
        <v>5113.9558899398107</v>
      </c>
      <c r="W8" s="97">
        <v>5478.5315563198619</v>
      </c>
      <c r="DA8" s="175" t="s">
        <v>631</v>
      </c>
    </row>
    <row r="9" spans="1:105" ht="11.45" customHeight="1" x14ac:dyDescent="0.25">
      <c r="A9" s="92" t="s">
        <v>55</v>
      </c>
      <c r="B9" s="97">
        <v>0</v>
      </c>
      <c r="C9" s="97">
        <v>0</v>
      </c>
      <c r="D9" s="97">
        <v>0</v>
      </c>
      <c r="E9" s="97">
        <v>0</v>
      </c>
      <c r="F9" s="97">
        <v>0.28899398108340502</v>
      </c>
      <c r="G9" s="97">
        <v>0.31272570937231298</v>
      </c>
      <c r="H9" s="97">
        <v>0.29544282029234742</v>
      </c>
      <c r="I9" s="97">
        <v>0.29759243336199481</v>
      </c>
      <c r="J9" s="97">
        <v>0.24591573516766979</v>
      </c>
      <c r="K9" s="97">
        <v>0.22003439380911441</v>
      </c>
      <c r="L9" s="97">
        <v>0.22863284608770421</v>
      </c>
      <c r="M9" s="97">
        <v>0.237231298366294</v>
      </c>
      <c r="N9" s="97">
        <v>0.53705932932072231</v>
      </c>
      <c r="O9" s="97">
        <v>0.94471195184866719</v>
      </c>
      <c r="P9" s="97">
        <v>1.8893379191745483</v>
      </c>
      <c r="Q9" s="97">
        <v>3.5068787618228723</v>
      </c>
      <c r="R9" s="97">
        <v>5.9181427343078239</v>
      </c>
      <c r="S9" s="97">
        <v>9.030438521066209</v>
      </c>
      <c r="T9" s="97">
        <v>15.200945829750642</v>
      </c>
      <c r="U9" s="97">
        <v>28.508340498710233</v>
      </c>
      <c r="V9" s="97">
        <v>43.782631126397249</v>
      </c>
      <c r="W9" s="97">
        <v>70.091057609630269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0</v>
      </c>
      <c r="H10" s="97">
        <f t="shared" si="8"/>
        <v>0</v>
      </c>
      <c r="I10" s="97">
        <f t="shared" si="8"/>
        <v>0</v>
      </c>
      <c r="J10" s="97">
        <f t="shared" si="8"/>
        <v>0</v>
      </c>
      <c r="K10" s="97">
        <f t="shared" si="8"/>
        <v>134.54024075666379</v>
      </c>
      <c r="L10" s="97">
        <f t="shared" si="8"/>
        <v>364.90963026655191</v>
      </c>
      <c r="M10" s="97">
        <f t="shared" si="8"/>
        <v>353.19208942390367</v>
      </c>
      <c r="N10" s="97">
        <f t="shared" si="8"/>
        <v>351.51951848667238</v>
      </c>
      <c r="O10" s="97">
        <f t="shared" si="8"/>
        <v>348.89914015477217</v>
      </c>
      <c r="P10" s="97">
        <f t="shared" si="8"/>
        <v>418.85915735167657</v>
      </c>
      <c r="Q10" s="97">
        <f t="shared" si="8"/>
        <v>260.91908856405843</v>
      </c>
      <c r="R10" s="97">
        <f t="shared" si="8"/>
        <v>440.6709372312983</v>
      </c>
      <c r="S10" s="97">
        <f t="shared" si="8"/>
        <v>477.55382631126389</v>
      </c>
      <c r="T10" s="97">
        <f t="shared" si="8"/>
        <v>477.6938091143594</v>
      </c>
      <c r="U10" s="97">
        <f t="shared" si="8"/>
        <v>484.27730008598451</v>
      </c>
      <c r="V10" s="97">
        <f t="shared" si="8"/>
        <v>700.6049011177987</v>
      </c>
      <c r="W10" s="97">
        <f t="shared" si="8"/>
        <v>772.07781599312113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0</v>
      </c>
      <c r="I12" s="97">
        <v>0</v>
      </c>
      <c r="J12" s="97">
        <v>0</v>
      </c>
      <c r="K12" s="97">
        <v>20.220120378331899</v>
      </c>
      <c r="L12" s="97">
        <v>56.271711092003443</v>
      </c>
      <c r="M12" s="97">
        <v>55.458641444539992</v>
      </c>
      <c r="N12" s="97">
        <v>53.743766122098023</v>
      </c>
      <c r="O12" s="97">
        <v>53.441100601891662</v>
      </c>
      <c r="P12" s="97">
        <v>38.4536543422184</v>
      </c>
      <c r="Q12" s="97">
        <v>40.159587274290622</v>
      </c>
      <c r="R12" s="97">
        <v>42.651762682717113</v>
      </c>
      <c r="S12" s="97">
        <v>95.779621668099722</v>
      </c>
      <c r="T12" s="97">
        <v>112.39466895958731</v>
      </c>
      <c r="U12" s="97">
        <v>128.42287188306099</v>
      </c>
      <c r="V12" s="97">
        <v>128.39716251074799</v>
      </c>
      <c r="W12" s="97">
        <v>160.02115219260531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0</v>
      </c>
      <c r="I13" s="97">
        <v>0</v>
      </c>
      <c r="J13" s="97">
        <v>0</v>
      </c>
      <c r="K13" s="97">
        <v>114.32012037833189</v>
      </c>
      <c r="L13" s="97">
        <v>308.63791917454847</v>
      </c>
      <c r="M13" s="97">
        <v>297.73344797936369</v>
      </c>
      <c r="N13" s="97">
        <v>297.77575236457437</v>
      </c>
      <c r="O13" s="97">
        <v>295.45803955288051</v>
      </c>
      <c r="P13" s="97">
        <v>380.40550300945819</v>
      </c>
      <c r="Q13" s="97">
        <v>220.7595012897678</v>
      </c>
      <c r="R13" s="97">
        <v>398.01917454858119</v>
      </c>
      <c r="S13" s="97">
        <v>381.77420464316418</v>
      </c>
      <c r="T13" s="97">
        <v>365.29914015477209</v>
      </c>
      <c r="U13" s="97">
        <v>355.85442820292349</v>
      </c>
      <c r="V13" s="97">
        <v>572.20773860705071</v>
      </c>
      <c r="W13" s="97">
        <v>612.05666380051582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2.2645818100863045E-2</v>
      </c>
      <c r="C15" s="98">
        <v>2.2662760296528806E-2</v>
      </c>
      <c r="D15" s="98">
        <v>2.2672391979372663E-2</v>
      </c>
      <c r="E15" s="98">
        <v>2.2679109448301319E-2</v>
      </c>
      <c r="F15" s="98">
        <v>2.2694997942921367E-2</v>
      </c>
      <c r="G15" s="98">
        <v>0.22335750429125395</v>
      </c>
      <c r="H15" s="98">
        <v>0.22352609598896714</v>
      </c>
      <c r="I15" s="98">
        <v>0.21256576287737808</v>
      </c>
      <c r="J15" s="98">
        <v>0.2167408675915396</v>
      </c>
      <c r="K15" s="98">
        <v>0.21837862033107122</v>
      </c>
      <c r="L15" s="98">
        <v>0.21751846344669848</v>
      </c>
      <c r="M15" s="98">
        <v>0.26357930208934183</v>
      </c>
      <c r="N15" s="98">
        <v>0.44298362246969947</v>
      </c>
      <c r="O15" s="98">
        <v>0.55037673163740997</v>
      </c>
      <c r="P15" s="98">
        <v>0.91012699893184656</v>
      </c>
      <c r="Q15" s="98">
        <v>1.6907147802492828</v>
      </c>
      <c r="R15" s="98">
        <v>3.3252177277615456</v>
      </c>
      <c r="S15" s="98">
        <v>5.4874852279036039</v>
      </c>
      <c r="T15" s="98">
        <v>8.2921466162141702</v>
      </c>
      <c r="U15" s="98">
        <v>12.93415896203334</v>
      </c>
      <c r="V15" s="98">
        <v>23.61856218506313</v>
      </c>
      <c r="W15" s="98">
        <v>40.783090075248573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7703.9588453021952</v>
      </c>
      <c r="C17" s="79">
        <f t="shared" si="9"/>
        <v>7984.8845716167025</v>
      </c>
      <c r="D17" s="79">
        <f t="shared" si="9"/>
        <v>7989.8955012827801</v>
      </c>
      <c r="E17" s="79">
        <f t="shared" si="9"/>
        <v>8167.5348889116822</v>
      </c>
      <c r="F17" s="79">
        <f t="shared" si="9"/>
        <v>8497.3547672249406</v>
      </c>
      <c r="G17" s="79">
        <f t="shared" si="9"/>
        <v>8260.3764959393702</v>
      </c>
      <c r="H17" s="79">
        <f t="shared" si="9"/>
        <v>8454.9424426910009</v>
      </c>
      <c r="I17" s="79">
        <f t="shared" si="9"/>
        <v>8708.0816113346737</v>
      </c>
      <c r="J17" s="79">
        <f t="shared" si="9"/>
        <v>8726.4728887609708</v>
      </c>
      <c r="K17" s="79">
        <f t="shared" si="9"/>
        <v>8626.9863063933335</v>
      </c>
      <c r="L17" s="79">
        <f t="shared" ref="L17" si="10">L18+L42</f>
        <v>8558.2889716018799</v>
      </c>
      <c r="M17" s="79">
        <f t="shared" ref="M17:V17" si="11">M18+M42</f>
        <v>8426.3969412969273</v>
      </c>
      <c r="N17" s="79">
        <f t="shared" si="11"/>
        <v>8178.9536457032946</v>
      </c>
      <c r="O17" s="79">
        <f t="shared" si="11"/>
        <v>8022.9891557514147</v>
      </c>
      <c r="P17" s="79">
        <f t="shared" si="11"/>
        <v>8202.2949077383964</v>
      </c>
      <c r="Q17" s="79">
        <f t="shared" si="11"/>
        <v>8581.768444788846</v>
      </c>
      <c r="R17" s="79">
        <f t="shared" si="11"/>
        <v>8677.5907379341243</v>
      </c>
      <c r="S17" s="79">
        <f t="shared" si="11"/>
        <v>8525.2226528977244</v>
      </c>
      <c r="T17" s="79">
        <f t="shared" si="11"/>
        <v>8567.437288490677</v>
      </c>
      <c r="U17" s="79">
        <f t="shared" si="11"/>
        <v>8499.6712182913525</v>
      </c>
      <c r="V17" s="79">
        <f t="shared" si="11"/>
        <v>7427.0416060371699</v>
      </c>
      <c r="W17" s="79">
        <f t="shared" ref="W17" si="12">W18+W42</f>
        <v>8234.5487822506548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5636.2143472405405</v>
      </c>
      <c r="C18" s="32">
        <f t="shared" si="13"/>
        <v>5714.3880409637086</v>
      </c>
      <c r="D18" s="32">
        <f t="shared" si="13"/>
        <v>5653.3203281323176</v>
      </c>
      <c r="E18" s="32">
        <f t="shared" si="13"/>
        <v>5795.4621424767993</v>
      </c>
      <c r="F18" s="32">
        <f t="shared" si="13"/>
        <v>5849.2699720981818</v>
      </c>
      <c r="G18" s="32">
        <f t="shared" si="13"/>
        <v>5604.3701243051519</v>
      </c>
      <c r="H18" s="32">
        <f t="shared" si="13"/>
        <v>5712.2172818939171</v>
      </c>
      <c r="I18" s="32">
        <f t="shared" si="13"/>
        <v>5888.1280922121332</v>
      </c>
      <c r="J18" s="32">
        <f t="shared" si="13"/>
        <v>5991.7637197641061</v>
      </c>
      <c r="K18" s="32">
        <f t="shared" si="13"/>
        <v>5993.854260682213</v>
      </c>
      <c r="L18" s="32">
        <f t="shared" ref="L18" si="14">L19+L21+L33</f>
        <v>5907.2427890547233</v>
      </c>
      <c r="M18" s="32">
        <f t="shared" ref="M18:V18" si="15">M19+M21+M33</f>
        <v>5828.7239117337449</v>
      </c>
      <c r="N18" s="32">
        <f t="shared" si="15"/>
        <v>5674.2330649012101</v>
      </c>
      <c r="O18" s="32">
        <f t="shared" si="15"/>
        <v>5507.0185578284954</v>
      </c>
      <c r="P18" s="32">
        <f t="shared" si="15"/>
        <v>5624.7984497076759</v>
      </c>
      <c r="Q18" s="32">
        <f t="shared" si="15"/>
        <v>5756.9754741398674</v>
      </c>
      <c r="R18" s="32">
        <f t="shared" si="15"/>
        <v>5662.0682877891277</v>
      </c>
      <c r="S18" s="32">
        <f t="shared" si="15"/>
        <v>5459.8385811959624</v>
      </c>
      <c r="T18" s="32">
        <f t="shared" si="15"/>
        <v>5420.4683116685728</v>
      </c>
      <c r="U18" s="32">
        <f t="shared" si="15"/>
        <v>5343.644465014555</v>
      </c>
      <c r="V18" s="32">
        <f t="shared" si="15"/>
        <v>4504.3242679391296</v>
      </c>
      <c r="W18" s="32">
        <f t="shared" ref="W18" si="16">W19+W21+W33</f>
        <v>4854.3979629238847</v>
      </c>
      <c r="DA18" s="173" t="s">
        <v>390</v>
      </c>
    </row>
    <row r="19" spans="1:105" ht="11.45" customHeight="1" x14ac:dyDescent="0.25">
      <c r="A19" s="107" t="s">
        <v>181</v>
      </c>
      <c r="B19" s="129">
        <v>60.046730769153818</v>
      </c>
      <c r="C19" s="129">
        <v>62.223230390308245</v>
      </c>
      <c r="D19" s="129">
        <v>65.05835324829296</v>
      </c>
      <c r="E19" s="129">
        <v>67.278319457158489</v>
      </c>
      <c r="F19" s="129">
        <v>67.662390125228185</v>
      </c>
      <c r="G19" s="129">
        <v>64.579936768840028</v>
      </c>
      <c r="H19" s="129">
        <v>66.350386444919721</v>
      </c>
      <c r="I19" s="129">
        <v>68.226162879907221</v>
      </c>
      <c r="J19" s="129">
        <v>67.523800218373694</v>
      </c>
      <c r="K19" s="129">
        <v>65.616729009477339</v>
      </c>
      <c r="L19" s="129">
        <v>62.189287745177353</v>
      </c>
      <c r="M19" s="129">
        <v>61.282340205059853</v>
      </c>
      <c r="N19" s="129">
        <v>58.530295587848158</v>
      </c>
      <c r="O19" s="129">
        <v>55.607175638003248</v>
      </c>
      <c r="P19" s="129">
        <v>57.90733154345731</v>
      </c>
      <c r="Q19" s="129">
        <v>56.865087382956048</v>
      </c>
      <c r="R19" s="129">
        <v>55.015332174597518</v>
      </c>
      <c r="S19" s="129">
        <v>53.120726316464044</v>
      </c>
      <c r="T19" s="129">
        <v>50.234628285163446</v>
      </c>
      <c r="U19" s="129">
        <v>53.460552955518565</v>
      </c>
      <c r="V19" s="129">
        <v>46.169019826076465</v>
      </c>
      <c r="W19" s="129">
        <v>45.93010938880213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</v>
      </c>
      <c r="I20" s="97">
        <v>0</v>
      </c>
      <c r="J20" s="97">
        <v>0</v>
      </c>
      <c r="K20" s="97">
        <v>0.93188401488827022</v>
      </c>
      <c r="L20" s="97">
        <v>2.6788650007700334</v>
      </c>
      <c r="M20" s="97">
        <v>2.7144363311909419</v>
      </c>
      <c r="N20" s="97">
        <v>2.5796829231425229</v>
      </c>
      <c r="O20" s="97">
        <v>2.4419793128997442</v>
      </c>
      <c r="P20" s="97">
        <v>1.7268259995339588</v>
      </c>
      <c r="Q20" s="97">
        <v>1.6670357515345817</v>
      </c>
      <c r="R20" s="97">
        <v>1.5839899308766794</v>
      </c>
      <c r="S20" s="97">
        <v>3.312896596316139</v>
      </c>
      <c r="T20" s="97">
        <v>3.2773455637303877</v>
      </c>
      <c r="U20" s="97">
        <v>3.5469018884103476</v>
      </c>
      <c r="V20" s="97">
        <v>3.6479577266134431</v>
      </c>
      <c r="W20" s="97">
        <v>3.7027402011633943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5183.796039292416</v>
      </c>
      <c r="C21" s="130">
        <f t="shared" si="17"/>
        <v>5262.7937205289718</v>
      </c>
      <c r="D21" s="130">
        <f t="shared" si="17"/>
        <v>5201.3044192599446</v>
      </c>
      <c r="E21" s="130">
        <f t="shared" si="17"/>
        <v>5332.126185106611</v>
      </c>
      <c r="F21" s="130">
        <f t="shared" si="17"/>
        <v>5384.3575780805668</v>
      </c>
      <c r="G21" s="130">
        <f t="shared" si="17"/>
        <v>5150.4822937465342</v>
      </c>
      <c r="H21" s="130">
        <f t="shared" si="17"/>
        <v>5265.629161719733</v>
      </c>
      <c r="I21" s="130">
        <f t="shared" si="17"/>
        <v>5444.4753656042803</v>
      </c>
      <c r="J21" s="130">
        <f t="shared" si="17"/>
        <v>5541.2667405570382</v>
      </c>
      <c r="K21" s="130">
        <f t="shared" si="17"/>
        <v>5552.0132898292522</v>
      </c>
      <c r="L21" s="130">
        <f t="shared" ref="L21" si="18">L22+L24+L26+L27+L29+L32</f>
        <v>5471.0866505021622</v>
      </c>
      <c r="M21" s="130">
        <f t="shared" ref="M21:V21" si="19">M22+M24+M26+M27+M29+M32</f>
        <v>5406.1404689216397</v>
      </c>
      <c r="N21" s="130">
        <f t="shared" si="19"/>
        <v>5265.1303678355362</v>
      </c>
      <c r="O21" s="130">
        <f t="shared" si="19"/>
        <v>5110.2477099971247</v>
      </c>
      <c r="P21" s="130">
        <f t="shared" si="19"/>
        <v>5218.8425118133409</v>
      </c>
      <c r="Q21" s="130">
        <f t="shared" si="19"/>
        <v>5338.888272956051</v>
      </c>
      <c r="R21" s="130">
        <f t="shared" si="19"/>
        <v>5257.5559880812352</v>
      </c>
      <c r="S21" s="130">
        <f t="shared" si="19"/>
        <v>5047.5014913163459</v>
      </c>
      <c r="T21" s="130">
        <f t="shared" si="19"/>
        <v>4992.7408414849788</v>
      </c>
      <c r="U21" s="130">
        <f t="shared" si="19"/>
        <v>4906.8392997751425</v>
      </c>
      <c r="V21" s="130">
        <f t="shared" si="19"/>
        <v>4079.0865995903255</v>
      </c>
      <c r="W21" s="130">
        <f t="shared" ref="W21" si="20">W22+W24+W26+W27+W29+W32</f>
        <v>4409.451010798628</v>
      </c>
      <c r="DA21" s="176" t="s">
        <v>392</v>
      </c>
    </row>
    <row r="22" spans="1:105" ht="11.45" customHeight="1" x14ac:dyDescent="0.25">
      <c r="A22" s="111" t="s">
        <v>110</v>
      </c>
      <c r="B22" s="96">
        <v>2195.1920892984199</v>
      </c>
      <c r="C22" s="96">
        <v>2133.5081724255183</v>
      </c>
      <c r="D22" s="96">
        <v>2025.1778955607285</v>
      </c>
      <c r="E22" s="96">
        <v>2046.6141612160657</v>
      </c>
      <c r="F22" s="96">
        <v>1866.4110939238226</v>
      </c>
      <c r="G22" s="96">
        <v>1722.646433168409</v>
      </c>
      <c r="H22" s="96">
        <v>1591.582810048315</v>
      </c>
      <c r="I22" s="96">
        <v>1500.3268881255635</v>
      </c>
      <c r="J22" s="96">
        <v>1368.8573073520417</v>
      </c>
      <c r="K22" s="96">
        <v>1317.1155545950451</v>
      </c>
      <c r="L22" s="96">
        <v>1205.5899498995796</v>
      </c>
      <c r="M22" s="96">
        <v>1154.4794123944448</v>
      </c>
      <c r="N22" s="96">
        <v>1126.4214666164455</v>
      </c>
      <c r="O22" s="96">
        <v>1130.3116048226923</v>
      </c>
      <c r="P22" s="96">
        <v>1202.9538487065599</v>
      </c>
      <c r="Q22" s="96">
        <v>1285.9346594560686</v>
      </c>
      <c r="R22" s="96">
        <v>1396.6797897803508</v>
      </c>
      <c r="S22" s="96">
        <v>1448.1451875358161</v>
      </c>
      <c r="T22" s="96">
        <v>1630.3472532989292</v>
      </c>
      <c r="U22" s="96">
        <v>1834.4331766936693</v>
      </c>
      <c r="V22" s="96">
        <v>1531.4810237558893</v>
      </c>
      <c r="W22" s="96">
        <v>1875.9257352492493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18.705579348683205</v>
      </c>
      <c r="L23" s="96">
        <v>51.931977984689695</v>
      </c>
      <c r="M23" s="96">
        <v>51.136442409500361</v>
      </c>
      <c r="N23" s="96">
        <v>49.646259129688943</v>
      </c>
      <c r="O23" s="96">
        <v>49.63743481733573</v>
      </c>
      <c r="P23" s="96">
        <v>35.87269395459878</v>
      </c>
      <c r="Q23" s="96">
        <v>37.697982190971466</v>
      </c>
      <c r="R23" s="96">
        <v>40.212912223268205</v>
      </c>
      <c r="S23" s="96">
        <v>90.314187990913538</v>
      </c>
      <c r="T23" s="96">
        <v>106.36510153131479</v>
      </c>
      <c r="U23" s="96">
        <v>121.70757949307213</v>
      </c>
      <c r="V23" s="96">
        <v>121.00707476178054</v>
      </c>
      <c r="W23" s="96">
        <v>151.23120163954715</v>
      </c>
      <c r="DA23" s="171" t="s">
        <v>641</v>
      </c>
    </row>
    <row r="24" spans="1:105" ht="11.45" customHeight="1" x14ac:dyDescent="0.25">
      <c r="A24" s="111" t="s">
        <v>111</v>
      </c>
      <c r="B24" s="96">
        <v>2936.3016653544651</v>
      </c>
      <c r="C24" s="96">
        <v>3063.879066886625</v>
      </c>
      <c r="D24" s="96">
        <v>3121.956397520345</v>
      </c>
      <c r="E24" s="96">
        <v>3238.1607315066467</v>
      </c>
      <c r="F24" s="96">
        <v>3473.3076949150786</v>
      </c>
      <c r="G24" s="96">
        <v>3384.4398049046754</v>
      </c>
      <c r="H24" s="96">
        <v>3631.4416453092263</v>
      </c>
      <c r="I24" s="96">
        <v>3908.5541720178967</v>
      </c>
      <c r="J24" s="96">
        <v>4138.3988929914613</v>
      </c>
      <c r="K24" s="96">
        <v>4202.144517723229</v>
      </c>
      <c r="L24" s="96">
        <v>4234.6226090409427</v>
      </c>
      <c r="M24" s="96">
        <v>4218.1447846428428</v>
      </c>
      <c r="N24" s="96">
        <v>4105.3592799257813</v>
      </c>
      <c r="O24" s="96">
        <v>3948.7128160268885</v>
      </c>
      <c r="P24" s="96">
        <v>3979.4759674884526</v>
      </c>
      <c r="Q24" s="96">
        <v>3995.2703459539816</v>
      </c>
      <c r="R24" s="96">
        <v>3795.1615074928654</v>
      </c>
      <c r="S24" s="96">
        <v>3531.4409634448116</v>
      </c>
      <c r="T24" s="96">
        <v>3286.1308277614876</v>
      </c>
      <c r="U24" s="96">
        <v>2978.7174579260541</v>
      </c>
      <c r="V24" s="96">
        <v>2434.5468434411991</v>
      </c>
      <c r="W24" s="96">
        <v>2377.5334090324322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67.238538945011626</v>
      </c>
      <c r="L25" s="96">
        <v>181.55395420849223</v>
      </c>
      <c r="M25" s="96">
        <v>176.41523218677267</v>
      </c>
      <c r="N25" s="96">
        <v>177.0204976757571</v>
      </c>
      <c r="O25" s="96">
        <v>172.62591944009722</v>
      </c>
      <c r="P25" s="96">
        <v>220.61963221682086</v>
      </c>
      <c r="Q25" s="96">
        <v>123.47765891859653</v>
      </c>
      <c r="R25" s="96">
        <v>212.09178710805921</v>
      </c>
      <c r="S25" s="96">
        <v>194.93710326617918</v>
      </c>
      <c r="T25" s="96">
        <v>177.41897490211997</v>
      </c>
      <c r="U25" s="96">
        <v>163.88558501741028</v>
      </c>
      <c r="V25" s="96">
        <v>244.9923419060014</v>
      </c>
      <c r="W25" s="96">
        <v>238.92358403075502</v>
      </c>
      <c r="DA25" s="171" t="s">
        <v>643</v>
      </c>
    </row>
    <row r="26" spans="1:105" ht="11.45" customHeight="1" x14ac:dyDescent="0.25">
      <c r="A26" s="111" t="s">
        <v>112</v>
      </c>
      <c r="B26" s="96">
        <v>52.302284639530775</v>
      </c>
      <c r="C26" s="96">
        <v>65.406481216827729</v>
      </c>
      <c r="D26" s="96">
        <v>54.170126178871016</v>
      </c>
      <c r="E26" s="96">
        <v>47.351292383898716</v>
      </c>
      <c r="F26" s="96">
        <v>44.349795260582219</v>
      </c>
      <c r="G26" s="96">
        <v>43.083329964078089</v>
      </c>
      <c r="H26" s="96">
        <v>42.30926354190003</v>
      </c>
      <c r="I26" s="96">
        <v>35.296713027458068</v>
      </c>
      <c r="J26" s="96">
        <v>33.841521001904624</v>
      </c>
      <c r="K26" s="96">
        <v>32.635801824707727</v>
      </c>
      <c r="L26" s="96">
        <v>30.760591015537862</v>
      </c>
      <c r="M26" s="96">
        <v>33.321495362470166</v>
      </c>
      <c r="N26" s="96">
        <v>32.835886204787698</v>
      </c>
      <c r="O26" s="96">
        <v>30.289672773886139</v>
      </c>
      <c r="P26" s="96">
        <v>34.20692380393551</v>
      </c>
      <c r="Q26" s="96">
        <v>52.785055619320232</v>
      </c>
      <c r="R26" s="96">
        <v>54.644043101136134</v>
      </c>
      <c r="S26" s="96">
        <v>49.403476678997237</v>
      </c>
      <c r="T26" s="96">
        <v>46.715447500324004</v>
      </c>
      <c r="U26" s="96">
        <v>46.939819849533578</v>
      </c>
      <c r="V26" s="96">
        <v>41.285897482423735</v>
      </c>
      <c r="W26" s="96">
        <v>40.221039235249926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0.28899398108340502</v>
      </c>
      <c r="G27" s="96">
        <v>0.31272570937231298</v>
      </c>
      <c r="H27" s="96">
        <v>0.29544282029234742</v>
      </c>
      <c r="I27" s="96">
        <v>0.29759243336199481</v>
      </c>
      <c r="J27" s="96">
        <v>0.16726594544183715</v>
      </c>
      <c r="K27" s="96">
        <v>0.11487790581643648</v>
      </c>
      <c r="L27" s="96">
        <v>0.10159156438916436</v>
      </c>
      <c r="M27" s="96">
        <v>0.12670421815284663</v>
      </c>
      <c r="N27" s="96">
        <v>0.27030815018773258</v>
      </c>
      <c r="O27" s="96">
        <v>0.59740498947919063</v>
      </c>
      <c r="P27" s="96">
        <v>1.3847106411113468</v>
      </c>
      <c r="Q27" s="96">
        <v>2.512553216884073</v>
      </c>
      <c r="R27" s="96">
        <v>4.9698362568454053</v>
      </c>
      <c r="S27" s="96">
        <v>7.3799544912186512</v>
      </c>
      <c r="T27" s="96">
        <v>12.580392055017587</v>
      </c>
      <c r="U27" s="96">
        <v>23.376462268280513</v>
      </c>
      <c r="V27" s="96">
        <v>35.121401112764914</v>
      </c>
      <c r="W27" s="96">
        <v>50.672528707980817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4.789694632045113E-3</v>
      </c>
      <c r="N29" s="96">
        <v>8.1110655247514193E-2</v>
      </c>
      <c r="O29" s="96">
        <v>9.4422175136215036E-2</v>
      </c>
      <c r="P29" s="96">
        <v>0.36537765972647795</v>
      </c>
      <c r="Q29" s="96">
        <v>1.60757179937168</v>
      </c>
      <c r="R29" s="96">
        <v>4.8546503097648559</v>
      </c>
      <c r="S29" s="96">
        <v>9.309315041114818</v>
      </c>
      <c r="T29" s="96">
        <v>14.193417349234059</v>
      </c>
      <c r="U29" s="96">
        <v>18.323338192545002</v>
      </c>
      <c r="V29" s="96">
        <v>28.82510566478323</v>
      </c>
      <c r="W29" s="96">
        <v>50.419396830135184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1.5398094726938195E-4</v>
      </c>
      <c r="N30" s="96">
        <v>2.1680972304844665E-3</v>
      </c>
      <c r="O30" s="96">
        <v>2.5928326532677066E-3</v>
      </c>
      <c r="P30" s="96">
        <v>6.748208518611948E-3</v>
      </c>
      <c r="Q30" s="96">
        <v>2.9427401187514999E-2</v>
      </c>
      <c r="R30" s="96">
        <v>8.9457608334188421E-2</v>
      </c>
      <c r="S30" s="96">
        <v>0.37359810562171036</v>
      </c>
      <c r="T30" s="96">
        <v>0.59901849108698924</v>
      </c>
      <c r="U30" s="96">
        <v>0.76302338783762103</v>
      </c>
      <c r="V30" s="96">
        <v>1.1371427274659189</v>
      </c>
      <c r="W30" s="96">
        <v>2.1140481599204306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1.3133512427273304E-3</v>
      </c>
      <c r="N31" s="96">
        <v>3.1918806658283609E-2</v>
      </c>
      <c r="O31" s="96">
        <v>3.5379864667581397E-2</v>
      </c>
      <c r="P31" s="96">
        <v>0.1390834366159229</v>
      </c>
      <c r="Q31" s="96">
        <v>0.60375905064033886</v>
      </c>
      <c r="R31" s="96">
        <v>1.747597706642227</v>
      </c>
      <c r="S31" s="96">
        <v>3.3188465359558119</v>
      </c>
      <c r="T31" s="96">
        <v>5.0117577864739928</v>
      </c>
      <c r="U31" s="96">
        <v>6.8226952328170274</v>
      </c>
      <c r="V31" s="96">
        <v>14.433281783043402</v>
      </c>
      <c r="W31" s="96">
        <v>24.195989849587892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1.7532661887194251E-3</v>
      </c>
      <c r="K32" s="96">
        <v>2.5377804536450606E-3</v>
      </c>
      <c r="L32" s="96">
        <v>1.1908981712856649E-2</v>
      </c>
      <c r="M32" s="96">
        <v>6.3282609097770767E-2</v>
      </c>
      <c r="N32" s="96">
        <v>0.16231628308654394</v>
      </c>
      <c r="O32" s="96">
        <v>0.24178920904269399</v>
      </c>
      <c r="P32" s="96">
        <v>0.45568351355463965</v>
      </c>
      <c r="Q32" s="96">
        <v>0.7780869104254754</v>
      </c>
      <c r="R32" s="96">
        <v>1.2461611402720725</v>
      </c>
      <c r="S32" s="96">
        <v>1.8225941243874819</v>
      </c>
      <c r="T32" s="96">
        <v>2.7735035199856566</v>
      </c>
      <c r="U32" s="96">
        <v>5.0490448450600871</v>
      </c>
      <c r="V32" s="96">
        <v>7.8263281332651013</v>
      </c>
      <c r="W32" s="96">
        <v>14.678901743580761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392.37157717897054</v>
      </c>
      <c r="C33" s="130">
        <f t="shared" si="21"/>
        <v>389.37109004442851</v>
      </c>
      <c r="D33" s="130">
        <f t="shared" si="21"/>
        <v>386.95755562407965</v>
      </c>
      <c r="E33" s="130">
        <f t="shared" si="21"/>
        <v>396.05763791302974</v>
      </c>
      <c r="F33" s="130">
        <f t="shared" si="21"/>
        <v>397.25000389238767</v>
      </c>
      <c r="G33" s="130">
        <f t="shared" si="21"/>
        <v>389.30789378977784</v>
      </c>
      <c r="H33" s="130">
        <f t="shared" si="21"/>
        <v>380.23773372926468</v>
      </c>
      <c r="I33" s="130">
        <f t="shared" si="21"/>
        <v>375.4265637279459</v>
      </c>
      <c r="J33" s="130">
        <f t="shared" si="21"/>
        <v>382.97317898869449</v>
      </c>
      <c r="K33" s="130">
        <f t="shared" si="21"/>
        <v>376.22424184348324</v>
      </c>
      <c r="L33" s="130">
        <f t="shared" ref="L33" si="22">L34+L36+L38+L39+L41</f>
        <v>373.96685080738411</v>
      </c>
      <c r="M33" s="130">
        <f t="shared" ref="M33:V33" si="23">M34+M36+M38+M39+M41</f>
        <v>361.30110260704549</v>
      </c>
      <c r="N33" s="130">
        <f t="shared" si="23"/>
        <v>350.57240147782591</v>
      </c>
      <c r="O33" s="130">
        <f t="shared" si="23"/>
        <v>341.16367219336712</v>
      </c>
      <c r="P33" s="130">
        <f t="shared" si="23"/>
        <v>348.04860635087755</v>
      </c>
      <c r="Q33" s="130">
        <f t="shared" si="23"/>
        <v>361.22211380086077</v>
      </c>
      <c r="R33" s="130">
        <f t="shared" si="23"/>
        <v>349.49696753329494</v>
      </c>
      <c r="S33" s="130">
        <f t="shared" si="23"/>
        <v>359.21636356315213</v>
      </c>
      <c r="T33" s="130">
        <f t="shared" si="23"/>
        <v>377.49284189843127</v>
      </c>
      <c r="U33" s="130">
        <f t="shared" si="23"/>
        <v>383.34461228389438</v>
      </c>
      <c r="V33" s="130">
        <f t="shared" si="23"/>
        <v>379.06864852272753</v>
      </c>
      <c r="W33" s="130">
        <f t="shared" ref="W33" si="24">W34+W36+W38+W39+W41</f>
        <v>399.01684273645463</v>
      </c>
      <c r="DA33" s="176" t="s">
        <v>393</v>
      </c>
    </row>
    <row r="34" spans="1:105" ht="11.45" customHeight="1" x14ac:dyDescent="0.25">
      <c r="A34" s="111" t="s">
        <v>110</v>
      </c>
      <c r="B34" s="97">
        <v>1.649282788925704</v>
      </c>
      <c r="C34" s="97">
        <v>1.6369563883141725</v>
      </c>
      <c r="D34" s="97">
        <v>1.5151815627841918</v>
      </c>
      <c r="E34" s="97">
        <v>1.5318456404078002</v>
      </c>
      <c r="F34" s="97">
        <v>1.5002680471709939</v>
      </c>
      <c r="G34" s="97">
        <v>1.4841271439152768</v>
      </c>
      <c r="H34" s="97">
        <v>1.3465420414275098</v>
      </c>
      <c r="I34" s="97">
        <v>1.2764449824701678</v>
      </c>
      <c r="J34" s="97">
        <v>1.1840182088865101</v>
      </c>
      <c r="K34" s="97">
        <v>1.0831818625834335</v>
      </c>
      <c r="L34" s="97">
        <v>0.97633618403751565</v>
      </c>
      <c r="M34" s="97">
        <v>0.93009409045796376</v>
      </c>
      <c r="N34" s="97">
        <v>0.8924005015120221</v>
      </c>
      <c r="O34" s="97">
        <v>0.82829868278313123</v>
      </c>
      <c r="P34" s="97">
        <v>0.80884824388319587</v>
      </c>
      <c r="Q34" s="97">
        <v>0.78407762445414653</v>
      </c>
      <c r="R34" s="97">
        <v>0.72620809263232777</v>
      </c>
      <c r="S34" s="97">
        <v>0.70859434520234887</v>
      </c>
      <c r="T34" s="97">
        <v>0.69703114608953809</v>
      </c>
      <c r="U34" s="97">
        <v>0.68556431921193295</v>
      </c>
      <c r="V34" s="97">
        <v>0.67252900572634422</v>
      </c>
      <c r="W34" s="97">
        <v>0.64921303912971751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0</v>
      </c>
      <c r="K35" s="97">
        <v>1.5383270062313105E-2</v>
      </c>
      <c r="L35" s="97">
        <v>4.2056645561217181E-2</v>
      </c>
      <c r="M35" s="97">
        <v>4.1197532308934866E-2</v>
      </c>
      <c r="N35" s="97">
        <v>3.9331944444038348E-2</v>
      </c>
      <c r="O35" s="97">
        <v>3.637459060006927E-2</v>
      </c>
      <c r="P35" s="97">
        <v>2.412026491268528E-2</v>
      </c>
      <c r="Q35" s="97">
        <v>2.2985728011650525E-2</v>
      </c>
      <c r="R35" s="97">
        <v>2.090883142903029E-2</v>
      </c>
      <c r="S35" s="97">
        <v>4.4191786467764262E-2</v>
      </c>
      <c r="T35" s="97">
        <v>4.5474844990405661E-2</v>
      </c>
      <c r="U35" s="97">
        <v>4.5484553451266722E-2</v>
      </c>
      <c r="V35" s="97">
        <v>5.3138606625246276E-2</v>
      </c>
      <c r="W35" s="97">
        <v>5.2337502590210187E-2</v>
      </c>
      <c r="DA35" s="175" t="s">
        <v>652</v>
      </c>
    </row>
    <row r="36" spans="1:105" ht="11.45" customHeight="1" x14ac:dyDescent="0.25">
      <c r="A36" s="111" t="s">
        <v>111</v>
      </c>
      <c r="B36" s="97">
        <v>390.69964857194401</v>
      </c>
      <c r="C36" s="97">
        <v>387.7114708958178</v>
      </c>
      <c r="D36" s="97">
        <v>385.41970166931611</v>
      </c>
      <c r="E36" s="97">
        <v>394.50311316317362</v>
      </c>
      <c r="F36" s="97">
        <v>395.72704084727371</v>
      </c>
      <c r="G36" s="97">
        <v>387.60040914157133</v>
      </c>
      <c r="H36" s="97">
        <v>378.66766559184822</v>
      </c>
      <c r="I36" s="97">
        <v>373.93755298259833</v>
      </c>
      <c r="J36" s="97">
        <v>381.58764433115573</v>
      </c>
      <c r="K36" s="97">
        <v>374.93939563199382</v>
      </c>
      <c r="L36" s="97">
        <v>372.7993267961462</v>
      </c>
      <c r="M36" s="97">
        <v>360.19030424450676</v>
      </c>
      <c r="N36" s="97">
        <v>349.5097978838981</v>
      </c>
      <c r="O36" s="97">
        <v>340.16503807842508</v>
      </c>
      <c r="P36" s="97">
        <v>347.05004673322878</v>
      </c>
      <c r="Q36" s="97">
        <v>360.26950685218566</v>
      </c>
      <c r="R36" s="97">
        <v>348.59758384533598</v>
      </c>
      <c r="S36" s="97">
        <v>358.34483979158529</v>
      </c>
      <c r="T36" s="97">
        <v>376.46995412959376</v>
      </c>
      <c r="U36" s="97">
        <v>381.75521300291405</v>
      </c>
      <c r="V36" s="97">
        <v>376.93637254019649</v>
      </c>
      <c r="W36" s="97">
        <v>391.81077544195745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0</v>
      </c>
      <c r="I37" s="97">
        <v>0</v>
      </c>
      <c r="J37" s="97">
        <v>0</v>
      </c>
      <c r="K37" s="97">
        <v>5.9994074570477212</v>
      </c>
      <c r="L37" s="97">
        <v>15.983287805057353</v>
      </c>
      <c r="M37" s="97">
        <v>15.064218844754334</v>
      </c>
      <c r="N37" s="97">
        <v>15.070641604132494</v>
      </c>
      <c r="O37" s="97">
        <v>14.870998524209712</v>
      </c>
      <c r="P37" s="97">
        <v>19.240235221080674</v>
      </c>
      <c r="Q37" s="97">
        <v>11.134474374410093</v>
      </c>
      <c r="R37" s="97">
        <v>19.481301228771954</v>
      </c>
      <c r="S37" s="97">
        <v>19.780793665374937</v>
      </c>
      <c r="T37" s="97">
        <v>20.325701210325818</v>
      </c>
      <c r="U37" s="97">
        <v>21.003729726010743</v>
      </c>
      <c r="V37" s="97">
        <v>37.931709922510734</v>
      </c>
      <c r="W37" s="97">
        <v>39.373930298863293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0</v>
      </c>
      <c r="G38" s="97">
        <v>0</v>
      </c>
      <c r="H38" s="97">
        <v>0</v>
      </c>
      <c r="I38" s="97">
        <v>0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</v>
      </c>
      <c r="S38" s="97">
        <v>0</v>
      </c>
      <c r="T38" s="97">
        <v>0</v>
      </c>
      <c r="U38" s="97">
        <v>0</v>
      </c>
      <c r="V38" s="97">
        <v>0</v>
      </c>
      <c r="W38" s="97">
        <v>0</v>
      </c>
      <c r="DA38" s="175" t="s">
        <v>655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0</v>
      </c>
      <c r="M39" s="97">
        <v>0</v>
      </c>
      <c r="N39" s="97">
        <v>0</v>
      </c>
      <c r="O39" s="97">
        <v>0</v>
      </c>
      <c r="P39" s="97">
        <v>0</v>
      </c>
      <c r="Q39" s="97">
        <v>0</v>
      </c>
      <c r="R39" s="97">
        <v>1.52733419214508E-2</v>
      </c>
      <c r="S39" s="97">
        <v>1.5665209785829859E-2</v>
      </c>
      <c r="T39" s="97">
        <v>9.1640497873353155E-2</v>
      </c>
      <c r="U39" s="97">
        <v>0.23960473386644665</v>
      </c>
      <c r="V39" s="97">
        <v>0.64636419945122725</v>
      </c>
      <c r="W39" s="97">
        <v>5.5304455266531107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DA40" s="175" t="s">
        <v>657</v>
      </c>
    </row>
    <row r="41" spans="1:105" ht="11.45" customHeight="1" x14ac:dyDescent="0.25">
      <c r="A41" s="111" t="s">
        <v>115</v>
      </c>
      <c r="B41" s="97">
        <v>2.2645818100863045E-2</v>
      </c>
      <c r="C41" s="97">
        <v>2.2662760296528806E-2</v>
      </c>
      <c r="D41" s="97">
        <v>2.2672391979372663E-2</v>
      </c>
      <c r="E41" s="97">
        <v>2.2679109448301319E-2</v>
      </c>
      <c r="F41" s="97">
        <v>2.2694997942921367E-2</v>
      </c>
      <c r="G41" s="97">
        <v>0.22335750429125395</v>
      </c>
      <c r="H41" s="97">
        <v>0.22352609598896714</v>
      </c>
      <c r="I41" s="97">
        <v>0.21256576287737808</v>
      </c>
      <c r="J41" s="97">
        <v>0.20151644865223284</v>
      </c>
      <c r="K41" s="97">
        <v>0.20166434890599003</v>
      </c>
      <c r="L41" s="97">
        <v>0.19118782720040239</v>
      </c>
      <c r="M41" s="97">
        <v>0.18070427208079443</v>
      </c>
      <c r="N41" s="97">
        <v>0.17020309241573833</v>
      </c>
      <c r="O41" s="97">
        <v>0.17033543215888985</v>
      </c>
      <c r="P41" s="97">
        <v>0.18971137376558761</v>
      </c>
      <c r="Q41" s="97">
        <v>0.16852932422094846</v>
      </c>
      <c r="R41" s="97">
        <v>0.15790225340520639</v>
      </c>
      <c r="S41" s="97">
        <v>0.14726421657865438</v>
      </c>
      <c r="T41" s="97">
        <v>0.23421612487461338</v>
      </c>
      <c r="U41" s="97">
        <v>0.66423022790194308</v>
      </c>
      <c r="V41" s="97">
        <v>0.81338277735349052</v>
      </c>
      <c r="W41" s="97">
        <v>1.0264087287143353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2067.7444980616542</v>
      </c>
      <c r="C42" s="32">
        <f t="shared" si="25"/>
        <v>2270.4965306529939</v>
      </c>
      <c r="D42" s="32">
        <f t="shared" si="25"/>
        <v>2336.5751731504624</v>
      </c>
      <c r="E42" s="32">
        <f t="shared" si="25"/>
        <v>2372.0727464348829</v>
      </c>
      <c r="F42" s="32">
        <f t="shared" si="25"/>
        <v>2648.0847951267583</v>
      </c>
      <c r="G42" s="32">
        <f t="shared" si="25"/>
        <v>2656.0063716342192</v>
      </c>
      <c r="H42" s="32">
        <f t="shared" si="25"/>
        <v>2742.7251607970838</v>
      </c>
      <c r="I42" s="32">
        <f t="shared" si="25"/>
        <v>2819.9535191225405</v>
      </c>
      <c r="J42" s="32">
        <f t="shared" si="25"/>
        <v>2734.7091689968656</v>
      </c>
      <c r="K42" s="32">
        <f t="shared" si="25"/>
        <v>2633.1320457111206</v>
      </c>
      <c r="L42" s="32">
        <f t="shared" ref="L42" si="26">L43+L52</f>
        <v>2651.0461825471557</v>
      </c>
      <c r="M42" s="32">
        <f t="shared" ref="M42:V42" si="27">M43+M52</f>
        <v>2597.6730295631833</v>
      </c>
      <c r="N42" s="32">
        <f t="shared" si="27"/>
        <v>2504.7205808020844</v>
      </c>
      <c r="O42" s="32">
        <f t="shared" si="27"/>
        <v>2515.9705979229188</v>
      </c>
      <c r="P42" s="32">
        <f t="shared" si="27"/>
        <v>2577.4964580307214</v>
      </c>
      <c r="Q42" s="32">
        <f t="shared" si="27"/>
        <v>2824.7929706489776</v>
      </c>
      <c r="R42" s="32">
        <f t="shared" si="27"/>
        <v>3015.5224501449966</v>
      </c>
      <c r="S42" s="32">
        <f t="shared" si="27"/>
        <v>3065.384071701762</v>
      </c>
      <c r="T42" s="32">
        <f t="shared" si="27"/>
        <v>3146.9689768221033</v>
      </c>
      <c r="U42" s="32">
        <f t="shared" si="27"/>
        <v>3156.0267532767975</v>
      </c>
      <c r="V42" s="32">
        <f t="shared" si="27"/>
        <v>2922.7173380980398</v>
      </c>
      <c r="W42" s="32">
        <f t="shared" ref="W42" si="28">W43+W52</f>
        <v>3380.1508193267709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1041.9873583799549</v>
      </c>
      <c r="C43" s="141">
        <f t="shared" si="29"/>
        <v>1049.1059690526661</v>
      </c>
      <c r="D43" s="141">
        <f t="shared" si="29"/>
        <v>1090.6253749475338</v>
      </c>
      <c r="E43" s="141">
        <f t="shared" si="29"/>
        <v>1094.1240526390193</v>
      </c>
      <c r="F43" s="141">
        <f t="shared" si="29"/>
        <v>1167.9532093277712</v>
      </c>
      <c r="G43" s="141">
        <f t="shared" si="29"/>
        <v>1181.7876627565818</v>
      </c>
      <c r="H43" s="141">
        <f t="shared" si="29"/>
        <v>1195.7188875063193</v>
      </c>
      <c r="I43" s="141">
        <f t="shared" si="29"/>
        <v>1237.6383965097159</v>
      </c>
      <c r="J43" s="141">
        <f t="shared" si="29"/>
        <v>1233.742801400487</v>
      </c>
      <c r="K43" s="141">
        <f t="shared" si="29"/>
        <v>1205.5352094175598</v>
      </c>
      <c r="L43" s="141">
        <f t="shared" ref="L43" si="30">L44+L46+L48+L49+L51</f>
        <v>1198.368641539809</v>
      </c>
      <c r="M43" s="141">
        <f t="shared" ref="M43:V43" si="31">M44+M46+M48+M49+M51</f>
        <v>1186.1214892298799</v>
      </c>
      <c r="N43" s="141">
        <f t="shared" si="31"/>
        <v>1161.1330467149864</v>
      </c>
      <c r="O43" s="141">
        <f t="shared" si="31"/>
        <v>1097.2189068639536</v>
      </c>
      <c r="P43" s="141">
        <f t="shared" si="31"/>
        <v>1133.6843616985361</v>
      </c>
      <c r="Q43" s="141">
        <f t="shared" si="31"/>
        <v>1199.6448320192667</v>
      </c>
      <c r="R43" s="141">
        <f t="shared" si="31"/>
        <v>1131.499034613599</v>
      </c>
      <c r="S43" s="141">
        <f t="shared" si="31"/>
        <v>1038.7953786476237</v>
      </c>
      <c r="T43" s="141">
        <f t="shared" si="31"/>
        <v>1020.4356156932183</v>
      </c>
      <c r="U43" s="141">
        <f t="shared" si="31"/>
        <v>1025.383034370092</v>
      </c>
      <c r="V43" s="141">
        <f t="shared" si="31"/>
        <v>961.89437600204781</v>
      </c>
      <c r="W43" s="141">
        <f t="shared" ref="W43" si="32">W44+W46+W48+W49+W51</f>
        <v>1122.3579073201374</v>
      </c>
      <c r="DA43" s="174" t="s">
        <v>399</v>
      </c>
    </row>
    <row r="44" spans="1:105" ht="11.45" customHeight="1" x14ac:dyDescent="0.25">
      <c r="A44" s="111" t="s">
        <v>110</v>
      </c>
      <c r="B44" s="96">
        <v>66.490143059235876</v>
      </c>
      <c r="C44" s="96">
        <v>64.005501500932709</v>
      </c>
      <c r="D44" s="96">
        <v>65.475998690962882</v>
      </c>
      <c r="E44" s="96">
        <v>60.509551588345197</v>
      </c>
      <c r="F44" s="96">
        <v>58.340435350037495</v>
      </c>
      <c r="G44" s="96">
        <v>57.864395438182136</v>
      </c>
      <c r="H44" s="96">
        <v>55.509599384512192</v>
      </c>
      <c r="I44" s="96">
        <v>48.905585697355399</v>
      </c>
      <c r="J44" s="96">
        <v>44.339861323019434</v>
      </c>
      <c r="K44" s="96">
        <v>39.943433931003007</v>
      </c>
      <c r="L44" s="96">
        <v>37.580367701729472</v>
      </c>
      <c r="M44" s="96">
        <v>35.364006287369854</v>
      </c>
      <c r="N44" s="96">
        <v>33.496241318348311</v>
      </c>
      <c r="O44" s="96">
        <v>30.120103825502493</v>
      </c>
      <c r="P44" s="96">
        <v>27.607374617468327</v>
      </c>
      <c r="Q44" s="96">
        <v>25.316060122269491</v>
      </c>
      <c r="R44" s="96">
        <v>25.857859825651346</v>
      </c>
      <c r="S44" s="96">
        <v>27.81584874877716</v>
      </c>
      <c r="T44" s="96">
        <v>32.306925557444806</v>
      </c>
      <c r="U44" s="96">
        <v>35.569246218905569</v>
      </c>
      <c r="V44" s="96">
        <v>32.296523564961603</v>
      </c>
      <c r="W44" s="96">
        <v>36.230950647516558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</v>
      </c>
      <c r="I45" s="96">
        <v>0</v>
      </c>
      <c r="J45" s="96">
        <v>0</v>
      </c>
      <c r="K45" s="96">
        <v>0.56727374469811198</v>
      </c>
      <c r="L45" s="96">
        <v>1.6188114609825004</v>
      </c>
      <c r="M45" s="96">
        <v>1.5664111905924869</v>
      </c>
      <c r="N45" s="96">
        <v>1.476324027592032</v>
      </c>
      <c r="O45" s="96">
        <v>1.3227190484028453</v>
      </c>
      <c r="P45" s="96">
        <v>0.82326591465436916</v>
      </c>
      <c r="Q45" s="96">
        <v>0.74215620258541004</v>
      </c>
      <c r="R45" s="96">
        <v>0.74449408880901635</v>
      </c>
      <c r="S45" s="96">
        <v>1.7347471887805763</v>
      </c>
      <c r="T45" s="96">
        <v>2.1077285284647176</v>
      </c>
      <c r="U45" s="96">
        <v>2.3598825602896349</v>
      </c>
      <c r="V45" s="96">
        <v>2.5518486882628513</v>
      </c>
      <c r="W45" s="96">
        <v>2.9208246893841161</v>
      </c>
      <c r="DA45" s="171" t="s">
        <v>660</v>
      </c>
    </row>
    <row r="46" spans="1:105" ht="11.45" customHeight="1" x14ac:dyDescent="0.25">
      <c r="A46" s="111" t="s">
        <v>111</v>
      </c>
      <c r="B46" s="96">
        <v>930.01600898862478</v>
      </c>
      <c r="C46" s="96">
        <v>938.44048273244755</v>
      </c>
      <c r="D46" s="96">
        <v>977.14125651970676</v>
      </c>
      <c r="E46" s="96">
        <v>989.77439188685139</v>
      </c>
      <c r="F46" s="96">
        <v>1066.0672983870691</v>
      </c>
      <c r="G46" s="96">
        <v>1083.506081375341</v>
      </c>
      <c r="H46" s="96">
        <v>1102.3140804685222</v>
      </c>
      <c r="I46" s="96">
        <v>1154.8119829971702</v>
      </c>
      <c r="J46" s="96">
        <v>1159.4282644705156</v>
      </c>
      <c r="K46" s="96">
        <v>1139.8776338421885</v>
      </c>
      <c r="L46" s="96">
        <v>1138.6702566035419</v>
      </c>
      <c r="M46" s="96">
        <v>1129.0156063769389</v>
      </c>
      <c r="N46" s="96">
        <v>1107.3902496681401</v>
      </c>
      <c r="O46" s="96">
        <v>1050.7932407342598</v>
      </c>
      <c r="P46" s="96">
        <v>1091.3112445622107</v>
      </c>
      <c r="Q46" s="96">
        <v>1162.2550868100361</v>
      </c>
      <c r="R46" s="96">
        <v>1094.3558422275628</v>
      </c>
      <c r="S46" s="96">
        <v>999.76944180060946</v>
      </c>
      <c r="T46" s="96">
        <v>976.88829894048001</v>
      </c>
      <c r="U46" s="96">
        <v>976.7483565099833</v>
      </c>
      <c r="V46" s="96">
        <v>913.85745046947375</v>
      </c>
      <c r="W46" s="96">
        <v>1063.4511236393541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</v>
      </c>
      <c r="H47" s="96">
        <v>0</v>
      </c>
      <c r="I47" s="96">
        <v>0</v>
      </c>
      <c r="J47" s="96">
        <v>0</v>
      </c>
      <c r="K47" s="96">
        <v>18.239188669592007</v>
      </c>
      <c r="L47" s="96">
        <v>48.819010975051633</v>
      </c>
      <c r="M47" s="96">
        <v>47.21875623298267</v>
      </c>
      <c r="N47" s="96">
        <v>47.749967725377488</v>
      </c>
      <c r="O47" s="96">
        <v>45.937539085383783</v>
      </c>
      <c r="P47" s="96">
        <v>60.501605582342194</v>
      </c>
      <c r="Q47" s="96">
        <v>35.920607307805554</v>
      </c>
      <c r="R47" s="96">
        <v>61.157841596975935</v>
      </c>
      <c r="S47" s="96">
        <v>55.187715421566736</v>
      </c>
      <c r="T47" s="96">
        <v>52.742428611693555</v>
      </c>
      <c r="U47" s="96">
        <v>53.739563447177552</v>
      </c>
      <c r="V47" s="96">
        <v>91.96293657767589</v>
      </c>
      <c r="W47" s="96">
        <v>106.86855248223436</v>
      </c>
      <c r="DA47" s="171" t="s">
        <v>662</v>
      </c>
    </row>
    <row r="48" spans="1:105" ht="11.45" customHeight="1" x14ac:dyDescent="0.25">
      <c r="A48" s="111" t="s">
        <v>112</v>
      </c>
      <c r="B48" s="96">
        <v>45.481206332094324</v>
      </c>
      <c r="C48" s="96">
        <v>46.659984819285775</v>
      </c>
      <c r="D48" s="96">
        <v>48.008119736864188</v>
      </c>
      <c r="E48" s="96">
        <v>43.840109163822696</v>
      </c>
      <c r="F48" s="96">
        <v>43.545475590664545</v>
      </c>
      <c r="G48" s="96">
        <v>40.417185943058627</v>
      </c>
      <c r="H48" s="96">
        <v>37.895207653284835</v>
      </c>
      <c r="I48" s="96">
        <v>33.92082781519025</v>
      </c>
      <c r="J48" s="96">
        <v>29.882554664475425</v>
      </c>
      <c r="K48" s="96">
        <v>25.594808665404045</v>
      </c>
      <c r="L48" s="96">
        <v>21.976554298305636</v>
      </c>
      <c r="M48" s="96">
        <v>21.613070415689762</v>
      </c>
      <c r="N48" s="96">
        <v>19.9012591090558</v>
      </c>
      <c r="O48" s="96">
        <v>15.855383116053675</v>
      </c>
      <c r="P48" s="96">
        <v>14.135466565797929</v>
      </c>
      <c r="Q48" s="96">
        <v>10.93902004705982</v>
      </c>
      <c r="R48" s="96">
        <v>10.178742797402123</v>
      </c>
      <c r="S48" s="96">
        <v>9.3764889271936447</v>
      </c>
      <c r="T48" s="96">
        <v>8.4388087335538806</v>
      </c>
      <c r="U48" s="96">
        <v>7.7749694883855929</v>
      </c>
      <c r="V48" s="96">
        <v>7.1799666620302673</v>
      </c>
      <c r="W48" s="96">
        <v>7.9059599049048472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7.8649789725832656E-2</v>
      </c>
      <c r="K49" s="96">
        <v>0.10515648799267793</v>
      </c>
      <c r="L49" s="96">
        <v>0.12704128169853984</v>
      </c>
      <c r="M49" s="96">
        <v>0.11052708021344737</v>
      </c>
      <c r="N49" s="96">
        <v>0.26675117913298974</v>
      </c>
      <c r="O49" s="96">
        <v>0.34730696236947661</v>
      </c>
      <c r="P49" s="96">
        <v>0.50462727806320151</v>
      </c>
      <c r="Q49" s="96">
        <v>0.99432554493879932</v>
      </c>
      <c r="R49" s="96">
        <v>0.93303313554096778</v>
      </c>
      <c r="S49" s="96">
        <v>1.6348188200617282</v>
      </c>
      <c r="T49" s="96">
        <v>2.528913276859702</v>
      </c>
      <c r="U49" s="96">
        <v>4.8922734965632726</v>
      </c>
      <c r="V49" s="96">
        <v>8.0148658141811051</v>
      </c>
      <c r="W49" s="96">
        <v>13.888083374996343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1.3471152750587334E-2</v>
      </c>
      <c r="K51" s="96">
        <v>1.4176490971436135E-2</v>
      </c>
      <c r="L51" s="96">
        <v>1.4421654533439448E-2</v>
      </c>
      <c r="M51" s="96">
        <v>1.8279069668049316E-2</v>
      </c>
      <c r="N51" s="96">
        <v>7.8545440309133574E-2</v>
      </c>
      <c r="O51" s="96">
        <v>0.10287222576824467</v>
      </c>
      <c r="P51" s="96">
        <v>0.12564867499569643</v>
      </c>
      <c r="Q51" s="96">
        <v>0.14033949496252013</v>
      </c>
      <c r="R51" s="96">
        <v>0.17355662744203959</v>
      </c>
      <c r="S51" s="96">
        <v>0.19878035098165533</v>
      </c>
      <c r="T51" s="96">
        <v>0.27266918487990766</v>
      </c>
      <c r="U51" s="96">
        <v>0.39818865625428174</v>
      </c>
      <c r="V51" s="96">
        <v>0.54556949140113653</v>
      </c>
      <c r="W51" s="96">
        <v>0.88178975336558496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1025.7571396816993</v>
      </c>
      <c r="C52" s="130">
        <f t="shared" si="33"/>
        <v>1221.3905616003276</v>
      </c>
      <c r="D52" s="130">
        <f t="shared" si="33"/>
        <v>1245.9497982029284</v>
      </c>
      <c r="E52" s="130">
        <f t="shared" si="33"/>
        <v>1277.9486937958636</v>
      </c>
      <c r="F52" s="130">
        <f t="shared" si="33"/>
        <v>1480.1315857989871</v>
      </c>
      <c r="G52" s="130">
        <f t="shared" si="33"/>
        <v>1474.2187088776377</v>
      </c>
      <c r="H52" s="130">
        <f t="shared" si="33"/>
        <v>1547.0062732907645</v>
      </c>
      <c r="I52" s="130">
        <f t="shared" si="33"/>
        <v>1582.3151226128243</v>
      </c>
      <c r="J52" s="130">
        <f t="shared" si="33"/>
        <v>1500.9663675963784</v>
      </c>
      <c r="K52" s="130">
        <f t="shared" si="33"/>
        <v>1427.5968362935605</v>
      </c>
      <c r="L52" s="130">
        <f t="shared" ref="L52" si="34">L53+L55</f>
        <v>1452.6775410073467</v>
      </c>
      <c r="M52" s="130">
        <f t="shared" ref="M52:V52" si="35">M53+M55</f>
        <v>1411.5515403333034</v>
      </c>
      <c r="N52" s="130">
        <f t="shared" si="35"/>
        <v>1343.5875340870978</v>
      </c>
      <c r="O52" s="130">
        <f t="shared" si="35"/>
        <v>1418.7516910589652</v>
      </c>
      <c r="P52" s="130">
        <f t="shared" si="35"/>
        <v>1443.8120963321853</v>
      </c>
      <c r="Q52" s="130">
        <f t="shared" si="35"/>
        <v>1625.1481386297112</v>
      </c>
      <c r="R52" s="130">
        <f t="shared" si="35"/>
        <v>1884.0234155313979</v>
      </c>
      <c r="S52" s="130">
        <f t="shared" si="35"/>
        <v>2026.588693054138</v>
      </c>
      <c r="T52" s="130">
        <f t="shared" si="35"/>
        <v>2126.5333611288847</v>
      </c>
      <c r="U52" s="130">
        <f t="shared" si="35"/>
        <v>2130.6437189067055</v>
      </c>
      <c r="V52" s="130">
        <f t="shared" si="35"/>
        <v>1960.8229620959919</v>
      </c>
      <c r="W52" s="130">
        <f t="shared" ref="W52" si="36">W53+W55</f>
        <v>2257.7929120066337</v>
      </c>
      <c r="DA52" s="176" t="s">
        <v>400</v>
      </c>
    </row>
    <row r="53" spans="1:105" ht="11.45" customHeight="1" x14ac:dyDescent="0.25">
      <c r="A53" s="128" t="s">
        <v>27</v>
      </c>
      <c r="B53" s="97">
        <v>581.80423357447205</v>
      </c>
      <c r="C53" s="97">
        <v>695.77560477346742</v>
      </c>
      <c r="D53" s="97">
        <v>701.833114974301</v>
      </c>
      <c r="E53" s="97">
        <v>689.13272223821832</v>
      </c>
      <c r="F53" s="97">
        <v>752.98598832351149</v>
      </c>
      <c r="G53" s="97">
        <v>710.58069051006225</v>
      </c>
      <c r="H53" s="97">
        <v>740.87028319620481</v>
      </c>
      <c r="I53" s="97">
        <v>737.61482661666014</v>
      </c>
      <c r="J53" s="97">
        <v>626.62713470772292</v>
      </c>
      <c r="K53" s="97">
        <v>608.6462310173365</v>
      </c>
      <c r="L53" s="97">
        <v>616.97570854644073</v>
      </c>
      <c r="M53" s="97">
        <v>609.96358095148082</v>
      </c>
      <c r="N53" s="97">
        <v>581.7654578705376</v>
      </c>
      <c r="O53" s="97">
        <v>615.96620869183926</v>
      </c>
      <c r="P53" s="97">
        <v>638.06598449208082</v>
      </c>
      <c r="Q53" s="97">
        <v>767.43718489138587</v>
      </c>
      <c r="R53" s="97">
        <v>846.64509939435902</v>
      </c>
      <c r="S53" s="97">
        <v>907.66870677423799</v>
      </c>
      <c r="T53" s="97">
        <v>935.69214013128988</v>
      </c>
      <c r="U53" s="97">
        <v>967.31241150706092</v>
      </c>
      <c r="V53" s="97">
        <v>855.40200493111524</v>
      </c>
      <c r="W53" s="97">
        <v>1016.5277997674043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</v>
      </c>
      <c r="H54" s="97">
        <v>0</v>
      </c>
      <c r="I54" s="97">
        <v>0</v>
      </c>
      <c r="J54" s="97">
        <v>0</v>
      </c>
      <c r="K54" s="97">
        <v>9.7389518935838613</v>
      </c>
      <c r="L54" s="97">
        <v>26.452033599887095</v>
      </c>
      <c r="M54" s="97">
        <v>25.510472554379625</v>
      </c>
      <c r="N54" s="97">
        <v>25.085358883539421</v>
      </c>
      <c r="O54" s="97">
        <v>26.928201181884958</v>
      </c>
      <c r="P54" s="97">
        <v>35.373974859697441</v>
      </c>
      <c r="Q54" s="97">
        <v>23.71838167432939</v>
      </c>
      <c r="R54" s="97">
        <v>47.31457984655146</v>
      </c>
      <c r="S54" s="97">
        <v>50.103714108625766</v>
      </c>
      <c r="T54" s="97">
        <v>50.518238325632979</v>
      </c>
      <c r="U54" s="97">
        <v>53.22040868045697</v>
      </c>
      <c r="V54" s="97">
        <v>86.080471617848502</v>
      </c>
      <c r="W54" s="97">
        <v>102.15312401694747</v>
      </c>
      <c r="DA54" s="175" t="s">
        <v>668</v>
      </c>
    </row>
    <row r="55" spans="1:105" ht="11.45" customHeight="1" x14ac:dyDescent="0.25">
      <c r="A55" s="128" t="s">
        <v>116</v>
      </c>
      <c r="B55" s="97">
        <v>443.95290610722725</v>
      </c>
      <c r="C55" s="97">
        <v>525.61495682686018</v>
      </c>
      <c r="D55" s="97">
        <v>544.11668322862738</v>
      </c>
      <c r="E55" s="97">
        <v>588.8159715576453</v>
      </c>
      <c r="F55" s="97">
        <v>727.1455974754756</v>
      </c>
      <c r="G55" s="97">
        <v>763.63801836757546</v>
      </c>
      <c r="H55" s="97">
        <v>806.1359900945597</v>
      </c>
      <c r="I55" s="97">
        <v>844.70029599616419</v>
      </c>
      <c r="J55" s="97">
        <v>874.33923288865549</v>
      </c>
      <c r="K55" s="97">
        <v>818.950605276224</v>
      </c>
      <c r="L55" s="97">
        <v>835.70183246090596</v>
      </c>
      <c r="M55" s="97">
        <v>801.58795938182266</v>
      </c>
      <c r="N55" s="97">
        <v>761.82207621656016</v>
      </c>
      <c r="O55" s="97">
        <v>802.78548236712584</v>
      </c>
      <c r="P55" s="97">
        <v>805.74611184010462</v>
      </c>
      <c r="Q55" s="97">
        <v>857.71095373832532</v>
      </c>
      <c r="R55" s="97">
        <v>1037.3783161370388</v>
      </c>
      <c r="S55" s="97">
        <v>1118.9199862799001</v>
      </c>
      <c r="T55" s="97">
        <v>1190.8412209975947</v>
      </c>
      <c r="U55" s="97">
        <v>1163.3313073996444</v>
      </c>
      <c r="V55" s="97">
        <v>1105.4209571648767</v>
      </c>
      <c r="W55" s="97">
        <v>1241.2651122392294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13.104033413096671</v>
      </c>
      <c r="L56" s="98">
        <v>35.82963258606015</v>
      </c>
      <c r="M56" s="98">
        <v>33.524768160474387</v>
      </c>
      <c r="N56" s="98">
        <v>32.849286475767876</v>
      </c>
      <c r="O56" s="98">
        <v>35.095381321304842</v>
      </c>
      <c r="P56" s="98">
        <v>44.670055129517024</v>
      </c>
      <c r="Q56" s="98">
        <v>26.508379014626232</v>
      </c>
      <c r="R56" s="98">
        <v>57.973664768222669</v>
      </c>
      <c r="S56" s="98">
        <v>61.764878181417586</v>
      </c>
      <c r="T56" s="98">
        <v>64.293797104999811</v>
      </c>
      <c r="U56" s="98">
        <v>64.005141331867932</v>
      </c>
      <c r="V56" s="98">
        <v>111.24027858301417</v>
      </c>
      <c r="W56" s="98">
        <v>124.73747297171569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8.6307225791616169</v>
      </c>
      <c r="C60" s="79">
        <f>IF(C17=0,0,C17/TrRoad_act!C30*100)</f>
        <v>8.5871860857107762</v>
      </c>
      <c r="D60" s="79">
        <f>IF(D17=0,0,D17/TrRoad_act!D30*100)</f>
        <v>8.5177138075857002</v>
      </c>
      <c r="E60" s="79">
        <f>IF(E17=0,0,E17/TrRoad_act!E30*100)</f>
        <v>8.4292276463048559</v>
      </c>
      <c r="F60" s="79">
        <f>IF(F17=0,0,F17/TrRoad_act!F30*100)</f>
        <v>8.5744731900608038</v>
      </c>
      <c r="G60" s="79">
        <f>IF(G17=0,0,G17/TrRoad_act!G30*100)</f>
        <v>8.5473749181154552</v>
      </c>
      <c r="H60" s="79">
        <f>IF(H17=0,0,H17/TrRoad_act!H30*100)</f>
        <v>8.4891290156071655</v>
      </c>
      <c r="I60" s="79">
        <f>IF(I17=0,0,I17/TrRoad_act!I30*100)</f>
        <v>8.3701399758843351</v>
      </c>
      <c r="J60" s="79">
        <f>IF(J17=0,0,J17/TrRoad_act!J30*100)</f>
        <v>8.2204498044579033</v>
      </c>
      <c r="K60" s="79">
        <f>IF(K17=0,0,K17/TrRoad_act!K30*100)</f>
        <v>8.1003124517748137</v>
      </c>
      <c r="L60" s="79">
        <f>IF(L17=0,0,L17/TrRoad_act!L30*100)</f>
        <v>8.0449092695488016</v>
      </c>
      <c r="M60" s="79">
        <f>IF(M17=0,0,M17/TrRoad_act!M30*100)</f>
        <v>7.8760828501014348</v>
      </c>
      <c r="N60" s="79">
        <f>IF(N17=0,0,N17/TrRoad_act!N30*100)</f>
        <v>7.7339383985722989</v>
      </c>
      <c r="O60" s="79">
        <f>IF(O17=0,0,O17/TrRoad_act!O30*100)</f>
        <v>7.7450702520918941</v>
      </c>
      <c r="P60" s="79">
        <f>IF(P17=0,0,P17/TrRoad_act!P30*100)</f>
        <v>7.6380276516098302</v>
      </c>
      <c r="Q60" s="79">
        <f>IF(Q17=0,0,Q17/TrRoad_act!Q30*100)</f>
        <v>7.7119357898632073</v>
      </c>
      <c r="R60" s="79">
        <f>IF(R17=0,0,R17/TrRoad_act!R30*100)</f>
        <v>7.9407852738840861</v>
      </c>
      <c r="S60" s="79">
        <f>IF(S17=0,0,S17/TrRoad_act!S30*100)</f>
        <v>8.0542864062457795</v>
      </c>
      <c r="T60" s="79">
        <f>IF(T17=0,0,T17/TrRoad_act!T30*100)</f>
        <v>8.1724083139583037</v>
      </c>
      <c r="U60" s="79">
        <f>IF(U17=0,0,U17/TrRoad_act!U30*100)</f>
        <v>8.1330716250234989</v>
      </c>
      <c r="V60" s="79">
        <f>IF(V17=0,0,V17/TrRoad_act!V30*100)</f>
        <v>8.1397642059208621</v>
      </c>
      <c r="W60" s="79">
        <f>IF(W17=0,0,W17/TrRoad_act!W30*100)</f>
        <v>8.4965196780208743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7.1983237634555994</v>
      </c>
      <c r="C61" s="32">
        <f>IF(C18=0,0,C18/TrRoad_act!C31*100)</f>
        <v>7.0383454740093816</v>
      </c>
      <c r="D61" s="32">
        <f>IF(D18=0,0,D18/TrRoad_act!D31*100)</f>
        <v>6.9521995910668437</v>
      </c>
      <c r="E61" s="32">
        <f>IF(E18=0,0,E18/TrRoad_act!E31*100)</f>
        <v>6.8936449523157375</v>
      </c>
      <c r="F61" s="32">
        <f>IF(F18=0,0,F18/TrRoad_act!F31*100)</f>
        <v>6.8940352951135795</v>
      </c>
      <c r="G61" s="32">
        <f>IF(G18=0,0,G18/TrRoad_act!G31*100)</f>
        <v>6.8373778291892906</v>
      </c>
      <c r="H61" s="32">
        <f>IF(H18=0,0,H18/TrRoad_act!H31*100)</f>
        <v>6.7668378961381128</v>
      </c>
      <c r="I61" s="32">
        <f>IF(I18=0,0,I18/TrRoad_act!I31*100)</f>
        <v>6.6819207263863483</v>
      </c>
      <c r="J61" s="32">
        <f>IF(J18=0,0,J18/TrRoad_act!J31*100)</f>
        <v>6.6359697996454869</v>
      </c>
      <c r="K61" s="32">
        <f>IF(K18=0,0,K18/TrRoad_act!K31*100)</f>
        <v>6.6034146031553593</v>
      </c>
      <c r="L61" s="32">
        <f>IF(L18=0,0,L18/TrRoad_act!L31*100)</f>
        <v>6.5214468192295687</v>
      </c>
      <c r="M61" s="32">
        <f>IF(M18=0,0,M18/TrRoad_act!M31*100)</f>
        <v>6.3856726768839103</v>
      </c>
      <c r="N61" s="32">
        <f>IF(N18=0,0,N18/TrRoad_act!N31*100)</f>
        <v>6.2882402757015123</v>
      </c>
      <c r="O61" s="32">
        <f>IF(O18=0,0,O18/TrRoad_act!O31*100)</f>
        <v>6.2201329065325712</v>
      </c>
      <c r="P61" s="32">
        <f>IF(P18=0,0,P18/TrRoad_act!P31*100)</f>
        <v>6.1270687534568902</v>
      </c>
      <c r="Q61" s="32">
        <f>IF(Q18=0,0,Q18/TrRoad_act!Q31*100)</f>
        <v>6.0868614601626696</v>
      </c>
      <c r="R61" s="32">
        <f>IF(R18=0,0,R18/TrRoad_act!R31*100)</f>
        <v>6.0796331190388537</v>
      </c>
      <c r="S61" s="32">
        <f>IF(S18=0,0,S18/TrRoad_act!S31*100)</f>
        <v>6.0332300883134673</v>
      </c>
      <c r="T61" s="32">
        <f>IF(T18=0,0,T18/TrRoad_act!T31*100)</f>
        <v>6.038074417114875</v>
      </c>
      <c r="U61" s="32">
        <f>IF(U18=0,0,U18/TrRoad_act!U31*100)</f>
        <v>5.9984243940352524</v>
      </c>
      <c r="V61" s="32">
        <f>IF(V18=0,0,V18/TrRoad_act!V31*100)</f>
        <v>5.8775226778965788</v>
      </c>
      <c r="W61" s="32">
        <f>IF(W18=0,0,W18/TrRoad_act!W31*100)</f>
        <v>6.0430525494698681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4.3606921400983163</v>
      </c>
      <c r="C62" s="141">
        <f>IF(C19=0,0,C19/TrRoad_act!C32*100)</f>
        <v>4.3150645208258149</v>
      </c>
      <c r="D62" s="141">
        <f>IF(D19=0,0,D19/TrRoad_act!D32*100)</f>
        <v>4.2731266501341842</v>
      </c>
      <c r="E62" s="141">
        <f>IF(E19=0,0,E19/TrRoad_act!E32*100)</f>
        <v>4.2313408463621691</v>
      </c>
      <c r="F62" s="141">
        <f>IF(F19=0,0,F19/TrRoad_act!F32*100)</f>
        <v>4.1766907484708762</v>
      </c>
      <c r="G62" s="141">
        <f>IF(G19=0,0,G19/TrRoad_act!G32*100)</f>
        <v>4.1055268130222515</v>
      </c>
      <c r="H62" s="141">
        <f>IF(H19=0,0,H19/TrRoad_act!H32*100)</f>
        <v>4.0831007043027521</v>
      </c>
      <c r="I62" s="141">
        <f>IF(I19=0,0,I19/TrRoad_act!I32*100)</f>
        <v>4.0370510579826764</v>
      </c>
      <c r="J62" s="141">
        <f>IF(J19=0,0,J19/TrRoad_act!J32*100)</f>
        <v>3.9954911371818751</v>
      </c>
      <c r="K62" s="141">
        <f>IF(K19=0,0,K19/TrRoad_act!K32*100)</f>
        <v>3.9468709178632988</v>
      </c>
      <c r="L62" s="141">
        <f>IF(L19=0,0,L19/TrRoad_act!L32*100)</f>
        <v>3.9174354485151088</v>
      </c>
      <c r="M62" s="141">
        <f>IF(M19=0,0,M19/TrRoad_act!M32*100)</f>
        <v>3.8603048948069199</v>
      </c>
      <c r="N62" s="141">
        <f>IF(N19=0,0,N19/TrRoad_act!N32*100)</f>
        <v>3.8105661190005309</v>
      </c>
      <c r="O62" s="141">
        <f>IF(O19=0,0,O19/TrRoad_act!O32*100)</f>
        <v>3.7889871653041189</v>
      </c>
      <c r="P62" s="141">
        <f>IF(P19=0,0,P19/TrRoad_act!P32*100)</f>
        <v>3.7450173997385492</v>
      </c>
      <c r="Q62" s="141">
        <f>IF(Q19=0,0,Q19/TrRoad_act!Q32*100)</f>
        <v>3.7227553114864844</v>
      </c>
      <c r="R62" s="141">
        <f>IF(R19=0,0,R19/TrRoad_act!R32*100)</f>
        <v>3.5221942644379176</v>
      </c>
      <c r="S62" s="141">
        <f>IF(S19=0,0,S19/TrRoad_act!S32*100)</f>
        <v>3.6003387291163853</v>
      </c>
      <c r="T62" s="141">
        <f>IF(T19=0,0,T19/TrRoad_act!T32*100)</f>
        <v>3.5322053887772293</v>
      </c>
      <c r="U62" s="141">
        <f>IF(U19=0,0,U19/TrRoad_act!U32*100)</f>
        <v>3.5120057083721457</v>
      </c>
      <c r="V62" s="141">
        <f>IF(V19=0,0,V19/TrRoad_act!V32*100)</f>
        <v>3.3664128319410374</v>
      </c>
      <c r="W62" s="141">
        <f>IF(W19=0,0,W19/TrRoad_act!W32*100)</f>
        <v>3.1875639332347134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6.7975418980895954</v>
      </c>
      <c r="C63" s="130">
        <f>IF(C21=0,0,C21/TrRoad_act!C33*100)</f>
        <v>6.6552466420961256</v>
      </c>
      <c r="D63" s="130">
        <f>IF(D21=0,0,D21/TrRoad_act!D33*100)</f>
        <v>6.5744007011852945</v>
      </c>
      <c r="E63" s="130">
        <f>IF(E21=0,0,E21/TrRoad_act!E33*100)</f>
        <v>6.5199171141210224</v>
      </c>
      <c r="F63" s="130">
        <f>IF(F21=0,0,F21/TrRoad_act!F33*100)</f>
        <v>6.5244919122553133</v>
      </c>
      <c r="G63" s="130">
        <f>IF(G21=0,0,G21/TrRoad_act!G33*100)</f>
        <v>6.4622579674426399</v>
      </c>
      <c r="H63" s="130">
        <f>IF(H21=0,0,H21/TrRoad_act!H33*100)</f>
        <v>6.4128726510194394</v>
      </c>
      <c r="I63" s="130">
        <f>IF(I21=0,0,I21/TrRoad_act!I33*100)</f>
        <v>6.3489544292724061</v>
      </c>
      <c r="J63" s="130">
        <f>IF(J21=0,0,J21/TrRoad_act!J33*100)</f>
        <v>6.3031547115624376</v>
      </c>
      <c r="K63" s="130">
        <f>IF(K21=0,0,K21/TrRoad_act!K33*100)</f>
        <v>6.2788526513505554</v>
      </c>
      <c r="L63" s="130">
        <f>IF(L21=0,0,L21/TrRoad_act!L33*100)</f>
        <v>6.1949960602360763</v>
      </c>
      <c r="M63" s="130">
        <f>IF(M21=0,0,M21/TrRoad_act!M33*100)</f>
        <v>6.0725082855485839</v>
      </c>
      <c r="N63" s="130">
        <f>IF(N21=0,0,N21/TrRoad_act!N33*100)</f>
        <v>5.9798261465547622</v>
      </c>
      <c r="O63" s="130">
        <f>IF(O21=0,0,O21/TrRoad_act!O33*100)</f>
        <v>5.9122583177412764</v>
      </c>
      <c r="P63" s="130">
        <f>IF(P21=0,0,P21/TrRoad_act!P33*100)</f>
        <v>5.82393885117538</v>
      </c>
      <c r="Q63" s="130">
        <f>IF(Q21=0,0,Q21/TrRoad_act!Q33*100)</f>
        <v>5.7784015952521113</v>
      </c>
      <c r="R63" s="130">
        <f>IF(R21=0,0,R21/TrRoad_act!R33*100)</f>
        <v>5.7803428521192828</v>
      </c>
      <c r="S63" s="130">
        <f>IF(S21=0,0,S21/TrRoad_act!S33*100)</f>
        <v>5.7094122796934332</v>
      </c>
      <c r="T63" s="130">
        <f>IF(T21=0,0,T21/TrRoad_act!T33*100)</f>
        <v>5.6911682413421945</v>
      </c>
      <c r="U63" s="130">
        <f>IF(U21=0,0,U21/TrRoad_act!U33*100)</f>
        <v>5.6443843805160983</v>
      </c>
      <c r="V63" s="130">
        <f>IF(V21=0,0,V21/TrRoad_act!V33*100)</f>
        <v>5.4650943578880593</v>
      </c>
      <c r="W63" s="130">
        <f>IF(W21=0,0,W21/TrRoad_act!W33*100)</f>
        <v>5.6341481329442136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6.5652958140075119</v>
      </c>
      <c r="C64" s="96">
        <f>IF(C22=0,0,C22/TrRoad_act!C34*100)</f>
        <v>6.5197996483103786</v>
      </c>
      <c r="D64" s="96">
        <f>IF(D22=0,0,D22/TrRoad_act!D34*100)</f>
        <v>6.4994357713396846</v>
      </c>
      <c r="E64" s="96">
        <f>IF(E22=0,0,E22/TrRoad_act!E34*100)</f>
        <v>6.498360047813426</v>
      </c>
      <c r="F64" s="96">
        <f>IF(F22=0,0,F22/TrRoad_act!F34*100)</f>
        <v>6.5966608958154165</v>
      </c>
      <c r="G64" s="96">
        <f>IF(G22=0,0,G22/TrRoad_act!G34*100)</f>
        <v>6.5718670605812655</v>
      </c>
      <c r="H64" s="96">
        <f>IF(H22=0,0,H22/TrRoad_act!H34*100)</f>
        <v>6.5434954766859139</v>
      </c>
      <c r="I64" s="96">
        <f>IF(I22=0,0,I22/TrRoad_act!I34*100)</f>
        <v>6.5289481710484791</v>
      </c>
      <c r="J64" s="96">
        <f>IF(J22=0,0,J22/TrRoad_act!J34*100)</f>
        <v>6.4973216515038388</v>
      </c>
      <c r="K64" s="96">
        <f>IF(K22=0,0,K22/TrRoad_act!K34*100)</f>
        <v>6.5223580497077949</v>
      </c>
      <c r="L64" s="96">
        <f>IF(L22=0,0,L22/TrRoad_act!L34*100)</f>
        <v>6.4587086530399889</v>
      </c>
      <c r="M64" s="96">
        <f>IF(M22=0,0,M22/TrRoad_act!M34*100)</f>
        <v>6.3361354275158464</v>
      </c>
      <c r="N64" s="96">
        <f>IF(N22=0,0,N22/TrRoad_act!N34*100)</f>
        <v>6.2784641403049761</v>
      </c>
      <c r="O64" s="96">
        <f>IF(O22=0,0,O22/TrRoad_act!O34*100)</f>
        <v>6.1957734137981575</v>
      </c>
      <c r="P64" s="96">
        <f>IF(P22=0,0,P22/TrRoad_act!P34*100)</f>
        <v>6.1117787380779367</v>
      </c>
      <c r="Q64" s="96">
        <f>IF(Q22=0,0,Q22/TrRoad_act!Q34*100)</f>
        <v>6.0366871028371989</v>
      </c>
      <c r="R64" s="96">
        <f>IF(R22=0,0,R22/TrRoad_act!R34*100)</f>
        <v>6.087238551387876</v>
      </c>
      <c r="S64" s="96">
        <f>IF(S22=0,0,S22/TrRoad_act!S34*100)</f>
        <v>5.9463791342540029</v>
      </c>
      <c r="T64" s="96">
        <f>IF(T22=0,0,T22/TrRoad_act!T34*100)</f>
        <v>5.8363712105383003</v>
      </c>
      <c r="U64" s="96">
        <f>IF(U22=0,0,U22/TrRoad_act!U34*100)</f>
        <v>5.7869539355580963</v>
      </c>
      <c r="V64" s="96">
        <f>IF(V22=0,0,V22/TrRoad_act!V34*100)</f>
        <v>5.5400726896037975</v>
      </c>
      <c r="W64" s="96">
        <f>IF(W22=0,0,W22/TrRoad_act!W34*100)</f>
        <v>5.8129020144099259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6.9813752784567678</v>
      </c>
      <c r="C65" s="96">
        <f>IF(C24=0,0,C24/TrRoad_act!C35*100)</f>
        <v>6.7432300376030287</v>
      </c>
      <c r="D65" s="96">
        <f>IF(D24=0,0,D24/TrRoad_act!D35*100)</f>
        <v>6.6385524109613225</v>
      </c>
      <c r="E65" s="96">
        <f>IF(E24=0,0,E24/TrRoad_act!E35*100)</f>
        <v>6.5519082281830929</v>
      </c>
      <c r="F65" s="96">
        <f>IF(F24=0,0,F24/TrRoad_act!F35*100)</f>
        <v>6.5019681575808352</v>
      </c>
      <c r="G65" s="96">
        <f>IF(G24=0,0,G24/TrRoad_act!G35*100)</f>
        <v>6.4139793998044761</v>
      </c>
      <c r="H65" s="96">
        <f>IF(H24=0,0,H24/TrRoad_act!H35*100)</f>
        <v>6.357460389952994</v>
      </c>
      <c r="I65" s="96">
        <f>IF(I24=0,0,I24/TrRoad_act!I35*100)</f>
        <v>6.2862524129626935</v>
      </c>
      <c r="J65" s="96">
        <f>IF(J24=0,0,J24/TrRoad_act!J35*100)</f>
        <v>6.2427051537564866</v>
      </c>
      <c r="K65" s="96">
        <f>IF(K24=0,0,K24/TrRoad_act!K35*100)</f>
        <v>6.2044365143359137</v>
      </c>
      <c r="L65" s="96">
        <f>IF(L24=0,0,L24/TrRoad_act!L35*100)</f>
        <v>6.1195911380870056</v>
      </c>
      <c r="M65" s="96">
        <f>IF(M24=0,0,M24/TrRoad_act!M35*100)</f>
        <v>6.0001878534730126</v>
      </c>
      <c r="N65" s="96">
        <f>IF(N24=0,0,N24/TrRoad_act!N35*100)</f>
        <v>5.900869254895726</v>
      </c>
      <c r="O65" s="96">
        <f>IF(O24=0,0,O24/TrRoad_act!O35*100)</f>
        <v>5.8329374688485531</v>
      </c>
      <c r="P65" s="96">
        <f>IF(P24=0,0,P24/TrRoad_act!P35*100)</f>
        <v>5.7399559023787381</v>
      </c>
      <c r="Q65" s="96">
        <f>IF(Q24=0,0,Q24/TrRoad_act!Q35*100)</f>
        <v>5.6895942288911723</v>
      </c>
      <c r="R65" s="96">
        <f>IF(R24=0,0,R24/TrRoad_act!R35*100)</f>
        <v>5.6585965654911492</v>
      </c>
      <c r="S65" s="96">
        <f>IF(S24=0,0,S24/TrRoad_act!S35*100)</f>
        <v>5.6106422806936509</v>
      </c>
      <c r="T65" s="96">
        <f>IF(T24=0,0,T24/TrRoad_act!T35*100)</f>
        <v>5.6230476390178969</v>
      </c>
      <c r="U65" s="96">
        <f>IF(U24=0,0,U24/TrRoad_act!U35*100)</f>
        <v>5.5606399832642932</v>
      </c>
      <c r="V65" s="96">
        <f>IF(V24=0,0,V24/TrRoad_act!V35*100)</f>
        <v>5.4142877619270227</v>
      </c>
      <c r="W65" s="96">
        <f>IF(W24=0,0,W24/TrRoad_act!W35*100)</f>
        <v>5.5314607717686197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6.8414780092747929</v>
      </c>
      <c r="C66" s="96">
        <f>IF(C26=0,0,C26/TrRoad_act!C36*100)</f>
        <v>7.1290021394631111</v>
      </c>
      <c r="D66" s="96">
        <f>IF(D26=0,0,D26/TrRoad_act!D36*100)</f>
        <v>5.8401503961859458</v>
      </c>
      <c r="E66" s="96">
        <f>IF(E26=0,0,E26/TrRoad_act!E36*100)</f>
        <v>5.4764896448273168</v>
      </c>
      <c r="F66" s="96">
        <f>IF(F26=0,0,F26/TrRoad_act!F36*100)</f>
        <v>5.4859866283904895</v>
      </c>
      <c r="G66" s="96">
        <f>IF(G26=0,0,G26/TrRoad_act!G36*100)</f>
        <v>6.0073912038005775</v>
      </c>
      <c r="H66" s="96">
        <f>IF(H26=0,0,H26/TrRoad_act!H36*100)</f>
        <v>6.3967607821297428</v>
      </c>
      <c r="I66" s="96">
        <f>IF(I26=0,0,I26/TrRoad_act!I36*100)</f>
        <v>5.9501376624464797</v>
      </c>
      <c r="J66" s="96">
        <f>IF(J26=0,0,J26/TrRoad_act!J36*100)</f>
        <v>6.1700330988108192</v>
      </c>
      <c r="K66" s="96">
        <f>IF(K26=0,0,K26/TrRoad_act!K36*100)</f>
        <v>6.5525229421853499</v>
      </c>
      <c r="L66" s="96">
        <f>IF(L26=0,0,L26/TrRoad_act!L36*100)</f>
        <v>6.901296224656174</v>
      </c>
      <c r="M66" s="96">
        <f>IF(M26=0,0,M26/TrRoad_act!M36*100)</f>
        <v>6.7144004426003159</v>
      </c>
      <c r="N66" s="96">
        <f>IF(N26=0,0,N26/TrRoad_act!N36*100)</f>
        <v>6.3785134666396122</v>
      </c>
      <c r="O66" s="96">
        <f>IF(O26=0,0,O26/TrRoad_act!O36*100)</f>
        <v>6.498921268986896</v>
      </c>
      <c r="P66" s="96">
        <f>IF(P26=0,0,P26/TrRoad_act!P36*100)</f>
        <v>6.4691718874377191</v>
      </c>
      <c r="Q66" s="96">
        <f>IF(Q26=0,0,Q26/TrRoad_act!Q36*100)</f>
        <v>7.1153202391768087</v>
      </c>
      <c r="R66" s="96">
        <f>IF(R26=0,0,R26/TrRoad_act!R36*100)</f>
        <v>8.1974121908204278</v>
      </c>
      <c r="S66" s="96">
        <f>IF(S26=0,0,S26/TrRoad_act!S36*100)</f>
        <v>7.6046815148390081</v>
      </c>
      <c r="T66" s="96">
        <f>IF(T26=0,0,T26/TrRoad_act!T36*100)</f>
        <v>7.3655199718245967</v>
      </c>
      <c r="U66" s="96">
        <f>IF(U26=0,0,U26/TrRoad_act!U36*100)</f>
        <v>7.5767412989529355</v>
      </c>
      <c r="V66" s="96">
        <f>IF(V26=0,0,V26/TrRoad_act!V36*100)</f>
        <v>7.2989886398656081</v>
      </c>
      <c r="W66" s="96">
        <f>IF(W26=0,0,W26/TrRoad_act!W36*100)</f>
        <v>7.24991133406236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6.7234993978754956</v>
      </c>
      <c r="G67" s="96">
        <f>IF(G27=0,0,G27/TrRoad_act!G37*100)</f>
        <v>6.5871640215121641</v>
      </c>
      <c r="H67" s="96">
        <f>IF(H27=0,0,H27/TrRoad_act!H37*100)</f>
        <v>6.1429427833565242</v>
      </c>
      <c r="I67" s="96">
        <f>IF(I27=0,0,I27/TrRoad_act!I37*100)</f>
        <v>6.1364971972279951</v>
      </c>
      <c r="J67" s="96">
        <f>IF(J27=0,0,J27/TrRoad_act!J37*100)</f>
        <v>3.9888853497118104</v>
      </c>
      <c r="K67" s="96">
        <f>IF(K27=0,0,K27/TrRoad_act!K37*100)</f>
        <v>2.9984021185891172</v>
      </c>
      <c r="L67" s="96">
        <f>IF(L27=0,0,L27/TrRoad_act!L37*100)</f>
        <v>2.5176594084020278</v>
      </c>
      <c r="M67" s="96">
        <f>IF(M27=0,0,M27/TrRoad_act!M37*100)</f>
        <v>2.9221814210680717</v>
      </c>
      <c r="N67" s="96">
        <f>IF(N27=0,0,N27/TrRoad_act!N37*100)</f>
        <v>6.168280040907085</v>
      </c>
      <c r="O67" s="96">
        <f>IF(O27=0,0,O27/TrRoad_act!O37*100)</f>
        <v>8.9314721041369651</v>
      </c>
      <c r="P67" s="96">
        <f>IF(P27=0,0,P27/TrRoad_act!P37*100)</f>
        <v>5.9348892347099165</v>
      </c>
      <c r="Q67" s="96">
        <f>IF(Q27=0,0,Q27/TrRoad_act!Q37*100)</f>
        <v>7.240472285599564</v>
      </c>
      <c r="R67" s="96">
        <f>IF(R27=0,0,R27/TrRoad_act!R37*100)</f>
        <v>6.7766810078059807</v>
      </c>
      <c r="S67" s="96">
        <f>IF(S27=0,0,S27/TrRoad_act!S37*100)</f>
        <v>6.7831817415971898</v>
      </c>
      <c r="T67" s="96">
        <f>IF(T27=0,0,T27/TrRoad_act!T37*100)</f>
        <v>6.8203681683514077</v>
      </c>
      <c r="U67" s="96">
        <f>IF(U27=0,0,U27/TrRoad_act!U37*100)</f>
        <v>8.5831244039255381</v>
      </c>
      <c r="V67" s="96">
        <f>IF(V27=0,0,V27/TrRoad_act!V37*100)</f>
        <v>11.821812855536718</v>
      </c>
      <c r="W67" s="96">
        <f>IF(W27=0,0,W27/TrRoad_act!W37*100)</f>
        <v>16.766335557559685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3.3369565871888169</v>
      </c>
      <c r="N68" s="96">
        <f>IF(N29=0,0,N29/TrRoad_act!N38*100)</f>
        <v>2.511709861388483</v>
      </c>
      <c r="O68" s="96">
        <f>IF(O29=0,0,O29/TrRoad_act!O38*100)</f>
        <v>2.7459148510635099</v>
      </c>
      <c r="P68" s="96">
        <f>IF(P29=0,0,P29/TrRoad_act!P38*100)</f>
        <v>3.1271802031070814</v>
      </c>
      <c r="Q68" s="96">
        <f>IF(Q29=0,0,Q29/TrRoad_act!Q38*100)</f>
        <v>3.7014134351163763</v>
      </c>
      <c r="R68" s="96">
        <f>IF(R29=0,0,R29/TrRoad_act!R38*100)</f>
        <v>3.9692422492787713</v>
      </c>
      <c r="S68" s="96">
        <f>IF(S29=0,0,S29/TrRoad_act!S38*100)</f>
        <v>3.9305943898210365</v>
      </c>
      <c r="T68" s="96">
        <f>IF(T29=0,0,T29/TrRoad_act!T38*100)</f>
        <v>3.8523818036052067</v>
      </c>
      <c r="U68" s="96">
        <f>IF(U29=0,0,U29/TrRoad_act!U38*100)</f>
        <v>3.735074959526326</v>
      </c>
      <c r="V68" s="96">
        <f>IF(V29=0,0,V29/TrRoad_act!V38*100)</f>
        <v>3.9781079652696385</v>
      </c>
      <c r="W68" s="96">
        <f>IF(W29=0,0,W29/TrRoad_act!W38*100)</f>
        <v>3.8194730618542669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1.2812151420517375</v>
      </c>
      <c r="K69" s="96">
        <f>IF(K32=0,0,K32/TrRoad_act!K39*100)</f>
        <v>1.281870717414008</v>
      </c>
      <c r="L69" s="96">
        <f>IF(L32=0,0,L32/TrRoad_act!L39*100)</f>
        <v>1.2719484300731638</v>
      </c>
      <c r="M69" s="96">
        <f>IF(M32=0,0,M32/TrRoad_act!M39*100)</f>
        <v>1.2758484176912592</v>
      </c>
      <c r="N69" s="96">
        <f>IF(N32=0,0,N32/TrRoad_act!N39*100)</f>
        <v>1.2809291877187534</v>
      </c>
      <c r="O69" s="96">
        <f>IF(O32=0,0,O32/TrRoad_act!O39*100)</f>
        <v>1.3068517676026072</v>
      </c>
      <c r="P69" s="96">
        <f>IF(P32=0,0,P32/TrRoad_act!P39*100)</f>
        <v>1.3218887393655672</v>
      </c>
      <c r="Q69" s="96">
        <f>IF(Q32=0,0,Q32/TrRoad_act!Q39*100)</f>
        <v>1.5188642496021678</v>
      </c>
      <c r="R69" s="96">
        <f>IF(R32=0,0,R32/TrRoad_act!R39*100)</f>
        <v>1.5539794004637042</v>
      </c>
      <c r="S69" s="96">
        <f>IF(S32=0,0,S32/TrRoad_act!S39*100)</f>
        <v>1.569003557448807</v>
      </c>
      <c r="T69" s="96">
        <f>IF(T32=0,0,T32/TrRoad_act!T39*100)</f>
        <v>1.6698562440371454</v>
      </c>
      <c r="U69" s="96">
        <f>IF(U32=0,0,U32/TrRoad_act!U39*100)</f>
        <v>1.7821371505689527</v>
      </c>
      <c r="V69" s="96">
        <f>IF(V32=0,0,V32/TrRoad_act!V39*100)</f>
        <v>1.7680373198489023</v>
      </c>
      <c r="W69" s="96">
        <f>IF(W32=0,0,W32/TrRoad_act!W39*100)</f>
        <v>1.7640511031519639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59.259698992549104</v>
      </c>
      <c r="C70" s="130">
        <f>IF(C33=0,0,C33/TrRoad_act!C40*100)</f>
        <v>58.115088066332611</v>
      </c>
      <c r="D70" s="130">
        <f>IF(D33=0,0,D33/TrRoad_act!D40*100)</f>
        <v>56.905522885894065</v>
      </c>
      <c r="E70" s="130">
        <f>IF(E33=0,0,E33/TrRoad_act!E40*100)</f>
        <v>56.78092840311303</v>
      </c>
      <c r="F70" s="130">
        <f>IF(F33=0,0,F33/TrRoad_act!F40*100)</f>
        <v>56.745379228184525</v>
      </c>
      <c r="G70" s="130">
        <f>IF(G33=0,0,G33/TrRoad_act!G40*100)</f>
        <v>56.20247367313592</v>
      </c>
      <c r="H70" s="130">
        <f>IF(H33=0,0,H33/TrRoad_act!H40*100)</f>
        <v>55.953098434403159</v>
      </c>
      <c r="I70" s="130">
        <f>IF(I33=0,0,I33/TrRoad_act!I40*100)</f>
        <v>55.503380964017111</v>
      </c>
      <c r="J70" s="130">
        <f>IF(J33=0,0,J33/TrRoad_act!J40*100)</f>
        <v>55.534257230207508</v>
      </c>
      <c r="K70" s="130">
        <f>IF(K33=0,0,K33/TrRoad_act!K40*100)</f>
        <v>55.124179045981073</v>
      </c>
      <c r="L70" s="130">
        <f>IF(L33=0,0,L33/TrRoad_act!L40*100)</f>
        <v>55.021658157516249</v>
      </c>
      <c r="M70" s="130">
        <f>IF(M33=0,0,M33/TrRoad_act!M40*100)</f>
        <v>54.398981900456036</v>
      </c>
      <c r="N70" s="130">
        <f>IF(N33=0,0,N33/TrRoad_act!N40*100)</f>
        <v>53.817531753048343</v>
      </c>
      <c r="O70" s="130">
        <f>IF(O33=0,0,O33/TrRoad_act!O40*100)</f>
        <v>53.896314722490857</v>
      </c>
      <c r="P70" s="130">
        <f>IF(P33=0,0,P33/TrRoad_act!P40*100)</f>
        <v>53.877493243169909</v>
      </c>
      <c r="Q70" s="130">
        <f>IF(Q33=0,0,Q33/TrRoad_act!Q40*100)</f>
        <v>54.813674324865062</v>
      </c>
      <c r="R70" s="130">
        <f>IF(R33=0,0,R33/TrRoad_act!R40*100)</f>
        <v>56.921330217149013</v>
      </c>
      <c r="S70" s="130">
        <f>IF(S33=0,0,S33/TrRoad_act!S40*100)</f>
        <v>58.50429373992705</v>
      </c>
      <c r="T70" s="130">
        <f>IF(T33=0,0,T33/TrRoad_act!T40*100)</f>
        <v>60.747714179206</v>
      </c>
      <c r="U70" s="130">
        <f>IF(U33=0,0,U33/TrRoad_act!U40*100)</f>
        <v>60.96501375588992</v>
      </c>
      <c r="V70" s="130">
        <f>IF(V33=0,0,V33/TrRoad_act!V40*100)</f>
        <v>60.546699077530306</v>
      </c>
      <c r="W70" s="130">
        <f>IF(W33=0,0,W33/TrRoad_act!W40*100)</f>
        <v>63.7045774835318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18.603878839264702</v>
      </c>
      <c r="C71" s="97">
        <f>IF(C34=0,0,C34/TrRoad_act!C41*100)</f>
        <v>18.603878839264702</v>
      </c>
      <c r="D71" s="97">
        <f>IF(D34=0,0,D34/TrRoad_act!D41*100)</f>
        <v>18.603878839264702</v>
      </c>
      <c r="E71" s="97">
        <f>IF(E34=0,0,E34/TrRoad_act!E41*100)</f>
        <v>18.603878839264702</v>
      </c>
      <c r="F71" s="97">
        <f>IF(F34=0,0,F34/TrRoad_act!F41*100)</f>
        <v>18.603878839264702</v>
      </c>
      <c r="G71" s="97">
        <f>IF(G34=0,0,G34/TrRoad_act!G41*100)</f>
        <v>18.603878839264702</v>
      </c>
      <c r="H71" s="97">
        <f>IF(H34=0,0,H34/TrRoad_act!H41*100)</f>
        <v>18.603878839264702</v>
      </c>
      <c r="I71" s="97">
        <f>IF(I34=0,0,I34/TrRoad_act!I41*100)</f>
        <v>18.603878839264702</v>
      </c>
      <c r="J71" s="97">
        <f>IF(J34=0,0,J34/TrRoad_act!J41*100)</f>
        <v>18.603878839264702</v>
      </c>
      <c r="K71" s="97">
        <f>IF(K34=0,0,K34/TrRoad_act!K41*100)</f>
        <v>18.555241213009964</v>
      </c>
      <c r="L71" s="97">
        <f>IF(L34=0,0,L34/TrRoad_act!L41*100)</f>
        <v>18.438546507517898</v>
      </c>
      <c r="M71" s="97">
        <f>IF(M34=0,0,M34/TrRoad_act!M41*100)</f>
        <v>18.303029946130891</v>
      </c>
      <c r="N71" s="97">
        <f>IF(N34=0,0,N34/TrRoad_act!N41*100)</f>
        <v>18.299791462288191</v>
      </c>
      <c r="O71" s="97">
        <f>IF(O34=0,0,O34/TrRoad_act!O41*100)</f>
        <v>18.28806819550767</v>
      </c>
      <c r="P71" s="97">
        <f>IF(P34=0,0,P34/TrRoad_act!P41*100)</f>
        <v>18.282681973564312</v>
      </c>
      <c r="Q71" s="97">
        <f>IF(Q34=0,0,Q34/TrRoad_act!Q41*100)</f>
        <v>18.274552453608219</v>
      </c>
      <c r="R71" s="97">
        <f>IF(R34=0,0,R34/TrRoad_act!R41*100)</f>
        <v>18.171872578955082</v>
      </c>
      <c r="S71" s="97">
        <f>IF(S34=0,0,S34/TrRoad_act!S41*100)</f>
        <v>18.168527721418805</v>
      </c>
      <c r="T71" s="97">
        <f>IF(T34=0,0,T34/TrRoad_act!T41*100)</f>
        <v>18.165130663839012</v>
      </c>
      <c r="U71" s="97">
        <f>IF(U34=0,0,U34/TrRoad_act!U41*100)</f>
        <v>18.0405176661829</v>
      </c>
      <c r="V71" s="97">
        <f>IF(V34=0,0,V34/TrRoad_act!V41*100)</f>
        <v>18.036176018593181</v>
      </c>
      <c r="W71" s="97">
        <f>IF(W34=0,0,W34/TrRoad_act!W41*100)</f>
        <v>18.031766931842817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59.815418784353035</v>
      </c>
      <c r="C72" s="97">
        <f>IF(C36=0,0,C36/TrRoad_act!C42*100)</f>
        <v>58.644683746846347</v>
      </c>
      <c r="D72" s="97">
        <f>IF(D36=0,0,D36/TrRoad_act!D42*100)</f>
        <v>57.373410240114644</v>
      </c>
      <c r="E72" s="97">
        <f>IF(E36=0,0,E36/TrRoad_act!E42*100)</f>
        <v>57.240459064664329</v>
      </c>
      <c r="F72" s="97">
        <f>IF(F36=0,0,F36/TrRoad_act!F42*100)</f>
        <v>57.193329884843195</v>
      </c>
      <c r="G72" s="97">
        <f>IF(G36=0,0,G36/TrRoad_act!G42*100)</f>
        <v>56.678850407943152</v>
      </c>
      <c r="H72" s="97">
        <f>IF(H36=0,0,H36/TrRoad_act!H42*100)</f>
        <v>56.393872842042391</v>
      </c>
      <c r="I72" s="97">
        <f>IF(I36=0,0,I36/TrRoad_act!I42*100)</f>
        <v>55.91802787878688</v>
      </c>
      <c r="J72" s="97">
        <f>IF(J36=0,0,J36/TrRoad_act!J42*100)</f>
        <v>55.912348888597549</v>
      </c>
      <c r="K72" s="97">
        <f>IF(K36=0,0,K36/TrRoad_act!K42*100)</f>
        <v>55.473604957171062</v>
      </c>
      <c r="L72" s="97">
        <f>IF(L36=0,0,L36/TrRoad_act!L42*100)</f>
        <v>55.341047768077033</v>
      </c>
      <c r="M72" s="97">
        <f>IF(M36=0,0,M36/TrRoad_act!M42*100)</f>
        <v>54.707704394365884</v>
      </c>
      <c r="N72" s="97">
        <f>IF(N36=0,0,N36/TrRoad_act!N42*100)</f>
        <v>54.114033632166439</v>
      </c>
      <c r="O72" s="97">
        <f>IF(O36=0,0,O36/TrRoad_act!O42*100)</f>
        <v>54.182452190350439</v>
      </c>
      <c r="P72" s="97">
        <f>IF(P36=0,0,P36/TrRoad_act!P42*100)</f>
        <v>54.155778617266378</v>
      </c>
      <c r="Q72" s="97">
        <f>IF(Q36=0,0,Q36/TrRoad_act!Q42*100)</f>
        <v>55.082709153539923</v>
      </c>
      <c r="R72" s="97">
        <f>IF(R36=0,0,R36/TrRoad_act!R42*100)</f>
        <v>57.207714992351477</v>
      </c>
      <c r="S72" s="97">
        <f>IF(S36=0,0,S36/TrRoad_act!S42*100)</f>
        <v>58.794119984932422</v>
      </c>
      <c r="T72" s="97">
        <f>IF(T36=0,0,T36/TrRoad_act!T42*100)</f>
        <v>61.065178238694514</v>
      </c>
      <c r="U72" s="97">
        <f>IF(U36=0,0,U36/TrRoad_act!U42*100)</f>
        <v>61.360244529651766</v>
      </c>
      <c r="V72" s="97">
        <f>IF(V36=0,0,V36/TrRoad_act!V42*100)</f>
        <v>60.936013936962155</v>
      </c>
      <c r="W72" s="97">
        <f>IF(W36=0,0,W36/TrRoad_act!W42*100)</f>
        <v>63.806158447789421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0</v>
      </c>
      <c r="G73" s="97">
        <f>IF(G38=0,0,G38/TrRoad_act!G43*100)</f>
        <v>0</v>
      </c>
      <c r="H73" s="97">
        <f>IF(H38=0,0,H38/TrRoad_act!H43*100)</f>
        <v>0</v>
      </c>
      <c r="I73" s="97">
        <f>IF(I38=0,0,I38/TrRoad_act!I43*100)</f>
        <v>0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0</v>
      </c>
      <c r="S73" s="97">
        <f>IF(S38=0,0,S38/TrRoad_act!S43*100)</f>
        <v>0</v>
      </c>
      <c r="T73" s="97">
        <f>IF(T38=0,0,T38/TrRoad_act!T43*100)</f>
        <v>0</v>
      </c>
      <c r="U73" s="97">
        <f>IF(U38=0,0,U38/TrRoad_act!U43*100)</f>
        <v>0</v>
      </c>
      <c r="V73" s="97">
        <f>IF(V38=0,0,V38/TrRoad_act!V43*100)</f>
        <v>0</v>
      </c>
      <c r="W73" s="97">
        <f>IF(W38=0,0,W38/TrRoad_act!W43*100)</f>
        <v>0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0</v>
      </c>
      <c r="G74" s="97">
        <f>IF(G39=0,0,G39/TrRoad_act!G44*100)</f>
        <v>0</v>
      </c>
      <c r="H74" s="97">
        <f>IF(H39=0,0,H39/TrRoad_act!H44*100)</f>
        <v>0</v>
      </c>
      <c r="I74" s="97">
        <f>IF(I39=0,0,I39/TrRoad_act!I44*100)</f>
        <v>0</v>
      </c>
      <c r="J74" s="97">
        <f>IF(J39=0,0,J39/TrRoad_act!J44*100)</f>
        <v>0</v>
      </c>
      <c r="K74" s="97">
        <f>IF(K39=0,0,K39/TrRoad_act!K44*100)</f>
        <v>0</v>
      </c>
      <c r="L74" s="97">
        <f>IF(L39=0,0,L39/TrRoad_act!L44*100)</f>
        <v>0</v>
      </c>
      <c r="M74" s="97">
        <f>IF(M39=0,0,M39/TrRoad_act!M44*100)</f>
        <v>0</v>
      </c>
      <c r="N74" s="97">
        <f>IF(N39=0,0,N39/TrRoad_act!N44*100)</f>
        <v>0</v>
      </c>
      <c r="O74" s="97">
        <f>IF(O39=0,0,O39/TrRoad_act!O44*100)</f>
        <v>0</v>
      </c>
      <c r="P74" s="97">
        <f>IF(P39=0,0,P39/TrRoad_act!P44*100)</f>
        <v>0</v>
      </c>
      <c r="Q74" s="97">
        <f>IF(Q39=0,0,Q39/TrRoad_act!Q44*100)</f>
        <v>0</v>
      </c>
      <c r="R74" s="97">
        <f>IF(R39=0,0,R39/TrRoad_act!R44*100)</f>
        <v>46.313199615869848</v>
      </c>
      <c r="S74" s="97">
        <f>IF(S39=0,0,S39/TrRoad_act!S44*100)</f>
        <v>46.83791263269184</v>
      </c>
      <c r="T74" s="97">
        <f>IF(T39=0,0,T39/TrRoad_act!T44*100)</f>
        <v>44.661845869432682</v>
      </c>
      <c r="U74" s="97">
        <f>IF(U39=0,0,U39/TrRoad_act!U44*100)</f>
        <v>57.719724041394585</v>
      </c>
      <c r="V74" s="97">
        <f>IF(V39=0,0,V39/TrRoad_act!V44*100)</f>
        <v>79.664912944019193</v>
      </c>
      <c r="W74" s="97">
        <f>IF(W39=0,0,W39/TrRoad_act!W44*100)</f>
        <v>110.79451851958386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27.827075979691756</v>
      </c>
      <c r="C75" s="97">
        <f>IF(C41=0,0,C41/TrRoad_act!C45*100)</f>
        <v>27.827075979691763</v>
      </c>
      <c r="D75" s="97">
        <f>IF(D41=0,0,D41/TrRoad_act!D45*100)</f>
        <v>27.827075979691756</v>
      </c>
      <c r="E75" s="97">
        <f>IF(E41=0,0,E41/TrRoad_act!E45*100)</f>
        <v>27.827075979691756</v>
      </c>
      <c r="F75" s="97">
        <f>IF(F41=0,0,F41/TrRoad_act!F45*100)</f>
        <v>27.827075979691756</v>
      </c>
      <c r="G75" s="97">
        <f>IF(G41=0,0,G41/TrRoad_act!G45*100)</f>
        <v>26.063325425021784</v>
      </c>
      <c r="H75" s="97">
        <f>IF(H41=0,0,H41/TrRoad_act!H45*100)</f>
        <v>26.063325425021784</v>
      </c>
      <c r="I75" s="97">
        <f>IF(I41=0,0,I41/TrRoad_act!I45*100)</f>
        <v>26.005875496909216</v>
      </c>
      <c r="J75" s="97">
        <f>IF(J41=0,0,J41/TrRoad_act!J45*100)</f>
        <v>25.934456827190395</v>
      </c>
      <c r="K75" s="97">
        <f>IF(K41=0,0,K41/TrRoad_act!K45*100)</f>
        <v>25.934456827190385</v>
      </c>
      <c r="L75" s="97">
        <f>IF(L41=0,0,L41/TrRoad_act!L45*100)</f>
        <v>25.934456827190388</v>
      </c>
      <c r="M75" s="97">
        <f>IF(M41=0,0,M41/TrRoad_act!M45*100)</f>
        <v>25.934456827190388</v>
      </c>
      <c r="N75" s="97">
        <f>IF(N41=0,0,N41/TrRoad_act!N45*100)</f>
        <v>25.934456827190388</v>
      </c>
      <c r="O75" s="97">
        <f>IF(O41=0,0,O41/TrRoad_act!O45*100)</f>
        <v>25.934456827190388</v>
      </c>
      <c r="P75" s="97">
        <f>IF(P41=0,0,P41/TrRoad_act!P45*100)</f>
        <v>25.661491772508207</v>
      </c>
      <c r="Q75" s="97">
        <f>IF(Q41=0,0,Q41/TrRoad_act!Q45*100)</f>
        <v>25.629709563234744</v>
      </c>
      <c r="R75" s="97">
        <f>IF(R41=0,0,R41/TrRoad_act!R45*100)</f>
        <v>25.610871518156969</v>
      </c>
      <c r="S75" s="97">
        <f>IF(S41=0,0,S41/TrRoad_act!S45*100)</f>
        <v>25.589551063146804</v>
      </c>
      <c r="T75" s="97">
        <f>IF(T41=0,0,T41/TrRoad_act!T45*100)</f>
        <v>27.131303165337744</v>
      </c>
      <c r="U75" s="97">
        <f>IF(U41=0,0,U41/TrRoad_act!U45*100)</f>
        <v>27.388872900885474</v>
      </c>
      <c r="V75" s="97">
        <f>IF(V41=0,0,V41/TrRoad_act!V45*100)</f>
        <v>27.488240534364337</v>
      </c>
      <c r="W75" s="97">
        <f>IF(W41=0,0,W41/TrRoad_act!W45*100)</f>
        <v>27.749401834524335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18.86102616930712</v>
      </c>
      <c r="C76" s="32">
        <f>IF(C42=0,0,C42/TrRoad_act!C46*100)</f>
        <v>19.24691505685945</v>
      </c>
      <c r="D76" s="32">
        <f>IF(D42=0,0,D42/TrRoad_act!D46*100)</f>
        <v>18.713134945378258</v>
      </c>
      <c r="E76" s="32">
        <f>IF(E42=0,0,E42/TrRoad_act!E46*100)</f>
        <v>18.494572732406482</v>
      </c>
      <c r="F76" s="32">
        <f>IF(F42=0,0,F42/TrRoad_act!F46*100)</f>
        <v>18.576231599094022</v>
      </c>
      <c r="G76" s="32">
        <f>IF(G42=0,0,G42/TrRoad_act!G46*100)</f>
        <v>18.098105954484662</v>
      </c>
      <c r="H76" s="32">
        <f>IF(H42=0,0,H42/TrRoad_act!H46*100)</f>
        <v>18.065135950183851</v>
      </c>
      <c r="I76" s="32">
        <f>IF(I42=0,0,I42/TrRoad_act!I46*100)</f>
        <v>17.716420315217242</v>
      </c>
      <c r="J76" s="32">
        <f>IF(J42=0,0,J42/TrRoad_act!J46*100)</f>
        <v>17.239053878802679</v>
      </c>
      <c r="K76" s="32">
        <f>IF(K42=0,0,K42/TrRoad_act!K46*100)</f>
        <v>16.73648831093087</v>
      </c>
      <c r="L76" s="32">
        <f>IF(L42=0,0,L42/TrRoad_act!L46*100)</f>
        <v>16.779155183945942</v>
      </c>
      <c r="M76" s="32">
        <f>IF(M42=0,0,M42/TrRoad_act!M46*100)</f>
        <v>16.536204256873184</v>
      </c>
      <c r="N76" s="32">
        <f>IF(N42=0,0,N42/TrRoad_act!N46*100)</f>
        <v>16.140296382471973</v>
      </c>
      <c r="O76" s="32">
        <f>IF(O42=0,0,O42/TrRoad_act!O46*100)</f>
        <v>16.714137710370739</v>
      </c>
      <c r="P76" s="32">
        <f>IF(P42=0,0,P42/TrRoad_act!P46*100)</f>
        <v>16.538138231072402</v>
      </c>
      <c r="Q76" s="32">
        <f>IF(Q42=0,0,Q42/TrRoad_act!Q46*100)</f>
        <v>16.916260569226608</v>
      </c>
      <c r="R76" s="32">
        <f>IF(R42=0,0,R42/TrRoad_act!R46*100)</f>
        <v>18.675428763031178</v>
      </c>
      <c r="S76" s="32">
        <f>IF(S42=0,0,S42/TrRoad_act!S46*100)</f>
        <v>19.968737707330654</v>
      </c>
      <c r="T76" s="32">
        <f>IF(T42=0,0,T42/TrRoad_act!T46*100)</f>
        <v>20.893130329388899</v>
      </c>
      <c r="U76" s="32">
        <f>IF(U42=0,0,U42/TrRoad_act!U46*100)</f>
        <v>20.462611033868228</v>
      </c>
      <c r="V76" s="32">
        <f>IF(V42=0,0,V42/TrRoad_act!V46*100)</f>
        <v>20.008335983498686</v>
      </c>
      <c r="W76" s="32">
        <f>IF(W42=0,0,W42/TrRoad_act!W46*100)</f>
        <v>20.378930225180529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13.726434793703682</v>
      </c>
      <c r="C77" s="141">
        <f>IF(C43=0,0,C43/TrRoad_act!C47*100)</f>
        <v>12.873434689195079</v>
      </c>
      <c r="D77" s="141">
        <f>IF(D43=0,0,D43/TrRoad_act!D47*100)</f>
        <v>12.499464085299762</v>
      </c>
      <c r="E77" s="141">
        <f>IF(E43=0,0,E43/TrRoad_act!E47*100)</f>
        <v>11.892420532319038</v>
      </c>
      <c r="F77" s="141">
        <f>IF(F43=0,0,F43/TrRoad_act!F47*100)</f>
        <v>11.371153813686112</v>
      </c>
      <c r="G77" s="141">
        <f>IF(G43=0,0,G43/TrRoad_act!G47*100)</f>
        <v>10.963123234213363</v>
      </c>
      <c r="H77" s="141">
        <f>IF(H43=0,0,H43/TrRoad_act!H47*100)</f>
        <v>10.655825311715606</v>
      </c>
      <c r="I77" s="141">
        <f>IF(I43=0,0,I43/TrRoad_act!I47*100)</f>
        <v>10.377479054214975</v>
      </c>
      <c r="J77" s="141">
        <f>IF(J43=0,0,J43/TrRoad_act!J47*100)</f>
        <v>10.083625141042683</v>
      </c>
      <c r="K77" s="141">
        <f>IF(K43=0,0,K43/TrRoad_act!K47*100)</f>
        <v>9.830238658773645</v>
      </c>
      <c r="L77" s="141">
        <f>IF(L43=0,0,L43/TrRoad_act!L47*100)</f>
        <v>9.7233904623753613</v>
      </c>
      <c r="M77" s="141">
        <f>IF(M43=0,0,M43/TrRoad_act!M47*100)</f>
        <v>9.7328823707607182</v>
      </c>
      <c r="N77" s="141">
        <f>IF(N43=0,0,N43/TrRoad_act!N47*100)</f>
        <v>9.6731993571030994</v>
      </c>
      <c r="O77" s="141">
        <f>IF(O43=0,0,O43/TrRoad_act!O47*100)</f>
        <v>9.6145354998292856</v>
      </c>
      <c r="P77" s="141">
        <f>IF(P43=0,0,P43/TrRoad_act!P47*100)</f>
        <v>9.5458190225125765</v>
      </c>
      <c r="Q77" s="141">
        <f>IF(Q43=0,0,Q43/TrRoad_act!Q47*100)</f>
        <v>9.4676917216694392</v>
      </c>
      <c r="R77" s="141">
        <f>IF(R43=0,0,R43/TrRoad_act!R47*100)</f>
        <v>9.3959281702920912</v>
      </c>
      <c r="S77" s="141">
        <f>IF(S43=0,0,S43/TrRoad_act!S47*100)</f>
        <v>9.2690347410867791</v>
      </c>
      <c r="T77" s="141">
        <f>IF(T43=0,0,T43/TrRoad_act!T47*100)</f>
        <v>9.1659692592612743</v>
      </c>
      <c r="U77" s="141">
        <f>IF(U43=0,0,U43/TrRoad_act!U47*100)</f>
        <v>9.0856983631035124</v>
      </c>
      <c r="V77" s="141">
        <f>IF(V43=0,0,V43/TrRoad_act!V47*100)</f>
        <v>9.100534197998666</v>
      </c>
      <c r="W77" s="141">
        <f>IF(W43=0,0,W43/TrRoad_act!W47*100)</f>
        <v>9.1309898715613951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12.734419118554058</v>
      </c>
      <c r="C78" s="96">
        <f>IF(C44=0,0,C44/TrRoad_act!C48*100)</f>
        <v>12.098054761483194</v>
      </c>
      <c r="D78" s="96">
        <f>IF(D44=0,0,D44/TrRoad_act!D48*100)</f>
        <v>11.540565494547792</v>
      </c>
      <c r="E78" s="96">
        <f>IF(E44=0,0,E44/TrRoad_act!E48*100)</f>
        <v>11.086744450907773</v>
      </c>
      <c r="F78" s="96">
        <f>IF(F44=0,0,F44/TrRoad_act!F48*100)</f>
        <v>10.692829804005479</v>
      </c>
      <c r="G78" s="96">
        <f>IF(G44=0,0,G44/TrRoad_act!G48*100)</f>
        <v>10.387347447931242</v>
      </c>
      <c r="H78" s="96">
        <f>IF(H44=0,0,H44/TrRoad_act!H48*100)</f>
        <v>10.169451289660481</v>
      </c>
      <c r="I78" s="96">
        <f>IF(I44=0,0,I44/TrRoad_act!I48*100)</f>
        <v>9.9121020103758539</v>
      </c>
      <c r="J78" s="96">
        <f>IF(J44=0,0,J44/TrRoad_act!J48*100)</f>
        <v>9.5034139265275517</v>
      </c>
      <c r="K78" s="96">
        <f>IF(K44=0,0,K44/TrRoad_act!K48*100)</f>
        <v>9.1362911165860794</v>
      </c>
      <c r="L78" s="96">
        <f>IF(L44=0,0,L44/TrRoad_act!L48*100)</f>
        <v>8.9515935368692183</v>
      </c>
      <c r="M78" s="96">
        <f>IF(M44=0,0,M44/TrRoad_act!M48*100)</f>
        <v>8.9729260603677528</v>
      </c>
      <c r="N78" s="96">
        <f>IF(N44=0,0,N44/TrRoad_act!N48*100)</f>
        <v>8.9588488402086721</v>
      </c>
      <c r="O78" s="96">
        <f>IF(O44=0,0,O44/TrRoad_act!O48*100)</f>
        <v>8.9073575192642274</v>
      </c>
      <c r="P78" s="96">
        <f>IF(P44=0,0,P44/TrRoad_act!P48*100)</f>
        <v>8.8457143749995115</v>
      </c>
      <c r="Q78" s="96">
        <f>IF(Q44=0,0,Q44/TrRoad_act!Q48*100)</f>
        <v>8.7341899839259156</v>
      </c>
      <c r="R78" s="96">
        <f>IF(R44=0,0,R44/TrRoad_act!R48*100)</f>
        <v>8.5513800001743547</v>
      </c>
      <c r="S78" s="96">
        <f>IF(S44=0,0,S44/TrRoad_act!S48*100)</f>
        <v>8.3634694164267742</v>
      </c>
      <c r="T78" s="96">
        <f>IF(T44=0,0,T44/TrRoad_act!T48*100)</f>
        <v>8.2807324581803403</v>
      </c>
      <c r="U78" s="96">
        <f>IF(U44=0,0,U44/TrRoad_act!U48*100)</f>
        <v>8.2065013364644219</v>
      </c>
      <c r="V78" s="96">
        <f>IF(V44=0,0,V44/TrRoad_act!V48*100)</f>
        <v>8.1163304983710756</v>
      </c>
      <c r="W78" s="96">
        <f>IF(W44=0,0,W44/TrRoad_act!W48*100)</f>
        <v>8.0285945079526986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13.568044069689686</v>
      </c>
      <c r="C79" s="96">
        <f>IF(C46=0,0,C46/TrRoad_act!C49*100)</f>
        <v>12.711679717324698</v>
      </c>
      <c r="D79" s="96">
        <f>IF(D46=0,0,D46/TrRoad_act!D49*100)</f>
        <v>12.357143405662169</v>
      </c>
      <c r="E79" s="96">
        <f>IF(E46=0,0,E46/TrRoad_act!E49*100)</f>
        <v>11.753507562143488</v>
      </c>
      <c r="F79" s="96">
        <f>IF(F46=0,0,F46/TrRoad_act!F49*100)</f>
        <v>11.241348106410769</v>
      </c>
      <c r="G79" s="96">
        <f>IF(G46=0,0,G46/TrRoad_act!G49*100)</f>
        <v>10.847397619271756</v>
      </c>
      <c r="H79" s="96">
        <f>IF(H46=0,0,H46/TrRoad_act!H49*100)</f>
        <v>10.55274134118673</v>
      </c>
      <c r="I79" s="96">
        <f>IF(I46=0,0,I46/TrRoad_act!I49*100)</f>
        <v>10.292264269623043</v>
      </c>
      <c r="J79" s="96">
        <f>IF(J46=0,0,J46/TrRoad_act!J49*100)</f>
        <v>10.023431782985943</v>
      </c>
      <c r="K79" s="96">
        <f>IF(K46=0,0,K46/TrRoad_act!K49*100)</f>
        <v>9.7908538002652552</v>
      </c>
      <c r="L79" s="96">
        <f>IF(L46=0,0,L46/TrRoad_act!L49*100)</f>
        <v>9.700134773801917</v>
      </c>
      <c r="M79" s="96">
        <f>IF(M46=0,0,M46/TrRoad_act!M49*100)</f>
        <v>9.7111870203783202</v>
      </c>
      <c r="N79" s="96">
        <f>IF(N46=0,0,N46/TrRoad_act!N49*100)</f>
        <v>9.6555745721964961</v>
      </c>
      <c r="O79" s="96">
        <f>IF(O46=0,0,O46/TrRoad_act!O49*100)</f>
        <v>9.6037641685372801</v>
      </c>
      <c r="P79" s="96">
        <f>IF(P46=0,0,P46/TrRoad_act!P49*100)</f>
        <v>9.5386468658923551</v>
      </c>
      <c r="Q79" s="96">
        <f>IF(Q46=0,0,Q46/TrRoad_act!Q49*100)</f>
        <v>9.4663715709390726</v>
      </c>
      <c r="R79" s="96">
        <f>IF(R46=0,0,R46/TrRoad_act!R49*100)</f>
        <v>9.4005398527968804</v>
      </c>
      <c r="S79" s="96">
        <f>IF(S46=0,0,S46/TrRoad_act!S49*100)</f>
        <v>9.2798634378961999</v>
      </c>
      <c r="T79" s="96">
        <f>IF(T46=0,0,T46/TrRoad_act!T49*100)</f>
        <v>9.184866769545609</v>
      </c>
      <c r="U79" s="96">
        <f>IF(U46=0,0,U46/TrRoad_act!U49*100)</f>
        <v>9.1016047227588821</v>
      </c>
      <c r="V79" s="96">
        <f>IF(V46=0,0,V46/TrRoad_act!V49*100)</f>
        <v>9.0975889042963516</v>
      </c>
      <c r="W79" s="96">
        <f>IF(W46=0,0,W46/TrRoad_act!W49*100)</f>
        <v>9.098777880618945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21.202228083387141</v>
      </c>
      <c r="C80" s="96">
        <f>IF(C48=0,0,C48/TrRoad_act!C50*100)</f>
        <v>19.619478631352806</v>
      </c>
      <c r="D80" s="96">
        <f>IF(D48=0,0,D48/TrRoad_act!D50*100)</f>
        <v>19.16333180796099</v>
      </c>
      <c r="E80" s="96">
        <f>IF(E48=0,0,E48/TrRoad_act!E50*100)</f>
        <v>18.791402461021889</v>
      </c>
      <c r="F80" s="96">
        <f>IF(F48=0,0,F48/TrRoad_act!F50*100)</f>
        <v>17.983365969202012</v>
      </c>
      <c r="G80" s="96">
        <f>IF(G48=0,0,G48/TrRoad_act!G50*100)</f>
        <v>17.274573873099929</v>
      </c>
      <c r="H80" s="96">
        <f>IF(H48=0,0,H48/TrRoad_act!H50*100)</f>
        <v>16.500381411663536</v>
      </c>
      <c r="I80" s="96">
        <f>IF(I48=0,0,I48/TrRoad_act!I50*100)</f>
        <v>15.954578095365596</v>
      </c>
      <c r="J80" s="96">
        <f>IF(J48=0,0,J48/TrRoad_act!J50*100)</f>
        <v>14.964777734480919</v>
      </c>
      <c r="K80" s="96">
        <f>IF(K48=0,0,K48/TrRoad_act!K50*100)</f>
        <v>14.058512548692567</v>
      </c>
      <c r="L80" s="96">
        <f>IF(L48=0,0,L48/TrRoad_act!L50*100)</f>
        <v>13.416751703708254</v>
      </c>
      <c r="M80" s="96">
        <f>IF(M48=0,0,M48/TrRoad_act!M50*100)</f>
        <v>13.149219568958323</v>
      </c>
      <c r="N80" s="96">
        <f>IF(N48=0,0,N48/TrRoad_act!N50*100)</f>
        <v>12.996057587510901</v>
      </c>
      <c r="O80" s="96">
        <f>IF(O48=0,0,O48/TrRoad_act!O50*100)</f>
        <v>12.908684924331048</v>
      </c>
      <c r="P80" s="96">
        <f>IF(P48=0,0,P48/TrRoad_act!P50*100)</f>
        <v>12.849894170670961</v>
      </c>
      <c r="Q80" s="96">
        <f>IF(Q48=0,0,Q48/TrRoad_act!Q50*100)</f>
        <v>12.841237806569669</v>
      </c>
      <c r="R80" s="96">
        <f>IF(R48=0,0,R48/TrRoad_act!R50*100)</f>
        <v>12.840139771254645</v>
      </c>
      <c r="S80" s="96">
        <f>IF(S48=0,0,S48/TrRoad_act!S50*100)</f>
        <v>12.837834234591039</v>
      </c>
      <c r="T80" s="96">
        <f>IF(T48=0,0,T48/TrRoad_act!T50*100)</f>
        <v>12.832373616572406</v>
      </c>
      <c r="U80" s="96">
        <f>IF(U48=0,0,U48/TrRoad_act!U50*100)</f>
        <v>12.827098099166587</v>
      </c>
      <c r="V80" s="96">
        <f>IF(V48=0,0,V48/TrRoad_act!V50*100)</f>
        <v>12.663665398960505</v>
      </c>
      <c r="W80" s="96">
        <f>IF(W48=0,0,W48/TrRoad_act!W50*100)</f>
        <v>12.595594803233338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9.3653638287758323</v>
      </c>
      <c r="K81" s="96">
        <f>IF(K49=0,0,K49/TrRoad_act!K51*100)</f>
        <v>9.2889686530690323</v>
      </c>
      <c r="L81" s="96">
        <f>IF(L49=0,0,L49/TrRoad_act!L51*100)</f>
        <v>9.2342911626718447</v>
      </c>
      <c r="M81" s="96">
        <f>IF(M49=0,0,M49/TrRoad_act!M51*100)</f>
        <v>9.2229424076517361</v>
      </c>
      <c r="N81" s="96">
        <f>IF(N49=0,0,N49/TrRoad_act!N51*100)</f>
        <v>9.2708666943873421</v>
      </c>
      <c r="O81" s="96">
        <f>IF(O49=0,0,O49/TrRoad_act!O51*100)</f>
        <v>10.300810321000291</v>
      </c>
      <c r="P81" s="96">
        <f>IF(P49=0,0,P49/TrRoad_act!P51*100)</f>
        <v>9.0404035372211098</v>
      </c>
      <c r="Q81" s="96">
        <f>IF(Q49=0,0,Q49/TrRoad_act!Q51*100)</f>
        <v>10.164567100820957</v>
      </c>
      <c r="R81" s="96">
        <f>IF(R49=0,0,R49/TrRoad_act!R51*100)</f>
        <v>10.038626908520545</v>
      </c>
      <c r="S81" s="96">
        <f>IF(S49=0,0,S49/TrRoad_act!S51*100)</f>
        <v>9.8016227685163368</v>
      </c>
      <c r="T81" s="96">
        <f>IF(T49=0,0,T49/TrRoad_act!T51*100)</f>
        <v>9.6188318081883466</v>
      </c>
      <c r="U81" s="96">
        <f>IF(U49=0,0,U49/TrRoad_act!U51*100)</f>
        <v>12.205695124175406</v>
      </c>
      <c r="V81" s="96">
        <f>IF(V49=0,0,V49/TrRoad_act!V51*100)</f>
        <v>17.587872850147402</v>
      </c>
      <c r="W81" s="96">
        <f>IF(W49=0,0,W49/TrRoad_act!W51*100)</f>
        <v>25.981164139584024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1.6044675276222102</v>
      </c>
      <c r="K82" s="96">
        <f>IF(K51=0,0,K51/TrRoad_act!K52*100)</f>
        <v>1.605305386206344</v>
      </c>
      <c r="L82" s="96">
        <f>IF(L51=0,0,L51/TrRoad_act!L52*100)</f>
        <v>1.6055563017058472</v>
      </c>
      <c r="M82" s="96">
        <f>IF(M51=0,0,M51/TrRoad_act!M52*100)</f>
        <v>1.6158029953779363</v>
      </c>
      <c r="N82" s="96">
        <f>IF(N51=0,0,N51/TrRoad_act!N52*100)</f>
        <v>1.6406329936693393</v>
      </c>
      <c r="O82" s="96">
        <f>IF(O51=0,0,O51/TrRoad_act!O52*100)</f>
        <v>1.6422357544036883</v>
      </c>
      <c r="P82" s="96">
        <f>IF(P51=0,0,P51/TrRoad_act!P52*100)</f>
        <v>1.6509826032321757</v>
      </c>
      <c r="Q82" s="96">
        <f>IF(Q51=0,0,Q51/TrRoad_act!Q52*100)</f>
        <v>1.6730342882433442</v>
      </c>
      <c r="R82" s="96">
        <f>IF(R51=0,0,R51/TrRoad_act!R52*100)</f>
        <v>1.7225061288889714</v>
      </c>
      <c r="S82" s="96">
        <f>IF(S51=0,0,S51/TrRoad_act!S52*100)</f>
        <v>1.7563938689077452</v>
      </c>
      <c r="T82" s="96">
        <f>IF(T51=0,0,T51/TrRoad_act!T52*100)</f>
        <v>1.8390224596326394</v>
      </c>
      <c r="U82" s="96">
        <f>IF(U51=0,0,U51/TrRoad_act!U52*100)</f>
        <v>1.9956375455926458</v>
      </c>
      <c r="V82" s="96">
        <f>IF(V51=0,0,V51/TrRoad_act!V52*100)</f>
        <v>2.2351814815273818</v>
      </c>
      <c r="W82" s="96">
        <f>IF(W51=0,0,W51/TrRoad_act!W52*100)</f>
        <v>2.4223424032705925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30.420256123203242</v>
      </c>
      <c r="C83" s="130">
        <f>IF(C52=0,0,C52/TrRoad_act!C53*100)</f>
        <v>33.487609236328723</v>
      </c>
      <c r="D83" s="130">
        <f>IF(D52=0,0,D52/TrRoad_act!D53*100)</f>
        <v>33.128972044151375</v>
      </c>
      <c r="E83" s="130">
        <f>IF(E52=0,0,E52/TrRoad_act!E53*100)</f>
        <v>35.24794384076683</v>
      </c>
      <c r="F83" s="130">
        <f>IF(F52=0,0,F52/TrRoad_act!F53*100)</f>
        <v>37.15154387766021</v>
      </c>
      <c r="G83" s="130">
        <f>IF(G52=0,0,G52/TrRoad_act!G53*100)</f>
        <v>37.839854981035245</v>
      </c>
      <c r="H83" s="130">
        <f>IF(H52=0,0,H52/TrRoad_act!H53*100)</f>
        <v>39.054450617225122</v>
      </c>
      <c r="I83" s="130">
        <f>IF(I52=0,0,I52/TrRoad_act!I53*100)</f>
        <v>39.64728944803857</v>
      </c>
      <c r="J83" s="130">
        <f>IF(J52=0,0,J52/TrRoad_act!J53*100)</f>
        <v>41.367841372375835</v>
      </c>
      <c r="K83" s="130">
        <f>IF(K52=0,0,K52/TrRoad_act!K53*100)</f>
        <v>41.148910888873026</v>
      </c>
      <c r="L83" s="130">
        <f>IF(L52=0,0,L52/TrRoad_act!L53*100)</f>
        <v>41.803142162138954</v>
      </c>
      <c r="M83" s="130">
        <f>IF(M52=0,0,M52/TrRoad_act!M53*100)</f>
        <v>40.075166715686514</v>
      </c>
      <c r="N83" s="130">
        <f>IF(N52=0,0,N52/TrRoad_act!N53*100)</f>
        <v>38.226346131951736</v>
      </c>
      <c r="O83" s="130">
        <f>IF(O52=0,0,O52/TrRoad_act!O53*100)</f>
        <v>38.967440833500874</v>
      </c>
      <c r="P83" s="130">
        <f>IF(P52=0,0,P52/TrRoad_act!P53*100)</f>
        <v>38.928025355057514</v>
      </c>
      <c r="Q83" s="130">
        <f>IF(Q52=0,0,Q52/TrRoad_act!Q53*100)</f>
        <v>40.348764887454415</v>
      </c>
      <c r="R83" s="130">
        <f>IF(R52=0,0,R52/TrRoad_act!R53*100)</f>
        <v>45.900684742662648</v>
      </c>
      <c r="S83" s="130">
        <f>IF(S52=0,0,S52/TrRoad_act!S53*100)</f>
        <v>48.907029380413377</v>
      </c>
      <c r="T83" s="130">
        <f>IF(T52=0,0,T52/TrRoad_act!T53*100)</f>
        <v>54.11925912028461</v>
      </c>
      <c r="U83" s="130">
        <f>IF(U52=0,0,U52/TrRoad_act!U53*100)</f>
        <v>51.493427657786583</v>
      </c>
      <c r="V83" s="130">
        <f>IF(V52=0,0,V52/TrRoad_act!V53*100)</f>
        <v>48.561054152214304</v>
      </c>
      <c r="W83" s="130">
        <f>IF(W52=0,0,W52/TrRoad_act!W53*100)</f>
        <v>52.57095158464795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29.369219261709844</v>
      </c>
      <c r="C84" s="97">
        <f>IF(C53=0,0,C53/TrRoad_act!C54*100)</f>
        <v>32.271595768713702</v>
      </c>
      <c r="D84" s="97">
        <f>IF(D53=0,0,D53/TrRoad_act!D54*100)</f>
        <v>32.017934077294754</v>
      </c>
      <c r="E84" s="97">
        <f>IF(E53=0,0,E53/TrRoad_act!E54*100)</f>
        <v>34.08173700485748</v>
      </c>
      <c r="F84" s="97">
        <f>IF(F53=0,0,F53/TrRoad_act!F54*100)</f>
        <v>36.062547333501513</v>
      </c>
      <c r="G84" s="97">
        <f>IF(G53=0,0,G53/TrRoad_act!G54*100)</f>
        <v>36.760511666325002</v>
      </c>
      <c r="H84" s="97">
        <f>IF(H53=0,0,H53/TrRoad_act!H54*100)</f>
        <v>38.012841621149555</v>
      </c>
      <c r="I84" s="97">
        <f>IF(I53=0,0,I53/TrRoad_act!I54*100)</f>
        <v>38.659057998776738</v>
      </c>
      <c r="J84" s="97">
        <f>IF(J53=0,0,J53/TrRoad_act!J54*100)</f>
        <v>40.297564932972534</v>
      </c>
      <c r="K84" s="97">
        <f>IF(K53=0,0,K53/TrRoad_act!K54*100)</f>
        <v>40.148168272911377</v>
      </c>
      <c r="L84" s="97">
        <f>IF(L53=0,0,L53/TrRoad_act!L54*100)</f>
        <v>40.886395529916548</v>
      </c>
      <c r="M84" s="97">
        <f>IF(M53=0,0,M53/TrRoad_act!M54*100)</f>
        <v>39.251195685423482</v>
      </c>
      <c r="N84" s="97">
        <f>IF(N53=0,0,N53/TrRoad_act!N54*100)</f>
        <v>37.509055955547232</v>
      </c>
      <c r="O84" s="97">
        <f>IF(O53=0,0,O53/TrRoad_act!O54*100)</f>
        <v>38.211303268724514</v>
      </c>
      <c r="P84" s="97">
        <f>IF(P53=0,0,P53/TrRoad_act!P54*100)</f>
        <v>38.139030752664723</v>
      </c>
      <c r="Q84" s="97">
        <f>IF(Q53=0,0,Q53/TrRoad_act!Q54*100)</f>
        <v>39.497539109180948</v>
      </c>
      <c r="R84" s="97">
        <f>IF(R53=0,0,R53/TrRoad_act!R54*100)</f>
        <v>44.891044506593794</v>
      </c>
      <c r="S84" s="97">
        <f>IF(S53=0,0,S53/TrRoad_act!S54*100)</f>
        <v>47.74690724746123</v>
      </c>
      <c r="T84" s="97">
        <f>IF(T53=0,0,T53/TrRoad_act!T54*100)</f>
        <v>52.361059884235587</v>
      </c>
      <c r="U84" s="97">
        <f>IF(U53=0,0,U53/TrRoad_act!U54*100)</f>
        <v>49.352674056482698</v>
      </c>
      <c r="V84" s="97">
        <f>IF(V53=0,0,V53/TrRoad_act!V54*100)</f>
        <v>46.287987279822254</v>
      </c>
      <c r="W84" s="97">
        <f>IF(W53=0,0,W53/TrRoad_act!W54*100)</f>
        <v>49.538391801530423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31.917144983401048</v>
      </c>
      <c r="C85" s="98">
        <f>IF(C55=0,0,C55/TrRoad_act!C55*100)</f>
        <v>35.24563299975518</v>
      </c>
      <c r="D85" s="98">
        <f>IF(D55=0,0,D55/TrRoad_act!D55*100)</f>
        <v>34.681259952834999</v>
      </c>
      <c r="E85" s="98">
        <f>IF(E55=0,0,E55/TrRoad_act!E55*100)</f>
        <v>36.718431109947716</v>
      </c>
      <c r="F85" s="98">
        <f>IF(F55=0,0,F55/TrRoad_act!F55*100)</f>
        <v>38.350794585143625</v>
      </c>
      <c r="G85" s="98">
        <f>IF(G55=0,0,G55/TrRoad_act!G55*100)</f>
        <v>38.902734521826773</v>
      </c>
      <c r="H85" s="98">
        <f>IF(H55=0,0,H55/TrRoad_act!H55*100)</f>
        <v>40.06336824336497</v>
      </c>
      <c r="I85" s="98">
        <f>IF(I55=0,0,I55/TrRoad_act!I55*100)</f>
        <v>40.552505158795498</v>
      </c>
      <c r="J85" s="98">
        <f>IF(J55=0,0,J55/TrRoad_act!J55*100)</f>
        <v>42.170545716632638</v>
      </c>
      <c r="K85" s="98">
        <f>IF(K55=0,0,K55/TrRoad_act!K55*100)</f>
        <v>41.925592633757844</v>
      </c>
      <c r="L85" s="98">
        <f>IF(L55=0,0,L55/TrRoad_act!L55*100)</f>
        <v>42.506773789699572</v>
      </c>
      <c r="M85" s="98">
        <f>IF(M55=0,0,M55/TrRoad_act!M55*100)</f>
        <v>40.725716452295032</v>
      </c>
      <c r="N85" s="98">
        <f>IF(N55=0,0,N55/TrRoad_act!N55*100)</f>
        <v>38.792852561309111</v>
      </c>
      <c r="O85" s="98">
        <f>IF(O55=0,0,O55/TrRoad_act!O55*100)</f>
        <v>39.568217178511375</v>
      </c>
      <c r="P85" s="98">
        <f>IF(P55=0,0,P55/TrRoad_act!P55*100)</f>
        <v>39.576372707842069</v>
      </c>
      <c r="Q85" s="98">
        <f>IF(Q55=0,0,Q55/TrRoad_act!Q55*100)</f>
        <v>41.142111903228141</v>
      </c>
      <c r="R85" s="98">
        <f>IF(R55=0,0,R55/TrRoad_act!R55*100)</f>
        <v>46.758978969923433</v>
      </c>
      <c r="S85" s="98">
        <f>IF(S55=0,0,S55/TrRoad_act!S55*100)</f>
        <v>49.890368945498878</v>
      </c>
      <c r="T85" s="98">
        <f>IF(T55=0,0,T55/TrRoad_act!T55*100)</f>
        <v>55.585829367582903</v>
      </c>
      <c r="U85" s="98">
        <f>IF(U55=0,0,U55/TrRoad_act!U55*100)</f>
        <v>53.420174431785007</v>
      </c>
      <c r="V85" s="98">
        <f>IF(V55=0,0,V55/TrRoad_act!V55*100)</f>
        <v>50.479279534743007</v>
      </c>
      <c r="W85" s="98">
        <f>IF(W55=0,0,W55/TrRoad_act!W55*100)</f>
        <v>55.345581964200008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47.995145503760561</v>
      </c>
      <c r="C88" s="29">
        <f>IF(TrRoad_act!C4=0,0,C18/TrRoad_act!C4*1000)</f>
        <v>48.063970339024173</v>
      </c>
      <c r="D88" s="29">
        <f>IF(TrRoad_act!D4=0,0,D18/TrRoad_act!D4*1000)</f>
        <v>46.506063342838473</v>
      </c>
      <c r="E88" s="29">
        <f>IF(TrRoad_act!E4=0,0,E18/TrRoad_act!E4*1000)</f>
        <v>47.96963039199224</v>
      </c>
      <c r="F88" s="29">
        <f>IF(TrRoad_act!F4=0,0,F18/TrRoad_act!F4*1000)</f>
        <v>47.92570199805769</v>
      </c>
      <c r="G88" s="29">
        <f>IF(TrRoad_act!G4=0,0,G18/TrRoad_act!G4*1000)</f>
        <v>45.886663299676833</v>
      </c>
      <c r="H88" s="29">
        <f>IF(TrRoad_act!H4=0,0,H18/TrRoad_act!H4*1000)</f>
        <v>46.587031339224495</v>
      </c>
      <c r="I88" s="29">
        <f>IF(TrRoad_act!I4=0,0,I18/TrRoad_act!I4*1000)</f>
        <v>47.009310983418061</v>
      </c>
      <c r="J88" s="29">
        <f>IF(TrRoad_act!J4=0,0,J18/TrRoad_act!J4*1000)</f>
        <v>46.991139565502017</v>
      </c>
      <c r="K88" s="29">
        <f>IF(TrRoad_act!K4=0,0,K18/TrRoad_act!K4*1000)</f>
        <v>46.963333336699854</v>
      </c>
      <c r="L88" s="29">
        <f>IF(TrRoad_act!L4=0,0,L18/TrRoad_act!L4*1000)</f>
        <v>45.934162556526267</v>
      </c>
      <c r="M88" s="29">
        <f>IF(TrRoad_act!M4=0,0,M18/TrRoad_act!M4*1000)</f>
        <v>45.018994056230646</v>
      </c>
      <c r="N88" s="29">
        <f>IF(TrRoad_act!N4=0,0,N18/TrRoad_act!N4*1000)</f>
        <v>43.710599524189433</v>
      </c>
      <c r="O88" s="29">
        <f>IF(TrRoad_act!O4=0,0,O18/TrRoad_act!O4*1000)</f>
        <v>44.866332629952801</v>
      </c>
      <c r="P88" s="29">
        <f>IF(TrRoad_act!P4=0,0,P18/TrRoad_act!P4*1000)</f>
        <v>44.893320016413966</v>
      </c>
      <c r="Q88" s="29">
        <f>IF(TrRoad_act!Q4=0,0,Q18/TrRoad_act!Q4*1000)</f>
        <v>46.750874583229013</v>
      </c>
      <c r="R88" s="29">
        <f>IF(TrRoad_act!R4=0,0,R18/TrRoad_act!R4*1000)</f>
        <v>46.591167429635874</v>
      </c>
      <c r="S88" s="29">
        <f>IF(TrRoad_act!S4=0,0,S18/TrRoad_act!S4*1000)</f>
        <v>44.752419933395302</v>
      </c>
      <c r="T88" s="29">
        <f>IF(TrRoad_act!T4=0,0,T18/TrRoad_act!T4*1000)</f>
        <v>44.256802023120486</v>
      </c>
      <c r="U88" s="29">
        <f>IF(TrRoad_act!U4=0,0,U18/TrRoad_act!U4*1000)</f>
        <v>43.487355043722182</v>
      </c>
      <c r="V88" s="29">
        <f>IF(TrRoad_act!V4=0,0,V18/TrRoad_act!V4*1000)</f>
        <v>44.208951677129171</v>
      </c>
      <c r="W88" s="29">
        <f>IF(TrRoad_act!W4=0,0,W18/TrRoad_act!W4*1000)</f>
        <v>45.081693324406586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37.756634079680943</v>
      </c>
      <c r="C89" s="152">
        <f>IF(TrRoad_act!C5=0,0,C19/TrRoad_act!C5*1000)</f>
        <v>37.362288337643776</v>
      </c>
      <c r="D89" s="152">
        <f>IF(TrRoad_act!D5=0,0,D19/TrRoad_act!D5*1000)</f>
        <v>37.005596556152128</v>
      </c>
      <c r="E89" s="152">
        <f>IF(TrRoad_act!E5=0,0,E19/TrRoad_act!E5*1000)</f>
        <v>36.628345579387506</v>
      </c>
      <c r="F89" s="152">
        <f>IF(TrRoad_act!F5=0,0,F19/TrRoad_act!F5*1000)</f>
        <v>36.150429118775087</v>
      </c>
      <c r="G89" s="152">
        <f>IF(TrRoad_act!G5=0,0,G19/TrRoad_act!G5*1000)</f>
        <v>35.566691896477536</v>
      </c>
      <c r="H89" s="152">
        <f>IF(TrRoad_act!H5=0,0,H19/TrRoad_act!H5*1000)</f>
        <v>35.362547512674801</v>
      </c>
      <c r="I89" s="152">
        <f>IF(TrRoad_act!I5=0,0,I19/TrRoad_act!I5*1000)</f>
        <v>34.907695693851004</v>
      </c>
      <c r="J89" s="152">
        <f>IF(TrRoad_act!J5=0,0,J19/TrRoad_act!J5*1000)</f>
        <v>34.530161716739343</v>
      </c>
      <c r="K89" s="152">
        <f>IF(TrRoad_act!K5=0,0,K19/TrRoad_act!K5*1000)</f>
        <v>34.093610854149524</v>
      </c>
      <c r="L89" s="152">
        <f>IF(TrRoad_act!L5=0,0,L19/TrRoad_act!L5*1000)</f>
        <v>33.897578994479375</v>
      </c>
      <c r="M89" s="152">
        <f>IF(TrRoad_act!M5=0,0,M19/TrRoad_act!M5*1000)</f>
        <v>33.432515123504096</v>
      </c>
      <c r="N89" s="152">
        <f>IF(TrRoad_act!N5=0,0,N19/TrRoad_act!N5*1000)</f>
        <v>33.206693000556378</v>
      </c>
      <c r="O89" s="152">
        <f>IF(TrRoad_act!O5=0,0,O19/TrRoad_act!O5*1000)</f>
        <v>33.035640740070711</v>
      </c>
      <c r="P89" s="152">
        <f>IF(TrRoad_act!P5=0,0,P19/TrRoad_act!P5*1000)</f>
        <v>32.581531052789686</v>
      </c>
      <c r="Q89" s="152">
        <f>IF(TrRoad_act!Q5=0,0,Q19/TrRoad_act!Q5*1000)</f>
        <v>32.331971449091547</v>
      </c>
      <c r="R89" s="152">
        <f>IF(TrRoad_act!R5=0,0,R19/TrRoad_act!R5*1000)</f>
        <v>30.559289169164558</v>
      </c>
      <c r="S89" s="152">
        <f>IF(TrRoad_act!S5=0,0,S19/TrRoad_act!S5*1000)</f>
        <v>31.278269687461524</v>
      </c>
      <c r="T89" s="152">
        <f>IF(TrRoad_act!T5=0,0,T19/TrRoad_act!T5*1000)</f>
        <v>30.717565440325039</v>
      </c>
      <c r="U89" s="152">
        <f>IF(TrRoad_act!U5=0,0,U19/TrRoad_act!U5*1000)</f>
        <v>30.512674610317134</v>
      </c>
      <c r="V89" s="152">
        <f>IF(TrRoad_act!V5=0,0,V19/TrRoad_act!V5*1000)</f>
        <v>29.281065725581939</v>
      </c>
      <c r="W89" s="152">
        <f>IF(TrRoad_act!W5=0,0,W19/TrRoad_act!W5*1000)</f>
        <v>27.721533120651149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50.551729613769012</v>
      </c>
      <c r="C90" s="116">
        <f>IF(TrRoad_act!C6=0,0,C21/TrRoad_act!C6*1000)</f>
        <v>50.877466287758274</v>
      </c>
      <c r="D90" s="116">
        <f>IF(TrRoad_act!D6=0,0,D21/TrRoad_act!D6*1000)</f>
        <v>49.61020440347103</v>
      </c>
      <c r="E90" s="116">
        <f>IF(TrRoad_act!E6=0,0,E21/TrRoad_act!E6*1000)</f>
        <v>52.023342143030774</v>
      </c>
      <c r="F90" s="116">
        <f>IF(TrRoad_act!F6=0,0,F21/TrRoad_act!F6*1000)</f>
        <v>52.258053168823437</v>
      </c>
      <c r="G90" s="116">
        <f>IF(TrRoad_act!G6=0,0,G21/TrRoad_act!G6*1000)</f>
        <v>50.099889540243822</v>
      </c>
      <c r="H90" s="116">
        <f>IF(TrRoad_act!H6=0,0,H21/TrRoad_act!H6*1000)</f>
        <v>51.292127222058696</v>
      </c>
      <c r="I90" s="116">
        <f>IF(TrRoad_act!I6=0,0,I21/TrRoad_act!I6*1000)</f>
        <v>52.065168728672276</v>
      </c>
      <c r="J90" s="116">
        <f>IF(TrRoad_act!J6=0,0,J21/TrRoad_act!J6*1000)</f>
        <v>51.335180579125762</v>
      </c>
      <c r="K90" s="116">
        <f>IF(TrRoad_act!K6=0,0,K21/TrRoad_act!K6*1000)</f>
        <v>51.372436697243096</v>
      </c>
      <c r="L90" s="116">
        <f>IF(TrRoad_act!L6=0,0,L21/TrRoad_act!L6*1000)</f>
        <v>50.015528607094794</v>
      </c>
      <c r="M90" s="116">
        <f>IF(TrRoad_act!M6=0,0,M21/TrRoad_act!M6*1000)</f>
        <v>49.160347700180289</v>
      </c>
      <c r="N90" s="116">
        <f>IF(TrRoad_act!N6=0,0,N21/TrRoad_act!N6*1000)</f>
        <v>47.803520775677356</v>
      </c>
      <c r="O90" s="116">
        <f>IF(TrRoad_act!O6=0,0,O21/TrRoad_act!O6*1000)</f>
        <v>48.53353145070966</v>
      </c>
      <c r="P90" s="116">
        <f>IF(TrRoad_act!P6=0,0,P21/TrRoad_act!P6*1000)</f>
        <v>48.273161555310438</v>
      </c>
      <c r="Q90" s="116">
        <f>IF(TrRoad_act!Q6=0,0,Q21/TrRoad_act!Q6*1000)</f>
        <v>49.895234106731515</v>
      </c>
      <c r="R90" s="116">
        <f>IF(TrRoad_act!R6=0,0,R21/TrRoad_act!R6*1000)</f>
        <v>49.534272592667826</v>
      </c>
      <c r="S90" s="116">
        <f>IF(TrRoad_act!S6=0,0,S21/TrRoad_act!S6*1000)</f>
        <v>47.199378074774131</v>
      </c>
      <c r="T90" s="116">
        <f>IF(TrRoad_act!T6=0,0,T21/TrRoad_act!T6*1000)</f>
        <v>46.522023054905624</v>
      </c>
      <c r="U90" s="116">
        <f>IF(TrRoad_act!U6=0,0,U21/TrRoad_act!U6*1000)</f>
        <v>45.668529621961994</v>
      </c>
      <c r="V90" s="116">
        <f>IF(TrRoad_act!V6=0,0,V21/TrRoad_act!V6*1000)</f>
        <v>44.610009966067025</v>
      </c>
      <c r="W90" s="116">
        <f>IF(TrRoad_act!W6=0,0,W21/TrRoad_act!W6*1000)</f>
        <v>45.576638802882655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50.044466196612234</v>
      </c>
      <c r="C91" s="87">
        <f>IF(TrRoad_act!C7=0,0,C22/TrRoad_act!C7*1000)</f>
        <v>51.139650625849413</v>
      </c>
      <c r="D91" s="87">
        <f>IF(TrRoad_act!D7=0,0,D22/TrRoad_act!D7*1000)</f>
        <v>50.366068890870103</v>
      </c>
      <c r="E91" s="87">
        <f>IF(TrRoad_act!E7=0,0,E22/TrRoad_act!E7*1000)</f>
        <v>53.272302634352002</v>
      </c>
      <c r="F91" s="87">
        <f>IF(TrRoad_act!F7=0,0,F22/TrRoad_act!F7*1000)</f>
        <v>54.388290297155436</v>
      </c>
      <c r="G91" s="87">
        <f>IF(TrRoad_act!G7=0,0,G22/TrRoad_act!G7*1000)</f>
        <v>52.480919139795482</v>
      </c>
      <c r="H91" s="87">
        <f>IF(TrRoad_act!H7=0,0,H22/TrRoad_act!H7*1000)</f>
        <v>53.990379475470718</v>
      </c>
      <c r="I91" s="87">
        <f>IF(TrRoad_act!I7=0,0,I22/TrRoad_act!I7*1000)</f>
        <v>55.304669201518749</v>
      </c>
      <c r="J91" s="87">
        <f>IF(TrRoad_act!J7=0,0,J22/TrRoad_act!J7*1000)</f>
        <v>54.729473767897112</v>
      </c>
      <c r="K91" s="87">
        <f>IF(TrRoad_act!K7=0,0,K22/TrRoad_act!K7*1000)</f>
        <v>55.221879591499729</v>
      </c>
      <c r="L91" s="87">
        <f>IF(TrRoad_act!L7=0,0,L22/TrRoad_act!L7*1000)</f>
        <v>54.000999320728674</v>
      </c>
      <c r="M91" s="87">
        <f>IF(TrRoad_act!M7=0,0,M22/TrRoad_act!M7*1000)</f>
        <v>53.134965292246697</v>
      </c>
      <c r="N91" s="87">
        <f>IF(TrRoad_act!N7=0,0,N22/TrRoad_act!N7*1000)</f>
        <v>51.992610641034581</v>
      </c>
      <c r="O91" s="87">
        <f>IF(TrRoad_act!O7=0,0,O22/TrRoad_act!O7*1000)</f>
        <v>52.670208665414265</v>
      </c>
      <c r="P91" s="87">
        <f>IF(TrRoad_act!P7=0,0,P22/TrRoad_act!P7*1000)</f>
        <v>52.438634961049544</v>
      </c>
      <c r="Q91" s="87">
        <f>IF(TrRoad_act!Q7=0,0,Q22/TrRoad_act!Q7*1000)</f>
        <v>53.923938320543222</v>
      </c>
      <c r="R91" s="87">
        <f>IF(TrRoad_act!R7=0,0,R22/TrRoad_act!R7*1000)</f>
        <v>53.908764880567183</v>
      </c>
      <c r="S91" s="87">
        <f>IF(TrRoad_act!S7=0,0,S22/TrRoad_act!S7*1000)</f>
        <v>50.743684367024429</v>
      </c>
      <c r="T91" s="87">
        <f>IF(TrRoad_act!T7=0,0,T22/TrRoad_act!T7*1000)</f>
        <v>49.144979943562859</v>
      </c>
      <c r="U91" s="87">
        <f>IF(TrRoad_act!U7=0,0,U22/TrRoad_act!U7*1000)</f>
        <v>48.118324009450156</v>
      </c>
      <c r="V91" s="87">
        <f>IF(TrRoad_act!V7=0,0,V22/TrRoad_act!V7*1000)</f>
        <v>46.434904956980247</v>
      </c>
      <c r="W91" s="87">
        <f>IF(TrRoad_act!W7=0,0,W22/TrRoad_act!W7*1000)</f>
        <v>48.147140064988662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50.904630033083137</v>
      </c>
      <c r="C92" s="87">
        <f>IF(TrRoad_act!C8=0,0,C24/TrRoad_act!C8*1000)</f>
        <v>50.59481605606193</v>
      </c>
      <c r="D92" s="87">
        <f>IF(TrRoad_act!D8=0,0,D24/TrRoad_act!D8*1000)</f>
        <v>49.209655713599162</v>
      </c>
      <c r="E92" s="87">
        <f>IF(TrRoad_act!E8=0,0,E24/TrRoad_act!E8*1000)</f>
        <v>51.378337113033851</v>
      </c>
      <c r="F92" s="87">
        <f>IF(TrRoad_act!F8=0,0,F24/TrRoad_act!F8*1000)</f>
        <v>51.279127248750086</v>
      </c>
      <c r="G92" s="87">
        <f>IF(TrRoad_act!G8=0,0,G24/TrRoad_act!G8*1000)</f>
        <v>48.995338562032266</v>
      </c>
      <c r="H92" s="87">
        <f>IF(TrRoad_act!H8=0,0,H24/TrRoad_act!H8*1000)</f>
        <v>50.177009683473401</v>
      </c>
      <c r="I92" s="87">
        <f>IF(TrRoad_act!I8=0,0,I24/TrRoad_act!I8*1000)</f>
        <v>50.936011238809243</v>
      </c>
      <c r="J92" s="87">
        <f>IF(TrRoad_act!J8=0,0,J24/TrRoad_act!J8*1000)</f>
        <v>50.30072770404297</v>
      </c>
      <c r="K92" s="87">
        <f>IF(TrRoad_act!K8=0,0,K24/TrRoad_act!K8*1000)</f>
        <v>50.248538324711966</v>
      </c>
      <c r="L92" s="87">
        <f>IF(TrRoad_act!L8=0,0,L24/TrRoad_act!L8*1000)</f>
        <v>48.943277530145707</v>
      </c>
      <c r="M92" s="87">
        <f>IF(TrRoad_act!M8=0,0,M24/TrRoad_act!M8*1000)</f>
        <v>48.132158356907084</v>
      </c>
      <c r="N92" s="87">
        <f>IF(TrRoad_act!N8=0,0,N24/TrRoad_act!N8*1000)</f>
        <v>46.743232029244432</v>
      </c>
      <c r="O92" s="87">
        <f>IF(TrRoad_act!O8=0,0,O24/TrRoad_act!O8*1000)</f>
        <v>47.431992890117996</v>
      </c>
      <c r="P92" s="87">
        <f>IF(TrRoad_act!P8=0,0,P24/TrRoad_act!P8*1000)</f>
        <v>47.109321578061</v>
      </c>
      <c r="Q92" s="87">
        <f>IF(TrRoad_act!Q8=0,0,Q24/TrRoad_act!Q8*1000)</f>
        <v>48.615949396036278</v>
      </c>
      <c r="R92" s="87">
        <f>IF(TrRoad_act!R8=0,0,R24/TrRoad_act!R8*1000)</f>
        <v>47.936059548930821</v>
      </c>
      <c r="S92" s="87">
        <f>IF(TrRoad_act!S8=0,0,S24/TrRoad_act!S8*1000)</f>
        <v>45.799055388430538</v>
      </c>
      <c r="T92" s="87">
        <f>IF(TrRoad_act!T8=0,0,T24/TrRoad_act!T8*1000)</f>
        <v>45.292110475387105</v>
      </c>
      <c r="U92" s="87">
        <f>IF(TrRoad_act!U8=0,0,U24/TrRoad_act!U8*1000)</f>
        <v>44.228252910491271</v>
      </c>
      <c r="V92" s="87">
        <f>IF(TrRoad_act!V8=0,0,V24/TrRoad_act!V8*1000)</f>
        <v>43.409518791027395</v>
      </c>
      <c r="W92" s="87">
        <f>IF(TrRoad_act!W8=0,0,W24/TrRoad_act!W8*1000)</f>
        <v>43.8260034997015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52.452033194832737</v>
      </c>
      <c r="C93" s="87">
        <f>IF(TrRoad_act!C9=0,0,C26/TrRoad_act!C9*1000)</f>
        <v>56.184734246924627</v>
      </c>
      <c r="D93" s="87">
        <f>IF(TrRoad_act!D9=0,0,D26/TrRoad_act!D9*1000)</f>
        <v>45.432553133437615</v>
      </c>
      <c r="E93" s="87">
        <f>IF(TrRoad_act!E9=0,0,E26/TrRoad_act!E9*1000)</f>
        <v>45.049161415593169</v>
      </c>
      <c r="F93" s="87">
        <f>IF(TrRoad_act!F9=0,0,F26/TrRoad_act!F9*1000)</f>
        <v>45.299096472437469</v>
      </c>
      <c r="G93" s="87">
        <f>IF(TrRoad_act!G9=0,0,G26/TrRoad_act!G9*1000)</f>
        <v>48.013863969559203</v>
      </c>
      <c r="H93" s="87">
        <f>IF(TrRoad_act!H9=0,0,H26/TrRoad_act!H9*1000)</f>
        <v>52.745628392556235</v>
      </c>
      <c r="I93" s="87">
        <f>IF(TrRoad_act!I9=0,0,I26/TrRoad_act!I9*1000)</f>
        <v>50.303748615526111</v>
      </c>
      <c r="J93" s="87">
        <f>IF(TrRoad_act!J9=0,0,J26/TrRoad_act!J9*1000)</f>
        <v>51.80514415447491</v>
      </c>
      <c r="K93" s="87">
        <f>IF(TrRoad_act!K9=0,0,K26/TrRoad_act!K9*1000)</f>
        <v>55.269646924085791</v>
      </c>
      <c r="L93" s="87">
        <f>IF(TrRoad_act!L9=0,0,L26/TrRoad_act!L9*1000)</f>
        <v>57.441102030333134</v>
      </c>
      <c r="M93" s="87">
        <f>IF(TrRoad_act!M9=0,0,M26/TrRoad_act!M9*1000)</f>
        <v>56.037962248326693</v>
      </c>
      <c r="N93" s="87">
        <f>IF(TrRoad_act!N9=0,0,N26/TrRoad_act!N9*1000)</f>
        <v>52.567711258460101</v>
      </c>
      <c r="O93" s="87">
        <f>IF(TrRoad_act!O9=0,0,O26/TrRoad_act!O9*1000)</f>
        <v>54.999410372805649</v>
      </c>
      <c r="P93" s="87">
        <f>IF(TrRoad_act!P9=0,0,P26/TrRoad_act!P9*1000)</f>
        <v>55.2797274224326</v>
      </c>
      <c r="Q93" s="87">
        <f>IF(TrRoad_act!Q9=0,0,Q26/TrRoad_act!Q9*1000)</f>
        <v>63.339416730601364</v>
      </c>
      <c r="R93" s="87">
        <f>IF(TrRoad_act!R9=0,0,R26/TrRoad_act!R9*1000)</f>
        <v>72.419784827908614</v>
      </c>
      <c r="S93" s="87">
        <f>IF(TrRoad_act!S9=0,0,S26/TrRoad_act!S9*1000)</f>
        <v>64.811812598434813</v>
      </c>
      <c r="T93" s="87">
        <f>IF(TrRoad_act!T9=0,0,T26/TrRoad_act!T9*1000)</f>
        <v>62.071014699841129</v>
      </c>
      <c r="U93" s="87">
        <f>IF(TrRoad_act!U9=0,0,U26/TrRoad_act!U9*1000)</f>
        <v>63.199140535422472</v>
      </c>
      <c r="V93" s="87">
        <f>IF(TrRoad_act!V9=0,0,V26/TrRoad_act!V9*1000)</f>
        <v>61.422234116730174</v>
      </c>
      <c r="W93" s="87">
        <f>IF(TrRoad_act!W9=0,0,W26/TrRoad_act!W9*1000)</f>
        <v>60.460953682205378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55.517533761487371</v>
      </c>
      <c r="G94" s="87">
        <f>IF(TrRoad_act!G10=0,0,G27/TrRoad_act!G10*1000)</f>
        <v>52.647677926146713</v>
      </c>
      <c r="H94" s="87">
        <f>IF(TrRoad_act!H10=0,0,H27/TrRoad_act!H10*1000)</f>
        <v>50.652726954060164</v>
      </c>
      <c r="I94" s="87">
        <f>IF(TrRoad_act!I10=0,0,I27/TrRoad_act!I10*1000)</f>
        <v>51.87927236330799</v>
      </c>
      <c r="J94" s="87">
        <f>IF(TrRoad_act!J10=0,0,J27/TrRoad_act!J10*1000)</f>
        <v>33.491681040952777</v>
      </c>
      <c r="K94" s="87">
        <f>IF(TrRoad_act!K10=0,0,K27/TrRoad_act!K10*1000)</f>
        <v>25.291117313597901</v>
      </c>
      <c r="L94" s="87">
        <f>IF(TrRoad_act!L10=0,0,L27/TrRoad_act!L10*1000)</f>
        <v>20.955067895647954</v>
      </c>
      <c r="M94" s="87">
        <f>IF(TrRoad_act!M10=0,0,M27/TrRoad_act!M10*1000)</f>
        <v>24.388341677929013</v>
      </c>
      <c r="N94" s="87">
        <f>IF(TrRoad_act!N10=0,0,N27/TrRoad_act!N10*1000)</f>
        <v>50.835099094421409</v>
      </c>
      <c r="O94" s="87">
        <f>IF(TrRoad_act!O10=0,0,O27/TrRoad_act!O10*1000)</f>
        <v>75.58572863974257</v>
      </c>
      <c r="P94" s="87">
        <f>IF(TrRoad_act!P10=0,0,P27/TrRoad_act!P10*1000)</f>
        <v>50.714228171024516</v>
      </c>
      <c r="Q94" s="87">
        <f>IF(TrRoad_act!Q10=0,0,Q27/TrRoad_act!Q10*1000)</f>
        <v>64.453499773471634</v>
      </c>
      <c r="R94" s="87">
        <f>IF(TrRoad_act!R10=0,0,R27/TrRoad_act!R10*1000)</f>
        <v>59.868379069952113</v>
      </c>
      <c r="S94" s="87">
        <f>IF(TrRoad_act!S10=0,0,S27/TrRoad_act!S10*1000)</f>
        <v>57.810482003706731</v>
      </c>
      <c r="T94" s="87">
        <f>IF(TrRoad_act!T10=0,0,T27/TrRoad_act!T10*1000)</f>
        <v>57.476888862633359</v>
      </c>
      <c r="U94" s="87">
        <f>IF(TrRoad_act!U10=0,0,U27/TrRoad_act!U10*1000)</f>
        <v>71.593586745751423</v>
      </c>
      <c r="V94" s="87">
        <f>IF(TrRoad_act!V10=0,0,V27/TrRoad_act!V10*1000)</f>
        <v>99.482571178562125</v>
      </c>
      <c r="W94" s="87">
        <f>IF(TrRoad_act!W10=0,0,W27/TrRoad_act!W10*1000)</f>
        <v>139.82359105596336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27.850029031746747</v>
      </c>
      <c r="N95" s="87">
        <f>IF(TrRoad_act!N11=0,0,N29/TrRoad_act!N11*1000)</f>
        <v>20.69993885707926</v>
      </c>
      <c r="O95" s="87">
        <f>IF(TrRoad_act!O11=0,0,O29/TrRoad_act!O11*1000)</f>
        <v>23.238271628726203</v>
      </c>
      <c r="P95" s="87">
        <f>IF(TrRoad_act!P11=0,0,P29/TrRoad_act!P11*1000)</f>
        <v>26.722070805426739</v>
      </c>
      <c r="Q95" s="87">
        <f>IF(TrRoad_act!Q11=0,0,Q29/TrRoad_act!Q11*1000)</f>
        <v>32.949376862650745</v>
      </c>
      <c r="R95" s="87">
        <f>IF(TrRoad_act!R11=0,0,R29/TrRoad_act!R11*1000)</f>
        <v>35.066148063715133</v>
      </c>
      <c r="S95" s="87">
        <f>IF(TrRoad_act!S11=0,0,S29/TrRoad_act!S11*1000)</f>
        <v>33.498963302598384</v>
      </c>
      <c r="T95" s="87">
        <f>IF(TrRoad_act!T11=0,0,T29/TrRoad_act!T11*1000)</f>
        <v>32.464951351118771</v>
      </c>
      <c r="U95" s="87">
        <f>IF(TrRoad_act!U11=0,0,U29/TrRoad_act!U11*1000)</f>
        <v>31.155020075723439</v>
      </c>
      <c r="V95" s="87">
        <f>IF(TrRoad_act!V11=0,0,V29/TrRoad_act!V11*1000)</f>
        <v>33.476456923067602</v>
      </c>
      <c r="W95" s="87">
        <f>IF(TrRoad_act!W11=0,0,W29/TrRoad_act!W11*1000)</f>
        <v>31.852663190268977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11.594090347116333</v>
      </c>
      <c r="K96" s="87">
        <f>IF(TrRoad_act!K12=0,0,K32/TrRoad_act!K12*1000)</f>
        <v>11.653371499725273</v>
      </c>
      <c r="L96" s="87">
        <f>IF(TrRoad_act!L12=0,0,L32/TrRoad_act!L12*1000)</f>
        <v>11.410136050397593</v>
      </c>
      <c r="M96" s="87">
        <f>IF(TrRoad_act!M12=0,0,M32/TrRoad_act!M12*1000)</f>
        <v>11.476339828449394</v>
      </c>
      <c r="N96" s="87">
        <f>IF(TrRoad_act!N12=0,0,N32/TrRoad_act!N12*1000)</f>
        <v>11.377685856964231</v>
      </c>
      <c r="O96" s="87">
        <f>IF(TrRoad_act!O12=0,0,O32/TrRoad_act!O12*1000)</f>
        <v>11.919891775069354</v>
      </c>
      <c r="P96" s="87">
        <f>IF(TrRoad_act!P12=0,0,P32/TrRoad_act!P12*1000)</f>
        <v>12.174225173447745</v>
      </c>
      <c r="Q96" s="87">
        <f>IF(TrRoad_act!Q12=0,0,Q32/TrRoad_act!Q12*1000)</f>
        <v>14.572289597354342</v>
      </c>
      <c r="R96" s="87">
        <f>IF(TrRoad_act!R12=0,0,R32/TrRoad_act!R12*1000)</f>
        <v>14.79636169903692</v>
      </c>
      <c r="S96" s="87">
        <f>IF(TrRoad_act!S12=0,0,S32/TrRoad_act!S12*1000)</f>
        <v>14.412067590386471</v>
      </c>
      <c r="T96" s="87">
        <f>IF(TrRoad_act!T12=0,0,T32/TrRoad_act!T12*1000)</f>
        <v>15.166792434469595</v>
      </c>
      <c r="U96" s="87">
        <f>IF(TrRoad_act!U12=0,0,U32/TrRoad_act!U12*1000)</f>
        <v>16.02134829247272</v>
      </c>
      <c r="V96" s="87">
        <f>IF(TrRoad_act!V12=0,0,V32/TrRoad_act!V12*1000)</f>
        <v>16.035539430144741</v>
      </c>
      <c r="W96" s="87">
        <f>IF(TrRoad_act!W12=0,0,W32/TrRoad_act!W12*1000)</f>
        <v>15.855600144977947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29.505479867342107</v>
      </c>
      <c r="C97" s="116">
        <f>IF(TrRoad_act!C13=0,0,C33/TrRoad_act!C13*1000)</f>
        <v>28.245305421859317</v>
      </c>
      <c r="D97" s="116">
        <f>IF(TrRoad_act!D13=0,0,D33/TrRoad_act!D13*1000)</f>
        <v>25.867143016428429</v>
      </c>
      <c r="E97" s="116">
        <f>IF(TrRoad_act!E13=0,0,E33/TrRoad_act!E13*1000)</f>
        <v>24.027415749809546</v>
      </c>
      <c r="F97" s="116">
        <f>IF(TrRoad_act!F13=0,0,F33/TrRoad_act!F13*1000)</f>
        <v>23.172734595948526</v>
      </c>
      <c r="G97" s="116">
        <f>IF(TrRoad_act!G13=0,0,G33/TrRoad_act!G13*1000)</f>
        <v>22.227052563976144</v>
      </c>
      <c r="H97" s="116">
        <f>IF(TrRoad_act!H13=0,0,H33/TrRoad_act!H13*1000)</f>
        <v>21.03316856864847</v>
      </c>
      <c r="I97" s="116">
        <f>IF(TrRoad_act!I13=0,0,I33/TrRoad_act!I13*1000)</f>
        <v>20.044518949617885</v>
      </c>
      <c r="J97" s="116">
        <f>IF(TrRoad_act!J13=0,0,J33/TrRoad_act!J13*1000)</f>
        <v>21.747483190726548</v>
      </c>
      <c r="K97" s="116">
        <f>IF(TrRoad_act!K13=0,0,K33/TrRoad_act!K13*1000)</f>
        <v>21.340002373425026</v>
      </c>
      <c r="L97" s="116">
        <f>IF(TrRoad_act!L13=0,0,L33/TrRoad_act!L13*1000)</f>
        <v>21.517080023439821</v>
      </c>
      <c r="M97" s="116">
        <f>IF(TrRoad_act!M13=0,0,M33/TrRoad_act!M13*1000)</f>
        <v>20.447147855520399</v>
      </c>
      <c r="N97" s="116">
        <f>IF(TrRoad_act!N13=0,0,N33/TrRoad_act!N13*1000)</f>
        <v>19.574115102056165</v>
      </c>
      <c r="O97" s="116">
        <f>IF(TrRoad_act!O13=0,0,O33/TrRoad_act!O13*1000)</f>
        <v>21.638653858418348</v>
      </c>
      <c r="P97" s="116">
        <f>IF(TrRoad_act!P13=0,0,P33/TrRoad_act!P13*1000)</f>
        <v>22.593810053547482</v>
      </c>
      <c r="Q97" s="116">
        <f>IF(TrRoad_act!Q13=0,0,Q33/TrRoad_act!Q13*1000)</f>
        <v>25.118360160829774</v>
      </c>
      <c r="R97" s="116">
        <f>IF(TrRoad_act!R13=0,0,R33/TrRoad_act!R13*1000)</f>
        <v>25.723651799073714</v>
      </c>
      <c r="S97" s="116">
        <f>IF(TrRoad_act!S13=0,0,S33/TrRoad_act!S13*1000)</f>
        <v>26.882136776380506</v>
      </c>
      <c r="T97" s="116">
        <f>IF(TrRoad_act!T13=0,0,T33/TrRoad_act!T13*1000)</f>
        <v>27.916281862819037</v>
      </c>
      <c r="U97" s="116">
        <f>IF(TrRoad_act!U13=0,0,U33/TrRoad_act!U13*1000)</f>
        <v>28.019417408932174</v>
      </c>
      <c r="V97" s="116">
        <f>IF(TrRoad_act!V13=0,0,V33/TrRoad_act!V13*1000)</f>
        <v>42.728415190300936</v>
      </c>
      <c r="W97" s="116">
        <f>IF(TrRoad_act!W13=0,0,W33/TrRoad_act!W13*1000)</f>
        <v>43.020049831660423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24.08352713367773</v>
      </c>
      <c r="C98" s="101">
        <f>IF(TrRoad_act!C14=0,0,C34/TrRoad_act!C14*1000)</f>
        <v>23.509003755461208</v>
      </c>
      <c r="D98" s="101">
        <f>IF(TrRoad_act!D14=0,0,D34/TrRoad_act!D14*1000)</f>
        <v>21.987249084018583</v>
      </c>
      <c r="E98" s="101">
        <f>IF(TrRoad_act!E14=0,0,E34/TrRoad_act!E14*1000)</f>
        <v>20.46828353117477</v>
      </c>
      <c r="F98" s="101">
        <f>IF(TrRoad_act!F14=0,0,F34/TrRoad_act!F14*1000)</f>
        <v>19.752571168238656</v>
      </c>
      <c r="G98" s="101">
        <f>IF(TrRoad_act!G14=0,0,G34/TrRoad_act!G14*1000)</f>
        <v>19.129485788714746</v>
      </c>
      <c r="H98" s="101">
        <f>IF(TrRoad_act!H14=0,0,H34/TrRoad_act!H14*1000)</f>
        <v>18.182659755667306</v>
      </c>
      <c r="I98" s="101">
        <f>IF(TrRoad_act!I14=0,0,I34/TrRoad_act!I14*1000)</f>
        <v>17.46839684679134</v>
      </c>
      <c r="J98" s="101">
        <f>IF(TrRoad_act!J14=0,0,J34/TrRoad_act!J14*1000)</f>
        <v>18.941958757481842</v>
      </c>
      <c r="K98" s="101">
        <f>IF(TrRoad_act!K14=0,0,K34/TrRoad_act!K14*1000)</f>
        <v>18.676361912011743</v>
      </c>
      <c r="L98" s="101">
        <f>IF(TrRoad_act!L14=0,0,L34/TrRoad_act!L14*1000)</f>
        <v>18.747773229846832</v>
      </c>
      <c r="M98" s="101">
        <f>IF(TrRoad_act!M14=0,0,M34/TrRoad_act!M14*1000)</f>
        <v>17.887032821922876</v>
      </c>
      <c r="N98" s="101">
        <f>IF(TrRoad_act!N14=0,0,N34/TrRoad_act!N14*1000)</f>
        <v>17.3052489248734</v>
      </c>
      <c r="O98" s="101">
        <f>IF(TrRoad_act!O14=0,0,O34/TrRoad_act!O14*1000)</f>
        <v>19.090282268727499</v>
      </c>
      <c r="P98" s="101">
        <f>IF(TrRoad_act!P14=0,0,P34/TrRoad_act!P14*1000)</f>
        <v>19.934040898691705</v>
      </c>
      <c r="Q98" s="101">
        <f>IF(TrRoad_act!Q14=0,0,Q34/TrRoad_act!Q14*1000)</f>
        <v>21.77321023448787</v>
      </c>
      <c r="R98" s="101">
        <f>IF(TrRoad_act!R14=0,0,R34/TrRoad_act!R14*1000)</f>
        <v>21.351609221618283</v>
      </c>
      <c r="S98" s="101">
        <f>IF(TrRoad_act!S14=0,0,S34/TrRoad_act!S14*1000)</f>
        <v>21.70546675513889</v>
      </c>
      <c r="T98" s="101">
        <f>IF(TrRoad_act!T14=0,0,T34/TrRoad_act!T14*1000)</f>
        <v>21.703986360636538</v>
      </c>
      <c r="U98" s="101">
        <f>IF(TrRoad_act!U14=0,0,U34/TrRoad_act!U14*1000)</f>
        <v>21.55761781082532</v>
      </c>
      <c r="V98" s="101">
        <f>IF(TrRoad_act!V14=0,0,V34/TrRoad_act!V14*1000)</f>
        <v>27.557162343608017</v>
      </c>
      <c r="W98" s="101">
        <f>IF(TrRoad_act!W14=0,0,W34/TrRoad_act!W14*1000)</f>
        <v>27.447521724487512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29.535513417947197</v>
      </c>
      <c r="C99" s="101">
        <f>IF(TrRoad_act!C15=0,0,C36/TrRoad_act!C15*1000)</f>
        <v>28.271180274490536</v>
      </c>
      <c r="D99" s="101">
        <f>IF(TrRoad_act!D15=0,0,D36/TrRoad_act!D15*1000)</f>
        <v>25.886715463952161</v>
      </c>
      <c r="E99" s="101">
        <f>IF(TrRoad_act!E15=0,0,E36/TrRoad_act!E15*1000)</f>
        <v>24.045109821778652</v>
      </c>
      <c r="F99" s="101">
        <f>IF(TrRoad_act!F15=0,0,F36/TrRoad_act!F15*1000)</f>
        <v>23.189358578438185</v>
      </c>
      <c r="G99" s="101">
        <f>IF(TrRoad_act!G15=0,0,G36/TrRoad_act!G15*1000)</f>
        <v>22.255880616849819</v>
      </c>
      <c r="H99" s="101">
        <f>IF(TrRoad_act!H15=0,0,H36/TrRoad_act!H15*1000)</f>
        <v>21.059341788666682</v>
      </c>
      <c r="I99" s="101">
        <f>IF(TrRoad_act!I15=0,0,I36/TrRoad_act!I15*1000)</f>
        <v>20.067713802138826</v>
      </c>
      <c r="J99" s="101">
        <f>IF(TrRoad_act!J15=0,0,J36/TrRoad_act!J15*1000)</f>
        <v>21.770751569751024</v>
      </c>
      <c r="K99" s="101">
        <f>IF(TrRoad_act!K15=0,0,K36/TrRoad_act!K15*1000)</f>
        <v>21.361865480774956</v>
      </c>
      <c r="L99" s="101">
        <f>IF(TrRoad_act!L15=0,0,L36/TrRoad_act!L15*1000)</f>
        <v>21.537913605583356</v>
      </c>
      <c r="M99" s="101">
        <f>IF(TrRoad_act!M15=0,0,M36/TrRoad_act!M15*1000)</f>
        <v>20.466083354461606</v>
      </c>
      <c r="N99" s="101">
        <f>IF(TrRoad_act!N15=0,0,N36/TrRoad_act!N15*1000)</f>
        <v>19.591022451325948</v>
      </c>
      <c r="O99" s="101">
        <f>IF(TrRoad_act!O15=0,0,O36/TrRoad_act!O15*1000)</f>
        <v>21.657486165730994</v>
      </c>
      <c r="P99" s="101">
        <f>IF(TrRoad_act!P15=0,0,P36/TrRoad_act!P15*1000)</f>
        <v>22.614545324082844</v>
      </c>
      <c r="Q99" s="101">
        <f>IF(TrRoad_act!Q15=0,0,Q36/TrRoad_act!Q15*1000)</f>
        <v>25.140258853840809</v>
      </c>
      <c r="R99" s="101">
        <f>IF(TrRoad_act!R15=0,0,R36/TrRoad_act!R15*1000)</f>
        <v>25.749263332235696</v>
      </c>
      <c r="S99" s="101">
        <f>IF(TrRoad_act!S15=0,0,S36/TrRoad_act!S15*1000)</f>
        <v>26.909449867836084</v>
      </c>
      <c r="T99" s="101">
        <f>IF(TrRoad_act!T15=0,0,T36/TrRoad_act!T15*1000)</f>
        <v>27.955281146980443</v>
      </c>
      <c r="U99" s="101">
        <f>IF(TrRoad_act!U15=0,0,U36/TrRoad_act!U15*1000)</f>
        <v>28.09593803360546</v>
      </c>
      <c r="V99" s="101">
        <f>IF(TrRoad_act!V15=0,0,V36/TrRoad_act!V15*1000)</f>
        <v>42.86495834042384</v>
      </c>
      <c r="W99" s="101">
        <f>IF(TrRoad_act!W15=0,0,W36/TrRoad_act!W15*1000)</f>
        <v>42.950497567965158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0</v>
      </c>
      <c r="G100" s="101">
        <f>IF(TrRoad_act!G16=0,0,G38/TrRoad_act!G16*1000)</f>
        <v>0</v>
      </c>
      <c r="H100" s="101">
        <f>IF(TrRoad_act!H16=0,0,H38/TrRoad_act!H16*1000)</f>
        <v>0</v>
      </c>
      <c r="I100" s="101">
        <f>IF(TrRoad_act!I16=0,0,I38/TrRoad_act!I16*1000)</f>
        <v>0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0</v>
      </c>
      <c r="S100" s="101">
        <f>IF(TrRoad_act!S16=0,0,S38/TrRoad_act!S16*1000)</f>
        <v>0</v>
      </c>
      <c r="T100" s="101">
        <f>IF(TrRoad_act!T16=0,0,T38/TrRoad_act!T16*1000)</f>
        <v>0</v>
      </c>
      <c r="U100" s="101">
        <f>IF(TrRoad_act!U16=0,0,U38/TrRoad_act!U16*1000)</f>
        <v>0</v>
      </c>
      <c r="V100" s="101">
        <f>IF(TrRoad_act!V16=0,0,V38/TrRoad_act!V16*1000)</f>
        <v>0</v>
      </c>
      <c r="W100" s="101">
        <f>IF(TrRoad_act!W16=0,0,W38/TrRoad_act!W16*1000)</f>
        <v>0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0</v>
      </c>
      <c r="G101" s="101">
        <f>IF(TrRoad_act!G17=0,0,G39/TrRoad_act!G17*1000)</f>
        <v>0</v>
      </c>
      <c r="H101" s="101">
        <f>IF(TrRoad_act!H17=0,0,H39/TrRoad_act!H17*1000)</f>
        <v>0</v>
      </c>
      <c r="I101" s="101">
        <f>IF(TrRoad_act!I17=0,0,I39/TrRoad_act!I17*1000)</f>
        <v>0</v>
      </c>
      <c r="J101" s="101">
        <f>IF(TrRoad_act!J17=0,0,J39/TrRoad_act!J17*1000)</f>
        <v>0</v>
      </c>
      <c r="K101" s="101">
        <f>IF(TrRoad_act!K17=0,0,K39/TrRoad_act!K17*1000)</f>
        <v>0</v>
      </c>
      <c r="L101" s="101">
        <f>IF(TrRoad_act!L17=0,0,L39/TrRoad_act!L17*1000)</f>
        <v>0</v>
      </c>
      <c r="M101" s="101">
        <f>IF(TrRoad_act!M17=0,0,M39/TrRoad_act!M17*1000)</f>
        <v>0</v>
      </c>
      <c r="N101" s="101">
        <f>IF(TrRoad_act!N17=0,0,N39/TrRoad_act!N17*1000)</f>
        <v>0</v>
      </c>
      <c r="O101" s="101">
        <f>IF(TrRoad_act!O17=0,0,O39/TrRoad_act!O17*1000)</f>
        <v>0</v>
      </c>
      <c r="P101" s="101">
        <f>IF(TrRoad_act!P17=0,0,P39/TrRoad_act!P17*1000)</f>
        <v>0</v>
      </c>
      <c r="Q101" s="101">
        <f>IF(TrRoad_act!Q17=0,0,Q39/TrRoad_act!Q17*1000)</f>
        <v>0</v>
      </c>
      <c r="R101" s="101">
        <f>IF(TrRoad_act!R17=0,0,R39/TrRoad_act!R17*1000)</f>
        <v>20.84562847558005</v>
      </c>
      <c r="S101" s="101">
        <f>IF(TrRoad_act!S17=0,0,S39/TrRoad_act!S17*1000)</f>
        <v>21.437219610167034</v>
      </c>
      <c r="T101" s="101">
        <f>IF(TrRoad_act!T17=0,0,T39/TrRoad_act!T17*1000)</f>
        <v>20.445931606762304</v>
      </c>
      <c r="U101" s="101">
        <f>IF(TrRoad_act!U17=0,0,U39/TrRoad_act!U17*1000)</f>
        <v>26.428998163463366</v>
      </c>
      <c r="V101" s="101">
        <f>IF(TrRoad_act!V17=0,0,V39/TrRoad_act!V17*1000)</f>
        <v>56.039654613304599</v>
      </c>
      <c r="W101" s="101">
        <f>IF(TrRoad_act!W17=0,0,W39/TrRoad_act!W17*1000)</f>
        <v>74.580257047023693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13.740386553899999</v>
      </c>
      <c r="C102" s="101">
        <f>IF(TrRoad_act!C18=0,0,C41/TrRoad_act!C18*1000)</f>
        <v>13.414758700546606</v>
      </c>
      <c r="D102" s="101">
        <f>IF(TrRoad_act!D18=0,0,D41/TrRoad_act!D18*1000)</f>
        <v>12.555495569555655</v>
      </c>
      <c r="E102" s="101">
        <f>IF(TrRoad_act!E18=0,0,E41/TrRoad_act!E18*1000)</f>
        <v>11.689373371285887</v>
      </c>
      <c r="F102" s="101">
        <f>IF(TrRoad_act!F18=0,0,F41/TrRoad_act!F18*1000)</f>
        <v>11.28264509833209</v>
      </c>
      <c r="G102" s="101">
        <f>IF(TrRoad_act!G18=0,0,G41/TrRoad_act!G18*1000)</f>
        <v>10.234192383268587</v>
      </c>
      <c r="H102" s="101">
        <f>IF(TrRoad_act!H18=0,0,H41/TrRoad_act!H18*1000)</f>
        <v>9.7329098111805052</v>
      </c>
      <c r="I102" s="101">
        <f>IF(TrRoad_act!I18=0,0,I41/TrRoad_act!I18*1000)</f>
        <v>9.3329197477654429</v>
      </c>
      <c r="J102" s="101">
        <f>IF(TrRoad_act!J18=0,0,J41/TrRoad_act!J18*1000)</f>
        <v>10.098173800677857</v>
      </c>
      <c r="K102" s="101">
        <f>IF(TrRoad_act!K18=0,0,K41/TrRoad_act!K18*1000)</f>
        <v>9.9868825631060787</v>
      </c>
      <c r="L102" s="101">
        <f>IF(TrRoad_act!L18=0,0,L41/TrRoad_act!L18*1000)</f>
        <v>10.093305296506625</v>
      </c>
      <c r="M102" s="101">
        <f>IF(TrRoad_act!M18=0,0,M41/TrRoad_act!M18*1000)</f>
        <v>9.7020476558805644</v>
      </c>
      <c r="N102" s="101">
        <f>IF(TrRoad_act!N18=0,0,N41/TrRoad_act!N18*1000)</f>
        <v>9.3891083673055977</v>
      </c>
      <c r="O102" s="101">
        <f>IF(TrRoad_act!O18=0,0,O41/TrRoad_act!O18*1000)</f>
        <v>10.366366180278835</v>
      </c>
      <c r="P102" s="101">
        <f>IF(TrRoad_act!P18=0,0,P41/TrRoad_act!P18*1000)</f>
        <v>10.715808794371993</v>
      </c>
      <c r="Q102" s="101">
        <f>IF(TrRoad_act!Q18=0,0,Q41/TrRoad_act!Q18*1000)</f>
        <v>11.697636929447793</v>
      </c>
      <c r="R102" s="101">
        <f>IF(TrRoad_act!R18=0,0,R41/TrRoad_act!R18*1000)</f>
        <v>11.527484972564398</v>
      </c>
      <c r="S102" s="101">
        <f>IF(TrRoad_act!S18=0,0,S41/TrRoad_act!S18*1000)</f>
        <v>11.712068173665203</v>
      </c>
      <c r="T102" s="101">
        <f>IF(TrRoad_act!T18=0,0,T41/TrRoad_act!T18*1000)</f>
        <v>12.42055177348799</v>
      </c>
      <c r="U102" s="101">
        <f>IF(TrRoad_act!U18=0,0,U41/TrRoad_act!U18*1000)</f>
        <v>12.540955169461764</v>
      </c>
      <c r="V102" s="101">
        <f>IF(TrRoad_act!V18=0,0,V41/TrRoad_act!V18*1000)</f>
        <v>19.336385976542562</v>
      </c>
      <c r="W102" s="101">
        <f>IF(TrRoad_act!W18=0,0,W41/TrRoad_act!W18*1000)</f>
        <v>18.679241079550014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51.356410115078198</v>
      </c>
      <c r="C103" s="29">
        <f>IF(TrRoad_act!C19=0,0,C42/TrRoad_act!C19*1000)</f>
        <v>53.381543902142703</v>
      </c>
      <c r="D103" s="29">
        <f>IF(TrRoad_act!D19=0,0,D42/TrRoad_act!D19*1000)</f>
        <v>53.534280932151724</v>
      </c>
      <c r="E103" s="29">
        <f>IF(TrRoad_act!E19=0,0,E42/TrRoad_act!E19*1000)</f>
        <v>54.856424115329666</v>
      </c>
      <c r="F103" s="29">
        <f>IF(TrRoad_act!F19=0,0,F42/TrRoad_act!F19*1000)</f>
        <v>56.544650628372729</v>
      </c>
      <c r="G103" s="29">
        <f>IF(TrRoad_act!G19=0,0,G42/TrRoad_act!G19*1000)</f>
        <v>55.690605658510648</v>
      </c>
      <c r="H103" s="29">
        <f>IF(TrRoad_act!H19=0,0,H42/TrRoad_act!H19*1000)</f>
        <v>56.052777396675104</v>
      </c>
      <c r="I103" s="29">
        <f>IF(TrRoad_act!I19=0,0,I42/TrRoad_act!I19*1000)</f>
        <v>56.31380529295123</v>
      </c>
      <c r="J103" s="29">
        <f>IF(TrRoad_act!J19=0,0,J42/TrRoad_act!J19*1000)</f>
        <v>56.842291682253638</v>
      </c>
      <c r="K103" s="29">
        <f>IF(TrRoad_act!K19=0,0,K42/TrRoad_act!K19*1000)</f>
        <v>57.887781068903088</v>
      </c>
      <c r="L103" s="29">
        <f>IF(TrRoad_act!L19=0,0,L42/TrRoad_act!L19*1000)</f>
        <v>56.761707366383376</v>
      </c>
      <c r="M103" s="29">
        <f>IF(TrRoad_act!M19=0,0,M42/TrRoad_act!M19*1000)</f>
        <v>55.69945854037649</v>
      </c>
      <c r="N103" s="29">
        <f>IF(TrRoad_act!N19=0,0,N42/TrRoad_act!N19*1000)</f>
        <v>53.391867177768695</v>
      </c>
      <c r="O103" s="29">
        <f>IF(TrRoad_act!O19=0,0,O42/TrRoad_act!O19*1000)</f>
        <v>51.74116206101624</v>
      </c>
      <c r="P103" s="29">
        <f>IF(TrRoad_act!P19=0,0,P42/TrRoad_act!P19*1000)</f>
        <v>52.580683595741561</v>
      </c>
      <c r="Q103" s="29">
        <f>IF(TrRoad_act!Q19=0,0,Q42/TrRoad_act!Q19*1000)</f>
        <v>54.737908290523691</v>
      </c>
      <c r="R103" s="29">
        <f>IF(TrRoad_act!R19=0,0,R42/TrRoad_act!R19*1000)</f>
        <v>56.433887169712285</v>
      </c>
      <c r="S103" s="29">
        <f>IF(TrRoad_act!S19=0,0,S42/TrRoad_act!S19*1000)</f>
        <v>57.632879852935233</v>
      </c>
      <c r="T103" s="29">
        <f>IF(TrRoad_act!T19=0,0,T42/TrRoad_act!T19*1000)</f>
        <v>60.558101396335303</v>
      </c>
      <c r="U103" s="29">
        <f>IF(TrRoad_act!U19=0,0,U42/TrRoad_act!U19*1000)</f>
        <v>58.988473597411691</v>
      </c>
      <c r="V103" s="29">
        <f>IF(TrRoad_act!V19=0,0,V42/TrRoad_act!V19*1000)</f>
        <v>55.181666777315137</v>
      </c>
      <c r="W103" s="29">
        <f>IF(TrRoad_act!W19=0,0,W42/TrRoad_act!W19*1000)</f>
        <v>60.462475420362246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1538.6374380229424</v>
      </c>
      <c r="C104" s="152">
        <f>IF(TrRoad_act!C20=0,0,C43/TrRoad_act!C20*1000)</f>
        <v>1447.373186181266</v>
      </c>
      <c r="D104" s="152">
        <f>IF(TrRoad_act!D20=0,0,D43/TrRoad_act!D20*1000)</f>
        <v>1438.0592305380085</v>
      </c>
      <c r="E104" s="152">
        <f>IF(TrRoad_act!E20=0,0,E43/TrRoad_act!E20*1000)</f>
        <v>1368.4287236984098</v>
      </c>
      <c r="F104" s="152">
        <f>IF(TrRoad_act!F20=0,0,F43/TrRoad_act!F20*1000)</f>
        <v>1320.8738137710889</v>
      </c>
      <c r="G104" s="152">
        <f>IF(TrRoad_act!G20=0,0,G43/TrRoad_act!G20*1000)</f>
        <v>1271.8805100410154</v>
      </c>
      <c r="H104" s="152">
        <f>IF(TrRoad_act!H20=0,0,H43/TrRoad_act!H20*1000)</f>
        <v>1236.2563371046363</v>
      </c>
      <c r="I104" s="152">
        <f>IF(TrRoad_act!I20=0,0,I43/TrRoad_act!I20*1000)</f>
        <v>1208.7418381082364</v>
      </c>
      <c r="J104" s="152">
        <f>IF(TrRoad_act!J20=0,0,J43/TrRoad_act!J20*1000)</f>
        <v>1172.7626911304369</v>
      </c>
      <c r="K104" s="152">
        <f>IF(TrRoad_act!K20=0,0,K43/TrRoad_act!K20*1000)</f>
        <v>1136.3121520554362</v>
      </c>
      <c r="L104" s="152">
        <f>IF(TrRoad_act!L20=0,0,L43/TrRoad_act!L20*1000)</f>
        <v>1115.9157265542999</v>
      </c>
      <c r="M104" s="152">
        <f>IF(TrRoad_act!M20=0,0,M43/TrRoad_act!M20*1000)</f>
        <v>1109.0496887449917</v>
      </c>
      <c r="N104" s="152">
        <f>IF(TrRoad_act!N20=0,0,N43/TrRoad_act!N20*1000)</f>
        <v>1092.5134784229203</v>
      </c>
      <c r="O104" s="152">
        <f>IF(TrRoad_act!O20=0,0,O43/TrRoad_act!O20*1000)</f>
        <v>1066.6863977415785</v>
      </c>
      <c r="P104" s="152">
        <f>IF(TrRoad_act!P20=0,0,P43/TrRoad_act!P20*1000)</f>
        <v>1061.0384071337282</v>
      </c>
      <c r="Q104" s="152">
        <f>IF(TrRoad_act!Q20=0,0,Q43/TrRoad_act!Q20*1000)</f>
        <v>1060.9945760935345</v>
      </c>
      <c r="R104" s="152">
        <f>IF(TrRoad_act!R20=0,0,R43/TrRoad_act!R20*1000)</f>
        <v>1028.9377839005454</v>
      </c>
      <c r="S104" s="152">
        <f>IF(TrRoad_act!S20=0,0,S43/TrRoad_act!S20*1000)</f>
        <v>992.98924140414351</v>
      </c>
      <c r="T104" s="152">
        <f>IF(TrRoad_act!T20=0,0,T43/TrRoad_act!T20*1000)</f>
        <v>974.52542875272252</v>
      </c>
      <c r="U104" s="152">
        <f>IF(TrRoad_act!U20=0,0,U43/TrRoad_act!U20*1000)</f>
        <v>962.4112610932641</v>
      </c>
      <c r="V104" s="152">
        <f>IF(TrRoad_act!V20=0,0,V43/TrRoad_act!V20*1000)</f>
        <v>944.54412705097252</v>
      </c>
      <c r="W104" s="152">
        <f>IF(TrRoad_act!W20=0,0,W43/TrRoad_act!W20*1000)</f>
        <v>969.27455274345721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1757.6648278497535</v>
      </c>
      <c r="C105" s="87">
        <f>IF(TrRoad_act!C21=0,0,C44/TrRoad_act!C21*1000)</f>
        <v>1674.5185395680458</v>
      </c>
      <c r="D105" s="87">
        <f>IF(TrRoad_act!D21=0,0,D44/TrRoad_act!D21*1000)</f>
        <v>1620.5027849463991</v>
      </c>
      <c r="E105" s="87">
        <f>IF(TrRoad_act!E21=0,0,E44/TrRoad_act!E21*1000)</f>
        <v>1546.3494328741056</v>
      </c>
      <c r="F105" s="87">
        <f>IF(TrRoad_act!F21=0,0,F44/TrRoad_act!F21*1000)</f>
        <v>1495.1627023938127</v>
      </c>
      <c r="G105" s="87">
        <f>IF(TrRoad_act!G21=0,0,G44/TrRoad_act!G21*1000)</f>
        <v>1467.9246313101501</v>
      </c>
      <c r="H105" s="87">
        <f>IF(TrRoad_act!H21=0,0,H44/TrRoad_act!H21*1000)</f>
        <v>1454.5376273776521</v>
      </c>
      <c r="I105" s="87">
        <f>IF(TrRoad_act!I21=0,0,I44/TrRoad_act!I21*1000)</f>
        <v>1413.9988722998771</v>
      </c>
      <c r="J105" s="87">
        <f>IF(TrRoad_act!J21=0,0,J44/TrRoad_act!J21*1000)</f>
        <v>1342.1539415271882</v>
      </c>
      <c r="K105" s="87">
        <f>IF(TrRoad_act!K21=0,0,K44/TrRoad_act!K21*1000)</f>
        <v>1285.1161436338102</v>
      </c>
      <c r="L105" s="87">
        <f>IF(TrRoad_act!L21=0,0,L44/TrRoad_act!L21*1000)</f>
        <v>1257.5115677247218</v>
      </c>
      <c r="M105" s="87">
        <f>IF(TrRoad_act!M21=0,0,M44/TrRoad_act!M21*1000)</f>
        <v>1264.8170018660398</v>
      </c>
      <c r="N105" s="87">
        <f>IF(TrRoad_act!N21=0,0,N44/TrRoad_act!N21*1000)</f>
        <v>1264.8964557878855</v>
      </c>
      <c r="O105" s="87">
        <f>IF(TrRoad_act!O21=0,0,O44/TrRoad_act!O21*1000)</f>
        <v>1248.6849978307475</v>
      </c>
      <c r="P105" s="87">
        <f>IF(TrRoad_act!P21=0,0,P44/TrRoad_act!P21*1000)</f>
        <v>1237.3498318880895</v>
      </c>
      <c r="Q105" s="87">
        <f>IF(TrRoad_act!Q21=0,0,Q44/TrRoad_act!Q21*1000)</f>
        <v>1221.858928009822</v>
      </c>
      <c r="R105" s="87">
        <f>IF(TrRoad_act!R21=0,0,R44/TrRoad_act!R21*1000)</f>
        <v>1204.1449597029291</v>
      </c>
      <c r="S105" s="87">
        <f>IF(TrRoad_act!S21=0,0,S44/TrRoad_act!S21*1000)</f>
        <v>1183.0212093641478</v>
      </c>
      <c r="T105" s="87">
        <f>IF(TrRoad_act!T21=0,0,T44/TrRoad_act!T21*1000)</f>
        <v>1165.7101239611659</v>
      </c>
      <c r="U105" s="87">
        <f>IF(TrRoad_act!U21=0,0,U44/TrRoad_act!U21*1000)</f>
        <v>1156.0117273523106</v>
      </c>
      <c r="V105" s="87">
        <f>IF(TrRoad_act!V21=0,0,V44/TrRoad_act!V21*1000)</f>
        <v>1117.5452789667859</v>
      </c>
      <c r="W105" s="87">
        <f>IF(TrRoad_act!W21=0,0,W44/TrRoad_act!W21*1000)</f>
        <v>1127.6857605634582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1491.641589523829</v>
      </c>
      <c r="C106" s="87">
        <f>IF(TrRoad_act!C22=0,0,C46/TrRoad_act!C22*1000)</f>
        <v>1402.6077805086095</v>
      </c>
      <c r="D106" s="87">
        <f>IF(TrRoad_act!D22=0,0,D46/TrRoad_act!D22*1000)</f>
        <v>1395.9646093445895</v>
      </c>
      <c r="E106" s="87">
        <f>IF(TrRoad_act!E22=0,0,E46/TrRoad_act!E22*1000)</f>
        <v>1330.8729805662601</v>
      </c>
      <c r="F106" s="87">
        <f>IF(TrRoad_act!F22=0,0,F46/TrRoad_act!F22*1000)</f>
        <v>1287.3819168246059</v>
      </c>
      <c r="G106" s="87">
        <f>IF(TrRoad_act!G22=0,0,G46/TrRoad_act!G22*1000)</f>
        <v>1240.8059457502604</v>
      </c>
      <c r="H106" s="87">
        <f>IF(TrRoad_act!H22=0,0,H46/TrRoad_act!H22*1000)</f>
        <v>1207.5168266603237</v>
      </c>
      <c r="I106" s="87">
        <f>IF(TrRoad_act!I22=0,0,I46/TrRoad_act!I22*1000)</f>
        <v>1185.0645918553651</v>
      </c>
      <c r="J106" s="87">
        <f>IF(TrRoad_act!J22=0,0,J46/TrRoad_act!J22*1000)</f>
        <v>1153.7677972467784</v>
      </c>
      <c r="K106" s="87">
        <f>IF(TrRoad_act!K22=0,0,K46/TrRoad_act!K22*1000)</f>
        <v>1120.8925408166645</v>
      </c>
      <c r="L106" s="87">
        <f>IF(TrRoad_act!L22=0,0,L46/TrRoad_act!L22*1000)</f>
        <v>1103.0385754086865</v>
      </c>
      <c r="M106" s="87">
        <f>IF(TrRoad_act!M22=0,0,M46/TrRoad_act!M22*1000)</f>
        <v>1096.4286567905251</v>
      </c>
      <c r="N106" s="87">
        <f>IF(TrRoad_act!N22=0,0,N46/TrRoad_act!N22*1000)</f>
        <v>1080.5436134978697</v>
      </c>
      <c r="O106" s="87">
        <f>IF(TrRoad_act!O22=0,0,O46/TrRoad_act!O22*1000)</f>
        <v>1056.185541060473</v>
      </c>
      <c r="P106" s="87">
        <f>IF(TrRoad_act!P22=0,0,P46/TrRoad_act!P22*1000)</f>
        <v>1052.1113700144513</v>
      </c>
      <c r="Q106" s="87">
        <f>IF(TrRoad_act!Q22=0,0,Q46/TrRoad_act!Q22*1000)</f>
        <v>1054.1308314180994</v>
      </c>
      <c r="R106" s="87">
        <f>IF(TrRoad_act!R22=0,0,R46/TrRoad_act!R22*1000)</f>
        <v>1021.6885818146764</v>
      </c>
      <c r="S106" s="87">
        <f>IF(TrRoad_act!S22=0,0,S46/TrRoad_act!S22*1000)</f>
        <v>984.67724026572796</v>
      </c>
      <c r="T106" s="87">
        <f>IF(TrRoad_act!T22=0,0,T46/TrRoad_act!T22*1000)</f>
        <v>965.67347995065552</v>
      </c>
      <c r="U106" s="87">
        <f>IF(TrRoad_act!U22=0,0,U46/TrRoad_act!U22*1000)</f>
        <v>952.14872096584054</v>
      </c>
      <c r="V106" s="87">
        <f>IF(TrRoad_act!V22=0,0,V46/TrRoad_act!V22*1000)</f>
        <v>932.50063471901728</v>
      </c>
      <c r="W106" s="87">
        <f>IF(TrRoad_act!W22=0,0,W46/TrRoad_act!W22*1000)</f>
        <v>954.05767664177245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2860.3145062322073</v>
      </c>
      <c r="C107" s="87">
        <f>IF(TrRoad_act!C23=0,0,C48/TrRoad_act!C23*1000)</f>
        <v>2659.7673845016598</v>
      </c>
      <c r="D107" s="87">
        <f>IF(TrRoad_act!D23=0,0,D48/TrRoad_act!D23*1000)</f>
        <v>2664.0890311216895</v>
      </c>
      <c r="E107" s="87">
        <f>IF(TrRoad_act!E23=0,0,E48/TrRoad_act!E23*1000)</f>
        <v>2622.9563499145743</v>
      </c>
      <c r="F107" s="87">
        <f>IF(TrRoad_act!F23=0,0,F48/TrRoad_act!F23*1000)</f>
        <v>2543.7140785298648</v>
      </c>
      <c r="G107" s="87">
        <f>IF(TrRoad_act!G23=0,0,G48/TrRoad_act!G23*1000)</f>
        <v>2446.7413288474686</v>
      </c>
      <c r="H107" s="87">
        <f>IF(TrRoad_act!H23=0,0,H48/TrRoad_act!H23*1000)</f>
        <v>2343.5981349373328</v>
      </c>
      <c r="I107" s="87">
        <f>IF(TrRoad_act!I23=0,0,I48/TrRoad_act!I23*1000)</f>
        <v>2284.5653653554732</v>
      </c>
      <c r="J107" s="87">
        <f>IF(TrRoad_act!J23=0,0,J48/TrRoad_act!J23*1000)</f>
        <v>2144.3771170977075</v>
      </c>
      <c r="K107" s="87">
        <f>IF(TrRoad_act!K23=0,0,K48/TrRoad_act!K23*1000)</f>
        <v>2006.3081712627845</v>
      </c>
      <c r="L107" s="87">
        <f>IF(TrRoad_act!L23=0,0,L48/TrRoad_act!L23*1000)</f>
        <v>1904.5508284852797</v>
      </c>
      <c r="M107" s="87">
        <f>IF(TrRoad_act!M23=0,0,M48/TrRoad_act!M23*1000)</f>
        <v>1855.6977377248534</v>
      </c>
      <c r="N107" s="87">
        <f>IF(TrRoad_act!N23=0,0,N48/TrRoad_act!N23*1000)</f>
        <v>1820.1540816304866</v>
      </c>
      <c r="O107" s="87">
        <f>IF(TrRoad_act!O23=0,0,O48/TrRoad_act!O23*1000)</f>
        <v>1778.5245951840636</v>
      </c>
      <c r="P107" s="87">
        <f>IF(TrRoad_act!P23=0,0,P48/TrRoad_act!P23*1000)</f>
        <v>1778.2216718855664</v>
      </c>
      <c r="Q107" s="87">
        <f>IF(TrRoad_act!Q23=0,0,Q48/TrRoad_act!Q23*1000)</f>
        <v>1796.4094082599593</v>
      </c>
      <c r="R107" s="87">
        <f>IF(TrRoad_act!R23=0,0,R48/TrRoad_act!R23*1000)</f>
        <v>1788.7064540144324</v>
      </c>
      <c r="S107" s="87">
        <f>IF(TrRoad_act!S23=0,0,S48/TrRoad_act!S23*1000)</f>
        <v>1777.2615038421118</v>
      </c>
      <c r="T107" s="87">
        <f>IF(TrRoad_act!T23=0,0,T48/TrRoad_act!T23*1000)</f>
        <v>1757.3905215914162</v>
      </c>
      <c r="U107" s="87">
        <f>IF(TrRoad_act!U23=0,0,U48/TrRoad_act!U23*1000)</f>
        <v>1745.7981709715211</v>
      </c>
      <c r="V107" s="87">
        <f>IF(TrRoad_act!V23=0,0,V48/TrRoad_act!V23*1000)</f>
        <v>1684.5868038044227</v>
      </c>
      <c r="W107" s="87">
        <f>IF(TrRoad_act!W23=0,0,W48/TrRoad_act!W23*1000)</f>
        <v>1713.9734871824899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1330.3934715083637</v>
      </c>
      <c r="K108" s="87">
        <f>IF(TrRoad_act!K24=0,0,K49/TrRoad_act!K24*1000)</f>
        <v>1321.317130380407</v>
      </c>
      <c r="L108" s="87">
        <f>IF(TrRoad_act!L24=0,0,L49/TrRoad_act!L24*1000)</f>
        <v>1310.8371737609216</v>
      </c>
      <c r="M108" s="87">
        <f>IF(TrRoad_act!M24=0,0,M49/TrRoad_act!M24*1000)</f>
        <v>1301.5976553809865</v>
      </c>
      <c r="N108" s="87">
        <f>IF(TrRoad_act!N24=0,0,N49/TrRoad_act!N24*1000)</f>
        <v>1298.4249831469981</v>
      </c>
      <c r="O108" s="87">
        <f>IF(TrRoad_act!O24=0,0,O49/TrRoad_act!O24*1000)</f>
        <v>1419.2185039464239</v>
      </c>
      <c r="P108" s="87">
        <f>IF(TrRoad_act!P24=0,0,P49/TrRoad_act!P24*1000)</f>
        <v>1251.0485517592481</v>
      </c>
      <c r="Q108" s="87">
        <f>IF(TrRoad_act!Q24=0,0,Q49/TrRoad_act!Q24*1000)</f>
        <v>1421.9598021510524</v>
      </c>
      <c r="R108" s="87">
        <f>IF(TrRoad_act!R24=0,0,R49/TrRoad_act!R24*1000)</f>
        <v>1398.4393519541186</v>
      </c>
      <c r="S108" s="87">
        <f>IF(TrRoad_act!S24=0,0,S49/TrRoad_act!S24*1000)</f>
        <v>1356.9303438058732</v>
      </c>
      <c r="T108" s="87">
        <f>IF(TrRoad_act!T24=0,0,T49/TrRoad_act!T24*1000)</f>
        <v>1317.2967335257015</v>
      </c>
      <c r="U108" s="87">
        <f>IF(TrRoad_act!U24=0,0,U49/TrRoad_act!U24*1000)</f>
        <v>1661.22376694117</v>
      </c>
      <c r="V108" s="87">
        <f>IF(TrRoad_act!V24=0,0,V49/TrRoad_act!V24*1000)</f>
        <v>2339.6305553667289</v>
      </c>
      <c r="W108" s="87">
        <f>IF(TrRoad_act!W24=0,0,W49/TrRoad_act!W24*1000)</f>
        <v>3535.4445103261169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224.02985414287267</v>
      </c>
      <c r="K109" s="87">
        <f>IF(TrRoad_act!K25=0,0,K51/TrRoad_act!K25*1000)</f>
        <v>224.15049876119488</v>
      </c>
      <c r="L109" s="87">
        <f>IF(TrRoad_act!L25=0,0,L51/TrRoad_act!L25*1000)</f>
        <v>224.21822408090739</v>
      </c>
      <c r="M109" s="87">
        <f>IF(TrRoad_act!M25=0,0,M51/TrRoad_act!M25*1000)</f>
        <v>225.69836934309271</v>
      </c>
      <c r="N109" s="87">
        <f>IF(TrRoad_act!N25=0,0,N51/TrRoad_act!N25*1000)</f>
        <v>229.17981144241881</v>
      </c>
      <c r="O109" s="87">
        <f>IF(TrRoad_act!O25=0,0,O51/TrRoad_act!O25*1000)</f>
        <v>229.59378933236408</v>
      </c>
      <c r="P109" s="87">
        <f>IF(TrRoad_act!P25=0,0,P51/TrRoad_act!P25*1000)</f>
        <v>230.85393240892398</v>
      </c>
      <c r="Q109" s="87">
        <f>IF(TrRoad_act!Q25=0,0,Q51/TrRoad_act!Q25*1000)</f>
        <v>234.04710519450356</v>
      </c>
      <c r="R109" s="87">
        <f>IF(TrRoad_act!R25=0,0,R51/TrRoad_act!R25*1000)</f>
        <v>240.93108706765676</v>
      </c>
      <c r="S109" s="87">
        <f>IF(TrRoad_act!S25=0,0,S51/TrRoad_act!S25*1000)</f>
        <v>245.60978981524707</v>
      </c>
      <c r="T109" s="87">
        <f>IF(TrRoad_act!T25=0,0,T51/TrRoad_act!T25*1000)</f>
        <v>257.04419413737162</v>
      </c>
      <c r="U109" s="87">
        <f>IF(TrRoad_act!U25=0,0,U51/TrRoad_act!U25*1000)</f>
        <v>278.86550684800432</v>
      </c>
      <c r="V109" s="87">
        <f>IF(TrRoad_act!V25=0,0,V51/TrRoad_act!V25*1000)</f>
        <v>307.49841113689331</v>
      </c>
      <c r="W109" s="87">
        <f>IF(TrRoad_act!W25=0,0,W51/TrRoad_act!W25*1000)</f>
        <v>338.46285904283548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25.912496851758885</v>
      </c>
      <c r="C110" s="116">
        <f>IF(TrRoad_act!C26=0,0,C52/TrRoad_act!C26*1000)</f>
        <v>29.213910026312846</v>
      </c>
      <c r="D110" s="116">
        <f>IF(TrRoad_act!D26=0,0,D52/TrRoad_act!D26*1000)</f>
        <v>29.051289509858297</v>
      </c>
      <c r="E110" s="116">
        <f>IF(TrRoad_act!E26=0,0,E52/TrRoad_act!E26*1000)</f>
        <v>30.110523850067082</v>
      </c>
      <c r="F110" s="116">
        <f>IF(TrRoad_act!F26=0,0,F52/TrRoad_act!F26*1000)</f>
        <v>32.213525241331794</v>
      </c>
      <c r="G110" s="116">
        <f>IF(TrRoad_act!G26=0,0,G52/TrRoad_act!G26*1000)</f>
        <v>31.525314160422113</v>
      </c>
      <c r="H110" s="116">
        <f>IF(TrRoad_act!H26=0,0,H52/TrRoad_act!H26*1000)</f>
        <v>32.25354786385904</v>
      </c>
      <c r="I110" s="116">
        <f>IF(TrRoad_act!I26=0,0,I52/TrRoad_act!I26*1000)</f>
        <v>32.25804465246059</v>
      </c>
      <c r="J110" s="116">
        <f>IF(TrRoad_act!J26=0,0,J52/TrRoad_act!J26*1000)</f>
        <v>31.895775258318096</v>
      </c>
      <c r="K110" s="116">
        <f>IF(TrRoad_act!K26=0,0,K52/TrRoad_act!K26*1000)</f>
        <v>32.134324086045766</v>
      </c>
      <c r="L110" s="116">
        <f>IF(TrRoad_act!L26=0,0,L52/TrRoad_act!L26*1000)</f>
        <v>31.835358175607627</v>
      </c>
      <c r="M110" s="116">
        <f>IF(TrRoad_act!M26=0,0,M52/TrRoad_act!M26*1000)</f>
        <v>30.976939131142611</v>
      </c>
      <c r="N110" s="116">
        <f>IF(TrRoad_act!N26=0,0,N52/TrRoad_act!N26*1000)</f>
        <v>29.304482457362688</v>
      </c>
      <c r="O110" s="116">
        <f>IF(TrRoad_act!O26=0,0,O52/TrRoad_act!O26*1000)</f>
        <v>29.807292048025321</v>
      </c>
      <c r="P110" s="116">
        <f>IF(TrRoad_act!P26=0,0,P52/TrRoad_act!P26*1000)</f>
        <v>30.109924663698205</v>
      </c>
      <c r="Q110" s="116">
        <f>IF(TrRoad_act!Q26=0,0,Q52/TrRoad_act!Q26*1000)</f>
        <v>32.197020282315826</v>
      </c>
      <c r="R110" s="116">
        <f>IF(TrRoad_act!R26=0,0,R52/TrRoad_act!R26*1000)</f>
        <v>35.999350597583444</v>
      </c>
      <c r="S110" s="116">
        <f>IF(TrRoad_act!S26=0,0,S52/TrRoad_act!S26*1000)</f>
        <v>38.866736462545013</v>
      </c>
      <c r="T110" s="116">
        <f>IF(TrRoad_act!T26=0,0,T52/TrRoad_act!T26*1000)</f>
        <v>41.763062140436475</v>
      </c>
      <c r="U110" s="116">
        <f>IF(TrRoad_act!U26=0,0,U52/TrRoad_act!U26*1000)</f>
        <v>40.632448822524282</v>
      </c>
      <c r="V110" s="116">
        <f>IF(TrRoad_act!V26=0,0,V52/TrRoad_act!V26*1000)</f>
        <v>37.746606389127223</v>
      </c>
      <c r="W110" s="116">
        <f>IF(TrRoad_act!W26=0,0,W52/TrRoad_act!W26*1000)</f>
        <v>41.240486456000028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29.45247714763957</v>
      </c>
      <c r="C111" s="101">
        <f>IF(TrRoad_act!C27=0,0,C53/TrRoad_act!C27*1000)</f>
        <v>33.832998043932285</v>
      </c>
      <c r="D111" s="101">
        <f>IF(TrRoad_act!D27=0,0,D53/TrRoad_act!D27*1000)</f>
        <v>34.417080961862546</v>
      </c>
      <c r="E111" s="101">
        <f>IF(TrRoad_act!E27=0,0,E53/TrRoad_act!E27*1000)</f>
        <v>35.188558120824055</v>
      </c>
      <c r="F111" s="101">
        <f>IF(TrRoad_act!F27=0,0,F53/TrRoad_act!F27*1000)</f>
        <v>38.781725809822383</v>
      </c>
      <c r="G111" s="101">
        <f>IF(TrRoad_act!G27=0,0,G53/TrRoad_act!G27*1000)</f>
        <v>36.850111005033568</v>
      </c>
      <c r="H111" s="101">
        <f>IF(TrRoad_act!H27=0,0,H53/TrRoad_act!H27*1000)</f>
        <v>37.770598174672692</v>
      </c>
      <c r="I111" s="101">
        <f>IF(TrRoad_act!I27=0,0,I53/TrRoad_act!I27*1000)</f>
        <v>37.53765020949924</v>
      </c>
      <c r="J111" s="101">
        <f>IF(TrRoad_act!J27=0,0,J53/TrRoad_act!J27*1000)</f>
        <v>34.416825106152736</v>
      </c>
      <c r="K111" s="101">
        <f>IF(TrRoad_act!K27=0,0,K53/TrRoad_act!K27*1000)</f>
        <v>34.576278533053255</v>
      </c>
      <c r="L111" s="101">
        <f>IF(TrRoad_act!L27=0,0,L53/TrRoad_act!L27*1000)</f>
        <v>34.749406282536789</v>
      </c>
      <c r="M111" s="101">
        <f>IF(TrRoad_act!M27=0,0,M53/TrRoad_act!M27*1000)</f>
        <v>34.364145405717231</v>
      </c>
      <c r="N111" s="101">
        <f>IF(TrRoad_act!N27=0,0,N53/TrRoad_act!N27*1000)</f>
        <v>31.989742542094884</v>
      </c>
      <c r="O111" s="101">
        <f>IF(TrRoad_act!O27=0,0,O53/TrRoad_act!O27*1000)</f>
        <v>32.453435652889311</v>
      </c>
      <c r="P111" s="101">
        <f>IF(TrRoad_act!P27=0,0,P53/TrRoad_act!P27*1000)</f>
        <v>33.289820237495739</v>
      </c>
      <c r="Q111" s="101">
        <f>IF(TrRoad_act!Q27=0,0,Q53/TrRoad_act!Q27*1000)</f>
        <v>36.068862381509888</v>
      </c>
      <c r="R111" s="101">
        <f>IF(TrRoad_act!R27=0,0,R53/TrRoad_act!R27*1000)</f>
        <v>39.511158269290604</v>
      </c>
      <c r="S111" s="101">
        <f>IF(TrRoad_act!S27=0,0,S53/TrRoad_act!S27*1000)</f>
        <v>43.993248680410915</v>
      </c>
      <c r="T111" s="101">
        <f>IF(TrRoad_act!T27=0,0,T53/TrRoad_act!T27*1000)</f>
        <v>45.439594994720757</v>
      </c>
      <c r="U111" s="101">
        <f>IF(TrRoad_act!U27=0,0,U53/TrRoad_act!U27*1000)</f>
        <v>44.521213766606564</v>
      </c>
      <c r="V111" s="101">
        <f>IF(TrRoad_act!V27=0,0,V53/TrRoad_act!V27*1000)</f>
        <v>39.717788221716823</v>
      </c>
      <c r="W111" s="101">
        <f>IF(TrRoad_act!W27=0,0,W53/TrRoad_act!W27*1000)</f>
        <v>43.708466258219218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22.386336776699221</v>
      </c>
      <c r="C112" s="88">
        <f>IF(TrRoad_act!C28=0,0,C55/TrRoad_act!C28*1000)</f>
        <v>24.742357693620676</v>
      </c>
      <c r="D112" s="88">
        <f>IF(TrRoad_act!D28=0,0,D55/TrRoad_act!D28*1000)</f>
        <v>24.187334208751913</v>
      </c>
      <c r="E112" s="88">
        <f>IF(TrRoad_act!E28=0,0,E55/TrRoad_act!E28*1000)</f>
        <v>25.759813587569848</v>
      </c>
      <c r="F112" s="88">
        <f>IF(TrRoad_act!F28=0,0,F55/TrRoad_act!F28*1000)</f>
        <v>27.406858165529979</v>
      </c>
      <c r="G112" s="88">
        <f>IF(TrRoad_act!G28=0,0,G55/TrRoad_act!G28*1000)</f>
        <v>27.788851093698835</v>
      </c>
      <c r="H112" s="88">
        <f>IF(TrRoad_act!H28=0,0,H55/TrRoad_act!H28*1000)</f>
        <v>28.436225042877865</v>
      </c>
      <c r="I112" s="88">
        <f>IF(TrRoad_act!I28=0,0,I55/TrRoad_act!I28*1000)</f>
        <v>28.72954460471448</v>
      </c>
      <c r="J112" s="88">
        <f>IF(TrRoad_act!J28=0,0,J55/TrRoad_act!J28*1000)</f>
        <v>30.304842271061464</v>
      </c>
      <c r="K112" s="88">
        <f>IF(TrRoad_act!K28=0,0,K55/TrRoad_act!K28*1000)</f>
        <v>30.531749576581838</v>
      </c>
      <c r="L112" s="88">
        <f>IF(TrRoad_act!L28=0,0,L55/TrRoad_act!L28*1000)</f>
        <v>29.979316327944236</v>
      </c>
      <c r="M112" s="88">
        <f>IF(TrRoad_act!M28=0,0,M55/TrRoad_act!M28*1000)</f>
        <v>28.81562977644311</v>
      </c>
      <c r="N112" s="88">
        <f>IF(TrRoad_act!N28=0,0,N55/TrRoad_act!N28*1000)</f>
        <v>27.539172862993205</v>
      </c>
      <c r="O112" s="88">
        <f>IF(TrRoad_act!O28=0,0,O55/TrRoad_act!O28*1000)</f>
        <v>28.052286958432283</v>
      </c>
      <c r="P112" s="88">
        <f>IF(TrRoad_act!P28=0,0,P55/TrRoad_act!P28*1000)</f>
        <v>27.992488659062541</v>
      </c>
      <c r="Q112" s="88">
        <f>IF(TrRoad_act!Q28=0,0,Q55/TrRoad_act!Q28*1000)</f>
        <v>29.37556421883696</v>
      </c>
      <c r="R112" s="88">
        <f>IF(TrRoad_act!R28=0,0,R55/TrRoad_act!R28*1000)</f>
        <v>33.56458855336345</v>
      </c>
      <c r="S112" s="88">
        <f>IF(TrRoad_act!S28=0,0,S55/TrRoad_act!S28*1000)</f>
        <v>35.510016095344533</v>
      </c>
      <c r="T112" s="88">
        <f>IF(TrRoad_act!T28=0,0,T55/TrRoad_act!T28*1000)</f>
        <v>39.266700332957264</v>
      </c>
      <c r="U112" s="88">
        <f>IF(TrRoad_act!U28=0,0,U55/TrRoad_act!U28*1000)</f>
        <v>37.881188778887804</v>
      </c>
      <c r="V112" s="88">
        <f>IF(TrRoad_act!V28=0,0,V55/TrRoad_act!V28*1000)</f>
        <v>36.350574060009102</v>
      </c>
      <c r="W112" s="88">
        <f>IF(TrRoad_act!W28=0,0,W55/TrRoad_act!W28*1000)</f>
        <v>39.417755231477592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216.12137565471181</v>
      </c>
      <c r="C116" s="152">
        <f>IF(C19=0,0,1000000*C19/TrRoad_act!C59)</f>
        <v>211.91033065527449</v>
      </c>
      <c r="D116" s="152">
        <f>IF(D19=0,0,1000000*D19/TrRoad_act!D59)</f>
        <v>212.94999590289339</v>
      </c>
      <c r="E116" s="152">
        <f>IF(E19=0,0,1000000*E19/TrRoad_act!E59)</f>
        <v>210.58695210078406</v>
      </c>
      <c r="F116" s="152">
        <f>IF(F19=0,0,1000000*F19/TrRoad_act!F59)</f>
        <v>209.63555228071513</v>
      </c>
      <c r="G116" s="152">
        <f>IF(G19=0,0,1000000*G19/TrRoad_act!G59)</f>
        <v>186.48929308083049</v>
      </c>
      <c r="H116" s="152">
        <f>IF(H19=0,0,1000000*H19/TrRoad_act!H59)</f>
        <v>184.30662901366588</v>
      </c>
      <c r="I116" s="152">
        <f>IF(I19=0,0,1000000*I19/TrRoad_act!I59)</f>
        <v>182.42289540082143</v>
      </c>
      <c r="J116" s="152">
        <f>IF(J19=0,0,1000000*J19/TrRoad_act!J59)</f>
        <v>174.03041293395285</v>
      </c>
      <c r="K116" s="152">
        <f>IF(K19=0,0,1000000*K19/TrRoad_act!K59)</f>
        <v>162.41764606306273</v>
      </c>
      <c r="L116" s="152">
        <f>IF(L19=0,0,1000000*L19/TrRoad_act!L59)</f>
        <v>148.42312111020848</v>
      </c>
      <c r="M116" s="152">
        <f>IF(M19=0,0,1000000*M19/TrRoad_act!M59)</f>
        <v>141.20354885958491</v>
      </c>
      <c r="N116" s="152">
        <f>IF(N19=0,0,1000000*N19/TrRoad_act!N59)</f>
        <v>132.72175870260352</v>
      </c>
      <c r="O116" s="152">
        <f>IF(O19=0,0,1000000*O19/TrRoad_act!O59)</f>
        <v>123.35412403920036</v>
      </c>
      <c r="P116" s="152">
        <f>IF(P19=0,0,1000000*P19/TrRoad_act!P59)</f>
        <v>126.8473370764784</v>
      </c>
      <c r="Q116" s="152">
        <f>IF(Q19=0,0,1000000*Q19/TrRoad_act!Q59)</f>
        <v>122.08414890734382</v>
      </c>
      <c r="R116" s="152">
        <f>IF(R19=0,0,1000000*R19/TrRoad_act!R59)</f>
        <v>116.23137578454916</v>
      </c>
      <c r="S116" s="152">
        <f>IF(S19=0,0,1000000*S19/TrRoad_act!S59)</f>
        <v>110.21263427098005</v>
      </c>
      <c r="T116" s="152">
        <f>IF(T19=0,0,1000000*T19/TrRoad_act!T59)</f>
        <v>76.357881154068878</v>
      </c>
      <c r="U116" s="152">
        <f>IF(U19=0,0,1000000*U19/TrRoad_act!U59)</f>
        <v>77.402332985154672</v>
      </c>
      <c r="V116" s="152">
        <f>IF(V19=0,0,1000000*V19/TrRoad_act!V59)</f>
        <v>64.25232176953908</v>
      </c>
      <c r="W116" s="152">
        <f>IF(W19=0,0,1000000*W19/TrRoad_act!W59)</f>
        <v>60.230284744191891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1108.1222828756768</v>
      </c>
      <c r="C117" s="116">
        <f>IF(C21=0,0,1000000*C21/TrRoad_act!C60)</f>
        <v>1110.2940338668716</v>
      </c>
      <c r="D117" s="116">
        <f>IF(D21=0,0,1000000*D21/TrRoad_act!D60)</f>
        <v>1086.547821027772</v>
      </c>
      <c r="E117" s="116">
        <f>IF(E21=0,0,1000000*E21/TrRoad_act!E60)</f>
        <v>1106.0207809804213</v>
      </c>
      <c r="F117" s="116">
        <f>IF(F21=0,0,1000000*F21/TrRoad_act!F60)</f>
        <v>1104.4836057601162</v>
      </c>
      <c r="G117" s="116">
        <f>IF(G21=0,0,1000000*G21/TrRoad_act!G60)</f>
        <v>1047.0588114955344</v>
      </c>
      <c r="H117" s="116">
        <f>IF(H21=0,0,1000000*H21/TrRoad_act!H60)</f>
        <v>1058.2052173874063</v>
      </c>
      <c r="I117" s="116">
        <f>IF(I21=0,0,1000000*I21/TrRoad_act!I60)</f>
        <v>1078.3274639739118</v>
      </c>
      <c r="J117" s="116">
        <f>IF(J21=0,0,1000000*J21/TrRoad_act!J60)</f>
        <v>1079.9584370604246</v>
      </c>
      <c r="K117" s="116">
        <f>IF(K21=0,0,1000000*K21/TrRoad_act!K60)</f>
        <v>1069.1340823857602</v>
      </c>
      <c r="L117" s="116">
        <f>IF(L21=0,0,1000000*L21/TrRoad_act!L60)</f>
        <v>1036.9762415659898</v>
      </c>
      <c r="M117" s="116">
        <f>IF(M21=0,0,1000000*M21/TrRoad_act!M60)</f>
        <v>999.8410336455778</v>
      </c>
      <c r="N117" s="116">
        <f>IF(N21=0,0,1000000*N21/TrRoad_act!N60)</f>
        <v>967.14371194627779</v>
      </c>
      <c r="O117" s="116">
        <f>IF(O21=0,0,1000000*O21/TrRoad_act!O60)</f>
        <v>930.24005765336108</v>
      </c>
      <c r="P117" s="116">
        <f>IF(P21=0,0,1000000*P21/TrRoad_act!P60)</f>
        <v>939.40121523077244</v>
      </c>
      <c r="Q117" s="116">
        <f>IF(Q21=0,0,1000000*Q21/TrRoad_act!Q60)</f>
        <v>949.37552632514826</v>
      </c>
      <c r="R117" s="116">
        <f>IF(R21=0,0,1000000*R21/TrRoad_act!R60)</f>
        <v>920.41163067215416</v>
      </c>
      <c r="S117" s="116">
        <f>IF(S21=0,0,1000000*S21/TrRoad_act!S60)</f>
        <v>872.44797010781474</v>
      </c>
      <c r="T117" s="116">
        <f>IF(T21=0,0,1000000*T21/TrRoad_act!T60)</f>
        <v>852.90857115707058</v>
      </c>
      <c r="U117" s="116">
        <f>IF(U21=0,0,1000000*U21/TrRoad_act!U60)</f>
        <v>833.19142971215877</v>
      </c>
      <c r="V117" s="116">
        <f>IF(V21=0,0,1000000*V21/TrRoad_act!V60)</f>
        <v>692.71035889757718</v>
      </c>
      <c r="W117" s="116">
        <f>IF(W21=0,0,1000000*W21/TrRoad_act!W60)</f>
        <v>743.84555823342657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800.03181234842907</v>
      </c>
      <c r="C118" s="87">
        <f>IF(C22=0,0,1000000*C22/TrRoad_act!C61)</f>
        <v>793.43689529741903</v>
      </c>
      <c r="D118" s="87">
        <f>IF(D22=0,0,1000000*D22/TrRoad_act!D61)</f>
        <v>769.8525227317399</v>
      </c>
      <c r="E118" s="87">
        <f>IF(E22=0,0,1000000*E22/TrRoad_act!E61)</f>
        <v>797.19505872429636</v>
      </c>
      <c r="F118" s="87">
        <f>IF(F22=0,0,1000000*F22/TrRoad_act!F61)</f>
        <v>746.63611463653422</v>
      </c>
      <c r="G118" s="87">
        <f>IF(G22=0,0,1000000*G22/TrRoad_act!G61)</f>
        <v>708.14390117675862</v>
      </c>
      <c r="H118" s="87">
        <f>IF(H22=0,0,1000000*H22/TrRoad_act!H61)</f>
        <v>680.24760752431177</v>
      </c>
      <c r="I118" s="87">
        <f>IF(I22=0,0,1000000*I22/TrRoad_act!I61)</f>
        <v>664.48742559940922</v>
      </c>
      <c r="J118" s="87">
        <f>IF(J22=0,0,1000000*J22/TrRoad_act!J61)</f>
        <v>630.19240474633682</v>
      </c>
      <c r="K118" s="87">
        <f>IF(K22=0,0,1000000*K22/TrRoad_act!K61)</f>
        <v>626.02096372868778</v>
      </c>
      <c r="L118" s="87">
        <f>IF(L22=0,0,1000000*L22/TrRoad_act!L61)</f>
        <v>588.30760599827909</v>
      </c>
      <c r="M118" s="87">
        <f>IF(M22=0,0,1000000*M22/TrRoad_act!M61)</f>
        <v>571.65435729923024</v>
      </c>
      <c r="N118" s="87">
        <f>IF(N22=0,0,1000000*N22/TrRoad_act!N61)</f>
        <v>563.8422366132296</v>
      </c>
      <c r="O118" s="87">
        <f>IF(O22=0,0,1000000*O22/TrRoad_act!O61)</f>
        <v>561.59249801146348</v>
      </c>
      <c r="P118" s="87">
        <f>IF(P22=0,0,1000000*P22/TrRoad_act!P61)</f>
        <v>585.94926873188501</v>
      </c>
      <c r="Q118" s="87">
        <f>IF(Q22=0,0,1000000*Q22/TrRoad_act!Q61)</f>
        <v>608.60431300703124</v>
      </c>
      <c r="R118" s="87">
        <f>IF(R22=0,0,1000000*R22/TrRoad_act!R61)</f>
        <v>625.78091113457674</v>
      </c>
      <c r="S118" s="87">
        <f>IF(S22=0,0,1000000*S22/TrRoad_act!S61)</f>
        <v>607.64557486438071</v>
      </c>
      <c r="T118" s="87">
        <f>IF(T22=0,0,1000000*T22/TrRoad_act!T61)</f>
        <v>631.3840449925757</v>
      </c>
      <c r="U118" s="87">
        <f>IF(U22=0,0,1000000*U22/TrRoad_act!U61)</f>
        <v>658.13606232435404</v>
      </c>
      <c r="V118" s="87">
        <f>IF(V22=0,0,1000000*V22/TrRoad_act!V61)</f>
        <v>521.06663773150638</v>
      </c>
      <c r="W118" s="87">
        <f>IF(W22=0,0,1000000*W22/TrRoad_act!W61)</f>
        <v>605.09575801702954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1565.9281706144864</v>
      </c>
      <c r="C119" s="87">
        <f>IF(C24=0,0,1000000*C24/TrRoad_act!C62)</f>
        <v>1548.1525611398495</v>
      </c>
      <c r="D119" s="87">
        <f>IF(D24=0,0,1000000*D24/TrRoad_act!D62)</f>
        <v>1499.2143169381147</v>
      </c>
      <c r="E119" s="87">
        <f>IF(E24=0,0,1000000*E24/TrRoad_act!E62)</f>
        <v>1483.536327429558</v>
      </c>
      <c r="F119" s="87">
        <f>IF(F24=0,0,1000000*F24/TrRoad_act!F62)</f>
        <v>1503.5833866871624</v>
      </c>
      <c r="G119" s="87">
        <f>IF(G24=0,0,1000000*G24/TrRoad_act!G62)</f>
        <v>1395.0009912554513</v>
      </c>
      <c r="H119" s="87">
        <f>IF(H24=0,0,1000000*H24/TrRoad_act!H62)</f>
        <v>1407.5207915689355</v>
      </c>
      <c r="I119" s="87">
        <f>IF(I24=0,0,1000000*I24/TrRoad_act!I62)</f>
        <v>1426.5493903781778</v>
      </c>
      <c r="J119" s="87">
        <f>IF(J24=0,0,1000000*J24/TrRoad_act!J62)</f>
        <v>1421.331132391364</v>
      </c>
      <c r="K119" s="87">
        <f>IF(K24=0,0,1000000*K24/TrRoad_act!K62)</f>
        <v>1379.185297026067</v>
      </c>
      <c r="L119" s="87">
        <f>IF(L24=0,0,1000000*L24/TrRoad_act!L62)</f>
        <v>1327.6830787437784</v>
      </c>
      <c r="M119" s="87">
        <f>IF(M24=0,0,1000000*M24/TrRoad_act!M62)</f>
        <v>1260.6917620724257</v>
      </c>
      <c r="N119" s="87">
        <f>IF(N24=0,0,1000000*N24/TrRoad_act!N62)</f>
        <v>1206.8409931169876</v>
      </c>
      <c r="O119" s="87">
        <f>IF(O24=0,0,1000000*O24/TrRoad_act!O62)</f>
        <v>1148.1392963847957</v>
      </c>
      <c r="P119" s="87">
        <f>IF(P24=0,0,1000000*P24/TrRoad_act!P62)</f>
        <v>1152.2155469657569</v>
      </c>
      <c r="Q119" s="87">
        <f>IF(Q24=0,0,1000000*Q24/TrRoad_act!Q62)</f>
        <v>1161.2422870402449</v>
      </c>
      <c r="R119" s="87">
        <f>IF(R24=0,0,1000000*R24/TrRoad_act!R62)</f>
        <v>1114.5158134085864</v>
      </c>
      <c r="S119" s="87">
        <f>IF(S24=0,0,1000000*S24/TrRoad_act!S62)</f>
        <v>1065.7652794771527</v>
      </c>
      <c r="T119" s="87">
        <f>IF(T24=0,0,1000000*T24/TrRoad_act!T62)</f>
        <v>1037.8286519507267</v>
      </c>
      <c r="U119" s="87">
        <f>IF(U24=0,0,1000000*U24/TrRoad_act!U62)</f>
        <v>1000.6636308843877</v>
      </c>
      <c r="V119" s="87">
        <f>IF(V24=0,0,1000000*V24/TrRoad_act!V62)</f>
        <v>877.40555446718565</v>
      </c>
      <c r="W119" s="87">
        <f>IF(W24=0,0,1000000*W24/TrRoad_act!W62)</f>
        <v>919.94035427843914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886.47940067001321</v>
      </c>
      <c r="C120" s="87">
        <f>IF(C26=0,0,1000000*C26/TrRoad_act!C63)</f>
        <v>908.42335023371845</v>
      </c>
      <c r="D120" s="87">
        <f>IF(D26=0,0,1000000*D26/TrRoad_act!D63)</f>
        <v>732.02873214690555</v>
      </c>
      <c r="E120" s="87">
        <f>IF(E26=0,0,1000000*E26/TrRoad_act!E63)</f>
        <v>666.91961104082691</v>
      </c>
      <c r="F120" s="87">
        <f>IF(F26=0,0,1000000*F26/TrRoad_act!F63)</f>
        <v>682.30454247049568</v>
      </c>
      <c r="G120" s="87">
        <f>IF(G26=0,0,1000000*G26/TrRoad_act!G63)</f>
        <v>718.05549940130152</v>
      </c>
      <c r="H120" s="87">
        <f>IF(H26=0,0,1000000*H26/TrRoad_act!H63)</f>
        <v>755.52256324821485</v>
      </c>
      <c r="I120" s="87">
        <f>IF(I26=0,0,1000000*I26/TrRoad_act!I63)</f>
        <v>692.09241230309942</v>
      </c>
      <c r="J120" s="87">
        <f>IF(J26=0,0,1000000*J26/TrRoad_act!J63)</f>
        <v>720.03236174265157</v>
      </c>
      <c r="K120" s="87">
        <f>IF(K26=0,0,1000000*K26/TrRoad_act!K63)</f>
        <v>777.04290058827928</v>
      </c>
      <c r="L120" s="87">
        <f>IF(L26=0,0,1000000*L26/TrRoad_act!L63)</f>
        <v>831.36732474426651</v>
      </c>
      <c r="M120" s="87">
        <f>IF(M26=0,0,1000000*M26/TrRoad_act!M63)</f>
        <v>812.71939908463821</v>
      </c>
      <c r="N120" s="87">
        <f>IF(N26=0,0,1000000*N26/TrRoad_act!N63)</f>
        <v>761.67678507974244</v>
      </c>
      <c r="O120" s="87">
        <f>IF(O26=0,0,1000000*O26/TrRoad_act!O63)</f>
        <v>764.27313216305356</v>
      </c>
      <c r="P120" s="87">
        <f>IF(P26=0,0,1000000*P26/TrRoad_act!P63)</f>
        <v>775.84313458687939</v>
      </c>
      <c r="Q120" s="87">
        <f>IF(Q26=0,0,1000000*Q26/TrRoad_act!Q63)</f>
        <v>867.63298628028906</v>
      </c>
      <c r="R120" s="87">
        <f>IF(R26=0,0,1000000*R26/TrRoad_act!R63)</f>
        <v>1003.9877836576724</v>
      </c>
      <c r="S120" s="87">
        <f>IF(S26=0,0,1000000*S26/TrRoad_act!S63)</f>
        <v>934.92821390176812</v>
      </c>
      <c r="T120" s="87">
        <f>IF(T26=0,0,1000000*T26/TrRoad_act!T63)</f>
        <v>915.75573873961548</v>
      </c>
      <c r="U120" s="87">
        <f>IF(U26=0,0,1000000*U26/TrRoad_act!U63)</f>
        <v>955.96553805412361</v>
      </c>
      <c r="V120" s="87">
        <f>IF(V26=0,0,1000000*V26/TrRoad_act!V63)</f>
        <v>863.16191345411426</v>
      </c>
      <c r="W120" s="87">
        <f>IF(W26=0,0,1000000*W26/TrRoad_act!W63)</f>
        <v>879.87922723245379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1313.6090049245684</v>
      </c>
      <c r="G121" s="87">
        <f>IF(G27=0,0,1000000*G27/TrRoad_act!G64)</f>
        <v>1212.1151526058643</v>
      </c>
      <c r="H121" s="87">
        <f>IF(H27=0,0,1000000*H27/TrRoad_act!H64)</f>
        <v>1127.6443522608679</v>
      </c>
      <c r="I121" s="87">
        <f>IF(I27=0,0,1000000*I27/TrRoad_act!I64)</f>
        <v>1131.5301648745049</v>
      </c>
      <c r="J121" s="87">
        <f>IF(J27=0,0,1000000*J27/TrRoad_act!J64)</f>
        <v>730.41897572854657</v>
      </c>
      <c r="K121" s="87">
        <f>IF(K27=0,0,1000000*K27/TrRoad_act!K64)</f>
        <v>552.29762411748311</v>
      </c>
      <c r="L121" s="87">
        <f>IF(L27=0,0,1000000*L27/TrRoad_act!L64)</f>
        <v>495.56860677641151</v>
      </c>
      <c r="M121" s="87">
        <f>IF(M27=0,0,1000000*M27/TrRoad_act!M64)</f>
        <v>568.18035046119564</v>
      </c>
      <c r="N121" s="87">
        <f>IF(N27=0,0,1000000*N27/TrRoad_act!N64)</f>
        <v>1190.7848025891303</v>
      </c>
      <c r="O121" s="87">
        <f>IF(O27=0,0,1000000*O27/TrRoad_act!O64)</f>
        <v>1664.0807506384142</v>
      </c>
      <c r="P121" s="87">
        <f>IF(P27=0,0,1000000*P27/TrRoad_act!P64)</f>
        <v>1105.1162339276511</v>
      </c>
      <c r="Q121" s="87">
        <f>IF(Q27=0,0,1000000*Q27/TrRoad_act!Q64)</f>
        <v>1330.0969914685404</v>
      </c>
      <c r="R121" s="87">
        <f>IF(R27=0,0,1000000*R27/TrRoad_act!R64)</f>
        <v>1238.125624525512</v>
      </c>
      <c r="S121" s="87">
        <f>IF(S27=0,0,1000000*S27/TrRoad_act!S64)</f>
        <v>1219.6255976233106</v>
      </c>
      <c r="T121" s="87">
        <f>IF(T27=0,0,1000000*T27/TrRoad_act!T64)</f>
        <v>1215.8492369786013</v>
      </c>
      <c r="U121" s="87">
        <f>IF(U27=0,0,1000000*U27/TrRoad_act!U64)</f>
        <v>1522.3015282808358</v>
      </c>
      <c r="V121" s="87">
        <f>IF(V27=0,0,1000000*V27/TrRoad_act!V64)</f>
        <v>1926.6773335215819</v>
      </c>
      <c r="W121" s="87">
        <f>IF(W27=0,0,1000000*W27/TrRoad_act!W64)</f>
        <v>2749.3097882904249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299.35591450281959</v>
      </c>
      <c r="N122" s="87">
        <f>IF(N29=0,0,1000000*N29/TrRoad_act!N65)</f>
        <v>239.97235280329645</v>
      </c>
      <c r="O122" s="87">
        <f>IF(O29=0,0,1000000*O29/TrRoad_act!O65)</f>
        <v>263.01441542121182</v>
      </c>
      <c r="P122" s="87">
        <f>IF(P29=0,0,1000000*P29/TrRoad_act!P65)</f>
        <v>315.25251054916129</v>
      </c>
      <c r="Q122" s="87">
        <f>IF(Q29=0,0,1000000*Q29/TrRoad_act!Q65)</f>
        <v>392.28203986619815</v>
      </c>
      <c r="R122" s="87">
        <f>IF(R29=0,0,1000000*R29/TrRoad_act!R65)</f>
        <v>425.02629222245275</v>
      </c>
      <c r="S122" s="87">
        <f>IF(S29=0,0,1000000*S29/TrRoad_act!S65)</f>
        <v>417.96412881582268</v>
      </c>
      <c r="T122" s="87">
        <f>IF(T29=0,0,1000000*T29/TrRoad_act!T65)</f>
        <v>430.03839870425873</v>
      </c>
      <c r="U122" s="87">
        <f>IF(U29=0,0,1000000*U29/TrRoad_act!U65)</f>
        <v>436.40503471419726</v>
      </c>
      <c r="V122" s="87">
        <f>IF(V29=0,0,1000000*V29/TrRoad_act!V65)</f>
        <v>384.39624559640515</v>
      </c>
      <c r="W122" s="87">
        <f>IF(W29=0,0,1000000*W29/TrRoad_act!W65)</f>
        <v>408.46920913950811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194.80735430215836</v>
      </c>
      <c r="K123" s="87">
        <f>IF(K32=0,0,1000000*K32/TrRoad_act!K66)</f>
        <v>195.21388104962006</v>
      </c>
      <c r="L123" s="87">
        <f>IF(L32=0,0,1000000*L32/TrRoad_act!L66)</f>
        <v>195.22920840748606</v>
      </c>
      <c r="M123" s="87">
        <f>IF(M32=0,0,1000000*M32/TrRoad_act!M66)</f>
        <v>195.92139039557512</v>
      </c>
      <c r="N123" s="87">
        <f>IF(N32=0,0,1000000*N32/TrRoad_act!N66)</f>
        <v>196.74700980187143</v>
      </c>
      <c r="O123" s="87">
        <f>IF(O32=0,0,1000000*O32/TrRoad_act!O66)</f>
        <v>200.82160219492854</v>
      </c>
      <c r="P123" s="87">
        <f>IF(P32=0,0,1000000*P32/TrRoad_act!P66)</f>
        <v>203.70295643926673</v>
      </c>
      <c r="Q123" s="87">
        <f>IF(Q32=0,0,1000000*Q32/TrRoad_act!Q66)</f>
        <v>234.64623354206137</v>
      </c>
      <c r="R123" s="87">
        <f>IF(R32=0,0,1000000*R32/TrRoad_act!R66)</f>
        <v>239.37017677143152</v>
      </c>
      <c r="S123" s="87">
        <f>IF(S32=0,0,1000000*S32/TrRoad_act!S66)</f>
        <v>241.46716009373105</v>
      </c>
      <c r="T123" s="87">
        <f>IF(T32=0,0,1000000*T32/TrRoad_act!T66)</f>
        <v>254.80050711857206</v>
      </c>
      <c r="U123" s="87">
        <f>IF(U32=0,0,1000000*U32/TrRoad_act!U66)</f>
        <v>269.9013655348312</v>
      </c>
      <c r="V123" s="87">
        <f>IF(V32=0,0,1000000*V32/TrRoad_act!V66)</f>
        <v>232.21458425852597</v>
      </c>
      <c r="W123" s="87">
        <f>IF(W32=0,0,1000000*W32/TrRoad_act!W66)</f>
        <v>263.63917065233596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26652.056594142814</v>
      </c>
      <c r="C124" s="116">
        <f>IF(C33=0,0,1000000*C33/TrRoad_act!C67)</f>
        <v>26531.145410495265</v>
      </c>
      <c r="D124" s="116">
        <f>IF(D33=0,0,1000000*D33/TrRoad_act!D67)</f>
        <v>26200.660547368112</v>
      </c>
      <c r="E124" s="116">
        <f>IF(E33=0,0,1000000*E33/TrRoad_act!E67)</f>
        <v>26298.647935792145</v>
      </c>
      <c r="F124" s="116">
        <f>IF(F33=0,0,1000000*F33/TrRoad_act!F67)</f>
        <v>25916.623427217361</v>
      </c>
      <c r="G124" s="116">
        <f>IF(G33=0,0,1000000*G33/TrRoad_act!G67)</f>
        <v>25294.515872248576</v>
      </c>
      <c r="H124" s="116">
        <f>IF(H33=0,0,1000000*H33/TrRoad_act!H67)</f>
        <v>24805.123212816536</v>
      </c>
      <c r="I124" s="116">
        <f>IF(I33=0,0,1000000*I33/TrRoad_act!I67)</f>
        <v>24253.928789194775</v>
      </c>
      <c r="J124" s="116">
        <f>IF(J33=0,0,1000000*J33/TrRoad_act!J67)</f>
        <v>23947.797585586199</v>
      </c>
      <c r="K124" s="116">
        <f>IF(K33=0,0,1000000*K33/TrRoad_act!K67)</f>
        <v>23424.708414387849</v>
      </c>
      <c r="L124" s="116">
        <f>IF(L33=0,0,1000000*L33/TrRoad_act!L67)</f>
        <v>23047.383878182183</v>
      </c>
      <c r="M124" s="116">
        <f>IF(M33=0,0,1000000*M33/TrRoad_act!M67)</f>
        <v>22441.062273729531</v>
      </c>
      <c r="N124" s="116">
        <f>IF(N33=0,0,1000000*N33/TrRoad_act!N67)</f>
        <v>21868.405057565084</v>
      </c>
      <c r="O124" s="116">
        <f>IF(O33=0,0,1000000*O33/TrRoad_act!O67)</f>
        <v>21562.613588254779</v>
      </c>
      <c r="P124" s="116">
        <f>IF(P33=0,0,1000000*P33/TrRoad_act!P67)</f>
        <v>21785.716471637301</v>
      </c>
      <c r="Q124" s="116">
        <f>IF(Q33=0,0,1000000*Q33/TrRoad_act!Q67)</f>
        <v>22381.93901734065</v>
      </c>
      <c r="R124" s="116">
        <f>IF(R33=0,0,1000000*R33/TrRoad_act!R67)</f>
        <v>21752.471994354572</v>
      </c>
      <c r="S124" s="116">
        <f>IF(S33=0,0,1000000*S33/TrRoad_act!S67)</f>
        <v>22235.61520044272</v>
      </c>
      <c r="T124" s="116">
        <f>IF(T33=0,0,1000000*T33/TrRoad_act!T67)</f>
        <v>23142.032975627222</v>
      </c>
      <c r="U124" s="116">
        <f>IF(U33=0,0,1000000*U33/TrRoad_act!U67)</f>
        <v>23041.690946919178</v>
      </c>
      <c r="V124" s="116">
        <f>IF(V33=0,0,1000000*V33/TrRoad_act!V67)</f>
        <v>22878.185075908477</v>
      </c>
      <c r="W124" s="116">
        <f>IF(W33=0,0,1000000*W33/TrRoad_act!W67)</f>
        <v>23701.624160169566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7706.9289202135706</v>
      </c>
      <c r="C125" s="101">
        <f>IF(C34=0,0,1000000*C34/TrRoad_act!C68)</f>
        <v>7908.0018759138766</v>
      </c>
      <c r="D125" s="101">
        <f>IF(D34=0,0,1000000*D34/TrRoad_act!D68)</f>
        <v>8059.4763977882549</v>
      </c>
      <c r="E125" s="101">
        <f>IF(E34=0,0,1000000*E34/TrRoad_act!E68)</f>
        <v>8191.6879166192521</v>
      </c>
      <c r="F125" s="101">
        <f>IF(F34=0,0,1000000*F34/TrRoad_act!F68)</f>
        <v>8153.6306911467054</v>
      </c>
      <c r="G125" s="101">
        <f>IF(G34=0,0,1000000*G34/TrRoad_act!G68)</f>
        <v>8109.9843929796543</v>
      </c>
      <c r="H125" s="101">
        <f>IF(H34=0,0,1000000*H34/TrRoad_act!H68)</f>
        <v>8063.1259965719155</v>
      </c>
      <c r="I125" s="101">
        <f>IF(I34=0,0,1000000*I34/TrRoad_act!I68)</f>
        <v>7977.7811404385484</v>
      </c>
      <c r="J125" s="101">
        <f>IF(J34=0,0,1000000*J34/TrRoad_act!J68)</f>
        <v>7789.5934795165131</v>
      </c>
      <c r="K125" s="101">
        <f>IF(K34=0,0,1000000*K34/TrRoad_act!K68)</f>
        <v>7574.69833974429</v>
      </c>
      <c r="L125" s="101">
        <f>IF(L34=0,0,1000000*L34/TrRoad_act!L68)</f>
        <v>7340.8735641918474</v>
      </c>
      <c r="M125" s="101">
        <f>IF(M34=0,0,1000000*M34/TrRoad_act!M68)</f>
        <v>7099.9548889920898</v>
      </c>
      <c r="N125" s="101">
        <f>IF(N34=0,0,1000000*N34/TrRoad_act!N68)</f>
        <v>6917.8333450544351</v>
      </c>
      <c r="O125" s="101">
        <f>IF(O34=0,0,1000000*O34/TrRoad_act!O68)</f>
        <v>6734.1356323831806</v>
      </c>
      <c r="P125" s="101">
        <f>IF(P34=0,0,1000000*P34/TrRoad_act!P68)</f>
        <v>6740.4020323599661</v>
      </c>
      <c r="Q125" s="101">
        <f>IF(Q34=0,0,1000000*Q34/TrRoad_act!Q68)</f>
        <v>6759.2898659840212</v>
      </c>
      <c r="R125" s="101">
        <f>IF(R34=0,0,1000000*R34/TrRoad_act!R68)</f>
        <v>6206.9067746352803</v>
      </c>
      <c r="S125" s="101">
        <f>IF(S34=0,0,1000000*S34/TrRoad_act!S68)</f>
        <v>6108.5719413995594</v>
      </c>
      <c r="T125" s="101">
        <f>IF(T34=0,0,1000000*T34/TrRoad_act!T68)</f>
        <v>6061.1404007785923</v>
      </c>
      <c r="U125" s="101">
        <f>IF(U34=0,0,1000000*U34/TrRoad_act!U68)</f>
        <v>5910.0372345856285</v>
      </c>
      <c r="V125" s="101">
        <f>IF(V34=0,0,1000000*V34/TrRoad_act!V68)</f>
        <v>5848.0783106638628</v>
      </c>
      <c r="W125" s="101">
        <f>IF(W34=0,0,1000000*W34/TrRoad_act!W68)</f>
        <v>5694.8512204361186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26933.658387697778</v>
      </c>
      <c r="C126" s="101">
        <f>IF(C36=0,0,1000000*C36/TrRoad_act!C69)</f>
        <v>26799.714584628313</v>
      </c>
      <c r="D126" s="101">
        <f>IF(D36=0,0,1000000*D36/TrRoad_act!D69)</f>
        <v>26436.63500029605</v>
      </c>
      <c r="E126" s="101">
        <f>IF(E36=0,0,1000000*E36/TrRoad_act!E69)</f>
        <v>26528.351365958821</v>
      </c>
      <c r="F126" s="101">
        <f>IF(F36=0,0,1000000*F36/TrRoad_act!F69)</f>
        <v>26134.397097297166</v>
      </c>
      <c r="G126" s="101">
        <f>IF(G36=0,0,1000000*G36/TrRoad_act!G69)</f>
        <v>25521.854819356777</v>
      </c>
      <c r="H126" s="101">
        <f>IF(H36=0,0,1000000*H36/TrRoad_act!H69)</f>
        <v>25009.42246825495</v>
      </c>
      <c r="I126" s="101">
        <f>IF(I36=0,0,1000000*I36/TrRoad_act!I69)</f>
        <v>24441.960453794254</v>
      </c>
      <c r="J126" s="101">
        <f>IF(J36=0,0,1000000*J36/TrRoad_act!J69)</f>
        <v>24119.059751669029</v>
      </c>
      <c r="K126" s="101">
        <f>IF(K36=0,0,1000000*K36/TrRoad_act!K69)</f>
        <v>23582.577245864133</v>
      </c>
      <c r="L126" s="101">
        <f>IF(L36=0,0,1000000*L36/TrRoad_act!L69)</f>
        <v>23191.248945327912</v>
      </c>
      <c r="M126" s="101">
        <f>IF(M36=0,0,1000000*M36/TrRoad_act!M69)</f>
        <v>22579.632914023743</v>
      </c>
      <c r="N126" s="101">
        <f>IF(N36=0,0,1000000*N36/TrRoad_act!N69)</f>
        <v>22001.120350239082</v>
      </c>
      <c r="O126" s="101">
        <f>IF(O36=0,0,1000000*O36/TrRoad_act!O69)</f>
        <v>21690.048975223177</v>
      </c>
      <c r="P126" s="101">
        <f>IF(P36=0,0,1000000*P36/TrRoad_act!P69)</f>
        <v>21912.491901327743</v>
      </c>
      <c r="Q126" s="101">
        <f>IF(Q36=0,0,1000000*Q36/TrRoad_act!Q69)</f>
        <v>22506.99736691358</v>
      </c>
      <c r="R126" s="101">
        <f>IF(R36=0,0,1000000*R36/TrRoad_act!R69)</f>
        <v>21877.594065855152</v>
      </c>
      <c r="S126" s="101">
        <f>IF(S36=0,0,1000000*S36/TrRoad_act!S69)</f>
        <v>22363.007975011562</v>
      </c>
      <c r="T126" s="101">
        <f>IF(T36=0,0,1000000*T36/TrRoad_act!T69)</f>
        <v>23282.000873815319</v>
      </c>
      <c r="U126" s="101">
        <f>IF(U36=0,0,1000000*U36/TrRoad_act!U69)</f>
        <v>23207.003829964382</v>
      </c>
      <c r="V126" s="101">
        <f>IF(V36=0,0,1000000*V36/TrRoad_act!V69)</f>
        <v>23041.528977333364</v>
      </c>
      <c r="W126" s="101">
        <f>IF(W36=0,0,1000000*W36/TrRoad_act!W69)</f>
        <v>23760.507910367342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0</v>
      </c>
      <c r="G127" s="101">
        <f>IF(G38=0,0,1000000*G38/TrRoad_act!G70)</f>
        <v>0</v>
      </c>
      <c r="H127" s="101">
        <f>IF(H38=0,0,1000000*H38/TrRoad_act!H70)</f>
        <v>0</v>
      </c>
      <c r="I127" s="101">
        <f>IF(I38=0,0,1000000*I38/TrRoad_act!I70)</f>
        <v>0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0</v>
      </c>
      <c r="S127" s="101">
        <f>IF(S38=0,0,1000000*S38/TrRoad_act!S70)</f>
        <v>0</v>
      </c>
      <c r="T127" s="101">
        <f>IF(T38=0,0,1000000*T38/TrRoad_act!T70)</f>
        <v>0</v>
      </c>
      <c r="U127" s="101">
        <f>IF(U38=0,0,1000000*U38/TrRoad_act!U70)</f>
        <v>0</v>
      </c>
      <c r="V127" s="101">
        <f>IF(V38=0,0,1000000*V38/TrRoad_act!V70)</f>
        <v>0</v>
      </c>
      <c r="W127" s="101">
        <f>IF(W38=0,0,1000000*W38/TrRoad_act!W70)</f>
        <v>0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0</v>
      </c>
      <c r="G128" s="101">
        <f>IF(G39=0,0,1000000*G39/TrRoad_act!G71)</f>
        <v>0</v>
      </c>
      <c r="H128" s="101">
        <f>IF(H39=0,0,1000000*H39/TrRoad_act!H71)</f>
        <v>0</v>
      </c>
      <c r="I128" s="101">
        <f>IF(I39=0,0,1000000*I39/TrRoad_act!I71)</f>
        <v>0</v>
      </c>
      <c r="J128" s="101">
        <f>IF(J39=0,0,1000000*J39/TrRoad_act!J71)</f>
        <v>0</v>
      </c>
      <c r="K128" s="101">
        <f>IF(K39=0,0,1000000*K39/TrRoad_act!K71)</f>
        <v>0</v>
      </c>
      <c r="L128" s="101">
        <f>IF(L39=0,0,1000000*L39/TrRoad_act!L71)</f>
        <v>0</v>
      </c>
      <c r="M128" s="101">
        <f>IF(M39=0,0,1000000*M39/TrRoad_act!M71)</f>
        <v>0</v>
      </c>
      <c r="N128" s="101">
        <f>IF(N39=0,0,1000000*N39/TrRoad_act!N71)</f>
        <v>0</v>
      </c>
      <c r="O128" s="101">
        <f>IF(O39=0,0,1000000*O39/TrRoad_act!O71)</f>
        <v>0</v>
      </c>
      <c r="P128" s="101">
        <f>IF(P39=0,0,1000000*P39/TrRoad_act!P71)</f>
        <v>0</v>
      </c>
      <c r="Q128" s="101">
        <f>IF(Q39=0,0,1000000*Q39/TrRoad_act!Q71)</f>
        <v>0</v>
      </c>
      <c r="R128" s="101">
        <f>IF(R39=0,0,1000000*R39/TrRoad_act!R71)</f>
        <v>15273.341921450801</v>
      </c>
      <c r="S128" s="101">
        <f>IF(S39=0,0,1000000*S39/TrRoad_act!S71)</f>
        <v>15665.209785829858</v>
      </c>
      <c r="T128" s="101">
        <f>IF(T39=0,0,1000000*T39/TrRoad_act!T71)</f>
        <v>15273.416312225527</v>
      </c>
      <c r="U128" s="101">
        <f>IF(U39=0,0,1000000*U39/TrRoad_act!U71)</f>
        <v>19967.06115553722</v>
      </c>
      <c r="V128" s="101">
        <f>IF(V39=0,0,1000000*V39/TrRoad_act!V71)</f>
        <v>28102.791280488138</v>
      </c>
      <c r="W128" s="101">
        <f>IF(W39=0,0,1000000*W39/TrRoad_act!W71)</f>
        <v>39223.017919525613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11322.909050431523</v>
      </c>
      <c r="C129" s="101">
        <f>IF(C41=0,0,1000000*C41/TrRoad_act!C72)</f>
        <v>11331.380148264403</v>
      </c>
      <c r="D129" s="101">
        <f>IF(D41=0,0,1000000*D41/TrRoad_act!D72)</f>
        <v>11336.195989686332</v>
      </c>
      <c r="E129" s="101">
        <f>IF(E41=0,0,1000000*E41/TrRoad_act!E72)</f>
        <v>11339.554724150659</v>
      </c>
      <c r="F129" s="101">
        <f>IF(F41=0,0,1000000*F41/TrRoad_act!F72)</f>
        <v>11347.498971460684</v>
      </c>
      <c r="G129" s="101">
        <f>IF(G41=0,0,1000000*G41/TrRoad_act!G72)</f>
        <v>10636.071632916855</v>
      </c>
      <c r="H129" s="101">
        <f>IF(H41=0,0,1000000*H41/TrRoad_act!H72)</f>
        <v>10644.099808998435</v>
      </c>
      <c r="I129" s="101">
        <f>IF(I41=0,0,1000000*I41/TrRoad_act!I72)</f>
        <v>10628.288143868904</v>
      </c>
      <c r="J129" s="101">
        <f>IF(J41=0,0,1000000*J41/TrRoad_act!J72)</f>
        <v>10606.128876433308</v>
      </c>
      <c r="K129" s="101">
        <f>IF(K41=0,0,1000000*K41/TrRoad_act!K72)</f>
        <v>10613.913100315263</v>
      </c>
      <c r="L129" s="101">
        <f>IF(L41=0,0,1000000*L41/TrRoad_act!L72)</f>
        <v>10621.545955577911</v>
      </c>
      <c r="M129" s="101">
        <f>IF(M41=0,0,1000000*M41/TrRoad_act!M72)</f>
        <v>10629.663063576141</v>
      </c>
      <c r="N129" s="101">
        <f>IF(N41=0,0,1000000*N41/TrRoad_act!N72)</f>
        <v>10637.693275983645</v>
      </c>
      <c r="O129" s="101">
        <f>IF(O41=0,0,1000000*O41/TrRoad_act!O72)</f>
        <v>10645.964509930616</v>
      </c>
      <c r="P129" s="101">
        <f>IF(P41=0,0,1000000*P41/TrRoad_act!P72)</f>
        <v>10539.520764754867</v>
      </c>
      <c r="Q129" s="101">
        <f>IF(Q41=0,0,1000000*Q41/TrRoad_act!Q72)</f>
        <v>10533.08276380928</v>
      </c>
      <c r="R129" s="101">
        <f>IF(R41=0,0,1000000*R41/TrRoad_act!R72)</f>
        <v>10526.816893680427</v>
      </c>
      <c r="S129" s="101">
        <f>IF(S41=0,0,1000000*S41/TrRoad_act!S72)</f>
        <v>10518.872612761028</v>
      </c>
      <c r="T129" s="101">
        <f>IF(T41=0,0,1000000*T41/TrRoad_act!T72)</f>
        <v>11153.148803553018</v>
      </c>
      <c r="U129" s="101">
        <f>IF(U41=0,0,1000000*U41/TrRoad_act!U72)</f>
        <v>11258.139455965136</v>
      </c>
      <c r="V129" s="101">
        <f>IF(V41=0,0,1000000*V41/TrRoad_act!V72)</f>
        <v>11296.983018798479</v>
      </c>
      <c r="W129" s="101">
        <f>IF(W41=0,0,1000000*W41/TrRoad_act!W72)</f>
        <v>11404.541430159281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2338.3917378365236</v>
      </c>
      <c r="C131" s="152">
        <f>IF(C43=0,0,1000000*C43/TrRoad_act!C74)</f>
        <v>2233.3615808062409</v>
      </c>
      <c r="D131" s="152">
        <f>IF(D43=0,0,1000000*D43/TrRoad_act!D74)</f>
        <v>2432.9436348026738</v>
      </c>
      <c r="E131" s="152">
        <f>IF(E43=0,0,1000000*E43/TrRoad_act!E74)</f>
        <v>2350.7558577223872</v>
      </c>
      <c r="F131" s="152">
        <f>IF(F43=0,0,1000000*F43/TrRoad_act!F74)</f>
        <v>2384.4831085427759</v>
      </c>
      <c r="G131" s="152">
        <f>IF(G43=0,0,1000000*G43/TrRoad_act!G74)</f>
        <v>2304.2545952139749</v>
      </c>
      <c r="H131" s="152">
        <f>IF(H43=0,0,1000000*H43/TrRoad_act!H74)</f>
        <v>2260.0134716114871</v>
      </c>
      <c r="I131" s="152">
        <f>IF(I43=0,0,1000000*I43/TrRoad_act!I74)</f>
        <v>2279.6214437456315</v>
      </c>
      <c r="J131" s="152">
        <f>IF(J43=0,0,1000000*J43/TrRoad_act!J74)</f>
        <v>2213.5752411855447</v>
      </c>
      <c r="K131" s="152">
        <f>IF(K43=0,0,1000000*K43/TrRoad_act!K74)</f>
        <v>2107.8996445570565</v>
      </c>
      <c r="L131" s="152">
        <f>IF(L43=0,0,1000000*L43/TrRoad_act!L74)</f>
        <v>2024.4731173204914</v>
      </c>
      <c r="M131" s="152">
        <f>IF(M43=0,0,1000000*M43/TrRoad_act!M74)</f>
        <v>1961.1829537249232</v>
      </c>
      <c r="N131" s="152">
        <f>IF(N43=0,0,1000000*N43/TrRoad_act!N74)</f>
        <v>1871.2801033920705</v>
      </c>
      <c r="O131" s="152">
        <f>IF(O43=0,0,1000000*O43/TrRoad_act!O74)</f>
        <v>1713.2775266019596</v>
      </c>
      <c r="P131" s="152">
        <f>IF(P43=0,0,1000000*P43/TrRoad_act!P74)</f>
        <v>1729.4533797779707</v>
      </c>
      <c r="Q131" s="152">
        <f>IF(Q43=0,0,1000000*Q43/TrRoad_act!Q74)</f>
        <v>1803.6544317923058</v>
      </c>
      <c r="R131" s="152">
        <f>IF(R43=0,0,1000000*R43/TrRoad_act!R74)</f>
        <v>1594.4398665454794</v>
      </c>
      <c r="S131" s="152">
        <f>IF(S43=0,0,1000000*S43/TrRoad_act!S74)</f>
        <v>1402.2596873487262</v>
      </c>
      <c r="T131" s="152">
        <f>IF(T43=0,0,1000000*T43/TrRoad_act!T74)</f>
        <v>1325.7937603770122</v>
      </c>
      <c r="U131" s="152">
        <f>IF(U43=0,0,1000000*U43/TrRoad_act!U74)</f>
        <v>1283.4261240116205</v>
      </c>
      <c r="V131" s="152">
        <f>IF(V43=0,0,1000000*V43/TrRoad_act!V74)</f>
        <v>1159.9192742618543</v>
      </c>
      <c r="W131" s="152">
        <f>IF(W43=0,0,1000000*W43/TrRoad_act!W74)</f>
        <v>1303.3275433724953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1739.9419861630784</v>
      </c>
      <c r="C132" s="87">
        <f>IF(C44=0,0,1000000*C44/TrRoad_act!C75)</f>
        <v>1676.3265806121394</v>
      </c>
      <c r="D132" s="87">
        <f>IF(D44=0,0,1000000*D44/TrRoad_act!D75)</f>
        <v>1718.3497451963804</v>
      </c>
      <c r="E132" s="87">
        <f>IF(E44=0,0,1000000*E44/TrRoad_act!E75)</f>
        <v>1596.2211561766699</v>
      </c>
      <c r="F132" s="87">
        <f>IF(F44=0,0,1000000*F44/TrRoad_act!F75)</f>
        <v>1558.9876369525277</v>
      </c>
      <c r="G132" s="87">
        <f>IF(G44=0,0,1000000*G44/TrRoad_act!G75)</f>
        <v>1596.8759089905657</v>
      </c>
      <c r="H132" s="87">
        <f>IF(H44=0,0,1000000*H44/TrRoad_act!H75)</f>
        <v>1660.3732766365217</v>
      </c>
      <c r="I132" s="87">
        <f>IF(I44=0,0,1000000*I44/TrRoad_act!I75)</f>
        <v>1597.1778477255191</v>
      </c>
      <c r="J132" s="87">
        <f>IF(J44=0,0,1000000*J44/TrRoad_act!J75)</f>
        <v>1456.344390823735</v>
      </c>
      <c r="K132" s="87">
        <f>IF(K44=0,0,1000000*K44/TrRoad_act!K75)</f>
        <v>1372.1550646170733</v>
      </c>
      <c r="L132" s="87">
        <f>IF(L44=0,0,1000000*L44/TrRoad_act!L75)</f>
        <v>1335.7634073267031</v>
      </c>
      <c r="M132" s="87">
        <f>IF(M44=0,0,1000000*M44/TrRoad_act!M75)</f>
        <v>1361.9875327313634</v>
      </c>
      <c r="N132" s="87">
        <f>IF(N44=0,0,1000000*N44/TrRoad_act!N75)</f>
        <v>1370.9987442022066</v>
      </c>
      <c r="O132" s="87">
        <f>IF(O44=0,0,1000000*O44/TrRoad_act!O75)</f>
        <v>1315.3458153413901</v>
      </c>
      <c r="P132" s="87">
        <f>IF(P44=0,0,1000000*P44/TrRoad_act!P75)</f>
        <v>1292.1171308372334</v>
      </c>
      <c r="Q132" s="87">
        <f>IF(Q44=0,0,1000000*Q44/TrRoad_act!Q75)</f>
        <v>1276.3971020605775</v>
      </c>
      <c r="R132" s="87">
        <f>IF(R44=0,0,1000000*R44/TrRoad_act!R75)</f>
        <v>1291.278892666734</v>
      </c>
      <c r="S132" s="87">
        <f>IF(S44=0,0,1000000*S44/TrRoad_act!S75)</f>
        <v>1291.7776783902457</v>
      </c>
      <c r="T132" s="87">
        <f>IF(T44=0,0,1000000*T44/TrRoad_act!T75)</f>
        <v>1248.6733489523754</v>
      </c>
      <c r="U132" s="87">
        <f>IF(U44=0,0,1000000*U44/TrRoad_act!U75)</f>
        <v>1241.5094666284665</v>
      </c>
      <c r="V132" s="87">
        <f>IF(V44=0,0,1000000*V44/TrRoad_act!V75)</f>
        <v>1095.6144774055772</v>
      </c>
      <c r="W132" s="87">
        <f>IF(W44=0,0,1000000*W44/TrRoad_act!W75)</f>
        <v>1197.1633177212714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2464.3627717737936</v>
      </c>
      <c r="C133" s="87">
        <f>IF(C46=0,0,1000000*C46/TrRoad_act!C76)</f>
        <v>2351.3682717598608</v>
      </c>
      <c r="D133" s="87">
        <f>IF(D46=0,0,1000000*D46/TrRoad_act!D76)</f>
        <v>2571.2890282608987</v>
      </c>
      <c r="E133" s="87">
        <f>IF(E46=0,0,1000000*E46/TrRoad_act!E76)</f>
        <v>2474.3679345989271</v>
      </c>
      <c r="F133" s="87">
        <f>IF(F46=0,0,1000000*F46/TrRoad_act!F76)</f>
        <v>2504.463109395535</v>
      </c>
      <c r="G133" s="87">
        <f>IF(G46=0,0,1000000*G46/TrRoad_act!G76)</f>
        <v>2402.5270881476163</v>
      </c>
      <c r="H133" s="87">
        <f>IF(H46=0,0,1000000*H46/TrRoad_act!H76)</f>
        <v>2341.2941851103033</v>
      </c>
      <c r="I133" s="87">
        <f>IF(I46=0,0,1000000*I46/TrRoad_act!I76)</f>
        <v>2355.6870709802888</v>
      </c>
      <c r="J133" s="87">
        <f>IF(J46=0,0,1000000*J46/TrRoad_act!J76)</f>
        <v>2290.7490382418046</v>
      </c>
      <c r="K133" s="87">
        <f>IF(K46=0,0,1000000*K46/TrRoad_act!K76)</f>
        <v>2177.6537919929938</v>
      </c>
      <c r="L133" s="87">
        <f>IF(L46=0,0,1000000*L46/TrRoad_act!L76)</f>
        <v>2085.9007171852554</v>
      </c>
      <c r="M133" s="87">
        <f>IF(M46=0,0,1000000*M46/TrRoad_act!M76)</f>
        <v>2014.9478983026463</v>
      </c>
      <c r="N133" s="87">
        <f>IF(N46=0,0,1000000*N46/TrRoad_act!N76)</f>
        <v>1916.6826760894417</v>
      </c>
      <c r="O133" s="87">
        <f>IF(O46=0,0,1000000*O46/TrRoad_act!O76)</f>
        <v>1747.3759106256036</v>
      </c>
      <c r="P133" s="87">
        <f>IF(P46=0,0,1000000*P46/TrRoad_act!P76)</f>
        <v>1761.2162717764666</v>
      </c>
      <c r="Q133" s="87">
        <f>IF(Q46=0,0,1000000*Q46/TrRoad_act!Q76)</f>
        <v>1833.114501626944</v>
      </c>
      <c r="R133" s="87">
        <f>IF(R46=0,0,1000000*R46/TrRoad_act!R76)</f>
        <v>1612.2512500129835</v>
      </c>
      <c r="S133" s="87">
        <f>IF(S46=0,0,1000000*S46/TrRoad_act!S76)</f>
        <v>1411.7388327601898</v>
      </c>
      <c r="T133" s="87">
        <f>IF(T46=0,0,1000000*T46/TrRoad_act!T76)</f>
        <v>1334.4775803175246</v>
      </c>
      <c r="U133" s="87">
        <f>IF(U46=0,0,1000000*U46/TrRoad_act!U76)</f>
        <v>1289.7432479136737</v>
      </c>
      <c r="V133" s="87">
        <f>IF(V46=0,0,1000000*V46/TrRoad_act!V76)</f>
        <v>1164.1036474603852</v>
      </c>
      <c r="W133" s="87">
        <f>IF(W46=0,0,1000000*W46/TrRoad_act!W76)</f>
        <v>1304.3438715580533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1516.040211069811</v>
      </c>
      <c r="C134" s="87">
        <f>IF(C48=0,0,1000000*C48/TrRoad_act!C77)</f>
        <v>1437.5938878912336</v>
      </c>
      <c r="D134" s="87">
        <f>IF(D48=0,0,1000000*D48/TrRoad_act!D77)</f>
        <v>1592.3091123338038</v>
      </c>
      <c r="E134" s="87">
        <f>IF(E48=0,0,1000000*E48/TrRoad_act!E77)</f>
        <v>1593.2588008367022</v>
      </c>
      <c r="F134" s="87">
        <f>IF(F48=0,0,1000000*F48/TrRoad_act!F77)</f>
        <v>1629.3910417461009</v>
      </c>
      <c r="G134" s="87">
        <f>IF(G48=0,0,1000000*G48/TrRoad_act!G77)</f>
        <v>1575.7187502167105</v>
      </c>
      <c r="H134" s="87">
        <f>IF(H48=0,0,1000000*H48/TrRoad_act!H77)</f>
        <v>1526.1863734709962</v>
      </c>
      <c r="I134" s="87">
        <f>IF(I48=0,0,1000000*I48/TrRoad_act!I77)</f>
        <v>1536.8958277916836</v>
      </c>
      <c r="J134" s="87">
        <f>IF(J48=0,0,1000000*J48/TrRoad_act!J77)</f>
        <v>1446.7467762999479</v>
      </c>
      <c r="K134" s="87">
        <f>IF(K48=0,0,1000000*K48/TrRoad_act!K77)</f>
        <v>1331.6757890428744</v>
      </c>
      <c r="L134" s="87">
        <f>IF(L48=0,0,1000000*L48/TrRoad_act!L77)</f>
        <v>1237.488276271504</v>
      </c>
      <c r="M134" s="87">
        <f>IF(M48=0,0,1000000*M48/TrRoad_act!M77)</f>
        <v>1177.8881909471777</v>
      </c>
      <c r="N134" s="87">
        <f>IF(N48=0,0,1000000*N48/TrRoad_act!N77)</f>
        <v>1120.6294897829721</v>
      </c>
      <c r="O134" s="87">
        <f>IF(O48=0,0,1000000*O48/TrRoad_act!O77)</f>
        <v>1025.5082540620706</v>
      </c>
      <c r="P134" s="87">
        <f>IF(P48=0,0,1000000*P48/TrRoad_act!P77)</f>
        <v>1043.5159136127218</v>
      </c>
      <c r="Q134" s="87">
        <f>IF(Q48=0,0,1000000*Q48/TrRoad_act!Q77)</f>
        <v>1100.9480723691447</v>
      </c>
      <c r="R134" s="87">
        <f>IF(R48=0,0,1000000*R48/TrRoad_act!R77)</f>
        <v>1077.9140948217857</v>
      </c>
      <c r="S134" s="87">
        <f>IF(S48=0,0,1000000*S48/TrRoad_act!S77)</f>
        <v>1044.6177503557983</v>
      </c>
      <c r="T134" s="87">
        <f>IF(T48=0,0,1000000*T48/TrRoad_act!T77)</f>
        <v>989.19338102847041</v>
      </c>
      <c r="U134" s="87">
        <f>IF(U48=0,0,1000000*U48/TrRoad_act!U77)</f>
        <v>958.57101323950099</v>
      </c>
      <c r="V134" s="87">
        <f>IF(V48=0,0,1000000*V48/TrRoad_act!V77)</f>
        <v>844.10612062429664</v>
      </c>
      <c r="W134" s="87">
        <f>IF(W48=0,0,1000000*W48/TrRoad_act!W77)</f>
        <v>940.40203460269379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1333.0472834886891</v>
      </c>
      <c r="K135" s="87">
        <f>IF(K49=0,0,1000000*K49/TrRoad_act!K78)</f>
        <v>1331.0947847174423</v>
      </c>
      <c r="L135" s="87">
        <f>IF(L49=0,0,1000000*L49/TrRoad_act!L78)</f>
        <v>1309.7039350364932</v>
      </c>
      <c r="M135" s="87">
        <f>IF(M49=0,0,1000000*M49/TrRoad_act!M78)</f>
        <v>1270.4262093499699</v>
      </c>
      <c r="N135" s="87">
        <f>IF(N49=0,0,1000000*N49/TrRoad_act!N78)</f>
        <v>1229.2681066036394</v>
      </c>
      <c r="O135" s="87">
        <f>IF(O49=0,0,1000000*O49/TrRoad_act!O78)</f>
        <v>1258.358559309698</v>
      </c>
      <c r="P135" s="87">
        <f>IF(P49=0,0,1000000*P49/TrRoad_act!P78)</f>
        <v>1128.9200851525761</v>
      </c>
      <c r="Q135" s="87">
        <f>IF(Q49=0,0,1000000*Q49/TrRoad_act!Q78)</f>
        <v>1340.0613813191367</v>
      </c>
      <c r="R135" s="87">
        <f>IF(R49=0,0,1000000*R49/TrRoad_act!R78)</f>
        <v>1295.8793549180109</v>
      </c>
      <c r="S135" s="87">
        <f>IF(S49=0,0,1000000*S49/TrRoad_act!S78)</f>
        <v>1226.4207202263526</v>
      </c>
      <c r="T135" s="87">
        <f>IF(T49=0,0,1000000*T49/TrRoad_act!T78)</f>
        <v>1140.1773114786754</v>
      </c>
      <c r="U135" s="87">
        <f>IF(U49=0,0,1000000*U49/TrRoad_act!U78)</f>
        <v>1402.6013464917639</v>
      </c>
      <c r="V135" s="87">
        <f>IF(V49=0,0,1000000*V49/TrRoad_act!V78)</f>
        <v>1802.7138583403296</v>
      </c>
      <c r="W135" s="87">
        <f>IF(W49=0,0,1000000*W49/TrRoad_act!W78)</f>
        <v>2982.8357764167404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232.26125432047129</v>
      </c>
      <c r="K136" s="87">
        <f>IF(K51=0,0,1000000*K51/TrRoad_act!K79)</f>
        <v>232.40149133501859</v>
      </c>
      <c r="L136" s="87">
        <f>IF(L51=0,0,1000000*L51/TrRoad_act!L79)</f>
        <v>232.60733118450725</v>
      </c>
      <c r="M136" s="87">
        <f>IF(M51=0,0,1000000*M51/TrRoad_act!M79)</f>
        <v>234.34704702627329</v>
      </c>
      <c r="N136" s="87">
        <f>IF(N51=0,0,1000000*N51/TrRoad_act!N79)</f>
        <v>238.01648578525325</v>
      </c>
      <c r="O136" s="87">
        <f>IF(O51=0,0,1000000*O51/TrRoad_act!O79)</f>
        <v>239.23773434475507</v>
      </c>
      <c r="P136" s="87">
        <f>IF(P51=0,0,1000000*P51/TrRoad_act!P79)</f>
        <v>240.70627393811577</v>
      </c>
      <c r="Q136" s="87">
        <f>IF(Q51=0,0,1000000*Q51/TrRoad_act!Q79)</f>
        <v>244.49389366292706</v>
      </c>
      <c r="R136" s="87">
        <f>IF(R51=0,0,1000000*R51/TrRoad_act!R79)</f>
        <v>251.53134411889795</v>
      </c>
      <c r="S136" s="87">
        <f>IF(S51=0,0,1000000*S51/TrRoad_act!S79)</f>
        <v>256.16024611038057</v>
      </c>
      <c r="T136" s="87">
        <f>IF(T51=0,0,1000000*T51/TrRoad_act!T79)</f>
        <v>267.58506857694567</v>
      </c>
      <c r="U136" s="87">
        <f>IF(U51=0,0,1000000*U51/TrRoad_act!U79)</f>
        <v>290.01358794922197</v>
      </c>
      <c r="V136" s="87">
        <f>IF(V51=0,0,1000000*V51/TrRoad_act!V79)</f>
        <v>300.42372874511921</v>
      </c>
      <c r="W136" s="87">
        <f>IF(W51=0,0,1000000*W51/TrRoad_act!W79)</f>
        <v>351.87140996232444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10763.114903850868</v>
      </c>
      <c r="C137" s="116">
        <f>IF(C52=0,0,1000000*C52/TrRoad_act!C80)</f>
        <v>8871.3560743207163</v>
      </c>
      <c r="D137" s="116">
        <f>IF(D52=0,0,1000000*D52/TrRoad_act!D80)</f>
        <v>9022.3453119781043</v>
      </c>
      <c r="E137" s="116">
        <f>IF(E52=0,0,1000000*E52/TrRoad_act!E80)</f>
        <v>8982.4960378141968</v>
      </c>
      <c r="F137" s="116">
        <f>IF(F52=0,0,1000000*F52/TrRoad_act!F80)</f>
        <v>9842.3474957374929</v>
      </c>
      <c r="G137" s="116">
        <f>IF(G52=0,0,1000000*G52/TrRoad_act!G80)</f>
        <v>9445.3367133159336</v>
      </c>
      <c r="H137" s="116">
        <f>IF(H52=0,0,1000000*H52/TrRoad_act!H80)</f>
        <v>9910.9890017987345</v>
      </c>
      <c r="I137" s="116">
        <f>IF(I52=0,0,1000000*I52/TrRoad_act!I80)</f>
        <v>9968.3440385350623</v>
      </c>
      <c r="J137" s="116">
        <f>IF(J52=0,0,1000000*J52/TrRoad_act!J80)</f>
        <v>9044.1453819979415</v>
      </c>
      <c r="K137" s="116">
        <f>IF(K52=0,0,1000000*K52/TrRoad_act!K80)</f>
        <v>8768.5375887915325</v>
      </c>
      <c r="L137" s="116">
        <f>IF(L52=0,0,1000000*L52/TrRoad_act!L80)</f>
        <v>9220.7735045913942</v>
      </c>
      <c r="M137" s="116">
        <f>IF(M52=0,0,1000000*M52/TrRoad_act!M80)</f>
        <v>8305.1985192592583</v>
      </c>
      <c r="N137" s="116">
        <f>IF(N52=0,0,1000000*N52/TrRoad_act!N80)</f>
        <v>8058.2696635785014</v>
      </c>
      <c r="O137" s="116">
        <f>IF(O52=0,0,1000000*O52/TrRoad_act!O80)</f>
        <v>8917.5824097335262</v>
      </c>
      <c r="P137" s="116">
        <f>IF(P52=0,0,1000000*P52/TrRoad_act!P80)</f>
        <v>9169.0402774705981</v>
      </c>
      <c r="Q137" s="116">
        <f>IF(Q52=0,0,1000000*Q52/TrRoad_act!Q80)</f>
        <v>9881.8430154185935</v>
      </c>
      <c r="R137" s="116">
        <f>IF(R52=0,0,1000000*R52/TrRoad_act!R80)</f>
        <v>12587.597065144668</v>
      </c>
      <c r="S137" s="116">
        <f>IF(S52=0,0,1000000*S52/TrRoad_act!S80)</f>
        <v>13505.099213347492</v>
      </c>
      <c r="T137" s="116">
        <f>IF(T52=0,0,1000000*T52/TrRoad_act!T80)</f>
        <v>13855.171980798426</v>
      </c>
      <c r="U137" s="116">
        <f>IF(U52=0,0,1000000*U52/TrRoad_act!U80)</f>
        <v>13673.398955916326</v>
      </c>
      <c r="V137" s="116">
        <f>IF(V52=0,0,1000000*V52/TrRoad_act!V80)</f>
        <v>12953.926907728741</v>
      </c>
      <c r="W137" s="116">
        <f>IF(W52=0,0,1000000*W52/TrRoad_act!W80)</f>
        <v>14397.169478814412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7370.3015439069668</v>
      </c>
      <c r="C138" s="101">
        <f>IF(C53=0,0,1000000*C53/TrRoad_act!C81)</f>
        <v>5791.7108935385568</v>
      </c>
      <c r="D138" s="101">
        <f>IF(D53=0,0,1000000*D53/TrRoad_act!D81)</f>
        <v>5866.305981162348</v>
      </c>
      <c r="E138" s="101">
        <f>IF(E53=0,0,1000000*E53/TrRoad_act!E81)</f>
        <v>5584.3176713927178</v>
      </c>
      <c r="F138" s="101">
        <f>IF(F53=0,0,1000000*F53/TrRoad_act!F81)</f>
        <v>5879.1204447564096</v>
      </c>
      <c r="G138" s="101">
        <f>IF(G53=0,0,1000000*G53/TrRoad_act!G81)</f>
        <v>5343.274408660026</v>
      </c>
      <c r="H138" s="101">
        <f>IF(H53=0,0,1000000*H53/TrRoad_act!H81)</f>
        <v>5594.9363620973345</v>
      </c>
      <c r="I138" s="101">
        <f>IF(I53=0,0,1000000*I53/TrRoad_act!I81)</f>
        <v>5495.23815162753</v>
      </c>
      <c r="J138" s="101">
        <f>IF(J53=0,0,1000000*J53/TrRoad_act!J81)</f>
        <v>4426.3331735118309</v>
      </c>
      <c r="K138" s="101">
        <f>IF(K53=0,0,1000000*K53/TrRoad_act!K81)</f>
        <v>4352.82083000069</v>
      </c>
      <c r="L138" s="101">
        <f>IF(L53=0,0,1000000*L53/TrRoad_act!L81)</f>
        <v>4590.114932569827</v>
      </c>
      <c r="M138" s="101">
        <f>IF(M53=0,0,1000000*M53/TrRoad_act!M81)</f>
        <v>4154.9520513847092</v>
      </c>
      <c r="N138" s="101">
        <f>IF(N53=0,0,1000000*N53/TrRoad_act!N81)</f>
        <v>4050.4452960421754</v>
      </c>
      <c r="O138" s="101">
        <f>IF(O53=0,0,1000000*O53/TrRoad_act!O81)</f>
        <v>4555.0534190053704</v>
      </c>
      <c r="P138" s="101">
        <f>IF(P53=0,0,1000000*P53/TrRoad_act!P81)</f>
        <v>4779.0193125221385</v>
      </c>
      <c r="Q138" s="101">
        <f>IF(Q53=0,0,1000000*Q53/TrRoad_act!Q81)</f>
        <v>5484.3580088284734</v>
      </c>
      <c r="R138" s="101">
        <f>IF(R53=0,0,1000000*R53/TrRoad_act!R81)</f>
        <v>6851.4315491726202</v>
      </c>
      <c r="S138" s="101">
        <f>IF(S53=0,0,1000000*S53/TrRoad_act!S81)</f>
        <v>7339.08524511011</v>
      </c>
      <c r="T138" s="101">
        <f>IF(T53=0,0,1000000*T53/TrRoad_act!T81)</f>
        <v>7294.1957774171133</v>
      </c>
      <c r="U138" s="101">
        <f>IF(U53=0,0,1000000*U53/TrRoad_act!U81)</f>
        <v>7429.2065643686901</v>
      </c>
      <c r="V138" s="101">
        <f>IF(V53=0,0,1000000*V53/TrRoad_act!V81)</f>
        <v>6810.2001889329749</v>
      </c>
      <c r="W138" s="101">
        <f>IF(W53=0,0,1000000*W53/TrRoad_act!W81)</f>
        <v>7793.2473130124454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27129.852487608608</v>
      </c>
      <c r="C139" s="88">
        <f>IF(C55=0,0,1000000*C55/TrRoad_act!C82)</f>
        <v>29958.105262288984</v>
      </c>
      <c r="D139" s="88">
        <f>IF(D55=0,0,1000000*D55/TrRoad_act!D82)</f>
        <v>29478.637080324377</v>
      </c>
      <c r="E139" s="88">
        <f>IF(E55=0,0,1000000*E55/TrRoad_act!E82)</f>
        <v>31210.429956410757</v>
      </c>
      <c r="F139" s="88">
        <f>IF(F55=0,0,1000000*F55/TrRoad_act!F82)</f>
        <v>32598.654957207727</v>
      </c>
      <c r="G139" s="88">
        <f>IF(G55=0,0,1000000*G55/TrRoad_act!G82)</f>
        <v>33067.943461983086</v>
      </c>
      <c r="H139" s="88">
        <f>IF(H55=0,0,1000000*H55/TrRoad_act!H82)</f>
        <v>34054.409855295693</v>
      </c>
      <c r="I139" s="88">
        <f>IF(I55=0,0,1000000*I55/TrRoad_act!I82)</f>
        <v>34469.121684328908</v>
      </c>
      <c r="J139" s="88">
        <f>IF(J55=0,0,1000000*J55/TrRoad_act!J82)</f>
        <v>35845.32768484157</v>
      </c>
      <c r="K139" s="88">
        <f>IF(K55=0,0,1000000*K55/TrRoad_act!K82)</f>
        <v>35635.986479101171</v>
      </c>
      <c r="L139" s="88">
        <f>IF(L55=0,0,1000000*L55/TrRoad_act!L82)</f>
        <v>36130.645588452484</v>
      </c>
      <c r="M139" s="88">
        <f>IF(M55=0,0,1000000*M55/TrRoad_act!M82)</f>
        <v>34616.857807126566</v>
      </c>
      <c r="N139" s="88">
        <f>IF(N55=0,0,1000000*N55/TrRoad_act!N82)</f>
        <v>32973.600944276324</v>
      </c>
      <c r="O139" s="88">
        <f>IF(O55=0,0,1000000*O55/TrRoad_act!O82)</f>
        <v>33632.975087650339</v>
      </c>
      <c r="P139" s="88">
        <f>IF(P55=0,0,1000000*P55/TrRoad_act!P82)</f>
        <v>33640.034729463281</v>
      </c>
      <c r="Q139" s="88">
        <f>IF(Q55=0,0,1000000*Q55/TrRoad_act!Q82)</f>
        <v>34971.49774681258</v>
      </c>
      <c r="R139" s="88">
        <f>IF(R55=0,0,1000000*R55/TrRoad_act!R82)</f>
        <v>39744.772849202665</v>
      </c>
      <c r="S139" s="88">
        <f>IF(S55=0,0,1000000*S55/TrRoad_act!S82)</f>
        <v>42407.427943145733</v>
      </c>
      <c r="T139" s="88">
        <f>IF(T55=0,0,1000000*T55/TrRoad_act!T82)</f>
        <v>47248.104308744441</v>
      </c>
      <c r="U139" s="88">
        <f>IF(U55=0,0,1000000*U55/TrRoad_act!U82)</f>
        <v>45407.154855567693</v>
      </c>
      <c r="V139" s="88">
        <f>IF(V55=0,0,1000000*V55/TrRoad_act!V82)</f>
        <v>42907.307268752731</v>
      </c>
      <c r="W139" s="88">
        <f>IF(W55=0,0,1000000*W55/TrRoad_act!W82)</f>
        <v>47044.347630821656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0.73159974766446911</v>
      </c>
      <c r="C142" s="46">
        <f t="shared" si="41"/>
        <v>0.71565067593791332</v>
      </c>
      <c r="D142" s="46">
        <f t="shared" si="41"/>
        <v>0.70755873180377338</v>
      </c>
      <c r="E142" s="46">
        <f t="shared" si="41"/>
        <v>0.70957298882735964</v>
      </c>
      <c r="F142" s="46">
        <f t="shared" si="41"/>
        <v>0.68836362989801725</v>
      </c>
      <c r="G142" s="46">
        <f t="shared" si="41"/>
        <v>0.67846424761149127</v>
      </c>
      <c r="H142" s="46">
        <f t="shared" si="41"/>
        <v>0.67560687971707334</v>
      </c>
      <c r="I142" s="46">
        <f t="shared" si="41"/>
        <v>0.67616822567992318</v>
      </c>
      <c r="J142" s="46">
        <f t="shared" si="41"/>
        <v>0.68661918694333413</v>
      </c>
      <c r="K142" s="46">
        <f t="shared" si="41"/>
        <v>0.69477961918639597</v>
      </c>
      <c r="L142" s="46">
        <f t="shared" ref="L142" si="42">IF(L18=0,0,L18/L$17)</f>
        <v>0.69023642560518117</v>
      </c>
      <c r="M142" s="46">
        <f t="shared" ref="M142:V142" si="43">IF(M18=0,0,M18/M$17)</f>
        <v>0.69172197231390242</v>
      </c>
      <c r="N142" s="46">
        <f t="shared" si="43"/>
        <v>0.6937602669850188</v>
      </c>
      <c r="O142" s="46">
        <f t="shared" si="43"/>
        <v>0.68640483626737758</v>
      </c>
      <c r="P142" s="46">
        <f t="shared" si="43"/>
        <v>0.68575910924648664</v>
      </c>
      <c r="Q142" s="46">
        <f t="shared" si="43"/>
        <v>0.67083789444770059</v>
      </c>
      <c r="R142" s="46">
        <f t="shared" si="43"/>
        <v>0.65249312381573521</v>
      </c>
      <c r="S142" s="46">
        <f t="shared" si="43"/>
        <v>0.64043354683999509</v>
      </c>
      <c r="T142" s="46">
        <f t="shared" si="43"/>
        <v>0.63268257813224038</v>
      </c>
      <c r="U142" s="46">
        <f t="shared" si="43"/>
        <v>0.62868837250022025</v>
      </c>
      <c r="V142" s="46">
        <f t="shared" si="43"/>
        <v>0.60647624005199186</v>
      </c>
      <c r="W142" s="46">
        <f t="shared" ref="W142" si="44">IF(W18=0,0,W18/W$17)</f>
        <v>0.58951596393325245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7.7942694106900344E-3</v>
      </c>
      <c r="C143" s="154">
        <f t="shared" si="45"/>
        <v>7.7926274114830298E-3</v>
      </c>
      <c r="D143" s="154">
        <f t="shared" si="45"/>
        <v>8.1425787405915162E-3</v>
      </c>
      <c r="E143" s="154">
        <f t="shared" si="45"/>
        <v>8.2372858362069722E-3</v>
      </c>
      <c r="F143" s="154">
        <f t="shared" si="45"/>
        <v>7.9627592325800141E-3</v>
      </c>
      <c r="G143" s="154">
        <f t="shared" si="45"/>
        <v>7.8180379309086192E-3</v>
      </c>
      <c r="H143" s="154">
        <f t="shared" si="45"/>
        <v>7.8475266856816144E-3</v>
      </c>
      <c r="I143" s="154">
        <f t="shared" si="45"/>
        <v>7.8348097692495459E-3</v>
      </c>
      <c r="J143" s="154">
        <f t="shared" si="45"/>
        <v>7.7378112645418492E-3</v>
      </c>
      <c r="K143" s="154">
        <f t="shared" si="45"/>
        <v>7.6059850658218549E-3</v>
      </c>
      <c r="L143" s="154">
        <f t="shared" ref="L143" si="46">IF(L19=0,0,L19/L$17)</f>
        <v>7.2665561949980762E-3</v>
      </c>
      <c r="M143" s="154">
        <f t="shared" ref="M143:V143" si="47">IF(M19=0,0,M19/M$17)</f>
        <v>7.2726624003102971E-3</v>
      </c>
      <c r="N143" s="154">
        <f t="shared" si="47"/>
        <v>7.1562082539245444E-3</v>
      </c>
      <c r="O143" s="154">
        <f t="shared" si="47"/>
        <v>6.9309797830326503E-3</v>
      </c>
      <c r="P143" s="154">
        <f t="shared" si="47"/>
        <v>7.0598938705343367E-3</v>
      </c>
      <c r="Q143" s="154">
        <f t="shared" si="47"/>
        <v>6.6262668060551718E-3</v>
      </c>
      <c r="R143" s="154">
        <f t="shared" si="47"/>
        <v>6.3399316510857973E-3</v>
      </c>
      <c r="S143" s="154">
        <f t="shared" si="47"/>
        <v>6.2310075031774452E-3</v>
      </c>
      <c r="T143" s="154">
        <f t="shared" si="47"/>
        <v>5.8634369407813041E-3</v>
      </c>
      <c r="U143" s="154">
        <f t="shared" si="47"/>
        <v>6.2897201059343424E-3</v>
      </c>
      <c r="V143" s="154">
        <f t="shared" si="47"/>
        <v>6.2163405397577627E-3</v>
      </c>
      <c r="W143" s="154">
        <f t="shared" ref="W143" si="48">IF(W19=0,0,W19/W$17)</f>
        <v>5.5777323813787135E-3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0.67287431609963078</v>
      </c>
      <c r="C144" s="156">
        <f t="shared" si="49"/>
        <v>0.65909452708136174</v>
      </c>
      <c r="D144" s="156">
        <f t="shared" si="49"/>
        <v>0.65098528740768558</v>
      </c>
      <c r="E144" s="156">
        <f t="shared" si="49"/>
        <v>0.65284400466358006</v>
      </c>
      <c r="F144" s="156">
        <f t="shared" si="49"/>
        <v>0.63365102735836298</v>
      </c>
      <c r="G144" s="156">
        <f t="shared" si="49"/>
        <v>0.62351665160521486</v>
      </c>
      <c r="H144" s="156">
        <f t="shared" si="49"/>
        <v>0.62278710912712165</v>
      </c>
      <c r="I144" s="156">
        <f t="shared" si="49"/>
        <v>0.62522098535659154</v>
      </c>
      <c r="J144" s="156">
        <f t="shared" si="49"/>
        <v>0.63499501014823134</v>
      </c>
      <c r="K144" s="156">
        <f t="shared" si="49"/>
        <v>0.64356347542996983</v>
      </c>
      <c r="L144" s="156">
        <f t="shared" ref="L144" si="50">IF(L21=0,0,L21/L$17)</f>
        <v>0.63927341886401889</v>
      </c>
      <c r="M144" s="156">
        <f t="shared" ref="M144:V144" si="51">IF(M21=0,0,M21/M$17)</f>
        <v>0.64157201548703302</v>
      </c>
      <c r="N144" s="156">
        <f t="shared" si="51"/>
        <v>0.64374131409847313</v>
      </c>
      <c r="O144" s="156">
        <f t="shared" si="51"/>
        <v>0.63695059419764488</v>
      </c>
      <c r="P144" s="156">
        <f t="shared" si="51"/>
        <v>0.63626613899113305</v>
      </c>
      <c r="Q144" s="156">
        <f t="shared" si="51"/>
        <v>0.622119823822328</v>
      </c>
      <c r="R144" s="156">
        <f t="shared" si="51"/>
        <v>0.60587738542425229</v>
      </c>
      <c r="S144" s="156">
        <f t="shared" si="51"/>
        <v>0.59206682298211877</v>
      </c>
      <c r="T144" s="156">
        <f t="shared" si="51"/>
        <v>0.58275779248388859</v>
      </c>
      <c r="U144" s="156">
        <f t="shared" si="51"/>
        <v>0.57729754172321279</v>
      </c>
      <c r="V144" s="156">
        <f t="shared" si="51"/>
        <v>0.54922091674760321</v>
      </c>
      <c r="W144" s="156">
        <f t="shared" ref="W144" si="52">IF(W21=0,0,W21/W$17)</f>
        <v>0.53548180081258112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0.28494338214657366</v>
      </c>
      <c r="C145" s="103">
        <f t="shared" si="53"/>
        <v>0.26719336432355539</v>
      </c>
      <c r="D145" s="103">
        <f t="shared" si="53"/>
        <v>0.25346738204968833</v>
      </c>
      <c r="E145" s="103">
        <f t="shared" si="53"/>
        <v>0.25057917585323902</v>
      </c>
      <c r="F145" s="103">
        <f t="shared" si="53"/>
        <v>0.21964613047847992</v>
      </c>
      <c r="G145" s="103">
        <f t="shared" si="53"/>
        <v>0.20854333141052667</v>
      </c>
      <c r="H145" s="103">
        <f t="shared" si="53"/>
        <v>0.18824289116529494</v>
      </c>
      <c r="I145" s="103">
        <f t="shared" si="53"/>
        <v>0.17229132145163839</v>
      </c>
      <c r="J145" s="103">
        <f t="shared" si="53"/>
        <v>0.15686260930404369</v>
      </c>
      <c r="K145" s="103">
        <f t="shared" si="53"/>
        <v>0.15267388956198411</v>
      </c>
      <c r="L145" s="103">
        <f t="shared" ref="L145" si="54">IF(L22=0,0,L22/L$17)</f>
        <v>0.14086810504996605</v>
      </c>
      <c r="M145" s="103">
        <f t="shared" ref="M145:V145" si="55">IF(M22=0,0,M22/M$17)</f>
        <v>0.13700748023588313</v>
      </c>
      <c r="N145" s="103">
        <f t="shared" si="55"/>
        <v>0.13772195263732742</v>
      </c>
      <c r="O145" s="103">
        <f t="shared" si="55"/>
        <v>0.14088409978871894</v>
      </c>
      <c r="P145" s="103">
        <f t="shared" si="55"/>
        <v>0.14666064342207957</v>
      </c>
      <c r="Q145" s="103">
        <f t="shared" si="55"/>
        <v>0.14984494952633379</v>
      </c>
      <c r="R145" s="103">
        <f t="shared" si="55"/>
        <v>0.16095248461934938</v>
      </c>
      <c r="S145" s="103">
        <f t="shared" si="55"/>
        <v>0.16986596673150717</v>
      </c>
      <c r="T145" s="103">
        <f t="shared" si="55"/>
        <v>0.19029579072485361</v>
      </c>
      <c r="U145" s="103">
        <f t="shared" si="55"/>
        <v>0.21582401596263584</v>
      </c>
      <c r="V145" s="103">
        <f t="shared" si="55"/>
        <v>0.20620337208169193</v>
      </c>
      <c r="W145" s="103">
        <f t="shared" ref="W145" si="56">IF(W22=0,0,W22/W$17)</f>
        <v>0.22781160022911712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0.38114191992925761</v>
      </c>
      <c r="C146" s="103">
        <f t="shared" si="57"/>
        <v>0.38370987575419391</v>
      </c>
      <c r="D146" s="103">
        <f t="shared" si="57"/>
        <v>0.39073807623880863</v>
      </c>
      <c r="E146" s="103">
        <f t="shared" si="57"/>
        <v>0.39646732772489318</v>
      </c>
      <c r="F146" s="103">
        <f t="shared" si="57"/>
        <v>0.40875163978229295</v>
      </c>
      <c r="G146" s="103">
        <f t="shared" si="57"/>
        <v>0.40971979988665114</v>
      </c>
      <c r="H146" s="103">
        <f t="shared" si="57"/>
        <v>0.42950518822851114</v>
      </c>
      <c r="I146" s="103">
        <f t="shared" si="57"/>
        <v>0.44884216139297745</v>
      </c>
      <c r="J146" s="103">
        <f t="shared" si="57"/>
        <v>0.47423500258866352</v>
      </c>
      <c r="K146" s="103">
        <f t="shared" si="57"/>
        <v>0.48709298571728127</v>
      </c>
      <c r="L146" s="103">
        <f t="shared" ref="L146" si="58">IF(L24=0,0,L24/L$17)</f>
        <v>0.49479780632463688</v>
      </c>
      <c r="M146" s="103">
        <f t="shared" ref="M146:V146" si="59">IF(M24=0,0,M24/M$17)</f>
        <v>0.50058700225361297</v>
      </c>
      <c r="N146" s="103">
        <f t="shared" si="59"/>
        <v>0.50194186906566929</v>
      </c>
      <c r="O146" s="103">
        <f t="shared" si="59"/>
        <v>0.49217476670726734</v>
      </c>
      <c r="P146" s="103">
        <f t="shared" si="59"/>
        <v>0.48516616535380169</v>
      </c>
      <c r="Q146" s="103">
        <f t="shared" si="59"/>
        <v>0.46555326814720238</v>
      </c>
      <c r="R146" s="103">
        <f t="shared" si="59"/>
        <v>0.43735198191616725</v>
      </c>
      <c r="S146" s="103">
        <f t="shared" si="59"/>
        <v>0.41423445547718035</v>
      </c>
      <c r="T146" s="103">
        <f t="shared" si="59"/>
        <v>0.3835605347442706</v>
      </c>
      <c r="U146" s="103">
        <f t="shared" si="59"/>
        <v>0.3504509035026947</v>
      </c>
      <c r="V146" s="103">
        <f t="shared" si="59"/>
        <v>0.32779496501840588</v>
      </c>
      <c r="W146" s="103">
        <f t="shared" ref="W146" si="60">IF(W24=0,0,W24/W$17)</f>
        <v>0.28872661658853011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6.7890140237994957E-3</v>
      </c>
      <c r="C147" s="103">
        <f t="shared" si="61"/>
        <v>8.1912870036122323E-3</v>
      </c>
      <c r="D147" s="103">
        <f t="shared" si="61"/>
        <v>6.7798291191886037E-3</v>
      </c>
      <c r="E147" s="103">
        <f t="shared" si="61"/>
        <v>5.7975010854478563E-3</v>
      </c>
      <c r="F147" s="103">
        <f t="shared" si="61"/>
        <v>5.2192472216934334E-3</v>
      </c>
      <c r="G147" s="103">
        <f t="shared" si="61"/>
        <v>5.2156617782805614E-3</v>
      </c>
      <c r="H147" s="103">
        <f t="shared" si="61"/>
        <v>5.0040865243825396E-3</v>
      </c>
      <c r="I147" s="103">
        <f t="shared" si="61"/>
        <v>4.0533282303549974E-3</v>
      </c>
      <c r="J147" s="103">
        <f t="shared" si="61"/>
        <v>3.8780296957651597E-3</v>
      </c>
      <c r="K147" s="103">
        <f t="shared" si="61"/>
        <v>3.7829898722015836E-3</v>
      </c>
      <c r="L147" s="103">
        <f t="shared" ref="L147" si="62">IF(L26=0,0,L26/L$17)</f>
        <v>3.5942454289178217E-3</v>
      </c>
      <c r="M147" s="103">
        <f t="shared" ref="M147:V147" si="63">IF(M26=0,0,M26/M$17)</f>
        <v>3.9544179552193724E-3</v>
      </c>
      <c r="N147" s="103">
        <f t="shared" si="63"/>
        <v>4.0146805602740638E-3</v>
      </c>
      <c r="O147" s="103">
        <f t="shared" si="63"/>
        <v>3.7753600541978144E-3</v>
      </c>
      <c r="P147" s="103">
        <f t="shared" si="63"/>
        <v>4.1704089146640203E-3</v>
      </c>
      <c r="Q147" s="103">
        <f t="shared" si="63"/>
        <v>6.1508366205537965E-3</v>
      </c>
      <c r="R147" s="103">
        <f t="shared" si="63"/>
        <v>6.2971445360126823E-3</v>
      </c>
      <c r="S147" s="103">
        <f t="shared" si="63"/>
        <v>5.7949778780504915E-3</v>
      </c>
      <c r="T147" s="103">
        <f t="shared" si="63"/>
        <v>5.4526745778554573E-3</v>
      </c>
      <c r="U147" s="103">
        <f t="shared" si="63"/>
        <v>5.5225453601686087E-3</v>
      </c>
      <c r="V147" s="103">
        <f t="shared" si="63"/>
        <v>5.5588617477063734E-3</v>
      </c>
      <c r="W147" s="103">
        <f t="shared" ref="W147" si="64">IF(W26=0,0,W26/W$17)</f>
        <v>4.884425400690476E-3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0</v>
      </c>
      <c r="E148" s="103">
        <f t="shared" si="65"/>
        <v>0</v>
      </c>
      <c r="F148" s="103">
        <f t="shared" si="65"/>
        <v>3.4009875896682664E-5</v>
      </c>
      <c r="G148" s="103">
        <f t="shared" si="65"/>
        <v>3.7858529756608849E-5</v>
      </c>
      <c r="H148" s="103">
        <f t="shared" si="65"/>
        <v>3.4943208933107205E-5</v>
      </c>
      <c r="I148" s="103">
        <f t="shared" si="65"/>
        <v>3.4174281620723501E-5</v>
      </c>
      <c r="J148" s="103">
        <f t="shared" si="65"/>
        <v>1.9167646261442338E-5</v>
      </c>
      <c r="K148" s="103">
        <f t="shared" si="65"/>
        <v>1.3316110833664143E-5</v>
      </c>
      <c r="L148" s="103">
        <f t="shared" ref="L148" si="66">IF(L27=0,0,L27/L$17)</f>
        <v>1.1870546171818404E-5</v>
      </c>
      <c r="M148" s="103">
        <f t="shared" ref="M148:V148" si="67">IF(M27=0,0,M27/M$17)</f>
        <v>1.5036583136961178E-5</v>
      </c>
      <c r="N148" s="103">
        <f t="shared" si="67"/>
        <v>3.3049233666917211E-5</v>
      </c>
      <c r="O148" s="103">
        <f t="shared" si="67"/>
        <v>7.4461647383747349E-5</v>
      </c>
      <c r="P148" s="103">
        <f t="shared" si="67"/>
        <v>1.6881990426910297E-4</v>
      </c>
      <c r="Q148" s="103">
        <f t="shared" si="67"/>
        <v>2.9277802507125258E-4</v>
      </c>
      <c r="R148" s="103">
        <f t="shared" si="67"/>
        <v>5.7272074783611831E-4</v>
      </c>
      <c r="S148" s="103">
        <f t="shared" si="67"/>
        <v>8.6566120225730454E-4</v>
      </c>
      <c r="T148" s="103">
        <f t="shared" si="67"/>
        <v>1.4683961646171407E-3</v>
      </c>
      <c r="U148" s="103">
        <f t="shared" si="67"/>
        <v>2.7502784128842772E-3</v>
      </c>
      <c r="V148" s="103">
        <f t="shared" si="67"/>
        <v>4.728854768258739E-3</v>
      </c>
      <c r="W148" s="103">
        <f t="shared" ref="W148" si="68">IF(W27=0,0,W27/W$17)</f>
        <v>6.1536497078266235E-3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5.6841550017318789E-7</v>
      </c>
      <c r="N149" s="103">
        <f t="shared" si="71"/>
        <v>9.9169965696192207E-6</v>
      </c>
      <c r="O149" s="103">
        <f t="shared" si="71"/>
        <v>1.1768952107896957E-5</v>
      </c>
      <c r="P149" s="103">
        <f t="shared" si="71"/>
        <v>4.4545784300167632E-5</v>
      </c>
      <c r="Q149" s="103">
        <f t="shared" si="71"/>
        <v>1.873240707569842E-4</v>
      </c>
      <c r="R149" s="103">
        <f t="shared" si="71"/>
        <v>5.594467930531376E-4</v>
      </c>
      <c r="S149" s="103">
        <f t="shared" si="71"/>
        <v>1.0919732445874104E-3</v>
      </c>
      <c r="T149" s="103">
        <f t="shared" si="71"/>
        <v>1.6566701186481062E-3</v>
      </c>
      <c r="U149" s="103">
        <f t="shared" si="71"/>
        <v>2.1557702318076785E-3</v>
      </c>
      <c r="V149" s="103">
        <f t="shared" si="71"/>
        <v>3.8811019506545322E-3</v>
      </c>
      <c r="W149" s="103">
        <f t="shared" ref="W149" si="72">IF(W29=0,0,W29/W$17)</f>
        <v>6.1229094833724004E-3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2.0091349747702738E-7</v>
      </c>
      <c r="K150" s="103">
        <f t="shared" si="73"/>
        <v>2.941676691620976E-7</v>
      </c>
      <c r="L150" s="103">
        <f t="shared" ref="L150" si="74">IF(L32=0,0,L32/L$17)</f>
        <v>1.3915143263300691E-6</v>
      </c>
      <c r="M150" s="103">
        <f t="shared" ref="M150:V150" si="75">IF(M32=0,0,M32/M$17)</f>
        <v>7.5100436804287064E-6</v>
      </c>
      <c r="N150" s="103">
        <f t="shared" si="75"/>
        <v>1.9845604965839936E-5</v>
      </c>
      <c r="O150" s="103">
        <f t="shared" si="75"/>
        <v>3.0137047969130475E-5</v>
      </c>
      <c r="P150" s="103">
        <f t="shared" si="75"/>
        <v>5.5555612018378941E-5</v>
      </c>
      <c r="Q150" s="103">
        <f t="shared" si="75"/>
        <v>9.0667432409919819E-5</v>
      </c>
      <c r="R150" s="103">
        <f t="shared" si="75"/>
        <v>1.4360681183366643E-4</v>
      </c>
      <c r="S150" s="103">
        <f t="shared" si="75"/>
        <v>2.1378844853606045E-4</v>
      </c>
      <c r="T150" s="103">
        <f t="shared" si="75"/>
        <v>3.2372615364357853E-4</v>
      </c>
      <c r="U150" s="103">
        <f t="shared" si="75"/>
        <v>5.9402825302165888E-4</v>
      </c>
      <c r="V150" s="103">
        <f t="shared" si="75"/>
        <v>1.0537611808857199E-3</v>
      </c>
      <c r="W150" s="103">
        <f t="shared" ref="W150" si="76">IF(W32=0,0,W32/W$17)</f>
        <v>1.7825994030444914E-3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5.0931162154148217E-2</v>
      </c>
      <c r="C151" s="156">
        <f t="shared" si="77"/>
        <v>4.8763521445068604E-2</v>
      </c>
      <c r="D151" s="156">
        <f t="shared" si="77"/>
        <v>4.8430865655496182E-2</v>
      </c>
      <c r="E151" s="156">
        <f t="shared" si="77"/>
        <v>4.8491698327572628E-2</v>
      </c>
      <c r="F151" s="156">
        <f t="shared" si="77"/>
        <v>4.6749843307074407E-2</v>
      </c>
      <c r="G151" s="156">
        <f t="shared" si="77"/>
        <v>4.7129558075367811E-2</v>
      </c>
      <c r="H151" s="156">
        <f t="shared" si="77"/>
        <v>4.4972243904270071E-2</v>
      </c>
      <c r="I151" s="156">
        <f t="shared" si="77"/>
        <v>4.3112430554082148E-2</v>
      </c>
      <c r="J151" s="156">
        <f t="shared" si="77"/>
        <v>4.3886365530560995E-2</v>
      </c>
      <c r="K151" s="156">
        <f t="shared" si="77"/>
        <v>4.3610158690604264E-2</v>
      </c>
      <c r="L151" s="156">
        <f t="shared" ref="L151" si="78">IF(L33=0,0,L33/L$17)</f>
        <v>4.3696450546164209E-2</v>
      </c>
      <c r="M151" s="156">
        <f t="shared" ref="M151:V151" si="79">IF(M33=0,0,M33/M$17)</f>
        <v>4.2877294426559111E-2</v>
      </c>
      <c r="N151" s="156">
        <f t="shared" si="79"/>
        <v>4.286274463262113E-2</v>
      </c>
      <c r="O151" s="156">
        <f t="shared" si="79"/>
        <v>4.2523262286699989E-2</v>
      </c>
      <c r="P151" s="156">
        <f t="shared" si="79"/>
        <v>4.2433076384819274E-2</v>
      </c>
      <c r="Q151" s="156">
        <f t="shared" si="79"/>
        <v>4.209180381931741E-2</v>
      </c>
      <c r="R151" s="156">
        <f t="shared" si="79"/>
        <v>4.027580674039713E-2</v>
      </c>
      <c r="S151" s="156">
        <f t="shared" si="79"/>
        <v>4.2135716354698892E-2</v>
      </c>
      <c r="T151" s="156">
        <f t="shared" si="79"/>
        <v>4.4061348707570648E-2</v>
      </c>
      <c r="U151" s="156">
        <f t="shared" si="79"/>
        <v>4.5101110671073259E-2</v>
      </c>
      <c r="V151" s="156">
        <f t="shared" si="79"/>
        <v>5.1038982764630876E-2</v>
      </c>
      <c r="W151" s="156">
        <f t="shared" ref="W151" si="80">IF(W33=0,0,W33/W$17)</f>
        <v>4.8456430739292546E-2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2.1408250252159924E-4</v>
      </c>
      <c r="C152" s="103">
        <f t="shared" si="81"/>
        <v>2.0500689441810393E-4</v>
      </c>
      <c r="D152" s="103">
        <f t="shared" si="81"/>
        <v>1.8963721897751092E-4</v>
      </c>
      <c r="E152" s="103">
        <f t="shared" si="81"/>
        <v>1.8755299625195938E-4</v>
      </c>
      <c r="F152" s="103">
        <f t="shared" si="81"/>
        <v>1.7655706843706966E-4</v>
      </c>
      <c r="G152" s="103">
        <f t="shared" si="81"/>
        <v>1.7966822028570283E-4</v>
      </c>
      <c r="H152" s="103">
        <f t="shared" si="81"/>
        <v>1.5926093531145772E-4</v>
      </c>
      <c r="I152" s="103">
        <f t="shared" si="81"/>
        <v>1.4658165132590314E-4</v>
      </c>
      <c r="J152" s="103">
        <f t="shared" si="81"/>
        <v>1.3568118803318979E-4</v>
      </c>
      <c r="K152" s="103">
        <f t="shared" si="81"/>
        <v>1.2555738749471567E-4</v>
      </c>
      <c r="L152" s="103">
        <f t="shared" ref="L152" si="82">IF(L34=0,0,L34/L$17)</f>
        <v>1.1408076862994403E-4</v>
      </c>
      <c r="M152" s="103">
        <f t="shared" ref="M152:V152" si="83">IF(M34=0,0,M34/M$17)</f>
        <v>1.1037862290816918E-4</v>
      </c>
      <c r="N152" s="103">
        <f t="shared" si="83"/>
        <v>1.0910937268617886E-4</v>
      </c>
      <c r="O152" s="103">
        <f t="shared" si="83"/>
        <v>1.0324065840090927E-4</v>
      </c>
      <c r="P152" s="103">
        <f t="shared" si="83"/>
        <v>9.8612431396497799E-5</v>
      </c>
      <c r="Q152" s="103">
        <f t="shared" si="83"/>
        <v>9.1365506946329496E-5</v>
      </c>
      <c r="R152" s="103">
        <f t="shared" si="83"/>
        <v>8.3687755572258785E-5</v>
      </c>
      <c r="S152" s="103">
        <f t="shared" si="83"/>
        <v>8.3117400454227149E-5</v>
      </c>
      <c r="T152" s="103">
        <f t="shared" si="83"/>
        <v>8.135818478950709E-5</v>
      </c>
      <c r="U152" s="103">
        <f t="shared" si="83"/>
        <v>8.0657745647454423E-5</v>
      </c>
      <c r="V152" s="103">
        <f t="shared" si="83"/>
        <v>9.0551398713004393E-5</v>
      </c>
      <c r="W152" s="103">
        <f t="shared" ref="W152" si="84">IF(W34=0,0,W34/W$17)</f>
        <v>7.8840147322835528E-5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5.0714140147592963E-2</v>
      </c>
      <c r="C153" s="103">
        <f t="shared" si="85"/>
        <v>4.8555676343022915E-2</v>
      </c>
      <c r="D153" s="103">
        <f t="shared" si="85"/>
        <v>4.8238390803413744E-2</v>
      </c>
      <c r="E153" s="103">
        <f t="shared" si="85"/>
        <v>4.8301368592713889E-2</v>
      </c>
      <c r="F153" s="103">
        <f t="shared" si="85"/>
        <v>4.6570615407706455E-2</v>
      </c>
      <c r="G153" s="103">
        <f t="shared" si="85"/>
        <v>4.692285022748148E-2</v>
      </c>
      <c r="H153" s="103">
        <f t="shared" si="85"/>
        <v>4.4786545639845611E-2</v>
      </c>
      <c r="I153" s="103">
        <f t="shared" si="85"/>
        <v>4.29414387315653E-2</v>
      </c>
      <c r="J153" s="103">
        <f t="shared" si="85"/>
        <v>4.3727591799730611E-2</v>
      </c>
      <c r="K153" s="103">
        <f t="shared" si="85"/>
        <v>4.3461225312729626E-2</v>
      </c>
      <c r="L153" s="103">
        <f t="shared" ref="L153" si="86">IF(L36=0,0,L36/L$17)</f>
        <v>4.3560030285629429E-2</v>
      </c>
      <c r="M153" s="103">
        <f t="shared" ref="M153:V153" si="87">IF(M36=0,0,M36/M$17)</f>
        <v>4.2745470781141361E-2</v>
      </c>
      <c r="N153" s="103">
        <f t="shared" si="87"/>
        <v>4.2732825374002269E-2</v>
      </c>
      <c r="O153" s="103">
        <f t="shared" si="87"/>
        <v>4.2398790709391905E-2</v>
      </c>
      <c r="P153" s="103">
        <f t="shared" si="87"/>
        <v>4.2311334893092772E-2</v>
      </c>
      <c r="Q153" s="103">
        <f t="shared" si="87"/>
        <v>4.1980800247640573E-2</v>
      </c>
      <c r="R153" s="103">
        <f t="shared" si="87"/>
        <v>4.0172162340111311E-2</v>
      </c>
      <c r="S153" s="103">
        <f t="shared" si="87"/>
        <v>4.2033487497219073E-2</v>
      </c>
      <c r="T153" s="103">
        <f t="shared" si="87"/>
        <v>4.3941956206126648E-2</v>
      </c>
      <c r="U153" s="103">
        <f t="shared" si="87"/>
        <v>4.4914115287350662E-2</v>
      </c>
      <c r="V153" s="103">
        <f t="shared" si="87"/>
        <v>5.0751886489204361E-2</v>
      </c>
      <c r="W153" s="103">
        <f t="shared" ref="W153" si="88">IF(W36=0,0,W36/W$17)</f>
        <v>4.758132908101715E-2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0</v>
      </c>
      <c r="D154" s="103">
        <f t="shared" si="89"/>
        <v>0</v>
      </c>
      <c r="E154" s="103">
        <f t="shared" si="89"/>
        <v>0</v>
      </c>
      <c r="F154" s="103">
        <f t="shared" si="89"/>
        <v>0</v>
      </c>
      <c r="G154" s="103">
        <f t="shared" si="89"/>
        <v>0</v>
      </c>
      <c r="H154" s="103">
        <f t="shared" si="89"/>
        <v>0</v>
      </c>
      <c r="I154" s="103">
        <f t="shared" si="89"/>
        <v>0</v>
      </c>
      <c r="J154" s="103">
        <f t="shared" si="89"/>
        <v>0</v>
      </c>
      <c r="K154" s="103">
        <f t="shared" si="89"/>
        <v>0</v>
      </c>
      <c r="L154" s="103">
        <f t="shared" ref="L154" si="90">IF(L38=0,0,L38/L$17)</f>
        <v>0</v>
      </c>
      <c r="M154" s="103">
        <f t="shared" ref="M154:V154" si="91">IF(M38=0,0,M38/M$17)</f>
        <v>0</v>
      </c>
      <c r="N154" s="103">
        <f t="shared" si="91"/>
        <v>0</v>
      </c>
      <c r="O154" s="103">
        <f t="shared" si="91"/>
        <v>0</v>
      </c>
      <c r="P154" s="103">
        <f t="shared" si="91"/>
        <v>0</v>
      </c>
      <c r="Q154" s="103">
        <f t="shared" si="91"/>
        <v>0</v>
      </c>
      <c r="R154" s="103">
        <f t="shared" si="91"/>
        <v>0</v>
      </c>
      <c r="S154" s="103">
        <f t="shared" si="91"/>
        <v>0</v>
      </c>
      <c r="T154" s="103">
        <f t="shared" si="91"/>
        <v>0</v>
      </c>
      <c r="U154" s="103">
        <f t="shared" si="91"/>
        <v>0</v>
      </c>
      <c r="V154" s="103">
        <f t="shared" si="91"/>
        <v>0</v>
      </c>
      <c r="W154" s="103">
        <f t="shared" ref="W154" si="92">IF(W38=0,0,W38/W$17)</f>
        <v>0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0</v>
      </c>
      <c r="C155" s="103">
        <f t="shared" si="93"/>
        <v>0</v>
      </c>
      <c r="D155" s="103">
        <f t="shared" si="93"/>
        <v>0</v>
      </c>
      <c r="E155" s="103">
        <f t="shared" si="93"/>
        <v>0</v>
      </c>
      <c r="F155" s="103">
        <f t="shared" si="93"/>
        <v>0</v>
      </c>
      <c r="G155" s="103">
        <f t="shared" si="93"/>
        <v>0</v>
      </c>
      <c r="H155" s="103">
        <f t="shared" si="93"/>
        <v>0</v>
      </c>
      <c r="I155" s="103">
        <f t="shared" si="93"/>
        <v>0</v>
      </c>
      <c r="J155" s="103">
        <f t="shared" si="93"/>
        <v>0</v>
      </c>
      <c r="K155" s="103">
        <f t="shared" si="93"/>
        <v>0</v>
      </c>
      <c r="L155" s="103">
        <f t="shared" ref="L155" si="94">IF(L39=0,0,L39/L$17)</f>
        <v>0</v>
      </c>
      <c r="M155" s="103">
        <f t="shared" ref="M155:V155" si="95">IF(M39=0,0,M39/M$17)</f>
        <v>0</v>
      </c>
      <c r="N155" s="103">
        <f t="shared" si="95"/>
        <v>0</v>
      </c>
      <c r="O155" s="103">
        <f t="shared" si="95"/>
        <v>0</v>
      </c>
      <c r="P155" s="103">
        <f t="shared" si="95"/>
        <v>0</v>
      </c>
      <c r="Q155" s="103">
        <f t="shared" si="95"/>
        <v>0</v>
      </c>
      <c r="R155" s="103">
        <f t="shared" si="95"/>
        <v>1.7600901428415288E-6</v>
      </c>
      <c r="S155" s="103">
        <f t="shared" si="95"/>
        <v>1.8375132736862013E-6</v>
      </c>
      <c r="T155" s="103">
        <f t="shared" si="95"/>
        <v>1.0696372180799171E-5</v>
      </c>
      <c r="U155" s="103">
        <f t="shared" si="95"/>
        <v>2.8189882609907964E-5</v>
      </c>
      <c r="V155" s="103">
        <f t="shared" si="95"/>
        <v>8.7028487752892282E-5</v>
      </c>
      <c r="W155" s="103">
        <f t="shared" ref="W155" si="96">IF(W39=0,0,W39/W$17)</f>
        <v>6.7161488417845491E-4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2.9395040336530693E-6</v>
      </c>
      <c r="C156" s="103">
        <f t="shared" si="97"/>
        <v>2.8382076275825571E-6</v>
      </c>
      <c r="D156" s="103">
        <f t="shared" si="97"/>
        <v>2.8376331049301713E-6</v>
      </c>
      <c r="E156" s="103">
        <f t="shared" si="97"/>
        <v>2.7767386067846101E-6</v>
      </c>
      <c r="F156" s="103">
        <f t="shared" si="97"/>
        <v>2.6708309308748657E-6</v>
      </c>
      <c r="G156" s="103">
        <f t="shared" si="97"/>
        <v>2.7039627600636831E-5</v>
      </c>
      <c r="H156" s="103">
        <f t="shared" si="97"/>
        <v>2.6437329113008633E-5</v>
      </c>
      <c r="I156" s="103">
        <f t="shared" si="97"/>
        <v>2.4410171190942534E-5</v>
      </c>
      <c r="J156" s="103">
        <f t="shared" si="97"/>
        <v>2.3092542797190213E-5</v>
      </c>
      <c r="K156" s="103">
        <f t="shared" si="97"/>
        <v>2.3375990379924391E-5</v>
      </c>
      <c r="L156" s="103">
        <f t="shared" ref="L156" si="98">IF(L41=0,0,L41/L$17)</f>
        <v>2.2339491904842425E-5</v>
      </c>
      <c r="M156" s="103">
        <f t="shared" ref="M156:V156" si="99">IF(M41=0,0,M41/M$17)</f>
        <v>2.1445022509583057E-5</v>
      </c>
      <c r="N156" s="103">
        <f t="shared" si="99"/>
        <v>2.0809885932677009E-5</v>
      </c>
      <c r="O156" s="103">
        <f t="shared" si="99"/>
        <v>2.1230918907173397E-5</v>
      </c>
      <c r="P156" s="103">
        <f t="shared" si="99"/>
        <v>2.3129060330006637E-5</v>
      </c>
      <c r="Q156" s="103">
        <f t="shared" si="99"/>
        <v>1.9638064730502656E-5</v>
      </c>
      <c r="R156" s="103">
        <f t="shared" si="99"/>
        <v>1.8196554570721576E-5</v>
      </c>
      <c r="S156" s="103">
        <f t="shared" si="99"/>
        <v>1.7273943751908842E-5</v>
      </c>
      <c r="T156" s="103">
        <f t="shared" si="99"/>
        <v>2.7337944473693972E-5</v>
      </c>
      <c r="U156" s="103">
        <f t="shared" si="99"/>
        <v>7.8147755465236696E-5</v>
      </c>
      <c r="V156" s="103">
        <f t="shared" si="99"/>
        <v>1.0951638896062215E-4</v>
      </c>
      <c r="W156" s="103">
        <f t="shared" ref="W156" si="100">IF(W41=0,0,W41/W$17)</f>
        <v>1.2464662677410222E-4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0.26840025233553089</v>
      </c>
      <c r="C157" s="46">
        <f t="shared" si="101"/>
        <v>0.28434932406208668</v>
      </c>
      <c r="D157" s="46">
        <f t="shared" si="101"/>
        <v>0.29244126819622668</v>
      </c>
      <c r="E157" s="46">
        <f t="shared" si="101"/>
        <v>0.29042701117264036</v>
      </c>
      <c r="F157" s="46">
        <f t="shared" si="101"/>
        <v>0.31163637010198264</v>
      </c>
      <c r="G157" s="46">
        <f t="shared" si="101"/>
        <v>0.32153575238850879</v>
      </c>
      <c r="H157" s="46">
        <f t="shared" si="101"/>
        <v>0.32439312028292666</v>
      </c>
      <c r="I157" s="46">
        <f t="shared" si="101"/>
        <v>0.32383177432007676</v>
      </c>
      <c r="J157" s="46">
        <f t="shared" si="101"/>
        <v>0.31338081305666599</v>
      </c>
      <c r="K157" s="46">
        <f t="shared" si="101"/>
        <v>0.30522038081360403</v>
      </c>
      <c r="L157" s="46">
        <f t="shared" ref="L157" si="102">IF(L42=0,0,L42/L$17)</f>
        <v>0.30976357439481872</v>
      </c>
      <c r="M157" s="46">
        <f t="shared" ref="M157:V157" si="103">IF(M42=0,0,M42/M$17)</f>
        <v>0.30827802768609774</v>
      </c>
      <c r="N157" s="46">
        <f t="shared" si="103"/>
        <v>0.30623973301498125</v>
      </c>
      <c r="O157" s="46">
        <f t="shared" si="103"/>
        <v>0.31359516373262242</v>
      </c>
      <c r="P157" s="46">
        <f t="shared" si="103"/>
        <v>0.31424089075351347</v>
      </c>
      <c r="Q157" s="46">
        <f t="shared" si="103"/>
        <v>0.3291621055522993</v>
      </c>
      <c r="R157" s="46">
        <f t="shared" si="103"/>
        <v>0.34750687618426479</v>
      </c>
      <c r="S157" s="46">
        <f t="shared" si="103"/>
        <v>0.35956645316000485</v>
      </c>
      <c r="T157" s="46">
        <f t="shared" si="103"/>
        <v>0.36731742186775945</v>
      </c>
      <c r="U157" s="46">
        <f t="shared" si="103"/>
        <v>0.3713116274997797</v>
      </c>
      <c r="V157" s="46">
        <f t="shared" si="103"/>
        <v>0.39352375994800809</v>
      </c>
      <c r="W157" s="46">
        <f t="shared" ref="W157" si="104">IF(W42=0,0,W42/W$17)</f>
        <v>0.41048403606674766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0.13525349489832095</v>
      </c>
      <c r="C158" s="154">
        <f t="shared" si="105"/>
        <v>0.13138649151947016</v>
      </c>
      <c r="D158" s="154">
        <f t="shared" si="105"/>
        <v>0.13650058061115236</v>
      </c>
      <c r="E158" s="154">
        <f t="shared" si="105"/>
        <v>0.13396013209865951</v>
      </c>
      <c r="F158" s="154">
        <f t="shared" si="105"/>
        <v>0.13744903459046709</v>
      </c>
      <c r="G158" s="154">
        <f t="shared" si="105"/>
        <v>0.1430670458347176</v>
      </c>
      <c r="H158" s="154">
        <f t="shared" si="105"/>
        <v>0.14142247515120296</v>
      </c>
      <c r="I158" s="154">
        <f t="shared" si="105"/>
        <v>0.14212526383523696</v>
      </c>
      <c r="J158" s="154">
        <f t="shared" si="105"/>
        <v>0.14137931981539223</v>
      </c>
      <c r="K158" s="154">
        <f t="shared" si="105"/>
        <v>0.139740016571506</v>
      </c>
      <c r="L158" s="154">
        <f t="shared" ref="L158" si="106">IF(L43=0,0,L43/L$17)</f>
        <v>0.14002432560015637</v>
      </c>
      <c r="M158" s="154">
        <f t="shared" ref="M158:V158" si="107">IF(M43=0,0,M43/M$17)</f>
        <v>0.14076259372696026</v>
      </c>
      <c r="N158" s="154">
        <f t="shared" si="107"/>
        <v>0.14196596496484271</v>
      </c>
      <c r="O158" s="154">
        <f t="shared" si="107"/>
        <v>0.13675936556356852</v>
      </c>
      <c r="P158" s="154">
        <f t="shared" si="107"/>
        <v>0.13821550851932546</v>
      </c>
      <c r="Q158" s="154">
        <f t="shared" si="107"/>
        <v>0.13978993254563207</v>
      </c>
      <c r="R158" s="154">
        <f t="shared" si="107"/>
        <v>0.1303932242007273</v>
      </c>
      <c r="S158" s="154">
        <f t="shared" si="107"/>
        <v>0.12184964791441981</v>
      </c>
      <c r="T158" s="154">
        <f t="shared" si="107"/>
        <v>0.11910628363326931</v>
      </c>
      <c r="U158" s="154">
        <f t="shared" si="107"/>
        <v>0.120637964461903</v>
      </c>
      <c r="V158" s="154">
        <f t="shared" si="107"/>
        <v>0.12951245287493193</v>
      </c>
      <c r="W158" s="154">
        <f t="shared" ref="W158" si="108">IF(W43=0,0,W43/W$17)</f>
        <v>0.13629865302873051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8.6306461904039067E-3</v>
      </c>
      <c r="C159" s="103">
        <f t="shared" si="109"/>
        <v>8.0158330313813784E-3</v>
      </c>
      <c r="D159" s="103">
        <f t="shared" si="109"/>
        <v>8.1948504433444324E-3</v>
      </c>
      <c r="E159" s="103">
        <f t="shared" si="109"/>
        <v>7.4085452234178397E-3</v>
      </c>
      <c r="F159" s="103">
        <f t="shared" si="109"/>
        <v>6.8657172671031446E-3</v>
      </c>
      <c r="G159" s="103">
        <f t="shared" si="109"/>
        <v>7.0050554555990364E-3</v>
      </c>
      <c r="H159" s="103">
        <f t="shared" si="109"/>
        <v>6.5653432605562298E-3</v>
      </c>
      <c r="I159" s="103">
        <f t="shared" si="109"/>
        <v>5.6161147632905247E-3</v>
      </c>
      <c r="J159" s="103">
        <f t="shared" si="109"/>
        <v>5.0810747810980748E-3</v>
      </c>
      <c r="K159" s="103">
        <f t="shared" si="109"/>
        <v>4.6300564892981823E-3</v>
      </c>
      <c r="L159" s="103">
        <f t="shared" ref="L159" si="110">IF(L44=0,0,L44/L$17)</f>
        <v>4.3911075948041339E-3</v>
      </c>
      <c r="M159" s="103">
        <f t="shared" ref="M159:V159" si="111">IF(M44=0,0,M44/M$17)</f>
        <v>4.1968122951880418E-3</v>
      </c>
      <c r="N159" s="103">
        <f t="shared" si="111"/>
        <v>4.095418897005868E-3</v>
      </c>
      <c r="O159" s="103">
        <f t="shared" si="111"/>
        <v>3.7542246712262339E-3</v>
      </c>
      <c r="P159" s="103">
        <f t="shared" si="111"/>
        <v>3.3658110233786335E-3</v>
      </c>
      <c r="Q159" s="103">
        <f t="shared" si="111"/>
        <v>2.9499817298895194E-3</v>
      </c>
      <c r="R159" s="103">
        <f t="shared" si="111"/>
        <v>2.9798432083935006E-3</v>
      </c>
      <c r="S159" s="103">
        <f t="shared" si="111"/>
        <v>3.2627709423310542E-3</v>
      </c>
      <c r="T159" s="103">
        <f t="shared" si="111"/>
        <v>3.7708972321099194E-3</v>
      </c>
      <c r="U159" s="103">
        <f t="shared" si="111"/>
        <v>4.1847790703198381E-3</v>
      </c>
      <c r="V159" s="103">
        <f t="shared" si="111"/>
        <v>4.3485044622220701E-3</v>
      </c>
      <c r="W159" s="103">
        <f t="shared" ref="W159" si="112">IF(W44=0,0,W44/W$17)</f>
        <v>4.3998707889874164E-3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0.12071923379441989</v>
      </c>
      <c r="C160" s="103">
        <f t="shared" si="113"/>
        <v>0.11752711943617253</v>
      </c>
      <c r="D160" s="103">
        <f t="shared" si="113"/>
        <v>0.12229712595900991</v>
      </c>
      <c r="E160" s="103">
        <f t="shared" si="113"/>
        <v>0.12118398088884541</v>
      </c>
      <c r="F160" s="103">
        <f t="shared" si="113"/>
        <v>0.12545872540228475</v>
      </c>
      <c r="G160" s="103">
        <f t="shared" si="113"/>
        <v>0.13116909161561463</v>
      </c>
      <c r="H160" s="103">
        <f t="shared" si="113"/>
        <v>0.13037511348423594</v>
      </c>
      <c r="I160" s="103">
        <f t="shared" si="113"/>
        <v>0.13261382179675898</v>
      </c>
      <c r="J160" s="103">
        <f t="shared" si="113"/>
        <v>0.13286333198419381</v>
      </c>
      <c r="K160" s="103">
        <f t="shared" si="113"/>
        <v>0.13212929676235163</v>
      </c>
      <c r="L160" s="103">
        <f t="shared" ref="L160" si="114">IF(L46=0,0,L46/L$17)</f>
        <v>0.13304882090121967</v>
      </c>
      <c r="M160" s="103">
        <f t="shared" ref="M160:V160" si="115">IF(M46=0,0,M46/M$17)</f>
        <v>0.13398557108599365</v>
      </c>
      <c r="N160" s="103">
        <f t="shared" si="115"/>
        <v>0.13539510035613087</v>
      </c>
      <c r="O160" s="103">
        <f t="shared" si="115"/>
        <v>0.13097278587008696</v>
      </c>
      <c r="P160" s="103">
        <f t="shared" si="115"/>
        <v>0.13304950100399596</v>
      </c>
      <c r="Q160" s="103">
        <f t="shared" si="115"/>
        <v>0.13543305139114989</v>
      </c>
      <c r="R160" s="103">
        <f t="shared" si="115"/>
        <v>0.12611286649456532</v>
      </c>
      <c r="S160" s="103">
        <f t="shared" si="115"/>
        <v>0.11727194496917774</v>
      </c>
      <c r="T160" s="103">
        <f t="shared" si="115"/>
        <v>0.11402339650070296</v>
      </c>
      <c r="U160" s="103">
        <f t="shared" si="115"/>
        <v>0.11491601632872739</v>
      </c>
      <c r="V160" s="103">
        <f t="shared" si="115"/>
        <v>0.12304461169661855</v>
      </c>
      <c r="W160" s="103">
        <f t="shared" ref="W160" si="116">IF(W46=0,0,W46/W$17)</f>
        <v>0.12914503900099469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5.9036149134971501E-3</v>
      </c>
      <c r="C161" s="103">
        <f t="shared" si="117"/>
        <v>5.8435390519162526E-3</v>
      </c>
      <c r="D161" s="103">
        <f t="shared" si="117"/>
        <v>6.0086042087980334E-3</v>
      </c>
      <c r="E161" s="103">
        <f t="shared" si="117"/>
        <v>5.3676059863962643E-3</v>
      </c>
      <c r="F161" s="103">
        <f t="shared" si="117"/>
        <v>5.1245919210791751E-3</v>
      </c>
      <c r="G161" s="103">
        <f t="shared" si="117"/>
        <v>4.8928987635039247E-3</v>
      </c>
      <c r="H161" s="103">
        <f t="shared" si="117"/>
        <v>4.482018406410786E-3</v>
      </c>
      <c r="I161" s="103">
        <f t="shared" si="117"/>
        <v>3.8953272751874519E-3</v>
      </c>
      <c r="J161" s="103">
        <f t="shared" si="117"/>
        <v>3.4243565579584702E-3</v>
      </c>
      <c r="K161" s="103">
        <f t="shared" si="117"/>
        <v>2.9668307977301538E-3</v>
      </c>
      <c r="L161" s="103">
        <f t="shared" ref="L161" si="118">IF(L48=0,0,L48/L$17)</f>
        <v>2.5678677561868095E-3</v>
      </c>
      <c r="M161" s="103">
        <f t="shared" ref="M161:V161" si="119">IF(M48=0,0,M48/M$17)</f>
        <v>2.5649243165564951E-3</v>
      </c>
      <c r="N161" s="103">
        <f t="shared" si="119"/>
        <v>2.4332280107138967E-3</v>
      </c>
      <c r="O161" s="103">
        <f t="shared" si="119"/>
        <v>1.9762438672483408E-3</v>
      </c>
      <c r="P161" s="103">
        <f t="shared" si="119"/>
        <v>1.7233550762070166E-3</v>
      </c>
      <c r="Q161" s="103">
        <f t="shared" si="119"/>
        <v>1.2746813337409938E-3</v>
      </c>
      <c r="R161" s="103">
        <f t="shared" si="119"/>
        <v>1.1729918020800065E-3</v>
      </c>
      <c r="S161" s="103">
        <f t="shared" si="119"/>
        <v>1.0998526735259606E-3</v>
      </c>
      <c r="T161" s="103">
        <f t="shared" si="119"/>
        <v>9.8498634415339196E-4</v>
      </c>
      <c r="U161" s="103">
        <f t="shared" si="119"/>
        <v>9.1473767498839297E-4</v>
      </c>
      <c r="V161" s="103">
        <f t="shared" si="119"/>
        <v>9.6673306046837488E-4</v>
      </c>
      <c r="W161" s="103">
        <f t="shared" ref="W161" si="120">IF(W48=0,0,W48/W$17)</f>
        <v>9.6009631055267149E-4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0</v>
      </c>
      <c r="D162" s="103">
        <f t="shared" si="121"/>
        <v>0</v>
      </c>
      <c r="E162" s="103">
        <f t="shared" si="121"/>
        <v>0</v>
      </c>
      <c r="F162" s="103">
        <f t="shared" si="121"/>
        <v>0</v>
      </c>
      <c r="G162" s="103">
        <f t="shared" si="121"/>
        <v>0</v>
      </c>
      <c r="H162" s="103">
        <f t="shared" si="121"/>
        <v>0</v>
      </c>
      <c r="I162" s="103">
        <f t="shared" si="121"/>
        <v>0</v>
      </c>
      <c r="J162" s="103">
        <f t="shared" si="121"/>
        <v>9.0127810775791861E-6</v>
      </c>
      <c r="K162" s="103">
        <f t="shared" si="121"/>
        <v>1.2189249438676863E-5</v>
      </c>
      <c r="L162" s="103">
        <f t="shared" ref="L162" si="122">IF(L49=0,0,L49/L$17)</f>
        <v>1.4844238389249102E-5</v>
      </c>
      <c r="M162" s="103">
        <f t="shared" ref="M162:V162" si="123">IF(M49=0,0,M49/M$17)</f>
        <v>1.3116766392972211E-5</v>
      </c>
      <c r="N162" s="103">
        <f t="shared" si="123"/>
        <v>3.2614340499792895E-5</v>
      </c>
      <c r="O162" s="103">
        <f t="shared" si="123"/>
        <v>4.3288973177846539E-5</v>
      </c>
      <c r="P162" s="103">
        <f t="shared" si="123"/>
        <v>6.1522693799648007E-5</v>
      </c>
      <c r="Q162" s="103">
        <f t="shared" si="123"/>
        <v>1.1586487695815063E-4</v>
      </c>
      <c r="R162" s="103">
        <f t="shared" si="123"/>
        <v>1.0752214107796183E-4</v>
      </c>
      <c r="S162" s="103">
        <f t="shared" si="123"/>
        <v>1.9176259513950091E-4</v>
      </c>
      <c r="T162" s="103">
        <f t="shared" si="123"/>
        <v>2.9517733152911355E-4</v>
      </c>
      <c r="U162" s="103">
        <f t="shared" si="123"/>
        <v>5.755838515300528E-4</v>
      </c>
      <c r="V162" s="103">
        <f t="shared" si="123"/>
        <v>1.0791464811057629E-3</v>
      </c>
      <c r="W162" s="103">
        <f t="shared" ref="W162" si="124">IF(W49=0,0,W49/W$17)</f>
        <v>1.686562766490828E-3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0</v>
      </c>
      <c r="H163" s="103">
        <f t="shared" si="125"/>
        <v>0</v>
      </c>
      <c r="I163" s="103">
        <f t="shared" si="125"/>
        <v>0</v>
      </c>
      <c r="J163" s="103">
        <f t="shared" si="125"/>
        <v>1.5437110642877431E-6</v>
      </c>
      <c r="K163" s="103">
        <f t="shared" si="125"/>
        <v>1.6432726873497115E-6</v>
      </c>
      <c r="L163" s="103">
        <f t="shared" ref="L163" si="126">IF(L51=0,0,L51/L$17)</f>
        <v>1.6851095565122177E-6</v>
      </c>
      <c r="M163" s="103">
        <f t="shared" ref="M163:V163" si="127">IF(M51=0,0,M51/M$17)</f>
        <v>2.1692628291061661E-6</v>
      </c>
      <c r="N163" s="103">
        <f t="shared" si="127"/>
        <v>9.6033604922551904E-6</v>
      </c>
      <c r="O163" s="103">
        <f t="shared" si="127"/>
        <v>1.2822181829137708E-5</v>
      </c>
      <c r="P163" s="103">
        <f t="shared" si="127"/>
        <v>1.5318721944166393E-5</v>
      </c>
      <c r="Q163" s="103">
        <f t="shared" si="127"/>
        <v>1.6353213893546528E-5</v>
      </c>
      <c r="R163" s="103">
        <f t="shared" si="127"/>
        <v>2.0000554610548301E-5</v>
      </c>
      <c r="S163" s="103">
        <f t="shared" si="127"/>
        <v>2.3316734245537843E-5</v>
      </c>
      <c r="T163" s="103">
        <f t="shared" si="127"/>
        <v>3.182622477391296E-5</v>
      </c>
      <c r="U163" s="103">
        <f t="shared" si="127"/>
        <v>4.6847536337332315E-5</v>
      </c>
      <c r="V163" s="103">
        <f t="shared" si="127"/>
        <v>7.3457174517194449E-5</v>
      </c>
      <c r="W163" s="103">
        <f t="shared" ref="W163" si="128">IF(W51=0,0,W51/W$17)</f>
        <v>1.0708416170492046E-4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0.13314675743720994</v>
      </c>
      <c r="C164" s="156">
        <f t="shared" si="129"/>
        <v>0.15296283254261647</v>
      </c>
      <c r="D164" s="156">
        <f t="shared" si="129"/>
        <v>0.15594068758507426</v>
      </c>
      <c r="E164" s="156">
        <f t="shared" si="129"/>
        <v>0.15646687907398082</v>
      </c>
      <c r="F164" s="156">
        <f t="shared" si="129"/>
        <v>0.17418733551151558</v>
      </c>
      <c r="G164" s="156">
        <f t="shared" si="129"/>
        <v>0.17846870655379124</v>
      </c>
      <c r="H164" s="156">
        <f t="shared" si="129"/>
        <v>0.18297064513172373</v>
      </c>
      <c r="I164" s="156">
        <f t="shared" si="129"/>
        <v>0.18170651048483977</v>
      </c>
      <c r="J164" s="156">
        <f t="shared" si="129"/>
        <v>0.1720014932412737</v>
      </c>
      <c r="K164" s="156">
        <f t="shared" si="129"/>
        <v>0.165480364242098</v>
      </c>
      <c r="L164" s="156">
        <f t="shared" ref="L164" si="130">IF(L52=0,0,L52/L$17)</f>
        <v>0.16973924879466237</v>
      </c>
      <c r="M164" s="156">
        <f t="shared" ref="M164:V164" si="131">IF(M52=0,0,M52/M$17)</f>
        <v>0.16751543395913746</v>
      </c>
      <c r="N164" s="156">
        <f t="shared" si="131"/>
        <v>0.16427376805013852</v>
      </c>
      <c r="O164" s="156">
        <f t="shared" si="131"/>
        <v>0.1768357981690539</v>
      </c>
      <c r="P164" s="156">
        <f t="shared" si="131"/>
        <v>0.17602538223418804</v>
      </c>
      <c r="Q164" s="156">
        <f t="shared" si="131"/>
        <v>0.18937217300666725</v>
      </c>
      <c r="R164" s="156">
        <f t="shared" si="131"/>
        <v>0.21711365198353749</v>
      </c>
      <c r="S164" s="156">
        <f t="shared" si="131"/>
        <v>0.23771680524558503</v>
      </c>
      <c r="T164" s="156">
        <f t="shared" si="131"/>
        <v>0.24821113823449012</v>
      </c>
      <c r="U164" s="156">
        <f t="shared" si="131"/>
        <v>0.25067366303787669</v>
      </c>
      <c r="V164" s="156">
        <f t="shared" si="131"/>
        <v>0.26401130707307613</v>
      </c>
      <c r="W164" s="156">
        <f t="shared" ref="W164" si="132">IF(W52=0,0,W52/W$17)</f>
        <v>0.27418538303801721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7.5520163757007999E-2</v>
      </c>
      <c r="C165" s="104">
        <f t="shared" si="133"/>
        <v>8.7136588955423491E-2</v>
      </c>
      <c r="D165" s="104">
        <f t="shared" si="133"/>
        <v>8.7840086877434317E-2</v>
      </c>
      <c r="E165" s="104">
        <f t="shared" si="133"/>
        <v>8.4374628527610088E-2</v>
      </c>
      <c r="F165" s="104">
        <f t="shared" si="133"/>
        <v>8.8614163931091353E-2</v>
      </c>
      <c r="G165" s="104">
        <f t="shared" si="133"/>
        <v>8.6022797006815491E-2</v>
      </c>
      <c r="H165" s="104">
        <f t="shared" si="133"/>
        <v>8.7625703926188292E-2</v>
      </c>
      <c r="I165" s="104">
        <f t="shared" si="133"/>
        <v>8.4704629508359316E-2</v>
      </c>
      <c r="J165" s="104">
        <f t="shared" si="133"/>
        <v>7.1807606887173248E-2</v>
      </c>
      <c r="K165" s="104">
        <f t="shared" si="133"/>
        <v>7.0551431218370861E-2</v>
      </c>
      <c r="L165" s="104">
        <f t="shared" ref="L165" si="134">IF(L53=0,0,L53/L$17)</f>
        <v>7.2091011485320253E-2</v>
      </c>
      <c r="M165" s="104">
        <f t="shared" ref="M165:V165" si="135">IF(M53=0,0,M53/M$17)</f>
        <v>7.238723563592292E-2</v>
      </c>
      <c r="N165" s="104">
        <f t="shared" si="135"/>
        <v>7.1129570244741563E-2</v>
      </c>
      <c r="O165" s="104">
        <f t="shared" si="135"/>
        <v>7.6775151596742905E-2</v>
      </c>
      <c r="P165" s="104">
        <f t="shared" si="135"/>
        <v>7.7791153776987712E-2</v>
      </c>
      <c r="Q165" s="104">
        <f t="shared" si="135"/>
        <v>8.942646143725784E-2</v>
      </c>
      <c r="R165" s="104">
        <f t="shared" si="135"/>
        <v>9.7566839110451067E-2</v>
      </c>
      <c r="S165" s="104">
        <f t="shared" si="135"/>
        <v>0.1064686218448173</v>
      </c>
      <c r="T165" s="104">
        <f t="shared" si="135"/>
        <v>0.10921493891624744</v>
      </c>
      <c r="U165" s="104">
        <f t="shared" si="135"/>
        <v>0.11380586221092856</v>
      </c>
      <c r="V165" s="104">
        <f t="shared" si="135"/>
        <v>0.11517398855498404</v>
      </c>
      <c r="W165" s="104">
        <f t="shared" ref="W165" si="136">IF(W53=0,0,W53/W$17)</f>
        <v>0.12344669108749495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5.7626593680201933E-2</v>
      </c>
      <c r="C166" s="105">
        <f t="shared" si="137"/>
        <v>6.5826243587192981E-2</v>
      </c>
      <c r="D166" s="105">
        <f t="shared" si="137"/>
        <v>6.8100600707639958E-2</v>
      </c>
      <c r="E166" s="105">
        <f t="shared" si="137"/>
        <v>7.2092250546370737E-2</v>
      </c>
      <c r="F166" s="105">
        <f t="shared" si="137"/>
        <v>8.5573171580424226E-2</v>
      </c>
      <c r="G166" s="105">
        <f t="shared" si="137"/>
        <v>9.2445909546975749E-2</v>
      </c>
      <c r="H166" s="105">
        <f t="shared" si="137"/>
        <v>9.5344941205535438E-2</v>
      </c>
      <c r="I166" s="105">
        <f t="shared" si="137"/>
        <v>9.7001880976480465E-2</v>
      </c>
      <c r="J166" s="105">
        <f t="shared" si="137"/>
        <v>0.10019388635410047</v>
      </c>
      <c r="K166" s="105">
        <f t="shared" si="137"/>
        <v>9.4928933023727152E-2</v>
      </c>
      <c r="L166" s="105">
        <f t="shared" ref="L166" si="138">IF(L55=0,0,L55/L$17)</f>
        <v>9.7648237309342134E-2</v>
      </c>
      <c r="M166" s="105">
        <f t="shared" ref="M166:V166" si="139">IF(M55=0,0,M55/M$17)</f>
        <v>9.5128198323214563E-2</v>
      </c>
      <c r="N166" s="105">
        <f t="shared" si="139"/>
        <v>9.3144197805396942E-2</v>
      </c>
      <c r="O166" s="105">
        <f t="shared" si="139"/>
        <v>0.10006064657231097</v>
      </c>
      <c r="P166" s="105">
        <f t="shared" si="139"/>
        <v>9.823422845720034E-2</v>
      </c>
      <c r="Q166" s="105">
        <f t="shared" si="139"/>
        <v>9.9945711569409429E-2</v>
      </c>
      <c r="R166" s="105">
        <f t="shared" si="139"/>
        <v>0.11954681287308644</v>
      </c>
      <c r="S166" s="105">
        <f t="shared" si="139"/>
        <v>0.13124818340076772</v>
      </c>
      <c r="T166" s="105">
        <f t="shared" si="139"/>
        <v>0.13899619931824267</v>
      </c>
      <c r="U166" s="105">
        <f t="shared" si="139"/>
        <v>0.13686780082694813</v>
      </c>
      <c r="V166" s="105">
        <f t="shared" si="139"/>
        <v>0.14883731851809212</v>
      </c>
      <c r="W166" s="105">
        <f t="shared" ref="W166" si="140">IF(W55=0,0,W55/W$17)</f>
        <v>0.15073869195052222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23388.881546160002</v>
      </c>
      <c r="C4" s="146">
        <f t="shared" si="0"/>
        <v>24266.313550799998</v>
      </c>
      <c r="D4" s="146">
        <f t="shared" si="0"/>
        <v>24307.343456760002</v>
      </c>
      <c r="E4" s="146">
        <f t="shared" si="0"/>
        <v>24859.755813240001</v>
      </c>
      <c r="F4" s="146">
        <f t="shared" si="0"/>
        <v>25920.875230559999</v>
      </c>
      <c r="G4" s="146">
        <f t="shared" si="0"/>
        <v>25216.663205879999</v>
      </c>
      <c r="H4" s="146">
        <f t="shared" si="0"/>
        <v>25848.30321396</v>
      </c>
      <c r="I4" s="146">
        <f t="shared" si="0"/>
        <v>26658.043000199999</v>
      </c>
      <c r="J4" s="146">
        <f t="shared" si="0"/>
        <v>26745.154692840002</v>
      </c>
      <c r="K4" s="146">
        <f t="shared" si="0"/>
        <v>26037.398880000001</v>
      </c>
      <c r="L4" s="146">
        <f t="shared" ref="L4" si="1">L5+L9+L10+L15</f>
        <v>25142.938072559999</v>
      </c>
      <c r="M4" s="146">
        <f t="shared" ref="M4:V4" si="2">M5+M9+M10+M15</f>
        <v>24779.689455239997</v>
      </c>
      <c r="N4" s="146">
        <f t="shared" si="2"/>
        <v>24023.65609764</v>
      </c>
      <c r="O4" s="146">
        <f t="shared" si="2"/>
        <v>23550.7482504</v>
      </c>
      <c r="P4" s="146">
        <f t="shared" si="2"/>
        <v>23869.546940519998</v>
      </c>
      <c r="Q4" s="146">
        <f t="shared" si="2"/>
        <v>25510.289419079996</v>
      </c>
      <c r="R4" s="146">
        <f t="shared" si="2"/>
        <v>25220.719073879995</v>
      </c>
      <c r="S4" s="146">
        <f t="shared" si="2"/>
        <v>24627.125056680001</v>
      </c>
      <c r="T4" s="146">
        <f t="shared" si="2"/>
        <v>24711.558735959996</v>
      </c>
      <c r="U4" s="146">
        <f t="shared" si="2"/>
        <v>24417.106481159997</v>
      </c>
      <c r="V4" s="146">
        <f t="shared" si="2"/>
        <v>20438.863441559999</v>
      </c>
      <c r="W4" s="146">
        <f t="shared" ref="W4" si="3">W5+W9+W10+W15</f>
        <v>22583.445625439999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23388.881546160002</v>
      </c>
      <c r="C5" s="101">
        <f t="shared" si="4"/>
        <v>24266.313550799998</v>
      </c>
      <c r="D5" s="101">
        <f t="shared" si="4"/>
        <v>24307.343456760002</v>
      </c>
      <c r="E5" s="101">
        <f t="shared" si="4"/>
        <v>24859.755813240001</v>
      </c>
      <c r="F5" s="101">
        <f t="shared" si="4"/>
        <v>25920.196443000001</v>
      </c>
      <c r="G5" s="101">
        <f t="shared" si="4"/>
        <v>25215.92867736</v>
      </c>
      <c r="H5" s="101">
        <f t="shared" si="4"/>
        <v>25847.6092794</v>
      </c>
      <c r="I5" s="101">
        <f t="shared" si="4"/>
        <v>26657.34401664</v>
      </c>
      <c r="J5" s="101">
        <f t="shared" si="4"/>
        <v>26744.577087240003</v>
      </c>
      <c r="K5" s="101">
        <f t="shared" si="4"/>
        <v>26036.882064360001</v>
      </c>
      <c r="L5" s="101">
        <f t="shared" ref="L5" si="5">SUM(L6:L8)</f>
        <v>25142.401060919998</v>
      </c>
      <c r="M5" s="101">
        <f t="shared" ref="M5:V5" si="6">SUM(M6:M8)</f>
        <v>24779.132247599999</v>
      </c>
      <c r="N5" s="101">
        <f t="shared" si="6"/>
        <v>24022.394655479999</v>
      </c>
      <c r="O5" s="101">
        <f t="shared" si="6"/>
        <v>23548.529315880001</v>
      </c>
      <c r="P5" s="101">
        <f t="shared" si="6"/>
        <v>23865.109273439997</v>
      </c>
      <c r="Q5" s="101">
        <f t="shared" si="6"/>
        <v>25502.052480479997</v>
      </c>
      <c r="R5" s="101">
        <f t="shared" si="6"/>
        <v>25206.818570999996</v>
      </c>
      <c r="S5" s="101">
        <f t="shared" si="6"/>
        <v>24605.914409640001</v>
      </c>
      <c r="T5" s="101">
        <f t="shared" si="6"/>
        <v>24675.854833439997</v>
      </c>
      <c r="U5" s="101">
        <f t="shared" si="6"/>
        <v>24350.146239239999</v>
      </c>
      <c r="V5" s="101">
        <f t="shared" si="6"/>
        <v>20336.027025240001</v>
      </c>
      <c r="W5" s="101">
        <f t="shared" ref="W5" si="7">SUM(W6:W8)</f>
        <v>22418.8161138</v>
      </c>
      <c r="DA5" s="175"/>
    </row>
    <row r="6" spans="1:105" ht="11.45" customHeight="1" x14ac:dyDescent="0.25">
      <c r="A6" s="128" t="s">
        <v>52</v>
      </c>
      <c r="B6" s="101">
        <v>258.33134952</v>
      </c>
      <c r="C6" s="101">
        <v>296.06512428000002</v>
      </c>
      <c r="D6" s="101">
        <v>269.94172428000013</v>
      </c>
      <c r="E6" s="101">
        <v>240.91590096000004</v>
      </c>
      <c r="F6" s="101">
        <v>232.20794952</v>
      </c>
      <c r="G6" s="101">
        <v>220.59757476000004</v>
      </c>
      <c r="H6" s="101">
        <v>211.88985048000004</v>
      </c>
      <c r="I6" s="101">
        <v>182.86380000000003</v>
      </c>
      <c r="J6" s="101">
        <v>168.35077476000004</v>
      </c>
      <c r="K6" s="101">
        <v>153.83774952000002</v>
      </c>
      <c r="L6" s="101">
        <v>139.32472428</v>
      </c>
      <c r="M6" s="101">
        <v>145.13002524000001</v>
      </c>
      <c r="N6" s="101">
        <v>139.32472428</v>
      </c>
      <c r="O6" s="101">
        <v>121.90927572000002</v>
      </c>
      <c r="P6" s="101">
        <v>127.71434951999998</v>
      </c>
      <c r="Q6" s="101">
        <v>168.35077476000004</v>
      </c>
      <c r="R6" s="101">
        <v>171.25342524000001</v>
      </c>
      <c r="S6" s="101">
        <v>155.28907476000001</v>
      </c>
      <c r="T6" s="101">
        <v>145.71041903999998</v>
      </c>
      <c r="U6" s="101">
        <v>144.54940428</v>
      </c>
      <c r="V6" s="101">
        <v>128.04055128000002</v>
      </c>
      <c r="W6" s="101">
        <v>127.14531372000002</v>
      </c>
      <c r="DA6" s="175" t="s">
        <v>740</v>
      </c>
    </row>
    <row r="7" spans="1:105" ht="11.45" customHeight="1" x14ac:dyDescent="0.25">
      <c r="A7" s="128" t="s">
        <v>53</v>
      </c>
      <c r="B7" s="101">
        <v>6741.17138772</v>
      </c>
      <c r="C7" s="101">
        <v>6561.2686154400008</v>
      </c>
      <c r="D7" s="101">
        <v>6259.092701399999</v>
      </c>
      <c r="E7" s="101">
        <v>6313.3685722799992</v>
      </c>
      <c r="F7" s="101">
        <v>5785.2471045599996</v>
      </c>
      <c r="G7" s="101">
        <v>5357.7491536799998</v>
      </c>
      <c r="H7" s="101">
        <v>4975.3796400000001</v>
      </c>
      <c r="I7" s="101">
        <v>4696.6827877199994</v>
      </c>
      <c r="J7" s="101">
        <v>4299.6767813999995</v>
      </c>
      <c r="K7" s="101">
        <v>4072.3009588800019</v>
      </c>
      <c r="L7" s="101">
        <v>3627.0018615599993</v>
      </c>
      <c r="M7" s="101">
        <v>3471.8799376799989</v>
      </c>
      <c r="N7" s="101">
        <v>3382.0658902800001</v>
      </c>
      <c r="O7" s="101">
        <v>3375.7967073600012</v>
      </c>
      <c r="P7" s="101">
        <v>3629.8621497599984</v>
      </c>
      <c r="Q7" s="101">
        <v>3858.1892395199993</v>
      </c>
      <c r="R7" s="101">
        <v>4174.5314052000003</v>
      </c>
      <c r="S7" s="101">
        <v>4178.273827680001</v>
      </c>
      <c r="T7" s="101">
        <v>4672.4201092800004</v>
      </c>
      <c r="U7" s="101">
        <v>5243.5811181600002</v>
      </c>
      <c r="V7" s="101">
        <v>4342.3535786399998</v>
      </c>
      <c r="W7" s="101">
        <v>5294.9715033599996</v>
      </c>
      <c r="DA7" s="175" t="s">
        <v>741</v>
      </c>
    </row>
    <row r="8" spans="1:105" ht="11.45" customHeight="1" x14ac:dyDescent="0.25">
      <c r="A8" s="128" t="s">
        <v>54</v>
      </c>
      <c r="B8" s="101">
        <v>16389.378808920002</v>
      </c>
      <c r="C8" s="101">
        <v>17408.979811079997</v>
      </c>
      <c r="D8" s="101">
        <v>17778.309031080003</v>
      </c>
      <c r="E8" s="101">
        <v>18305.47134</v>
      </c>
      <c r="F8" s="101">
        <v>19902.74138892</v>
      </c>
      <c r="G8" s="101">
        <v>19637.58194892</v>
      </c>
      <c r="H8" s="101">
        <v>20660.339788919999</v>
      </c>
      <c r="I8" s="101">
        <v>21777.797428919999</v>
      </c>
      <c r="J8" s="101">
        <v>22276.549531080003</v>
      </c>
      <c r="K8" s="101">
        <v>21810.743355959999</v>
      </c>
      <c r="L8" s="101">
        <v>21376.074475079997</v>
      </c>
      <c r="M8" s="101">
        <v>21162.122284680001</v>
      </c>
      <c r="N8" s="101">
        <v>20501.004040919997</v>
      </c>
      <c r="O8" s="101">
        <v>20050.823332799999</v>
      </c>
      <c r="P8" s="101">
        <v>20107.532774159998</v>
      </c>
      <c r="Q8" s="101">
        <v>21475.512466199998</v>
      </c>
      <c r="R8" s="101">
        <v>20861.033740559997</v>
      </c>
      <c r="S8" s="101">
        <v>20272.351507200001</v>
      </c>
      <c r="T8" s="101">
        <v>19857.724305119998</v>
      </c>
      <c r="U8" s="101">
        <v>18962.015716799997</v>
      </c>
      <c r="V8" s="101">
        <v>15865.632895320001</v>
      </c>
      <c r="W8" s="101">
        <v>16996.699296719999</v>
      </c>
      <c r="DA8" s="175" t="s">
        <v>742</v>
      </c>
    </row>
    <row r="9" spans="1:105" ht="11.45" customHeight="1" x14ac:dyDescent="0.25">
      <c r="A9" s="92" t="s">
        <v>55</v>
      </c>
      <c r="B9" s="101">
        <v>0</v>
      </c>
      <c r="C9" s="101">
        <v>0</v>
      </c>
      <c r="D9" s="101">
        <v>0</v>
      </c>
      <c r="E9" s="101">
        <v>0</v>
      </c>
      <c r="F9" s="101">
        <v>0.67878756000000018</v>
      </c>
      <c r="G9" s="101">
        <v>0.73452852000000013</v>
      </c>
      <c r="H9" s="101">
        <v>0.6939345600000002</v>
      </c>
      <c r="I9" s="101">
        <v>0.69898356000000006</v>
      </c>
      <c r="J9" s="101">
        <v>0.57760560000000005</v>
      </c>
      <c r="K9" s="101">
        <v>0.51681564000000013</v>
      </c>
      <c r="L9" s="101">
        <v>0.53701164000000001</v>
      </c>
      <c r="M9" s="101">
        <v>0.55720763999999989</v>
      </c>
      <c r="N9" s="101">
        <v>1.2614421600000003</v>
      </c>
      <c r="O9" s="101">
        <v>2.2189345200000004</v>
      </c>
      <c r="P9" s="101">
        <v>4.4376670799999998</v>
      </c>
      <c r="Q9" s="101">
        <v>8.236938600000002</v>
      </c>
      <c r="R9" s="101">
        <v>13.900502879999999</v>
      </c>
      <c r="S9" s="101">
        <v>21.210647040000005</v>
      </c>
      <c r="T9" s="101">
        <v>35.70390252</v>
      </c>
      <c r="U9" s="101">
        <v>66.960241920000016</v>
      </c>
      <c r="V9" s="101">
        <v>102.83641632000001</v>
      </c>
      <c r="W9" s="101">
        <v>164.62951164000003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23388.881546160002</v>
      </c>
      <c r="C17" s="79">
        <f t="shared" si="12"/>
        <v>24266.313550799998</v>
      </c>
      <c r="D17" s="79">
        <f t="shared" si="12"/>
        <v>24307.343456760002</v>
      </c>
      <c r="E17" s="79">
        <f t="shared" si="12"/>
        <v>24859.755813239997</v>
      </c>
      <c r="F17" s="79">
        <f t="shared" si="12"/>
        <v>25920.875230559996</v>
      </c>
      <c r="G17" s="79">
        <f t="shared" si="12"/>
        <v>25216.663205879999</v>
      </c>
      <c r="H17" s="79">
        <f t="shared" si="12"/>
        <v>25848.30321396</v>
      </c>
      <c r="I17" s="79">
        <f t="shared" si="12"/>
        <v>26658.043000199999</v>
      </c>
      <c r="J17" s="79">
        <f t="shared" si="12"/>
        <v>26745.154692840006</v>
      </c>
      <c r="K17" s="79">
        <f t="shared" si="12"/>
        <v>26037.398880000001</v>
      </c>
      <c r="L17" s="79">
        <f t="shared" ref="L17" si="13">SUM(L18,L33)</f>
        <v>25142.938072559999</v>
      </c>
      <c r="M17" s="79">
        <f t="shared" ref="M17:V17" si="14">SUM(M18,M33)</f>
        <v>24779.689455239997</v>
      </c>
      <c r="N17" s="79">
        <f t="shared" si="14"/>
        <v>24023.65609764</v>
      </c>
      <c r="O17" s="79">
        <f t="shared" si="14"/>
        <v>23550.7482504</v>
      </c>
      <c r="P17" s="79">
        <f t="shared" si="14"/>
        <v>23869.546940519995</v>
      </c>
      <c r="Q17" s="79">
        <f t="shared" si="14"/>
        <v>25510.289419079996</v>
      </c>
      <c r="R17" s="79">
        <f t="shared" si="14"/>
        <v>25220.719073879998</v>
      </c>
      <c r="S17" s="79">
        <f t="shared" si="14"/>
        <v>24627.125056680008</v>
      </c>
      <c r="T17" s="79">
        <f t="shared" si="14"/>
        <v>24711.558735960003</v>
      </c>
      <c r="U17" s="79">
        <f t="shared" si="14"/>
        <v>24417.106481159994</v>
      </c>
      <c r="V17" s="79">
        <f t="shared" si="14"/>
        <v>20438.863441560003</v>
      </c>
      <c r="W17" s="79">
        <f t="shared" ref="W17" si="15">SUM(W18,W33)</f>
        <v>22583.445625439999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17008.180705076895</v>
      </c>
      <c r="C18" s="32">
        <f t="shared" si="16"/>
        <v>17256.634546672762</v>
      </c>
      <c r="D18" s="32">
        <f t="shared" si="16"/>
        <v>17093.577231236653</v>
      </c>
      <c r="E18" s="32">
        <f t="shared" si="16"/>
        <v>17532.943591076288</v>
      </c>
      <c r="F18" s="32">
        <f t="shared" si="16"/>
        <v>17737.186427123652</v>
      </c>
      <c r="G18" s="32">
        <f t="shared" si="16"/>
        <v>17006.861958993301</v>
      </c>
      <c r="H18" s="32">
        <f t="shared" si="16"/>
        <v>17367.829238318158</v>
      </c>
      <c r="I18" s="32">
        <f t="shared" si="16"/>
        <v>17934.81673625419</v>
      </c>
      <c r="J18" s="32">
        <f t="shared" si="16"/>
        <v>18283.715793030638</v>
      </c>
      <c r="K18" s="32">
        <f t="shared" si="16"/>
        <v>18017.358701087433</v>
      </c>
      <c r="L18" s="32">
        <f t="shared" ref="L18" si="17">SUM(L19,L20,L27)</f>
        <v>17285.474422780797</v>
      </c>
      <c r="M18" s="32">
        <f t="shared" ref="M18:V18" si="18">SUM(M19,M20,M27)</f>
        <v>17072.009915861301</v>
      </c>
      <c r="N18" s="32">
        <f t="shared" si="18"/>
        <v>16601.467108463112</v>
      </c>
      <c r="O18" s="32">
        <f t="shared" si="18"/>
        <v>16097.868372205887</v>
      </c>
      <c r="P18" s="32">
        <f t="shared" si="18"/>
        <v>16324.321890696707</v>
      </c>
      <c r="Q18" s="32">
        <f t="shared" si="18"/>
        <v>17027.327506521218</v>
      </c>
      <c r="R18" s="32">
        <f t="shared" si="18"/>
        <v>16394.975124668683</v>
      </c>
      <c r="S18" s="32">
        <f t="shared" si="18"/>
        <v>15652.085672483261</v>
      </c>
      <c r="T18" s="32">
        <f t="shared" si="18"/>
        <v>15487.413479270324</v>
      </c>
      <c r="U18" s="32">
        <f t="shared" si="18"/>
        <v>15178.69347025621</v>
      </c>
      <c r="V18" s="32">
        <f t="shared" si="18"/>
        <v>12293.783456295538</v>
      </c>
      <c r="W18" s="32">
        <f t="shared" ref="W18" si="19">SUM(W19,W20,W27)</f>
        <v>13164.861822317114</v>
      </c>
      <c r="DA18" s="173" t="s">
        <v>402</v>
      </c>
    </row>
    <row r="19" spans="1:105" ht="11.45" customHeight="1" x14ac:dyDescent="0.25">
      <c r="A19" s="136" t="s">
        <v>180</v>
      </c>
      <c r="B19" s="141">
        <v>174.22273110231521</v>
      </c>
      <c r="C19" s="141">
        <v>180.53774115171279</v>
      </c>
      <c r="D19" s="141">
        <v>188.76371517230743</v>
      </c>
      <c r="E19" s="141">
        <v>195.20484145693919</v>
      </c>
      <c r="F19" s="141">
        <v>196.31920421857964</v>
      </c>
      <c r="G19" s="141">
        <v>187.37561252979916</v>
      </c>
      <c r="H19" s="141">
        <v>192.51248799153981</v>
      </c>
      <c r="I19" s="141">
        <v>197.95496403069774</v>
      </c>
      <c r="J19" s="141">
        <v>195.91709220072084</v>
      </c>
      <c r="K19" s="141">
        <v>187.67999875317847</v>
      </c>
      <c r="L19" s="141">
        <v>172.66665889677523</v>
      </c>
      <c r="M19" s="141">
        <v>169.93198525780628</v>
      </c>
      <c r="N19" s="141">
        <v>162.33803939748057</v>
      </c>
      <c r="O19" s="141">
        <v>154.25628647394274</v>
      </c>
      <c r="P19" s="141">
        <v>163.00506264362971</v>
      </c>
      <c r="Q19" s="141">
        <v>160.15451938131173</v>
      </c>
      <c r="R19" s="141">
        <v>155.03264803273154</v>
      </c>
      <c r="S19" s="141">
        <v>144.52123427846183</v>
      </c>
      <c r="T19" s="141">
        <v>136.24432064958046</v>
      </c>
      <c r="U19" s="141">
        <v>144.82208268142372</v>
      </c>
      <c r="V19" s="141">
        <v>123.37283767903604</v>
      </c>
      <c r="W19" s="141">
        <v>122.52070167516047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15617.05872358538</v>
      </c>
      <c r="C20" s="130">
        <f t="shared" si="20"/>
        <v>15868.503898196641</v>
      </c>
      <c r="D20" s="130">
        <f t="shared" si="20"/>
        <v>15704.683960533293</v>
      </c>
      <c r="E20" s="130">
        <f t="shared" si="20"/>
        <v>16109.380297473599</v>
      </c>
      <c r="F20" s="130">
        <f t="shared" si="20"/>
        <v>16308.803255386016</v>
      </c>
      <c r="G20" s="130">
        <f t="shared" si="20"/>
        <v>15612.681425991381</v>
      </c>
      <c r="H20" s="130">
        <f t="shared" si="20"/>
        <v>15996.624138004554</v>
      </c>
      <c r="I20" s="130">
        <f t="shared" si="20"/>
        <v>16573.047333466428</v>
      </c>
      <c r="J20" s="130">
        <f t="shared" si="20"/>
        <v>16900.518646735407</v>
      </c>
      <c r="K20" s="130">
        <f t="shared" si="20"/>
        <v>16681.974180159537</v>
      </c>
      <c r="L20" s="130">
        <f t="shared" ref="L20" si="21">SUM(L21:L26)</f>
        <v>16003.10420876735</v>
      </c>
      <c r="M20" s="130">
        <f t="shared" ref="M20:V20" si="22">SUM(M21:M26)</f>
        <v>15828.773183836905</v>
      </c>
      <c r="N20" s="130">
        <f t="shared" si="22"/>
        <v>15399.083605354877</v>
      </c>
      <c r="O20" s="130">
        <f t="shared" si="22"/>
        <v>14932.116011833121</v>
      </c>
      <c r="P20" s="130">
        <f t="shared" si="22"/>
        <v>15142.036655115402</v>
      </c>
      <c r="Q20" s="130">
        <f t="shared" si="22"/>
        <v>15781.801626732693</v>
      </c>
      <c r="R20" s="130">
        <f t="shared" si="22"/>
        <v>15216.803613075213</v>
      </c>
      <c r="S20" s="130">
        <f t="shared" si="22"/>
        <v>14455.232367203871</v>
      </c>
      <c r="T20" s="130">
        <f t="shared" si="22"/>
        <v>14244.154828533618</v>
      </c>
      <c r="U20" s="130">
        <f t="shared" si="22"/>
        <v>13912.249260403118</v>
      </c>
      <c r="V20" s="130">
        <f t="shared" si="22"/>
        <v>11115.36087139315</v>
      </c>
      <c r="W20" s="130">
        <f t="shared" ref="W20" si="23">SUM(W21:W26)</f>
        <v>11934.21273880465</v>
      </c>
      <c r="DA20" s="176" t="s">
        <v>404</v>
      </c>
    </row>
    <row r="21" spans="1:105" ht="11.45" customHeight="1" x14ac:dyDescent="0.25">
      <c r="A21" s="111" t="s">
        <v>110</v>
      </c>
      <c r="B21" s="96">
        <v>6369.2453559559153</v>
      </c>
      <c r="C21" s="96">
        <v>6190.2724073036343</v>
      </c>
      <c r="D21" s="96">
        <v>5875.9572655016254</v>
      </c>
      <c r="E21" s="96">
        <v>5938.1535699343412</v>
      </c>
      <c r="F21" s="96">
        <v>5415.3029478519011</v>
      </c>
      <c r="G21" s="96">
        <v>4998.1766278679197</v>
      </c>
      <c r="H21" s="96">
        <v>4617.901764013428</v>
      </c>
      <c r="I21" s="96">
        <v>4353.1270503364476</v>
      </c>
      <c r="J21" s="96">
        <v>3971.6743196741186</v>
      </c>
      <c r="K21" s="96">
        <v>3767.2747388624975</v>
      </c>
      <c r="L21" s="96">
        <v>3347.2836913915903</v>
      </c>
      <c r="M21" s="96">
        <v>3201.2971082859449</v>
      </c>
      <c r="N21" s="96">
        <v>3124.2120100229477</v>
      </c>
      <c r="O21" s="96">
        <v>3135.5246641800495</v>
      </c>
      <c r="P21" s="96">
        <v>3386.230417449849</v>
      </c>
      <c r="Q21" s="96">
        <v>3621.6993030188419</v>
      </c>
      <c r="R21" s="96">
        <v>3935.8294807029529</v>
      </c>
      <c r="S21" s="96">
        <v>3939.8506840864648</v>
      </c>
      <c r="T21" s="96">
        <v>4421.7616718033087</v>
      </c>
      <c r="U21" s="96">
        <v>4969.3917945391058</v>
      </c>
      <c r="V21" s="96">
        <v>4092.4230244464343</v>
      </c>
      <c r="W21" s="96">
        <v>5004.1190938087511</v>
      </c>
      <c r="DA21" s="171" t="s">
        <v>750</v>
      </c>
    </row>
    <row r="22" spans="1:105" ht="11.45" customHeight="1" x14ac:dyDescent="0.25">
      <c r="A22" s="111" t="s">
        <v>111</v>
      </c>
      <c r="B22" s="96">
        <v>9109.6374890670013</v>
      </c>
      <c r="C22" s="96">
        <v>9505.4360180355216</v>
      </c>
      <c r="D22" s="96">
        <v>9685.6162204473931</v>
      </c>
      <c r="E22" s="96">
        <v>10046.130730847974</v>
      </c>
      <c r="F22" s="96">
        <v>10775.655090889204</v>
      </c>
      <c r="G22" s="96">
        <v>10499.949678204599</v>
      </c>
      <c r="H22" s="96">
        <v>11266.252831510275</v>
      </c>
      <c r="I22" s="96">
        <v>12125.971944086758</v>
      </c>
      <c r="J22" s="96">
        <v>12839.046527515899</v>
      </c>
      <c r="K22" s="96">
        <v>12828.210044793943</v>
      </c>
      <c r="L22" s="96">
        <v>12574.316392442906</v>
      </c>
      <c r="M22" s="96">
        <v>12539.137748055298</v>
      </c>
      <c r="N22" s="96">
        <v>12187.352090821581</v>
      </c>
      <c r="O22" s="96">
        <v>11715.002978404516</v>
      </c>
      <c r="P22" s="96">
        <v>11661.546561045814</v>
      </c>
      <c r="Q22" s="96">
        <v>12011.922421961095</v>
      </c>
      <c r="R22" s="96">
        <v>11116.182862232567</v>
      </c>
      <c r="S22" s="96">
        <v>10351.232302090761</v>
      </c>
      <c r="T22" s="96">
        <v>9644.5260960937376</v>
      </c>
      <c r="U22" s="96">
        <v>8732.7873213509865</v>
      </c>
      <c r="V22" s="96">
        <v>6792.9150491874261</v>
      </c>
      <c r="W22" s="96">
        <v>6634.8633269499132</v>
      </c>
      <c r="DA22" s="171" t="s">
        <v>751</v>
      </c>
    </row>
    <row r="23" spans="1:105" ht="11.45" customHeight="1" x14ac:dyDescent="0.25">
      <c r="A23" s="111" t="s">
        <v>112</v>
      </c>
      <c r="B23" s="96">
        <v>138.1758785624649</v>
      </c>
      <c r="C23" s="96">
        <v>172.79547285748566</v>
      </c>
      <c r="D23" s="96">
        <v>143.11047458427493</v>
      </c>
      <c r="E23" s="96">
        <v>125.09599669128443</v>
      </c>
      <c r="F23" s="96">
        <v>117.16642908491058</v>
      </c>
      <c r="G23" s="96">
        <v>113.82059139886297</v>
      </c>
      <c r="H23" s="96">
        <v>111.77560792085028</v>
      </c>
      <c r="I23" s="96">
        <v>93.24935548322108</v>
      </c>
      <c r="J23" s="96">
        <v>89.404926162518578</v>
      </c>
      <c r="K23" s="96">
        <v>86.219571875282085</v>
      </c>
      <c r="L23" s="96">
        <v>81.265507194691835</v>
      </c>
      <c r="M23" s="96">
        <v>88.031085610445359</v>
      </c>
      <c r="N23" s="96">
        <v>86.748168956551453</v>
      </c>
      <c r="O23" s="96">
        <v>80.021402042884802</v>
      </c>
      <c r="P23" s="96">
        <v>90.370273155442163</v>
      </c>
      <c r="Q23" s="96">
        <v>139.45129711705806</v>
      </c>
      <c r="R23" s="96">
        <v>144.36250186283303</v>
      </c>
      <c r="S23" s="96">
        <v>130.51760245672378</v>
      </c>
      <c r="T23" s="96">
        <v>123.416176660039</v>
      </c>
      <c r="U23" s="96">
        <v>124.00893941774318</v>
      </c>
      <c r="V23" s="96">
        <v>109.07200701060877</v>
      </c>
      <c r="W23" s="96">
        <v>106.25878910126113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0.67878756000000018</v>
      </c>
      <c r="G24" s="96">
        <v>0.73452852000000013</v>
      </c>
      <c r="H24" s="96">
        <v>0.6939345600000002</v>
      </c>
      <c r="I24" s="96">
        <v>0.69898356000000006</v>
      </c>
      <c r="J24" s="96">
        <v>0.39287338287087087</v>
      </c>
      <c r="K24" s="96">
        <v>0.26982462781653571</v>
      </c>
      <c r="L24" s="96">
        <v>0.23861773816113446</v>
      </c>
      <c r="M24" s="96">
        <v>0.29760220873547183</v>
      </c>
      <c r="N24" s="96">
        <v>0.63489837755856537</v>
      </c>
      <c r="O24" s="96">
        <v>1.4031817327827778</v>
      </c>
      <c r="P24" s="96">
        <v>3.2524011533469981</v>
      </c>
      <c r="Q24" s="96">
        <v>5.9014719305405832</v>
      </c>
      <c r="R24" s="96">
        <v>11.673125556929953</v>
      </c>
      <c r="S24" s="96">
        <v>17.333998733211015</v>
      </c>
      <c r="T24" s="96">
        <v>29.548759440786625</v>
      </c>
      <c r="U24" s="96">
        <v>54.906513018133481</v>
      </c>
      <c r="V24" s="96">
        <v>82.49296430237645</v>
      </c>
      <c r="W24" s="96">
        <v>119.01937193215608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9.6396764811511951E-3</v>
      </c>
      <c r="N25" s="96">
        <v>0.13643717623683718</v>
      </c>
      <c r="O25" s="96">
        <v>0.16378547288614026</v>
      </c>
      <c r="P25" s="96">
        <v>0.63700231094822835</v>
      </c>
      <c r="Q25" s="96">
        <v>2.8271327051558686</v>
      </c>
      <c r="R25" s="96">
        <v>8.7556427199308597</v>
      </c>
      <c r="S25" s="96">
        <v>16.297779836709509</v>
      </c>
      <c r="T25" s="96">
        <v>24.90212453574442</v>
      </c>
      <c r="U25" s="96">
        <v>31.154692077148244</v>
      </c>
      <c r="V25" s="96">
        <v>38.457826446302811</v>
      </c>
      <c r="W25" s="96">
        <v>69.952157012568989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1216.8992503891993</v>
      </c>
      <c r="C27" s="130">
        <f t="shared" si="24"/>
        <v>1207.5929073244074</v>
      </c>
      <c r="D27" s="130">
        <f t="shared" si="24"/>
        <v>1200.1295555310537</v>
      </c>
      <c r="E27" s="130">
        <f t="shared" si="24"/>
        <v>1228.3584521457483</v>
      </c>
      <c r="F27" s="130">
        <f t="shared" si="24"/>
        <v>1232.0639675190575</v>
      </c>
      <c r="G27" s="130">
        <f t="shared" si="24"/>
        <v>1206.804920472121</v>
      </c>
      <c r="H27" s="130">
        <f t="shared" si="24"/>
        <v>1178.6926123220637</v>
      </c>
      <c r="I27" s="130">
        <f t="shared" si="24"/>
        <v>1163.8144387570653</v>
      </c>
      <c r="J27" s="130">
        <f t="shared" si="24"/>
        <v>1187.2800540945086</v>
      </c>
      <c r="K27" s="130">
        <f t="shared" si="24"/>
        <v>1147.7045221747176</v>
      </c>
      <c r="L27" s="130">
        <f t="shared" ref="L27" si="25">SUM(L28:L32)</f>
        <v>1109.7035551166703</v>
      </c>
      <c r="M27" s="130">
        <f t="shared" ref="M27:V27" si="26">SUM(M28:M32)</f>
        <v>1073.3047467665906</v>
      </c>
      <c r="N27" s="130">
        <f t="shared" si="26"/>
        <v>1040.0454637107523</v>
      </c>
      <c r="O27" s="130">
        <f t="shared" si="26"/>
        <v>1011.4960738988237</v>
      </c>
      <c r="P27" s="130">
        <f t="shared" si="26"/>
        <v>1019.2801729376758</v>
      </c>
      <c r="Q27" s="130">
        <f t="shared" si="26"/>
        <v>1085.371360407215</v>
      </c>
      <c r="R27" s="130">
        <f t="shared" si="26"/>
        <v>1023.1388635607394</v>
      </c>
      <c r="S27" s="130">
        <f t="shared" si="26"/>
        <v>1052.3320710009284</v>
      </c>
      <c r="T27" s="130">
        <f t="shared" si="26"/>
        <v>1107.0143300871252</v>
      </c>
      <c r="U27" s="130">
        <f t="shared" si="26"/>
        <v>1121.622127171669</v>
      </c>
      <c r="V27" s="130">
        <f t="shared" si="26"/>
        <v>1055.0497472233517</v>
      </c>
      <c r="W27" s="130">
        <f t="shared" ref="W27" si="27">SUM(W28:W32)</f>
        <v>1108.128381837304</v>
      </c>
      <c r="DA27" s="176" t="s">
        <v>405</v>
      </c>
    </row>
    <row r="28" spans="1:105" ht="11.45" customHeight="1" x14ac:dyDescent="0.25">
      <c r="A28" s="111" t="s">
        <v>110</v>
      </c>
      <c r="B28" s="97">
        <v>4.7853155062071773</v>
      </c>
      <c r="C28" s="97">
        <v>4.7495510415694877</v>
      </c>
      <c r="D28" s="97">
        <v>4.3962271817759442</v>
      </c>
      <c r="E28" s="97">
        <v>4.444577209790749</v>
      </c>
      <c r="F28" s="97">
        <v>4.3529563261075941</v>
      </c>
      <c r="G28" s="97">
        <v>4.3061242636181252</v>
      </c>
      <c r="H28" s="97">
        <v>3.9069276378007478</v>
      </c>
      <c r="I28" s="97">
        <v>3.7035443578560265</v>
      </c>
      <c r="J28" s="97">
        <v>3.4353724738174658</v>
      </c>
      <c r="K28" s="97">
        <v>3.0981667889870272</v>
      </c>
      <c r="L28" s="97">
        <v>2.7107676091829487</v>
      </c>
      <c r="M28" s="97">
        <v>2.5790910519932395</v>
      </c>
      <c r="N28" s="97">
        <v>2.4751378122694385</v>
      </c>
      <c r="O28" s="97">
        <v>2.2977300578823665</v>
      </c>
      <c r="P28" s="97">
        <v>2.2768508779311376</v>
      </c>
      <c r="Q28" s="97">
        <v>2.2082719095536314</v>
      </c>
      <c r="R28" s="97">
        <v>2.0464470389142502</v>
      </c>
      <c r="S28" s="97">
        <v>1.9278149316200577</v>
      </c>
      <c r="T28" s="97">
        <v>1.8904595935592001</v>
      </c>
      <c r="U28" s="97">
        <v>1.8571609725577232</v>
      </c>
      <c r="V28" s="97">
        <v>1.7971317600088386</v>
      </c>
      <c r="W28" s="97">
        <v>1.7318059579938412</v>
      </c>
      <c r="DA28" s="175" t="s">
        <v>756</v>
      </c>
    </row>
    <row r="29" spans="1:105" ht="11.45" customHeight="1" x14ac:dyDescent="0.25">
      <c r="A29" s="111" t="s">
        <v>111</v>
      </c>
      <c r="B29" s="97">
        <v>1212.1139348829922</v>
      </c>
      <c r="C29" s="97">
        <v>1202.8433562828379</v>
      </c>
      <c r="D29" s="97">
        <v>1195.7333283492778</v>
      </c>
      <c r="E29" s="97">
        <v>1223.9138749359574</v>
      </c>
      <c r="F29" s="97">
        <v>1227.7110111929499</v>
      </c>
      <c r="G29" s="97">
        <v>1202.4987962085029</v>
      </c>
      <c r="H29" s="97">
        <v>1174.7856846842631</v>
      </c>
      <c r="I29" s="97">
        <v>1160.1108943992092</v>
      </c>
      <c r="J29" s="97">
        <v>1183.8446816206911</v>
      </c>
      <c r="K29" s="97">
        <v>1144.6063553857305</v>
      </c>
      <c r="L29" s="97">
        <v>1106.9927875074873</v>
      </c>
      <c r="M29" s="97">
        <v>1070.7256557145975</v>
      </c>
      <c r="N29" s="97">
        <v>1037.5703258984829</v>
      </c>
      <c r="O29" s="97">
        <v>1009.1983438409413</v>
      </c>
      <c r="P29" s="97">
        <v>1017.0033220597447</v>
      </c>
      <c r="Q29" s="97">
        <v>1083.1630884976614</v>
      </c>
      <c r="R29" s="97">
        <v>1021.0565425757414</v>
      </c>
      <c r="S29" s="97">
        <v>1050.3674617060224</v>
      </c>
      <c r="T29" s="97">
        <v>1104.9086257686918</v>
      </c>
      <c r="U29" s="97">
        <v>1119.2021838461503</v>
      </c>
      <c r="V29" s="97">
        <v>1051.7344385927656</v>
      </c>
      <c r="W29" s="97">
        <v>1093.406694184624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</v>
      </c>
      <c r="G30" s="97">
        <v>0</v>
      </c>
      <c r="H30" s="97">
        <v>0</v>
      </c>
      <c r="I30" s="97">
        <v>0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</v>
      </c>
      <c r="S30" s="97">
        <v>0</v>
      </c>
      <c r="T30" s="97">
        <v>0</v>
      </c>
      <c r="U30" s="97">
        <v>0</v>
      </c>
      <c r="V30" s="97">
        <v>0</v>
      </c>
      <c r="W30" s="97">
        <v>0</v>
      </c>
      <c r="DA30" s="175" t="s">
        <v>758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0</v>
      </c>
      <c r="M31" s="97">
        <v>0</v>
      </c>
      <c r="N31" s="97">
        <v>0</v>
      </c>
      <c r="O31" s="97">
        <v>0</v>
      </c>
      <c r="P31" s="97">
        <v>0</v>
      </c>
      <c r="Q31" s="97">
        <v>0</v>
      </c>
      <c r="R31" s="97">
        <v>3.5873946083725655E-2</v>
      </c>
      <c r="S31" s="97">
        <v>3.6794363285866293E-2</v>
      </c>
      <c r="T31" s="97">
        <v>0.21524472487434299</v>
      </c>
      <c r="U31" s="97">
        <v>0.56278235296089385</v>
      </c>
      <c r="V31" s="97">
        <v>1.5181768705772056</v>
      </c>
      <c r="W31" s="97">
        <v>12.989881694686089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6380.7008410831077</v>
      </c>
      <c r="C33" s="32">
        <f t="shared" si="28"/>
        <v>7009.6790041272343</v>
      </c>
      <c r="D33" s="32">
        <f t="shared" si="28"/>
        <v>7213.7662255233481</v>
      </c>
      <c r="E33" s="32">
        <f t="shared" si="28"/>
        <v>7326.8122221637095</v>
      </c>
      <c r="F33" s="32">
        <f t="shared" si="28"/>
        <v>8183.6888034363437</v>
      </c>
      <c r="G33" s="32">
        <f t="shared" si="28"/>
        <v>8209.8012468866982</v>
      </c>
      <c r="H33" s="32">
        <f t="shared" si="28"/>
        <v>8480.4739756418421</v>
      </c>
      <c r="I33" s="32">
        <f t="shared" si="28"/>
        <v>8723.2262639458095</v>
      </c>
      <c r="J33" s="32">
        <f t="shared" si="28"/>
        <v>8461.4388998093673</v>
      </c>
      <c r="K33" s="32">
        <f t="shared" si="28"/>
        <v>8020.0401789125681</v>
      </c>
      <c r="L33" s="32">
        <f t="shared" ref="L33" si="29">L34+L40</f>
        <v>7857.4636497792008</v>
      </c>
      <c r="M33" s="32">
        <f t="shared" ref="M33:V33" si="30">M34+M40</f>
        <v>7707.6795393786942</v>
      </c>
      <c r="N33" s="32">
        <f t="shared" si="30"/>
        <v>7422.1889891768897</v>
      </c>
      <c r="O33" s="32">
        <f t="shared" si="30"/>
        <v>7452.8798781941132</v>
      </c>
      <c r="P33" s="32">
        <f t="shared" si="30"/>
        <v>7545.2250498232879</v>
      </c>
      <c r="Q33" s="32">
        <f t="shared" si="30"/>
        <v>8482.9619125587778</v>
      </c>
      <c r="R33" s="32">
        <f t="shared" si="30"/>
        <v>8825.7439492113172</v>
      </c>
      <c r="S33" s="32">
        <f t="shared" si="30"/>
        <v>8975.0393841967452</v>
      </c>
      <c r="T33" s="32">
        <f t="shared" si="30"/>
        <v>9224.1452566896769</v>
      </c>
      <c r="U33" s="32">
        <f t="shared" si="30"/>
        <v>9238.4130109037851</v>
      </c>
      <c r="V33" s="32">
        <f t="shared" si="30"/>
        <v>8145.0799852644632</v>
      </c>
      <c r="W33" s="32">
        <f t="shared" ref="W33" si="31">W34+W40</f>
        <v>9418.5838031228832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3198.3726067003772</v>
      </c>
      <c r="C34" s="141">
        <f t="shared" si="32"/>
        <v>3220.4139636758196</v>
      </c>
      <c r="D34" s="141">
        <f t="shared" si="32"/>
        <v>3348.3081477223773</v>
      </c>
      <c r="E34" s="141">
        <f t="shared" si="32"/>
        <v>3362.0801690959788</v>
      </c>
      <c r="F34" s="141">
        <f t="shared" si="32"/>
        <v>3591.7007451797531</v>
      </c>
      <c r="G34" s="141">
        <f t="shared" si="32"/>
        <v>3636.1574091529874</v>
      </c>
      <c r="H34" s="141">
        <f t="shared" si="32"/>
        <v>3681.0126296666376</v>
      </c>
      <c r="I34" s="141">
        <f t="shared" si="32"/>
        <v>3814.2220800274777</v>
      </c>
      <c r="J34" s="141">
        <f t="shared" si="32"/>
        <v>3804.8126228106526</v>
      </c>
      <c r="K34" s="141">
        <f t="shared" si="32"/>
        <v>3661.905422238473</v>
      </c>
      <c r="L34" s="141">
        <f t="shared" ref="L34" si="33">SUM(L35:L39)</f>
        <v>3543.8733482908438</v>
      </c>
      <c r="M34" s="141">
        <f t="shared" ref="M34:V34" si="34">SUM(M35:M39)</f>
        <v>3511.607544135984</v>
      </c>
      <c r="N34" s="141">
        <f t="shared" si="34"/>
        <v>3433.5552969134837</v>
      </c>
      <c r="O34" s="141">
        <f t="shared" si="34"/>
        <v>3243.7410877222355</v>
      </c>
      <c r="P34" s="141">
        <f t="shared" si="34"/>
        <v>3314.2453619612083</v>
      </c>
      <c r="Q34" s="141">
        <f t="shared" si="34"/>
        <v>3596.8962211134731</v>
      </c>
      <c r="R34" s="141">
        <f t="shared" si="34"/>
        <v>3307.3625147383696</v>
      </c>
      <c r="S34" s="141">
        <f t="shared" si="34"/>
        <v>3034.7757468483223</v>
      </c>
      <c r="T34" s="141">
        <f t="shared" si="34"/>
        <v>2982.9431954824968</v>
      </c>
      <c r="U34" s="141">
        <f t="shared" si="34"/>
        <v>2991.9466314642841</v>
      </c>
      <c r="V34" s="141">
        <f t="shared" si="34"/>
        <v>2673.9575692394296</v>
      </c>
      <c r="W34" s="141">
        <f t="shared" ref="W34" si="35">SUM(W35:W39)</f>
        <v>3117.8742800476089</v>
      </c>
      <c r="DA34" s="174" t="s">
        <v>411</v>
      </c>
    </row>
    <row r="35" spans="1:105" ht="11.45" customHeight="1" x14ac:dyDescent="0.25">
      <c r="A35" s="111" t="s">
        <v>110</v>
      </c>
      <c r="B35" s="96">
        <v>192.91798515556329</v>
      </c>
      <c r="C35" s="96">
        <v>185.70891594308483</v>
      </c>
      <c r="D35" s="96">
        <v>189.97549354429111</v>
      </c>
      <c r="E35" s="96">
        <v>175.56558367892799</v>
      </c>
      <c r="F35" s="96">
        <v>169.27199616341113</v>
      </c>
      <c r="G35" s="96">
        <v>167.89078901866262</v>
      </c>
      <c r="H35" s="96">
        <v>161.05846035723144</v>
      </c>
      <c r="I35" s="96">
        <v>141.8972289949975</v>
      </c>
      <c r="J35" s="96">
        <v>128.6499970513419</v>
      </c>
      <c r="K35" s="96">
        <v>114.24805447533879</v>
      </c>
      <c r="L35" s="96">
        <v>104.34074366245029</v>
      </c>
      <c r="M35" s="96">
        <v>98.062113407772927</v>
      </c>
      <c r="N35" s="96">
        <v>92.904265871066301</v>
      </c>
      <c r="O35" s="96">
        <v>83.554241175239241</v>
      </c>
      <c r="P35" s="96">
        <v>77.712816477640459</v>
      </c>
      <c r="Q35" s="96">
        <v>71.300012505136792</v>
      </c>
      <c r="R35" s="96">
        <v>72.867186705471198</v>
      </c>
      <c r="S35" s="96">
        <v>75.676314546744919</v>
      </c>
      <c r="T35" s="96">
        <v>87.62153269780714</v>
      </c>
      <c r="U35" s="96">
        <v>96.355387889763989</v>
      </c>
      <c r="V35" s="96">
        <v>86.302758308217307</v>
      </c>
      <c r="W35" s="96">
        <v>96.64774490552567</v>
      </c>
      <c r="DA35" s="171" t="s">
        <v>761</v>
      </c>
    </row>
    <row r="36" spans="1:105" ht="11.45" customHeight="1" x14ac:dyDescent="0.25">
      <c r="A36" s="111" t="s">
        <v>111</v>
      </c>
      <c r="B36" s="96">
        <v>2885.2991505872787</v>
      </c>
      <c r="C36" s="96">
        <v>2911.4353963102203</v>
      </c>
      <c r="D36" s="96">
        <v>3031.5014044823611</v>
      </c>
      <c r="E36" s="96">
        <v>3070.6946811483353</v>
      </c>
      <c r="F36" s="96">
        <v>3307.3872285812527</v>
      </c>
      <c r="G36" s="96">
        <v>3361.4896367731881</v>
      </c>
      <c r="H36" s="96">
        <v>3419.8399267502564</v>
      </c>
      <c r="I36" s="96">
        <v>3582.7104065157014</v>
      </c>
      <c r="J36" s="96">
        <v>3597.0320449446999</v>
      </c>
      <c r="K36" s="96">
        <v>3479.7921991062326</v>
      </c>
      <c r="L36" s="96">
        <v>3381.1749936412461</v>
      </c>
      <c r="M36" s="96">
        <v>3356.1868856673923</v>
      </c>
      <c r="N36" s="96">
        <v>3287.4479319365273</v>
      </c>
      <c r="O36" s="96">
        <v>3117.4832200826636</v>
      </c>
      <c r="P36" s="96">
        <v>3198.0032031923574</v>
      </c>
      <c r="Q36" s="96">
        <v>3494.3612642959351</v>
      </c>
      <c r="R36" s="96">
        <v>3205.4129012787448</v>
      </c>
      <c r="S36" s="96">
        <v>2930.4881060547982</v>
      </c>
      <c r="T36" s="96">
        <v>2867.0875220503895</v>
      </c>
      <c r="U36" s="96">
        <v>2863.5598321633579</v>
      </c>
      <c r="V36" s="96">
        <v>2549.8609915147749</v>
      </c>
      <c r="W36" s="96">
        <v>2967.7197525101865</v>
      </c>
      <c r="DA36" s="171" t="s">
        <v>762</v>
      </c>
    </row>
    <row r="37" spans="1:105" ht="11.45" customHeight="1" x14ac:dyDescent="0.25">
      <c r="A37" s="111" t="s">
        <v>112</v>
      </c>
      <c r="B37" s="96">
        <v>120.15547095753512</v>
      </c>
      <c r="C37" s="96">
        <v>123.26965142251439</v>
      </c>
      <c r="D37" s="96">
        <v>126.83124969572521</v>
      </c>
      <c r="E37" s="96">
        <v>115.81990426871562</v>
      </c>
      <c r="F37" s="96">
        <v>115.04152043508942</v>
      </c>
      <c r="G37" s="96">
        <v>106.77698336113707</v>
      </c>
      <c r="H37" s="96">
        <v>100.11424255914974</v>
      </c>
      <c r="I37" s="96">
        <v>89.614444516778931</v>
      </c>
      <c r="J37" s="96">
        <v>78.945848597481429</v>
      </c>
      <c r="K37" s="96">
        <v>67.618177644717946</v>
      </c>
      <c r="L37" s="96">
        <v>58.059217085308163</v>
      </c>
      <c r="M37" s="96">
        <v>57.09893962955465</v>
      </c>
      <c r="N37" s="96">
        <v>52.576555323448545</v>
      </c>
      <c r="O37" s="96">
        <v>41.887873677115223</v>
      </c>
      <c r="P37" s="96">
        <v>37.344076364557829</v>
      </c>
      <c r="Q37" s="96">
        <v>28.899477642941971</v>
      </c>
      <c r="R37" s="96">
        <v>26.890923377166988</v>
      </c>
      <c r="S37" s="96">
        <v>24.771472303276219</v>
      </c>
      <c r="T37" s="96">
        <v>22.294242379960981</v>
      </c>
      <c r="U37" s="96">
        <v>20.54046486225684</v>
      </c>
      <c r="V37" s="96">
        <v>18.968544269391231</v>
      </c>
      <c r="W37" s="96">
        <v>20.886524618738896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0.18473221712912918</v>
      </c>
      <c r="K38" s="96">
        <v>0.24699101218346436</v>
      </c>
      <c r="L38" s="96">
        <v>0.29839390183886561</v>
      </c>
      <c r="M38" s="96">
        <v>0.25960543126452812</v>
      </c>
      <c r="N38" s="96">
        <v>0.62654378244143483</v>
      </c>
      <c r="O38" s="96">
        <v>0.81575278721722244</v>
      </c>
      <c r="P38" s="96">
        <v>1.1852659266530019</v>
      </c>
      <c r="Q38" s="96">
        <v>2.3354666694594184</v>
      </c>
      <c r="R38" s="96">
        <v>2.1915033769863208</v>
      </c>
      <c r="S38" s="96">
        <v>3.8398539435031234</v>
      </c>
      <c r="T38" s="96">
        <v>5.9398983543390296</v>
      </c>
      <c r="U38" s="96">
        <v>11.490946548905635</v>
      </c>
      <c r="V38" s="96">
        <v>18.825275147046348</v>
      </c>
      <c r="W38" s="96">
        <v>32.620258013157866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3182.3282343827304</v>
      </c>
      <c r="C40" s="130">
        <f t="shared" si="36"/>
        <v>3789.2650404514143</v>
      </c>
      <c r="D40" s="130">
        <f t="shared" si="36"/>
        <v>3865.4580778009713</v>
      </c>
      <c r="E40" s="130">
        <f t="shared" si="36"/>
        <v>3964.7320530677307</v>
      </c>
      <c r="F40" s="130">
        <f t="shared" si="36"/>
        <v>4591.9880582565911</v>
      </c>
      <c r="G40" s="130">
        <f t="shared" si="36"/>
        <v>4573.6438377337108</v>
      </c>
      <c r="H40" s="130">
        <f t="shared" si="36"/>
        <v>4799.4613459752054</v>
      </c>
      <c r="I40" s="130">
        <f t="shared" si="36"/>
        <v>4909.0041839183314</v>
      </c>
      <c r="J40" s="130">
        <f t="shared" si="36"/>
        <v>4656.6262769987152</v>
      </c>
      <c r="K40" s="130">
        <f t="shared" si="36"/>
        <v>4358.1347566740951</v>
      </c>
      <c r="L40" s="130">
        <f t="shared" ref="L40" si="37">SUM(L41:L42)</f>
        <v>4313.590301488357</v>
      </c>
      <c r="M40" s="130">
        <f t="shared" ref="M40:V40" si="38">SUM(M41:M42)</f>
        <v>4196.0719952427107</v>
      </c>
      <c r="N40" s="130">
        <f t="shared" si="38"/>
        <v>3988.6336922634055</v>
      </c>
      <c r="O40" s="130">
        <f t="shared" si="38"/>
        <v>4209.1387904718777</v>
      </c>
      <c r="P40" s="130">
        <f t="shared" si="38"/>
        <v>4230.97968786208</v>
      </c>
      <c r="Q40" s="130">
        <f t="shared" si="38"/>
        <v>4886.0656914453048</v>
      </c>
      <c r="R40" s="130">
        <f t="shared" si="38"/>
        <v>5518.3814344729471</v>
      </c>
      <c r="S40" s="130">
        <f t="shared" si="38"/>
        <v>5940.263637348422</v>
      </c>
      <c r="T40" s="130">
        <f t="shared" si="38"/>
        <v>6241.2020612071801</v>
      </c>
      <c r="U40" s="130">
        <f t="shared" si="38"/>
        <v>6246.466379439501</v>
      </c>
      <c r="V40" s="130">
        <f t="shared" si="38"/>
        <v>5471.1224160250331</v>
      </c>
      <c r="W40" s="130">
        <f t="shared" ref="W40" si="39">SUM(W41:W42)</f>
        <v>6300.7095230752748</v>
      </c>
      <c r="DA40" s="176" t="s">
        <v>412</v>
      </c>
    </row>
    <row r="41" spans="1:105" ht="11.45" customHeight="1" x14ac:dyDescent="0.25">
      <c r="A41" s="128" t="s">
        <v>27</v>
      </c>
      <c r="B41" s="97">
        <v>1805.0003921610335</v>
      </c>
      <c r="C41" s="97">
        <v>2158.5873168305748</v>
      </c>
      <c r="D41" s="97">
        <v>2177.3802503588331</v>
      </c>
      <c r="E41" s="97">
        <v>2137.9783131670265</v>
      </c>
      <c r="F41" s="97">
        <v>2336.0778863114429</v>
      </c>
      <c r="G41" s="97">
        <v>2204.5188931553989</v>
      </c>
      <c r="H41" s="97">
        <v>2298.4898949492299</v>
      </c>
      <c r="I41" s="97">
        <v>2288.3901052542669</v>
      </c>
      <c r="J41" s="97">
        <v>1944.0598033073722</v>
      </c>
      <c r="K41" s="97">
        <v>1858.061202210378</v>
      </c>
      <c r="L41" s="97">
        <v>1832.0517509992771</v>
      </c>
      <c r="M41" s="97">
        <v>1813.2183112096047</v>
      </c>
      <c r="N41" s="97">
        <v>1727.0548046831241</v>
      </c>
      <c r="O41" s="97">
        <v>1827.442588413423</v>
      </c>
      <c r="P41" s="97">
        <v>1869.8030212932872</v>
      </c>
      <c r="Q41" s="97">
        <v>2307.3271970140963</v>
      </c>
      <c r="R41" s="97">
        <v>2479.8580312588856</v>
      </c>
      <c r="S41" s="97">
        <v>2660.5257554676573</v>
      </c>
      <c r="T41" s="97">
        <v>2746.1801542312242</v>
      </c>
      <c r="U41" s="97">
        <v>2835.8962144989091</v>
      </c>
      <c r="V41" s="97">
        <v>2386.7575881959051</v>
      </c>
      <c r="W41" s="97">
        <v>2836.7731842921216</v>
      </c>
      <c r="DA41" s="175" t="s">
        <v>766</v>
      </c>
    </row>
    <row r="42" spans="1:105" ht="11.45" customHeight="1" x14ac:dyDescent="0.25">
      <c r="A42" s="138" t="s">
        <v>116</v>
      </c>
      <c r="B42" s="98">
        <v>1377.3278422216968</v>
      </c>
      <c r="C42" s="98">
        <v>1630.6777236208393</v>
      </c>
      <c r="D42" s="98">
        <v>1688.0778274421384</v>
      </c>
      <c r="E42" s="98">
        <v>1826.7537399007042</v>
      </c>
      <c r="F42" s="98">
        <v>2255.9101719451482</v>
      </c>
      <c r="G42" s="98">
        <v>2369.1249445783119</v>
      </c>
      <c r="H42" s="98">
        <v>2500.971451025976</v>
      </c>
      <c r="I42" s="98">
        <v>2620.6140786640644</v>
      </c>
      <c r="J42" s="98">
        <v>2712.5664736913432</v>
      </c>
      <c r="K42" s="98">
        <v>2500.0735544637173</v>
      </c>
      <c r="L42" s="98">
        <v>2481.5385504890796</v>
      </c>
      <c r="M42" s="98">
        <v>2382.8536840331058</v>
      </c>
      <c r="N42" s="98">
        <v>2261.5788875802814</v>
      </c>
      <c r="O42" s="98">
        <v>2381.6962020584542</v>
      </c>
      <c r="P42" s="98">
        <v>2361.1766665687933</v>
      </c>
      <c r="Q42" s="98">
        <v>2578.7384944312089</v>
      </c>
      <c r="R42" s="98">
        <v>3038.5234032140611</v>
      </c>
      <c r="S42" s="98">
        <v>3279.7378818807647</v>
      </c>
      <c r="T42" s="98">
        <v>3495.021906975956</v>
      </c>
      <c r="U42" s="98">
        <v>3410.5701649405919</v>
      </c>
      <c r="V42" s="98">
        <v>3084.3648278291275</v>
      </c>
      <c r="W42" s="98">
        <v>3463.9363387831527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3.0359561902932977</v>
      </c>
      <c r="C47" s="145">
        <f>IF(C4=0,0,C4/TrRoad_ene!C4)</f>
        <v>3.0390312262067916</v>
      </c>
      <c r="D47" s="145">
        <f>IF(D4=0,0,D4/TrRoad_ene!D4)</f>
        <v>3.0422604967558651</v>
      </c>
      <c r="E47" s="145">
        <f>IF(E4=0,0,E4/TrRoad_ene!E4)</f>
        <v>3.0437281445825008</v>
      </c>
      <c r="F47" s="145">
        <f>IF(F4=0,0,F4/TrRoad_ene!F4)</f>
        <v>3.0504640491814157</v>
      </c>
      <c r="G47" s="145">
        <f>IF(G4=0,0,G4/TrRoad_ene!G4)</f>
        <v>3.0527256497662032</v>
      </c>
      <c r="H47" s="145">
        <f>IF(H4=0,0,H4/TrRoad_ene!H4)</f>
        <v>3.0571826347919075</v>
      </c>
      <c r="I47" s="145">
        <f>IF(I4=0,0,I4/TrRoad_ene!I4)</f>
        <v>3.0612991689812796</v>
      </c>
      <c r="J47" s="145">
        <f>IF(J4=0,0,J4/TrRoad_ene!J4)</f>
        <v>3.0648298612473441</v>
      </c>
      <c r="K47" s="145">
        <f>IF(K4=0,0,K4/TrRoad_ene!K4)</f>
        <v>3.0181337903253738</v>
      </c>
      <c r="L47" s="145">
        <f>IF(L4=0,0,L4/TrRoad_ene!L4)</f>
        <v>2.9378463564375208</v>
      </c>
      <c r="M47" s="145">
        <f>IF(M4=0,0,M4/TrRoad_ene!M4)</f>
        <v>2.9407218325779572</v>
      </c>
      <c r="N47" s="145">
        <f>IF(N4=0,0,N4/TrRoad_ene!N4)</f>
        <v>2.9372529957130289</v>
      </c>
      <c r="O47" s="145">
        <f>IF(O4=0,0,O4/TrRoad_ene!O4)</f>
        <v>2.9354082117283244</v>
      </c>
      <c r="P47" s="145">
        <f>IF(P4=0,0,P4/TrRoad_ene!P4)</f>
        <v>2.910105916577133</v>
      </c>
      <c r="Q47" s="145">
        <f>IF(Q4=0,0,Q4/TrRoad_ene!Q4)</f>
        <v>2.9726145121721097</v>
      </c>
      <c r="R47" s="145">
        <f>IF(R4=0,0,R4/TrRoad_ene!R4)</f>
        <v>2.9064195161483615</v>
      </c>
      <c r="S47" s="145">
        <f>IF(S4=0,0,S4/TrRoad_ene!S4)</f>
        <v>2.888736876368764</v>
      </c>
      <c r="T47" s="145">
        <f>IF(T4=0,0,T4/TrRoad_ene!T4)</f>
        <v>2.8843582863637662</v>
      </c>
      <c r="U47" s="145">
        <f>IF(U4=0,0,U4/TrRoad_ene!U4)</f>
        <v>2.8727118795623778</v>
      </c>
      <c r="V47" s="145">
        <f>IF(V4=0,0,V4/TrRoad_ene!V4)</f>
        <v>2.7519521938514524</v>
      </c>
      <c r="W47" s="145">
        <f>IF(W4=0,0,W4/TrRoad_ene!W4)</f>
        <v>2.742523752378272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2.9014524000000002</v>
      </c>
      <c r="I48" s="97">
        <f>IF(I7=0,0,(I7+I12)/(TrRoad_ene!I7+TrRoad_ene!I12))</f>
        <v>2.9014524000000002</v>
      </c>
      <c r="J48" s="97">
        <f>IF(J7=0,0,(J7+J12)/(TrRoad_ene!J7+TrRoad_ene!J12))</f>
        <v>2.9014523999999997</v>
      </c>
      <c r="K48" s="97">
        <f>IF(K7=0,0,(K7+K12)/(TrRoad_ene!K7+TrRoad_ene!K12))</f>
        <v>2.8602461839582238</v>
      </c>
      <c r="L48" s="97">
        <f>IF(L7=0,0,(L7+L12)/(TrRoad_ene!L7+TrRoad_ene!L12))</f>
        <v>2.7764694717888152</v>
      </c>
      <c r="M48" s="97">
        <f>IF(M7=0,0,(M7+M12)/(TrRoad_ene!M7+TrRoad_ene!M12))</f>
        <v>2.7729356400096421</v>
      </c>
      <c r="N48" s="97">
        <f>IF(N7=0,0,(N7+N12)/(TrRoad_ene!N7+TrRoad_ene!N12))</f>
        <v>2.7735728611489288</v>
      </c>
      <c r="O48" s="97">
        <f>IF(O7=0,0,(O7+O12)/(TrRoad_ene!O7+TrRoad_ene!O12))</f>
        <v>2.7740356294686612</v>
      </c>
      <c r="P48" s="97">
        <f>IF(P7=0,0,(P7+P12)/(TrRoad_ene!P7+TrRoad_ene!P12))</f>
        <v>2.8149296176996246</v>
      </c>
      <c r="Q48" s="97">
        <f>IF(Q7=0,0,(Q7+Q12)/(TrRoad_ene!Q7+TrRoad_ene!Q12))</f>
        <v>2.8163945005967626</v>
      </c>
      <c r="R48" s="97">
        <f>IF(R7=0,0,(R7+R12)/(TrRoad_ene!R7+TrRoad_ene!R12))</f>
        <v>2.8179898567315291</v>
      </c>
      <c r="S48" s="97">
        <f>IF(S7=0,0,(S7+S12)/(TrRoad_ene!S7+TrRoad_ene!S12))</f>
        <v>2.7206185664232807</v>
      </c>
      <c r="T48" s="97">
        <f>IF(T7=0,0,(T7+T12)/(TrRoad_ene!T7+TrRoad_ene!T12))</f>
        <v>2.712159426684154</v>
      </c>
      <c r="U48" s="97">
        <f>IF(U7=0,0,(U7+U12)/(TrRoad_ene!U7+TrRoad_ene!U12))</f>
        <v>2.7089522026066923</v>
      </c>
      <c r="V48" s="97">
        <f>IF(V7=0,0,(V7+V12)/(TrRoad_ene!V7+TrRoad_ene!V12))</f>
        <v>2.6721996296173156</v>
      </c>
      <c r="W48" s="97">
        <f>IF(W7=0,0,(W7+W12)/(TrRoad_ene!W7+TrRoad_ene!W12))</f>
        <v>2.6675464810678484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3.1024187999999997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3.1024188000000001</v>
      </c>
      <c r="G49" s="97">
        <f>IF(G8=0,0,(G8+G13+G14)/(TrRoad_ene!G8+TrRoad_ene!G13+TrRoad_ene!G14))</f>
        <v>3.1024188000000006</v>
      </c>
      <c r="H49" s="97">
        <f>IF(H8=0,0,(H8+H13+H14)/(TrRoad_ene!H8+TrRoad_ene!H13+TrRoad_ene!H14))</f>
        <v>3.1024188000000001</v>
      </c>
      <c r="I49" s="97">
        <f>IF(I8=0,0,(I8+I13+I14)/(TrRoad_ene!I8+TrRoad_ene!I13+TrRoad_ene!I14))</f>
        <v>3.1024188000000001</v>
      </c>
      <c r="J49" s="97">
        <f>IF(J8=0,0,(J8+J13+J14)/(TrRoad_ene!J8+TrRoad_ene!J13+TrRoad_ene!J14))</f>
        <v>3.1024188000000001</v>
      </c>
      <c r="K49" s="97">
        <f>IF(K8=0,0,(K8+K13+K14)/(TrRoad_ene!K8+TrRoad_ene!K13+TrRoad_ene!K14))</f>
        <v>3.0527769786804995</v>
      </c>
      <c r="L49" s="97">
        <f>IF(L8=0,0,(L8+L13+L14)/(TrRoad_ene!L8+TrRoad_ene!L13+TrRoad_ene!L14))</f>
        <v>2.9694066162110104</v>
      </c>
      <c r="M49" s="97">
        <f>IF(M8=0,0,(M8+M13+M14)/(TrRoad_ene!M8+TrRoad_ene!M13+TrRoad_ene!M14))</f>
        <v>2.972666512943559</v>
      </c>
      <c r="N49" s="97">
        <f>IF(N8=0,0,(N8+N13+N14)/(TrRoad_ene!N8+TrRoad_ene!N13+TrRoad_ene!N14))</f>
        <v>2.9686444619877244</v>
      </c>
      <c r="O49" s="97">
        <f>IF(O8=0,0,(O8+O13+O14)/(TrRoad_ene!O8+TrRoad_ene!O13+TrRoad_ene!O14))</f>
        <v>2.9667903249018512</v>
      </c>
      <c r="P49" s="97">
        <f>IF(P8=0,0,(P8+P13+P14)/(TrRoad_ene!P8+TrRoad_ene!P13+TrRoad_ene!P14))</f>
        <v>2.9304226627622305</v>
      </c>
      <c r="Q49" s="97">
        <f>IF(Q8=0,0,(Q8+Q13+Q14)/(TrRoad_ene!Q8+TrRoad_ene!Q13+TrRoad_ene!Q14))</f>
        <v>3.0065355737755253</v>
      </c>
      <c r="R49" s="97">
        <f>IF(R8=0,0,(R8+R13+R14)/(TrRoad_ene!R8+TrRoad_ene!R13+TrRoad_ene!R14))</f>
        <v>2.929040790566003</v>
      </c>
      <c r="S49" s="97">
        <f>IF(S8=0,0,(S8+S13+S14)/(TrRoad_ene!S8+TrRoad_ene!S13+TrRoad_ene!S14))</f>
        <v>2.93116390992799</v>
      </c>
      <c r="T49" s="97">
        <f>IF(T8=0,0,(T8+T13+T14)/(TrRoad_ene!T8+TrRoad_ene!T13+TrRoad_ene!T14))</f>
        <v>2.9349184806082684</v>
      </c>
      <c r="U49" s="97">
        <f>IF(U8=0,0,(U8+U13+U14)/(TrRoad_ene!U8+TrRoad_ene!U13+TrRoad_ene!U14))</f>
        <v>2.9317273103945989</v>
      </c>
      <c r="V49" s="97">
        <f>IF(V8=0,0,(V8+V13+V14)/(TrRoad_ene!V8+TrRoad_ene!V13+TrRoad_ene!V14))</f>
        <v>2.7902174351205882</v>
      </c>
      <c r="W49" s="97">
        <f>IF(W8=0,0,(W8+W13+W14)/(TrRoad_ene!W8+TrRoad_ene!W13+TrRoad_ene!W14))</f>
        <v>2.7906498818243972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2.6418708000000009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0</v>
      </c>
      <c r="D51" s="97">
        <f>IF(D9=0,0,(D9+D11)/(TrRoad_ene!D9+TrRoad_ene!D11))</f>
        <v>0</v>
      </c>
      <c r="E51" s="97">
        <f>IF(E9=0,0,(E9+E11)/(TrRoad_ene!E9+TrRoad_ene!E11))</f>
        <v>0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2.3487948000000003</v>
      </c>
      <c r="I51" s="97">
        <f>IF(I9=0,0,(I9+I11)/(TrRoad_ene!I9+TrRoad_ene!I11))</f>
        <v>2.3487948000000003</v>
      </c>
      <c r="J51" s="97">
        <f>IF(J9=0,0,(J9+J11)/(TrRoad_ene!J9+TrRoad_ene!J11))</f>
        <v>2.3487948000000003</v>
      </c>
      <c r="K51" s="97">
        <f>IF(K9=0,0,(K9+K11)/(TrRoad_ene!K9+TrRoad_ene!K11))</f>
        <v>2.3487947999999998</v>
      </c>
      <c r="L51" s="97">
        <f>IF(L9=0,0,(L9+L11)/(TrRoad_ene!L9+TrRoad_ene!L11))</f>
        <v>2.3487948000000003</v>
      </c>
      <c r="M51" s="97">
        <f>IF(M9=0,0,(M9+M11)/(TrRoad_ene!M9+TrRoad_ene!M11))</f>
        <v>2.3487948000000003</v>
      </c>
      <c r="N51" s="97">
        <f>IF(N9=0,0,(N9+N11)/(TrRoad_ene!N9+TrRoad_ene!N11))</f>
        <v>2.3487948000000003</v>
      </c>
      <c r="O51" s="97">
        <f>IF(O9=0,0,(O9+O11)/(TrRoad_ene!O9+TrRoad_ene!O11))</f>
        <v>2.3487948000000003</v>
      </c>
      <c r="P51" s="97">
        <f>IF(P9=0,0,(P9+P11)/(TrRoad_ene!P9+TrRoad_ene!P11))</f>
        <v>2.3487948000000003</v>
      </c>
      <c r="Q51" s="97">
        <f>IF(Q9=0,0,(Q9+Q11)/(TrRoad_ene!Q9+TrRoad_ene!Q11))</f>
        <v>2.3487948000000003</v>
      </c>
      <c r="R51" s="97">
        <f>IF(R9=0,0,(R9+R11)/(TrRoad_ene!R9+TrRoad_ene!R11))</f>
        <v>2.3487948000000003</v>
      </c>
      <c r="S51" s="97">
        <f>IF(S9=0,0,(S9+S11)/(TrRoad_ene!S9+TrRoad_ene!S11))</f>
        <v>2.3487948000000003</v>
      </c>
      <c r="T51" s="97">
        <f>IF(T9=0,0,(T9+T11)/(TrRoad_ene!T9+TrRoad_ene!T11))</f>
        <v>2.3487948000000003</v>
      </c>
      <c r="U51" s="97">
        <f>IF(U9=0,0,(U9+U11)/(TrRoad_ene!U9+TrRoad_ene!U11))</f>
        <v>2.3487948000000003</v>
      </c>
      <c r="V51" s="97">
        <f>IF(V9=0,0,(V9+V11)/(TrRoad_ene!V9+TrRoad_ene!V11))</f>
        <v>2.3487948000000003</v>
      </c>
      <c r="W51" s="97">
        <f>IF(W9=0,0,(W9+W11)/(TrRoad_ene!W9+TrRoad_ene!W11))</f>
        <v>2.3487948000000003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262.02495640909848</v>
      </c>
      <c r="C54" s="62">
        <f>IF(TrRoad_act!C30=0,0,C17/TrRoad_act!C30*1000
)</f>
        <v>260.96726659723515</v>
      </c>
      <c r="D54" s="62">
        <f>IF(TrRoad_act!D30=0,0,D17/TrRoad_act!D30*1000
)</f>
        <v>259.13104239489957</v>
      </c>
      <c r="E54" s="62">
        <f>IF(TrRoad_act!E30=0,0,E17/TrRoad_act!E30*1000
)</f>
        <v>256.56277424151006</v>
      </c>
      <c r="F54" s="62">
        <f>IF(TrRoad_act!F30=0,0,F17/TrRoad_act!F30*1000
)</f>
        <v>261.56122206950369</v>
      </c>
      <c r="G54" s="62">
        <f>IF(TrRoad_act!G30=0,0,G17/TrRoad_act!G30*1000
)</f>
        <v>260.92790650699368</v>
      </c>
      <c r="H54" s="62">
        <f>IF(TrRoad_act!H30=0,0,H17/TrRoad_act!H30*1000
)</f>
        <v>259.52817811022345</v>
      </c>
      <c r="I54" s="62">
        <f>IF(TrRoad_act!I30=0,0,I17/TrRoad_act!I30*1000
)</f>
        <v>256.235025524317</v>
      </c>
      <c r="J54" s="62">
        <f>IF(TrRoad_act!J30=0,0,J17/TrRoad_act!J30*1000
)</f>
        <v>251.94280033587486</v>
      </c>
      <c r="K54" s="62">
        <f>IF(TrRoad_act!K30=0,0,K17/TrRoad_act!K30*1000
)</f>
        <v>244.47826722894931</v>
      </c>
      <c r="L54" s="62">
        <f>IF(TrRoad_act!L30=0,0,L17/TrRoad_act!L30*1000
)</f>
        <v>236.34707385414384</v>
      </c>
      <c r="M54" s="62">
        <f>IF(TrRoad_act!M30=0,0,M17/TrRoad_act!M30*1000
)</f>
        <v>231.61368792486115</v>
      </c>
      <c r="N54" s="62">
        <f>IF(TrRoad_act!N30=0,0,N17/TrRoad_act!N30*1000
)</f>
        <v>227.16533729866509</v>
      </c>
      <c r="O54" s="62">
        <f>IF(TrRoad_act!O30=0,0,O17/TrRoad_act!O30*1000
)</f>
        <v>227.34942818403309</v>
      </c>
      <c r="P54" s="62">
        <f>IF(TrRoad_act!P30=0,0,P17/TrRoad_act!P30*1000
)</f>
        <v>222.27469459929509</v>
      </c>
      <c r="Q54" s="62">
        <f>IF(TrRoad_act!Q30=0,0,Q17/TrRoad_act!Q30*1000
)</f>
        <v>229.24612245886846</v>
      </c>
      <c r="R54" s="62">
        <f>IF(TrRoad_act!R30=0,0,R17/TrRoad_act!R30*1000
)</f>
        <v>230.79253293560217</v>
      </c>
      <c r="S54" s="62">
        <f>IF(TrRoad_act!S30=0,0,S17/TrRoad_act!S30*1000
)</f>
        <v>232.66714154557837</v>
      </c>
      <c r="T54" s="62">
        <f>IF(TrRoad_act!T30=0,0,T17/TrRoad_act!T30*1000
)</f>
        <v>235.72153639913773</v>
      </c>
      <c r="U54" s="62">
        <f>IF(TrRoad_act!U30=0,0,U17/TrRoad_act!U30*1000
)</f>
        <v>233.63971474536694</v>
      </c>
      <c r="V54" s="62">
        <f>IF(TrRoad_act!V30=0,0,V17/TrRoad_act!V30*1000
)</f>
        <v>224.00241963917443</v>
      </c>
      <c r="W54" s="62">
        <f>IF(TrRoad_act!W30=0,0,W17/TrRoad_act!W30*1000
)</f>
        <v>233.01907029521638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217.22096393023673</v>
      </c>
      <c r="C55" s="29">
        <f>IF(TrRoad_act!C31=0,0,C18/TrRoad_act!C31*1000
)</f>
        <v>212.54796626958631</v>
      </c>
      <c r="D55" s="29">
        <f>IF(TrRoad_act!D31=0,0,D18/TrRoad_act!D31*1000
)</f>
        <v>210.20914036217957</v>
      </c>
      <c r="E55" s="29">
        <f>IF(TrRoad_act!E31=0,0,E18/TrRoad_act!E31*1000
)</f>
        <v>208.55263154942347</v>
      </c>
      <c r="F55" s="29">
        <f>IF(TrRoad_act!F31=0,0,F18/TrRoad_act!F31*1000
)</f>
        <v>209.05307815829337</v>
      </c>
      <c r="G55" s="29">
        <f>IF(TrRoad_act!G31=0,0,G18/TrRoad_act!G31*1000
)</f>
        <v>207.48512022467577</v>
      </c>
      <c r="H55" s="29">
        <f>IF(TrRoad_act!H31=0,0,H18/TrRoad_act!H31*1000
)</f>
        <v>205.74372308285285</v>
      </c>
      <c r="I55" s="29">
        <f>IF(TrRoad_act!I31=0,0,I18/TrRoad_act!I31*1000
)</f>
        <v>203.52652285608625</v>
      </c>
      <c r="J55" s="29">
        <f>IF(TrRoad_act!J31=0,0,J18/TrRoad_act!J31*1000
)</f>
        <v>202.49494389713564</v>
      </c>
      <c r="K55" s="29">
        <f>IF(TrRoad_act!K31=0,0,K18/TrRoad_act!K31*1000
)</f>
        <v>198.49680086066579</v>
      </c>
      <c r="L55" s="29">
        <f>IF(TrRoad_act!L31=0,0,L18/TrRoad_act!L31*1000
)</f>
        <v>190.82727123080775</v>
      </c>
      <c r="M55" s="29">
        <f>IF(TrRoad_act!M31=0,0,M18/TrRoad_act!M31*1000
)</f>
        <v>187.0328204081637</v>
      </c>
      <c r="N55" s="29">
        <f>IF(TrRoad_act!N31=0,0,N18/TrRoad_act!N31*1000
)</f>
        <v>183.9790733181475</v>
      </c>
      <c r="O55" s="29">
        <f>IF(TrRoad_act!O31=0,0,O18/TrRoad_act!O31*1000
)</f>
        <v>181.82412086599351</v>
      </c>
      <c r="P55" s="29">
        <f>IF(TrRoad_act!P31=0,0,P18/TrRoad_act!P31*1000
)</f>
        <v>177.82013608515732</v>
      </c>
      <c r="Q55" s="29">
        <f>IF(TrRoad_act!Q31=0,0,Q18/TrRoad_act!Q31*1000
)</f>
        <v>180.03026768929689</v>
      </c>
      <c r="R55" s="29">
        <f>IF(TrRoad_act!R31=0,0,R18/TrRoad_act!R31*1000
)</f>
        <v>176.04067751834589</v>
      </c>
      <c r="S55" s="29">
        <f>IF(TrRoad_act!S31=0,0,S18/TrRoad_act!S31*1000
)</f>
        <v>172.95865586451265</v>
      </c>
      <c r="T55" s="29">
        <f>IF(TrRoad_act!T31=0,0,T18/TrRoad_act!T31*1000
)</f>
        <v>172.52043502432343</v>
      </c>
      <c r="U55" s="29">
        <f>IF(TrRoad_act!U31=0,0,U18/TrRoad_act!U31*1000
)</f>
        <v>170.38604603594348</v>
      </c>
      <c r="V55" s="29">
        <f>IF(TrRoad_act!V31=0,0,V18/TrRoad_act!V31*1000
)</f>
        <v>160.41693884216434</v>
      </c>
      <c r="W55" s="29">
        <f>IF(TrRoad_act!W31=0,0,W18/TrRoad_act!W31*1000
)</f>
        <v>163.88428061809356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126.52340675549398</v>
      </c>
      <c r="C56" s="152">
        <f>IF(TrRoad_act!C32=0,0,C19/TrRoad_act!C32*1000
)</f>
        <v>125.19954310104909</v>
      </c>
      <c r="D56" s="152">
        <f>IF(TrRoad_act!D32=0,0,D19/TrRoad_act!D32*1000
)</f>
        <v>123.98273574535791</v>
      </c>
      <c r="E56" s="152">
        <f>IF(TrRoad_act!E32=0,0,E19/TrRoad_act!E32*1000
)</f>
        <v>122.77034053895547</v>
      </c>
      <c r="F56" s="152">
        <f>IF(TrRoad_act!F32=0,0,F19/TrRoad_act!F32*1000
)</f>
        <v>121.1846939620862</v>
      </c>
      <c r="G56" s="152">
        <f>IF(TrRoad_act!G32=0,0,G19/TrRoad_act!G32*1000
)</f>
        <v>119.11990624907766</v>
      </c>
      <c r="H56" s="152">
        <f>IF(TrRoad_act!H32=0,0,H19/TrRoad_act!H32*1000
)</f>
        <v>118.46922337940912</v>
      </c>
      <c r="I56" s="152">
        <f>IF(TrRoad_act!I32=0,0,I19/TrRoad_act!I32*1000
)</f>
        <v>117.13311481106375</v>
      </c>
      <c r="J56" s="152">
        <f>IF(TrRoad_act!J32=0,0,J19/TrRoad_act!J32*1000
)</f>
        <v>115.92727349155079</v>
      </c>
      <c r="K56" s="152">
        <f>IF(TrRoad_act!K32=0,0,K19/TrRoad_act!K32*1000
)</f>
        <v>112.89022481394194</v>
      </c>
      <c r="L56" s="152">
        <f>IF(TrRoad_act!L32=0,0,L19/TrRoad_act!L32*1000
)</f>
        <v>108.76639930505526</v>
      </c>
      <c r="M56" s="152">
        <f>IF(TrRoad_act!M32=0,0,M19/TrRoad_act!M32*1000
)</f>
        <v>107.04377024113782</v>
      </c>
      <c r="N56" s="152">
        <f>IF(TrRoad_act!N32=0,0,N19/TrRoad_act!N32*1000
)</f>
        <v>105.68882773273475</v>
      </c>
      <c r="O56" s="152">
        <f>IF(TrRoad_act!O32=0,0,O19/TrRoad_act!O32*1000
)</f>
        <v>105.10785396153089</v>
      </c>
      <c r="P56" s="152">
        <f>IF(TrRoad_act!P32=0,0,P19/TrRoad_act!P32*1000
)</f>
        <v>105.41960397324476</v>
      </c>
      <c r="Q56" s="152">
        <f>IF(TrRoad_act!Q32=0,0,Q19/TrRoad_act!Q32*1000
)</f>
        <v>104.8474758633792</v>
      </c>
      <c r="R56" s="152">
        <f>IF(TrRoad_act!R32=0,0,R19/TrRoad_act!R32*1000
)</f>
        <v>99.255077106240208</v>
      </c>
      <c r="S56" s="152">
        <f>IF(TrRoad_act!S32=0,0,S19/TrRoad_act!S32*1000
)</f>
        <v>97.951483918468369</v>
      </c>
      <c r="T56" s="152">
        <f>IF(TrRoad_act!T32=0,0,T19/TrRoad_act!T32*1000
)</f>
        <v>95.799041421567281</v>
      </c>
      <c r="U56" s="152">
        <f>IF(TrRoad_act!U32=0,0,U19/TrRoad_act!U32*1000
)</f>
        <v>95.138555992619999</v>
      </c>
      <c r="V56" s="152">
        <f>IF(TrRoad_act!V32=0,0,V19/TrRoad_act!V32*1000
)</f>
        <v>89.957271226518202</v>
      </c>
      <c r="W56" s="152">
        <f>IF(TrRoad_act!W32=0,0,W19/TrRoad_act!W32*1000
)</f>
        <v>85.02974953279049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204.78739941509676</v>
      </c>
      <c r="C57" s="116">
        <f>IF(TrRoad_act!C33=0,0,C20/TrRoad_act!C33*1000
)</f>
        <v>200.67061886086535</v>
      </c>
      <c r="D57" s="116">
        <f>IF(TrRoad_act!D33=0,0,D20/TrRoad_act!D33*1000
)</f>
        <v>198.50575340236296</v>
      </c>
      <c r="E57" s="116">
        <f>IF(TrRoad_act!E33=0,0,E20/TrRoad_act!E33*1000
)</f>
        <v>196.97925490351486</v>
      </c>
      <c r="F57" s="116">
        <f>IF(TrRoad_act!F33=0,0,F20/TrRoad_act!F33*1000
)</f>
        <v>197.62182097917307</v>
      </c>
      <c r="G57" s="116">
        <f>IF(TrRoad_act!G33=0,0,G20/TrRoad_act!G33*1000
)</f>
        <v>195.89073252568235</v>
      </c>
      <c r="H57" s="116">
        <f>IF(TrRoad_act!H33=0,0,H20/TrRoad_act!H33*1000
)</f>
        <v>194.81872021869313</v>
      </c>
      <c r="I57" s="116">
        <f>IF(TrRoad_act!I33=0,0,I20/TrRoad_act!I33*1000
)</f>
        <v>193.26292288710616</v>
      </c>
      <c r="J57" s="116">
        <f>IF(TrRoad_act!J33=0,0,J20/TrRoad_act!J33*1000
)</f>
        <v>192.24229535160492</v>
      </c>
      <c r="K57" s="116">
        <f>IF(TrRoad_act!K33=0,0,K20/TrRoad_act!K33*1000
)</f>
        <v>188.65887443521868</v>
      </c>
      <c r="L57" s="116">
        <f>IF(TrRoad_act!L33=0,0,L20/TrRoad_act!L33*1000
)</f>
        <v>181.20562487483477</v>
      </c>
      <c r="M57" s="116">
        <f>IF(TrRoad_act!M33=0,0,M20/TrRoad_act!M33*1000
)</f>
        <v>177.79848093383325</v>
      </c>
      <c r="N57" s="116">
        <f>IF(TrRoad_act!N33=0,0,N20/TrRoad_act!N33*1000
)</f>
        <v>174.89375636132442</v>
      </c>
      <c r="O57" s="116">
        <f>IF(TrRoad_act!O33=0,0,O20/TrRoad_act!O33*1000
)</f>
        <v>172.75586645189793</v>
      </c>
      <c r="P57" s="116">
        <f>IF(TrRoad_act!P33=0,0,P20/TrRoad_act!P33*1000
)</f>
        <v>168.97673260312092</v>
      </c>
      <c r="Q57" s="116">
        <f>IF(TrRoad_act!Q33=0,0,Q20/TrRoad_act!Q33*1000
)</f>
        <v>170.81006950042845</v>
      </c>
      <c r="R57" s="116">
        <f>IF(TrRoad_act!R33=0,0,R20/TrRoad_act!R33*1000
)</f>
        <v>167.29891644775981</v>
      </c>
      <c r="S57" s="116">
        <f>IF(TrRoad_act!S33=0,0,S20/TrRoad_act!S33*1000
)</f>
        <v>163.50838395019946</v>
      </c>
      <c r="T57" s="116">
        <f>IF(TrRoad_act!T33=0,0,T20/TrRoad_act!T33*1000
)</f>
        <v>162.36749344434301</v>
      </c>
      <c r="U57" s="116">
        <f>IF(TrRoad_act!U33=0,0,U20/TrRoad_act!U33*1000
)</f>
        <v>160.03393962150844</v>
      </c>
      <c r="V57" s="116">
        <f>IF(TrRoad_act!V33=0,0,V20/TrRoad_act!V33*1000
)</f>
        <v>148.92181006954192</v>
      </c>
      <c r="W57" s="116">
        <f>IF(TrRoad_act!W33=0,0,W20/TrRoad_act!W33*1000
)</f>
        <v>152.48864825990458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190.48893296262048</v>
      </c>
      <c r="C58" s="87">
        <f>IF(TrRoad_act!C34=0,0,C21/TrRoad_act!C34*1000
)</f>
        <v>189.16888337109305</v>
      </c>
      <c r="D58" s="87">
        <f>IF(TrRoad_act!D34=0,0,D21/TrRoad_act!D34*1000
)</f>
        <v>188.57803517399378</v>
      </c>
      <c r="E58" s="87">
        <f>IF(TrRoad_act!E34=0,0,E21/TrRoad_act!E34*1000
)</f>
        <v>188.54682356792378</v>
      </c>
      <c r="F58" s="87">
        <f>IF(TrRoad_act!F34=0,0,F21/TrRoad_act!F34*1000
)</f>
        <v>191.39897588149793</v>
      </c>
      <c r="G58" s="87">
        <f>IF(TrRoad_act!G34=0,0,G21/TrRoad_act!G34*1000
)</f>
        <v>190.67959455404457</v>
      </c>
      <c r="H58" s="87">
        <f>IF(TrRoad_act!H34=0,0,H21/TrRoad_act!H34*1000
)</f>
        <v>189.8564065521949</v>
      </c>
      <c r="I58" s="87">
        <f>IF(TrRoad_act!I34=0,0,I21/TrRoad_act!I34*1000
)</f>
        <v>189.4343234036422</v>
      </c>
      <c r="J58" s="87">
        <f>IF(TrRoad_act!J34=0,0,J21/TrRoad_act!J34*1000
)</f>
        <v>188.51669499327772</v>
      </c>
      <c r="K58" s="87">
        <f>IF(TrRoad_act!K34=0,0,K21/TrRoad_act!K34*1000
)</f>
        <v>186.55549722085925</v>
      </c>
      <c r="L58" s="87">
        <f>IF(TrRoad_act!L34=0,0,L21/TrRoad_act!L34*1000
)</f>
        <v>179.32407402343793</v>
      </c>
      <c r="M58" s="87">
        <f>IF(TrRoad_act!M34=0,0,M21/TrRoad_act!M34*1000
)</f>
        <v>175.69695746886418</v>
      </c>
      <c r="N58" s="87">
        <f>IF(TrRoad_act!N34=0,0,N21/TrRoad_act!N34*1000
)</f>
        <v>174.13777749246623</v>
      </c>
      <c r="O58" s="87">
        <f>IF(TrRoad_act!O34=0,0,O21/TrRoad_act!O34*1000
)</f>
        <v>171.87296201990765</v>
      </c>
      <c r="P58" s="87">
        <f>IF(TrRoad_act!P34=0,0,P21/TrRoad_act!P34*1000
)</f>
        <v>172.04226986642422</v>
      </c>
      <c r="Q58" s="87">
        <f>IF(TrRoad_act!Q34=0,0,Q21/TrRoad_act!Q34*1000
)</f>
        <v>170.01692358254087</v>
      </c>
      <c r="R58" s="87">
        <f>IF(TrRoad_act!R34=0,0,R21/TrRoad_act!R34*1000
)</f>
        <v>171.53776493316161</v>
      </c>
      <c r="S58" s="87">
        <f>IF(TrRoad_act!S34=0,0,S21/TrRoad_act!S34*1000
)</f>
        <v>161.77829475643432</v>
      </c>
      <c r="T58" s="87">
        <f>IF(TrRoad_act!T34=0,0,T21/TrRoad_act!T34*1000
)</f>
        <v>158.29169196289459</v>
      </c>
      <c r="U58" s="87">
        <f>IF(TrRoad_act!U34=0,0,U21/TrRoad_act!U34*1000
)</f>
        <v>156.7658161011357</v>
      </c>
      <c r="V58" s="87">
        <f>IF(TrRoad_act!V34=0,0,V21/TrRoad_act!V34*1000
)</f>
        <v>148.04180189212272</v>
      </c>
      <c r="W58" s="87">
        <f>IF(TrRoad_act!W34=0,0,W21/TrRoad_act!W34*1000
)</f>
        <v>155.06186313331403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216.59149913739512</v>
      </c>
      <c r="C59" s="87">
        <f>IF(TrRoad_act!C35=0,0,C22/TrRoad_act!C35*1000
)</f>
        <v>209.2032364138434</v>
      </c>
      <c r="D59" s="87">
        <f>IF(TrRoad_act!D35=0,0,D22/TrRoad_act!D35*1000
)</f>
        <v>205.95569804551735</v>
      </c>
      <c r="E59" s="87">
        <f>IF(TrRoad_act!E35=0,0,E22/TrRoad_act!E35*1000
)</f>
        <v>203.2676326298992</v>
      </c>
      <c r="F59" s="87">
        <f>IF(TrRoad_act!F35=0,0,F22/TrRoad_act!F35*1000
)</f>
        <v>201.71828249080144</v>
      </c>
      <c r="G59" s="87">
        <f>IF(TrRoad_act!G35=0,0,G22/TrRoad_act!G35*1000
)</f>
        <v>198.98850272766126</v>
      </c>
      <c r="H59" s="87">
        <f>IF(TrRoad_act!H35=0,0,H22/TrRoad_act!H35*1000
)</f>
        <v>197.23504634045503</v>
      </c>
      <c r="I59" s="87">
        <f>IF(TrRoad_act!I35=0,0,I22/TrRoad_act!I35*1000
)</f>
        <v>195.02587667520825</v>
      </c>
      <c r="J59" s="87">
        <f>IF(TrRoad_act!J35=0,0,J22/TrRoad_act!J35*1000
)</f>
        <v>193.67485831871014</v>
      </c>
      <c r="K59" s="87">
        <f>IF(TrRoad_act!K35=0,0,K22/TrRoad_act!K35*1000
)</f>
        <v>189.40760956649362</v>
      </c>
      <c r="L59" s="87">
        <f>IF(TrRoad_act!L35=0,0,L22/TrRoad_act!L35*1000
)</f>
        <v>181.7155441394182</v>
      </c>
      <c r="M59" s="87">
        <f>IF(TrRoad_act!M35=0,0,M22/TrRoad_act!M35*1000
)</f>
        <v>178.36557503389918</v>
      </c>
      <c r="N59" s="87">
        <f>IF(TrRoad_act!N35=0,0,N22/TrRoad_act!N35*1000
)</f>
        <v>175.17582834459827</v>
      </c>
      <c r="O59" s="87">
        <f>IF(TrRoad_act!O35=0,0,O22/TrRoad_act!O35*1000
)</f>
        <v>173.05102448337382</v>
      </c>
      <c r="P59" s="87">
        <f>IF(TrRoad_act!P35=0,0,P22/TrRoad_act!P35*1000
)</f>
        <v>168.20496859586484</v>
      </c>
      <c r="Q59" s="87">
        <f>IF(TrRoad_act!Q35=0,0,Q22/TrRoad_act!Q35*1000
)</f>
        <v>171.05967449509237</v>
      </c>
      <c r="R59" s="87">
        <f>IF(TrRoad_act!R35=0,0,R22/TrRoad_act!R35*1000
)</f>
        <v>165.74260157680266</v>
      </c>
      <c r="S59" s="87">
        <f>IF(TrRoad_act!S35=0,0,S22/TrRoad_act!S35*1000
)</f>
        <v>164.45712164685295</v>
      </c>
      <c r="T59" s="87">
        <f>IF(TrRoad_act!T35=0,0,T22/TrRoad_act!T35*1000
)</f>
        <v>165.03186433094319</v>
      </c>
      <c r="U59" s="87">
        <f>IF(TrRoad_act!U35=0,0,U22/TrRoad_act!U35*1000
)</f>
        <v>163.02280102208093</v>
      </c>
      <c r="V59" s="87">
        <f>IF(TrRoad_act!V35=0,0,V22/TrRoad_act!V35*1000
)</f>
        <v>151.07040112088805</v>
      </c>
      <c r="W59" s="87">
        <f>IF(TrRoad_act!W35=0,0,W22/TrRoad_act!W35*1000
)</f>
        <v>154.3637034905239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180.74300981545204</v>
      </c>
      <c r="C60" s="87">
        <f>IF(TrRoad_act!C36=0,0,C23/TrRoad_act!C36*1000
)</f>
        <v>188.33902585385124</v>
      </c>
      <c r="D60" s="87">
        <f>IF(TrRoad_act!D36=0,0,D23/TrRoad_act!D36*1000
)</f>
        <v>154.28922799292084</v>
      </c>
      <c r="E60" s="87">
        <f>IF(TrRoad_act!E36=0,0,E23/TrRoad_act!E36*1000
)</f>
        <v>144.68178079171662</v>
      </c>
      <c r="F60" s="87">
        <f>IF(TrRoad_act!F36=0,0,F23/TrRoad_act!F36*1000
)</f>
        <v>144.93267882735287</v>
      </c>
      <c r="G60" s="87">
        <f>IF(TrRoad_act!G36=0,0,G23/TrRoad_act!G36*1000
)</f>
        <v>158.70751405497597</v>
      </c>
      <c r="H60" s="87">
        <f>IF(TrRoad_act!H36=0,0,H23/TrRoad_act!H36*1000
)</f>
        <v>168.99415524893732</v>
      </c>
      <c r="I60" s="87">
        <f>IF(TrRoad_act!I36=0,0,I23/TrRoad_act!I36*1000
)</f>
        <v>157.19494946397614</v>
      </c>
      <c r="J60" s="87">
        <f>IF(TrRoad_act!J36=0,0,J23/TrRoad_act!J36*1000
)</f>
        <v>163.00430278781818</v>
      </c>
      <c r="K60" s="87">
        <f>IF(TrRoad_act!K36=0,0,K23/TrRoad_act!K36*1000
)</f>
        <v>173.10919027289569</v>
      </c>
      <c r="L60" s="87">
        <f>IF(TrRoad_act!L36=0,0,L23/TrRoad_act!L36*1000
)</f>
        <v>182.32332978069388</v>
      </c>
      <c r="M60" s="87">
        <f>IF(TrRoad_act!M36=0,0,M23/TrRoad_act!M36*1000
)</f>
        <v>177.38578468812852</v>
      </c>
      <c r="N60" s="87">
        <f>IF(TrRoad_act!N36=0,0,N23/TrRoad_act!N36*1000
)</f>
        <v>168.5120847492197</v>
      </c>
      <c r="O60" s="87">
        <f>IF(TrRoad_act!O36=0,0,O23/TrRoad_act!O36*1000
)</f>
        <v>171.69310332035428</v>
      </c>
      <c r="P60" s="87">
        <f>IF(TrRoad_act!P36=0,0,P23/TrRoad_act!P36*1000
)</f>
        <v>170.90716309602598</v>
      </c>
      <c r="Q60" s="87">
        <f>IF(TrRoad_act!Q36=0,0,Q23/TrRoad_act!Q36*1000
)</f>
        <v>187.97756772530229</v>
      </c>
      <c r="R60" s="87">
        <f>IF(TrRoad_act!R36=0,0,R23/TrRoad_act!R36*1000
)</f>
        <v>216.56503902492523</v>
      </c>
      <c r="S60" s="87">
        <f>IF(TrRoad_act!S36=0,0,S23/TrRoad_act!S36*1000
)</f>
        <v>200.90586037352944</v>
      </c>
      <c r="T60" s="87">
        <f>IF(TrRoad_act!T36=0,0,T23/TrRoad_act!T36*1000
)</f>
        <v>194.5875214038023</v>
      </c>
      <c r="U60" s="87">
        <f>IF(TrRoad_act!U36=0,0,U23/TrRoad_act!U36*1000
)</f>
        <v>200.16771596857836</v>
      </c>
      <c r="V60" s="87">
        <f>IF(TrRoad_act!V36=0,0,V23/TrRoad_act!V36*1000
)</f>
        <v>192.82984957192664</v>
      </c>
      <c r="W60" s="87">
        <f>IF(TrRoad_act!W36=0,0,W23/TrRoad_act!W36*1000
)</f>
        <v>191.53329056048398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157.92120423533095</v>
      </c>
      <c r="G61" s="87">
        <f>IF(TrRoad_act!G37=0,0,G24/TrRoad_act!G37*1000
)</f>
        <v>154.71896600474864</v>
      </c>
      <c r="H61" s="87">
        <f>IF(TrRoad_act!H37=0,0,H24/TrRoad_act!H37*1000
)</f>
        <v>144.28512066245332</v>
      </c>
      <c r="I61" s="87">
        <f>IF(TrRoad_act!I37=0,0,I24/TrRoad_act!I37*1000
)</f>
        <v>144.13372707063692</v>
      </c>
      <c r="J61" s="87">
        <f>IF(TrRoad_act!J37=0,0,J24/TrRoad_act!J37*1000
)</f>
        <v>93.69073167199285</v>
      </c>
      <c r="K61" s="87">
        <f>IF(TrRoad_act!K37=0,0,K24/TrRoad_act!K37*1000
)</f>
        <v>70.426313044511005</v>
      </c>
      <c r="L61" s="87">
        <f>IF(TrRoad_act!L37=0,0,L24/TrRoad_act!L37*1000
)</f>
        <v>59.134653266257594</v>
      </c>
      <c r="M61" s="87">
        <f>IF(TrRoad_act!M37=0,0,M24/TrRoad_act!M37*1000
)</f>
        <v>68.636045264612989</v>
      </c>
      <c r="N61" s="87">
        <f>IF(TrRoad_act!N37=0,0,N24/TrRoad_act!N37*1000
)</f>
        <v>144.88024085026353</v>
      </c>
      <c r="O61" s="87">
        <f>IF(TrRoad_act!O37=0,0,O24/TrRoad_act!O37*1000
)</f>
        <v>209.78195234541963</v>
      </c>
      <c r="P61" s="87">
        <f>IF(TrRoad_act!P37=0,0,P24/TrRoad_act!P37*1000
)</f>
        <v>139.39836973062634</v>
      </c>
      <c r="Q61" s="87">
        <f>IF(TrRoad_act!Q37=0,0,Q24/TrRoad_act!Q37*1000
)</f>
        <v>170.06383653960373</v>
      </c>
      <c r="R61" s="87">
        <f>IF(TrRoad_act!R37=0,0,R24/TrRoad_act!R37*1000
)</f>
        <v>159.17033112393449</v>
      </c>
      <c r="S61" s="87">
        <f>IF(TrRoad_act!S37=0,0,S24/TrRoad_act!S37*1000
)</f>
        <v>159.32302002118422</v>
      </c>
      <c r="T61" s="87">
        <f>IF(TrRoad_act!T37=0,0,T24/TrRoad_act!T37*1000
)</f>
        <v>160.19645287909313</v>
      </c>
      <c r="U61" s="87">
        <f>IF(TrRoad_act!U37=0,0,U24/TrRoad_act!U37*1000
)</f>
        <v>201.59997967693408</v>
      </c>
      <c r="V61" s="87">
        <f>IF(TrRoad_act!V37=0,0,V24/TrRoad_act!V37*1000
)</f>
        <v>277.67012561657799</v>
      </c>
      <c r="W61" s="87">
        <f>IF(TrRoad_act!W37=0,0,W24/TrRoad_act!W37*1000
)</f>
        <v>393.80681772651292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67.159149806616782</v>
      </c>
      <c r="N62" s="87">
        <f>IF(TrRoad_act!N38=0,0,N25/TrRoad_act!N38*1000
)</f>
        <v>42.249763606066395</v>
      </c>
      <c r="O62" s="87">
        <f>IF(TrRoad_act!O38=0,0,O25/TrRoad_act!O38*1000
)</f>
        <v>47.630862319969687</v>
      </c>
      <c r="P62" s="87">
        <f>IF(TrRoad_act!P38=0,0,P25/TrRoad_act!P38*1000
)</f>
        <v>54.519507777842506</v>
      </c>
      <c r="Q62" s="87">
        <f>IF(TrRoad_act!Q38=0,0,Q25/TrRoad_act!Q38*1000
)</f>
        <v>65.094367678077248</v>
      </c>
      <c r="R62" s="87">
        <f>IF(TrRoad_act!R38=0,0,R25/TrRoad_act!R38*1000
)</f>
        <v>71.587580538263339</v>
      </c>
      <c r="S62" s="87">
        <f>IF(TrRoad_act!S38=0,0,S25/TrRoad_act!S38*1000
)</f>
        <v>68.812755514005502</v>
      </c>
      <c r="T62" s="87">
        <f>IF(TrRoad_act!T38=0,0,T25/TrRoad_act!T38*1000
)</f>
        <v>67.589424782037796</v>
      </c>
      <c r="U62" s="87">
        <f>IF(TrRoad_act!U38=0,0,U25/TrRoad_act!U38*1000
)</f>
        <v>63.506501395282704</v>
      </c>
      <c r="V62" s="87">
        <f>IF(TrRoad_act!V38=0,0,V25/TrRoad_act!V38*1000
)</f>
        <v>53.075047665794941</v>
      </c>
      <c r="W62" s="87">
        <f>IF(TrRoad_act!W38=0,0,W25/TrRoad_act!W38*1000
)</f>
        <v>52.9915858034256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1837.8773457749719</v>
      </c>
      <c r="C64" s="116">
        <f>IF(TrRoad_act!C40=0,0,C27/TrRoad_act!C40*1000
)</f>
        <v>1802.3774736185185</v>
      </c>
      <c r="D64" s="116">
        <f>IF(TrRoad_act!D40=0,0,D27/TrRoad_act!D40*1000
)</f>
        <v>1764.896405192726</v>
      </c>
      <c r="E64" s="116">
        <f>IF(TrRoad_act!E40=0,0,E27/TrRoad_act!E40*1000
)</f>
        <v>1761.0399762057434</v>
      </c>
      <c r="F64" s="116">
        <f>IF(TrRoad_act!F40=0,0,F27/TrRoad_act!F40*1000
)</f>
        <v>1759.9480524911398</v>
      </c>
      <c r="G64" s="116">
        <f>IF(TrRoad_act!G40=0,0,G27/TrRoad_act!G40*1000
)</f>
        <v>1742.2051505606071</v>
      </c>
      <c r="H64" s="116">
        <f>IF(TrRoad_act!H40=0,0,H27/TrRoad_act!H40*1000
)</f>
        <v>1734.4807711303781</v>
      </c>
      <c r="I64" s="116">
        <f>IF(TrRoad_act!I40=0,0,I27/TrRoad_act!I40*1000
)</f>
        <v>1720.593117448306</v>
      </c>
      <c r="J64" s="116">
        <f>IF(TrRoad_act!J40=0,0,J27/TrRoad_act!J40*1000
)</f>
        <v>1721.6536182113564</v>
      </c>
      <c r="K64" s="116">
        <f>IF(TrRoad_act!K40=0,0,K27/TrRoad_act!K40*1000
)</f>
        <v>1681.6106602338855</v>
      </c>
      <c r="L64" s="116">
        <f>IF(TrRoad_act!L40=0,0,L27/TrRoad_act!L40*1000
)</f>
        <v>1632.7043301829551</v>
      </c>
      <c r="M64" s="116">
        <f>IF(TrRoad_act!M40=0,0,M27/TrRoad_act!M40*1000
)</f>
        <v>1616.0118270253722</v>
      </c>
      <c r="N64" s="116">
        <f>IF(TrRoad_act!N40=0,0,N27/TrRoad_act!N40*1000
)</f>
        <v>1596.6082764049988</v>
      </c>
      <c r="O64" s="116">
        <f>IF(TrRoad_act!O40=0,0,O27/TrRoad_act!O40*1000
)</f>
        <v>1597.9400851482208</v>
      </c>
      <c r="P64" s="116">
        <f>IF(TrRoad_act!P40=0,0,P27/TrRoad_act!P40*1000
)</f>
        <v>1577.8330850428422</v>
      </c>
      <c r="Q64" s="116">
        <f>IF(TrRoad_act!Q40=0,0,Q27/TrRoad_act!Q40*1000
)</f>
        <v>1646.9975119988087</v>
      </c>
      <c r="R64" s="116">
        <f>IF(TrRoad_act!R40=0,0,R27/TrRoad_act!R40*1000
)</f>
        <v>1666.3499406526701</v>
      </c>
      <c r="S64" s="116">
        <f>IF(TrRoad_act!S40=0,0,S27/TrRoad_act!S40*1000
)</f>
        <v>1713.8958811090038</v>
      </c>
      <c r="T64" s="116">
        <f>IF(TrRoad_act!T40=0,0,T27/TrRoad_act!T40*1000
)</f>
        <v>1781.4533853998719</v>
      </c>
      <c r="U64" s="116">
        <f>IF(TrRoad_act!U40=0,0,U27/TrRoad_act!U40*1000
)</f>
        <v>1783.7659959413022</v>
      </c>
      <c r="V64" s="116">
        <f>IF(TrRoad_act!V40=0,0,V27/TrRoad_act!V40*1000
)</f>
        <v>1685.1770729629911</v>
      </c>
      <c r="W64" s="116">
        <f>IF(TrRoad_act!W40=0,0,W27/TrRoad_act!W40*1000
)</f>
        <v>1769.1696891371801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539.78268907493782</v>
      </c>
      <c r="C65" s="101">
        <f>IF(TrRoad_act!C41=0,0,C28/TrRoad_act!C41*1000
)</f>
        <v>539.78268907493782</v>
      </c>
      <c r="D65" s="101">
        <f>IF(TrRoad_act!D41=0,0,D28/TrRoad_act!D41*1000
)</f>
        <v>539.78268907493793</v>
      </c>
      <c r="E65" s="101">
        <f>IF(TrRoad_act!E41=0,0,E28/TrRoad_act!E41*1000
)</f>
        <v>539.78268907493782</v>
      </c>
      <c r="F65" s="101">
        <f>IF(TrRoad_act!F41=0,0,F28/TrRoad_act!F41*1000
)</f>
        <v>539.78268907493793</v>
      </c>
      <c r="G65" s="101">
        <f>IF(TrRoad_act!G41=0,0,G28/TrRoad_act!G41*1000
)</f>
        <v>539.78268907493782</v>
      </c>
      <c r="H65" s="101">
        <f>IF(TrRoad_act!H41=0,0,H28/TrRoad_act!H41*1000
)</f>
        <v>539.78268907493782</v>
      </c>
      <c r="I65" s="101">
        <f>IF(TrRoad_act!I41=0,0,I28/TrRoad_act!I41*1000
)</f>
        <v>539.78268907493782</v>
      </c>
      <c r="J65" s="101">
        <f>IF(TrRoad_act!J41=0,0,J28/TrRoad_act!J41*1000
)</f>
        <v>539.78268907493782</v>
      </c>
      <c r="K65" s="101">
        <f>IF(TrRoad_act!K41=0,0,K28/TrRoad_act!K41*1000
)</f>
        <v>530.72557871936112</v>
      </c>
      <c r="L65" s="101">
        <f>IF(TrRoad_act!L41=0,0,L28/TrRoad_act!L41*1000
)</f>
        <v>511.94061482281728</v>
      </c>
      <c r="M65" s="101">
        <f>IF(TrRoad_act!M41=0,0,M28/TrRoad_act!M41*1000
)</f>
        <v>507.53124057790097</v>
      </c>
      <c r="N65" s="101">
        <f>IF(TrRoad_act!N41=0,0,N28/TrRoad_act!N41*1000
)</f>
        <v>507.55804964487407</v>
      </c>
      <c r="O65" s="101">
        <f>IF(TrRoad_act!O41=0,0,O28/TrRoad_act!O41*1000
)</f>
        <v>507.31752768490924</v>
      </c>
      <c r="P65" s="101">
        <f>IF(TrRoad_act!P41=0,0,P28/TrRoad_act!P41*1000
)</f>
        <v>514.64462978369215</v>
      </c>
      <c r="Q65" s="101">
        <f>IF(TrRoad_act!Q41=0,0,Q28/TrRoad_act!Q41*1000
)</f>
        <v>514.68349031209243</v>
      </c>
      <c r="R65" s="101">
        <f>IF(TrRoad_act!R41=0,0,R28/TrRoad_act!R41*1000
)</f>
        <v>512.08152605313228</v>
      </c>
      <c r="S65" s="101">
        <f>IF(TrRoad_act!S41=0,0,S28/TrRoad_act!S41*1000
)</f>
        <v>494.29633843468065</v>
      </c>
      <c r="T65" s="101">
        <f>IF(TrRoad_act!T41=0,0,T28/TrRoad_act!T41*1000
)</f>
        <v>492.66730366880358</v>
      </c>
      <c r="U65" s="101">
        <f>IF(TrRoad_act!U41=0,0,U28/TrRoad_act!U41*1000
)</f>
        <v>488.70900067971115</v>
      </c>
      <c r="V65" s="101">
        <f>IF(TrRoad_act!V41=0,0,V28/TrRoad_act!V41*1000
)</f>
        <v>481.96262876597405</v>
      </c>
      <c r="W65" s="101">
        <f>IF(TrRoad_act!W41=0,0,W28/TrRoad_act!W41*1000
)</f>
        <v>481.00576426472895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1855.7247976645001</v>
      </c>
      <c r="C66" s="101">
        <f>IF(TrRoad_act!C42=0,0,C29/TrRoad_act!C42*1000
)</f>
        <v>1819.4036937627054</v>
      </c>
      <c r="D66" s="101">
        <f>IF(TrRoad_act!D42=0,0,D29/TrRoad_act!D42*1000
)</f>
        <v>1779.9634654904419</v>
      </c>
      <c r="E66" s="101">
        <f>IF(TrRoad_act!E42=0,0,E29/TrRoad_act!E42*1000
)</f>
        <v>1775.8387632284505</v>
      </c>
      <c r="F66" s="101">
        <f>IF(TrRoad_act!F42=0,0,F29/TrRoad_act!F42*1000
)</f>
        <v>1774.3766186933933</v>
      </c>
      <c r="G66" s="101">
        <f>IF(TrRoad_act!G42=0,0,G29/TrRoad_act!G42*1000
)</f>
        <v>1758.4153106799051</v>
      </c>
      <c r="H66" s="101">
        <f>IF(TrRoad_act!H42=0,0,H29/TrRoad_act!H42*1000
)</f>
        <v>1749.5741130996173</v>
      </c>
      <c r="I66" s="101">
        <f>IF(TrRoad_act!I42=0,0,I29/TrRoad_act!I42*1000
)</f>
        <v>1734.8114095007256</v>
      </c>
      <c r="J66" s="101">
        <f>IF(TrRoad_act!J42=0,0,J29/TrRoad_act!J42*1000
)</f>
        <v>1734.6352234414417</v>
      </c>
      <c r="K66" s="101">
        <f>IF(TrRoad_act!K42=0,0,K29/TrRoad_act!K42*1000
)</f>
        <v>1693.4854413766825</v>
      </c>
      <c r="L66" s="101">
        <f>IF(TrRoad_act!L42=0,0,L29/TrRoad_act!L42*1000
)</f>
        <v>1643.3007339057754</v>
      </c>
      <c r="M66" s="101">
        <f>IF(TrRoad_act!M42=0,0,M29/TrRoad_act!M42*1000
)</f>
        <v>1626.2776085314665</v>
      </c>
      <c r="N66" s="101">
        <f>IF(TrRoad_act!N42=0,0,N29/TrRoad_act!N42*1000
)</f>
        <v>1606.4532625794836</v>
      </c>
      <c r="O66" s="101">
        <f>IF(TrRoad_act!O42=0,0,O29/TrRoad_act!O42*1000
)</f>
        <v>1607.4797493778881</v>
      </c>
      <c r="P66" s="101">
        <f>IF(TrRoad_act!P42=0,0,P29/TrRoad_act!P42*1000
)</f>
        <v>1586.9932097957158</v>
      </c>
      <c r="Q66" s="101">
        <f>IF(TrRoad_act!Q42=0,0,Q29/TrRoad_act!Q42*1000
)</f>
        <v>1656.0812457004852</v>
      </c>
      <c r="R66" s="101">
        <f>IF(TrRoad_act!R42=0,0,R29/TrRoad_act!R42*1000
)</f>
        <v>1675.6373074767178</v>
      </c>
      <c r="S66" s="101">
        <f>IF(TrRoad_act!S42=0,0,S29/TrRoad_act!S42*1000
)</f>
        <v>1723.3520261580993</v>
      </c>
      <c r="T66" s="101">
        <f>IF(TrRoad_act!T42=0,0,T29/TrRoad_act!T42*1000
)</f>
        <v>1792.213201343824</v>
      </c>
      <c r="U66" s="101">
        <f>IF(TrRoad_act!U42=0,0,U29/TrRoad_act!U42*1000
)</f>
        <v>1798.9150466007084</v>
      </c>
      <c r="V66" s="101">
        <f>IF(TrRoad_act!V42=0,0,V29/TrRoad_act!V42*1000
)</f>
        <v>1700.2472851366297</v>
      </c>
      <c r="W66" s="101">
        <f>IF(TrRoad_act!W42=0,0,W29/TrRoad_act!W42*1000
)</f>
        <v>1780.606485319923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0</v>
      </c>
      <c r="G67" s="101">
        <f>IF(TrRoad_act!G43=0,0,G30/TrRoad_act!G43*1000
)</f>
        <v>0</v>
      </c>
      <c r="H67" s="101">
        <f>IF(TrRoad_act!H43=0,0,H30/TrRoad_act!H43*1000
)</f>
        <v>0</v>
      </c>
      <c r="I67" s="101">
        <f>IF(TrRoad_act!I43=0,0,I30/TrRoad_act!I43*1000
)</f>
        <v>0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0</v>
      </c>
      <c r="S67" s="101">
        <f>IF(TrRoad_act!S43=0,0,S30/TrRoad_act!S43*1000
)</f>
        <v>0</v>
      </c>
      <c r="T67" s="101">
        <f>IF(TrRoad_act!T43=0,0,T30/TrRoad_act!T43*1000
)</f>
        <v>0</v>
      </c>
      <c r="U67" s="101">
        <f>IF(TrRoad_act!U43=0,0,U30/TrRoad_act!U43*1000
)</f>
        <v>0</v>
      </c>
      <c r="V67" s="101">
        <f>IF(TrRoad_act!V43=0,0,V30/TrRoad_act!V43*1000
)</f>
        <v>0</v>
      </c>
      <c r="W67" s="101">
        <f>IF(TrRoad_act!W43=0,0,W30/TrRoad_act!W43*1000
)</f>
        <v>0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0</v>
      </c>
      <c r="G68" s="101">
        <f>IF(TrRoad_act!G44=0,0,G31/TrRoad_act!G44*1000
)</f>
        <v>0</v>
      </c>
      <c r="H68" s="101">
        <f>IF(TrRoad_act!H44=0,0,H31/TrRoad_act!H44*1000
)</f>
        <v>0</v>
      </c>
      <c r="I68" s="101">
        <f>IF(TrRoad_act!I44=0,0,I31/TrRoad_act!I44*1000
)</f>
        <v>0</v>
      </c>
      <c r="J68" s="101">
        <f>IF(TrRoad_act!J44=0,0,J31/TrRoad_act!J44*1000
)</f>
        <v>0</v>
      </c>
      <c r="K68" s="101">
        <f>IF(TrRoad_act!K44=0,0,K31/TrRoad_act!K44*1000
)</f>
        <v>0</v>
      </c>
      <c r="L68" s="101">
        <f>IF(TrRoad_act!L44=0,0,L31/TrRoad_act!L44*1000
)</f>
        <v>0</v>
      </c>
      <c r="M68" s="101">
        <f>IF(TrRoad_act!M44=0,0,M31/TrRoad_act!M44*1000
)</f>
        <v>0</v>
      </c>
      <c r="N68" s="101">
        <f>IF(TrRoad_act!N44=0,0,N31/TrRoad_act!N44*1000
)</f>
        <v>0</v>
      </c>
      <c r="O68" s="101">
        <f>IF(TrRoad_act!O44=0,0,O31/TrRoad_act!O44*1000
)</f>
        <v>0</v>
      </c>
      <c r="P68" s="101">
        <f>IF(TrRoad_act!P44=0,0,P31/TrRoad_act!P44*1000
)</f>
        <v>0</v>
      </c>
      <c r="Q68" s="101">
        <f>IF(TrRoad_act!Q44=0,0,Q31/TrRoad_act!Q44*1000
)</f>
        <v>0</v>
      </c>
      <c r="R68" s="101">
        <f>IF(TrRoad_act!R44=0,0,R31/TrRoad_act!R44*1000
)</f>
        <v>1087.8020242911712</v>
      </c>
      <c r="S68" s="101">
        <f>IF(TrRoad_act!S44=0,0,S31/TrRoad_act!S44*1000
)</f>
        <v>1100.1264563452091</v>
      </c>
      <c r="T68" s="101">
        <f>IF(TrRoad_act!T44=0,0,T31/TrRoad_act!T44*1000
)</f>
        <v>1049.0151133652496</v>
      </c>
      <c r="U68" s="101">
        <f>IF(TrRoad_act!U44=0,0,U31/TrRoad_act!U44*1000
)</f>
        <v>1355.7178768586259</v>
      </c>
      <c r="V68" s="101">
        <f>IF(TrRoad_act!V44=0,0,V31/TrRoad_act!V44*1000
)</f>
        <v>1871.1653326536502</v>
      </c>
      <c r="W68" s="101">
        <f>IF(TrRoad_act!W44=0,0,W31/TrRoad_act!W44*1000
)</f>
        <v>2602.3358896730228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582.01855043020907</v>
      </c>
      <c r="C70" s="29">
        <f>IF(TrRoad_act!C46=0,0,C33/TrRoad_act!C46*1000
)</f>
        <v>594.20789482328166</v>
      </c>
      <c r="D70" s="29">
        <f>IF(TrRoad_act!D46=0,0,D33/TrRoad_act!D46*1000
)</f>
        <v>577.73523571517308</v>
      </c>
      <c r="E70" s="29">
        <f>IF(TrRoad_act!E46=0,0,E33/TrRoad_act!E46*1000
)</f>
        <v>571.25677002592442</v>
      </c>
      <c r="F70" s="29">
        <f>IF(TrRoad_act!F46=0,0,F33/TrRoad_act!F46*1000
)</f>
        <v>574.08319713670346</v>
      </c>
      <c r="G70" s="29">
        <f>IF(TrRoad_act!G46=0,0,G33/TrRoad_act!G46*1000
)</f>
        <v>559.41828460296404</v>
      </c>
      <c r="H70" s="29">
        <f>IF(TrRoad_act!H46=0,0,H33/TrRoad_act!H46*1000
)</f>
        <v>558.5718812870158</v>
      </c>
      <c r="I70" s="29">
        <f>IF(TrRoad_act!I46=0,0,I33/TrRoad_act!I46*1000
)</f>
        <v>548.03861818578605</v>
      </c>
      <c r="J70" s="29">
        <f>IF(TrRoad_act!J46=0,0,J33/TrRoad_act!J46*1000
)</f>
        <v>533.39200650545558</v>
      </c>
      <c r="K70" s="29">
        <f>IF(TrRoad_act!K46=0,0,K33/TrRoad_act!K46*1000
)</f>
        <v>509.76292254768339</v>
      </c>
      <c r="L70" s="29">
        <f>IF(TrRoad_act!L46=0,0,L33/TrRoad_act!L46*1000
)</f>
        <v>497.31914441861795</v>
      </c>
      <c r="M70" s="29">
        <f>IF(TrRoad_act!M46=0,0,M33/TrRoad_act!M46*1000
)</f>
        <v>490.6536032793968</v>
      </c>
      <c r="N70" s="29">
        <f>IF(TrRoad_act!N46=0,0,N33/TrRoad_act!N46*1000
)</f>
        <v>478.28221243613842</v>
      </c>
      <c r="O70" s="29">
        <f>IF(TrRoad_act!O46=0,0,O33/TrRoad_act!O46*1000
)</f>
        <v>495.11095529425529</v>
      </c>
      <c r="P70" s="29">
        <f>IF(TrRoad_act!P46=0,0,P33/TrRoad_act!P46*1000
)</f>
        <v>484.12859877939889</v>
      </c>
      <c r="Q70" s="29">
        <f>IF(TrRoad_act!Q46=0,0,Q33/TrRoad_act!Q46*1000
)</f>
        <v>508.001809699707</v>
      </c>
      <c r="R70" s="29">
        <f>IF(TrRoad_act!R46=0,0,R33/TrRoad_act!R46*1000
)</f>
        <v>546.58705126312054</v>
      </c>
      <c r="S70" s="29">
        <f>IF(TrRoad_act!S46=0,0,S33/TrRoad_act!S46*1000
)</f>
        <v>584.65824570065149</v>
      </c>
      <c r="T70" s="29">
        <f>IF(TrRoad_act!T46=0,0,T33/TrRoad_act!T46*1000
)</f>
        <v>612.40282457390833</v>
      </c>
      <c r="U70" s="29">
        <f>IF(TrRoad_act!U46=0,0,U33/TrRoad_act!U46*1000
)</f>
        <v>598.98748265069537</v>
      </c>
      <c r="V70" s="29">
        <f>IF(TrRoad_act!V46=0,0,V33/TrRoad_act!V46*1000
)</f>
        <v>557.59581959333229</v>
      </c>
      <c r="W70" s="29">
        <f>IF(TrRoad_act!W46=0,0,W33/TrRoad_act!W46*1000
)</f>
        <v>567.84644355628427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421.33191615777821</v>
      </c>
      <c r="C71" s="152">
        <f>IF(TrRoad_act!C47=0,0,C34/TrRoad_act!C47*1000
)</f>
        <v>395.1725569819086</v>
      </c>
      <c r="D71" s="152">
        <f>IF(TrRoad_act!D47=0,0,D34/TrRoad_act!D47*1000
)</f>
        <v>383.74366120892597</v>
      </c>
      <c r="E71" s="152">
        <f>IF(TrRoad_act!E47=0,0,E34/TrRoad_act!E47*1000
)</f>
        <v>365.43636105814807</v>
      </c>
      <c r="F71" s="152">
        <f>IF(TrRoad_act!F47=0,0,F34/TrRoad_act!F47*1000
)</f>
        <v>349.68679652566692</v>
      </c>
      <c r="G71" s="152">
        <f>IF(TrRoad_act!G47=0,0,G34/TrRoad_act!G47*1000
)</f>
        <v>337.31644890045766</v>
      </c>
      <c r="H71" s="152">
        <f>IF(TrRoad_act!H47=0,0,H34/TrRoad_act!H47*1000
)</f>
        <v>328.03887236195629</v>
      </c>
      <c r="I71" s="152">
        <f>IF(TrRoad_act!I47=0,0,I34/TrRoad_act!I47*1000
)</f>
        <v>319.81885706871481</v>
      </c>
      <c r="J71" s="152">
        <f>IF(TrRoad_act!J47=0,0,J34/TrRoad_act!J47*1000
)</f>
        <v>310.97489830764096</v>
      </c>
      <c r="K71" s="152">
        <f>IF(TrRoad_act!K47=0,0,K34/TrRoad_act!K47*1000
)</f>
        <v>298.60101940824427</v>
      </c>
      <c r="L71" s="152">
        <f>IF(TrRoad_act!L47=0,0,L34/TrRoad_act!L47*1000
)</f>
        <v>287.54477645844457</v>
      </c>
      <c r="M71" s="152">
        <f>IF(TrRoad_act!M47=0,0,M34/TrRoad_act!M47*1000
)</f>
        <v>288.14976770669972</v>
      </c>
      <c r="N71" s="152">
        <f>IF(TrRoad_act!N47=0,0,N34/TrRoad_act!N47*1000
)</f>
        <v>286.04357601092443</v>
      </c>
      <c r="O71" s="152">
        <f>IF(TrRoad_act!O47=0,0,O34/TrRoad_act!O47*1000
)</f>
        <v>284.23739005098315</v>
      </c>
      <c r="P71" s="152">
        <f>IF(TrRoad_act!P47=0,0,P34/TrRoad_act!P47*1000
)</f>
        <v>279.06520977393694</v>
      </c>
      <c r="Q71" s="152">
        <f>IF(TrRoad_act!Q47=0,0,Q34/TrRoad_act!Q47*1000
)</f>
        <v>283.86988938233674</v>
      </c>
      <c r="R71" s="152">
        <f>IF(TrRoad_act!R47=0,0,R34/TrRoad_act!R47*1000
)</f>
        <v>274.64221948903867</v>
      </c>
      <c r="S71" s="152">
        <f>IF(TrRoad_act!S47=0,0,S34/TrRoad_act!S47*1000
)</f>
        <v>270.78905439072656</v>
      </c>
      <c r="T71" s="152">
        <f>IF(TrRoad_act!T47=0,0,T34/TrRoad_act!T47*1000
)</f>
        <v>267.94013469768061</v>
      </c>
      <c r="U71" s="152">
        <f>IF(TrRoad_act!U47=0,0,U34/TrRoad_act!U47*1000
)</f>
        <v>265.10995111877975</v>
      </c>
      <c r="V71" s="152">
        <f>IF(TrRoad_act!V47=0,0,V34/TrRoad_act!V47*1000
)</f>
        <v>252.98455745216884</v>
      </c>
      <c r="W71" s="152">
        <f>IF(TrRoad_act!W47=0,0,W34/TrRoad_act!W47*1000
)</f>
        <v>253.65597093615889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369.48310914134549</v>
      </c>
      <c r="C72" s="87">
        <f>IF(TrRoad_act!C48=0,0,C35/TrRoad_act!C48*1000
)</f>
        <v>351.01930023036846</v>
      </c>
      <c r="D72" s="87">
        <f>IF(TrRoad_act!D48=0,0,D35/TrRoad_act!D48*1000
)</f>
        <v>334.84401451512872</v>
      </c>
      <c r="E72" s="87">
        <f>IF(TrRoad_act!E48=0,0,E35/TrRoad_act!E48*1000
)</f>
        <v>321.67661295273041</v>
      </c>
      <c r="F72" s="87">
        <f>IF(TrRoad_act!F48=0,0,F35/TrRoad_act!F48*1000
)</f>
        <v>310.24736697623223</v>
      </c>
      <c r="G72" s="87">
        <f>IF(TrRoad_act!G48=0,0,G35/TrRoad_act!G48*1000
)</f>
        <v>301.38394182433979</v>
      </c>
      <c r="H72" s="87">
        <f>IF(TrRoad_act!H48=0,0,H35/TrRoad_act!H48*1000
)</f>
        <v>295.06178851068501</v>
      </c>
      <c r="I72" s="87">
        <f>IF(TrRoad_act!I48=0,0,I35/TrRoad_act!I48*1000
)</f>
        <v>287.59492167049848</v>
      </c>
      <c r="J72" s="87">
        <f>IF(TrRoad_act!J48=0,0,J35/TrRoad_act!J48*1000
)</f>
        <v>275.73703145316784</v>
      </c>
      <c r="K72" s="87">
        <f>IF(TrRoad_act!K48=0,0,K35/TrRoad_act!K48*1000
)</f>
        <v>261.32041801746755</v>
      </c>
      <c r="L72" s="87">
        <f>IF(TrRoad_act!L48=0,0,L35/TrRoad_act!L48*1000
)</f>
        <v>248.53826178979452</v>
      </c>
      <c r="M72" s="87">
        <f>IF(TrRoad_act!M48=0,0,M35/TrRoad_act!M48*1000
)</f>
        <v>248.81346467965048</v>
      </c>
      <c r="N72" s="87">
        <f>IF(TrRoad_act!N48=0,0,N35/TrRoad_act!N48*1000
)</f>
        <v>248.48020010338328</v>
      </c>
      <c r="O72" s="87">
        <f>IF(TrRoad_act!O48=0,0,O35/TrRoad_act!O48*1000
)</f>
        <v>247.09327122854555</v>
      </c>
      <c r="P72" s="87">
        <f>IF(TrRoad_act!P48=0,0,P35/TrRoad_act!P48*1000
)</f>
        <v>249.00063383897452</v>
      </c>
      <c r="Q72" s="87">
        <f>IF(TrRoad_act!Q48=0,0,Q35/TrRoad_act!Q48*1000
)</f>
        <v>245.98924637896272</v>
      </c>
      <c r="R72" s="87">
        <f>IF(TrRoad_act!R48=0,0,R35/TrRoad_act!R48*1000
)</f>
        <v>240.97702101548194</v>
      </c>
      <c r="S72" s="87">
        <f>IF(TrRoad_act!S48=0,0,S35/TrRoad_act!S48*1000
)</f>
        <v>227.5381017404396</v>
      </c>
      <c r="T72" s="87">
        <f>IF(TrRoad_act!T48=0,0,T35/TrRoad_act!T48*1000
)</f>
        <v>224.58666596303257</v>
      </c>
      <c r="U72" s="87">
        <f>IF(TrRoad_act!U48=0,0,U35/TrRoad_act!U48*1000
)</f>
        <v>222.31019871110055</v>
      </c>
      <c r="V72" s="87">
        <f>IF(TrRoad_act!V48=0,0,V35/TrRoad_act!V48*1000
)</f>
        <v>216.88455351598913</v>
      </c>
      <c r="W72" s="87">
        <f>IF(TrRoad_act!W48=0,0,W35/TrRoad_act!W48*1000
)</f>
        <v>214.16649027609873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420.93755001033799</v>
      </c>
      <c r="C73" s="87">
        <f>IF(TrRoad_act!C49=0,0,C36/TrRoad_act!C49*1000
)</f>
        <v>394.36954134606822</v>
      </c>
      <c r="D73" s="87">
        <f>IF(TrRoad_act!D49=0,0,D36/TrRoad_act!D49*1000
)</f>
        <v>383.37034016022346</v>
      </c>
      <c r="E73" s="87">
        <f>IF(TrRoad_act!E49=0,0,E36/TrRoad_act!E49*1000
)</f>
        <v>364.64302826736127</v>
      </c>
      <c r="F73" s="87">
        <f>IF(TrRoad_act!F49=0,0,F36/TrRoad_act!F49*1000
)</f>
        <v>348.75369702673169</v>
      </c>
      <c r="G73" s="87">
        <f>IF(TrRoad_act!G49=0,0,G36/TrRoad_act!G49*1000
)</f>
        <v>336.53170305103947</v>
      </c>
      <c r="H73" s="87">
        <f>IF(TrRoad_act!H49=0,0,H36/TrRoad_act!H49*1000
)</f>
        <v>327.39023128434923</v>
      </c>
      <c r="I73" s="87">
        <f>IF(TrRoad_act!I49=0,0,I36/TrRoad_act!I49*1000
)</f>
        <v>319.30914164646799</v>
      </c>
      <c r="J73" s="87">
        <f>IF(TrRoad_act!J49=0,0,J36/TrRoad_act!J49*1000
)</f>
        <v>310.96883204053108</v>
      </c>
      <c r="K73" s="87">
        <f>IF(TrRoad_act!K49=0,0,K36/TrRoad_act!K49*1000
)</f>
        <v>298.89293083076251</v>
      </c>
      <c r="L73" s="87">
        <f>IF(TrRoad_act!L49=0,0,L36/TrRoad_act!L49*1000
)</f>
        <v>288.03644375465899</v>
      </c>
      <c r="M73" s="87">
        <f>IF(TrRoad_act!M49=0,0,M36/TrRoad_act!M49*1000
)</f>
        <v>288.6812045641077</v>
      </c>
      <c r="N73" s="87">
        <f>IF(TrRoad_act!N49=0,0,N36/TrRoad_act!N49*1000
)</f>
        <v>286.6396798106062</v>
      </c>
      <c r="O73" s="87">
        <f>IF(TrRoad_act!O49=0,0,O36/TrRoad_act!O49*1000
)</f>
        <v>284.92354617855477</v>
      </c>
      <c r="P73" s="87">
        <f>IF(TrRoad_act!P49=0,0,P36/TrRoad_act!P49*1000
)</f>
        <v>279.52266947896874</v>
      </c>
      <c r="Q73" s="87">
        <f>IF(TrRoad_act!Q49=0,0,Q36/TrRoad_act!Q49*1000
)</f>
        <v>284.60982882605629</v>
      </c>
      <c r="R73" s="87">
        <f>IF(TrRoad_act!R49=0,0,R36/TrRoad_act!R49*1000
)</f>
        <v>275.34564682183401</v>
      </c>
      <c r="S73" s="87">
        <f>IF(TrRoad_act!S49=0,0,S36/TrRoad_act!S49*1000
)</f>
        <v>272.00800798221627</v>
      </c>
      <c r="T73" s="87">
        <f>IF(TrRoad_act!T49=0,0,T36/TrRoad_act!T49*1000
)</f>
        <v>269.56835223864175</v>
      </c>
      <c r="U73" s="87">
        <f>IF(TrRoad_act!U49=0,0,U36/TrRoad_act!U49*1000
)</f>
        <v>266.83423134128674</v>
      </c>
      <c r="V73" s="87">
        <f>IF(TrRoad_act!V49=0,0,V36/TrRoad_act!V49*1000
)</f>
        <v>253.84251178327284</v>
      </c>
      <c r="W73" s="87">
        <f>IF(TrRoad_act!W49=0,0,W36/TrRoad_act!W49*1000
)</f>
        <v>253.91503417295701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560.1354726844047</v>
      </c>
      <c r="C74" s="87">
        <f>IF(TrRoad_act!C50=0,0,C37/TrRoad_act!C50*1000
)</f>
        <v>518.32127707394943</v>
      </c>
      <c r="D74" s="87">
        <f>IF(TrRoad_act!D50=0,0,D37/TrRoad_act!D50*1000
)</f>
        <v>506.27046734163349</v>
      </c>
      <c r="E74" s="87">
        <f>IF(TrRoad_act!E50=0,0,E37/TrRoad_act!E50*1000
)</f>
        <v>496.44457452821877</v>
      </c>
      <c r="F74" s="87">
        <f>IF(TrRoad_act!F50=0,0,F37/TrRoad_act!F50*1000
)</f>
        <v>475.09729439748497</v>
      </c>
      <c r="G74" s="87">
        <f>IF(TrRoad_act!G50=0,0,G37/TrRoad_act!G50*1000
)</f>
        <v>456.37192297785612</v>
      </c>
      <c r="H74" s="87">
        <f>IF(TrRoad_act!H50=0,0,H37/TrRoad_act!H50*1000
)</f>
        <v>435.91875840336684</v>
      </c>
      <c r="I74" s="87">
        <f>IF(TrRoad_act!I50=0,0,I37/TrRoad_act!I50*1000
)</f>
        <v>421.49933996465995</v>
      </c>
      <c r="J74" s="87">
        <f>IF(TrRoad_act!J50=0,0,J37/TrRoad_act!J50*1000
)</f>
        <v>395.35009325215299</v>
      </c>
      <c r="K74" s="87">
        <f>IF(TrRoad_act!K50=0,0,K37/TrRoad_act!K50*1000
)</f>
        <v>371.40773793824491</v>
      </c>
      <c r="L74" s="87">
        <f>IF(TrRoad_act!L50=0,0,L37/TrRoad_act!L50*1000
)</f>
        <v>354.45324556877102</v>
      </c>
      <c r="M74" s="87">
        <f>IF(TrRoad_act!M50=0,0,M37/TrRoad_act!M50*1000
)</f>
        <v>347.3853922201958</v>
      </c>
      <c r="N74" s="87">
        <f>IF(TrRoad_act!N50=0,0,N37/TrRoad_act!N50*1000
)</f>
        <v>343.33905055563503</v>
      </c>
      <c r="O74" s="87">
        <f>IF(TrRoad_act!O50=0,0,O37/TrRoad_act!O50*1000
)</f>
        <v>341.03077767990413</v>
      </c>
      <c r="P74" s="87">
        <f>IF(TrRoad_act!P50=0,0,P37/TrRoad_act!P50*1000
)</f>
        <v>339.47760192585832</v>
      </c>
      <c r="Q74" s="87">
        <f>IF(TrRoad_act!Q50=0,0,Q37/TrRoad_act!Q50*1000
)</f>
        <v>339.24891197032463</v>
      </c>
      <c r="R74" s="87">
        <f>IF(TrRoad_act!R50=0,0,R37/TrRoad_act!R50*1000
)</f>
        <v>339.21990329596332</v>
      </c>
      <c r="S74" s="87">
        <f>IF(TrRoad_act!S50=0,0,S37/TrRoad_act!S50*1000
)</f>
        <v>339.15899399606417</v>
      </c>
      <c r="T74" s="87">
        <f>IF(TrRoad_act!T50=0,0,T37/TrRoad_act!T50*1000
)</f>
        <v>339.01473152313037</v>
      </c>
      <c r="U74" s="87">
        <f>IF(TrRoad_act!U50=0,0,U37/TrRoad_act!U50*1000
)</f>
        <v>338.87535916923713</v>
      </c>
      <c r="V74" s="87">
        <f>IF(TrRoad_act!V50=0,0,V37/TrRoad_act!V50*1000
)</f>
        <v>334.5576783848411</v>
      </c>
      <c r="W74" s="87">
        <f>IF(TrRoad_act!W50=0,0,W37/TrRoad_act!W50*1000
)</f>
        <v>332.75934119293908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219.9731786113677</v>
      </c>
      <c r="K75" s="87">
        <f>IF(TrRoad_act!K51=0,0,K38/TrRoad_act!K51*1000
)</f>
        <v>218.17881269691546</v>
      </c>
      <c r="L75" s="87">
        <f>IF(TrRoad_act!L51=0,0,L38/TrRoad_act!L51*1000
)</f>
        <v>216.89455064569589</v>
      </c>
      <c r="M75" s="87">
        <f>IF(TrRoad_act!M51=0,0,M38/TrRoad_act!M51*1000
)</f>
        <v>216.62799167791883</v>
      </c>
      <c r="N75" s="87">
        <f>IF(TrRoad_act!N51=0,0,N38/TrRoad_act!N51*1000
)</f>
        <v>217.75363483270181</v>
      </c>
      <c r="O75" s="87">
        <f>IF(TrRoad_act!O51=0,0,O38/TrRoad_act!O51*1000
)</f>
        <v>241.94489717751816</v>
      </c>
      <c r="P75" s="87">
        <f>IF(TrRoad_act!P51=0,0,P38/TrRoad_act!P51*1000
)</f>
        <v>212.34052818126551</v>
      </c>
      <c r="Q75" s="87">
        <f>IF(TrRoad_act!Q51=0,0,Q38/TrRoad_act!Q51*1000
)</f>
        <v>238.74482350659341</v>
      </c>
      <c r="R75" s="87">
        <f>IF(TrRoad_act!R51=0,0,R38/TrRoad_act!R51*1000
)</f>
        <v>235.78674681873136</v>
      </c>
      <c r="S75" s="87">
        <f>IF(TrRoad_act!S51=0,0,S38/TrRoad_act!S51*1000
)</f>
        <v>230.22000590252782</v>
      </c>
      <c r="T75" s="87">
        <f>IF(TrRoad_act!T51=0,0,T38/TrRoad_act!T51*1000
)</f>
        <v>225.92662133147391</v>
      </c>
      <c r="U75" s="87">
        <f>IF(TrRoad_act!U51=0,0,U38/TrRoad_act!U51*1000
)</f>
        <v>286.68673238048552</v>
      </c>
      <c r="V75" s="87">
        <f>IF(TrRoad_act!V51=0,0,V38/TrRoad_act!V51*1000
)</f>
        <v>413.103042934874</v>
      </c>
      <c r="W75" s="87">
        <f>IF(TrRoad_act!W51=0,0,W38/TrRoad_act!W51*1000
)</f>
        <v>610.24423229001434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943.76374497440872</v>
      </c>
      <c r="C77" s="116">
        <f>IF(TrRoad_act!C53=0,0,C40/TrRoad_act!C53*1000
)</f>
        <v>1038.9258846183986</v>
      </c>
      <c r="D77" s="116">
        <f>IF(TrRoad_act!D53=0,0,D40/TrRoad_act!D53*1000
)</f>
        <v>1027.7994569444963</v>
      </c>
      <c r="E77" s="116">
        <f>IF(TrRoad_act!E53=0,0,E40/TrRoad_act!E53*1000
)</f>
        <v>1093.5388363293921</v>
      </c>
      <c r="F77" s="116">
        <f>IF(TrRoad_act!F53=0,0,F40/TrRoad_act!F53*1000
)</f>
        <v>1152.5964817507795</v>
      </c>
      <c r="G77" s="116">
        <f>IF(TrRoad_act!G53=0,0,G40/TrRoad_act!G53*1000
)</f>
        <v>1173.9507748243743</v>
      </c>
      <c r="H77" s="116">
        <f>IF(TrRoad_act!H53=0,0,H40/TrRoad_act!H53*1000
)</f>
        <v>1211.6326181855081</v>
      </c>
      <c r="I77" s="116">
        <f>IF(TrRoad_act!I53=0,0,I40/TrRoad_act!I53*1000
)</f>
        <v>1230.0249615263647</v>
      </c>
      <c r="J77" s="116">
        <f>IF(TrRoad_act!J53=0,0,J40/TrRoad_act!J53*1000
)</f>
        <v>1283.4036878907659</v>
      </c>
      <c r="K77" s="116">
        <f>IF(TrRoad_act!K53=0,0,K40/TrRoad_act!K53*1000
)</f>
        <v>1256.184478593269</v>
      </c>
      <c r="L77" s="116">
        <f>IF(TrRoad_act!L53=0,0,L40/TrRoad_act!L53*1000
)</f>
        <v>1241.3052691466487</v>
      </c>
      <c r="M77" s="116">
        <f>IF(TrRoad_act!M53=0,0,M40/TrRoad_act!M53*1000
)</f>
        <v>1191.3010609635162</v>
      </c>
      <c r="N77" s="116">
        <f>IF(TrRoad_act!N53=0,0,N40/TrRoad_act!N53*1000
)</f>
        <v>1134.8043074664438</v>
      </c>
      <c r="O77" s="116">
        <f>IF(TrRoad_act!O53=0,0,O40/TrRoad_act!O53*1000
)</f>
        <v>1156.0822645101571</v>
      </c>
      <c r="P77" s="116">
        <f>IF(TrRoad_act!P53=0,0,P40/TrRoad_act!P53*1000
)</f>
        <v>1140.7556771704326</v>
      </c>
      <c r="Q77" s="116">
        <f>IF(TrRoad_act!Q53=0,0,Q40/TrRoad_act!Q53*1000
)</f>
        <v>1213.0999699203649</v>
      </c>
      <c r="R77" s="116">
        <f>IF(TrRoad_act!R53=0,0,R40/TrRoad_act!R53*1000
)</f>
        <v>1344.4497792616949</v>
      </c>
      <c r="S77" s="116">
        <f>IF(TrRoad_act!S53=0,0,S40/TrRoad_act!S53*1000
)</f>
        <v>1433.5451946165554</v>
      </c>
      <c r="T77" s="116">
        <f>IF(TrRoad_act!T53=0,0,T40/TrRoad_act!T53*1000
)</f>
        <v>1588.3561374895087</v>
      </c>
      <c r="U77" s="116">
        <f>IF(TrRoad_act!U53=0,0,U40/TrRoad_act!U53*1000
)</f>
        <v>1509.6468817016148</v>
      </c>
      <c r="V77" s="116">
        <f>IF(TrRoad_act!V53=0,0,V40/TrRoad_act!V53*1000
)</f>
        <v>1354.9589996334339</v>
      </c>
      <c r="W77" s="116">
        <f>IF(TrRoad_act!W53=0,0,W40/TrRoad_act!W53*1000
)</f>
        <v>1467.0711982709392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911.15617978850764</v>
      </c>
      <c r="C78" s="101">
        <f>IF(TrRoad_act!C54=0,0,C41/TrRoad_act!C54*1000
)</f>
        <v>1001.2000541885784</v>
      </c>
      <c r="D78" s="101">
        <f>IF(TrRoad_act!D54=0,0,D41/TrRoad_act!D54*1000
)</f>
        <v>993.33040618559914</v>
      </c>
      <c r="E78" s="101">
        <f>IF(TrRoad_act!E54=0,0,E41/TrRoad_act!E54*1000
)</f>
        <v>1057.3582162052555</v>
      </c>
      <c r="F78" s="101">
        <f>IF(TrRoad_act!F54=0,0,F41/TrRoad_act!F54*1000
)</f>
        <v>1118.8112482334495</v>
      </c>
      <c r="G78" s="101">
        <f>IF(TrRoad_act!G54=0,0,G41/TrRoad_act!G54*1000
)</f>
        <v>1140.4650249122601</v>
      </c>
      <c r="H78" s="101">
        <f>IF(TrRoad_act!H54=0,0,H41/TrRoad_act!H54*1000
)</f>
        <v>1179.3175448687684</v>
      </c>
      <c r="I78" s="101">
        <f>IF(TrRoad_act!I54=0,0,I41/TrRoad_act!I54*1000
)</f>
        <v>1199.3658832569533</v>
      </c>
      <c r="J78" s="101">
        <f>IF(TrRoad_act!J54=0,0,J41/TrRoad_act!J54*1000
)</f>
        <v>1250.1992304227474</v>
      </c>
      <c r="K78" s="101">
        <f>IF(TrRoad_act!K54=0,0,K41/TrRoad_act!K54*1000
)</f>
        <v>1225.634038397347</v>
      </c>
      <c r="L78" s="101">
        <f>IF(TrRoad_act!L54=0,0,L41/TrRoad_act!L54*1000
)</f>
        <v>1214.0833339955448</v>
      </c>
      <c r="M78" s="101">
        <f>IF(TrRoad_act!M54=0,0,M41/TrRoad_act!M54*1000
)</f>
        <v>1166.8071500705307</v>
      </c>
      <c r="N78" s="101">
        <f>IF(TrRoad_act!N54=0,0,N41/TrRoad_act!N54*1000
)</f>
        <v>1113.5105123682297</v>
      </c>
      <c r="O78" s="101">
        <f>IF(TrRoad_act!O54=0,0,O41/TrRoad_act!O54*1000
)</f>
        <v>1133.6492483954237</v>
      </c>
      <c r="P78" s="101">
        <f>IF(TrRoad_act!P54=0,0,P41/TrRoad_act!P54*1000
)</f>
        <v>1117.6348005339435</v>
      </c>
      <c r="Q78" s="101">
        <f>IF(TrRoad_act!Q54=0,0,Q41/TrRoad_act!Q54*1000
)</f>
        <v>1187.5075640834259</v>
      </c>
      <c r="R78" s="101">
        <f>IF(TrRoad_act!R54=0,0,R41/TrRoad_act!R54*1000
)</f>
        <v>1314.8770049092714</v>
      </c>
      <c r="S78" s="101">
        <f>IF(TrRoad_act!S54=0,0,S41/TrRoad_act!S54*1000
)</f>
        <v>1399.5401133443752</v>
      </c>
      <c r="T78" s="101">
        <f>IF(TrRoad_act!T54=0,0,T41/TrRoad_act!T54*1000
)</f>
        <v>1536.7544231847926</v>
      </c>
      <c r="U78" s="101">
        <f>IF(TrRoad_act!U54=0,0,U41/TrRoad_act!U54*1000
)</f>
        <v>1446.8858237239333</v>
      </c>
      <c r="V78" s="101">
        <f>IF(TrRoad_act!V54=0,0,V41/TrRoad_act!V54*1000
)</f>
        <v>1291.5354914480006</v>
      </c>
      <c r="W78" s="101">
        <f>IF(TrRoad_act!W54=0,0,W41/TrRoad_act!W54*1000
)</f>
        <v>1382.4430722671157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990.20350638829098</v>
      </c>
      <c r="C79" s="88">
        <f>IF(TrRoad_act!C55=0,0,C42/TrRoad_act!C55*1000
)</f>
        <v>1093.4671443634088</v>
      </c>
      <c r="D79" s="88">
        <f>IF(TrRoad_act!D55=0,0,D42/TrRoad_act!D55*1000
)</f>
        <v>1075.957928853624</v>
      </c>
      <c r="E79" s="88">
        <f>IF(TrRoad_act!E55=0,0,E42/TrRoad_act!E55*1000
)</f>
        <v>1139.1595098200667</v>
      </c>
      <c r="F79" s="88">
        <f>IF(TrRoad_act!F55=0,0,F42/TrRoad_act!F55*1000
)</f>
        <v>1189.8022611588781</v>
      </c>
      <c r="G79" s="88">
        <f>IF(TrRoad_act!G55=0,0,G42/TrRoad_act!G55*1000
)</f>
        <v>1206.9257495192439</v>
      </c>
      <c r="H79" s="88">
        <f>IF(TrRoad_act!H55=0,0,H42/TrRoad_act!H55*1000
)</f>
        <v>1242.9334682953845</v>
      </c>
      <c r="I79" s="88">
        <f>IF(TrRoad_act!I55=0,0,I42/TrRoad_act!I55*1000
)</f>
        <v>1258.1085439174415</v>
      </c>
      <c r="J79" s="88">
        <f>IF(TrRoad_act!J55=0,0,J42/TrRoad_act!J55*1000
)</f>
        <v>1308.3069383754057</v>
      </c>
      <c r="K79" s="88">
        <f>IF(TrRoad_act!K55=0,0,K42/TrRoad_act!K55*1000
)</f>
        <v>1279.8948400987269</v>
      </c>
      <c r="L79" s="88">
        <f>IF(TrRoad_act!L55=0,0,L42/TrRoad_act!L55*1000
)</f>
        <v>1262.1989532491868</v>
      </c>
      <c r="M79" s="88">
        <f>IF(TrRoad_act!M55=0,0,M42/TrRoad_act!M55*1000
)</f>
        <v>1210.63973513372</v>
      </c>
      <c r="N79" s="88">
        <f>IF(TrRoad_act!N55=0,0,N42/TrRoad_act!N55*1000
)</f>
        <v>1151.621869208366</v>
      </c>
      <c r="O79" s="88">
        <f>IF(TrRoad_act!O55=0,0,O42/TrRoad_act!O55*1000
)</f>
        <v>1173.9060389882277</v>
      </c>
      <c r="P79" s="88">
        <f>IF(TrRoad_act!P55=0,0,P42/TrRoad_act!P55*1000
)</f>
        <v>1159.7549949298502</v>
      </c>
      <c r="Q79" s="88">
        <f>IF(TrRoad_act!Q55=0,0,Q42/TrRoad_act!Q55*1000
)</f>
        <v>1236.9522301730888</v>
      </c>
      <c r="R79" s="88">
        <f>IF(TrRoad_act!R55=0,0,R42/TrRoad_act!R55*1000
)</f>
        <v>1369.5895672812364</v>
      </c>
      <c r="S79" s="88">
        <f>IF(TrRoad_act!S55=0,0,S42/TrRoad_act!S55*1000
)</f>
        <v>1462.3684890603847</v>
      </c>
      <c r="T79" s="88">
        <f>IF(TrRoad_act!T55=0,0,T42/TrRoad_act!T55*1000
)</f>
        <v>1631.3987787085689</v>
      </c>
      <c r="U79" s="88">
        <f>IF(TrRoad_act!U55=0,0,U42/TrRoad_act!U55*1000
)</f>
        <v>1566.1338430770738</v>
      </c>
      <c r="V79" s="88">
        <f>IF(TrRoad_act!V55=0,0,V42/TrRoad_act!V55*1000
)</f>
        <v>1408.4816587016583</v>
      </c>
      <c r="W79" s="88">
        <f>IF(TrRoad_act!W55=0,0,W42/TrRoad_act!W55*1000
)</f>
        <v>1544.5014176789725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144.83304881654817</v>
      </c>
      <c r="C82" s="29">
        <f>IF(TrRoad_act!C4=0,0,C18/TrRoad_act!C4*1000)</f>
        <v>145.1463157659102</v>
      </c>
      <c r="D82" s="29">
        <f>IF(TrRoad_act!D4=0,0,D18/TrRoad_act!D4*1000)</f>
        <v>140.61736100742445</v>
      </c>
      <c r="E82" s="29">
        <f>IF(TrRoad_act!E4=0,0,E18/TrRoad_act!E4*1000)</f>
        <v>145.1219597455848</v>
      </c>
      <c r="F82" s="29">
        <f>IF(TrRoad_act!F4=0,0,F18/TrRoad_act!F4*1000)</f>
        <v>145.32875299742673</v>
      </c>
      <c r="G82" s="29">
        <f>IF(TrRoad_act!G4=0,0,G18/TrRoad_act!G4*1000)</f>
        <v>139.24636153347618</v>
      </c>
      <c r="H82" s="29">
        <f>IF(TrRoad_act!H4=0,0,H18/TrRoad_act!H4*1000)</f>
        <v>141.64650346626186</v>
      </c>
      <c r="I82" s="29">
        <f>IF(TrRoad_act!I4=0,0,I18/TrRoad_act!I4*1000)</f>
        <v>143.18699664504672</v>
      </c>
      <c r="J82" s="29">
        <f>IF(TrRoad_act!J4=0,0,J18/TrRoad_act!J4*1000)</f>
        <v>143.39227659666483</v>
      </c>
      <c r="K82" s="29">
        <f>IF(TrRoad_act!K4=0,0,K18/TrRoad_act!K4*1000)</f>
        <v>141.17046990557796</v>
      </c>
      <c r="L82" s="29">
        <f>IF(TrRoad_act!L4=0,0,L18/TrRoad_act!L4*1000)</f>
        <v>134.4102181602976</v>
      </c>
      <c r="M82" s="29">
        <f>IF(TrRoad_act!M4=0,0,M18/TrRoad_act!M4*1000)</f>
        <v>131.85814332068136</v>
      </c>
      <c r="N82" s="29">
        <f>IF(TrRoad_act!N4=0,0,N18/TrRoad_act!N4*1000)</f>
        <v>127.88690065988118</v>
      </c>
      <c r="O82" s="29">
        <f>IF(TrRoad_act!O4=0,0,O18/TrRoad_act!O4*1000)</f>
        <v>131.15124080957912</v>
      </c>
      <c r="P82" s="29">
        <f>IF(TrRoad_act!P4=0,0,P18/TrRoad_act!P4*1000)</f>
        <v>130.28964739671446</v>
      </c>
      <c r="Q82" s="29">
        <f>IF(TrRoad_act!Q4=0,0,Q18/TrRoad_act!Q4*1000)</f>
        <v>138.27442140768775</v>
      </c>
      <c r="R82" s="29">
        <f>IF(TrRoad_act!R4=0,0,R18/TrRoad_act!R4*1000)</f>
        <v>134.90848082590315</v>
      </c>
      <c r="S82" s="29">
        <f>IF(TrRoad_act!S4=0,0,S18/TrRoad_act!S4*1000)</f>
        <v>128.29476557437255</v>
      </c>
      <c r="T82" s="29">
        <f>IF(TrRoad_act!T4=0,0,T18/TrRoad_act!T4*1000)</f>
        <v>126.45095456545185</v>
      </c>
      <c r="U82" s="29">
        <f>IF(TrRoad_act!U4=0,0,U18/TrRoad_act!U4*1000)</f>
        <v>123.52641279981965</v>
      </c>
      <c r="V82" s="29">
        <f>IF(TrRoad_act!V4=0,0,V18/TrRoad_act!V4*1000)</f>
        <v>120.66077982372384</v>
      </c>
      <c r="W82" s="29">
        <f>IF(TrRoad_act!W4=0,0,W18/TrRoad_act!W4*1000)</f>
        <v>122.25908709273128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109.54907656641208</v>
      </c>
      <c r="C83" s="152">
        <f>IF(TrRoad_act!C5=0,0,C19/TrRoad_act!C5*1000)</f>
        <v>108.40490116674854</v>
      </c>
      <c r="D83" s="152">
        <f>IF(TrRoad_act!D5=0,0,D19/TrRoad_act!D5*1000)</f>
        <v>107.36997694127932</v>
      </c>
      <c r="E83" s="152">
        <f>IF(TrRoad_act!E5=0,0,E19/TrRoad_act!E5*1000)</f>
        <v>106.27540118934326</v>
      </c>
      <c r="F83" s="152">
        <f>IF(TrRoad_act!F5=0,0,F19/TrRoad_act!F5*1000)</f>
        <v>104.88874932769986</v>
      </c>
      <c r="G83" s="152">
        <f>IF(TrRoad_act!G5=0,0,G19/TrRoad_act!G5*1000)</f>
        <v>103.1950635630953</v>
      </c>
      <c r="H83" s="152">
        <f>IF(TrRoad_act!H5=0,0,H19/TrRoad_act!H5*1000)</f>
        <v>102.60274835076434</v>
      </c>
      <c r="I83" s="152">
        <f>IF(TrRoad_act!I5=0,0,I19/TrRoad_act!I5*1000)</f>
        <v>101.28301744939367</v>
      </c>
      <c r="J83" s="152">
        <f>IF(TrRoad_act!J5=0,0,J19/TrRoad_act!J5*1000)</f>
        <v>100.18762058542148</v>
      </c>
      <c r="K83" s="152">
        <f>IF(TrRoad_act!K5=0,0,K19/TrRoad_act!K5*1000)</f>
        <v>97.516120342937867</v>
      </c>
      <c r="L83" s="152">
        <f>IF(TrRoad_act!L5=0,0,L19/TrRoad_act!L5*1000)</f>
        <v>94.115593245721783</v>
      </c>
      <c r="M83" s="152">
        <f>IF(TrRoad_act!M5=0,0,M19/TrRoad_act!M5*1000)</f>
        <v>92.706212721125894</v>
      </c>
      <c r="N83" s="152">
        <f>IF(TrRoad_act!N5=0,0,N19/TrRoad_act!N5*1000)</f>
        <v>92.101182514847281</v>
      </c>
      <c r="O83" s="152">
        <f>IF(TrRoad_act!O5=0,0,O19/TrRoad_act!O5*1000)</f>
        <v>91.642044455282601</v>
      </c>
      <c r="P83" s="152">
        <f>IF(TrRoad_act!P5=0,0,P19/TrRoad_act!P5*1000)</f>
        <v>91.714716750497715</v>
      </c>
      <c r="Q83" s="152">
        <f>IF(TrRoad_act!Q5=0,0,Q19/TrRoad_act!Q5*1000)</f>
        <v>91.059586582672949</v>
      </c>
      <c r="R83" s="152">
        <f>IF(TrRoad_act!R5=0,0,R19/TrRoad_act!R5*1000)</f>
        <v>86.115766907631397</v>
      </c>
      <c r="S83" s="152">
        <f>IF(TrRoad_act!S5=0,0,S19/TrRoad_act!S5*1000)</f>
        <v>85.096241237302323</v>
      </c>
      <c r="T83" s="152">
        <f>IF(TrRoad_act!T5=0,0,T19/TrRoad_act!T5*1000)</f>
        <v>83.310934673764919</v>
      </c>
      <c r="U83" s="152">
        <f>IF(TrRoad_act!U5=0,0,U19/TrRoad_act!U5*1000)</f>
        <v>82.657377093039884</v>
      </c>
      <c r="V83" s="152">
        <f>IF(TrRoad_act!V5=0,0,V19/TrRoad_act!V5*1000)</f>
        <v>78.244852986700351</v>
      </c>
      <c r="W83" s="152">
        <f>IF(TrRoad_act!W5=0,0,W19/TrRoad_act!W5*1000)</f>
        <v>73.948478125798786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152.2956003617771</v>
      </c>
      <c r="C84" s="116">
        <f>IF(TrRoad_act!C6=0,0,C20/TrRoad_act!C6*1000)</f>
        <v>153.40697640653724</v>
      </c>
      <c r="D84" s="116">
        <f>IF(TrRoad_act!D6=0,0,D20/TrRoad_act!D6*1000)</f>
        <v>149.79176732840105</v>
      </c>
      <c r="E84" s="116">
        <f>IF(TrRoad_act!E6=0,0,E20/TrRoad_act!E6*1000)</f>
        <v>157.17253752705622</v>
      </c>
      <c r="F84" s="116">
        <f>IF(TrRoad_act!F6=0,0,F20/TrRoad_act!F6*1000)</f>
        <v>158.28560701640137</v>
      </c>
      <c r="G84" s="116">
        <f>IF(TrRoad_act!G6=0,0,G20/TrRoad_act!G6*1000)</f>
        <v>151.86803298380158</v>
      </c>
      <c r="H84" s="116">
        <f>IF(TrRoad_act!H6=0,0,H20/TrRoad_act!H6*1000)</f>
        <v>155.82200250159894</v>
      </c>
      <c r="I84" s="116">
        <f>IF(TrRoad_act!I6=0,0,I20/TrRoad_act!I6*1000)</f>
        <v>158.48698870353527</v>
      </c>
      <c r="J84" s="116">
        <f>IF(TrRoad_act!J6=0,0,J20/TrRoad_act!J6*1000)</f>
        <v>156.56910544678624</v>
      </c>
      <c r="K84" s="116">
        <f>IF(TrRoad_act!K6=0,0,K20/TrRoad_act!K6*1000)</f>
        <v>154.35727866956273</v>
      </c>
      <c r="L84" s="116">
        <f>IF(TrRoad_act!L6=0,0,L20/TrRoad_act!L6*1000)</f>
        <v>146.29702790074759</v>
      </c>
      <c r="M84" s="116">
        <f>IF(TrRoad_act!M6=0,0,M20/TrRoad_act!M6*1000)</f>
        <v>143.93780514177593</v>
      </c>
      <c r="N84" s="116">
        <f>IF(TrRoad_act!N6=0,0,N20/TrRoad_act!N6*1000)</f>
        <v>139.81238100996791</v>
      </c>
      <c r="O84" s="116">
        <f>IF(TrRoad_act!O6=0,0,O20/TrRoad_act!O6*1000)</f>
        <v>141.81471490476062</v>
      </c>
      <c r="P84" s="116">
        <f>IF(TrRoad_act!P6=0,0,P20/TrRoad_act!P6*1000)</f>
        <v>140.06055558761068</v>
      </c>
      <c r="Q84" s="116">
        <f>IF(TrRoad_act!Q6=0,0,Q20/TrRoad_act!Q6*1000)</f>
        <v>147.49075959887688</v>
      </c>
      <c r="R84" s="116">
        <f>IF(TrRoad_act!R6=0,0,R20/TrRoad_act!R6*1000)</f>
        <v>143.36571971233451</v>
      </c>
      <c r="S84" s="116">
        <f>IF(TrRoad_act!S6=0,0,S20/TrRoad_act!S6*1000)</f>
        <v>135.17142666171563</v>
      </c>
      <c r="T84" s="116">
        <f>IF(TrRoad_act!T6=0,0,T20/TrRoad_act!T6*1000)</f>
        <v>132.72607579078564</v>
      </c>
      <c r="U84" s="116">
        <f>IF(TrRoad_act!U6=0,0,U20/TrRoad_act!U6*1000)</f>
        <v>129.48293772040873</v>
      </c>
      <c r="V84" s="116">
        <f>IF(TrRoad_act!V6=0,0,V20/TrRoad_act!V6*1000)</f>
        <v>121.56063548616009</v>
      </c>
      <c r="W84" s="116">
        <f>IF(TrRoad_act!W6=0,0,W20/TrRoad_act!W6*1000)</f>
        <v>123.3535199872301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145.20163655287945</v>
      </c>
      <c r="C85" s="87">
        <f>IF(TrRoad_act!C7=0,0,C21/TrRoad_act!C7*1000)</f>
        <v>148.37926204353229</v>
      </c>
      <c r="D85" s="87">
        <f>IF(TrRoad_act!D7=0,0,D21/TrRoad_act!D7*1000)</f>
        <v>146.13475146198041</v>
      </c>
      <c r="E85" s="87">
        <f>IF(TrRoad_act!E7=0,0,E21/TrRoad_act!E7*1000)</f>
        <v>154.56705033196695</v>
      </c>
      <c r="F85" s="87">
        <f>IF(TrRoad_act!F7=0,0,F21/TrRoad_act!F7*1000)</f>
        <v>157.80503541457838</v>
      </c>
      <c r="G85" s="87">
        <f>IF(TrRoad_act!G7=0,0,G21/TrRoad_act!G7*1000)</f>
        <v>152.27088879236553</v>
      </c>
      <c r="H85" s="87">
        <f>IF(TrRoad_act!H7=0,0,H21/TrRoad_act!H7*1000)</f>
        <v>156.65051610601526</v>
      </c>
      <c r="I85" s="87">
        <f>IF(TrRoad_act!I7=0,0,I21/TrRoad_act!I7*1000)</f>
        <v>160.46386518595264</v>
      </c>
      <c r="J85" s="87">
        <f>IF(TrRoad_act!J7=0,0,J21/TrRoad_act!J7*1000)</f>
        <v>158.7949630146021</v>
      </c>
      <c r="K85" s="87">
        <f>IF(TrRoad_act!K7=0,0,K21/TrRoad_act!K7*1000)</f>
        <v>157.94817037258764</v>
      </c>
      <c r="L85" s="87">
        <f>IF(TrRoad_act!L7=0,0,L21/TrRoad_act!L7*1000)</f>
        <v>149.93212606009175</v>
      </c>
      <c r="M85" s="87">
        <f>IF(TrRoad_act!M7=0,0,M21/TrRoad_act!M7*1000)</f>
        <v>147.33983898954619</v>
      </c>
      <c r="N85" s="87">
        <f>IF(TrRoad_act!N7=0,0,N21/TrRoad_act!N7*1000)</f>
        <v>144.20529385425655</v>
      </c>
      <c r="O85" s="87">
        <f>IF(TrRoad_act!O7=0,0,O21/TrRoad_act!O7*1000)</f>
        <v>146.10903544940817</v>
      </c>
      <c r="P85" s="87">
        <f>IF(TrRoad_act!P7=0,0,P21/TrRoad_act!P7*1000)</f>
        <v>147.61106666359737</v>
      </c>
      <c r="Q85" s="87">
        <f>IF(TrRoad_act!Q7=0,0,Q21/TrRoad_act!Q7*1000)</f>
        <v>151.87108333649692</v>
      </c>
      <c r="R85" s="87">
        <f>IF(TrRoad_act!R7=0,0,R21/TrRoad_act!R7*1000)</f>
        <v>151.9143526223632</v>
      </c>
      <c r="S85" s="87">
        <f>IF(TrRoad_act!S7=0,0,S21/TrRoad_act!S7*1000)</f>
        <v>138.05420981764942</v>
      </c>
      <c r="T85" s="87">
        <f>IF(TrRoad_act!T7=0,0,T21/TrRoad_act!T7*1000)</f>
        <v>133.28902062813768</v>
      </c>
      <c r="U85" s="87">
        <f>IF(TrRoad_act!U7=0,0,U21/TrRoad_act!U7*1000)</f>
        <v>130.35023981114244</v>
      </c>
      <c r="V85" s="87">
        <f>IF(TrRoad_act!V7=0,0,V21/TrRoad_act!V7*1000)</f>
        <v>124.08333582735786</v>
      </c>
      <c r="W85" s="87">
        <f>IF(TrRoad_act!W7=0,0,W21/TrRoad_act!W7*1000)</f>
        <v>128.43473405384131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157.92748122168177</v>
      </c>
      <c r="C86" s="87">
        <f>IF(TrRoad_act!C8=0,0,C22/TrRoad_act!C8*1000)</f>
        <v>156.96630851486833</v>
      </c>
      <c r="D86" s="87">
        <f>IF(TrRoad_act!D8=0,0,D22/TrRoad_act!D8*1000)</f>
        <v>152.66896102739747</v>
      </c>
      <c r="E86" s="87">
        <f>IF(TrRoad_act!E8=0,0,E22/TrRoad_act!E8*1000)</f>
        <v>159.39711897221395</v>
      </c>
      <c r="F86" s="87">
        <f>IF(TrRoad_act!F8=0,0,F22/TrRoad_act!F8*1000)</f>
        <v>159.08932842411451</v>
      </c>
      <c r="G86" s="87">
        <f>IF(TrRoad_act!G8=0,0,G22/TrRoad_act!G8*1000)</f>
        <v>152.00405946721389</v>
      </c>
      <c r="H86" s="87">
        <f>IF(TrRoad_act!H8=0,0,H22/TrRoad_act!H8*1000)</f>
        <v>155.67009816978995</v>
      </c>
      <c r="I86" s="87">
        <f>IF(TrRoad_act!I8=0,0,I22/TrRoad_act!I8*1000)</f>
        <v>158.02483886429312</v>
      </c>
      <c r="J86" s="87">
        <f>IF(TrRoad_act!J8=0,0,J22/TrRoad_act!J8*1000)</f>
        <v>156.05392328270375</v>
      </c>
      <c r="K86" s="87">
        <f>IF(TrRoad_act!K8=0,0,K22/TrRoad_act!K8*1000)</f>
        <v>153.39758101002548</v>
      </c>
      <c r="L86" s="87">
        <f>IF(TrRoad_act!L8=0,0,L22/TrRoad_act!L8*1000)</f>
        <v>145.33249211706632</v>
      </c>
      <c r="M86" s="87">
        <f>IF(TrRoad_act!M8=0,0,M22/TrRoad_act!M8*1000)</f>
        <v>143.08085534327415</v>
      </c>
      <c r="N86" s="87">
        <f>IF(TrRoad_act!N8=0,0,N22/TrRoad_act!N8*1000)</f>
        <v>138.76403689902367</v>
      </c>
      <c r="O86" s="87">
        <f>IF(TrRoad_act!O8=0,0,O22/TrRoad_act!O8*1000)</f>
        <v>140.72077759721546</v>
      </c>
      <c r="P86" s="87">
        <f>IF(TrRoad_act!P8=0,0,P22/TrRoad_act!P8*1000)</f>
        <v>138.0502235797037</v>
      </c>
      <c r="Q86" s="87">
        <f>IF(TrRoad_act!Q8=0,0,Q22/TrRoad_act!Q8*1000)</f>
        <v>146.1655813120538</v>
      </c>
      <c r="R86" s="87">
        <f>IF(TrRoad_act!R8=0,0,R22/TrRoad_act!R8*1000)</f>
        <v>140.40667375781931</v>
      </c>
      <c r="S86" s="87">
        <f>IF(TrRoad_act!S8=0,0,S22/TrRoad_act!S8*1000)</f>
        <v>134.2445382633606</v>
      </c>
      <c r="T86" s="87">
        <f>IF(TrRoad_act!T8=0,0,T22/TrRoad_act!T8*1000)</f>
        <v>132.92865205996497</v>
      </c>
      <c r="U86" s="87">
        <f>IF(TrRoad_act!U8=0,0,U22/TrRoad_act!U8*1000)</f>
        <v>129.66517694872664</v>
      </c>
      <c r="V86" s="87">
        <f>IF(TrRoad_act!V8=0,0,V22/TrRoad_act!V8*1000)</f>
        <v>121.12199618091942</v>
      </c>
      <c r="W86" s="87">
        <f>IF(TrRoad_act!W8=0,0,W22/TrRoad_act!W8*1000)</f>
        <v>122.30303148727759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138.57149489805934</v>
      </c>
      <c r="C87" s="87">
        <f>IF(TrRoad_act!C9=0,0,C23/TrRoad_act!C9*1000)</f>
        <v>148.43280881271016</v>
      </c>
      <c r="D87" s="87">
        <f>IF(TrRoad_act!D9=0,0,D23/TrRoad_act!D9*1000)</f>
        <v>120.02693549267734</v>
      </c>
      <c r="E87" s="87">
        <f>IF(TrRoad_act!E9=0,0,E23/TrRoad_act!E9*1000)</f>
        <v>119.01406410834228</v>
      </c>
      <c r="F87" s="87">
        <f>IF(TrRoad_act!F9=0,0,F23/TrRoad_act!F9*1000)</f>
        <v>119.67436023691556</v>
      </c>
      <c r="G87" s="87">
        <f>IF(TrRoad_act!G9=0,0,G23/TrRoad_act!G9*1000)</f>
        <v>126.84642521635057</v>
      </c>
      <c r="H87" s="87">
        <f>IF(TrRoad_act!H9=0,0,H23/TrRoad_act!H9*1000)</f>
        <v>139.34713547794524</v>
      </c>
      <c r="I87" s="87">
        <f>IF(TrRoad_act!I9=0,0,I23/TrRoad_act!I9*1000)</f>
        <v>132.89600459789889</v>
      </c>
      <c r="J87" s="87">
        <f>IF(TrRoad_act!J9=0,0,J23/TrRoad_act!J9*1000)</f>
        <v>136.86249763149797</v>
      </c>
      <c r="K87" s="87">
        <f>IF(TrRoad_act!K9=0,0,K23/TrRoad_act!K9*1000)</f>
        <v>146.0152663350521</v>
      </c>
      <c r="L87" s="87">
        <f>IF(TrRoad_act!L9=0,0,L23/TrRoad_act!L9*1000)</f>
        <v>151.75197017375783</v>
      </c>
      <c r="M87" s="87">
        <f>IF(TrRoad_act!M9=0,0,M23/TrRoad_act!M9*1000)</f>
        <v>148.04505615535666</v>
      </c>
      <c r="N87" s="87">
        <f>IF(TrRoad_act!N9=0,0,N23/TrRoad_act!N9*1000)</f>
        <v>138.87710139655704</v>
      </c>
      <c r="O87" s="87">
        <f>IF(TrRoad_act!O9=0,0,O23/TrRoad_act!O9*1000)</f>
        <v>145.30133628113236</v>
      </c>
      <c r="P87" s="87">
        <f>IF(TrRoad_act!P9=0,0,P23/TrRoad_act!P9*1000)</f>
        <v>146.041897709284</v>
      </c>
      <c r="Q87" s="87">
        <f>IF(TrRoad_act!Q9=0,0,Q23/TrRoad_act!Q9*1000)</f>
        <v>167.33455554960724</v>
      </c>
      <c r="R87" s="87">
        <f>IF(TrRoad_act!R9=0,0,R23/TrRoad_act!R9*1000)</f>
        <v>191.32371487913483</v>
      </c>
      <c r="S87" s="87">
        <f>IF(TrRoad_act!S9=0,0,S23/TrRoad_act!S9*1000)</f>
        <v>171.22443519887707</v>
      </c>
      <c r="T87" s="87">
        <f>IF(TrRoad_act!T9=0,0,T23/TrRoad_act!T9*1000)</f>
        <v>163.98360126188109</v>
      </c>
      <c r="U87" s="87">
        <f>IF(TrRoad_act!U9=0,0,U23/TrRoad_act!U9*1000)</f>
        <v>166.96396396562901</v>
      </c>
      <c r="V87" s="87">
        <f>IF(TrRoad_act!V9=0,0,V23/TrRoad_act!V9*1000)</f>
        <v>162.2696067837532</v>
      </c>
      <c r="W87" s="87">
        <f>IF(TrRoad_act!W9=0,0,W23/TrRoad_act!W9*1000)</f>
        <v>159.7300280731709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130.39929460780601</v>
      </c>
      <c r="G88" s="87">
        <f>IF(TrRoad_act!G10=0,0,G24/TrRoad_act!G10*1000)</f>
        <v>123.65859214500821</v>
      </c>
      <c r="H88" s="87">
        <f>IF(TrRoad_act!H10=0,0,H24/TrRoad_act!H10*1000)</f>
        <v>118.97286167551638</v>
      </c>
      <c r="I88" s="87">
        <f>IF(TrRoad_act!I10=0,0,I24/TrRoad_act!I10*1000)</f>
        <v>121.85376515472154</v>
      </c>
      <c r="J88" s="87">
        <f>IF(TrRoad_act!J10=0,0,J24/TrRoad_act!J10*1000)</f>
        <v>78.665086272248487</v>
      </c>
      <c r="K88" s="87">
        <f>IF(TrRoad_act!K10=0,0,K24/TrRoad_act!K10*1000)</f>
        <v>59.403644832368705</v>
      </c>
      <c r="L88" s="87">
        <f>IF(TrRoad_act!L10=0,0,L24/TrRoad_act!L10*1000)</f>
        <v>49.219154506944861</v>
      </c>
      <c r="M88" s="87">
        <f>IF(TrRoad_act!M10=0,0,M24/TrRoad_act!M10*1000)</f>
        <v>57.283210113742946</v>
      </c>
      <c r="N88" s="87">
        <f>IF(TrRoad_act!N10=0,0,N24/TrRoad_act!N10*1000)</f>
        <v>119.40121641046174</v>
      </c>
      <c r="O88" s="87">
        <f>IF(TrRoad_act!O10=0,0,O24/TrRoad_act!O10*1000)</f>
        <v>177.53536638323843</v>
      </c>
      <c r="P88" s="87">
        <f>IF(TrRoad_act!P10=0,0,P24/TrRoad_act!P10*1000)</f>
        <v>119.11731541411589</v>
      </c>
      <c r="Q88" s="87">
        <f>IF(TrRoad_act!Q10=0,0,Q24/TrRoad_act!Q10*1000)</f>
        <v>151.38804510973134</v>
      </c>
      <c r="R88" s="87">
        <f>IF(TrRoad_act!R10=0,0,R24/TrRoad_act!R10*1000)</f>
        <v>140.61853744393238</v>
      </c>
      <c r="S88" s="87">
        <f>IF(TrRoad_act!S10=0,0,S24/TrRoad_act!S10*1000)</f>
        <v>135.78495951579998</v>
      </c>
      <c r="T88" s="87">
        <f>IF(TrRoad_act!T10=0,0,T24/TrRoad_act!T10*1000)</f>
        <v>135.00141768073115</v>
      </c>
      <c r="U88" s="87">
        <f>IF(TrRoad_act!U10=0,0,U24/TrRoad_act!U10*1000)</f>
        <v>168.15864426176989</v>
      </c>
      <c r="V88" s="87">
        <f>IF(TrRoad_act!V10=0,0,V24/TrRoad_act!V10*1000)</f>
        <v>233.66414587483661</v>
      </c>
      <c r="W88" s="87">
        <f>IF(TrRoad_act!W10=0,0,W24/TrRoad_act!W10*1000)</f>
        <v>328.41692358957334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56.050602487381809</v>
      </c>
      <c r="N89" s="87">
        <f>IF(TrRoad_act!N11=0,0,N25/TrRoad_act!N11*1000)</f>
        <v>34.819607822384491</v>
      </c>
      <c r="O89" s="87">
        <f>IF(TrRoad_act!O11=0,0,O25/TrRoad_act!O11*1000)</f>
        <v>40.309294954037718</v>
      </c>
      <c r="P89" s="87">
        <f>IF(TrRoad_act!P11=0,0,P25/TrRoad_act!P11*1000)</f>
        <v>46.587470260556486</v>
      </c>
      <c r="Q89" s="87">
        <f>IF(TrRoad_act!Q11=0,0,Q25/TrRoad_act!Q11*1000)</f>
        <v>57.945941188639019</v>
      </c>
      <c r="R89" s="87">
        <f>IF(TrRoad_act!R11=0,0,R25/TrRoad_act!R11*1000)</f>
        <v>63.243826932810833</v>
      </c>
      <c r="S89" s="87">
        <f>IF(TrRoad_act!S11=0,0,S25/TrRoad_act!S11*1000)</f>
        <v>58.646498292572517</v>
      </c>
      <c r="T89" s="87">
        <f>IF(TrRoad_act!T11=0,0,T25/TrRoad_act!T11*1000)</f>
        <v>56.959239744758953</v>
      </c>
      <c r="U89" s="87">
        <f>IF(TrRoad_act!U11=0,0,U25/TrRoad_act!U11*1000)</f>
        <v>52.972064746992565</v>
      </c>
      <c r="V89" s="87">
        <f>IF(TrRoad_act!V11=0,0,V25/TrRoad_act!V11*1000)</f>
        <v>44.663557710991228</v>
      </c>
      <c r="W89" s="87">
        <f>IF(TrRoad_act!W11=0,0,W25/TrRoad_act!W11*1000)</f>
        <v>44.192565497380585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91.508147942543133</v>
      </c>
      <c r="C91" s="116">
        <f>IF(TrRoad_act!C13=0,0,C27/TrRoad_act!C13*1000)</f>
        <v>87.599802257422382</v>
      </c>
      <c r="D91" s="116">
        <f>IF(TrRoad_act!D13=0,0,D27/TrRoad_act!D13*1000)</f>
        <v>80.225653692424359</v>
      </c>
      <c r="E91" s="116">
        <f>IF(TrRoad_act!E13=0,0,E27/TrRoad_act!E13*1000)</f>
        <v>74.520161699241015</v>
      </c>
      <c r="F91" s="116">
        <f>IF(TrRoad_act!F13=0,0,F27/TrRoad_act!F13*1000)</f>
        <v>71.869832711907407</v>
      </c>
      <c r="G91" s="116">
        <f>IF(TrRoad_act!G13=0,0,G27/TrRoad_act!G13*1000)</f>
        <v>68.901033936608044</v>
      </c>
      <c r="H91" s="116">
        <f>IF(TrRoad_act!H13=0,0,H27/TrRoad_act!H13*1000)</f>
        <v>65.200368628439776</v>
      </c>
      <c r="I91" s="116">
        <f>IF(TrRoad_act!I13=0,0,I27/TrRoad_act!I13*1000)</f>
        <v>62.137586482584879</v>
      </c>
      <c r="J91" s="116">
        <f>IF(TrRoad_act!J13=0,0,J27/TrRoad_act!J13*1000)</f>
        <v>67.42078671746215</v>
      </c>
      <c r="K91" s="116">
        <f>IF(TrRoad_act!K13=0,0,K27/TrRoad_act!K13*1000)</f>
        <v>65.099519125054883</v>
      </c>
      <c r="L91" s="116">
        <f>IF(TrRoad_act!L13=0,0,L27/TrRoad_act!L13*1000)</f>
        <v>63.849456565976432</v>
      </c>
      <c r="M91" s="116">
        <f>IF(TrRoad_act!M13=0,0,M27/TrRoad_act!M13*1000)</f>
        <v>60.741638187130199</v>
      </c>
      <c r="N91" s="116">
        <f>IF(TrRoad_act!N13=0,0,N27/TrRoad_act!N13*1000)</f>
        <v>58.07065682360426</v>
      </c>
      <c r="O91" s="116">
        <f>IF(TrRoad_act!O13=0,0,O27/TrRoad_act!O13*1000)</f>
        <v>64.155170102168114</v>
      </c>
      <c r="P91" s="116">
        <f>IF(TrRoad_act!P13=0,0,P27/TrRoad_act!P13*1000)</f>
        <v>66.167259970247585</v>
      </c>
      <c r="Q91" s="116">
        <f>IF(TrRoad_act!Q13=0,0,Q27/TrRoad_act!Q13*1000)</f>
        <v>75.47364266294052</v>
      </c>
      <c r="R91" s="116">
        <f>IF(TrRoad_act!R13=0,0,R27/TrRoad_act!R13*1000)</f>
        <v>75.304996361174943</v>
      </c>
      <c r="S91" s="116">
        <f>IF(TrRoad_act!S13=0,0,S27/TrRoad_act!S13*1000)</f>
        <v>78.751798459886629</v>
      </c>
      <c r="T91" s="116">
        <f>IF(TrRoad_act!T13=0,0,T27/TrRoad_act!T13*1000)</f>
        <v>81.865722034557081</v>
      </c>
      <c r="U91" s="116">
        <f>IF(TrRoad_act!U13=0,0,U27/TrRoad_act!U13*1000)</f>
        <v>81.981584061088327</v>
      </c>
      <c r="V91" s="116">
        <f>IF(TrRoad_act!V13=0,0,V27/TrRoad_act!V13*1000)</f>
        <v>118.92464286209247</v>
      </c>
      <c r="W91" s="116">
        <f>IF(TrRoad_act!W13=0,0,W27/TrRoad_act!W13*1000)</f>
        <v>119.47299737922243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69.877207602474371</v>
      </c>
      <c r="C92" s="101">
        <f>IF(TrRoad_act!C14=0,0,C28/TrRoad_act!C14*1000)</f>
        <v>68.210255367891932</v>
      </c>
      <c r="D92" s="101">
        <f>IF(TrRoad_act!D14=0,0,D28/TrRoad_act!D14*1000)</f>
        <v>63.794956624223516</v>
      </c>
      <c r="E92" s="101">
        <f>IF(TrRoad_act!E14=0,0,E28/TrRoad_act!E14*1000)</f>
        <v>59.387750375407514</v>
      </c>
      <c r="F92" s="101">
        <f>IF(TrRoad_act!F14=0,0,F28/TrRoad_act!F14*1000)</f>
        <v>57.311145022256859</v>
      </c>
      <c r="G92" s="101">
        <f>IF(TrRoad_act!G14=0,0,G28/TrRoad_act!G14*1000)</f>
        <v>55.503292452432291</v>
      </c>
      <c r="H92" s="101">
        <f>IF(TrRoad_act!H14=0,0,H28/TrRoad_act!H14*1000)</f>
        <v>52.756121786464327</v>
      </c>
      <c r="I92" s="101">
        <f>IF(TrRoad_act!I14=0,0,I28/TrRoad_act!I14*1000)</f>
        <v>50.683721955275168</v>
      </c>
      <c r="J92" s="101">
        <f>IF(TrRoad_act!J14=0,0,J28/TrRoad_act!J14*1000)</f>
        <v>54.959191697596701</v>
      </c>
      <c r="K92" s="101">
        <f>IF(TrRoad_act!K14=0,0,K28/TrRoad_act!K14*1000)</f>
        <v>53.418992889054316</v>
      </c>
      <c r="L92" s="101">
        <f>IF(TrRoad_act!L14=0,0,L28/TrRoad_act!L14*1000)</f>
        <v>52.052620036689326</v>
      </c>
      <c r="M92" s="101">
        <f>IF(TrRoad_act!M14=0,0,M28/TrRoad_act!M14*1000)</f>
        <v>49.599590805932181</v>
      </c>
      <c r="N92" s="101">
        <f>IF(TrRoad_act!N14=0,0,N28/TrRoad_act!N14*1000)</f>
        <v>47.997368773455541</v>
      </c>
      <c r="O92" s="101">
        <f>IF(TrRoad_act!O14=0,0,O28/TrRoad_act!O14*1000)</f>
        <v>52.957123190063918</v>
      </c>
      <c r="P92" s="101">
        <f>IF(TrRoad_act!P14=0,0,P28/TrRoad_act!P14*1000)</f>
        <v>56.112922126162921</v>
      </c>
      <c r="Q92" s="101">
        <f>IF(TrRoad_act!Q14=0,0,Q28/TrRoad_act!Q14*1000)</f>
        <v>61.321949564748778</v>
      </c>
      <c r="R92" s="101">
        <f>IF(TrRoad_act!R14=0,0,R28/TrRoad_act!R14*1000)</f>
        <v>60.168618211415691</v>
      </c>
      <c r="S92" s="101">
        <f>IF(TrRoad_act!S14=0,0,S28/TrRoad_act!S14*1000)</f>
        <v>59.052295846914149</v>
      </c>
      <c r="T92" s="101">
        <f>IF(TrRoad_act!T14=0,0,T28/TrRoad_act!T14*1000)</f>
        <v>58.864671204624685</v>
      </c>
      <c r="U92" s="101">
        <f>IF(TrRoad_act!U14=0,0,U28/TrRoad_act!U14*1000)</f>
        <v>58.398556251588502</v>
      </c>
      <c r="V92" s="101">
        <f>IF(TrRoad_act!V14=0,0,V28/TrRoad_act!V14*1000)</f>
        <v>73.638239007893574</v>
      </c>
      <c r="W92" s="101">
        <f>IF(TrRoad_act!W14=0,0,W28/TrRoad_act!W14*1000)</f>
        <v>73.217539990189977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91.631532095491636</v>
      </c>
      <c r="C93" s="101">
        <f>IF(TrRoad_act!C15=0,0,C29/TrRoad_act!C15*1000)</f>
        <v>87.709041181768598</v>
      </c>
      <c r="D93" s="101">
        <f>IF(TrRoad_act!D15=0,0,D29/TrRoad_act!D15*1000)</f>
        <v>80.311432725615916</v>
      </c>
      <c r="E93" s="101">
        <f>IF(TrRoad_act!E15=0,0,E29/TrRoad_act!E15*1000)</f>
        <v>74.59800075915075</v>
      </c>
      <c r="F93" s="101">
        <f>IF(TrRoad_act!F15=0,0,F29/TrRoad_act!F15*1000)</f>
        <v>71.943102013687906</v>
      </c>
      <c r="G93" s="101">
        <f>IF(TrRoad_act!G15=0,0,G29/TrRoad_act!G15*1000)</f>
        <v>69.04706243627048</v>
      </c>
      <c r="H93" s="101">
        <f>IF(TrRoad_act!H15=0,0,H29/TrRoad_act!H15*1000)</f>
        <v>65.334897880785149</v>
      </c>
      <c r="I93" s="101">
        <f>IF(TrRoad_act!I15=0,0,I29/TrRoad_act!I15*1000)</f>
        <v>62.258452572774978</v>
      </c>
      <c r="J93" s="101">
        <f>IF(TrRoad_act!J15=0,0,J29/TrRoad_act!J15*1000)</f>
        <v>67.541988960125096</v>
      </c>
      <c r="K93" s="101">
        <f>IF(TrRoad_act!K15=0,0,K29/TrRoad_act!K15*1000)</f>
        <v>65.213011161379413</v>
      </c>
      <c r="L93" s="101">
        <f>IF(TrRoad_act!L15=0,0,L29/TrRoad_act!L15*1000)</f>
        <v>63.954823159800362</v>
      </c>
      <c r="M93" s="101">
        <f>IF(TrRoad_act!M15=0,0,M29/TrRoad_act!M15*1000)</f>
        <v>60.838840638919599</v>
      </c>
      <c r="N93" s="101">
        <f>IF(TrRoad_act!N15=0,0,N29/TrRoad_act!N15*1000)</f>
        <v>58.158780304805937</v>
      </c>
      <c r="O93" s="101">
        <f>IF(TrRoad_act!O15=0,0,O29/TrRoad_act!O15*1000)</f>
        <v>64.253220418186402</v>
      </c>
      <c r="P93" s="101">
        <f>IF(TrRoad_act!P15=0,0,P29/TrRoad_act!P15*1000)</f>
        <v>66.270176125755995</v>
      </c>
      <c r="Q93" s="101">
        <f>IF(TrRoad_act!Q15=0,0,Q29/TrRoad_act!Q15*1000)</f>
        <v>75.585082577997497</v>
      </c>
      <c r="R93" s="101">
        <f>IF(TrRoad_act!R15=0,0,R29/TrRoad_act!R15*1000)</f>
        <v>75.420642627143835</v>
      </c>
      <c r="S93" s="101">
        <f>IF(TrRoad_act!S15=0,0,S29/TrRoad_act!S15*1000)</f>
        <v>78.876008288617655</v>
      </c>
      <c r="T93" s="101">
        <f>IF(TrRoad_act!T15=0,0,T29/TrRoad_act!T15*1000)</f>
        <v>82.046471268872807</v>
      </c>
      <c r="U93" s="101">
        <f>IF(TrRoad_act!U15=0,0,U29/TrRoad_act!U15*1000)</f>
        <v>82.369628844275439</v>
      </c>
      <c r="V93" s="101">
        <f>IF(TrRoad_act!V15=0,0,V29/TrRoad_act!V15*1000)</f>
        <v>119.60255411716827</v>
      </c>
      <c r="W93" s="101">
        <f>IF(TrRoad_act!W15=0,0,W29/TrRoad_act!W15*1000)</f>
        <v>119.85980096234103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0</v>
      </c>
      <c r="G94" s="101">
        <f>IF(TrRoad_act!G16=0,0,G30/TrRoad_act!G16*1000)</f>
        <v>0</v>
      </c>
      <c r="H94" s="101">
        <f>IF(TrRoad_act!H16=0,0,H30/TrRoad_act!H16*1000)</f>
        <v>0</v>
      </c>
      <c r="I94" s="101">
        <f>IF(TrRoad_act!I16=0,0,I30/TrRoad_act!I16*1000)</f>
        <v>0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0</v>
      </c>
      <c r="S94" s="101">
        <f>IF(TrRoad_act!S16=0,0,S30/TrRoad_act!S16*1000)</f>
        <v>0</v>
      </c>
      <c r="T94" s="101">
        <f>IF(TrRoad_act!T16=0,0,T30/TrRoad_act!T16*1000)</f>
        <v>0</v>
      </c>
      <c r="U94" s="101">
        <f>IF(TrRoad_act!U16=0,0,U30/TrRoad_act!U16*1000)</f>
        <v>0</v>
      </c>
      <c r="V94" s="101">
        <f>IF(TrRoad_act!V16=0,0,V30/TrRoad_act!V16*1000)</f>
        <v>0</v>
      </c>
      <c r="W94" s="101">
        <f>IF(TrRoad_act!W16=0,0,W30/TrRoad_act!W16*1000)</f>
        <v>0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0</v>
      </c>
      <c r="G95" s="101">
        <f>IF(TrRoad_act!G17=0,0,G31/TrRoad_act!G17*1000)</f>
        <v>0</v>
      </c>
      <c r="H95" s="101">
        <f>IF(TrRoad_act!H17=0,0,H31/TrRoad_act!H17*1000)</f>
        <v>0</v>
      </c>
      <c r="I95" s="101">
        <f>IF(TrRoad_act!I17=0,0,I31/TrRoad_act!I17*1000)</f>
        <v>0</v>
      </c>
      <c r="J95" s="101">
        <f>IF(TrRoad_act!J17=0,0,J31/TrRoad_act!J17*1000)</f>
        <v>0</v>
      </c>
      <c r="K95" s="101">
        <f>IF(TrRoad_act!K17=0,0,K31/TrRoad_act!K17*1000)</f>
        <v>0</v>
      </c>
      <c r="L95" s="101">
        <f>IF(TrRoad_act!L17=0,0,L31/TrRoad_act!L17*1000)</f>
        <v>0</v>
      </c>
      <c r="M95" s="101">
        <f>IF(TrRoad_act!M17=0,0,M31/TrRoad_act!M17*1000)</f>
        <v>0</v>
      </c>
      <c r="N95" s="101">
        <f>IF(TrRoad_act!N17=0,0,N31/TrRoad_act!N17*1000)</f>
        <v>0</v>
      </c>
      <c r="O95" s="101">
        <f>IF(TrRoad_act!O17=0,0,O31/TrRoad_act!O17*1000)</f>
        <v>0</v>
      </c>
      <c r="P95" s="101">
        <f>IF(TrRoad_act!P17=0,0,P31/TrRoad_act!P17*1000)</f>
        <v>0</v>
      </c>
      <c r="Q95" s="101">
        <f>IF(TrRoad_act!Q17=0,0,Q31/TrRoad_act!Q17*1000)</f>
        <v>0</v>
      </c>
      <c r="R95" s="101">
        <f>IF(TrRoad_act!R17=0,0,R31/TrRoad_act!R17*1000)</f>
        <v>48.962103766174351</v>
      </c>
      <c r="S95" s="101">
        <f>IF(TrRoad_act!S17=0,0,S31/TrRoad_act!S17*1000)</f>
        <v>50.35162994681837</v>
      </c>
      <c r="T95" s="101">
        <f>IF(TrRoad_act!T17=0,0,T31/TrRoad_act!T17*1000)</f>
        <v>48.023297839118953</v>
      </c>
      <c r="U95" s="101">
        <f>IF(TrRoad_act!U17=0,0,U31/TrRoad_act!U17*1000)</f>
        <v>62.076293455552317</v>
      </c>
      <c r="V95" s="101">
        <f>IF(TrRoad_act!V17=0,0,V31/TrRoad_act!V17*1000)</f>
        <v>131.62564934952587</v>
      </c>
      <c r="W95" s="101">
        <f>IF(TrRoad_act!W17=0,0,W31/TrRoad_act!W17*1000)</f>
        <v>175.17371993471261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158.47697310933322</v>
      </c>
      <c r="C97" s="29">
        <f>IF(TrRoad_act!C19=0,0,C33/TrRoad_act!C19*1000)</f>
        <v>164.80425424439196</v>
      </c>
      <c r="D97" s="29">
        <f>IF(TrRoad_act!D19=0,0,D33/TrRoad_act!D19*1000)</f>
        <v>165.27770736146849</v>
      </c>
      <c r="E97" s="29">
        <f>IF(TrRoad_act!E19=0,0,E33/TrRoad_act!E19*1000)</f>
        <v>169.43945723269445</v>
      </c>
      <c r="F97" s="29">
        <f>IF(TrRoad_act!F19=0,0,F33/TrRoad_act!F19*1000)</f>
        <v>174.7466036938153</v>
      </c>
      <c r="G97" s="29">
        <f>IF(TrRoad_act!G19=0,0,G33/TrRoad_act!G19*1000)</f>
        <v>172.14145593099585</v>
      </c>
      <c r="H97" s="29">
        <f>IF(TrRoad_act!H19=0,0,H33/TrRoad_act!H19*1000)</f>
        <v>173.31452920233622</v>
      </c>
      <c r="I97" s="29">
        <f>IF(TrRoad_act!I19=0,0,I33/TrRoad_act!I19*1000)</f>
        <v>174.20076679386432</v>
      </c>
      <c r="J97" s="29">
        <f>IF(TrRoad_act!J19=0,0,J33/TrRoad_act!J19*1000)</f>
        <v>175.875220461179</v>
      </c>
      <c r="K97" s="29">
        <f>IF(TrRoad_act!K19=0,0,K33/TrRoad_act!K19*1000)</f>
        <v>176.31562792184829</v>
      </c>
      <c r="L97" s="29">
        <f>IF(TrRoad_act!L19=0,0,L33/TrRoad_act!L19*1000)</f>
        <v>168.23662117505506</v>
      </c>
      <c r="M97" s="29">
        <f>IF(TrRoad_act!M19=0,0,M33/TrRoad_act!M19*1000)</f>
        <v>165.26851996393242</v>
      </c>
      <c r="N97" s="29">
        <f>IF(TrRoad_act!N19=0,0,N33/TrRoad_act!N19*1000)</f>
        <v>158.21506467261429</v>
      </c>
      <c r="O97" s="29">
        <f>IF(TrRoad_act!O19=0,0,O33/TrRoad_act!O19*1000)</f>
        <v>153.26914627590682</v>
      </c>
      <c r="P97" s="29">
        <f>IF(TrRoad_act!P19=0,0,P33/TrRoad_act!P19*1000)</f>
        <v>153.92187631037007</v>
      </c>
      <c r="Q97" s="29">
        <f>IF(TrRoad_act!Q19=0,0,Q33/TrRoad_act!Q19*1000)</f>
        <v>164.38004343198602</v>
      </c>
      <c r="R97" s="29">
        <f>IF(TrRoad_act!R19=0,0,R33/TrRoad_act!R19*1000)</f>
        <v>165.16906985541209</v>
      </c>
      <c r="S97" s="29">
        <f>IF(TrRoad_act!S19=0,0,S33/TrRoad_act!S19*1000)</f>
        <v>168.74145438408803</v>
      </c>
      <c r="T97" s="29">
        <f>IF(TrRoad_act!T19=0,0,T33/TrRoad_act!T19*1000)</f>
        <v>177.50309197938941</v>
      </c>
      <c r="U97" s="29">
        <f>IF(TrRoad_act!U19=0,0,U33/TrRoad_act!U19*1000)</f>
        <v>172.67277009292422</v>
      </c>
      <c r="V97" s="29">
        <f>IF(TrRoad_act!V19=0,0,V33/TrRoad_act!V19*1000)</f>
        <v>153.78123767313343</v>
      </c>
      <c r="W97" s="29">
        <f>IF(TrRoad_act!W19=0,0,W33/TrRoad_act!W19*1000)</f>
        <v>168.47499479457002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4722.8364085601152</v>
      </c>
      <c r="C98" s="152">
        <f>IF(TrRoad_act!C20=0,0,C34/TrRoad_act!C20*1000)</f>
        <v>4442.9647308527674</v>
      </c>
      <c r="D98" s="152">
        <f>IF(TrRoad_act!D20=0,0,D34/TrRoad_act!D20*1000)</f>
        <v>4414.9581965754487</v>
      </c>
      <c r="E98" s="152">
        <f>IF(TrRoad_act!E20=0,0,E34/TrRoad_act!E20*1000)</f>
        <v>4204.9775468062571</v>
      </c>
      <c r="F98" s="152">
        <f>IF(TrRoad_act!F20=0,0,F34/TrRoad_act!F20*1000)</f>
        <v>4061.9636328929751</v>
      </c>
      <c r="G98" s="152">
        <f>IF(TrRoad_act!G20=0,0,G34/TrRoad_act!G20*1000)</f>
        <v>3913.357607199443</v>
      </c>
      <c r="H98" s="152">
        <f>IF(TrRoad_act!H20=0,0,H34/TrRoad_act!H20*1000)</f>
        <v>3805.8068982066925</v>
      </c>
      <c r="I98" s="152">
        <f>IF(TrRoad_act!I20=0,0,I34/TrRoad_act!I20*1000)</f>
        <v>3725.1670770455453</v>
      </c>
      <c r="J98" s="152">
        <f>IF(TrRoad_act!J20=0,0,J34/TrRoad_act!J20*1000)</f>
        <v>3616.7524428181159</v>
      </c>
      <c r="K98" s="152">
        <f>IF(TrRoad_act!K20=0,0,K34/TrRoad_act!K20*1000)</f>
        <v>3451.6350899262752</v>
      </c>
      <c r="L98" s="152">
        <f>IF(TrRoad_act!L20=0,0,L34/TrRoad_act!L20*1000)</f>
        <v>3300.0396248628181</v>
      </c>
      <c r="M98" s="152">
        <f>IF(TrRoad_act!M20=0,0,M34/TrRoad_act!M20*1000)</f>
        <v>3283.4303139952499</v>
      </c>
      <c r="N98" s="152">
        <f>IF(TrRoad_act!N20=0,0,N34/TrRoad_act!N20*1000)</f>
        <v>3230.6422174453619</v>
      </c>
      <c r="O98" s="152">
        <f>IF(TrRoad_act!O20=0,0,O34/TrRoad_act!O20*1000)</f>
        <v>3153.4769173438972</v>
      </c>
      <c r="P98" s="152">
        <f>IF(TrRoad_act!P20=0,0,P34/TrRoad_act!P20*1000)</f>
        <v>3101.8700958678028</v>
      </c>
      <c r="Q98" s="152">
        <f>IF(TrRoad_act!Q20=0,0,Q34/TrRoad_act!Q20*1000)</f>
        <v>3181.1810291793386</v>
      </c>
      <c r="R98" s="152">
        <f>IF(TrRoad_act!R20=0,0,R34/TrRoad_act!R20*1000)</f>
        <v>3007.5768094957007</v>
      </c>
      <c r="S98" s="152">
        <f>IF(TrRoad_act!S20=0,0,S34/TrRoad_act!S20*1000)</f>
        <v>2900.9559809726848</v>
      </c>
      <c r="T98" s="152">
        <f>IF(TrRoad_act!T20=0,0,T34/TrRoad_act!T20*1000)</f>
        <v>2848.7382759056277</v>
      </c>
      <c r="U98" s="152">
        <f>IF(TrRoad_act!U20=0,0,U34/TrRoad_act!U20*1000)</f>
        <v>2808.2024318650779</v>
      </c>
      <c r="V98" s="152">
        <f>IF(TrRoad_act!V20=0,0,V34/TrRoad_act!V20*1000)</f>
        <v>2625.7258395730764</v>
      </c>
      <c r="W98" s="152">
        <f>IF(TrRoad_act!W20=0,0,W34/TrRoad_act!W20*1000)</f>
        <v>2692.6136293896743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5099.7808331602546</v>
      </c>
      <c r="C99" s="87">
        <f>IF(TrRoad_act!C21=0,0,C35/TrRoad_act!C21*1000)</f>
        <v>4858.535835474202</v>
      </c>
      <c r="D99" s="87">
        <f>IF(TrRoad_act!D21=0,0,D35/TrRoad_act!D21*1000)</f>
        <v>4701.8116945894135</v>
      </c>
      <c r="E99" s="87">
        <f>IF(TrRoad_act!E21=0,0,E35/TrRoad_act!E21*1000)</f>
        <v>4486.6592732512136</v>
      </c>
      <c r="F99" s="87">
        <f>IF(TrRoad_act!F21=0,0,F35/TrRoad_act!F21*1000)</f>
        <v>4338.1434112510133</v>
      </c>
      <c r="G99" s="87">
        <f>IF(TrRoad_act!G21=0,0,G35/TrRoad_act!G21*1000)</f>
        <v>4259.1134445339503</v>
      </c>
      <c r="H99" s="87">
        <f>IF(TrRoad_act!H21=0,0,H35/TrRoad_act!H21*1000)</f>
        <v>4220.2716898451954</v>
      </c>
      <c r="I99" s="87">
        <f>IF(TrRoad_act!I21=0,0,I35/TrRoad_act!I21*1000)</f>
        <v>4102.6504216317726</v>
      </c>
      <c r="J99" s="87">
        <f>IF(TrRoad_act!J21=0,0,J35/TrRoad_act!J21*1000)</f>
        <v>3894.1957748135196</v>
      </c>
      <c r="K99" s="87">
        <f>IF(TrRoad_act!K21=0,0,K35/TrRoad_act!K21*1000)</f>
        <v>3675.7485457717144</v>
      </c>
      <c r="L99" s="87">
        <f>IF(TrRoad_act!L21=0,0,L35/TrRoad_act!L21*1000)</f>
        <v>3491.4424782089836</v>
      </c>
      <c r="M99" s="87">
        <f>IF(TrRoad_act!M21=0,0,M35/TrRoad_act!M21*1000)</f>
        <v>3507.2561425644835</v>
      </c>
      <c r="N99" s="87">
        <f>IF(TrRoad_act!N21=0,0,N35/TrRoad_act!N21*1000)</f>
        <v>3508.2824819367452</v>
      </c>
      <c r="O99" s="87">
        <f>IF(TrRoad_act!O21=0,0,O35/TrRoad_act!O21*1000)</f>
        <v>3463.8966739654916</v>
      </c>
      <c r="P99" s="87">
        <f>IF(TrRoad_act!P21=0,0,P35/TrRoad_act!P21*1000)</f>
        <v>3483.0526892374355</v>
      </c>
      <c r="Q99" s="87">
        <f>IF(TrRoad_act!Q21=0,0,Q35/TrRoad_act!Q21*1000)</f>
        <v>3441.2367653519177</v>
      </c>
      <c r="R99" s="87">
        <f>IF(TrRoad_act!R21=0,0,R35/TrRoad_act!R21*1000)</f>
        <v>3393.2682824772501</v>
      </c>
      <c r="S99" s="87">
        <f>IF(TrRoad_act!S21=0,0,S35/TrRoad_act!S21*1000)</f>
        <v>3218.5494666686232</v>
      </c>
      <c r="T99" s="87">
        <f>IF(TrRoad_act!T21=0,0,T35/TrRoad_act!T21*1000)</f>
        <v>3161.5917014824295</v>
      </c>
      <c r="U99" s="87">
        <f>IF(TrRoad_act!U21=0,0,U35/TrRoad_act!U21*1000)</f>
        <v>3131.5805150502083</v>
      </c>
      <c r="V99" s="87">
        <f>IF(TrRoad_act!V21=0,0,V35/TrRoad_act!V21*1000)</f>
        <v>2986.3040805356254</v>
      </c>
      <c r="W99" s="87">
        <f>IF(TrRoad_act!W21=0,0,W35/TrRoad_act!W21*1000)</f>
        <v>3008.1541823413731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4627.6969102006105</v>
      </c>
      <c r="C100" s="87">
        <f>IF(TrRoad_act!C22=0,0,C36/TrRoad_act!C22*1000)</f>
        <v>4351.4767472761832</v>
      </c>
      <c r="D100" s="87">
        <f>IF(TrRoad_act!D22=0,0,D36/TrRoad_act!D22*1000)</f>
        <v>4330.8668481653094</v>
      </c>
      <c r="E100" s="87">
        <f>IF(TrRoad_act!E22=0,0,E36/TrRoad_act!E22*1000)</f>
        <v>4128.9253553208</v>
      </c>
      <c r="F100" s="87">
        <f>IF(TrRoad_act!F22=0,0,F36/TrRoad_act!F22*1000)</f>
        <v>3993.9978615366936</v>
      </c>
      <c r="G100" s="87">
        <f>IF(TrRoad_act!G22=0,0,G36/TrRoad_act!G22*1000)</f>
        <v>3849.4996932473887</v>
      </c>
      <c r="H100" s="87">
        <f>IF(TrRoad_act!H22=0,0,H36/TrRoad_act!H22*1000)</f>
        <v>3746.2229043473294</v>
      </c>
      <c r="I100" s="87">
        <f>IF(TrRoad_act!I22=0,0,I36/TrRoad_act!I22*1000)</f>
        <v>3676.566668986412</v>
      </c>
      <c r="J100" s="87">
        <f>IF(TrRoad_act!J22=0,0,J36/TrRoad_act!J22*1000)</f>
        <v>3579.4709050129936</v>
      </c>
      <c r="K100" s="87">
        <f>IF(TrRoad_act!K22=0,0,K36/TrRoad_act!K22*1000)</f>
        <v>3421.8349441798055</v>
      </c>
      <c r="L100" s="87">
        <f>IF(TrRoad_act!L22=0,0,L36/TrRoad_act!L22*1000)</f>
        <v>3275.3700437545208</v>
      </c>
      <c r="M100" s="87">
        <f>IF(TrRoad_act!M22=0,0,M36/TrRoad_act!M22*1000)</f>
        <v>3259.3167518728801</v>
      </c>
      <c r="N100" s="87">
        <f>IF(TrRoad_act!N22=0,0,N36/TrRoad_act!N22*1000)</f>
        <v>3207.7498141466549</v>
      </c>
      <c r="O100" s="87">
        <f>IF(TrRoad_act!O22=0,0,O36/TrRoad_act!O22*1000)</f>
        <v>3133.481044519438</v>
      </c>
      <c r="P100" s="87">
        <f>IF(TrRoad_act!P22=0,0,P36/TrRoad_act!P22*1000)</f>
        <v>3083.1310024401664</v>
      </c>
      <c r="Q100" s="87">
        <f>IF(TrRoad_act!Q22=0,0,Q36/TrRoad_act!Q22*1000)</f>
        <v>3169.2818440720876</v>
      </c>
      <c r="R100" s="87">
        <f>IF(TrRoad_act!R22=0,0,R36/TrRoad_act!R22*1000)</f>
        <v>2992.5675313907177</v>
      </c>
      <c r="S100" s="87">
        <f>IF(TrRoad_act!S22=0,0,S36/TrRoad_act!S22*1000)</f>
        <v>2886.2503895943937</v>
      </c>
      <c r="T100" s="87">
        <f>IF(TrRoad_act!T22=0,0,T36/TrRoad_act!T22*1000)</f>
        <v>2834.1729425404769</v>
      </c>
      <c r="U100" s="87">
        <f>IF(TrRoad_act!U22=0,0,U36/TrRoad_act!U22*1000)</f>
        <v>2791.4404088128413</v>
      </c>
      <c r="V100" s="87">
        <f>IF(TrRoad_act!V22=0,0,V36/TrRoad_act!V22*1000)</f>
        <v>2601.8795292540167</v>
      </c>
      <c r="W100" s="87">
        <f>IF(TrRoad_act!W22=0,0,W36/TrRoad_act!W22*1000)</f>
        <v>2662.4409425740218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7556.5813728312878</v>
      </c>
      <c r="C101" s="87">
        <f>IF(TrRoad_act!C23=0,0,C37/TrRoad_act!C23*1000)</f>
        <v>7026.7617879073086</v>
      </c>
      <c r="D101" s="87">
        <f>IF(TrRoad_act!D23=0,0,D37/TrRoad_act!D23*1000)</f>
        <v>7038.1790199206844</v>
      </c>
      <c r="E101" s="87">
        <f>IF(TrRoad_act!E23=0,0,E37/TrRoad_act!E23*1000)</f>
        <v>6929.5117905138968</v>
      </c>
      <c r="F101" s="87">
        <f>IF(TrRoad_act!F23=0,0,F37/TrRoad_act!F23*1000)</f>
        <v>6720.1639476169576</v>
      </c>
      <c r="G101" s="87">
        <f>IF(TrRoad_act!G23=0,0,G37/TrRoad_act!G23*1000)</f>
        <v>6463.9744718353259</v>
      </c>
      <c r="H101" s="87">
        <f>IF(TrRoad_act!H23=0,0,H37/TrRoad_act!H23*1000)</f>
        <v>6191.4834796253999</v>
      </c>
      <c r="I101" s="87">
        <f>IF(TrRoad_act!I23=0,0,I37/TrRoad_act!I23*1000)</f>
        <v>6035.526529423958</v>
      </c>
      <c r="J101" s="87">
        <f>IF(TrRoad_act!J23=0,0,J37/TrRoad_act!J23*1000)</f>
        <v>5665.1672898486149</v>
      </c>
      <c r="K101" s="87">
        <f>IF(TrRoad_act!K23=0,0,K37/TrRoad_act!K23*1000)</f>
        <v>5300.4069734605519</v>
      </c>
      <c r="L101" s="87">
        <f>IF(TrRoad_act!L23=0,0,L37/TrRoad_act!L23*1000)</f>
        <v>5031.5772208910694</v>
      </c>
      <c r="M101" s="87">
        <f>IF(TrRoad_act!M23=0,0,M37/TrRoad_act!M23*1000)</f>
        <v>4902.5136669213489</v>
      </c>
      <c r="N101" s="87">
        <f>IF(TrRoad_act!N23=0,0,N37/TrRoad_act!N23*1000)</f>
        <v>4808.6119197604003</v>
      </c>
      <c r="O101" s="87">
        <f>IF(TrRoad_act!O23=0,0,O37/TrRoad_act!O23*1000)</f>
        <v>4698.6321950985994</v>
      </c>
      <c r="P101" s="87">
        <f>IF(TrRoad_act!P23=0,0,P37/TrRoad_act!P23*1000)</f>
        <v>4697.8319108816586</v>
      </c>
      <c r="Q101" s="87">
        <f>IF(TrRoad_act!Q23=0,0,Q37/TrRoad_act!Q23*1000)</f>
        <v>4745.8815605272666</v>
      </c>
      <c r="R101" s="87">
        <f>IF(TrRoad_act!R23=0,0,R37/TrRoad_act!R23*1000)</f>
        <v>4725.5313506322727</v>
      </c>
      <c r="S101" s="87">
        <f>IF(TrRoad_act!S23=0,0,S37/TrRoad_act!S23*1000)</f>
        <v>4695.2952709645633</v>
      </c>
      <c r="T101" s="87">
        <f>IF(TrRoad_act!T23=0,0,T37/TrRoad_act!T23*1000)</f>
        <v>4642.7987031891325</v>
      </c>
      <c r="U101" s="87">
        <f>IF(TrRoad_act!U23=0,0,U37/TrRoad_act!U23*1000)</f>
        <v>4612.1732105830706</v>
      </c>
      <c r="V101" s="87">
        <f>IF(TrRoad_act!V23=0,0,V37/TrRoad_act!V23*1000)</f>
        <v>4450.4606870362331</v>
      </c>
      <c r="W101" s="87">
        <f>IF(TrRoad_act!W23=0,0,W37/TrRoad_act!W23*1000)</f>
        <v>4528.0965077615947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3124.8212678327932</v>
      </c>
      <c r="K102" s="87">
        <f>IF(TrRoad_act!K24=0,0,K38/TrRoad_act!K24*1000)</f>
        <v>3103.5028049884222</v>
      </c>
      <c r="L102" s="87">
        <f>IF(TrRoad_act!L24=0,0,L38/TrRoad_act!L24*1000)</f>
        <v>3078.8875373763494</v>
      </c>
      <c r="M102" s="87">
        <f>IF(TrRoad_act!M24=0,0,M38/TrRoad_act!M24*1000)</f>
        <v>3057.1858046510533</v>
      </c>
      <c r="N102" s="87">
        <f>IF(TrRoad_act!N24=0,0,N38/TrRoad_act!N24*1000)</f>
        <v>3049.7338486057565</v>
      </c>
      <c r="O102" s="87">
        <f>IF(TrRoad_act!O24=0,0,O38/TrRoad_act!O24*1000)</f>
        <v>3333.4530421331401</v>
      </c>
      <c r="P102" s="87">
        <f>IF(TrRoad_act!P24=0,0,P38/TrRoad_act!P24*1000)</f>
        <v>2938.4563329196526</v>
      </c>
      <c r="Q102" s="87">
        <f>IF(TrRoad_act!Q24=0,0,Q38/TrRoad_act!Q24*1000)</f>
        <v>3339.8917891014207</v>
      </c>
      <c r="R102" s="87">
        <f>IF(TrRoad_act!R24=0,0,R38/TrRoad_act!R24*1000)</f>
        <v>3284.6470779852043</v>
      </c>
      <c r="S102" s="87">
        <f>IF(TrRoad_act!S24=0,0,S38/TrRoad_act!S24*1000)</f>
        <v>3187.1509354934478</v>
      </c>
      <c r="T102" s="87">
        <f>IF(TrRoad_act!T24=0,0,T38/TrRoad_act!T24*1000)</f>
        <v>3094.0597177621539</v>
      </c>
      <c r="U102" s="87">
        <f>IF(TrRoad_act!U24=0,0,U38/TrRoad_act!U24*1000)</f>
        <v>3901.873745427833</v>
      </c>
      <c r="V102" s="87">
        <f>IF(TrRoad_act!V24=0,0,V38/TrRoad_act!V24*1000)</f>
        <v>5495.3120823664849</v>
      </c>
      <c r="W102" s="87">
        <f>IF(TrRoad_act!W24=0,0,W38/TrRoad_act!W24*1000)</f>
        <v>8304.0336815425308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80.391417387837592</v>
      </c>
      <c r="C104" s="116">
        <f>IF(TrRoad_act!C26=0,0,C40/TrRoad_act!C26*1000)</f>
        <v>90.633783687141459</v>
      </c>
      <c r="D104" s="116">
        <f>IF(TrRoad_act!D26=0,0,D40/TrRoad_act!D26*1000)</f>
        <v>90.12926673962717</v>
      </c>
      <c r="E104" s="116">
        <f>IF(TrRoad_act!E26=0,0,E40/TrRoad_act!E26*1000)</f>
        <v>93.415455270296505</v>
      </c>
      <c r="F104" s="116">
        <f>IF(TrRoad_act!F26=0,0,F40/TrRoad_act!F26*1000)</f>
        <v>99.939846322982305</v>
      </c>
      <c r="G104" s="116">
        <f>IF(TrRoad_act!G26=0,0,G40/TrRoad_act!G26*1000)</f>
        <v>97.804727327199799</v>
      </c>
      <c r="H104" s="116">
        <f>IF(TrRoad_act!H26=0,0,H40/TrRoad_act!H26*1000)</f>
        <v>100.06401325953613</v>
      </c>
      <c r="I104" s="116">
        <f>IF(TrRoad_act!I26=0,0,I40/TrRoad_act!I26*1000)</f>
        <v>100.07796418103321</v>
      </c>
      <c r="J104" s="116">
        <f>IF(TrRoad_act!J26=0,0,J40/TrRoad_act!J26*1000)</f>
        <v>98.954052801980907</v>
      </c>
      <c r="K104" s="116">
        <f>IF(TrRoad_act!K26=0,0,K40/TrRoad_act!K26*1000)</f>
        <v>98.098924795338803</v>
      </c>
      <c r="L104" s="116">
        <f>IF(TrRoad_act!L26=0,0,L40/TrRoad_act!L26*1000)</f>
        <v>94.532123196096578</v>
      </c>
      <c r="M104" s="116">
        <f>IF(TrRoad_act!M26=0,0,M40/TrRoad_act!M26*1000)</f>
        <v>92.0841096286386</v>
      </c>
      <c r="N104" s="116">
        <f>IF(TrRoad_act!N26=0,0,N40/TrRoad_act!N26*1000)</f>
        <v>86.99458955846616</v>
      </c>
      <c r="O104" s="116">
        <f>IF(TrRoad_act!O26=0,0,O40/TrRoad_act!O26*1000)</f>
        <v>88.431985659605402</v>
      </c>
      <c r="P104" s="116">
        <f>IF(TrRoad_act!P26=0,0,P40/TrRoad_act!P26*1000)</f>
        <v>88.234805608564628</v>
      </c>
      <c r="Q104" s="116">
        <f>IF(TrRoad_act!Q26=0,0,Q40/TrRoad_act!Q26*1000)</f>
        <v>96.801486848354614</v>
      </c>
      <c r="R104" s="116">
        <f>IF(TrRoad_act!R26=0,0,R40/TrRoad_act!R26*1000)</f>
        <v>105.44356633420851</v>
      </c>
      <c r="S104" s="116">
        <f>IF(TrRoad_act!S26=0,0,S40/TrRoad_act!S26*1000)</f>
        <v>113.92477521569421</v>
      </c>
      <c r="T104" s="116">
        <f>IF(TrRoad_act!T26=0,0,T40/TrRoad_act!T26*1000)</f>
        <v>122.57118288275851</v>
      </c>
      <c r="U104" s="116">
        <f>IF(TrRoad_act!U26=0,0,U40/TrRoad_act!U26*1000)</f>
        <v>119.12325990120527</v>
      </c>
      <c r="V104" s="116">
        <f>IF(TrRoad_act!V26=0,0,V40/TrRoad_act!V26*1000)</f>
        <v>105.32123926357697</v>
      </c>
      <c r="W104" s="116">
        <f>IF(TrRoad_act!W26=0,0,W40/TrRoad_act!W26*1000)</f>
        <v>115.08775865481715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91.373918809407385</v>
      </c>
      <c r="C105" s="101">
        <f>IF(TrRoad_act!C27=0,0,C41/TrRoad_act!C27*1000)</f>
        <v>104.96412919185873</v>
      </c>
      <c r="D105" s="101">
        <f>IF(TrRoad_act!D27=0,0,D41/TrRoad_act!D27*1000)</f>
        <v>106.77619901720445</v>
      </c>
      <c r="E105" s="101">
        <f>IF(TrRoad_act!E27=0,0,E41/TrRoad_act!E27*1000)</f>
        <v>109.16964425893721</v>
      </c>
      <c r="F105" s="101">
        <f>IF(TrRoad_act!F27=0,0,F41/TrRoad_act!F27*1000)</f>
        <v>120.31715524883822</v>
      </c>
      <c r="G105" s="101">
        <f>IF(TrRoad_act!G27=0,0,G41/TrRoad_act!G27*1000)</f>
        <v>114.32447716410304</v>
      </c>
      <c r="H105" s="101">
        <f>IF(TrRoad_act!H27=0,0,H41/TrRoad_act!H27*1000)</f>
        <v>117.18021386435024</v>
      </c>
      <c r="I105" s="101">
        <f>IF(TrRoad_act!I27=0,0,I41/TrRoad_act!I27*1000)</f>
        <v>116.45751171777439</v>
      </c>
      <c r="J105" s="101">
        <f>IF(TrRoad_act!J27=0,0,J41/TrRoad_act!J27*1000)</f>
        <v>106.77540524564026</v>
      </c>
      <c r="K105" s="101">
        <f>IF(TrRoad_act!K27=0,0,K41/TrRoad_act!K27*1000)</f>
        <v>105.55366711414975</v>
      </c>
      <c r="L105" s="101">
        <f>IF(TrRoad_act!L27=0,0,L41/TrRoad_act!L27*1000)</f>
        <v>103.1851169247692</v>
      </c>
      <c r="M105" s="101">
        <f>IF(TrRoad_act!M27=0,0,M41/TrRoad_act!M27*1000)</f>
        <v>102.15314429349885</v>
      </c>
      <c r="N105" s="101">
        <f>IF(TrRoad_act!N27=0,0,N41/TrRoad_act!N27*1000)</f>
        <v>94.966172038003094</v>
      </c>
      <c r="O105" s="101">
        <f>IF(TrRoad_act!O27=0,0,O41/TrRoad_act!O27*1000)</f>
        <v>96.282538904816803</v>
      </c>
      <c r="P105" s="101">
        <f>IF(TrRoad_act!P27=0,0,P41/TrRoad_act!P27*1000)</f>
        <v>97.55324366323822</v>
      </c>
      <c r="Q105" s="101">
        <f>IF(TrRoad_act!Q27=0,0,Q41/TrRoad_act!Q27*1000)</f>
        <v>108.44231785562327</v>
      </c>
      <c r="R105" s="101">
        <f>IF(TrRoad_act!R27=0,0,R41/TrRoad_act!R27*1000)</f>
        <v>115.7297942532614</v>
      </c>
      <c r="S105" s="101">
        <f>IF(TrRoad_act!S27=0,0,S41/TrRoad_act!S27*1000)</f>
        <v>128.95142281250762</v>
      </c>
      <c r="T105" s="101">
        <f>IF(TrRoad_act!T27=0,0,T41/TrRoad_act!T27*1000)</f>
        <v>133.36150710136093</v>
      </c>
      <c r="U105" s="101">
        <f>IF(TrRoad_act!U27=0,0,U41/TrRoad_act!U27*1000)</f>
        <v>130.52405829147645</v>
      </c>
      <c r="V105" s="101">
        <f>IF(TrRoad_act!V27=0,0,V41/TrRoad_act!V27*1000)</f>
        <v>110.82126518066141</v>
      </c>
      <c r="W105" s="101">
        <f>IF(TrRoad_act!W27=0,0,W41/TrRoad_act!W27*1000)</f>
        <v>121.97502619822512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69.451792079163084</v>
      </c>
      <c r="C106" s="88">
        <f>IF(TrRoad_act!C28=0,0,C42/TrRoad_act!C28*1000)</f>
        <v>76.761155665013419</v>
      </c>
      <c r="D106" s="88">
        <f>IF(TrRoad_act!D28=0,0,D42/TrRoad_act!D28*1000)</f>
        <v>75.039240371115056</v>
      </c>
      <c r="E106" s="88">
        <f>IF(TrRoad_act!E28=0,0,E42/TrRoad_act!E28*1000)</f>
        <v>79.917729958572153</v>
      </c>
      <c r="F106" s="88">
        <f>IF(TrRoad_act!F28=0,0,F42/TrRoad_act!F28*1000)</f>
        <v>85.027552021673728</v>
      </c>
      <c r="G106" s="88">
        <f>IF(TrRoad_act!G28=0,0,G42/TrRoad_act!G28*1000)</f>
        <v>86.21265406349184</v>
      </c>
      <c r="H106" s="88">
        <f>IF(TrRoad_act!H28=0,0,H42/TrRoad_act!H28*1000)</f>
        <v>88.221079174055092</v>
      </c>
      <c r="I106" s="88">
        <f>IF(TrRoad_act!I28=0,0,I42/TrRoad_act!I28*1000)</f>
        <v>89.131079297104762</v>
      </c>
      <c r="J106" s="88">
        <f>IF(TrRoad_act!J28=0,0,J42/TrRoad_act!J28*1000)</f>
        <v>94.018312392775798</v>
      </c>
      <c r="K106" s="88">
        <f>IF(TrRoad_act!K28=0,0,K42/TrRoad_act!K28*1000)</f>
        <v>93.206622226227125</v>
      </c>
      <c r="L106" s="88">
        <f>IF(TrRoad_act!L28=0,0,L42/TrRoad_act!L28*1000)</f>
        <v>89.0207802536804</v>
      </c>
      <c r="M106" s="88">
        <f>IF(TrRoad_act!M28=0,0,M42/TrRoad_act!M28*1000)</f>
        <v>85.65925768581171</v>
      </c>
      <c r="N106" s="88">
        <f>IF(TrRoad_act!N28=0,0,N42/TrRoad_act!N28*1000)</f>
        <v>81.754013007447398</v>
      </c>
      <c r="O106" s="88">
        <f>IF(TrRoad_act!O28=0,0,O42/TrRoad_act!O28*1000)</f>
        <v>83.225253539647269</v>
      </c>
      <c r="P106" s="88">
        <f>IF(TrRoad_act!P28=0,0,P42/TrRoad_act!P28*1000)</f>
        <v>82.029823153631597</v>
      </c>
      <c r="Q106" s="88">
        <f>IF(TrRoad_act!Q28=0,0,Q42/TrRoad_act!Q28*1000)</f>
        <v>88.318678823660761</v>
      </c>
      <c r="R106" s="88">
        <f>IF(TrRoad_act!R28=0,0,R42/TrRoad_act!R28*1000)</f>
        <v>98.312048991366311</v>
      </c>
      <c r="S106" s="88">
        <f>IF(TrRoad_act!S28=0,0,S42/TrRoad_act!S28*1000)</f>
        <v>104.08567761963592</v>
      </c>
      <c r="T106" s="88">
        <f>IF(TrRoad_act!T28=0,0,T42/TrRoad_act!T28*1000)</f>
        <v>115.2445644797031</v>
      </c>
      <c r="U106" s="88">
        <f>IF(TrRoad_act!U28=0,0,U42/TrRoad_act!U28*1000)</f>
        <v>111.0573156932788</v>
      </c>
      <c r="V106" s="88">
        <f>IF(TrRoad_act!V28=0,0,V42/TrRoad_act!V28*1000)</f>
        <v>101.42600551887956</v>
      </c>
      <c r="W106" s="88">
        <f>IF(TrRoad_act!W28=0,0,W42/TrRoad_act!W28*1000)</f>
        <v>110.00115397850595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627.06588408466519</v>
      </c>
      <c r="C110" s="152">
        <f>IF(C19=0,0,1000000*C19/TrRoad_act!C59)</f>
        <v>614.8477374645397</v>
      </c>
      <c r="D110" s="152">
        <f>IF(D19=0,0,1000000*D19/TrRoad_act!D59)</f>
        <v>617.86427669244028</v>
      </c>
      <c r="E110" s="152">
        <f>IF(E19=0,0,1000000*E19/TrRoad_act!E59)</f>
        <v>611.00801758150487</v>
      </c>
      <c r="F110" s="152">
        <f>IF(F19=0,0,1000000*F19/TrRoad_act!F59)</f>
        <v>608.24757629020655</v>
      </c>
      <c r="G110" s="152">
        <f>IF(G19=0,0,1000000*G19/TrRoad_act!G59)</f>
        <v>541.08980698367907</v>
      </c>
      <c r="H110" s="152">
        <f>IF(H19=0,0,1000000*H19/TrRoad_act!H59)</f>
        <v>534.75691108761055</v>
      </c>
      <c r="I110" s="152">
        <f>IF(I19=0,0,1000000*I19/TrRoad_act!I59)</f>
        <v>529.29134767566234</v>
      </c>
      <c r="J110" s="152">
        <f>IF(J19=0,0,1000000*J19/TrRoad_act!J59)</f>
        <v>504.94095928020835</v>
      </c>
      <c r="K110" s="152">
        <f>IF(K19=0,0,1000000*K19/TrRoad_act!K59)</f>
        <v>464.55445235935269</v>
      </c>
      <c r="L110" s="152">
        <f>IF(L19=0,0,1000000*L19/TrRoad_act!L59)</f>
        <v>412.09226467010797</v>
      </c>
      <c r="M110" s="152">
        <f>IF(M19=0,0,1000000*M19/TrRoad_act!M59)</f>
        <v>391.54835312858586</v>
      </c>
      <c r="N110" s="152">
        <f>IF(N19=0,0,1000000*N19/TrRoad_act!N59)</f>
        <v>368.11346802149791</v>
      </c>
      <c r="O110" s="152">
        <f>IF(O19=0,0,1000000*O19/TrRoad_act!O59)</f>
        <v>342.18873512663845</v>
      </c>
      <c r="P110" s="152">
        <f>IF(P19=0,0,1000000*P19/TrRoad_act!P59)</f>
        <v>357.0663260629068</v>
      </c>
      <c r="Q110" s="152">
        <f>IF(Q19=0,0,1000000*Q19/TrRoad_act!Q59)</f>
        <v>343.83712559267929</v>
      </c>
      <c r="R110" s="152">
        <f>IF(R19=0,0,1000000*R19/TrRoad_act!R59)</f>
        <v>327.53883799481019</v>
      </c>
      <c r="S110" s="152">
        <f>IF(S19=0,0,1000000*S19/TrRoad_act!S59)</f>
        <v>299.84653905204704</v>
      </c>
      <c r="T110" s="152">
        <f>IF(T19=0,0,1000000*T19/TrRoad_act!T59)</f>
        <v>207.09474717363616</v>
      </c>
      <c r="U110" s="152">
        <f>IF(U19=0,0,1000000*U19/TrRoad_act!U59)</f>
        <v>209.67922042703137</v>
      </c>
      <c r="V110" s="152">
        <f>IF(V19=0,0,1000000*V19/TrRoad_act!V59)</f>
        <v>171.69503043461492</v>
      </c>
      <c r="W110" s="152">
        <f>IF(W19=0,0,1000000*W19/TrRoad_act!W59)</f>
        <v>160.66708412308358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3338.4050285560884</v>
      </c>
      <c r="C111" s="116">
        <f>IF(C20=0,0,1000000*C20/TrRoad_act!C60)</f>
        <v>3347.7856325309367</v>
      </c>
      <c r="D111" s="116">
        <f>IF(D20=0,0,1000000*D20/TrRoad_act!D60)</f>
        <v>3280.6943723696036</v>
      </c>
      <c r="E111" s="116">
        <f>IF(E20=0,0,1000000*E20/TrRoad_act!E60)</f>
        <v>3341.5018248233973</v>
      </c>
      <c r="F111" s="116">
        <f>IF(F20=0,0,1000000*F20/TrRoad_act!F60)</f>
        <v>3345.395539566362</v>
      </c>
      <c r="G111" s="116">
        <f>IF(G20=0,0,1000000*G20/TrRoad_act!G60)</f>
        <v>3173.9543455969465</v>
      </c>
      <c r="H111" s="116">
        <f>IF(H20=0,0,1000000*H20/TrRoad_act!H60)</f>
        <v>3214.7556547436807</v>
      </c>
      <c r="I111" s="116">
        <f>IF(I20=0,0,1000000*I20/TrRoad_act!I60)</f>
        <v>3282.441539605155</v>
      </c>
      <c r="J111" s="116">
        <f>IF(J20=0,0,1000000*J20/TrRoad_act!J60)</f>
        <v>3293.8060118369531</v>
      </c>
      <c r="K111" s="116">
        <f>IF(K20=0,0,1000000*K20/TrRoad_act!K60)</f>
        <v>3212.3963374079603</v>
      </c>
      <c r="L111" s="116">
        <f>IF(L20=0,0,1000000*L20/TrRoad_act!L60)</f>
        <v>3033.1888189475649</v>
      </c>
      <c r="M111" s="116">
        <f>IF(M20=0,0,1000000*M20/TrRoad_act!M60)</f>
        <v>2927.4594384754769</v>
      </c>
      <c r="N111" s="116">
        <f>IF(N20=0,0,1000000*N20/TrRoad_act!N60)</f>
        <v>2828.6340200872296</v>
      </c>
      <c r="O111" s="116">
        <f>IF(O20=0,0,1000000*O20/TrRoad_act!O60)</f>
        <v>2718.1563884976786</v>
      </c>
      <c r="P111" s="116">
        <f>IF(P20=0,0,1000000*P20/TrRoad_act!P60)</f>
        <v>2725.5943444711993</v>
      </c>
      <c r="Q111" s="116">
        <f>IF(Q20=0,0,1000000*Q20/TrRoad_act!Q60)</f>
        <v>2806.3625720795767</v>
      </c>
      <c r="R111" s="116">
        <f>IF(R20=0,0,1000000*R20/TrRoad_act!R60)</f>
        <v>2663.9227540094971</v>
      </c>
      <c r="S111" s="116">
        <f>IF(S20=0,0,1000000*S20/TrRoad_act!S60)</f>
        <v>2498.5506508319704</v>
      </c>
      <c r="T111" s="116">
        <f>IF(T20=0,0,1000000*T20/TrRoad_act!T60)</f>
        <v>2433.3251269920229</v>
      </c>
      <c r="U111" s="116">
        <f>IF(U20=0,0,1000000*U20/TrRoad_act!U60)</f>
        <v>2362.3286078104056</v>
      </c>
      <c r="V111" s="116">
        <f>IF(V20=0,0,1000000*V20/TrRoad_act!V60)</f>
        <v>1887.6102358974535</v>
      </c>
      <c r="W111" s="116">
        <f>IF(W20=0,0,1000000*W20/TrRoad_act!W60)</f>
        <v>2013.2236677610344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2321.2542220146993</v>
      </c>
      <c r="C112" s="87">
        <f>IF(C21=0,0,1000000*C21/TrRoad_act!C61)</f>
        <v>2302.1193841092454</v>
      </c>
      <c r="D112" s="87">
        <f>IF(D21=0,0,1000000*D21/TrRoad_act!D61)</f>
        <v>2233.6904497260612</v>
      </c>
      <c r="E112" s="87">
        <f>IF(E21=0,0,1000000*E21/TrRoad_act!E61)</f>
        <v>2313.0235164037508</v>
      </c>
      <c r="F112" s="87">
        <f>IF(F21=0,0,1000000*F21/TrRoad_act!F61)</f>
        <v>2166.3291467388472</v>
      </c>
      <c r="G112" s="87">
        <f>IF(G21=0,0,1000000*G21/TrRoad_act!G61)</f>
        <v>2054.6458216146693</v>
      </c>
      <c r="H112" s="87">
        <f>IF(H21=0,0,1000000*H21/TrRoad_act!H61)</f>
        <v>1973.7060534456725</v>
      </c>
      <c r="I112" s="87">
        <f>IF(I21=0,0,1000000*I21/TrRoad_act!I61)</f>
        <v>1927.9786357752271</v>
      </c>
      <c r="J112" s="87">
        <f>IF(J21=0,0,1000000*J21/TrRoad_act!J61)</f>
        <v>1828.4732652130303</v>
      </c>
      <c r="K112" s="87">
        <f>IF(K21=0,0,1000000*K21/TrRoad_act!K61)</f>
        <v>1790.5740725828286</v>
      </c>
      <c r="L112" s="87">
        <f>IF(L21=0,0,1000000*L21/TrRoad_act!L61)</f>
        <v>1633.4181080753847</v>
      </c>
      <c r="M112" s="87">
        <f>IF(M21=0,0,1000000*M21/TrRoad_act!M61)</f>
        <v>1585.1607411218415</v>
      </c>
      <c r="N112" s="87">
        <f>IF(N21=0,0,1000000*N21/TrRoad_act!N61)</f>
        <v>1563.8575254399666</v>
      </c>
      <c r="O112" s="87">
        <f>IF(O21=0,0,1000000*O21/TrRoad_act!O61)</f>
        <v>1557.8775987261076</v>
      </c>
      <c r="P112" s="87">
        <f>IF(P21=0,0,1000000*P21/TrRoad_act!P61)</f>
        <v>1649.4059510228199</v>
      </c>
      <c r="Q112" s="87">
        <f>IF(Q21=0,0,1000000*Q21/TrRoad_act!Q61)</f>
        <v>1714.0698401924735</v>
      </c>
      <c r="R112" s="87">
        <f>IF(R21=0,0,1000000*R21/TrRoad_act!R61)</f>
        <v>1763.4442601134517</v>
      </c>
      <c r="S112" s="87">
        <f>IF(S21=0,0,1000000*S21/TrRoad_act!S61)</f>
        <v>1653.1718327809817</v>
      </c>
      <c r="T112" s="87">
        <f>IF(T21=0,0,1000000*T21/TrRoad_act!T61)</f>
        <v>1712.4141894845861</v>
      </c>
      <c r="U112" s="87">
        <f>IF(U21=0,0,1000000*U21/TrRoad_act!U61)</f>
        <v>1782.8591356484537</v>
      </c>
      <c r="V112" s="87">
        <f>IF(V21=0,0,1000000*V21/TrRoad_act!V61)</f>
        <v>1392.3940763520714</v>
      </c>
      <c r="W112" s="87">
        <f>IF(W21=0,0,1000000*W21/TrRoad_act!W61)</f>
        <v>1614.1210600074096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4858.1649959639899</v>
      </c>
      <c r="C113" s="87">
        <f>IF(C22=0,0,1000000*C22/TrRoad_act!C62)</f>
        <v>4803.0176109484182</v>
      </c>
      <c r="D113" s="87">
        <f>IF(D22=0,0,1000000*D22/TrRoad_act!D62)</f>
        <v>4651.1906820979657</v>
      </c>
      <c r="E113" s="87">
        <f>IF(E22=0,0,1000000*E22/TrRoad_act!E62)</f>
        <v>4602.5509927004168</v>
      </c>
      <c r="F113" s="87">
        <f>IF(F22=0,0,1000000*F22/TrRoad_act!F62)</f>
        <v>4664.7453662259222</v>
      </c>
      <c r="G113" s="87">
        <f>IF(G22=0,0,1000000*G22/TrRoad_act!G62)</f>
        <v>4327.8773012895481</v>
      </c>
      <c r="H113" s="87">
        <f>IF(H22=0,0,1000000*H22/TrRoad_act!H62)</f>
        <v>4366.7189651543467</v>
      </c>
      <c r="I113" s="87">
        <f>IF(I22=0,0,1000000*I22/TrRoad_act!I62)</f>
        <v>4425.7536478377988</v>
      </c>
      <c r="J113" s="87">
        <f>IF(J22=0,0,1000000*J22/TrRoad_act!J62)</f>
        <v>4409.5644261562566</v>
      </c>
      <c r="K113" s="87">
        <f>IF(K22=0,0,1000000*K22/TrRoad_act!K62)</f>
        <v>4210.3451240958038</v>
      </c>
      <c r="L113" s="87">
        <f>IF(L22=0,0,1000000*L22/TrRoad_act!L62)</f>
        <v>3942.4309182531792</v>
      </c>
      <c r="M113" s="87">
        <f>IF(M22=0,0,1000000*M22/TrRoad_act!M62)</f>
        <v>3747.6161842565079</v>
      </c>
      <c r="N113" s="87">
        <f>IF(N22=0,0,1000000*N22/TrRoad_act!N62)</f>
        <v>3582.6818307165099</v>
      </c>
      <c r="O113" s="87">
        <f>IF(O22=0,0,1000000*O22/TrRoad_act!O62)</f>
        <v>3406.2885561540311</v>
      </c>
      <c r="P113" s="87">
        <f>IF(P22=0,0,1000000*P22/TrRoad_act!P62)</f>
        <v>3376.4785512154331</v>
      </c>
      <c r="Q113" s="87">
        <f>IF(Q22=0,0,1000000*Q22/TrRoad_act!Q62)</f>
        <v>3491.3162457589465</v>
      </c>
      <c r="R113" s="87">
        <f>IF(R22=0,0,1000000*R22/TrRoad_act!R62)</f>
        <v>3264.4622792045975</v>
      </c>
      <c r="S113" s="87">
        <f>IF(S22=0,0,1000000*S22/TrRoad_act!S62)</f>
        <v>3123.9327236577474</v>
      </c>
      <c r="T113" s="87">
        <f>IF(T22=0,0,1000000*T22/TrRoad_act!T62)</f>
        <v>3045.9424903149543</v>
      </c>
      <c r="U113" s="87">
        <f>IF(U22=0,0,1000000*U22/TrRoad_act!U62)</f>
        <v>2933.6728951823793</v>
      </c>
      <c r="V113" s="87">
        <f>IF(V22=0,0,1000000*V22/TrRoad_act!V62)</f>
        <v>2448.1522757459884</v>
      </c>
      <c r="W113" s="87">
        <f>IF(W22=0,0,1000000*W22/TrRoad_act!W62)</f>
        <v>2567.2314409526202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2341.9640434316084</v>
      </c>
      <c r="C114" s="87">
        <f>IF(C23=0,0,1000000*C23/TrRoad_act!C63)</f>
        <v>2399.9371230206339</v>
      </c>
      <c r="D114" s="87">
        <f>IF(D23=0,0,1000000*D23/TrRoad_act!D63)</f>
        <v>1933.9253322199313</v>
      </c>
      <c r="E114" s="87">
        <f>IF(E23=0,0,1000000*E23/TrRoad_act!E63)</f>
        <v>1761.9154463561188</v>
      </c>
      <c r="F114" s="87">
        <f>IF(F23=0,0,1000000*F23/TrRoad_act!F63)</f>
        <v>1802.5604474601625</v>
      </c>
      <c r="G114" s="87">
        <f>IF(G23=0,0,1000000*G23/TrRoad_act!G63)</f>
        <v>1897.0098566477161</v>
      </c>
      <c r="H114" s="87">
        <f>IF(H23=0,0,1000000*H23/TrRoad_act!H63)</f>
        <v>1995.992998586612</v>
      </c>
      <c r="I114" s="87">
        <f>IF(I23=0,0,1000000*I23/TrRoad_act!I63)</f>
        <v>1828.4187349651193</v>
      </c>
      <c r="J114" s="87">
        <f>IF(J23=0,0,1000000*J23/TrRoad_act!J63)</f>
        <v>1902.2324715429484</v>
      </c>
      <c r="K114" s="87">
        <f>IF(K23=0,0,1000000*K23/TrRoad_act!K63)</f>
        <v>2052.8469494114779</v>
      </c>
      <c r="L114" s="87">
        <f>IF(L23=0,0,1000000*L23/TrRoad_act!L63)</f>
        <v>2196.3650593159955</v>
      </c>
      <c r="M114" s="87">
        <f>IF(M23=0,0,1000000*M23/TrRoad_act!M63)</f>
        <v>2147.0996490352527</v>
      </c>
      <c r="N114" s="87">
        <f>IF(N23=0,0,1000000*N23/TrRoad_act!N63)</f>
        <v>2012.2516575400475</v>
      </c>
      <c r="O114" s="87">
        <f>IF(O23=0,0,1000000*O23/TrRoad_act!O63)</f>
        <v>2019.1108710861122</v>
      </c>
      <c r="P114" s="87">
        <f>IF(P23=0,0,1000000*P23/TrRoad_act!P63)</f>
        <v>2049.6773226455471</v>
      </c>
      <c r="Q114" s="87">
        <f>IF(Q23=0,0,1000000*Q23/TrRoad_act!Q63)</f>
        <v>2292.1742515706969</v>
      </c>
      <c r="R114" s="87">
        <f>IF(R23=0,0,1000000*R23/TrRoad_act!R63)</f>
        <v>2652.4060092019222</v>
      </c>
      <c r="S114" s="87">
        <f>IF(S23=0,0,1000000*S23/TrRoad_act!S63)</f>
        <v>2469.9595484032357</v>
      </c>
      <c r="T114" s="87">
        <f>IF(T23=0,0,1000000*T23/TrRoad_act!T63)</f>
        <v>2419.3083461086194</v>
      </c>
      <c r="U114" s="87">
        <f>IF(U23=0,0,1000000*U23/TrRoad_act!U63)</f>
        <v>2525.5374407914783</v>
      </c>
      <c r="V114" s="87">
        <f>IF(V23=0,0,1000000*V23/TrRoad_act!V63)</f>
        <v>2280.3622548265512</v>
      </c>
      <c r="W114" s="87">
        <f>IF(W23=0,0,1000000*W23/TrRoad_act!W63)</f>
        <v>2324.5272379519847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3085.3980000000006</v>
      </c>
      <c r="G115" s="87">
        <f>IF(G24=0,0,1000000*G24/TrRoad_act!G64)</f>
        <v>2847.0097674418612</v>
      </c>
      <c r="H115" s="87">
        <f>IF(H24=0,0,1000000*H24/TrRoad_act!H64)</f>
        <v>2648.6051908396953</v>
      </c>
      <c r="I115" s="87">
        <f>IF(I24=0,0,1000000*I24/TrRoad_act!I64)</f>
        <v>2657.7321673003803</v>
      </c>
      <c r="J115" s="87">
        <f>IF(J24=0,0,1000000*J24/TrRoad_act!J64)</f>
        <v>1715.6042920125365</v>
      </c>
      <c r="K115" s="87">
        <f>IF(K24=0,0,1000000*K24/TrRoad_act!K64)</f>
        <v>1297.2337875794985</v>
      </c>
      <c r="L115" s="87">
        <f>IF(L24=0,0,1000000*L24/TrRoad_act!L64)</f>
        <v>1163.9889666396803</v>
      </c>
      <c r="M115" s="87">
        <f>IF(M24=0,0,1000000*M24/TrRoad_act!M64)</f>
        <v>1334.5390526254341</v>
      </c>
      <c r="N115" s="87">
        <f>IF(N24=0,0,1000000*N24/TrRoad_act!N64)</f>
        <v>2796.909152240376</v>
      </c>
      <c r="O115" s="87">
        <f>IF(O24=0,0,1000000*O24/TrRoad_act!O64)</f>
        <v>3908.5842138796042</v>
      </c>
      <c r="P115" s="87">
        <f>IF(P24=0,0,1000000*P24/TrRoad_act!P64)</f>
        <v>2595.691263644851</v>
      </c>
      <c r="Q115" s="87">
        <f>IF(Q24=0,0,1000000*Q24/TrRoad_act!Q64)</f>
        <v>3124.1248970569522</v>
      </c>
      <c r="R115" s="87">
        <f>IF(R24=0,0,1000000*R24/TrRoad_act!R64)</f>
        <v>2908.1030286322753</v>
      </c>
      <c r="S115" s="87">
        <f>IF(S24=0,0,1000000*S24/TrRoad_act!S64)</f>
        <v>2864.6502616445241</v>
      </c>
      <c r="T115" s="87">
        <f>IF(T24=0,0,1000000*T24/TrRoad_act!T64)</f>
        <v>2855.7803653993069</v>
      </c>
      <c r="U115" s="87">
        <f>IF(U24=0,0,1000000*U24/TrRoad_act!U64)</f>
        <v>3575.5739136580805</v>
      </c>
      <c r="V115" s="87">
        <f>IF(V24=0,0,1000000*V24/TrRoad_act!V64)</f>
        <v>4525.369702253357</v>
      </c>
      <c r="W115" s="87">
        <f>IF(W24=0,0,1000000*W24/TrRoad_act!W64)</f>
        <v>6457.564534325651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602.47978007194968</v>
      </c>
      <c r="N116" s="87">
        <f>IF(N25=0,0,1000000*N25/TrRoad_act!N65)</f>
        <v>403.66028472437034</v>
      </c>
      <c r="O116" s="87">
        <f>IF(O25=0,0,1000000*O25/TrRoad_act!O65)</f>
        <v>456.22694397253554</v>
      </c>
      <c r="P116" s="87">
        <f>IF(P25=0,0,1000000*P25/TrRoad_act!P65)</f>
        <v>549.61372816930827</v>
      </c>
      <c r="Q116" s="87">
        <f>IF(Q25=0,0,1000000*Q25/TrRoad_act!Q65)</f>
        <v>689.88108959391616</v>
      </c>
      <c r="R116" s="87">
        <f>IF(R25=0,0,1000000*R25/TrRoad_act!R65)</f>
        <v>766.55950971203458</v>
      </c>
      <c r="S116" s="87">
        <f>IF(S25=0,0,1000000*S25/TrRoad_act!S65)</f>
        <v>731.72809395723561</v>
      </c>
      <c r="T116" s="87">
        <f>IF(T25=0,0,1000000*T25/TrRoad_act!T65)</f>
        <v>754.49551691393492</v>
      </c>
      <c r="U116" s="87">
        <f>IF(U25=0,0,1000000*U25/TrRoad_act!U65)</f>
        <v>742.0080519481802</v>
      </c>
      <c r="V116" s="87">
        <f>IF(V25=0,0,1000000*V25/TrRoad_act!V65)</f>
        <v>512.85307577616163</v>
      </c>
      <c r="W116" s="87">
        <f>IF(W25=0,0,1000000*W25/TrRoad_act!W65)</f>
        <v>566.71249655745123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82658.555249911646</v>
      </c>
      <c r="C118" s="116">
        <f>IF(C27=0,0,1000000*C27/TrRoad_act!C67)</f>
        <v>82283.517806241987</v>
      </c>
      <c r="D118" s="116">
        <f>IF(D27=0,0,1000000*D27/TrRoad_act!D67)</f>
        <v>81260.041677232977</v>
      </c>
      <c r="E118" s="116">
        <f>IF(E27=0,0,1000000*E27/TrRoad_act!E67)</f>
        <v>81564.306251377711</v>
      </c>
      <c r="F118" s="116">
        <f>IF(F27=0,0,1000000*F27/TrRoad_act!F67)</f>
        <v>80379.956127287151</v>
      </c>
      <c r="G118" s="116">
        <f>IF(G27=0,0,1000000*G27/TrRoad_act!G67)</f>
        <v>78409.779772082446</v>
      </c>
      <c r="H118" s="116">
        <f>IF(H27=0,0,1000000*H27/TrRoad_act!H67)</f>
        <v>76892.987952381998</v>
      </c>
      <c r="I118" s="116">
        <f>IF(I27=0,0,1000000*I27/TrRoad_act!I67)</f>
        <v>75186.668309132714</v>
      </c>
      <c r="J118" s="116">
        <f>IF(J27=0,0,1000000*J27/TrRoad_act!J67)</f>
        <v>74242.124443128356</v>
      </c>
      <c r="K118" s="116">
        <f>IF(K27=0,0,1000000*K27/TrRoad_act!K67)</f>
        <v>71459.094836854347</v>
      </c>
      <c r="L118" s="116">
        <f>IF(L27=0,0,1000000*L27/TrRoad_act!L67)</f>
        <v>68390.456989810817</v>
      </c>
      <c r="M118" s="116">
        <f>IF(M27=0,0,1000000*M27/TrRoad_act!M67)</f>
        <v>66664.89110351495</v>
      </c>
      <c r="N118" s="116">
        <f>IF(N27=0,0,1000000*N27/TrRoad_act!N67)</f>
        <v>64877.1420192597</v>
      </c>
      <c r="O118" s="116">
        <f>IF(O27=0,0,1000000*O27/TrRoad_act!O67)</f>
        <v>63929.72278465578</v>
      </c>
      <c r="P118" s="116">
        <f>IF(P27=0,0,1000000*P27/TrRoad_act!P67)</f>
        <v>63800.711876419366</v>
      </c>
      <c r="Q118" s="116">
        <f>IF(Q27=0,0,1000000*Q27/TrRoad_act!Q67)</f>
        <v>67251.462941149686</v>
      </c>
      <c r="R118" s="116">
        <f>IF(R27=0,0,1000000*R27/TrRoad_act!R67)</f>
        <v>63679.520978448956</v>
      </c>
      <c r="S118" s="116">
        <f>IF(S27=0,0,1000000*S27/TrRoad_act!S67)</f>
        <v>65139.713463381515</v>
      </c>
      <c r="T118" s="116">
        <f>IF(T27=0,0,1000000*T27/TrRoad_act!T67)</f>
        <v>67865.027592393657</v>
      </c>
      <c r="U118" s="116">
        <f>IF(U27=0,0,1000000*U27/TrRoad_act!U67)</f>
        <v>67417.330478551958</v>
      </c>
      <c r="V118" s="116">
        <f>IF(V27=0,0,1000000*V27/TrRoad_act!V67)</f>
        <v>63676.126937253408</v>
      </c>
      <c r="W118" s="116">
        <f>IF(W27=0,0,1000000*W27/TrRoad_act!W67)</f>
        <v>65822.89170402757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22361.287412183072</v>
      </c>
      <c r="C119" s="101">
        <f>IF(C28=0,0,1000000*C28/TrRoad_act!C68)</f>
        <v>22944.691022074821</v>
      </c>
      <c r="D119" s="101">
        <f>IF(D28=0,0,1000000*D28/TrRoad_act!D68)</f>
        <v>23384.187137106088</v>
      </c>
      <c r="E119" s="101">
        <f>IF(E28=0,0,1000000*E28/TrRoad_act!E68)</f>
        <v>23767.792565725929</v>
      </c>
      <c r="F119" s="101">
        <f>IF(F28=0,0,1000000*F28/TrRoad_act!F68)</f>
        <v>23657.371337541274</v>
      </c>
      <c r="G119" s="101">
        <f>IF(G28=0,0,1000000*G28/TrRoad_act!G68)</f>
        <v>23530.733680973364</v>
      </c>
      <c r="H119" s="101">
        <f>IF(H28=0,0,1000000*H28/TrRoad_act!H68)</f>
        <v>23394.776274255975</v>
      </c>
      <c r="I119" s="101">
        <f>IF(I28=0,0,1000000*I28/TrRoad_act!I68)</f>
        <v>23147.152236600166</v>
      </c>
      <c r="J119" s="101">
        <f>IF(J28=0,0,1000000*J28/TrRoad_act!J68)</f>
        <v>22601.134696167537</v>
      </c>
      <c r="K119" s="101">
        <f>IF(K28=0,0,1000000*K28/TrRoad_act!K68)</f>
        <v>21665.5020208883</v>
      </c>
      <c r="L119" s="101">
        <f>IF(L28=0,0,1000000*L28/TrRoad_act!L68)</f>
        <v>20381.711347240216</v>
      </c>
      <c r="M119" s="101">
        <f>IF(M28=0,0,1000000*M28/TrRoad_act!M68)</f>
        <v>19687.717954146869</v>
      </c>
      <c r="N119" s="101">
        <f>IF(N28=0,0,1000000*N28/TrRoad_act!N68)</f>
        <v>19187.114823794098</v>
      </c>
      <c r="O119" s="101">
        <f>IF(O28=0,0,1000000*O28/TrRoad_act!O68)</f>
        <v>18680.732177905422</v>
      </c>
      <c r="P119" s="101">
        <f>IF(P28=0,0,1000000*P28/TrRoad_act!P68)</f>
        <v>18973.757316092811</v>
      </c>
      <c r="Q119" s="101">
        <f>IF(Q28=0,0,1000000*Q28/TrRoad_act!Q68)</f>
        <v>19036.826806496822</v>
      </c>
      <c r="R119" s="101">
        <f>IF(R28=0,0,1000000*R28/TrRoad_act!R68)</f>
        <v>17491.00033260043</v>
      </c>
      <c r="S119" s="101">
        <f>IF(S28=0,0,1000000*S28/TrRoad_act!S68)</f>
        <v>16619.094238103946</v>
      </c>
      <c r="T119" s="101">
        <f>IF(T28=0,0,1000000*T28/TrRoad_act!T68)</f>
        <v>16438.779074427828</v>
      </c>
      <c r="U119" s="101">
        <f>IF(U28=0,0,1000000*U28/TrRoad_act!U68)</f>
        <v>16010.008384118302</v>
      </c>
      <c r="V119" s="101">
        <f>IF(V28=0,0,1000000*V28/TrRoad_act!V68)</f>
        <v>15627.23269572903</v>
      </c>
      <c r="W119" s="101">
        <f>IF(W28=0,0,1000000*W28/TrRoad_act!W68)</f>
        <v>15191.28033327931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83559.48813477128</v>
      </c>
      <c r="C120" s="101">
        <f>IF(C29=0,0,1000000*C29/TrRoad_act!C69)</f>
        <v>83143.938361985056</v>
      </c>
      <c r="D120" s="101">
        <f>IF(D29=0,0,1000000*D29/TrRoad_act!D69)</f>
        <v>82017.513433656481</v>
      </c>
      <c r="E120" s="101">
        <f>IF(E29=0,0,1000000*E29/TrRoad_act!E69)</f>
        <v>82302.056010756336</v>
      </c>
      <c r="F120" s="101">
        <f>IF(F29=0,0,1000000*F29/TrRoad_act!F69)</f>
        <v>81079.844881320154</v>
      </c>
      <c r="G120" s="101">
        <f>IF(G29=0,0,1000000*G29/TrRoad_act!G69)</f>
        <v>79179.482202443061</v>
      </c>
      <c r="H120" s="101">
        <f>IF(H29=0,0,1000000*H29/TrRoad_act!H69)</f>
        <v>77589.702442656562</v>
      </c>
      <c r="I120" s="101">
        <f>IF(I29=0,0,1000000*I29/TrRoad_act!I69)</f>
        <v>75829.197620707841</v>
      </c>
      <c r="J120" s="101">
        <f>IF(J29=0,0,1000000*J29/TrRoad_act!J69)</f>
        <v>74827.424411901331</v>
      </c>
      <c r="K120" s="101">
        <f>IF(K29=0,0,1000000*K29/TrRoad_act!K69)</f>
        <v>71992.348914128597</v>
      </c>
      <c r="L120" s="101">
        <f>IF(L29=0,0,1000000*L29/TrRoad_act!L69)</f>
        <v>68864.248056453333</v>
      </c>
      <c r="M120" s="101">
        <f>IF(M29=0,0,1000000*M29/TrRoad_act!M69)</f>
        <v>67121.718638076578</v>
      </c>
      <c r="N120" s="101">
        <f>IF(N29=0,0,1000000*N29/TrRoad_act!N69)</f>
        <v>65313.504085262677</v>
      </c>
      <c r="O120" s="101">
        <f>IF(O29=0,0,1000000*O29/TrRoad_act!O69)</f>
        <v>64349.827446339434</v>
      </c>
      <c r="P120" s="101">
        <f>IF(P29=0,0,1000000*P29/TrRoad_act!P69)</f>
        <v>64212.86286524465</v>
      </c>
      <c r="Q120" s="101">
        <f>IF(Q29=0,0,1000000*Q29/TrRoad_act!Q69)</f>
        <v>67668.088242497746</v>
      </c>
      <c r="R120" s="101">
        <f>IF(R29=0,0,1000000*R29/TrRoad_act!R69)</f>
        <v>64080.36541833447</v>
      </c>
      <c r="S120" s="101">
        <f>IF(S29=0,0,1000000*S29/TrRoad_act!S69)</f>
        <v>65549.641893785723</v>
      </c>
      <c r="T120" s="101">
        <f>IF(T29=0,0,1000000*T29/TrRoad_act!T69)</f>
        <v>68330.774630098444</v>
      </c>
      <c r="U120" s="101">
        <f>IF(U29=0,0,1000000*U29/TrRoad_act!U69)</f>
        <v>68036.606920738632</v>
      </c>
      <c r="V120" s="101">
        <f>IF(V29=0,0,1000000*V29/TrRoad_act!V69)</f>
        <v>64290.875884391804</v>
      </c>
      <c r="W120" s="101">
        <f>IF(W29=0,0,1000000*W29/TrRoad_act!W69)</f>
        <v>66307.258592154278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0</v>
      </c>
      <c r="G121" s="101">
        <f>IF(G30=0,0,1000000*G30/TrRoad_act!G70)</f>
        <v>0</v>
      </c>
      <c r="H121" s="101">
        <f>IF(H30=0,0,1000000*H30/TrRoad_act!H70)</f>
        <v>0</v>
      </c>
      <c r="I121" s="101">
        <f>IF(I30=0,0,1000000*I30/TrRoad_act!I70)</f>
        <v>0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0</v>
      </c>
      <c r="S121" s="101">
        <f>IF(S30=0,0,1000000*S30/TrRoad_act!S70)</f>
        <v>0</v>
      </c>
      <c r="T121" s="101">
        <f>IF(T30=0,0,1000000*T30/TrRoad_act!T70)</f>
        <v>0</v>
      </c>
      <c r="U121" s="101">
        <f>IF(U30=0,0,1000000*U30/TrRoad_act!U70)</f>
        <v>0</v>
      </c>
      <c r="V121" s="101">
        <f>IF(V30=0,0,1000000*V30/TrRoad_act!V70)</f>
        <v>0</v>
      </c>
      <c r="W121" s="101">
        <f>IF(W30=0,0,1000000*W30/TrRoad_act!W70)</f>
        <v>0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0</v>
      </c>
      <c r="G122" s="101">
        <f>IF(G31=0,0,1000000*G31/TrRoad_act!G71)</f>
        <v>0</v>
      </c>
      <c r="H122" s="101">
        <f>IF(H31=0,0,1000000*H31/TrRoad_act!H71)</f>
        <v>0</v>
      </c>
      <c r="I122" s="101">
        <f>IF(I31=0,0,1000000*I31/TrRoad_act!I71)</f>
        <v>0</v>
      </c>
      <c r="J122" s="101">
        <f>IF(J31=0,0,1000000*J31/TrRoad_act!J71)</f>
        <v>0</v>
      </c>
      <c r="K122" s="101">
        <f>IF(K31=0,0,1000000*K31/TrRoad_act!K71)</f>
        <v>0</v>
      </c>
      <c r="L122" s="101">
        <f>IF(L31=0,0,1000000*L31/TrRoad_act!L71)</f>
        <v>0</v>
      </c>
      <c r="M122" s="101">
        <f>IF(M31=0,0,1000000*M31/TrRoad_act!M71)</f>
        <v>0</v>
      </c>
      <c r="N122" s="101">
        <f>IF(N31=0,0,1000000*N31/TrRoad_act!N71)</f>
        <v>0</v>
      </c>
      <c r="O122" s="101">
        <f>IF(O31=0,0,1000000*O31/TrRoad_act!O71)</f>
        <v>0</v>
      </c>
      <c r="P122" s="101">
        <f>IF(P31=0,0,1000000*P31/TrRoad_act!P71)</f>
        <v>0</v>
      </c>
      <c r="Q122" s="101">
        <f>IF(Q31=0,0,1000000*Q31/TrRoad_act!Q71)</f>
        <v>0</v>
      </c>
      <c r="R122" s="101">
        <f>IF(R31=0,0,1000000*R31/TrRoad_act!R71)</f>
        <v>35873.946083725656</v>
      </c>
      <c r="S122" s="101">
        <f>IF(S31=0,0,1000000*S31/TrRoad_act!S71)</f>
        <v>36794.36328586629</v>
      </c>
      <c r="T122" s="101">
        <f>IF(T31=0,0,1000000*T31/TrRoad_act!T71)</f>
        <v>35874.120812390502</v>
      </c>
      <c r="U122" s="101">
        <f>IF(U31=0,0,1000000*U31/TrRoad_act!U71)</f>
        <v>46898.529413407821</v>
      </c>
      <c r="V122" s="101">
        <f>IF(V31=0,0,1000000*V31/TrRoad_act!V71)</f>
        <v>66007.690025095901</v>
      </c>
      <c r="W122" s="101">
        <f>IF(W31=0,0,1000000*W31/TrRoad_act!W71)</f>
        <v>92126.820529688572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7177.6764064191584</v>
      </c>
      <c r="C125" s="152">
        <f>IF(C34=0,0,1000000*C34/TrRoad_act!C74)</f>
        <v>6855.6933550384347</v>
      </c>
      <c r="D125" s="152">
        <f>IF(D34=0,0,1000000*D34/TrRoad_act!D74)</f>
        <v>7469.3338175365452</v>
      </c>
      <c r="E125" s="152">
        <f>IF(E34=0,0,1000000*E34/TrRoad_act!E74)</f>
        <v>7223.522444801054</v>
      </c>
      <c r="F125" s="152">
        <f>IF(F34=0,0,1000000*F34/TrRoad_act!F74)</f>
        <v>7332.7849860962597</v>
      </c>
      <c r="G125" s="152">
        <f>IF(G34=0,0,1000000*G34/TrRoad_act!G74)</f>
        <v>7089.7951324170308</v>
      </c>
      <c r="H125" s="152">
        <f>IF(H34=0,0,1000000*H34/TrRoad_act!H74)</f>
        <v>6957.4364168222282</v>
      </c>
      <c r="I125" s="152">
        <f>IF(I34=0,0,1000000*I34/TrRoad_act!I74)</f>
        <v>7025.4627436895671</v>
      </c>
      <c r="J125" s="152">
        <f>IF(J34=0,0,1000000*J34/TrRoad_act!J74)</f>
        <v>6826.5760170137291</v>
      </c>
      <c r="K125" s="152">
        <f>IF(K34=0,0,1000000*K34/TrRoad_act!K74)</f>
        <v>6402.9064249955372</v>
      </c>
      <c r="L125" s="152">
        <f>IF(L34=0,0,1000000*L34/TrRoad_act!L74)</f>
        <v>5986.8692121188496</v>
      </c>
      <c r="M125" s="152">
        <f>IF(M34=0,0,1000000*M34/TrRoad_act!M74)</f>
        <v>5806.2390052496512</v>
      </c>
      <c r="N125" s="152">
        <f>IF(N34=0,0,1000000*N34/TrRoad_act!N74)</f>
        <v>5533.5120546162361</v>
      </c>
      <c r="O125" s="152">
        <f>IF(O34=0,0,1000000*O34/TrRoad_act!O74)</f>
        <v>5065.0136202938938</v>
      </c>
      <c r="P125" s="152">
        <f>IF(P34=0,0,1000000*P34/TrRoad_act!P74)</f>
        <v>5055.9335881369916</v>
      </c>
      <c r="Q125" s="152">
        <f>IF(Q34=0,0,1000000*Q34/TrRoad_act!Q74)</f>
        <v>5407.8987686616574</v>
      </c>
      <c r="R125" s="152">
        <f>IF(R34=0,0,1000000*R34/TrRoad_act!R74)</f>
        <v>4660.5348173520997</v>
      </c>
      <c r="S125" s="152">
        <f>IF(S34=0,0,1000000*S34/TrRoad_act!S74)</f>
        <v>4096.6139986964408</v>
      </c>
      <c r="T125" s="152">
        <f>IF(T34=0,0,1000000*T34/TrRoad_act!T74)</f>
        <v>3875.5678607347954</v>
      </c>
      <c r="U125" s="152">
        <f>IF(U34=0,0,1000000*U34/TrRoad_act!U74)</f>
        <v>3744.8859009343405</v>
      </c>
      <c r="V125" s="152">
        <f>IF(V34=0,0,1000000*V34/TrRoad_act!V74)</f>
        <v>3224.4443885932319</v>
      </c>
      <c r="W125" s="152">
        <f>IF(W34=0,0,1000000*W34/TrRoad_act!W74)</f>
        <v>3620.6021265190293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5048.3588516136306</v>
      </c>
      <c r="C126" s="87">
        <f>IF(C35=0,0,1000000*C35/TrRoad_act!C75)</f>
        <v>4863.7817805008863</v>
      </c>
      <c r="D126" s="87">
        <f>IF(D35=0,0,1000000*D35/TrRoad_act!D75)</f>
        <v>4985.7099922394264</v>
      </c>
      <c r="E126" s="87">
        <f>IF(E35=0,0,1000000*E35/TrRoad_act!E75)</f>
        <v>4631.3597045195738</v>
      </c>
      <c r="F126" s="87">
        <f>IF(F35=0,0,1000000*F35/TrRoad_act!F75)</f>
        <v>4523.3284208062405</v>
      </c>
      <c r="G126" s="87">
        <f>IF(G35=0,0,1000000*G35/TrRoad_act!G75)</f>
        <v>4633.2594386428582</v>
      </c>
      <c r="H126" s="87">
        <f>IF(H35=0,0,1000000*H35/TrRoad_act!H75)</f>
        <v>4817.4940283929</v>
      </c>
      <c r="I126" s="87">
        <f>IF(I35=0,0,1000000*I35/TrRoad_act!I75)</f>
        <v>4634.1354995100428</v>
      </c>
      <c r="J126" s="87">
        <f>IF(J35=0,0,1000000*J35/TrRoad_act!J75)</f>
        <v>4225.5139279820633</v>
      </c>
      <c r="K126" s="87">
        <f>IF(K35=0,0,1000000*K35/TrRoad_act!K75)</f>
        <v>3924.7012873699341</v>
      </c>
      <c r="L126" s="87">
        <f>IF(L35=0,0,1000000*L35/TrRoad_act!L75)</f>
        <v>3708.7063219752008</v>
      </c>
      <c r="M126" s="87">
        <f>IF(M35=0,0,1000000*M35/TrRoad_act!M75)</f>
        <v>3776.7037707595969</v>
      </c>
      <c r="N126" s="87">
        <f>IF(N35=0,0,1000000*N35/TrRoad_act!N75)</f>
        <v>3802.5649095885028</v>
      </c>
      <c r="O126" s="87">
        <f>IF(O35=0,0,1000000*O35/TrRoad_act!O75)</f>
        <v>3648.8161568295227</v>
      </c>
      <c r="P126" s="87">
        <f>IF(P35=0,0,1000000*P35/TrRoad_act!P75)</f>
        <v>3637.2187811307904</v>
      </c>
      <c r="Q126" s="87">
        <f>IF(Q35=0,0,1000000*Q35/TrRoad_act!Q75)</f>
        <v>3594.8377788210541</v>
      </c>
      <c r="R126" s="87">
        <f>IF(R35=0,0,1000000*R35/TrRoad_act!R75)</f>
        <v>3638.8108217463773</v>
      </c>
      <c r="S126" s="87">
        <f>IF(S35=0,0,1000000*S35/TrRoad_act!S75)</f>
        <v>3514.4343355196634</v>
      </c>
      <c r="T126" s="87">
        <f>IF(T35=0,0,1000000*T35/TrRoad_act!T75)</f>
        <v>3386.601194210456</v>
      </c>
      <c r="U126" s="87">
        <f>IF(U35=0,0,1000000*U35/TrRoad_act!U75)</f>
        <v>3363.1898041802442</v>
      </c>
      <c r="V126" s="87">
        <f>IF(V35=0,0,1000000*V35/TrRoad_act!V75)</f>
        <v>2927.7006007265522</v>
      </c>
      <c r="W126" s="87">
        <f>IF(W35=0,0,1000000*W35/TrRoad_act!W75)</f>
        <v>3193.4887954508877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7645.4853931711268</v>
      </c>
      <c r="C127" s="87">
        <f>IF(C36=0,0,1000000*C36/TrRoad_act!C76)</f>
        <v>7294.9291320313005</v>
      </c>
      <c r="D127" s="87">
        <f>IF(D36=0,0,1000000*D36/TrRoad_act!D76)</f>
        <v>7977.2154215103437</v>
      </c>
      <c r="E127" s="87">
        <f>IF(E36=0,0,1000000*E36/TrRoad_act!E76)</f>
        <v>7676.5255984168825</v>
      </c>
      <c r="F127" s="87">
        <f>IF(F36=0,0,1000000*F36/TrRoad_act!F76)</f>
        <v>7769.8934344951631</v>
      </c>
      <c r="G127" s="87">
        <f>IF(G36=0,0,1000000*G36/TrRoad_act!G76)</f>
        <v>7453.6452057784236</v>
      </c>
      <c r="H127" s="87">
        <f>IF(H36=0,0,1000000*H36/TrRoad_act!H76)</f>
        <v>7263.6750962168853</v>
      </c>
      <c r="I127" s="87">
        <f>IF(I36=0,0,1000000*I36/TrRoad_act!I76)</f>
        <v>7308.3278559261835</v>
      </c>
      <c r="J127" s="87">
        <f>IF(J36=0,0,1000000*J36/TrRoad_act!J76)</f>
        <v>7106.862882323293</v>
      </c>
      <c r="K127" s="87">
        <f>IF(K36=0,0,1000000*K36/TrRoad_act!K76)</f>
        <v>6647.8913637325031</v>
      </c>
      <c r="L127" s="87">
        <f>IF(L36=0,0,1000000*L36/TrRoad_act!L76)</f>
        <v>6193.8873903691892</v>
      </c>
      <c r="M127" s="87">
        <f>IF(M36=0,0,1000000*M36/TrRoad_act!M76)</f>
        <v>5989.7681426102799</v>
      </c>
      <c r="N127" s="87">
        <f>IF(N36=0,0,1000000*N36/TrRoad_act!N76)</f>
        <v>5689.9494117607319</v>
      </c>
      <c r="O127" s="87">
        <f>IF(O36=0,0,1000000*O36/TrRoad_act!O76)</f>
        <v>5184.0979456106015</v>
      </c>
      <c r="P127" s="87">
        <f>IF(P36=0,0,1000000*P36/TrRoad_act!P76)</f>
        <v>5161.1080768393613</v>
      </c>
      <c r="Q127" s="87">
        <f>IF(Q36=0,0,1000000*Q36/TrRoad_act!Q76)</f>
        <v>5511.3239599451999</v>
      </c>
      <c r="R127" s="87">
        <f>IF(R36=0,0,1000000*R36/TrRoad_act!R76)</f>
        <v>4722.3496759290556</v>
      </c>
      <c r="S127" s="87">
        <f>IF(S36=0,0,1000000*S36/TrRoad_act!S76)</f>
        <v>4138.0379168305344</v>
      </c>
      <c r="T127" s="87">
        <f>IF(T36=0,0,1000000*T36/TrRoad_act!T76)</f>
        <v>3916.5829124313072</v>
      </c>
      <c r="U127" s="87">
        <f>IF(U36=0,0,1000000*U36/TrRoad_act!U76)</f>
        <v>3781.1755033055483</v>
      </c>
      <c r="V127" s="87">
        <f>IF(V36=0,0,1000000*V36/TrRoad_act!V76)</f>
        <v>3248.1022934314374</v>
      </c>
      <c r="W127" s="87">
        <f>IF(W36=0,0,1000000*W36/TrRoad_act!W76)</f>
        <v>3639.9670710218588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4005.1823652511707</v>
      </c>
      <c r="C128" s="87">
        <f>IF(C37=0,0,1000000*C37/TrRoad_act!C77)</f>
        <v>3797.9373146783246</v>
      </c>
      <c r="D128" s="87">
        <f>IF(D37=0,0,1000000*D37/TrRoad_act!D77)</f>
        <v>4206.6749484485972</v>
      </c>
      <c r="E128" s="87">
        <f>IF(E37=0,0,1000000*E37/TrRoad_act!E77)</f>
        <v>4209.1839027734995</v>
      </c>
      <c r="F128" s="87">
        <f>IF(F37=0,0,1000000*F37/TrRoad_act!F77)</f>
        <v>4304.6406149706054</v>
      </c>
      <c r="G128" s="87">
        <f>IF(G37=0,0,1000000*G37/TrRoad_act!G77)</f>
        <v>4162.8453552100227</v>
      </c>
      <c r="H128" s="87">
        <f>IF(H37=0,0,1000000*H37/TrRoad_act!H77)</f>
        <v>4031.9872154309201</v>
      </c>
      <c r="I128" s="87">
        <f>IF(I37=0,0,1000000*I37/TrRoad_act!I77)</f>
        <v>4060.2802100846779</v>
      </c>
      <c r="J128" s="87">
        <f>IF(J37=0,0,1000000*J37/TrRoad_act!J77)</f>
        <v>3822.1180633009649</v>
      </c>
      <c r="K128" s="87">
        <f>IF(K37=0,0,1000000*K37/TrRoad_act!K77)</f>
        <v>3518.1153821393314</v>
      </c>
      <c r="L128" s="87">
        <f>IF(L37=0,0,1000000*L37/TrRoad_act!L77)</f>
        <v>3269.2841424240196</v>
      </c>
      <c r="M128" s="87">
        <f>IF(M37=0,0,1000000*M37/TrRoad_act!M77)</f>
        <v>3111.8284173281731</v>
      </c>
      <c r="N128" s="87">
        <f>IF(N37=0,0,1000000*N37/TrRoad_act!N77)</f>
        <v>2960.5583266765329</v>
      </c>
      <c r="O128" s="87">
        <f>IF(O37=0,0,1000000*O37/TrRoad_act!O77)</f>
        <v>2709.2603115655666</v>
      </c>
      <c r="P128" s="87">
        <f>IF(P37=0,0,1000000*P37/TrRoad_act!P77)</f>
        <v>2756.8342215087719</v>
      </c>
      <c r="Q128" s="87">
        <f>IF(Q37=0,0,1000000*Q37/TrRoad_act!Q77)</f>
        <v>2908.5625647083302</v>
      </c>
      <c r="R128" s="87">
        <f>IF(R37=0,0,1000000*R37/TrRoad_act!R77)</f>
        <v>2847.7097720181073</v>
      </c>
      <c r="S128" s="87">
        <f>IF(S37=0,0,1000000*S37/TrRoad_act!S77)</f>
        <v>2759.7451318266731</v>
      </c>
      <c r="T128" s="87">
        <f>IF(T37=0,0,1000000*T37/TrRoad_act!T77)</f>
        <v>2613.3211088923899</v>
      </c>
      <c r="U128" s="87">
        <f>IF(U37=0,0,1000000*U37/TrRoad_act!U77)</f>
        <v>2532.4207696038516</v>
      </c>
      <c r="V128" s="87">
        <f>IF(V37=0,0,1000000*V37/TrRoad_act!V77)</f>
        <v>2230.0193121786069</v>
      </c>
      <c r="W128" s="87">
        <f>IF(W37=0,0,1000000*W37/TrRoad_act!W77)</f>
        <v>2484.4206754774468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3131.0545276123589</v>
      </c>
      <c r="K129" s="87">
        <f>IF(K38=0,0,1000000*K38/TrRoad_act!K78)</f>
        <v>3126.4685086514478</v>
      </c>
      <c r="L129" s="87">
        <f>IF(L38=0,0,1000000*L38/TrRoad_act!L78)</f>
        <v>3076.2257921532537</v>
      </c>
      <c r="M129" s="87">
        <f>IF(M38=0,0,1000000*M38/TrRoad_act!M78)</f>
        <v>2983.970474304921</v>
      </c>
      <c r="N129" s="87">
        <f>IF(N38=0,0,1000000*N38/TrRoad_act!N78)</f>
        <v>2887.2985365964737</v>
      </c>
      <c r="O129" s="87">
        <f>IF(O38=0,0,1000000*O38/TrRoad_act!O78)</f>
        <v>2955.6260406421102</v>
      </c>
      <c r="P129" s="87">
        <f>IF(P38=0,0,1000000*P38/TrRoad_act!P78)</f>
        <v>2651.6016256219282</v>
      </c>
      <c r="Q129" s="87">
        <f>IF(Q38=0,0,1000000*Q38/TrRoad_act!Q78)</f>
        <v>3147.5292041232055</v>
      </c>
      <c r="R129" s="87">
        <f>IF(R38=0,0,1000000*R38/TrRoad_act!R78)</f>
        <v>3043.7546902587787</v>
      </c>
      <c r="S129" s="87">
        <f>IF(S38=0,0,1000000*S38/TrRoad_act!S78)</f>
        <v>2880.6106102799126</v>
      </c>
      <c r="T129" s="87">
        <f>IF(T38=0,0,1000000*T38/TrRoad_act!T78)</f>
        <v>2678.0425402790938</v>
      </c>
      <c r="U129" s="87">
        <f>IF(U38=0,0,1000000*U38/TrRoad_act!U78)</f>
        <v>3294.422749112854</v>
      </c>
      <c r="V129" s="87">
        <f>IF(V38=0,0,1000000*V38/TrRoad_act!V78)</f>
        <v>4234.2049363577025</v>
      </c>
      <c r="W129" s="87">
        <f>IF(W38=0,0,1000000*W38/TrRoad_act!W78)</f>
        <v>7006.0691609016039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33391.690024267133</v>
      </c>
      <c r="C131" s="116">
        <f>IF(C40=0,0,1000000*C40/TrRoad_act!C80)</f>
        <v>27522.661866466784</v>
      </c>
      <c r="D131" s="116">
        <f>IF(D40=0,0,1000000*D40/TrRoad_act!D80)</f>
        <v>27991.09371597274</v>
      </c>
      <c r="E131" s="116">
        <f>IF(E40=0,0,1000000*E40/TrRoad_act!E80)</f>
        <v>27867.464578640276</v>
      </c>
      <c r="F131" s="116">
        <f>IF(F40=0,0,1000000*F40/TrRoad_act!F80)</f>
        <v>30535.08390690892</v>
      </c>
      <c r="G131" s="116">
        <f>IF(G40=0,0,1000000*G40/TrRoad_act!G80)</f>
        <v>29303.390191721574</v>
      </c>
      <c r="H131" s="116">
        <f>IF(H40=0,0,1000000*H40/TrRoad_act!H80)</f>
        <v>30748.038605773629</v>
      </c>
      <c r="I131" s="116">
        <f>IF(I40=0,0,1000000*I40/TrRoad_act!I80)</f>
        <v>30925.977950019096</v>
      </c>
      <c r="J131" s="116">
        <f>IF(J40=0,0,1000000*J40/TrRoad_act!J80)</f>
        <v>28058.726663043599</v>
      </c>
      <c r="K131" s="116">
        <f>IF(K40=0,0,1000000*K40/TrRoad_act!K80)</f>
        <v>26768.389687757404</v>
      </c>
      <c r="L131" s="116">
        <f>IF(L40=0,0,1000000*L40/TrRoad_act!L80)</f>
        <v>27380.225851116873</v>
      </c>
      <c r="M131" s="116">
        <f>IF(M40=0,0,1000000*M40/TrRoad_act!M80)</f>
        <v>24688.585521550427</v>
      </c>
      <c r="N131" s="116">
        <f>IF(N40=0,0,1000000*N40/TrRoad_act!N80)</f>
        <v>23922.137609985999</v>
      </c>
      <c r="O131" s="116">
        <f>IF(O40=0,0,1000000*O40/TrRoad_act!O80)</f>
        <v>26456.597214712361</v>
      </c>
      <c r="P131" s="116">
        <f>IF(P40=0,0,1000000*P40/TrRoad_act!P80)</f>
        <v>26869.163424879531</v>
      </c>
      <c r="Q131" s="116">
        <f>IF(Q40=0,0,1000000*Q40/TrRoad_act!Q80)</f>
        <v>29710.112560321206</v>
      </c>
      <c r="R131" s="116">
        <f>IF(R40=0,0,1000000*R40/TrRoad_act!R80)</f>
        <v>36869.585259017636</v>
      </c>
      <c r="S131" s="116">
        <f>IF(S40=0,0,1000000*S40/TrRoad_act!S80)</f>
        <v>39585.659414161055</v>
      </c>
      <c r="T131" s="116">
        <f>IF(T40=0,0,1000000*T40/TrRoad_act!T80)</f>
        <v>40663.800298451162</v>
      </c>
      <c r="U131" s="116">
        <f>IF(U40=0,0,1000000*U40/TrRoad_act!U80)</f>
        <v>40086.67714498088</v>
      </c>
      <c r="V131" s="116">
        <f>IF(V40=0,0,1000000*V40/TrRoad_act!V80)</f>
        <v>36144.27271122246</v>
      </c>
      <c r="W131" s="116">
        <f>IF(W40=0,0,1000000*W40/TrRoad_act!W80)</f>
        <v>40177.459304659264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22865.762071486002</v>
      </c>
      <c r="C132" s="101">
        <f>IF(C41=0,0,1000000*C41/TrRoad_act!C81)</f>
        <v>17968.312760278815</v>
      </c>
      <c r="D132" s="101">
        <f>IF(D41=0,0,1000000*D41/TrRoad_act!D81)</f>
        <v>18199.737962510517</v>
      </c>
      <c r="E132" s="101">
        <f>IF(E41=0,0,1000000*E41/TrRoad_act!E81)</f>
        <v>17324.892128900989</v>
      </c>
      <c r="F132" s="101">
        <f>IF(F41=0,0,1000000*F41/TrRoad_act!F81)</f>
        <v>18239.493795276652</v>
      </c>
      <c r="G132" s="101">
        <f>IF(G41=0,0,1000000*G41/TrRoad_act!G81)</f>
        <v>16577.074978985751</v>
      </c>
      <c r="H132" s="101">
        <f>IF(H41=0,0,1000000*H41/TrRoad_act!H81)</f>
        <v>17357.835754574375</v>
      </c>
      <c r="I132" s="101">
        <f>IF(I41=0,0,1000000*I41/TrRoad_act!I81)</f>
        <v>17048.5301520865</v>
      </c>
      <c r="J132" s="101">
        <f>IF(J41=0,0,1000000*J41/TrRoad_act!J81)</f>
        <v>13732.33925256677</v>
      </c>
      <c r="K132" s="101">
        <f>IF(K41=0,0,1000000*K41/TrRoad_act!K81)</f>
        <v>13288.191222147052</v>
      </c>
      <c r="L132" s="101">
        <f>IF(L41=0,0,1000000*L41/TrRoad_act!L81)</f>
        <v>13629.917649941801</v>
      </c>
      <c r="M132" s="101">
        <f>IF(M41=0,0,1000000*M41/TrRoad_act!M81)</f>
        <v>12351.286826037471</v>
      </c>
      <c r="N132" s="101">
        <f>IF(N41=0,0,1000000*N41/TrRoad_act!N81)</f>
        <v>12024.33199667983</v>
      </c>
      <c r="O132" s="101">
        <f>IF(O41=0,0,1000000*O41/TrRoad_act!O81)</f>
        <v>13513.888412916231</v>
      </c>
      <c r="P132" s="101">
        <f>IF(P41=0,0,1000000*P41/TrRoad_act!P81)</f>
        <v>14004.546499193248</v>
      </c>
      <c r="Q132" s="101">
        <f>IF(Q41=0,0,1000000*Q41/TrRoad_act!Q81)</f>
        <v>16488.917452863509</v>
      </c>
      <c r="R132" s="101">
        <f>IF(R41=0,0,1000000*R41/TrRoad_act!R81)</f>
        <v>20068.122481297425</v>
      </c>
      <c r="S132" s="101">
        <f>IF(S41=0,0,1000000*S41/TrRoad_act!S81)</f>
        <v>21512.061802351767</v>
      </c>
      <c r="T132" s="101">
        <f>IF(T41=0,0,1000000*T41/TrRoad_act!T81)</f>
        <v>21407.869988316281</v>
      </c>
      <c r="U132" s="101">
        <f>IF(U41=0,0,1000000*U41/TrRoad_act!U81)</f>
        <v>21780.407779322519</v>
      </c>
      <c r="V132" s="101">
        <f>IF(V41=0,0,1000000*V41/TrRoad_act!V81)</f>
        <v>19001.93930382231</v>
      </c>
      <c r="W132" s="101">
        <f>IF(W41=0,0,1000000*W41/TrRoad_act!W81)</f>
        <v>21748.224693086482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84168.164398783731</v>
      </c>
      <c r="C133" s="88">
        <f>IF(C42=0,0,1000000*C42/TrRoad_act!C82)</f>
        <v>92942.588978104264</v>
      </c>
      <c r="D133" s="88">
        <f>IF(D42=0,0,1000000*D42/TrRoad_act!D82)</f>
        <v>91455.077876375464</v>
      </c>
      <c r="E133" s="88">
        <f>IF(E42=0,0,1000000*E42/TrRoad_act!E82)</f>
        <v>96827.824652851908</v>
      </c>
      <c r="F133" s="88">
        <f>IF(F42=0,0,1000000*F42/TrRoad_act!F82)</f>
        <v>101134.67999395447</v>
      </c>
      <c r="G133" s="88">
        <f>IF(G42=0,0,1000000*G42/TrRoad_act!G82)</f>
        <v>102590.60947379345</v>
      </c>
      <c r="H133" s="88">
        <f>IF(H42=0,0,1000000*H42/TrRoad_act!H82)</f>
        <v>105651.04135797467</v>
      </c>
      <c r="I133" s="88">
        <f>IF(I42=0,0,1000000*I42/TrRoad_act!I82)</f>
        <v>106937.65113294966</v>
      </c>
      <c r="J133" s="88">
        <f>IF(J42=0,0,1000000*J42/TrRoad_act!J82)</f>
        <v>111207.21850161297</v>
      </c>
      <c r="K133" s="88">
        <f>IF(K42=0,0,1000000*K42/TrRoad_act!K82)</f>
        <v>108788.7191359696</v>
      </c>
      <c r="L133" s="88">
        <f>IF(L42=0,0,1000000*L42/TrRoad_act!L82)</f>
        <v>107286.57805832596</v>
      </c>
      <c r="M133" s="88">
        <f>IF(M42=0,0,1000000*M42/TrRoad_act!M82)</f>
        <v>102904.37398657393</v>
      </c>
      <c r="N133" s="88">
        <f>IF(N42=0,0,1000000*N42/TrRoad_act!N82)</f>
        <v>97886.897835019103</v>
      </c>
      <c r="O133" s="88">
        <f>IF(O42=0,0,1000000*O42/TrRoad_act!O82)</f>
        <v>99781.98508770598</v>
      </c>
      <c r="P133" s="88">
        <f>IF(P42=0,0,1000000*P42/TrRoad_act!P82)</f>
        <v>98579.520147327712</v>
      </c>
      <c r="Q133" s="88">
        <f>IF(Q42=0,0,1000000*Q42/TrRoad_act!Q82)</f>
        <v>105143.05204400266</v>
      </c>
      <c r="R133" s="88">
        <f>IF(R42=0,0,1000000*R42/TrRoad_act!R82)</f>
        <v>116414.06088709479</v>
      </c>
      <c r="S133" s="88">
        <f>IF(S42=0,0,1000000*S42/TrRoad_act!S82)</f>
        <v>124303.12229982052</v>
      </c>
      <c r="T133" s="88">
        <f>IF(T42=0,0,1000000*T42/TrRoad_act!T82)</f>
        <v>138669.33450944119</v>
      </c>
      <c r="U133" s="88">
        <f>IF(U42=0,0,1000000*U42/TrRoad_act!U82)</f>
        <v>133121.39597738453</v>
      </c>
      <c r="V133" s="88">
        <f>IF(V42=0,0,1000000*V42/TrRoad_act!V82)</f>
        <v>119720.71683535021</v>
      </c>
      <c r="W133" s="88">
        <f>IF(W42=0,0,1000000*W42/TrRoad_act!W82)</f>
        <v>131284.30315645831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0.72719085226498592</v>
      </c>
      <c r="C136" s="46">
        <f t="shared" si="40"/>
        <v>0.71113539807136694</v>
      </c>
      <c r="D136" s="46">
        <f t="shared" si="40"/>
        <v>0.70322687716344578</v>
      </c>
      <c r="E136" s="46">
        <f t="shared" si="40"/>
        <v>0.70527416772687923</v>
      </c>
      <c r="F136" s="46">
        <f t="shared" si="40"/>
        <v>0.68428192602894822</v>
      </c>
      <c r="G136" s="46">
        <f t="shared" si="40"/>
        <v>0.67442951591738176</v>
      </c>
      <c r="H136" s="46">
        <f t="shared" si="40"/>
        <v>0.67191370723855648</v>
      </c>
      <c r="I136" s="46">
        <f t="shared" si="40"/>
        <v>0.67277319404577585</v>
      </c>
      <c r="J136" s="46">
        <f t="shared" si="40"/>
        <v>0.68362722156643219</v>
      </c>
      <c r="K136" s="46">
        <f t="shared" si="40"/>
        <v>0.69197997788200849</v>
      </c>
      <c r="L136" s="46">
        <f t="shared" si="41"/>
        <v>0.6874882471132312</v>
      </c>
      <c r="M136" s="46">
        <f t="shared" si="40"/>
        <v>0.68895172987130382</v>
      </c>
      <c r="N136" s="46">
        <f t="shared" si="40"/>
        <v>0.69104665172483815</v>
      </c>
      <c r="O136" s="46">
        <f t="shared" si="40"/>
        <v>0.68353957169630353</v>
      </c>
      <c r="P136" s="46">
        <f t="shared" si="40"/>
        <v>0.68389743346930421</v>
      </c>
      <c r="Q136" s="46">
        <f t="shared" si="40"/>
        <v>0.66746900541966847</v>
      </c>
      <c r="R136" s="46">
        <f t="shared" si="40"/>
        <v>0.65005978127119479</v>
      </c>
      <c r="S136" s="46">
        <f t="shared" si="40"/>
        <v>0.63556284529597162</v>
      </c>
      <c r="T136" s="46">
        <f t="shared" si="40"/>
        <v>0.62672750208723993</v>
      </c>
      <c r="U136" s="46">
        <f t="shared" si="40"/>
        <v>0.62164177733213166</v>
      </c>
      <c r="V136" s="46">
        <f t="shared" si="40"/>
        <v>0.60149056191146066</v>
      </c>
      <c r="W136" s="46">
        <f t="shared" si="42"/>
        <v>0.58294301235800106</v>
      </c>
      <c r="DA136" s="211"/>
    </row>
    <row r="137" spans="1:105" ht="11.45" customHeight="1" x14ac:dyDescent="0.25">
      <c r="A137" s="153" t="s">
        <v>180</v>
      </c>
      <c r="B137" s="154">
        <f t="shared" si="40"/>
        <v>7.4489552122649141E-3</v>
      </c>
      <c r="C137" s="154">
        <f t="shared" si="40"/>
        <v>7.4398503412464534E-3</v>
      </c>
      <c r="D137" s="154">
        <f t="shared" si="40"/>
        <v>7.7657073265985071E-3</v>
      </c>
      <c r="E137" s="154">
        <f t="shared" si="40"/>
        <v>7.8522429151526713E-3</v>
      </c>
      <c r="F137" s="154">
        <f t="shared" si="40"/>
        <v>7.5737876314887981E-3</v>
      </c>
      <c r="G137" s="154">
        <f t="shared" si="40"/>
        <v>7.4306267645319179E-3</v>
      </c>
      <c r="H137" s="154">
        <f t="shared" si="40"/>
        <v>7.4477804751055688E-3</v>
      </c>
      <c r="I137" s="154">
        <f t="shared" si="40"/>
        <v>7.4257125337074672E-3</v>
      </c>
      <c r="J137" s="154">
        <f t="shared" si="40"/>
        <v>7.3253303056486025E-3</v>
      </c>
      <c r="K137" s="154">
        <f t="shared" si="40"/>
        <v>7.2080932361235335E-3</v>
      </c>
      <c r="L137" s="154">
        <f t="shared" si="41"/>
        <v>6.867401828635801E-3</v>
      </c>
      <c r="M137" s="154">
        <f t="shared" si="40"/>
        <v>6.8577124650717478E-3</v>
      </c>
      <c r="N137" s="154">
        <f t="shared" si="40"/>
        <v>6.7574243794402342E-3</v>
      </c>
      <c r="O137" s="154">
        <f t="shared" si="40"/>
        <v>6.5499526738528472E-3</v>
      </c>
      <c r="P137" s="154">
        <f t="shared" si="40"/>
        <v>6.8289969243998843E-3</v>
      </c>
      <c r="Q137" s="154">
        <f t="shared" si="40"/>
        <v>6.2780361582854809E-3</v>
      </c>
      <c r="R137" s="154">
        <f t="shared" si="40"/>
        <v>6.1470352046104869E-3</v>
      </c>
      <c r="S137" s="154">
        <f t="shared" si="40"/>
        <v>5.8683761886879696E-3</v>
      </c>
      <c r="T137" s="154">
        <f t="shared" si="40"/>
        <v>5.5133843277688161E-3</v>
      </c>
      <c r="U137" s="154">
        <f t="shared" si="40"/>
        <v>5.9311729992727463E-3</v>
      </c>
      <c r="V137" s="154">
        <f t="shared" si="40"/>
        <v>6.0361887553968393E-3</v>
      </c>
      <c r="W137" s="154">
        <f t="shared" si="42"/>
        <v>5.4252439467050266E-3</v>
      </c>
      <c r="DA137" s="212"/>
    </row>
    <row r="138" spans="1:105" ht="11.45" customHeight="1" x14ac:dyDescent="0.25">
      <c r="A138" s="155" t="s">
        <v>20</v>
      </c>
      <c r="B138" s="156">
        <f t="shared" si="40"/>
        <v>0.66771293414624167</v>
      </c>
      <c r="C138" s="156">
        <f t="shared" si="40"/>
        <v>0.65393137960477299</v>
      </c>
      <c r="D138" s="156">
        <f t="shared" si="40"/>
        <v>0.64608804283652543</v>
      </c>
      <c r="E138" s="156">
        <f t="shared" si="40"/>
        <v>0.6480103995588703</v>
      </c>
      <c r="F138" s="156">
        <f t="shared" si="40"/>
        <v>0.62917641130259316</v>
      </c>
      <c r="G138" s="156">
        <f t="shared" si="40"/>
        <v>0.61914145018008682</v>
      </c>
      <c r="H138" s="156">
        <f t="shared" si="40"/>
        <v>0.61886554044155562</v>
      </c>
      <c r="I138" s="156">
        <f t="shared" si="40"/>
        <v>0.62169032187929507</v>
      </c>
      <c r="J138" s="156">
        <f t="shared" si="40"/>
        <v>0.63190954925603315</v>
      </c>
      <c r="K138" s="156">
        <f t="shared" si="40"/>
        <v>0.64069280718257127</v>
      </c>
      <c r="L138" s="156">
        <f t="shared" si="41"/>
        <v>0.63648505049743975</v>
      </c>
      <c r="M138" s="156">
        <f t="shared" si="40"/>
        <v>0.63878012726627209</v>
      </c>
      <c r="N138" s="156">
        <f t="shared" si="40"/>
        <v>0.64099667189573317</v>
      </c>
      <c r="O138" s="156">
        <f t="shared" si="40"/>
        <v>0.63403998263959638</v>
      </c>
      <c r="P138" s="156">
        <f t="shared" si="40"/>
        <v>0.63436632010014748</v>
      </c>
      <c r="Q138" s="156">
        <f t="shared" si="40"/>
        <v>0.61864455426087628</v>
      </c>
      <c r="R138" s="156">
        <f t="shared" si="40"/>
        <v>0.60334535143506651</v>
      </c>
      <c r="S138" s="156">
        <f t="shared" si="40"/>
        <v>0.58696385931913508</v>
      </c>
      <c r="T138" s="156">
        <f t="shared" si="40"/>
        <v>0.576416687459123</v>
      </c>
      <c r="U138" s="156">
        <f t="shared" si="40"/>
        <v>0.56977468936123432</v>
      </c>
      <c r="V138" s="156">
        <f t="shared" si="40"/>
        <v>0.54383458763129577</v>
      </c>
      <c r="W138" s="156">
        <f t="shared" si="42"/>
        <v>0.52844959696322391</v>
      </c>
      <c r="DA138" s="213"/>
    </row>
    <row r="139" spans="1:105" ht="11.45" customHeight="1" x14ac:dyDescent="0.25">
      <c r="A139" s="157" t="s">
        <v>110</v>
      </c>
      <c r="B139" s="103">
        <f t="shared" si="40"/>
        <v>0.27231936436916204</v>
      </c>
      <c r="C139" s="103">
        <f t="shared" si="40"/>
        <v>0.25509735520167448</v>
      </c>
      <c r="D139" s="103">
        <f t="shared" si="40"/>
        <v>0.24173588841389784</v>
      </c>
      <c r="E139" s="103">
        <f t="shared" si="40"/>
        <v>0.23886612622203451</v>
      </c>
      <c r="F139" s="103">
        <f t="shared" si="40"/>
        <v>0.20891667043200024</v>
      </c>
      <c r="G139" s="103">
        <f t="shared" si="40"/>
        <v>0.19820927880348774</v>
      </c>
      <c r="H139" s="103">
        <f t="shared" si="40"/>
        <v>0.17865396137567044</v>
      </c>
      <c r="I139" s="103">
        <f t="shared" si="40"/>
        <v>0.16329507197147924</v>
      </c>
      <c r="J139" s="103">
        <f t="shared" si="40"/>
        <v>0.14850070471782997</v>
      </c>
      <c r="K139" s="103">
        <f t="shared" si="40"/>
        <v>0.14468706172321377</v>
      </c>
      <c r="L139" s="103">
        <f t="shared" si="41"/>
        <v>0.13313017284343084</v>
      </c>
      <c r="M139" s="103">
        <f t="shared" si="40"/>
        <v>0.12919036431301958</v>
      </c>
      <c r="N139" s="103">
        <f t="shared" si="40"/>
        <v>0.13004731658350119</v>
      </c>
      <c r="O139" s="103">
        <f t="shared" si="40"/>
        <v>0.13313906763564481</v>
      </c>
      <c r="P139" s="103">
        <f t="shared" si="40"/>
        <v>0.14186404232505639</v>
      </c>
      <c r="Q139" s="103">
        <f t="shared" si="40"/>
        <v>0.14197013775586773</v>
      </c>
      <c r="R139" s="103">
        <f t="shared" si="40"/>
        <v>0.15605540306656523</v>
      </c>
      <c r="S139" s="103">
        <f t="shared" si="40"/>
        <v>0.15998013064938721</v>
      </c>
      <c r="T139" s="103">
        <f t="shared" si="40"/>
        <v>0.17893495586617153</v>
      </c>
      <c r="U139" s="103">
        <f t="shared" si="40"/>
        <v>0.20352091261810407</v>
      </c>
      <c r="V139" s="103">
        <f t="shared" si="40"/>
        <v>0.20022752420396223</v>
      </c>
      <c r="W139" s="103">
        <f t="shared" si="42"/>
        <v>0.22158350753047476</v>
      </c>
      <c r="DA139" s="191"/>
    </row>
    <row r="140" spans="1:105" ht="11.45" customHeight="1" x14ac:dyDescent="0.25">
      <c r="A140" s="157" t="s">
        <v>111</v>
      </c>
      <c r="B140" s="103">
        <f t="shared" si="40"/>
        <v>0.3894858106441873</v>
      </c>
      <c r="C140" s="103">
        <f t="shared" si="40"/>
        <v>0.39171322822218096</v>
      </c>
      <c r="D140" s="103">
        <f t="shared" si="40"/>
        <v>0.39846461369491087</v>
      </c>
      <c r="E140" s="103">
        <f t="shared" si="40"/>
        <v>0.40411220473442983</v>
      </c>
      <c r="F140" s="103">
        <f t="shared" si="40"/>
        <v>0.41571339682947916</v>
      </c>
      <c r="G140" s="103">
        <f t="shared" si="40"/>
        <v>0.4163893371806715</v>
      </c>
      <c r="H140" s="103">
        <f t="shared" si="40"/>
        <v>0.43586044075131647</v>
      </c>
      <c r="I140" s="103">
        <f t="shared" si="40"/>
        <v>0.45487104751071877</v>
      </c>
      <c r="J140" s="103">
        <f t="shared" si="40"/>
        <v>0.48005130929203649</v>
      </c>
      <c r="K140" s="103">
        <f t="shared" si="40"/>
        <v>0.49268400825735409</v>
      </c>
      <c r="L140" s="103">
        <f t="shared" si="41"/>
        <v>0.50011324675559754</v>
      </c>
      <c r="M140" s="103">
        <f t="shared" si="40"/>
        <v>0.50602481401976285</v>
      </c>
      <c r="N140" s="103">
        <f t="shared" si="40"/>
        <v>0.50730630014383304</v>
      </c>
      <c r="O140" s="103">
        <f t="shared" si="40"/>
        <v>0.49743655079857352</v>
      </c>
      <c r="P140" s="103">
        <f t="shared" si="40"/>
        <v>0.48855332655056122</v>
      </c>
      <c r="Q140" s="103">
        <f t="shared" si="40"/>
        <v>0.47086578378750099</v>
      </c>
      <c r="R140" s="103">
        <f t="shared" si="40"/>
        <v>0.44075598438210722</v>
      </c>
      <c r="S140" s="103">
        <f t="shared" si="40"/>
        <v>0.42031833915924466</v>
      </c>
      <c r="T140" s="103">
        <f t="shared" si="40"/>
        <v>0.39028400430520488</v>
      </c>
      <c r="U140" s="103">
        <f t="shared" si="40"/>
        <v>0.35765037630847546</v>
      </c>
      <c r="V140" s="103">
        <f t="shared" si="40"/>
        <v>0.33235287610830844</v>
      </c>
      <c r="W140" s="103">
        <f t="shared" si="42"/>
        <v>0.29379322522316142</v>
      </c>
      <c r="DA140" s="191"/>
    </row>
    <row r="141" spans="1:105" ht="11.45" customHeight="1" x14ac:dyDescent="0.25">
      <c r="A141" s="157" t="s">
        <v>112</v>
      </c>
      <c r="B141" s="103">
        <f t="shared" si="40"/>
        <v>5.907759132892384E-3</v>
      </c>
      <c r="C141" s="103">
        <f t="shared" si="40"/>
        <v>7.1207961809176016E-3</v>
      </c>
      <c r="D141" s="103">
        <f t="shared" si="40"/>
        <v>5.8875407277167975E-3</v>
      </c>
      <c r="E141" s="103">
        <f t="shared" si="40"/>
        <v>5.0320686024059756E-3</v>
      </c>
      <c r="F141" s="103">
        <f t="shared" si="40"/>
        <v>4.5201571336902467E-3</v>
      </c>
      <c r="G141" s="103">
        <f t="shared" si="40"/>
        <v>4.5137054997951669E-3</v>
      </c>
      <c r="H141" s="103">
        <f t="shared" si="40"/>
        <v>4.3242918885477623E-3</v>
      </c>
      <c r="I141" s="103">
        <f t="shared" si="40"/>
        <v>3.49798203425966E-3</v>
      </c>
      <c r="J141" s="103">
        <f t="shared" si="40"/>
        <v>3.3428457299764032E-3</v>
      </c>
      <c r="K141" s="103">
        <f t="shared" si="40"/>
        <v>3.3113742379815661E-3</v>
      </c>
      <c r="L141" s="103">
        <f t="shared" si="41"/>
        <v>3.2321404507368126E-3</v>
      </c>
      <c r="M141" s="103">
        <f t="shared" si="40"/>
        <v>3.5525499933910594E-3</v>
      </c>
      <c r="N141" s="103">
        <f t="shared" si="40"/>
        <v>3.6109478342504784E-3</v>
      </c>
      <c r="O141" s="103">
        <f t="shared" si="40"/>
        <v>3.3978284338174124E-3</v>
      </c>
      <c r="P141" s="103">
        <f t="shared" si="40"/>
        <v>3.7860070566330347E-3</v>
      </c>
      <c r="Q141" s="103">
        <f t="shared" si="40"/>
        <v>5.4664725603919568E-3</v>
      </c>
      <c r="R141" s="103">
        <f t="shared" si="40"/>
        <v>5.7239645483519539E-3</v>
      </c>
      <c r="S141" s="103">
        <f t="shared" si="40"/>
        <v>5.2997498553458396E-3</v>
      </c>
      <c r="T141" s="103">
        <f t="shared" si="40"/>
        <v>4.9942691992328698E-3</v>
      </c>
      <c r="U141" s="103">
        <f t="shared" si="40"/>
        <v>5.0787729296846579E-3</v>
      </c>
      <c r="V141" s="103">
        <f t="shared" si="40"/>
        <v>5.3365005995795146E-3</v>
      </c>
      <c r="W141" s="103">
        <f t="shared" si="42"/>
        <v>4.7051628375769988E-3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2.6186907423547503E-5</v>
      </c>
      <c r="G142" s="103">
        <f t="shared" si="40"/>
        <v>2.9128696132513023E-5</v>
      </c>
      <c r="H142" s="103">
        <f t="shared" si="40"/>
        <v>2.6846426020924426E-5</v>
      </c>
      <c r="I142" s="103">
        <f t="shared" si="40"/>
        <v>2.6220362837390426E-5</v>
      </c>
      <c r="J142" s="103">
        <f t="shared" si="40"/>
        <v>1.4689516190237169E-5</v>
      </c>
      <c r="K142" s="103">
        <f t="shared" si="40"/>
        <v>1.0362964021870671E-5</v>
      </c>
      <c r="L142" s="103">
        <f t="shared" si="41"/>
        <v>9.4904476745123259E-6</v>
      </c>
      <c r="M142" s="103">
        <f t="shared" si="40"/>
        <v>1.2009924873071396E-5</v>
      </c>
      <c r="N142" s="103">
        <f t="shared" si="40"/>
        <v>2.6428049709758189E-5</v>
      </c>
      <c r="O142" s="103">
        <f t="shared" si="40"/>
        <v>5.9581195377049023E-5</v>
      </c>
      <c r="P142" s="103">
        <f t="shared" si="40"/>
        <v>1.3625734755048287E-4</v>
      </c>
      <c r="Q142" s="103">
        <f t="shared" si="40"/>
        <v>2.3133692580244408E-4</v>
      </c>
      <c r="R142" s="103">
        <f t="shared" si="40"/>
        <v>4.6283872885366311E-4</v>
      </c>
      <c r="S142" s="103">
        <f t="shared" si="40"/>
        <v>7.0385798964825734E-4</v>
      </c>
      <c r="T142" s="103">
        <f t="shared" si="40"/>
        <v>1.1957464827092262E-3</v>
      </c>
      <c r="U142" s="103">
        <f t="shared" si="40"/>
        <v>2.2486904032014941E-3</v>
      </c>
      <c r="V142" s="103">
        <f t="shared" si="40"/>
        <v>4.0360837351961949E-3</v>
      </c>
      <c r="W142" s="103">
        <f t="shared" si="42"/>
        <v>5.2702042861910358E-3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3.890152254960062E-7</v>
      </c>
      <c r="N143" s="103">
        <f t="shared" si="40"/>
        <v>5.6792844387345475E-6</v>
      </c>
      <c r="O143" s="103">
        <f t="shared" si="40"/>
        <v>6.954576183512914E-6</v>
      </c>
      <c r="P143" s="103">
        <f t="shared" si="40"/>
        <v>2.6686820346257956E-5</v>
      </c>
      <c r="Q143" s="103">
        <f t="shared" si="40"/>
        <v>1.1082323131314071E-4</v>
      </c>
      <c r="R143" s="103">
        <f t="shared" si="40"/>
        <v>3.4716070918845048E-4</v>
      </c>
      <c r="S143" s="103">
        <f t="shared" si="40"/>
        <v>6.6178166550905635E-4</v>
      </c>
      <c r="T143" s="103">
        <f t="shared" si="40"/>
        <v>1.0077116058044169E-3</v>
      </c>
      <c r="U143" s="103">
        <f t="shared" si="40"/>
        <v>1.2759371017686681E-3</v>
      </c>
      <c r="V143" s="103">
        <f t="shared" si="40"/>
        <v>1.88160298424928E-3</v>
      </c>
      <c r="W143" s="103">
        <f t="shared" si="42"/>
        <v>3.0974970858197418E-3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5.2028962906479397E-2</v>
      </c>
      <c r="C145" s="156">
        <f t="shared" si="40"/>
        <v>4.9764168125347417E-2</v>
      </c>
      <c r="D145" s="156">
        <f t="shared" si="40"/>
        <v>4.9373127000321843E-2</v>
      </c>
      <c r="E145" s="156">
        <f t="shared" si="40"/>
        <v>4.9411525252856262E-2</v>
      </c>
      <c r="F145" s="156">
        <f t="shared" si="40"/>
        <v>4.7531727094866312E-2</v>
      </c>
      <c r="G145" s="156">
        <f t="shared" si="40"/>
        <v>4.7857438972763032E-2</v>
      </c>
      <c r="H145" s="156">
        <f t="shared" si="40"/>
        <v>4.5600386321895295E-2</v>
      </c>
      <c r="I145" s="156">
        <f t="shared" si="40"/>
        <v>4.3657159632773265E-2</v>
      </c>
      <c r="J145" s="156">
        <f t="shared" si="40"/>
        <v>4.4392342004750396E-2</v>
      </c>
      <c r="K145" s="156">
        <f t="shared" si="40"/>
        <v>4.4079077463313708E-2</v>
      </c>
      <c r="L145" s="156">
        <f t="shared" si="41"/>
        <v>4.4135794787155624E-2</v>
      </c>
      <c r="M145" s="156">
        <f t="shared" si="40"/>
        <v>4.3313890139960003E-2</v>
      </c>
      <c r="N145" s="156">
        <f t="shared" si="40"/>
        <v>4.329255544966458E-2</v>
      </c>
      <c r="O145" s="156">
        <f t="shared" si="40"/>
        <v>4.2949636382854373E-2</v>
      </c>
      <c r="P145" s="156">
        <f t="shared" si="40"/>
        <v>4.270211644475691E-2</v>
      </c>
      <c r="Q145" s="156">
        <f t="shared" si="40"/>
        <v>4.25464150005068E-2</v>
      </c>
      <c r="R145" s="156">
        <f t="shared" si="40"/>
        <v>4.0567394631517859E-2</v>
      </c>
      <c r="S145" s="156">
        <f t="shared" si="40"/>
        <v>4.2730609788148521E-2</v>
      </c>
      <c r="T145" s="156">
        <f t="shared" si="40"/>
        <v>4.4797430300348051E-2</v>
      </c>
      <c r="U145" s="156">
        <f t="shared" si="40"/>
        <v>4.5935914971624588E-2</v>
      </c>
      <c r="V145" s="156">
        <f t="shared" si="40"/>
        <v>5.161978552476814E-2</v>
      </c>
      <c r="W145" s="156">
        <f t="shared" si="42"/>
        <v>4.9068171448072115E-2</v>
      </c>
      <c r="DA145" s="213"/>
    </row>
    <row r="146" spans="1:105" ht="11.45" customHeight="1" x14ac:dyDescent="0.25">
      <c r="A146" s="157" t="s">
        <v>110</v>
      </c>
      <c r="B146" s="103">
        <f t="shared" si="40"/>
        <v>2.0459787684857605E-4</v>
      </c>
      <c r="C146" s="103">
        <f t="shared" si="40"/>
        <v>1.9572610531165362E-4</v>
      </c>
      <c r="D146" s="103">
        <f t="shared" si="40"/>
        <v>1.8086004295764907E-4</v>
      </c>
      <c r="E146" s="103">
        <f t="shared" si="40"/>
        <v>1.787860364832555E-4</v>
      </c>
      <c r="F146" s="103">
        <f t="shared" si="40"/>
        <v>1.6793245935521416E-4</v>
      </c>
      <c r="G146" s="103">
        <f t="shared" si="40"/>
        <v>1.7076503058557037E-4</v>
      </c>
      <c r="H146" s="103">
        <f t="shared" si="40"/>
        <v>1.5114832124418586E-4</v>
      </c>
      <c r="I146" s="103">
        <f t="shared" si="40"/>
        <v>1.3892784094572287E-4</v>
      </c>
      <c r="J146" s="103">
        <f t="shared" si="40"/>
        <v>1.2844840545032089E-4</v>
      </c>
      <c r="K146" s="103">
        <f t="shared" si="40"/>
        <v>1.1898910498954676E-4</v>
      </c>
      <c r="L146" s="103">
        <f t="shared" si="41"/>
        <v>1.0781427378773098E-4</v>
      </c>
      <c r="M146" s="103">
        <f t="shared" si="40"/>
        <v>1.0408084639849496E-4</v>
      </c>
      <c r="N146" s="103">
        <f t="shared" si="40"/>
        <v>1.0302918932112866E-4</v>
      </c>
      <c r="O146" s="103">
        <f t="shared" si="40"/>
        <v>9.7565055405122444E-5</v>
      </c>
      <c r="P146" s="103">
        <f t="shared" si="40"/>
        <v>9.5387268288115099E-5</v>
      </c>
      <c r="Q146" s="103">
        <f t="shared" si="40"/>
        <v>8.6563969278294079E-5</v>
      </c>
      <c r="R146" s="103">
        <f t="shared" si="40"/>
        <v>8.1141502465473567E-5</v>
      </c>
      <c r="S146" s="103">
        <f t="shared" si="40"/>
        <v>7.8280145456813914E-5</v>
      </c>
      <c r="T146" s="103">
        <f t="shared" si="40"/>
        <v>7.650102584618521E-5</v>
      </c>
      <c r="U146" s="103">
        <f t="shared" si="40"/>
        <v>7.605983018465725E-5</v>
      </c>
      <c r="V146" s="103">
        <f t="shared" si="40"/>
        <v>8.7927186614231419E-5</v>
      </c>
      <c r="W146" s="103">
        <f t="shared" si="42"/>
        <v>7.668475336832485E-5</v>
      </c>
      <c r="DA146" s="191"/>
    </row>
    <row r="147" spans="1:105" ht="11.45" customHeight="1" x14ac:dyDescent="0.25">
      <c r="A147" s="157" t="s">
        <v>111</v>
      </c>
      <c r="B147" s="103">
        <f t="shared" si="40"/>
        <v>5.182436502963083E-2</v>
      </c>
      <c r="C147" s="103">
        <f t="shared" si="40"/>
        <v>4.9568442020035769E-2</v>
      </c>
      <c r="D147" s="103">
        <f t="shared" si="40"/>
        <v>4.9192266957364193E-2</v>
      </c>
      <c r="E147" s="103">
        <f t="shared" si="40"/>
        <v>4.9232739216373E-2</v>
      </c>
      <c r="F147" s="103">
        <f t="shared" si="40"/>
        <v>4.7363794635511089E-2</v>
      </c>
      <c r="G147" s="103">
        <f t="shared" si="40"/>
        <v>4.768667394217746E-2</v>
      </c>
      <c r="H147" s="103">
        <f t="shared" si="40"/>
        <v>4.5449238000651107E-2</v>
      </c>
      <c r="I147" s="103">
        <f t="shared" si="40"/>
        <v>4.3518231791827539E-2</v>
      </c>
      <c r="J147" s="103">
        <f t="shared" si="40"/>
        <v>4.4263893599300073E-2</v>
      </c>
      <c r="K147" s="103">
        <f t="shared" si="40"/>
        <v>4.3960088358324156E-2</v>
      </c>
      <c r="L147" s="103">
        <f t="shared" si="41"/>
        <v>4.4027980513367891E-2</v>
      </c>
      <c r="M147" s="103">
        <f t="shared" si="40"/>
        <v>4.320980929356151E-2</v>
      </c>
      <c r="N147" s="103">
        <f t="shared" si="40"/>
        <v>4.3189526260343454E-2</v>
      </c>
      <c r="O147" s="103">
        <f t="shared" si="40"/>
        <v>4.2852071327449247E-2</v>
      </c>
      <c r="P147" s="103">
        <f t="shared" si="40"/>
        <v>4.2606729176468794E-2</v>
      </c>
      <c r="Q147" s="103">
        <f t="shared" si="40"/>
        <v>4.2459851031228506E-2</v>
      </c>
      <c r="R147" s="103">
        <f t="shared" ref="R147:V147" si="43">IF(R29=0,0,R29/R$17)</f>
        <v>4.0484830729239807E-2</v>
      </c>
      <c r="S147" s="103">
        <f t="shared" si="43"/>
        <v>4.2650835584282482E-2</v>
      </c>
      <c r="T147" s="103">
        <f t="shared" si="43"/>
        <v>4.4712218989279712E-2</v>
      </c>
      <c r="U147" s="103">
        <f t="shared" si="43"/>
        <v>4.5836806450007338E-2</v>
      </c>
      <c r="V147" s="103">
        <f t="shared" si="43"/>
        <v>5.1457579409928858E-2</v>
      </c>
      <c r="W147" s="103">
        <f t="shared" ref="W147" si="44">IF(W29=0,0,W29/W$17)</f>
        <v>4.8416291841352745E-2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0</v>
      </c>
      <c r="G148" s="103">
        <f t="shared" si="45"/>
        <v>0</v>
      </c>
      <c r="H148" s="103">
        <f t="shared" si="45"/>
        <v>0</v>
      </c>
      <c r="I148" s="103">
        <f t="shared" si="45"/>
        <v>0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0</v>
      </c>
      <c r="S148" s="103">
        <f t="shared" si="47"/>
        <v>0</v>
      </c>
      <c r="T148" s="103">
        <f t="shared" si="47"/>
        <v>0</v>
      </c>
      <c r="U148" s="103">
        <f t="shared" si="47"/>
        <v>0</v>
      </c>
      <c r="V148" s="103">
        <f t="shared" si="47"/>
        <v>0</v>
      </c>
      <c r="W148" s="103">
        <f t="shared" ref="W148" si="48">IF(W30=0,0,W30/W$17)</f>
        <v>0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0</v>
      </c>
      <c r="G149" s="103">
        <f t="shared" si="49"/>
        <v>0</v>
      </c>
      <c r="H149" s="103">
        <f t="shared" si="49"/>
        <v>0</v>
      </c>
      <c r="I149" s="103">
        <f t="shared" si="49"/>
        <v>0</v>
      </c>
      <c r="J149" s="103">
        <f t="shared" si="49"/>
        <v>0</v>
      </c>
      <c r="K149" s="103">
        <f t="shared" si="49"/>
        <v>0</v>
      </c>
      <c r="L149" s="103">
        <f t="shared" si="46"/>
        <v>0</v>
      </c>
      <c r="M149" s="103">
        <f t="shared" ref="M149:V149" si="50">IF(M31=0,0,M31/M$17)</f>
        <v>0</v>
      </c>
      <c r="N149" s="103">
        <f t="shared" si="50"/>
        <v>0</v>
      </c>
      <c r="O149" s="103">
        <f t="shared" si="50"/>
        <v>0</v>
      </c>
      <c r="P149" s="103">
        <f t="shared" si="50"/>
        <v>0</v>
      </c>
      <c r="Q149" s="103">
        <f t="shared" si="50"/>
        <v>0</v>
      </c>
      <c r="R149" s="103">
        <f t="shared" si="50"/>
        <v>1.4223998125762694E-6</v>
      </c>
      <c r="S149" s="103">
        <f t="shared" si="50"/>
        <v>1.4940584092208509E-6</v>
      </c>
      <c r="T149" s="103">
        <f t="shared" si="50"/>
        <v>8.7102852221588553E-6</v>
      </c>
      <c r="U149" s="103">
        <f t="shared" si="50"/>
        <v>2.3048691432587696E-5</v>
      </c>
      <c r="V149" s="103">
        <f t="shared" si="50"/>
        <v>7.4278928225048619E-5</v>
      </c>
      <c r="W149" s="103">
        <f t="shared" ref="W149" si="51">IF(W31=0,0,W31/W$17)</f>
        <v>5.7519485335103741E-4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0.27280914773501402</v>
      </c>
      <c r="C151" s="46">
        <f t="shared" si="55"/>
        <v>0.288864601928633</v>
      </c>
      <c r="D151" s="46">
        <f t="shared" si="55"/>
        <v>0.29677312283655422</v>
      </c>
      <c r="E151" s="46">
        <f t="shared" si="55"/>
        <v>0.29472583227312071</v>
      </c>
      <c r="F151" s="46">
        <f t="shared" si="55"/>
        <v>0.31571807397105173</v>
      </c>
      <c r="G151" s="46">
        <f t="shared" si="55"/>
        <v>0.32557048408261818</v>
      </c>
      <c r="H151" s="46">
        <f t="shared" si="55"/>
        <v>0.32808629276144352</v>
      </c>
      <c r="I151" s="46">
        <f t="shared" si="55"/>
        <v>0.32722680595422421</v>
      </c>
      <c r="J151" s="46">
        <f t="shared" si="55"/>
        <v>0.31637277843356781</v>
      </c>
      <c r="K151" s="46">
        <f t="shared" si="55"/>
        <v>0.30802002211799151</v>
      </c>
      <c r="L151" s="46">
        <f t="shared" ref="L151" si="56">IF(L33=0,0,L33/L$17)</f>
        <v>0.3125117528867688</v>
      </c>
      <c r="M151" s="46">
        <f t="shared" ref="M151:V151" si="57">IF(M33=0,0,M33/M$17)</f>
        <v>0.31104827012869612</v>
      </c>
      <c r="N151" s="46">
        <f t="shared" si="57"/>
        <v>0.30895334827516197</v>
      </c>
      <c r="O151" s="46">
        <f t="shared" si="57"/>
        <v>0.31646042830369642</v>
      </c>
      <c r="P151" s="46">
        <f t="shared" si="57"/>
        <v>0.31610256653069579</v>
      </c>
      <c r="Q151" s="46">
        <f t="shared" si="57"/>
        <v>0.33253099458033147</v>
      </c>
      <c r="R151" s="46">
        <f t="shared" si="57"/>
        <v>0.34994021872880526</v>
      </c>
      <c r="S151" s="46">
        <f t="shared" si="57"/>
        <v>0.36443715470402838</v>
      </c>
      <c r="T151" s="46">
        <f t="shared" si="57"/>
        <v>0.37327249791276002</v>
      </c>
      <c r="U151" s="46">
        <f t="shared" si="57"/>
        <v>0.37835822266786839</v>
      </c>
      <c r="V151" s="46">
        <f t="shared" si="57"/>
        <v>0.39850943808853923</v>
      </c>
      <c r="W151" s="46">
        <f t="shared" ref="W151" si="58">IF(W33=0,0,W33/W$17)</f>
        <v>0.41705698764199889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0.13674756530739229</v>
      </c>
      <c r="C152" s="154">
        <f t="shared" si="59"/>
        <v>0.13271129778052551</v>
      </c>
      <c r="D152" s="154">
        <f t="shared" si="59"/>
        <v>0.13774883107562275</v>
      </c>
      <c r="E152" s="154">
        <f t="shared" si="59"/>
        <v>0.13524188227566486</v>
      </c>
      <c r="F152" s="154">
        <f t="shared" si="59"/>
        <v>0.13856402275125485</v>
      </c>
      <c r="G152" s="154">
        <f t="shared" si="59"/>
        <v>0.14419661235373565</v>
      </c>
      <c r="H152" s="154">
        <f t="shared" si="59"/>
        <v>0.14240828882255674</v>
      </c>
      <c r="I152" s="154">
        <f t="shared" si="59"/>
        <v>0.14307959815350518</v>
      </c>
      <c r="J152" s="154">
        <f t="shared" si="59"/>
        <v>0.14226175419464843</v>
      </c>
      <c r="K152" s="154">
        <f t="shared" si="59"/>
        <v>0.14064021675572505</v>
      </c>
      <c r="L152" s="154">
        <f t="shared" ref="L152" si="60">IF(L34=0,0,L34/L$17)</f>
        <v>0.14094905448454673</v>
      </c>
      <c r="M152" s="154">
        <f t="shared" ref="M152:V152" si="61">IF(M34=0,0,M34/M$17)</f>
        <v>0.14171313770816477</v>
      </c>
      <c r="N152" s="154">
        <f t="shared" si="61"/>
        <v>0.14292392810479768</v>
      </c>
      <c r="O152" s="154">
        <f t="shared" si="61"/>
        <v>0.13773409885892446</v>
      </c>
      <c r="P152" s="154">
        <f t="shared" si="61"/>
        <v>0.13884827266390537</v>
      </c>
      <c r="Q152" s="154">
        <f t="shared" si="61"/>
        <v>0.14099786019766733</v>
      </c>
      <c r="R152" s="154">
        <f t="shared" si="61"/>
        <v>0.1311367255251521</v>
      </c>
      <c r="S152" s="154">
        <f t="shared" si="61"/>
        <v>0.1232289899801013</v>
      </c>
      <c r="T152" s="154">
        <f t="shared" si="61"/>
        <v>0.12071044272661557</v>
      </c>
      <c r="U152" s="154">
        <f t="shared" si="61"/>
        <v>0.12253485619898663</v>
      </c>
      <c r="V152" s="154">
        <f t="shared" si="61"/>
        <v>0.13082711653145324</v>
      </c>
      <c r="W152" s="154">
        <f t="shared" ref="W152" si="62">IF(W34=0,0,W34/W$17)</f>
        <v>0.13806016724637263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8.2482774892344794E-3</v>
      </c>
      <c r="C153" s="103">
        <f t="shared" si="63"/>
        <v>7.6529513044622504E-3</v>
      </c>
      <c r="D153" s="103">
        <f t="shared" si="63"/>
        <v>7.8155596839381437E-3</v>
      </c>
      <c r="E153" s="103">
        <f t="shared" si="63"/>
        <v>7.0622408762930789E-3</v>
      </c>
      <c r="F153" s="103">
        <f t="shared" si="63"/>
        <v>6.5303349002600085E-3</v>
      </c>
      <c r="G153" s="103">
        <f t="shared" si="63"/>
        <v>6.6579304187841153E-3</v>
      </c>
      <c r="H153" s="103">
        <f t="shared" si="63"/>
        <v>6.230910362822111E-3</v>
      </c>
      <c r="I153" s="103">
        <f t="shared" si="63"/>
        <v>5.3228674360654661E-3</v>
      </c>
      <c r="J153" s="103">
        <f t="shared" si="63"/>
        <v>4.8102169730872045E-3</v>
      </c>
      <c r="K153" s="103">
        <f t="shared" si="63"/>
        <v>4.3878443849894571E-3</v>
      </c>
      <c r="L153" s="103">
        <f t="shared" ref="L153" si="64">IF(L35=0,0,L35/L$17)</f>
        <v>4.1499025834344965E-3</v>
      </c>
      <c r="M153" s="103">
        <f t="shared" ref="M153:V153" si="65">IF(M35=0,0,M35/M$17)</f>
        <v>3.9573584481316561E-3</v>
      </c>
      <c r="N153" s="103">
        <f t="shared" si="65"/>
        <v>3.8671992927917782E-3</v>
      </c>
      <c r="O153" s="103">
        <f t="shared" si="65"/>
        <v>3.5478380681097936E-3</v>
      </c>
      <c r="P153" s="103">
        <f t="shared" si="65"/>
        <v>3.2557306877793422E-3</v>
      </c>
      <c r="Q153" s="103">
        <f t="shared" si="65"/>
        <v>2.794951140452728E-3</v>
      </c>
      <c r="R153" s="103">
        <f t="shared" si="65"/>
        <v>2.8891795865145088E-3</v>
      </c>
      <c r="S153" s="103">
        <f t="shared" si="65"/>
        <v>3.0728846494494908E-3</v>
      </c>
      <c r="T153" s="103">
        <f t="shared" si="65"/>
        <v>3.5457711767206816E-3</v>
      </c>
      <c r="U153" s="103">
        <f t="shared" si="65"/>
        <v>3.9462246668789721E-3</v>
      </c>
      <c r="V153" s="103">
        <f t="shared" si="65"/>
        <v>4.2224832390988483E-3</v>
      </c>
      <c r="W153" s="103">
        <f t="shared" ref="W153" si="66">IF(W35=0,0,W35/W$17)</f>
        <v>4.279583660903058E-3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0.12336199766084961</v>
      </c>
      <c r="C154" s="103">
        <f t="shared" si="67"/>
        <v>0.11997847922863578</v>
      </c>
      <c r="D154" s="103">
        <f t="shared" si="67"/>
        <v>0.12471545522344131</v>
      </c>
      <c r="E154" s="103">
        <f t="shared" si="67"/>
        <v>0.12352070970515815</v>
      </c>
      <c r="F154" s="103">
        <f t="shared" si="67"/>
        <v>0.12759550744960704</v>
      </c>
      <c r="G154" s="103">
        <f t="shared" si="67"/>
        <v>0.1333042999911804</v>
      </c>
      <c r="H154" s="103">
        <f t="shared" si="67"/>
        <v>0.13230423283271026</v>
      </c>
      <c r="I154" s="103">
        <f t="shared" si="67"/>
        <v>0.13439510193935925</v>
      </c>
      <c r="J154" s="103">
        <f t="shared" si="67"/>
        <v>0.13449284875169062</v>
      </c>
      <c r="K154" s="103">
        <f t="shared" si="67"/>
        <v>0.13364592274150514</v>
      </c>
      <c r="L154" s="103">
        <f t="shared" ref="L154" si="68">IF(L36=0,0,L36/L$17)</f>
        <v>0.13447811802596474</v>
      </c>
      <c r="M154" s="103">
        <f t="shared" ref="M154:V154" si="69">IF(M36=0,0,M36/M$17)</f>
        <v>0.13544103899000565</v>
      </c>
      <c r="N154" s="103">
        <f t="shared" si="69"/>
        <v>0.13684211589506873</v>
      </c>
      <c r="O154" s="103">
        <f t="shared" si="69"/>
        <v>0.13237300093128523</v>
      </c>
      <c r="P154" s="103">
        <f t="shared" si="69"/>
        <v>0.13397837885911248</v>
      </c>
      <c r="Q154" s="103">
        <f t="shared" si="69"/>
        <v>0.13697850333608469</v>
      </c>
      <c r="R154" s="103">
        <f t="shared" si="69"/>
        <v>0.12709442946051652</v>
      </c>
      <c r="S154" s="103">
        <f t="shared" si="69"/>
        <v>0.11899432431963532</v>
      </c>
      <c r="T154" s="103">
        <f t="shared" si="69"/>
        <v>0.11602212360154496</v>
      </c>
      <c r="U154" s="103">
        <f t="shared" si="69"/>
        <v>0.11727678848322398</v>
      </c>
      <c r="V154" s="103">
        <f t="shared" si="69"/>
        <v>0.12475551778138187</v>
      </c>
      <c r="W154" s="103">
        <f t="shared" ref="W154" si="70">IF(W36=0,0,W36/W$17)</f>
        <v>0.1314112913384255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5.1372901573081978E-3</v>
      </c>
      <c r="C155" s="103">
        <f t="shared" si="71"/>
        <v>5.0798672474274735E-3</v>
      </c>
      <c r="D155" s="103">
        <f t="shared" si="71"/>
        <v>5.2178161682432953E-3</v>
      </c>
      <c r="E155" s="103">
        <f t="shared" si="71"/>
        <v>4.6589316942136404E-3</v>
      </c>
      <c r="F155" s="103">
        <f t="shared" si="71"/>
        <v>4.438180401387784E-3</v>
      </c>
      <c r="G155" s="103">
        <f t="shared" si="71"/>
        <v>4.2343819437711695E-3</v>
      </c>
      <c r="H155" s="103">
        <f t="shared" si="71"/>
        <v>3.8731456270243935E-3</v>
      </c>
      <c r="I155" s="103">
        <f t="shared" si="71"/>
        <v>3.3616287780804692E-3</v>
      </c>
      <c r="J155" s="103">
        <f t="shared" si="71"/>
        <v>2.9517813414859837E-3</v>
      </c>
      <c r="K155" s="103">
        <f t="shared" si="71"/>
        <v>2.5969636197668432E-3</v>
      </c>
      <c r="L155" s="103">
        <f t="shared" ref="L155" si="72">IF(L37=0,0,L37/L$17)</f>
        <v>2.3091659740701377E-3</v>
      </c>
      <c r="M155" s="103">
        <f t="shared" ref="M155:V155" si="73">IF(M37=0,0,M37/M$17)</f>
        <v>2.3042637290791516E-3</v>
      </c>
      <c r="N155" s="103">
        <f t="shared" si="73"/>
        <v>2.1885326325751676E-3</v>
      </c>
      <c r="O155" s="103">
        <f t="shared" si="73"/>
        <v>1.7786217759091275E-3</v>
      </c>
      <c r="P155" s="103">
        <f t="shared" si="73"/>
        <v>1.5645071294237264E-3</v>
      </c>
      <c r="Q155" s="103">
        <f t="shared" si="73"/>
        <v>1.1328557339426767E-3</v>
      </c>
      <c r="R155" s="103">
        <f t="shared" si="73"/>
        <v>1.0662235005431209E-3</v>
      </c>
      <c r="S155" s="103">
        <f t="shared" si="73"/>
        <v>1.0058613113087295E-3</v>
      </c>
      <c r="T155" s="103">
        <f t="shared" si="73"/>
        <v>9.021787179907284E-4</v>
      </c>
      <c r="U155" s="103">
        <f t="shared" si="73"/>
        <v>8.4123255464793373E-4</v>
      </c>
      <c r="V155" s="103">
        <f t="shared" si="73"/>
        <v>9.2806257665095735E-4</v>
      </c>
      <c r="W155" s="103">
        <f t="shared" ref="W155" si="74">IF(W37=0,0,W37/W$17)</f>
        <v>9.248599600412817E-4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6.907128384588637E-6</v>
      </c>
      <c r="K156" s="103">
        <f t="shared" si="75"/>
        <v>9.4860094636098447E-6</v>
      </c>
      <c r="L156" s="103">
        <f t="shared" ref="L156" si="76">IF(L38=0,0,L38/L$17)</f>
        <v>1.1867901077341507E-5</v>
      </c>
      <c r="M156" s="103">
        <f t="shared" ref="M156:V156" si="77">IF(M38=0,0,M38/M$17)</f>
        <v>1.0476540948322138E-5</v>
      </c>
      <c r="N156" s="103">
        <f t="shared" si="77"/>
        <v>2.6080284362003678E-5</v>
      </c>
      <c r="O156" s="103">
        <f t="shared" si="77"/>
        <v>3.4638083620267445E-5</v>
      </c>
      <c r="P156" s="103">
        <f t="shared" si="77"/>
        <v>4.9655987589816442E-5</v>
      </c>
      <c r="Q156" s="103">
        <f t="shared" si="77"/>
        <v>9.1549987187234533E-5</v>
      </c>
      <c r="R156" s="103">
        <f t="shared" si="77"/>
        <v>8.6892977577945644E-5</v>
      </c>
      <c r="S156" s="103">
        <f t="shared" si="77"/>
        <v>1.5591969970776506E-4</v>
      </c>
      <c r="T156" s="103">
        <f t="shared" si="77"/>
        <v>2.4036923035920642E-4</v>
      </c>
      <c r="U156" s="103">
        <f t="shared" si="77"/>
        <v>4.7061049423574981E-4</v>
      </c>
      <c r="V156" s="103">
        <f t="shared" si="77"/>
        <v>9.2105293432155264E-4</v>
      </c>
      <c r="W156" s="103">
        <f t="shared" ref="W156" si="78">IF(W38=0,0,W38/W$17)</f>
        <v>1.4444322870028083E-3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0.13606158242762176</v>
      </c>
      <c r="C158" s="156">
        <f t="shared" si="83"/>
        <v>0.15615330414810749</v>
      </c>
      <c r="D158" s="156">
        <f t="shared" si="83"/>
        <v>0.15902429176093147</v>
      </c>
      <c r="E158" s="156">
        <f t="shared" si="83"/>
        <v>0.15948394999745588</v>
      </c>
      <c r="F158" s="156">
        <f t="shared" si="83"/>
        <v>0.17715405121979694</v>
      </c>
      <c r="G158" s="156">
        <f t="shared" si="83"/>
        <v>0.18137387172888253</v>
      </c>
      <c r="H158" s="156">
        <f t="shared" si="83"/>
        <v>0.18567800393888681</v>
      </c>
      <c r="I158" s="156">
        <f t="shared" si="83"/>
        <v>0.18414720780071897</v>
      </c>
      <c r="J158" s="156">
        <f t="shared" si="83"/>
        <v>0.17411102423891939</v>
      </c>
      <c r="K158" s="156">
        <f t="shared" si="83"/>
        <v>0.16737980536226646</v>
      </c>
      <c r="L158" s="156">
        <f t="shared" ref="L158" si="84">IF(L40=0,0,L40/L$17)</f>
        <v>0.17156269840222205</v>
      </c>
      <c r="M158" s="156">
        <f t="shared" ref="M158:V158" si="85">IF(M40=0,0,M40/M$17)</f>
        <v>0.16933513242053141</v>
      </c>
      <c r="N158" s="156">
        <f t="shared" si="85"/>
        <v>0.16602942017036429</v>
      </c>
      <c r="O158" s="156">
        <f t="shared" si="85"/>
        <v>0.17872632944477199</v>
      </c>
      <c r="P158" s="156">
        <f t="shared" si="85"/>
        <v>0.17725429386679045</v>
      </c>
      <c r="Q158" s="156">
        <f t="shared" si="85"/>
        <v>0.19153313438266417</v>
      </c>
      <c r="R158" s="156">
        <f t="shared" si="85"/>
        <v>0.21880349320365314</v>
      </c>
      <c r="S158" s="156">
        <f t="shared" si="85"/>
        <v>0.24120816472392703</v>
      </c>
      <c r="T158" s="156">
        <f t="shared" si="85"/>
        <v>0.25256205518614444</v>
      </c>
      <c r="U158" s="156">
        <f t="shared" si="85"/>
        <v>0.25582336646888176</v>
      </c>
      <c r="V158" s="156">
        <f t="shared" si="85"/>
        <v>0.26768232155708593</v>
      </c>
      <c r="W158" s="156">
        <f t="shared" ref="W158" si="86">IF(W40=0,0,W40/W$17)</f>
        <v>0.27899682039562623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7.7173437669463052E-2</v>
      </c>
      <c r="C159" s="103">
        <f t="shared" si="87"/>
        <v>8.8954068458388144E-2</v>
      </c>
      <c r="D159" s="103">
        <f t="shared" si="87"/>
        <v>8.9577055354985419E-2</v>
      </c>
      <c r="E159" s="103">
        <f t="shared" si="87"/>
        <v>8.6001581400424132E-2</v>
      </c>
      <c r="F159" s="103">
        <f t="shared" si="87"/>
        <v>9.01234185008256E-2</v>
      </c>
      <c r="G159" s="103">
        <f t="shared" si="87"/>
        <v>8.7423100953394631E-2</v>
      </c>
      <c r="H159" s="103">
        <f t="shared" si="87"/>
        <v>8.8922273772611693E-2</v>
      </c>
      <c r="I159" s="103">
        <f t="shared" si="87"/>
        <v>8.5842389302061617E-2</v>
      </c>
      <c r="J159" s="103">
        <f t="shared" si="87"/>
        <v>7.2688299081994839E-2</v>
      </c>
      <c r="K159" s="103">
        <f t="shared" si="87"/>
        <v>7.136124506037364E-2</v>
      </c>
      <c r="L159" s="103">
        <f t="shared" ref="L159" si="88">IF(L41=0,0,L41/L$17)</f>
        <v>7.2865460103038057E-2</v>
      </c>
      <c r="M159" s="103">
        <f t="shared" ref="M159:V159" si="89">IF(M41=0,0,M41/M$17)</f>
        <v>7.3173568800563624E-2</v>
      </c>
      <c r="N159" s="103">
        <f t="shared" si="89"/>
        <v>7.1889757231947057E-2</v>
      </c>
      <c r="O159" s="103">
        <f t="shared" si="89"/>
        <v>7.7595945953962825E-2</v>
      </c>
      <c r="P159" s="103">
        <f t="shared" si="89"/>
        <v>7.8334248486266148E-2</v>
      </c>
      <c r="Q159" s="103">
        <f t="shared" si="89"/>
        <v>9.0446923557377185E-2</v>
      </c>
      <c r="R159" s="103">
        <f t="shared" si="89"/>
        <v>9.8326222341026226E-2</v>
      </c>
      <c r="S159" s="103">
        <f t="shared" si="89"/>
        <v>0.10803233220866763</v>
      </c>
      <c r="T159" s="103">
        <f t="shared" si="89"/>
        <v>0.11112937810090512</v>
      </c>
      <c r="U159" s="103">
        <f t="shared" si="89"/>
        <v>0.11614382796286937</v>
      </c>
      <c r="V159" s="103">
        <f t="shared" si="89"/>
        <v>0.11677545549537342</v>
      </c>
      <c r="W159" s="103">
        <f t="shared" ref="W159" si="90">IF(W41=0,0,W41/W$17)</f>
        <v>0.12561294814536753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5.8888144758158692E-2</v>
      </c>
      <c r="C160" s="105">
        <f t="shared" si="91"/>
        <v>6.7199235689719347E-2</v>
      </c>
      <c r="D160" s="105">
        <f t="shared" si="91"/>
        <v>6.9447236405946078E-2</v>
      </c>
      <c r="E160" s="105">
        <f t="shared" si="91"/>
        <v>7.348236859703175E-2</v>
      </c>
      <c r="F160" s="105">
        <f t="shared" si="91"/>
        <v>8.7030632718971324E-2</v>
      </c>
      <c r="G160" s="105">
        <f t="shared" si="91"/>
        <v>9.3950770775487913E-2</v>
      </c>
      <c r="H160" s="105">
        <f t="shared" si="91"/>
        <v>9.6755730166275131E-2</v>
      </c>
      <c r="I160" s="105">
        <f t="shared" si="91"/>
        <v>9.8304818498657368E-2</v>
      </c>
      <c r="J160" s="105">
        <f t="shared" si="91"/>
        <v>0.10142272515692456</v>
      </c>
      <c r="K160" s="105">
        <f t="shared" si="91"/>
        <v>9.6018560301892847E-2</v>
      </c>
      <c r="L160" s="105">
        <f t="shared" ref="L160" si="92">IF(L42=0,0,L42/L$17)</f>
        <v>9.8697238299183976E-2</v>
      </c>
      <c r="M160" s="105">
        <f t="shared" ref="M160:V160" si="93">IF(M42=0,0,M42/M$17)</f>
        <v>9.6161563619967777E-2</v>
      </c>
      <c r="N160" s="105">
        <f t="shared" si="93"/>
        <v>9.4139662938417232E-2</v>
      </c>
      <c r="O160" s="105">
        <f t="shared" si="93"/>
        <v>0.10113038349080913</v>
      </c>
      <c r="P160" s="105">
        <f t="shared" si="93"/>
        <v>9.8920045380524319E-2</v>
      </c>
      <c r="Q160" s="105">
        <f t="shared" si="93"/>
        <v>0.101086210825287</v>
      </c>
      <c r="R160" s="105">
        <f t="shared" si="93"/>
        <v>0.1204772708626269</v>
      </c>
      <c r="S160" s="105">
        <f t="shared" si="93"/>
        <v>0.13317583251525938</v>
      </c>
      <c r="T160" s="105">
        <f t="shared" si="93"/>
        <v>0.14143267708523932</v>
      </c>
      <c r="U160" s="105">
        <f t="shared" si="93"/>
        <v>0.13967953850601239</v>
      </c>
      <c r="V160" s="105">
        <f t="shared" si="93"/>
        <v>0.1509068660617125</v>
      </c>
      <c r="W160" s="105">
        <f t="shared" ref="W160" si="94">IF(W42=0,0,W42/W$17)</f>
        <v>0.15338387225025871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5511463</v>
      </c>
      <c r="C3" s="54">
        <f>TrRoad_act!C57</f>
        <v>5655727</v>
      </c>
      <c r="D3" s="54">
        <f>TrRoad_act!D57</f>
        <v>5693649</v>
      </c>
      <c r="E3" s="54">
        <f>TrRoad_act!E57</f>
        <v>5763246</v>
      </c>
      <c r="F3" s="54">
        <f>TrRoad_act!F57</f>
        <v>5853288</v>
      </c>
      <c r="G3" s="54">
        <f>TrRoad_act!G57</f>
        <v>5949635</v>
      </c>
      <c r="H3" s="54">
        <f>TrRoad_act!H57</f>
        <v>6036495</v>
      </c>
      <c r="I3" s="54">
        <f>TrRoad_act!I57</f>
        <v>6140127</v>
      </c>
      <c r="J3" s="54">
        <f>TrRoad_act!J57</f>
        <v>6258305</v>
      </c>
      <c r="K3" s="54">
        <f>TrRoad_act!K57</f>
        <v>6347783</v>
      </c>
      <c r="L3" s="54">
        <f>TrRoad_act!L57</f>
        <v>6460711</v>
      </c>
      <c r="M3" s="54">
        <f>TrRoad_act!M57</f>
        <v>6631859</v>
      </c>
      <c r="N3" s="54">
        <f>TrRoad_act!N57</f>
        <v>6688267</v>
      </c>
      <c r="O3" s="54">
        <f>TrRoad_act!O57</f>
        <v>6759604</v>
      </c>
      <c r="P3" s="54">
        <f>TrRoad_act!P57</f>
        <v>6840969</v>
      </c>
      <c r="Q3" s="54">
        <f>TrRoad_act!Q57</f>
        <v>6935081</v>
      </c>
      <c r="R3" s="54">
        <f>TrRoad_act!R57</f>
        <v>7060898</v>
      </c>
      <c r="S3" s="54">
        <f>TrRoad_act!S57</f>
        <v>7174448</v>
      </c>
      <c r="T3" s="54">
        <f>TrRoad_act!T57</f>
        <v>7451140</v>
      </c>
      <c r="U3" s="54">
        <f>TrRoad_act!U57</f>
        <v>7551297</v>
      </c>
      <c r="V3" s="54">
        <f>TrRoad_act!V57</f>
        <v>7604362</v>
      </c>
      <c r="W3" s="54">
        <f>TrRoad_act!W57</f>
        <v>7725292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4970560</v>
      </c>
      <c r="C4" s="28">
        <f>TrRoad_act!C58</f>
        <v>5048306</v>
      </c>
      <c r="D4" s="28">
        <f>TrRoad_act!D58</f>
        <v>5107279</v>
      </c>
      <c r="E4" s="28">
        <f>TrRoad_act!E58</f>
        <v>5155540</v>
      </c>
      <c r="F4" s="28">
        <f>TrRoad_act!F58</f>
        <v>5213090</v>
      </c>
      <c r="G4" s="28">
        <f>TrRoad_act!G58</f>
        <v>5280684</v>
      </c>
      <c r="H4" s="28">
        <f>TrRoad_act!H58</f>
        <v>5351329</v>
      </c>
      <c r="I4" s="28">
        <f>TrRoad_act!I58</f>
        <v>5438479</v>
      </c>
      <c r="J4" s="28">
        <f>TrRoad_act!J58</f>
        <v>5534992</v>
      </c>
      <c r="K4" s="28">
        <f>TrRoad_act!K58</f>
        <v>5613061</v>
      </c>
      <c r="L4" s="28">
        <f>TrRoad_act!L58</f>
        <v>5711226</v>
      </c>
      <c r="M4" s="28">
        <f>TrRoad_act!M58</f>
        <v>5857100</v>
      </c>
      <c r="N4" s="28">
        <f>TrRoad_act!N58</f>
        <v>5901031</v>
      </c>
      <c r="O4" s="28">
        <f>TrRoad_act!O58</f>
        <v>5960087</v>
      </c>
      <c r="P4" s="28">
        <f>TrRoad_act!P58</f>
        <v>6027987</v>
      </c>
      <c r="Q4" s="28">
        <f>TrRoad_act!Q58</f>
        <v>6105504</v>
      </c>
      <c r="R4" s="28">
        <f>TrRoad_act!R58</f>
        <v>6201572</v>
      </c>
      <c r="S4" s="28">
        <f>TrRoad_act!S58</f>
        <v>6283586</v>
      </c>
      <c r="T4" s="28">
        <f>TrRoad_act!T58</f>
        <v>6527978</v>
      </c>
      <c r="U4" s="28">
        <f>TrRoad_act!U58</f>
        <v>6596531</v>
      </c>
      <c r="V4" s="28">
        <f>TrRoad_act!V58</f>
        <v>6623716</v>
      </c>
      <c r="W4" s="28">
        <f>TrRoad_act!W58</f>
        <v>6707322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277838</v>
      </c>
      <c r="C5" s="137">
        <f>TrRoad_act!C59</f>
        <v>293630</v>
      </c>
      <c r="D5" s="137">
        <f>TrRoad_act!D59</f>
        <v>305510</v>
      </c>
      <c r="E5" s="137">
        <f>TrRoad_act!E59</f>
        <v>319480</v>
      </c>
      <c r="F5" s="137">
        <f>TrRoad_act!F59</f>
        <v>322762</v>
      </c>
      <c r="G5" s="137">
        <f>TrRoad_act!G59</f>
        <v>346293</v>
      </c>
      <c r="H5" s="137">
        <f>TrRoad_act!H59</f>
        <v>360000</v>
      </c>
      <c r="I5" s="137">
        <f>TrRoad_act!I59</f>
        <v>374000</v>
      </c>
      <c r="J5" s="137">
        <f>TrRoad_act!J59</f>
        <v>388000</v>
      </c>
      <c r="K5" s="137">
        <f>TrRoad_act!K59</f>
        <v>404000</v>
      </c>
      <c r="L5" s="137">
        <f>TrRoad_act!L59</f>
        <v>419000</v>
      </c>
      <c r="M5" s="137">
        <f>TrRoad_act!M59</f>
        <v>434000</v>
      </c>
      <c r="N5" s="137">
        <f>TrRoad_act!N59</f>
        <v>441000</v>
      </c>
      <c r="O5" s="137">
        <f>TrRoad_act!O59</f>
        <v>450793</v>
      </c>
      <c r="P5" s="137">
        <f>TrRoad_act!P59</f>
        <v>456512</v>
      </c>
      <c r="Q5" s="137">
        <f>TrRoad_act!Q59</f>
        <v>465786</v>
      </c>
      <c r="R5" s="137">
        <f>TrRoad_act!R59</f>
        <v>473326</v>
      </c>
      <c r="S5" s="137">
        <f>TrRoad_act!S59</f>
        <v>481984</v>
      </c>
      <c r="T5" s="137">
        <f>TrRoad_act!T59</f>
        <v>657884</v>
      </c>
      <c r="U5" s="137">
        <f>TrRoad_act!U59</f>
        <v>690684</v>
      </c>
      <c r="V5" s="137">
        <f>TrRoad_act!V59</f>
        <v>718558</v>
      </c>
      <c r="W5" s="137">
        <f>TrRoad_act!W59</f>
        <v>762575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4678000</v>
      </c>
      <c r="C6" s="110">
        <f>TrRoad_act!C60</f>
        <v>4740000</v>
      </c>
      <c r="D6" s="110">
        <f>TrRoad_act!D60</f>
        <v>4787000</v>
      </c>
      <c r="E6" s="110">
        <f>TrRoad_act!E60</f>
        <v>4821000</v>
      </c>
      <c r="F6" s="110">
        <f>TrRoad_act!F60</f>
        <v>4875000</v>
      </c>
      <c r="G6" s="110">
        <f>TrRoad_act!G60</f>
        <v>4919000</v>
      </c>
      <c r="H6" s="110">
        <f>TrRoad_act!H60</f>
        <v>4976000</v>
      </c>
      <c r="I6" s="110">
        <f>TrRoad_act!I60</f>
        <v>5049000</v>
      </c>
      <c r="J6" s="110">
        <f>TrRoad_act!J60</f>
        <v>5131000</v>
      </c>
      <c r="K6" s="110">
        <f>TrRoad_act!K60</f>
        <v>5193000</v>
      </c>
      <c r="L6" s="110">
        <f>TrRoad_act!L60</f>
        <v>5276000</v>
      </c>
      <c r="M6" s="110">
        <f>TrRoad_act!M60</f>
        <v>5407000</v>
      </c>
      <c r="N6" s="110">
        <f>TrRoad_act!N60</f>
        <v>5444000</v>
      </c>
      <c r="O6" s="110">
        <f>TrRoad_act!O60</f>
        <v>5493472</v>
      </c>
      <c r="P6" s="110">
        <f>TrRoad_act!P60</f>
        <v>5555499</v>
      </c>
      <c r="Q6" s="110">
        <f>TrRoad_act!Q60</f>
        <v>5623579</v>
      </c>
      <c r="R6" s="110">
        <f>TrRoad_act!R60</f>
        <v>5712179</v>
      </c>
      <c r="S6" s="110">
        <f>TrRoad_act!S60</f>
        <v>5785447</v>
      </c>
      <c r="T6" s="110">
        <f>TrRoad_act!T60</f>
        <v>5853782</v>
      </c>
      <c r="U6" s="110">
        <f>TrRoad_act!U60</f>
        <v>5889210</v>
      </c>
      <c r="V6" s="110">
        <f>TrRoad_act!V60</f>
        <v>5888589</v>
      </c>
      <c r="W6" s="110">
        <f>TrRoad_act!W60</f>
        <v>5927912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2743881</v>
      </c>
      <c r="C7" s="84">
        <f>TrRoad_act!C61</f>
        <v>2688945</v>
      </c>
      <c r="D7" s="84">
        <f>TrRoad_act!D61</f>
        <v>2630605</v>
      </c>
      <c r="E7" s="84">
        <f>TrRoad_act!E61</f>
        <v>2567269</v>
      </c>
      <c r="F7" s="84">
        <f>TrRoad_act!F61</f>
        <v>2499760</v>
      </c>
      <c r="G7" s="84">
        <f>TrRoad_act!G61</f>
        <v>2432622</v>
      </c>
      <c r="H7" s="84">
        <f>TrRoad_act!H61</f>
        <v>2339711</v>
      </c>
      <c r="I7" s="84">
        <f>TrRoad_act!I61</f>
        <v>2257871</v>
      </c>
      <c r="J7" s="84">
        <f>TrRoad_act!J61</f>
        <v>2172126</v>
      </c>
      <c r="K7" s="84">
        <f>TrRoad_act!K61</f>
        <v>2103948</v>
      </c>
      <c r="L7" s="84">
        <f>TrRoad_act!L61</f>
        <v>2049251</v>
      </c>
      <c r="M7" s="84">
        <f>TrRoad_act!M61</f>
        <v>2019541</v>
      </c>
      <c r="N7" s="84">
        <f>TrRoad_act!N61</f>
        <v>1997760</v>
      </c>
      <c r="O7" s="84">
        <f>TrRoad_act!O61</f>
        <v>2012690</v>
      </c>
      <c r="P7" s="84">
        <f>TrRoad_act!P61</f>
        <v>2053000</v>
      </c>
      <c r="Q7" s="84">
        <f>TrRoad_act!Q61</f>
        <v>2112924</v>
      </c>
      <c r="R7" s="84">
        <f>TrRoad_act!R61</f>
        <v>2231899</v>
      </c>
      <c r="S7" s="84">
        <f>TrRoad_act!S61</f>
        <v>2383207</v>
      </c>
      <c r="T7" s="84">
        <f>TrRoad_act!T61</f>
        <v>2582180</v>
      </c>
      <c r="U7" s="84">
        <f>TrRoad_act!U61</f>
        <v>2787316</v>
      </c>
      <c r="V7" s="84">
        <f>TrRoad_act!V61</f>
        <v>2939127</v>
      </c>
      <c r="W7" s="84">
        <f>TrRoad_act!W61</f>
        <v>3100213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1875119</v>
      </c>
      <c r="C8" s="84">
        <f>TrRoad_act!C62</f>
        <v>1979055</v>
      </c>
      <c r="D8" s="84">
        <f>TrRoad_act!D62</f>
        <v>2082395</v>
      </c>
      <c r="E8" s="84">
        <f>TrRoad_act!E62</f>
        <v>2182731</v>
      </c>
      <c r="F8" s="84">
        <f>TrRoad_act!F62</f>
        <v>2310020</v>
      </c>
      <c r="G8" s="84">
        <f>TrRoad_act!G62</f>
        <v>2426120</v>
      </c>
      <c r="H8" s="84">
        <f>TrRoad_act!H62</f>
        <v>2580027</v>
      </c>
      <c r="I8" s="84">
        <f>TrRoad_act!I62</f>
        <v>2739866</v>
      </c>
      <c r="J8" s="84">
        <f>TrRoad_act!J62</f>
        <v>2911636</v>
      </c>
      <c r="K8" s="84">
        <f>TrRoad_act!K62</f>
        <v>3046831</v>
      </c>
      <c r="L8" s="84">
        <f>TrRoad_act!L62</f>
        <v>3189483</v>
      </c>
      <c r="M8" s="84">
        <f>TrRoad_act!M62</f>
        <v>3345897</v>
      </c>
      <c r="N8" s="84">
        <f>TrRoad_act!N62</f>
        <v>3401740</v>
      </c>
      <c r="O8" s="84">
        <f>TrRoad_act!O62</f>
        <v>3439228</v>
      </c>
      <c r="P8" s="84">
        <f>TrRoad_act!P62</f>
        <v>3453760</v>
      </c>
      <c r="Q8" s="84">
        <f>TrRoad_act!Q62</f>
        <v>3440514</v>
      </c>
      <c r="R8" s="84">
        <f>TrRoad_act!R62</f>
        <v>3405211</v>
      </c>
      <c r="S8" s="84">
        <f>TrRoad_act!S62</f>
        <v>3313526</v>
      </c>
      <c r="T8" s="84">
        <f>TrRoad_act!T62</f>
        <v>3166352</v>
      </c>
      <c r="U8" s="84">
        <f>TrRoad_act!U62</f>
        <v>2976742</v>
      </c>
      <c r="V8" s="84">
        <f>TrRoad_act!V62</f>
        <v>2774711</v>
      </c>
      <c r="W8" s="84">
        <f>TrRoad_act!W62</f>
        <v>2584443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59000</v>
      </c>
      <c r="C9" s="84">
        <f>TrRoad_act!C63</f>
        <v>72000</v>
      </c>
      <c r="D9" s="84">
        <f>TrRoad_act!D63</f>
        <v>74000</v>
      </c>
      <c r="E9" s="84">
        <f>TrRoad_act!E63</f>
        <v>71000</v>
      </c>
      <c r="F9" s="84">
        <f>TrRoad_act!F63</f>
        <v>65000</v>
      </c>
      <c r="G9" s="84">
        <f>TrRoad_act!G63</f>
        <v>60000</v>
      </c>
      <c r="H9" s="84">
        <f>TrRoad_act!H63</f>
        <v>56000</v>
      </c>
      <c r="I9" s="84">
        <f>TrRoad_act!I63</f>
        <v>51000</v>
      </c>
      <c r="J9" s="84">
        <f>TrRoad_act!J63</f>
        <v>47000</v>
      </c>
      <c r="K9" s="84">
        <f>TrRoad_act!K63</f>
        <v>42000</v>
      </c>
      <c r="L9" s="84">
        <f>TrRoad_act!L63</f>
        <v>37000</v>
      </c>
      <c r="M9" s="84">
        <f>TrRoad_act!M63</f>
        <v>41000</v>
      </c>
      <c r="N9" s="84">
        <f>TrRoad_act!N63</f>
        <v>43110</v>
      </c>
      <c r="O9" s="84">
        <f>TrRoad_act!O63</f>
        <v>39632</v>
      </c>
      <c r="P9" s="84">
        <f>TrRoad_act!P63</f>
        <v>44090</v>
      </c>
      <c r="Q9" s="84">
        <f>TrRoad_act!Q63</f>
        <v>60838</v>
      </c>
      <c r="R9" s="84">
        <f>TrRoad_act!R63</f>
        <v>54427</v>
      </c>
      <c r="S9" s="84">
        <f>TrRoad_act!S63</f>
        <v>52842</v>
      </c>
      <c r="T9" s="84">
        <f>TrRoad_act!T63</f>
        <v>51013</v>
      </c>
      <c r="U9" s="84">
        <f>TrRoad_act!U63</f>
        <v>49102</v>
      </c>
      <c r="V9" s="84">
        <f>TrRoad_act!V63</f>
        <v>47831</v>
      </c>
      <c r="W9" s="84">
        <f>TrRoad_act!W63</f>
        <v>45712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220</v>
      </c>
      <c r="G10" s="84">
        <f>TrRoad_act!G64</f>
        <v>258</v>
      </c>
      <c r="H10" s="84">
        <f>TrRoad_act!H64</f>
        <v>262</v>
      </c>
      <c r="I10" s="84">
        <f>TrRoad_act!I64</f>
        <v>263</v>
      </c>
      <c r="J10" s="84">
        <f>TrRoad_act!J64</f>
        <v>229</v>
      </c>
      <c r="K10" s="84">
        <f>TrRoad_act!K64</f>
        <v>208</v>
      </c>
      <c r="L10" s="84">
        <f>TrRoad_act!L64</f>
        <v>205</v>
      </c>
      <c r="M10" s="84">
        <f>TrRoad_act!M64</f>
        <v>223</v>
      </c>
      <c r="N10" s="84">
        <f>TrRoad_act!N64</f>
        <v>227</v>
      </c>
      <c r="O10" s="84">
        <f>TrRoad_act!O64</f>
        <v>359</v>
      </c>
      <c r="P10" s="84">
        <f>TrRoad_act!P64</f>
        <v>1253</v>
      </c>
      <c r="Q10" s="84">
        <f>TrRoad_act!Q64</f>
        <v>1889</v>
      </c>
      <c r="R10" s="84">
        <f>TrRoad_act!R64</f>
        <v>4014</v>
      </c>
      <c r="S10" s="84">
        <f>TrRoad_act!S64</f>
        <v>6051</v>
      </c>
      <c r="T10" s="84">
        <f>TrRoad_act!T64</f>
        <v>10347</v>
      </c>
      <c r="U10" s="84">
        <f>TrRoad_act!U64</f>
        <v>15356</v>
      </c>
      <c r="V10" s="84">
        <f>TrRoad_act!V64</f>
        <v>18229</v>
      </c>
      <c r="W10" s="84">
        <f>TrRoad_act!W64</f>
        <v>18431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16</v>
      </c>
      <c r="N11" s="84">
        <f>TrRoad_act!N65</f>
        <v>338</v>
      </c>
      <c r="O11" s="84">
        <f>TrRoad_act!O65</f>
        <v>359</v>
      </c>
      <c r="P11" s="84">
        <f>TrRoad_act!P65</f>
        <v>1159</v>
      </c>
      <c r="Q11" s="84">
        <f>TrRoad_act!Q65</f>
        <v>4098</v>
      </c>
      <c r="R11" s="84">
        <f>TrRoad_act!R65</f>
        <v>11422</v>
      </c>
      <c r="S11" s="84">
        <f>TrRoad_act!S65</f>
        <v>22273</v>
      </c>
      <c r="T11" s="84">
        <f>TrRoad_act!T65</f>
        <v>33005</v>
      </c>
      <c r="U11" s="84">
        <f>TrRoad_act!U65</f>
        <v>41987</v>
      </c>
      <c r="V11" s="84">
        <f>TrRoad_act!V65</f>
        <v>74988</v>
      </c>
      <c r="W11" s="84">
        <f>TrRoad_act!W65</f>
        <v>123435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9</v>
      </c>
      <c r="K12" s="84">
        <f>TrRoad_act!K66</f>
        <v>13</v>
      </c>
      <c r="L12" s="84">
        <f>TrRoad_act!L66</f>
        <v>61</v>
      </c>
      <c r="M12" s="84">
        <f>TrRoad_act!M66</f>
        <v>323</v>
      </c>
      <c r="N12" s="84">
        <f>TrRoad_act!N66</f>
        <v>825</v>
      </c>
      <c r="O12" s="84">
        <f>TrRoad_act!O66</f>
        <v>1204</v>
      </c>
      <c r="P12" s="84">
        <f>TrRoad_act!P66</f>
        <v>2237</v>
      </c>
      <c r="Q12" s="84">
        <f>TrRoad_act!Q66</f>
        <v>3316</v>
      </c>
      <c r="R12" s="84">
        <f>TrRoad_act!R66</f>
        <v>5206</v>
      </c>
      <c r="S12" s="84">
        <f>TrRoad_act!S66</f>
        <v>7548</v>
      </c>
      <c r="T12" s="84">
        <f>TrRoad_act!T66</f>
        <v>10885</v>
      </c>
      <c r="U12" s="84">
        <f>TrRoad_act!U66</f>
        <v>18707</v>
      </c>
      <c r="V12" s="84">
        <f>TrRoad_act!V66</f>
        <v>33703</v>
      </c>
      <c r="W12" s="84">
        <f>TrRoad_act!W66</f>
        <v>55678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14722</v>
      </c>
      <c r="C13" s="110">
        <f>TrRoad_act!C67</f>
        <v>14676</v>
      </c>
      <c r="D13" s="110">
        <f>TrRoad_act!D67</f>
        <v>14769</v>
      </c>
      <c r="E13" s="110">
        <f>TrRoad_act!E67</f>
        <v>15060</v>
      </c>
      <c r="F13" s="110">
        <f>TrRoad_act!F67</f>
        <v>15328</v>
      </c>
      <c r="G13" s="110">
        <f>TrRoad_act!G67</f>
        <v>15391</v>
      </c>
      <c r="H13" s="110">
        <f>TrRoad_act!H67</f>
        <v>15329</v>
      </c>
      <c r="I13" s="110">
        <f>TrRoad_act!I67</f>
        <v>15479</v>
      </c>
      <c r="J13" s="110">
        <f>TrRoad_act!J67</f>
        <v>15992</v>
      </c>
      <c r="K13" s="110">
        <f>TrRoad_act!K67</f>
        <v>16061</v>
      </c>
      <c r="L13" s="110">
        <f>TrRoad_act!L67</f>
        <v>16226</v>
      </c>
      <c r="M13" s="110">
        <f>TrRoad_act!M67</f>
        <v>16100</v>
      </c>
      <c r="N13" s="110">
        <f>TrRoad_act!N67</f>
        <v>16031</v>
      </c>
      <c r="O13" s="110">
        <f>TrRoad_act!O67</f>
        <v>15822</v>
      </c>
      <c r="P13" s="110">
        <f>TrRoad_act!P67</f>
        <v>15976</v>
      </c>
      <c r="Q13" s="110">
        <f>TrRoad_act!Q67</f>
        <v>16139</v>
      </c>
      <c r="R13" s="110">
        <f>TrRoad_act!R67</f>
        <v>16067</v>
      </c>
      <c r="S13" s="110">
        <f>TrRoad_act!S67</f>
        <v>16155</v>
      </c>
      <c r="T13" s="110">
        <f>TrRoad_act!T67</f>
        <v>16312</v>
      </c>
      <c r="U13" s="110">
        <f>TrRoad_act!U67</f>
        <v>16637</v>
      </c>
      <c r="V13" s="110">
        <f>TrRoad_act!V67</f>
        <v>16569</v>
      </c>
      <c r="W13" s="110">
        <f>TrRoad_act!W67</f>
        <v>16835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214</v>
      </c>
      <c r="C14" s="102">
        <f>TrRoad_act!C68</f>
        <v>207</v>
      </c>
      <c r="D14" s="102">
        <f>TrRoad_act!D68</f>
        <v>188</v>
      </c>
      <c r="E14" s="102">
        <f>TrRoad_act!E68</f>
        <v>187</v>
      </c>
      <c r="F14" s="102">
        <f>TrRoad_act!F68</f>
        <v>184</v>
      </c>
      <c r="G14" s="102">
        <f>TrRoad_act!G68</f>
        <v>183</v>
      </c>
      <c r="H14" s="102">
        <f>TrRoad_act!H68</f>
        <v>167</v>
      </c>
      <c r="I14" s="102">
        <f>TrRoad_act!I68</f>
        <v>160</v>
      </c>
      <c r="J14" s="102">
        <f>TrRoad_act!J68</f>
        <v>152</v>
      </c>
      <c r="K14" s="102">
        <f>TrRoad_act!K68</f>
        <v>143</v>
      </c>
      <c r="L14" s="102">
        <f>TrRoad_act!L68</f>
        <v>133</v>
      </c>
      <c r="M14" s="102">
        <f>TrRoad_act!M68</f>
        <v>131</v>
      </c>
      <c r="N14" s="102">
        <f>TrRoad_act!N68</f>
        <v>129</v>
      </c>
      <c r="O14" s="102">
        <f>TrRoad_act!O68</f>
        <v>123</v>
      </c>
      <c r="P14" s="102">
        <f>TrRoad_act!P68</f>
        <v>120</v>
      </c>
      <c r="Q14" s="102">
        <f>TrRoad_act!Q68</f>
        <v>116</v>
      </c>
      <c r="R14" s="102">
        <f>TrRoad_act!R68</f>
        <v>117</v>
      </c>
      <c r="S14" s="102">
        <f>TrRoad_act!S68</f>
        <v>116</v>
      </c>
      <c r="T14" s="102">
        <f>TrRoad_act!T68</f>
        <v>115</v>
      </c>
      <c r="U14" s="102">
        <f>TrRoad_act!U68</f>
        <v>116</v>
      </c>
      <c r="V14" s="102">
        <f>TrRoad_act!V68</f>
        <v>115</v>
      </c>
      <c r="W14" s="102">
        <f>TrRoad_act!W68</f>
        <v>114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14506</v>
      </c>
      <c r="C15" s="102">
        <f>TrRoad_act!C69</f>
        <v>14467</v>
      </c>
      <c r="D15" s="102">
        <f>TrRoad_act!D69</f>
        <v>14579</v>
      </c>
      <c r="E15" s="102">
        <f>TrRoad_act!E69</f>
        <v>14871</v>
      </c>
      <c r="F15" s="102">
        <f>TrRoad_act!F69</f>
        <v>15142</v>
      </c>
      <c r="G15" s="102">
        <f>TrRoad_act!G69</f>
        <v>15187</v>
      </c>
      <c r="H15" s="102">
        <f>TrRoad_act!H69</f>
        <v>15141</v>
      </c>
      <c r="I15" s="102">
        <f>TrRoad_act!I69</f>
        <v>15299</v>
      </c>
      <c r="J15" s="102">
        <f>TrRoad_act!J69</f>
        <v>15821</v>
      </c>
      <c r="K15" s="102">
        <f>TrRoad_act!K69</f>
        <v>15899</v>
      </c>
      <c r="L15" s="102">
        <f>TrRoad_act!L69</f>
        <v>16075</v>
      </c>
      <c r="M15" s="102">
        <f>TrRoad_act!M69</f>
        <v>15952</v>
      </c>
      <c r="N15" s="102">
        <f>TrRoad_act!N69</f>
        <v>15886</v>
      </c>
      <c r="O15" s="102">
        <f>TrRoad_act!O69</f>
        <v>15683</v>
      </c>
      <c r="P15" s="102">
        <f>TrRoad_act!P69</f>
        <v>15838</v>
      </c>
      <c r="Q15" s="102">
        <f>TrRoad_act!Q69</f>
        <v>16007</v>
      </c>
      <c r="R15" s="102">
        <f>TrRoad_act!R69</f>
        <v>15934</v>
      </c>
      <c r="S15" s="102">
        <f>TrRoad_act!S69</f>
        <v>16024</v>
      </c>
      <c r="T15" s="102">
        <f>TrRoad_act!T69</f>
        <v>16170</v>
      </c>
      <c r="U15" s="102">
        <f>TrRoad_act!U69</f>
        <v>16450</v>
      </c>
      <c r="V15" s="102">
        <f>TrRoad_act!V69</f>
        <v>16359</v>
      </c>
      <c r="W15" s="102">
        <f>TrRoad_act!W69</f>
        <v>16490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0</v>
      </c>
      <c r="G16" s="102">
        <f>TrRoad_act!G70</f>
        <v>0</v>
      </c>
      <c r="H16" s="102">
        <f>TrRoad_act!H70</f>
        <v>0</v>
      </c>
      <c r="I16" s="102">
        <f>TrRoad_act!I70</f>
        <v>0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0</v>
      </c>
      <c r="S16" s="102">
        <f>TrRoad_act!S70</f>
        <v>0</v>
      </c>
      <c r="T16" s="102">
        <f>TrRoad_act!T70</f>
        <v>0</v>
      </c>
      <c r="U16" s="102">
        <f>TrRoad_act!U70</f>
        <v>0</v>
      </c>
      <c r="V16" s="102">
        <f>TrRoad_act!V70</f>
        <v>0</v>
      </c>
      <c r="W16" s="102">
        <f>TrRoad_act!W70</f>
        <v>0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0</v>
      </c>
      <c r="G17" s="102">
        <f>TrRoad_act!G71</f>
        <v>0</v>
      </c>
      <c r="H17" s="102">
        <f>TrRoad_act!H71</f>
        <v>0</v>
      </c>
      <c r="I17" s="102">
        <f>TrRoad_act!I71</f>
        <v>0</v>
      </c>
      <c r="J17" s="102">
        <f>TrRoad_act!J71</f>
        <v>0</v>
      </c>
      <c r="K17" s="102">
        <f>TrRoad_act!K71</f>
        <v>0</v>
      </c>
      <c r="L17" s="102">
        <f>TrRoad_act!L71</f>
        <v>0</v>
      </c>
      <c r="M17" s="102">
        <f>TrRoad_act!M71</f>
        <v>0</v>
      </c>
      <c r="N17" s="102">
        <f>TrRoad_act!N71</f>
        <v>0</v>
      </c>
      <c r="O17" s="102">
        <f>TrRoad_act!O71</f>
        <v>0</v>
      </c>
      <c r="P17" s="102">
        <f>TrRoad_act!P71</f>
        <v>0</v>
      </c>
      <c r="Q17" s="102">
        <f>TrRoad_act!Q71</f>
        <v>0</v>
      </c>
      <c r="R17" s="102">
        <f>TrRoad_act!R71</f>
        <v>1</v>
      </c>
      <c r="S17" s="102">
        <f>TrRoad_act!S71</f>
        <v>1</v>
      </c>
      <c r="T17" s="102">
        <f>TrRoad_act!T71</f>
        <v>6</v>
      </c>
      <c r="U17" s="102">
        <f>TrRoad_act!U71</f>
        <v>12</v>
      </c>
      <c r="V17" s="102">
        <f>TrRoad_act!V71</f>
        <v>23</v>
      </c>
      <c r="W17" s="102">
        <f>TrRoad_act!W71</f>
        <v>141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2</v>
      </c>
      <c r="C18" s="102">
        <f>TrRoad_act!C72</f>
        <v>2</v>
      </c>
      <c r="D18" s="102">
        <f>TrRoad_act!D72</f>
        <v>2</v>
      </c>
      <c r="E18" s="102">
        <f>TrRoad_act!E72</f>
        <v>2</v>
      </c>
      <c r="F18" s="102">
        <f>TrRoad_act!F72</f>
        <v>2</v>
      </c>
      <c r="G18" s="102">
        <f>TrRoad_act!G72</f>
        <v>21</v>
      </c>
      <c r="H18" s="102">
        <f>TrRoad_act!H72</f>
        <v>21</v>
      </c>
      <c r="I18" s="102">
        <f>TrRoad_act!I72</f>
        <v>20</v>
      </c>
      <c r="J18" s="102">
        <f>TrRoad_act!J72</f>
        <v>19</v>
      </c>
      <c r="K18" s="102">
        <f>TrRoad_act!K72</f>
        <v>19</v>
      </c>
      <c r="L18" s="102">
        <f>TrRoad_act!L72</f>
        <v>18</v>
      </c>
      <c r="M18" s="102">
        <f>TrRoad_act!M72</f>
        <v>17</v>
      </c>
      <c r="N18" s="102">
        <f>TrRoad_act!N72</f>
        <v>16</v>
      </c>
      <c r="O18" s="102">
        <f>TrRoad_act!O72</f>
        <v>16</v>
      </c>
      <c r="P18" s="102">
        <f>TrRoad_act!P72</f>
        <v>18</v>
      </c>
      <c r="Q18" s="102">
        <f>TrRoad_act!Q72</f>
        <v>16</v>
      </c>
      <c r="R18" s="102">
        <f>TrRoad_act!R72</f>
        <v>15</v>
      </c>
      <c r="S18" s="102">
        <f>TrRoad_act!S72</f>
        <v>14</v>
      </c>
      <c r="T18" s="102">
        <f>TrRoad_act!T72</f>
        <v>21</v>
      </c>
      <c r="U18" s="102">
        <f>TrRoad_act!U72</f>
        <v>59</v>
      </c>
      <c r="V18" s="102">
        <f>TrRoad_act!V72</f>
        <v>72</v>
      </c>
      <c r="W18" s="102">
        <f>TrRoad_act!W72</f>
        <v>90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540903</v>
      </c>
      <c r="C19" s="28">
        <f>TrRoad_act!C73</f>
        <v>607421</v>
      </c>
      <c r="D19" s="28">
        <f>TrRoad_act!D73</f>
        <v>586370</v>
      </c>
      <c r="E19" s="28">
        <f>TrRoad_act!E73</f>
        <v>607706</v>
      </c>
      <c r="F19" s="28">
        <f>TrRoad_act!F73</f>
        <v>640198</v>
      </c>
      <c r="G19" s="28">
        <f>TrRoad_act!G73</f>
        <v>668951</v>
      </c>
      <c r="H19" s="28">
        <f>TrRoad_act!H73</f>
        <v>685166</v>
      </c>
      <c r="I19" s="28">
        <f>TrRoad_act!I73</f>
        <v>701648</v>
      </c>
      <c r="J19" s="28">
        <f>TrRoad_act!J73</f>
        <v>723313</v>
      </c>
      <c r="K19" s="28">
        <f>TrRoad_act!K73</f>
        <v>734722</v>
      </c>
      <c r="L19" s="28">
        <f>TrRoad_act!L73</f>
        <v>749485</v>
      </c>
      <c r="M19" s="28">
        <f>TrRoad_act!M73</f>
        <v>774759</v>
      </c>
      <c r="N19" s="28">
        <f>TrRoad_act!N73</f>
        <v>787236</v>
      </c>
      <c r="O19" s="28">
        <f>TrRoad_act!O73</f>
        <v>799517</v>
      </c>
      <c r="P19" s="28">
        <f>TrRoad_act!P73</f>
        <v>812982</v>
      </c>
      <c r="Q19" s="28">
        <f>TrRoad_act!Q73</f>
        <v>829577</v>
      </c>
      <c r="R19" s="28">
        <f>TrRoad_act!R73</f>
        <v>859326</v>
      </c>
      <c r="S19" s="28">
        <f>TrRoad_act!S73</f>
        <v>890862</v>
      </c>
      <c r="T19" s="28">
        <f>TrRoad_act!T73</f>
        <v>923162</v>
      </c>
      <c r="U19" s="28">
        <f>TrRoad_act!U73</f>
        <v>954766</v>
      </c>
      <c r="V19" s="28">
        <f>TrRoad_act!V73</f>
        <v>980646</v>
      </c>
      <c r="W19" s="28">
        <f>TrRoad_act!W73</f>
        <v>1017970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445600</v>
      </c>
      <c r="C20" s="137">
        <f>TrRoad_act!C74</f>
        <v>469743</v>
      </c>
      <c r="D20" s="137">
        <f>TrRoad_act!D74</f>
        <v>448274</v>
      </c>
      <c r="E20" s="137">
        <f>TrRoad_act!E74</f>
        <v>465435</v>
      </c>
      <c r="F20" s="137">
        <f>TrRoad_act!F74</f>
        <v>489814</v>
      </c>
      <c r="G20" s="137">
        <f>TrRoad_act!G74</f>
        <v>512872</v>
      </c>
      <c r="H20" s="137">
        <f>TrRoad_act!H74</f>
        <v>529076</v>
      </c>
      <c r="I20" s="137">
        <f>TrRoad_act!I74</f>
        <v>542914</v>
      </c>
      <c r="J20" s="137">
        <f>TrRoad_act!J74</f>
        <v>557353</v>
      </c>
      <c r="K20" s="137">
        <f>TrRoad_act!K74</f>
        <v>571913</v>
      </c>
      <c r="L20" s="137">
        <f>TrRoad_act!L74</f>
        <v>591941</v>
      </c>
      <c r="M20" s="137">
        <f>TrRoad_act!M74</f>
        <v>604799</v>
      </c>
      <c r="N20" s="137">
        <f>TrRoad_act!N74</f>
        <v>620502</v>
      </c>
      <c r="O20" s="137">
        <f>TrRoad_act!O74</f>
        <v>640421</v>
      </c>
      <c r="P20" s="137">
        <f>TrRoad_act!P74</f>
        <v>655516</v>
      </c>
      <c r="Q20" s="137">
        <f>TrRoad_act!Q74</f>
        <v>665119</v>
      </c>
      <c r="R20" s="137">
        <f>TrRoad_act!R74</f>
        <v>709653</v>
      </c>
      <c r="S20" s="137">
        <f>TrRoad_act!S74</f>
        <v>740801</v>
      </c>
      <c r="T20" s="137">
        <f>TrRoad_act!T74</f>
        <v>769679</v>
      </c>
      <c r="U20" s="137">
        <f>TrRoad_act!U74</f>
        <v>798942</v>
      </c>
      <c r="V20" s="137">
        <f>TrRoad_act!V74</f>
        <v>829277</v>
      </c>
      <c r="W20" s="137">
        <f>TrRoad_act!W74</f>
        <v>861148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38214</v>
      </c>
      <c r="C21" s="84">
        <f>TrRoad_act!C75</f>
        <v>38182</v>
      </c>
      <c r="D21" s="84">
        <f>TrRoad_act!D75</f>
        <v>38104</v>
      </c>
      <c r="E21" s="84">
        <f>TrRoad_act!E75</f>
        <v>37908</v>
      </c>
      <c r="F21" s="84">
        <f>TrRoad_act!F75</f>
        <v>37422</v>
      </c>
      <c r="G21" s="84">
        <f>TrRoad_act!G75</f>
        <v>36236</v>
      </c>
      <c r="H21" s="84">
        <f>TrRoad_act!H75</f>
        <v>33432</v>
      </c>
      <c r="I21" s="84">
        <f>TrRoad_act!I75</f>
        <v>30620</v>
      </c>
      <c r="J21" s="84">
        <f>TrRoad_act!J75</f>
        <v>30446</v>
      </c>
      <c r="K21" s="84">
        <f>TrRoad_act!K75</f>
        <v>29110</v>
      </c>
      <c r="L21" s="84">
        <f>TrRoad_act!L75</f>
        <v>28134</v>
      </c>
      <c r="M21" s="84">
        <f>TrRoad_act!M75</f>
        <v>25965</v>
      </c>
      <c r="N21" s="84">
        <f>TrRoad_act!N75</f>
        <v>24432</v>
      </c>
      <c r="O21" s="84">
        <f>TrRoad_act!O75</f>
        <v>22899</v>
      </c>
      <c r="P21" s="84">
        <f>TrRoad_act!P75</f>
        <v>21366</v>
      </c>
      <c r="Q21" s="84">
        <f>TrRoad_act!Q75</f>
        <v>19834</v>
      </c>
      <c r="R21" s="84">
        <f>TrRoad_act!R75</f>
        <v>20025</v>
      </c>
      <c r="S21" s="84">
        <f>TrRoad_act!S75</f>
        <v>21533</v>
      </c>
      <c r="T21" s="84">
        <f>TrRoad_act!T75</f>
        <v>25873</v>
      </c>
      <c r="U21" s="84">
        <f>TrRoad_act!U75</f>
        <v>28650</v>
      </c>
      <c r="V21" s="84">
        <f>TrRoad_act!V75</f>
        <v>29478</v>
      </c>
      <c r="W21" s="84">
        <f>TrRoad_act!W75</f>
        <v>30264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377386</v>
      </c>
      <c r="C22" s="84">
        <f>TrRoad_act!C76</f>
        <v>399104</v>
      </c>
      <c r="D22" s="84">
        <f>TrRoad_act!D76</f>
        <v>380020</v>
      </c>
      <c r="E22" s="84">
        <f>TrRoad_act!E76</f>
        <v>400011</v>
      </c>
      <c r="F22" s="84">
        <f>TrRoad_act!F76</f>
        <v>425667</v>
      </c>
      <c r="G22" s="84">
        <f>TrRoad_act!G76</f>
        <v>450986</v>
      </c>
      <c r="H22" s="84">
        <f>TrRoad_act!H76</f>
        <v>470814</v>
      </c>
      <c r="I22" s="84">
        <f>TrRoad_act!I76</f>
        <v>490223</v>
      </c>
      <c r="J22" s="84">
        <f>TrRoad_act!J76</f>
        <v>506135</v>
      </c>
      <c r="K22" s="84">
        <f>TrRoad_act!K76</f>
        <v>523443</v>
      </c>
      <c r="L22" s="84">
        <f>TrRoad_act!L76</f>
        <v>545889</v>
      </c>
      <c r="M22" s="84">
        <f>TrRoad_act!M76</f>
        <v>560320</v>
      </c>
      <c r="N22" s="84">
        <f>TrRoad_act!N76</f>
        <v>577764</v>
      </c>
      <c r="O22" s="84">
        <f>TrRoad_act!O76</f>
        <v>601355</v>
      </c>
      <c r="P22" s="84">
        <f>TrRoad_act!P76</f>
        <v>619635</v>
      </c>
      <c r="Q22" s="84">
        <f>TrRoad_act!Q76</f>
        <v>634033</v>
      </c>
      <c r="R22" s="84">
        <f>TrRoad_act!R76</f>
        <v>678775</v>
      </c>
      <c r="S22" s="84">
        <f>TrRoad_act!S76</f>
        <v>708183</v>
      </c>
      <c r="T22" s="84">
        <f>TrRoad_act!T76</f>
        <v>732038</v>
      </c>
      <c r="U22" s="84">
        <f>TrRoad_act!U76</f>
        <v>757320</v>
      </c>
      <c r="V22" s="84">
        <f>TrRoad_act!V76</f>
        <v>785031</v>
      </c>
      <c r="W22" s="84">
        <f>TrRoad_act!W76</f>
        <v>815315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30000</v>
      </c>
      <c r="C23" s="84">
        <f>TrRoad_act!C77</f>
        <v>32457</v>
      </c>
      <c r="D23" s="84">
        <f>TrRoad_act!D77</f>
        <v>30150</v>
      </c>
      <c r="E23" s="84">
        <f>TrRoad_act!E77</f>
        <v>27516</v>
      </c>
      <c r="F23" s="84">
        <f>TrRoad_act!F77</f>
        <v>26725</v>
      </c>
      <c r="G23" s="84">
        <f>TrRoad_act!G77</f>
        <v>25650</v>
      </c>
      <c r="H23" s="84">
        <f>TrRoad_act!H77</f>
        <v>24830</v>
      </c>
      <c r="I23" s="84">
        <f>TrRoad_act!I77</f>
        <v>22071</v>
      </c>
      <c r="J23" s="84">
        <f>TrRoad_act!J77</f>
        <v>20655</v>
      </c>
      <c r="K23" s="84">
        <f>TrRoad_act!K77</f>
        <v>19220</v>
      </c>
      <c r="L23" s="84">
        <f>TrRoad_act!L77</f>
        <v>17759</v>
      </c>
      <c r="M23" s="84">
        <f>TrRoad_act!M77</f>
        <v>18349</v>
      </c>
      <c r="N23" s="84">
        <f>TrRoad_act!N77</f>
        <v>17759</v>
      </c>
      <c r="O23" s="84">
        <f>TrRoad_act!O77</f>
        <v>15461</v>
      </c>
      <c r="P23" s="84">
        <f>TrRoad_act!P77</f>
        <v>13546</v>
      </c>
      <c r="Q23" s="84">
        <f>TrRoad_act!Q77</f>
        <v>9936</v>
      </c>
      <c r="R23" s="84">
        <f>TrRoad_act!R77</f>
        <v>9443</v>
      </c>
      <c r="S23" s="84">
        <f>TrRoad_act!S77</f>
        <v>8976</v>
      </c>
      <c r="T23" s="84">
        <f>TrRoad_act!T77</f>
        <v>8531</v>
      </c>
      <c r="U23" s="84">
        <f>TrRoad_act!U77</f>
        <v>8111</v>
      </c>
      <c r="V23" s="84">
        <f>TrRoad_act!V77</f>
        <v>8506</v>
      </c>
      <c r="W23" s="84">
        <f>TrRoad_act!W77</f>
        <v>8407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59</v>
      </c>
      <c r="K24" s="84">
        <f>TrRoad_act!K78</f>
        <v>79</v>
      </c>
      <c r="L24" s="84">
        <f>TrRoad_act!L78</f>
        <v>97</v>
      </c>
      <c r="M24" s="84">
        <f>TrRoad_act!M78</f>
        <v>87</v>
      </c>
      <c r="N24" s="84">
        <f>TrRoad_act!N78</f>
        <v>217</v>
      </c>
      <c r="O24" s="84">
        <f>TrRoad_act!O78</f>
        <v>276</v>
      </c>
      <c r="P24" s="84">
        <f>TrRoad_act!P78</f>
        <v>447</v>
      </c>
      <c r="Q24" s="84">
        <f>TrRoad_act!Q78</f>
        <v>742</v>
      </c>
      <c r="R24" s="84">
        <f>TrRoad_act!R78</f>
        <v>720</v>
      </c>
      <c r="S24" s="84">
        <f>TrRoad_act!S78</f>
        <v>1333</v>
      </c>
      <c r="T24" s="84">
        <f>TrRoad_act!T78</f>
        <v>2218</v>
      </c>
      <c r="U24" s="84">
        <f>TrRoad_act!U78</f>
        <v>3488</v>
      </c>
      <c r="V24" s="84">
        <f>TrRoad_act!V78</f>
        <v>4446</v>
      </c>
      <c r="W24" s="84">
        <f>TrRoad_act!W78</f>
        <v>4656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58</v>
      </c>
      <c r="K25" s="84">
        <f>TrRoad_act!K79</f>
        <v>61</v>
      </c>
      <c r="L25" s="84">
        <f>TrRoad_act!L79</f>
        <v>62</v>
      </c>
      <c r="M25" s="84">
        <f>TrRoad_act!M79</f>
        <v>78</v>
      </c>
      <c r="N25" s="84">
        <f>TrRoad_act!N79</f>
        <v>330</v>
      </c>
      <c r="O25" s="84">
        <f>TrRoad_act!O79</f>
        <v>430</v>
      </c>
      <c r="P25" s="84">
        <f>TrRoad_act!P79</f>
        <v>522</v>
      </c>
      <c r="Q25" s="84">
        <f>TrRoad_act!Q79</f>
        <v>574</v>
      </c>
      <c r="R25" s="84">
        <f>TrRoad_act!R79</f>
        <v>690</v>
      </c>
      <c r="S25" s="84">
        <f>TrRoad_act!S79</f>
        <v>776</v>
      </c>
      <c r="T25" s="84">
        <f>TrRoad_act!T79</f>
        <v>1019</v>
      </c>
      <c r="U25" s="84">
        <f>TrRoad_act!U79</f>
        <v>1373</v>
      </c>
      <c r="V25" s="84">
        <f>TrRoad_act!V79</f>
        <v>1816</v>
      </c>
      <c r="W25" s="84">
        <f>TrRoad_act!W79</f>
        <v>2506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95303</v>
      </c>
      <c r="C26" s="110">
        <f>TrRoad_act!C80</f>
        <v>137678</v>
      </c>
      <c r="D26" s="110">
        <f>TrRoad_act!D80</f>
        <v>138096</v>
      </c>
      <c r="E26" s="110">
        <f>TrRoad_act!E80</f>
        <v>142271</v>
      </c>
      <c r="F26" s="110">
        <f>TrRoad_act!F80</f>
        <v>150384</v>
      </c>
      <c r="G26" s="110">
        <f>TrRoad_act!G80</f>
        <v>156079</v>
      </c>
      <c r="H26" s="110">
        <f>TrRoad_act!H80</f>
        <v>156090</v>
      </c>
      <c r="I26" s="110">
        <f>TrRoad_act!I80</f>
        <v>158734</v>
      </c>
      <c r="J26" s="110">
        <f>TrRoad_act!J80</f>
        <v>165960</v>
      </c>
      <c r="K26" s="110">
        <f>TrRoad_act!K80</f>
        <v>162809</v>
      </c>
      <c r="L26" s="110">
        <f>TrRoad_act!L80</f>
        <v>157544</v>
      </c>
      <c r="M26" s="110">
        <f>TrRoad_act!M80</f>
        <v>169960</v>
      </c>
      <c r="N26" s="110">
        <f>TrRoad_act!N80</f>
        <v>166734</v>
      </c>
      <c r="O26" s="110">
        <f>TrRoad_act!O80</f>
        <v>159096</v>
      </c>
      <c r="P26" s="110">
        <f>TrRoad_act!P80</f>
        <v>157466</v>
      </c>
      <c r="Q26" s="110">
        <f>TrRoad_act!Q80</f>
        <v>164458</v>
      </c>
      <c r="R26" s="110">
        <f>TrRoad_act!R80</f>
        <v>149673</v>
      </c>
      <c r="S26" s="110">
        <f>TrRoad_act!S80</f>
        <v>150061</v>
      </c>
      <c r="T26" s="110">
        <f>TrRoad_act!T80</f>
        <v>153483</v>
      </c>
      <c r="U26" s="110">
        <f>TrRoad_act!U80</f>
        <v>155824</v>
      </c>
      <c r="V26" s="110">
        <f>TrRoad_act!V80</f>
        <v>151369</v>
      </c>
      <c r="W26" s="110">
        <f>TrRoad_act!W80</f>
        <v>156822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78939</v>
      </c>
      <c r="C27" s="102">
        <f>TrRoad_act!C81</f>
        <v>120133</v>
      </c>
      <c r="D27" s="102">
        <f>TrRoad_act!D81</f>
        <v>119638</v>
      </c>
      <c r="E27" s="102">
        <f>TrRoad_act!E81</f>
        <v>123405</v>
      </c>
      <c r="F27" s="102">
        <f>TrRoad_act!F81</f>
        <v>128078</v>
      </c>
      <c r="G27" s="102">
        <f>TrRoad_act!G81</f>
        <v>132986</v>
      </c>
      <c r="H27" s="102">
        <f>TrRoad_act!H81</f>
        <v>132418</v>
      </c>
      <c r="I27" s="102">
        <f>TrRoad_act!I81</f>
        <v>134228</v>
      </c>
      <c r="J27" s="102">
        <f>TrRoad_act!J81</f>
        <v>141568</v>
      </c>
      <c r="K27" s="102">
        <f>TrRoad_act!K81</f>
        <v>139828</v>
      </c>
      <c r="L27" s="102">
        <f>TrRoad_act!L81</f>
        <v>134414</v>
      </c>
      <c r="M27" s="102">
        <f>TrRoad_act!M81</f>
        <v>146804</v>
      </c>
      <c r="N27" s="102">
        <f>TrRoad_act!N81</f>
        <v>143630</v>
      </c>
      <c r="O27" s="102">
        <f>TrRoad_act!O81</f>
        <v>135227</v>
      </c>
      <c r="P27" s="102">
        <f>TrRoad_act!P81</f>
        <v>133514</v>
      </c>
      <c r="Q27" s="102">
        <f>TrRoad_act!Q81</f>
        <v>139932</v>
      </c>
      <c r="R27" s="102">
        <f>TrRoad_act!R81</f>
        <v>123572</v>
      </c>
      <c r="S27" s="102">
        <f>TrRoad_act!S81</f>
        <v>123676</v>
      </c>
      <c r="T27" s="102">
        <f>TrRoad_act!T81</f>
        <v>128279</v>
      </c>
      <c r="U27" s="102">
        <f>TrRoad_act!U81</f>
        <v>130204</v>
      </c>
      <c r="V27" s="102">
        <f>TrRoad_act!V81</f>
        <v>125606</v>
      </c>
      <c r="W27" s="102">
        <f>TrRoad_act!W81</f>
        <v>130437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16364</v>
      </c>
      <c r="C28" s="86">
        <f>TrRoad_act!C82</f>
        <v>17545</v>
      </c>
      <c r="D28" s="86">
        <f>TrRoad_act!D82</f>
        <v>18458</v>
      </c>
      <c r="E28" s="86">
        <f>TrRoad_act!E82</f>
        <v>18866</v>
      </c>
      <c r="F28" s="86">
        <f>TrRoad_act!F82</f>
        <v>22306</v>
      </c>
      <c r="G28" s="86">
        <f>TrRoad_act!G82</f>
        <v>23093</v>
      </c>
      <c r="H28" s="86">
        <f>TrRoad_act!H82</f>
        <v>23672</v>
      </c>
      <c r="I28" s="86">
        <f>TrRoad_act!I82</f>
        <v>24506</v>
      </c>
      <c r="J28" s="86">
        <f>TrRoad_act!J82</f>
        <v>24392</v>
      </c>
      <c r="K28" s="86">
        <f>TrRoad_act!K82</f>
        <v>22981</v>
      </c>
      <c r="L28" s="86">
        <f>TrRoad_act!L82</f>
        <v>23130</v>
      </c>
      <c r="M28" s="86">
        <f>TrRoad_act!M82</f>
        <v>23156</v>
      </c>
      <c r="N28" s="86">
        <f>TrRoad_act!N82</f>
        <v>23104</v>
      </c>
      <c r="O28" s="86">
        <f>TrRoad_act!O82</f>
        <v>23869</v>
      </c>
      <c r="P28" s="86">
        <f>TrRoad_act!P82</f>
        <v>23952</v>
      </c>
      <c r="Q28" s="86">
        <f>TrRoad_act!Q82</f>
        <v>24526</v>
      </c>
      <c r="R28" s="86">
        <f>TrRoad_act!R82</f>
        <v>26101</v>
      </c>
      <c r="S28" s="86">
        <f>TrRoad_act!S82</f>
        <v>26385</v>
      </c>
      <c r="T28" s="86">
        <f>TrRoad_act!T82</f>
        <v>25204</v>
      </c>
      <c r="U28" s="86">
        <f>TrRoad_act!U82</f>
        <v>25620</v>
      </c>
      <c r="V28" s="86">
        <f>TrRoad_act!V82</f>
        <v>25763</v>
      </c>
      <c r="W28" s="86">
        <f>TrRoad_act!W82</f>
        <v>26385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566075</v>
      </c>
      <c r="C30" s="54">
        <f>TrRoad_act!C111</f>
        <v>663857</v>
      </c>
      <c r="D30" s="54">
        <f>TrRoad_act!D111</f>
        <v>541566</v>
      </c>
      <c r="E30" s="54">
        <f>TrRoad_act!E111</f>
        <v>568899</v>
      </c>
      <c r="F30" s="54">
        <f>TrRoad_act!F111</f>
        <v>606371</v>
      </c>
      <c r="G30" s="54">
        <f>TrRoad_act!G111</f>
        <v>599291</v>
      </c>
      <c r="H30" s="54">
        <f>TrRoad_act!H111</f>
        <v>634923</v>
      </c>
      <c r="I30" s="54">
        <f>TrRoad_act!I111</f>
        <v>639393</v>
      </c>
      <c r="J30" s="54">
        <f>TrRoad_act!J111</f>
        <v>660624</v>
      </c>
      <c r="K30" s="54">
        <f>TrRoad_act!K111</f>
        <v>597471</v>
      </c>
      <c r="L30" s="54">
        <f>TrRoad_act!L111</f>
        <v>682714</v>
      </c>
      <c r="M30" s="54">
        <f>TrRoad_act!M111</f>
        <v>733263</v>
      </c>
      <c r="N30" s="54">
        <f>TrRoad_act!N111</f>
        <v>632023</v>
      </c>
      <c r="O30" s="54">
        <f>TrRoad_act!O111</f>
        <v>617638</v>
      </c>
      <c r="P30" s="54">
        <f>TrRoad_act!P111</f>
        <v>622237</v>
      </c>
      <c r="Q30" s="54">
        <f>TrRoad_act!Q111</f>
        <v>661293</v>
      </c>
      <c r="R30" s="54">
        <f>TrRoad_act!R111</f>
        <v>668259</v>
      </c>
      <c r="S30" s="54">
        <f>TrRoad_act!S111</f>
        <v>692519</v>
      </c>
      <c r="T30" s="54">
        <f>TrRoad_act!T111</f>
        <v>907359</v>
      </c>
      <c r="U30" s="54">
        <f>TrRoad_act!U111</f>
        <v>741636</v>
      </c>
      <c r="V30" s="54">
        <f>TrRoad_act!V111</f>
        <v>637771</v>
      </c>
      <c r="W30" s="54">
        <f>TrRoad_act!W111</f>
        <v>660373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564439</v>
      </c>
      <c r="C31" s="28">
        <f>TrRoad_act!C112</f>
        <v>540721</v>
      </c>
      <c r="D31" s="28">
        <f>TrRoad_act!D112</f>
        <v>503032</v>
      </c>
      <c r="E31" s="28">
        <f>TrRoad_act!E112</f>
        <v>492097</v>
      </c>
      <c r="F31" s="28">
        <f>TrRoad_act!F112</f>
        <v>521808</v>
      </c>
      <c r="G31" s="28">
        <f>TrRoad_act!G112</f>
        <v>522025</v>
      </c>
      <c r="H31" s="28">
        <f>TrRoad_act!H112</f>
        <v>567247</v>
      </c>
      <c r="I31" s="28">
        <f>TrRoad_act!I112</f>
        <v>569664</v>
      </c>
      <c r="J31" s="28">
        <f>TrRoad_act!J112</f>
        <v>577715</v>
      </c>
      <c r="K31" s="28">
        <f>TrRoad_act!K112</f>
        <v>515309</v>
      </c>
      <c r="L31" s="28">
        <f>TrRoad_act!L112</f>
        <v>590659</v>
      </c>
      <c r="M31" s="28">
        <f>TrRoad_act!M112</f>
        <v>627973</v>
      </c>
      <c r="N31" s="28">
        <f>TrRoad_act!N112</f>
        <v>537159</v>
      </c>
      <c r="O31" s="28">
        <f>TrRoad_act!O112</f>
        <v>524034</v>
      </c>
      <c r="P31" s="28">
        <f>TrRoad_act!P112</f>
        <v>530783</v>
      </c>
      <c r="Q31" s="28">
        <f>TrRoad_act!Q112</f>
        <v>563393</v>
      </c>
      <c r="R31" s="28">
        <f>TrRoad_act!R112</f>
        <v>593809</v>
      </c>
      <c r="S31" s="28">
        <f>TrRoad_act!S112</f>
        <v>607006</v>
      </c>
      <c r="T31" s="28">
        <f>TrRoad_act!T112</f>
        <v>813709</v>
      </c>
      <c r="U31" s="28">
        <f>TrRoad_act!U112</f>
        <v>643692</v>
      </c>
      <c r="V31" s="28">
        <f>TrRoad_act!V112</f>
        <v>558002</v>
      </c>
      <c r="W31" s="28">
        <f>TrRoad_act!W112</f>
        <v>572825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31649</v>
      </c>
      <c r="C32" s="137">
        <f>TrRoad_act!C113</f>
        <v>26536</v>
      </c>
      <c r="D32" s="137">
        <f>TrRoad_act!D113</f>
        <v>26879</v>
      </c>
      <c r="E32" s="137">
        <f>TrRoad_act!E113</f>
        <v>27780</v>
      </c>
      <c r="F32" s="137">
        <f>TrRoad_act!F113</f>
        <v>31319</v>
      </c>
      <c r="G32" s="137">
        <f>TrRoad_act!G113</f>
        <v>35465</v>
      </c>
      <c r="H32" s="137">
        <f>TrRoad_act!H113</f>
        <v>34086</v>
      </c>
      <c r="I32" s="137">
        <f>TrRoad_act!I113</f>
        <v>37664</v>
      </c>
      <c r="J32" s="137">
        <f>TrRoad_act!J113</f>
        <v>32991</v>
      </c>
      <c r="K32" s="137">
        <f>TrRoad_act!K113</f>
        <v>33029</v>
      </c>
      <c r="L32" s="137">
        <f>TrRoad_act!L113</f>
        <v>33036</v>
      </c>
      <c r="M32" s="137">
        <f>TrRoad_act!M113</f>
        <v>31309</v>
      </c>
      <c r="N32" s="137">
        <f>TrRoad_act!N113</f>
        <v>29285</v>
      </c>
      <c r="O32" s="137">
        <f>TrRoad_act!O113</f>
        <v>25805</v>
      </c>
      <c r="P32" s="137">
        <f>TrRoad_act!P113</f>
        <v>25851</v>
      </c>
      <c r="Q32" s="137">
        <f>TrRoad_act!Q113</f>
        <v>26971</v>
      </c>
      <c r="R32" s="137">
        <f>TrRoad_act!R113</f>
        <v>29526</v>
      </c>
      <c r="S32" s="137">
        <f>TrRoad_act!S113</f>
        <v>26738</v>
      </c>
      <c r="T32" s="137">
        <f>TrRoad_act!T113</f>
        <v>228913</v>
      </c>
      <c r="U32" s="137">
        <f>TrRoad_act!U113</f>
        <v>53335</v>
      </c>
      <c r="V32" s="137">
        <f>TrRoad_act!V113</f>
        <v>47793</v>
      </c>
      <c r="W32" s="137">
        <f>TrRoad_act!W113</f>
        <v>68494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531640</v>
      </c>
      <c r="C33" s="110">
        <f>TrRoad_act!C114</f>
        <v>512976</v>
      </c>
      <c r="D33" s="110">
        <f>TrRoad_act!D114</f>
        <v>474830</v>
      </c>
      <c r="E33" s="110">
        <f>TrRoad_act!E114</f>
        <v>463173</v>
      </c>
      <c r="F33" s="110">
        <f>TrRoad_act!F114</f>
        <v>489326</v>
      </c>
      <c r="G33" s="110">
        <f>TrRoad_act!G114</f>
        <v>485432</v>
      </c>
      <c r="H33" s="110">
        <f>TrRoad_act!H114</f>
        <v>531996</v>
      </c>
      <c r="I33" s="110">
        <f>TrRoad_act!I114</f>
        <v>530652</v>
      </c>
      <c r="J33" s="110">
        <f>TrRoad_act!J114</f>
        <v>543253</v>
      </c>
      <c r="K33" s="110">
        <f>TrRoad_act!K114</f>
        <v>481031</v>
      </c>
      <c r="L33" s="110">
        <f>TrRoad_act!L114</f>
        <v>556335</v>
      </c>
      <c r="M33" s="110">
        <f>TrRoad_act!M114</f>
        <v>595681</v>
      </c>
      <c r="N33" s="110">
        <f>TrRoad_act!N114</f>
        <v>506684</v>
      </c>
      <c r="O33" s="110">
        <f>TrRoad_act!O114</f>
        <v>497149</v>
      </c>
      <c r="P33" s="110">
        <f>TrRoad_act!P114</f>
        <v>503527</v>
      </c>
      <c r="Q33" s="110">
        <f>TrRoad_act!Q114</f>
        <v>535175</v>
      </c>
      <c r="R33" s="110">
        <f>TrRoad_act!R114</f>
        <v>563212</v>
      </c>
      <c r="S33" s="110">
        <f>TrRoad_act!S114</f>
        <v>579136</v>
      </c>
      <c r="T33" s="110">
        <f>TrRoad_act!T114</f>
        <v>583475</v>
      </c>
      <c r="U33" s="110">
        <f>TrRoad_act!U114</f>
        <v>588786</v>
      </c>
      <c r="V33" s="110">
        <f>TrRoad_act!V114</f>
        <v>508883</v>
      </c>
      <c r="W33" s="110">
        <f>TrRoad_act!W114</f>
        <v>502702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232786</v>
      </c>
      <c r="C34" s="84">
        <f>TrRoad_act!C115</f>
        <v>186329</v>
      </c>
      <c r="D34" s="84">
        <f>TrRoad_act!D115</f>
        <v>168334</v>
      </c>
      <c r="E34" s="84">
        <f>TrRoad_act!E115</f>
        <v>146753</v>
      </c>
      <c r="F34" s="84">
        <f>TrRoad_act!F115</f>
        <v>146346</v>
      </c>
      <c r="G34" s="84">
        <f>TrRoad_act!G115</f>
        <v>132688</v>
      </c>
      <c r="H34" s="84">
        <f>TrRoad_act!H115</f>
        <v>135282</v>
      </c>
      <c r="I34" s="84">
        <f>TrRoad_act!I115</f>
        <v>122028</v>
      </c>
      <c r="J34" s="84">
        <f>TrRoad_act!J115</f>
        <v>115850</v>
      </c>
      <c r="K34" s="84">
        <f>TrRoad_act!K115</f>
        <v>119093</v>
      </c>
      <c r="L34" s="84">
        <f>TrRoad_act!L115</f>
        <v>134553</v>
      </c>
      <c r="M34" s="84">
        <f>TrRoad_act!M115</f>
        <v>147172</v>
      </c>
      <c r="N34" s="84">
        <f>TrRoad_act!N115</f>
        <v>157126</v>
      </c>
      <c r="O34" s="84">
        <f>TrRoad_act!O115</f>
        <v>175137</v>
      </c>
      <c r="P34" s="84">
        <f>TrRoad_act!P115</f>
        <v>188898</v>
      </c>
      <c r="Q34" s="84">
        <f>TrRoad_act!Q115</f>
        <v>204868</v>
      </c>
      <c r="R34" s="84">
        <f>TrRoad_act!R115</f>
        <v>265351</v>
      </c>
      <c r="S34" s="84">
        <f>TrRoad_act!S115</f>
        <v>301411</v>
      </c>
      <c r="T34" s="84">
        <f>TrRoad_act!T115</f>
        <v>361472</v>
      </c>
      <c r="U34" s="84">
        <f>TrRoad_act!U115</f>
        <v>385355</v>
      </c>
      <c r="V34" s="84">
        <f>TrRoad_act!V115</f>
        <v>295602</v>
      </c>
      <c r="W34" s="84">
        <f>TrRoad_act!W115</f>
        <v>309933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298854</v>
      </c>
      <c r="C35" s="84">
        <f>TrRoad_act!C116</f>
        <v>313647</v>
      </c>
      <c r="D35" s="84">
        <f>TrRoad_act!D116</f>
        <v>304496</v>
      </c>
      <c r="E35" s="84">
        <f>TrRoad_act!E116</f>
        <v>316420</v>
      </c>
      <c r="F35" s="84">
        <f>TrRoad_act!F116</f>
        <v>342760</v>
      </c>
      <c r="G35" s="84">
        <f>TrRoad_act!G116</f>
        <v>352380</v>
      </c>
      <c r="H35" s="84">
        <f>TrRoad_act!H116</f>
        <v>396234</v>
      </c>
      <c r="I35" s="84">
        <f>TrRoad_act!I116</f>
        <v>408255</v>
      </c>
      <c r="J35" s="84">
        <f>TrRoad_act!J116</f>
        <v>426992</v>
      </c>
      <c r="K35" s="84">
        <f>TrRoad_act!K116</f>
        <v>361638</v>
      </c>
      <c r="L35" s="84">
        <f>TrRoad_act!L116</f>
        <v>421479</v>
      </c>
      <c r="M35" s="84">
        <f>TrRoad_act!M116</f>
        <v>439209</v>
      </c>
      <c r="N35" s="84">
        <f>TrRoad_act!N116</f>
        <v>342081</v>
      </c>
      <c r="O35" s="84">
        <f>TrRoad_act!O116</f>
        <v>320132</v>
      </c>
      <c r="P35" s="84">
        <f>TrRoad_act!P116</f>
        <v>304090</v>
      </c>
      <c r="Q35" s="84">
        <f>TrRoad_act!Q116</f>
        <v>306105</v>
      </c>
      <c r="R35" s="84">
        <f>TrRoad_act!R116</f>
        <v>286099</v>
      </c>
      <c r="S35" s="84">
        <f>TrRoad_act!S116</f>
        <v>260543</v>
      </c>
      <c r="T35" s="84">
        <f>TrRoad_act!T116</f>
        <v>202864</v>
      </c>
      <c r="U35" s="84">
        <f>TrRoad_act!U116</f>
        <v>180351</v>
      </c>
      <c r="V35" s="84">
        <f>TrRoad_act!V116</f>
        <v>161293</v>
      </c>
      <c r="W35" s="84">
        <f>TrRoad_act!W116</f>
        <v>118236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13000</v>
      </c>
      <c r="D36" s="84">
        <f>TrRoad_act!D117</f>
        <v>2000</v>
      </c>
      <c r="E36" s="84">
        <f>TrRoad_act!E117</f>
        <v>0</v>
      </c>
      <c r="F36" s="84">
        <f>TrRoad_act!F117</f>
        <v>0</v>
      </c>
      <c r="G36" s="84">
        <f>TrRoad_act!G117</f>
        <v>326</v>
      </c>
      <c r="H36" s="84">
        <f>TrRoad_act!H117</f>
        <v>476</v>
      </c>
      <c r="I36" s="84">
        <f>TrRoad_act!I117</f>
        <v>368</v>
      </c>
      <c r="J36" s="84">
        <f>TrRoad_act!J117</f>
        <v>402</v>
      </c>
      <c r="K36" s="84">
        <f>TrRoad_act!K117</f>
        <v>296</v>
      </c>
      <c r="L36" s="84">
        <f>TrRoad_act!L117</f>
        <v>249</v>
      </c>
      <c r="M36" s="84">
        <f>TrRoad_act!M117</f>
        <v>8978</v>
      </c>
      <c r="N36" s="84">
        <f>TrRoad_act!N117</f>
        <v>6509</v>
      </c>
      <c r="O36" s="84">
        <f>TrRoad_act!O117</f>
        <v>1066</v>
      </c>
      <c r="P36" s="84">
        <f>TrRoad_act!P117</f>
        <v>7475</v>
      </c>
      <c r="Q36" s="84">
        <f>TrRoad_act!Q117</f>
        <v>18985</v>
      </c>
      <c r="R36" s="84">
        <f>TrRoad_act!R117</f>
        <v>76</v>
      </c>
      <c r="S36" s="84">
        <f>TrRoad_act!S117</f>
        <v>84</v>
      </c>
      <c r="T36" s="84">
        <f>TrRoad_act!T117</f>
        <v>51</v>
      </c>
      <c r="U36" s="84">
        <f>TrRoad_act!U117</f>
        <v>165</v>
      </c>
      <c r="V36" s="84">
        <f>TrRoad_act!V117</f>
        <v>987</v>
      </c>
      <c r="W36" s="84">
        <f>TrRoad_act!W117</f>
        <v>2088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220</v>
      </c>
      <c r="G37" s="84">
        <f>TrRoad_act!G118</f>
        <v>38</v>
      </c>
      <c r="H37" s="84">
        <f>TrRoad_act!H118</f>
        <v>4</v>
      </c>
      <c r="I37" s="84">
        <f>TrRoad_act!I118</f>
        <v>1</v>
      </c>
      <c r="J37" s="84">
        <f>TrRoad_act!J118</f>
        <v>0</v>
      </c>
      <c r="K37" s="84">
        <f>TrRoad_act!K118</f>
        <v>0</v>
      </c>
      <c r="L37" s="84">
        <f>TrRoad_act!L118</f>
        <v>0</v>
      </c>
      <c r="M37" s="84">
        <f>TrRoad_act!M118</f>
        <v>18</v>
      </c>
      <c r="N37" s="84">
        <f>TrRoad_act!N118</f>
        <v>57</v>
      </c>
      <c r="O37" s="84">
        <f>TrRoad_act!O118</f>
        <v>146</v>
      </c>
      <c r="P37" s="84">
        <f>TrRoad_act!P118</f>
        <v>925</v>
      </c>
      <c r="Q37" s="84">
        <f>TrRoad_act!Q118</f>
        <v>665</v>
      </c>
      <c r="R37" s="84">
        <f>TrRoad_act!R118</f>
        <v>2146</v>
      </c>
      <c r="S37" s="84">
        <f>TrRoad_act!S118</f>
        <v>2502</v>
      </c>
      <c r="T37" s="84">
        <f>TrRoad_act!T118</f>
        <v>4315</v>
      </c>
      <c r="U37" s="84">
        <f>TrRoad_act!U118</f>
        <v>5041</v>
      </c>
      <c r="V37" s="84">
        <f>TrRoad_act!V118</f>
        <v>2924</v>
      </c>
      <c r="W37" s="84">
        <f>TrRoad_act!W118</f>
        <v>995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16</v>
      </c>
      <c r="N38" s="84">
        <f>TrRoad_act!N119</f>
        <v>326</v>
      </c>
      <c r="O38" s="84">
        <f>TrRoad_act!O119</f>
        <v>167</v>
      </c>
      <c r="P38" s="84">
        <f>TrRoad_act!P119</f>
        <v>800</v>
      </c>
      <c r="Q38" s="84">
        <f>TrRoad_act!Q119</f>
        <v>2939</v>
      </c>
      <c r="R38" s="84">
        <f>TrRoad_act!R119</f>
        <v>7324</v>
      </c>
      <c r="S38" s="84">
        <f>TrRoad_act!S119</f>
        <v>11651</v>
      </c>
      <c r="T38" s="84">
        <f>TrRoad_act!T119</f>
        <v>10732</v>
      </c>
      <c r="U38" s="84">
        <f>TrRoad_act!U119</f>
        <v>8982</v>
      </c>
      <c r="V38" s="84">
        <f>TrRoad_act!V119</f>
        <v>33006</v>
      </c>
      <c r="W38" s="84">
        <f>TrRoad_act!W119</f>
        <v>48676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9</v>
      </c>
      <c r="K39" s="84">
        <f>TrRoad_act!K120</f>
        <v>4</v>
      </c>
      <c r="L39" s="84">
        <f>TrRoad_act!L120</f>
        <v>54</v>
      </c>
      <c r="M39" s="84">
        <f>TrRoad_act!M120</f>
        <v>288</v>
      </c>
      <c r="N39" s="84">
        <f>TrRoad_act!N120</f>
        <v>585</v>
      </c>
      <c r="O39" s="84">
        <f>TrRoad_act!O120</f>
        <v>501</v>
      </c>
      <c r="P39" s="84">
        <f>TrRoad_act!P120</f>
        <v>1339</v>
      </c>
      <c r="Q39" s="84">
        <f>TrRoad_act!Q120</f>
        <v>1613</v>
      </c>
      <c r="R39" s="84">
        <f>TrRoad_act!R120</f>
        <v>2216</v>
      </c>
      <c r="S39" s="84">
        <f>TrRoad_act!S120</f>
        <v>2945</v>
      </c>
      <c r="T39" s="84">
        <f>TrRoad_act!T120</f>
        <v>4041</v>
      </c>
      <c r="U39" s="84">
        <f>TrRoad_act!U120</f>
        <v>8892</v>
      </c>
      <c r="V39" s="84">
        <f>TrRoad_act!V120</f>
        <v>15071</v>
      </c>
      <c r="W39" s="84">
        <f>TrRoad_act!W120</f>
        <v>22774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1150</v>
      </c>
      <c r="C40" s="110">
        <f>TrRoad_act!C121</f>
        <v>1209</v>
      </c>
      <c r="D40" s="110">
        <f>TrRoad_act!D121</f>
        <v>1323</v>
      </c>
      <c r="E40" s="110">
        <f>TrRoad_act!E121</f>
        <v>1144</v>
      </c>
      <c r="F40" s="110">
        <f>TrRoad_act!F121</f>
        <v>1163</v>
      </c>
      <c r="G40" s="110">
        <f>TrRoad_act!G121</f>
        <v>1128</v>
      </c>
      <c r="H40" s="110">
        <f>TrRoad_act!H121</f>
        <v>1165</v>
      </c>
      <c r="I40" s="110">
        <f>TrRoad_act!I121</f>
        <v>1348</v>
      </c>
      <c r="J40" s="110">
        <f>TrRoad_act!J121</f>
        <v>1471</v>
      </c>
      <c r="K40" s="110">
        <f>TrRoad_act!K121</f>
        <v>1249</v>
      </c>
      <c r="L40" s="110">
        <f>TrRoad_act!L121</f>
        <v>1288</v>
      </c>
      <c r="M40" s="110">
        <f>TrRoad_act!M121</f>
        <v>983</v>
      </c>
      <c r="N40" s="110">
        <f>TrRoad_act!N121</f>
        <v>1190</v>
      </c>
      <c r="O40" s="110">
        <f>TrRoad_act!O121</f>
        <v>1080</v>
      </c>
      <c r="P40" s="110">
        <f>TrRoad_act!P121</f>
        <v>1405</v>
      </c>
      <c r="Q40" s="110">
        <f>TrRoad_act!Q121</f>
        <v>1247</v>
      </c>
      <c r="R40" s="110">
        <f>TrRoad_act!R121</f>
        <v>1071</v>
      </c>
      <c r="S40" s="110">
        <f>TrRoad_act!S121</f>
        <v>1132</v>
      </c>
      <c r="T40" s="110">
        <f>TrRoad_act!T121</f>
        <v>1321</v>
      </c>
      <c r="U40" s="110">
        <f>TrRoad_act!U121</f>
        <v>1571</v>
      </c>
      <c r="V40" s="110">
        <f>TrRoad_act!V121</f>
        <v>1326</v>
      </c>
      <c r="W40" s="110">
        <f>TrRoad_act!W121</f>
        <v>1629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0</v>
      </c>
      <c r="J41" s="102">
        <f>TrRoad_act!J122</f>
        <v>0</v>
      </c>
      <c r="K41" s="102">
        <f>TrRoad_act!K122</f>
        <v>1</v>
      </c>
      <c r="L41" s="102">
        <f>TrRoad_act!L122</f>
        <v>2</v>
      </c>
      <c r="M41" s="102">
        <f>TrRoad_act!M122</f>
        <v>2</v>
      </c>
      <c r="N41" s="102">
        <f>TrRoad_act!N122</f>
        <v>0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1</v>
      </c>
      <c r="S41" s="102">
        <f>TrRoad_act!S122</f>
        <v>0</v>
      </c>
      <c r="T41" s="102">
        <f>TrRoad_act!T122</f>
        <v>0</v>
      </c>
      <c r="U41" s="102">
        <f>TrRoad_act!U122</f>
        <v>1</v>
      </c>
      <c r="V41" s="102">
        <f>TrRoad_act!V122</f>
        <v>0</v>
      </c>
      <c r="W41" s="102">
        <f>TrRoad_act!W122</f>
        <v>0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1150</v>
      </c>
      <c r="C42" s="102">
        <f>TrRoad_act!C123</f>
        <v>1209</v>
      </c>
      <c r="D42" s="102">
        <f>TrRoad_act!D123</f>
        <v>1323</v>
      </c>
      <c r="E42" s="102">
        <f>TrRoad_act!E123</f>
        <v>1144</v>
      </c>
      <c r="F42" s="102">
        <f>TrRoad_act!F123</f>
        <v>1163</v>
      </c>
      <c r="G42" s="102">
        <f>TrRoad_act!G123</f>
        <v>1109</v>
      </c>
      <c r="H42" s="102">
        <f>TrRoad_act!H123</f>
        <v>1165</v>
      </c>
      <c r="I42" s="102">
        <f>TrRoad_act!I123</f>
        <v>1348</v>
      </c>
      <c r="J42" s="102">
        <f>TrRoad_act!J123</f>
        <v>1471</v>
      </c>
      <c r="K42" s="102">
        <f>TrRoad_act!K123</f>
        <v>1248</v>
      </c>
      <c r="L42" s="102">
        <f>TrRoad_act!L123</f>
        <v>1286</v>
      </c>
      <c r="M42" s="102">
        <f>TrRoad_act!M123</f>
        <v>981</v>
      </c>
      <c r="N42" s="102">
        <f>TrRoad_act!N123</f>
        <v>1190</v>
      </c>
      <c r="O42" s="102">
        <f>TrRoad_act!O123</f>
        <v>1080</v>
      </c>
      <c r="P42" s="102">
        <f>TrRoad_act!P123</f>
        <v>1402</v>
      </c>
      <c r="Q42" s="102">
        <f>TrRoad_act!Q123</f>
        <v>1247</v>
      </c>
      <c r="R42" s="102">
        <f>TrRoad_act!R123</f>
        <v>1069</v>
      </c>
      <c r="S42" s="102">
        <f>TrRoad_act!S123</f>
        <v>1132</v>
      </c>
      <c r="T42" s="102">
        <f>TrRoad_act!T123</f>
        <v>1294</v>
      </c>
      <c r="U42" s="102">
        <f>TrRoad_act!U123</f>
        <v>1526</v>
      </c>
      <c r="V42" s="102">
        <f>TrRoad_act!V123</f>
        <v>1299</v>
      </c>
      <c r="W42" s="102">
        <f>TrRoad_act!W123</f>
        <v>1482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0</v>
      </c>
      <c r="G44" s="102">
        <f>TrRoad_act!G125</f>
        <v>0</v>
      </c>
      <c r="H44" s="102">
        <f>TrRoad_act!H125</f>
        <v>0</v>
      </c>
      <c r="I44" s="102">
        <f>TrRoad_act!I125</f>
        <v>0</v>
      </c>
      <c r="J44" s="102">
        <f>TrRoad_act!J125</f>
        <v>0</v>
      </c>
      <c r="K44" s="102">
        <f>TrRoad_act!K125</f>
        <v>0</v>
      </c>
      <c r="L44" s="102">
        <f>TrRoad_act!L125</f>
        <v>0</v>
      </c>
      <c r="M44" s="102">
        <f>TrRoad_act!M125</f>
        <v>0</v>
      </c>
      <c r="N44" s="102">
        <f>TrRoad_act!N125</f>
        <v>0</v>
      </c>
      <c r="O44" s="102">
        <f>TrRoad_act!O125</f>
        <v>0</v>
      </c>
      <c r="P44" s="102">
        <f>TrRoad_act!P125</f>
        <v>0</v>
      </c>
      <c r="Q44" s="102">
        <f>TrRoad_act!Q125</f>
        <v>0</v>
      </c>
      <c r="R44" s="102">
        <f>TrRoad_act!R125</f>
        <v>1</v>
      </c>
      <c r="S44" s="102">
        <f>TrRoad_act!S125</f>
        <v>0</v>
      </c>
      <c r="T44" s="102">
        <f>TrRoad_act!T125</f>
        <v>6</v>
      </c>
      <c r="U44" s="102">
        <f>TrRoad_act!U125</f>
        <v>6</v>
      </c>
      <c r="V44" s="102">
        <f>TrRoad_act!V125</f>
        <v>13</v>
      </c>
      <c r="W44" s="102">
        <f>TrRoad_act!W125</f>
        <v>118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19</v>
      </c>
      <c r="H45" s="102">
        <f>TrRoad_act!H126</f>
        <v>0</v>
      </c>
      <c r="I45" s="102">
        <f>TrRoad_act!I126</f>
        <v>0</v>
      </c>
      <c r="J45" s="102">
        <f>TrRoad_act!J126</f>
        <v>0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0</v>
      </c>
      <c r="O45" s="102">
        <f>TrRoad_act!O126</f>
        <v>0</v>
      </c>
      <c r="P45" s="102">
        <f>TrRoad_act!P126</f>
        <v>3</v>
      </c>
      <c r="Q45" s="102">
        <f>TrRoad_act!Q126</f>
        <v>0</v>
      </c>
      <c r="R45" s="102">
        <f>TrRoad_act!R126</f>
        <v>0</v>
      </c>
      <c r="S45" s="102">
        <f>TrRoad_act!S126</f>
        <v>0</v>
      </c>
      <c r="T45" s="102">
        <f>TrRoad_act!T126</f>
        <v>21</v>
      </c>
      <c r="U45" s="102">
        <f>TrRoad_act!U126</f>
        <v>38</v>
      </c>
      <c r="V45" s="102">
        <f>TrRoad_act!V126</f>
        <v>14</v>
      </c>
      <c r="W45" s="102">
        <f>TrRoad_act!W126</f>
        <v>29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1636</v>
      </c>
      <c r="C46" s="28">
        <f>TrRoad_act!C127</f>
        <v>123136</v>
      </c>
      <c r="D46" s="28">
        <f>TrRoad_act!D127</f>
        <v>38534</v>
      </c>
      <c r="E46" s="28">
        <f>TrRoad_act!E127</f>
        <v>76802</v>
      </c>
      <c r="F46" s="28">
        <f>TrRoad_act!F127</f>
        <v>84563</v>
      </c>
      <c r="G46" s="28">
        <f>TrRoad_act!G127</f>
        <v>77266</v>
      </c>
      <c r="H46" s="28">
        <f>TrRoad_act!H127</f>
        <v>67676</v>
      </c>
      <c r="I46" s="28">
        <f>TrRoad_act!I127</f>
        <v>69729</v>
      </c>
      <c r="J46" s="28">
        <f>TrRoad_act!J127</f>
        <v>82909</v>
      </c>
      <c r="K46" s="28">
        <f>TrRoad_act!K127</f>
        <v>82162</v>
      </c>
      <c r="L46" s="28">
        <f>TrRoad_act!L127</f>
        <v>92055</v>
      </c>
      <c r="M46" s="28">
        <f>TrRoad_act!M127</f>
        <v>105290</v>
      </c>
      <c r="N46" s="28">
        <f>TrRoad_act!N127</f>
        <v>94864</v>
      </c>
      <c r="O46" s="28">
        <f>TrRoad_act!O127</f>
        <v>93604</v>
      </c>
      <c r="P46" s="28">
        <f>TrRoad_act!P127</f>
        <v>91454</v>
      </c>
      <c r="Q46" s="28">
        <f>TrRoad_act!Q127</f>
        <v>97900</v>
      </c>
      <c r="R46" s="28">
        <f>TrRoad_act!R127</f>
        <v>74450</v>
      </c>
      <c r="S46" s="28">
        <f>TrRoad_act!S127</f>
        <v>85513</v>
      </c>
      <c r="T46" s="28">
        <f>TrRoad_act!T127</f>
        <v>93650</v>
      </c>
      <c r="U46" s="28">
        <f>TrRoad_act!U127</f>
        <v>97944</v>
      </c>
      <c r="V46" s="28">
        <f>TrRoad_act!V127</f>
        <v>79769</v>
      </c>
      <c r="W46" s="28">
        <f>TrRoad_act!W127</f>
        <v>87548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0</v>
      </c>
      <c r="C47" s="137">
        <f>TrRoad_act!C128</f>
        <v>79843</v>
      </c>
      <c r="D47" s="137">
        <f>TrRoad_act!D128</f>
        <v>34229</v>
      </c>
      <c r="E47" s="137">
        <f>TrRoad_act!E128</f>
        <v>68577</v>
      </c>
      <c r="F47" s="137">
        <f>TrRoad_act!F128</f>
        <v>71515</v>
      </c>
      <c r="G47" s="137">
        <f>TrRoad_act!G128</f>
        <v>66152</v>
      </c>
      <c r="H47" s="137">
        <f>TrRoad_act!H128</f>
        <v>57676</v>
      </c>
      <c r="I47" s="137">
        <f>TrRoad_act!I128</f>
        <v>59041</v>
      </c>
      <c r="J47" s="137">
        <f>TrRoad_act!J128</f>
        <v>66577</v>
      </c>
      <c r="K47" s="137">
        <f>TrRoad_act!K128</f>
        <v>73867</v>
      </c>
      <c r="L47" s="137">
        <f>TrRoad_act!L128</f>
        <v>85572</v>
      </c>
      <c r="M47" s="137">
        <f>TrRoad_act!M128</f>
        <v>82246</v>
      </c>
      <c r="N47" s="137">
        <f>TrRoad_act!N128</f>
        <v>85552</v>
      </c>
      <c r="O47" s="137">
        <f>TrRoad_act!O128</f>
        <v>87742</v>
      </c>
      <c r="P47" s="137">
        <f>TrRoad_act!P128</f>
        <v>80525</v>
      </c>
      <c r="Q47" s="137">
        <f>TrRoad_act!Q128</f>
        <v>76097</v>
      </c>
      <c r="R47" s="137">
        <f>TrRoad_act!R128</f>
        <v>69216</v>
      </c>
      <c r="S47" s="137">
        <f>TrRoad_act!S128</f>
        <v>77312</v>
      </c>
      <c r="T47" s="137">
        <f>TrRoad_act!T128</f>
        <v>78931</v>
      </c>
      <c r="U47" s="137">
        <f>TrRoad_act!U128</f>
        <v>82349</v>
      </c>
      <c r="V47" s="137">
        <f>TrRoad_act!V128</f>
        <v>73084</v>
      </c>
      <c r="W47" s="137">
        <f>TrRoad_act!W128</f>
        <v>70443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0</v>
      </c>
      <c r="C48" s="84">
        <f>TrRoad_act!C129</f>
        <v>4745</v>
      </c>
      <c r="D48" s="84">
        <f>TrRoad_act!D129</f>
        <v>4698</v>
      </c>
      <c r="E48" s="84">
        <f>TrRoad_act!E129</f>
        <v>4213</v>
      </c>
      <c r="F48" s="84">
        <f>TrRoad_act!F129</f>
        <v>3557</v>
      </c>
      <c r="G48" s="84">
        <f>TrRoad_act!G129</f>
        <v>2503</v>
      </c>
      <c r="H48" s="84">
        <f>TrRoad_act!H129</f>
        <v>684</v>
      </c>
      <c r="I48" s="84">
        <f>TrRoad_act!I129</f>
        <v>871</v>
      </c>
      <c r="J48" s="84">
        <f>TrRoad_act!J129</f>
        <v>4034</v>
      </c>
      <c r="K48" s="84">
        <f>TrRoad_act!K129</f>
        <v>3368</v>
      </c>
      <c r="L48" s="84">
        <f>TrRoad_act!L129</f>
        <v>3906</v>
      </c>
      <c r="M48" s="84">
        <f>TrRoad_act!M129</f>
        <v>2456</v>
      </c>
      <c r="N48" s="84">
        <f>TrRoad_act!N129</f>
        <v>2442</v>
      </c>
      <c r="O48" s="84">
        <f>TrRoad_act!O129</f>
        <v>1682</v>
      </c>
      <c r="P48" s="84">
        <f>TrRoad_act!P129</f>
        <v>1354</v>
      </c>
      <c r="Q48" s="84">
        <f>TrRoad_act!Q129</f>
        <v>1820</v>
      </c>
      <c r="R48" s="84">
        <f>TrRoad_act!R129</f>
        <v>3007</v>
      </c>
      <c r="S48" s="84">
        <f>TrRoad_act!S129</f>
        <v>4243</v>
      </c>
      <c r="T48" s="84">
        <f>TrRoad_act!T129</f>
        <v>7024</v>
      </c>
      <c r="U48" s="84">
        <f>TrRoad_act!U129</f>
        <v>5451</v>
      </c>
      <c r="V48" s="84">
        <f>TrRoad_act!V129</f>
        <v>3497</v>
      </c>
      <c r="W48" s="84">
        <f>TrRoad_act!W129</f>
        <v>3550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0</v>
      </c>
      <c r="C49" s="84">
        <f>TrRoad_act!C130</f>
        <v>68891</v>
      </c>
      <c r="D49" s="84">
        <f>TrRoad_act!D130</f>
        <v>28089</v>
      </c>
      <c r="E49" s="84">
        <f>TrRoad_act!E130</f>
        <v>63536</v>
      </c>
      <c r="F49" s="84">
        <f>TrRoad_act!F130</f>
        <v>65575</v>
      </c>
      <c r="G49" s="84">
        <f>TrRoad_act!G130</f>
        <v>61821</v>
      </c>
      <c r="H49" s="84">
        <f>TrRoad_act!H130</f>
        <v>54993</v>
      </c>
      <c r="I49" s="84">
        <f>TrRoad_act!I130</f>
        <v>57829</v>
      </c>
      <c r="J49" s="84">
        <f>TrRoad_act!J130</f>
        <v>60414</v>
      </c>
      <c r="K49" s="84">
        <f>TrRoad_act!K130</f>
        <v>68462</v>
      </c>
      <c r="L49" s="84">
        <f>TrRoad_act!L130</f>
        <v>79855</v>
      </c>
      <c r="M49" s="84">
        <f>TrRoad_act!M130</f>
        <v>76184</v>
      </c>
      <c r="N49" s="84">
        <f>TrRoad_act!N130</f>
        <v>80622</v>
      </c>
      <c r="O49" s="84">
        <f>TrRoad_act!O130</f>
        <v>85881</v>
      </c>
      <c r="P49" s="84">
        <f>TrRoad_act!P130</f>
        <v>78867</v>
      </c>
      <c r="Q49" s="84">
        <f>TrRoad_act!Q130</f>
        <v>73894</v>
      </c>
      <c r="R49" s="84">
        <f>TrRoad_act!R130</f>
        <v>65614</v>
      </c>
      <c r="S49" s="84">
        <f>TrRoad_act!S130</f>
        <v>72263</v>
      </c>
      <c r="T49" s="84">
        <f>TrRoad_act!T130</f>
        <v>70745</v>
      </c>
      <c r="U49" s="84">
        <f>TrRoad_act!U130</f>
        <v>75198</v>
      </c>
      <c r="V49" s="84">
        <f>TrRoad_act!V130</f>
        <v>67385</v>
      </c>
      <c r="W49" s="84">
        <f>TrRoad_act!W130</f>
        <v>65276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6207</v>
      </c>
      <c r="D50" s="84">
        <f>TrRoad_act!D131</f>
        <v>1442</v>
      </c>
      <c r="E50" s="84">
        <f>TrRoad_act!E131</f>
        <v>828</v>
      </c>
      <c r="F50" s="84">
        <f>TrRoad_act!F131</f>
        <v>2383</v>
      </c>
      <c r="G50" s="84">
        <f>TrRoad_act!G131</f>
        <v>1828</v>
      </c>
      <c r="H50" s="84">
        <f>TrRoad_act!H131</f>
        <v>1999</v>
      </c>
      <c r="I50" s="84">
        <f>TrRoad_act!I131</f>
        <v>341</v>
      </c>
      <c r="J50" s="84">
        <f>TrRoad_act!J131</f>
        <v>2012</v>
      </c>
      <c r="K50" s="84">
        <f>TrRoad_act!K131</f>
        <v>2014</v>
      </c>
      <c r="L50" s="84">
        <f>TrRoad_act!L131</f>
        <v>1792</v>
      </c>
      <c r="M50" s="84">
        <f>TrRoad_act!M131</f>
        <v>3590</v>
      </c>
      <c r="N50" s="84">
        <f>TrRoad_act!N131</f>
        <v>2104</v>
      </c>
      <c r="O50" s="84">
        <f>TrRoad_act!O131</f>
        <v>11</v>
      </c>
      <c r="P50" s="84">
        <f>TrRoad_act!P131</f>
        <v>30</v>
      </c>
      <c r="Q50" s="84">
        <f>TrRoad_act!Q131</f>
        <v>12</v>
      </c>
      <c r="R50" s="84">
        <f>TrRoad_act!R131</f>
        <v>4</v>
      </c>
      <c r="S50" s="84">
        <f>TrRoad_act!S131</f>
        <v>5</v>
      </c>
      <c r="T50" s="84">
        <f>TrRoad_act!T131</f>
        <v>9</v>
      </c>
      <c r="U50" s="84">
        <f>TrRoad_act!U131</f>
        <v>6</v>
      </c>
      <c r="V50" s="84">
        <f>TrRoad_act!V131</f>
        <v>767</v>
      </c>
      <c r="W50" s="84">
        <f>TrRoad_act!W131</f>
        <v>251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59</v>
      </c>
      <c r="K51" s="84">
        <f>TrRoad_act!K132</f>
        <v>20</v>
      </c>
      <c r="L51" s="84">
        <f>TrRoad_act!L132</f>
        <v>18</v>
      </c>
      <c r="M51" s="84">
        <f>TrRoad_act!M132</f>
        <v>0</v>
      </c>
      <c r="N51" s="84">
        <f>TrRoad_act!N132</f>
        <v>131</v>
      </c>
      <c r="O51" s="84">
        <f>TrRoad_act!O132</f>
        <v>62</v>
      </c>
      <c r="P51" s="84">
        <f>TrRoad_act!P132</f>
        <v>180</v>
      </c>
      <c r="Q51" s="84">
        <f>TrRoad_act!Q132</f>
        <v>302</v>
      </c>
      <c r="R51" s="84">
        <f>TrRoad_act!R132</f>
        <v>418</v>
      </c>
      <c r="S51" s="84">
        <f>TrRoad_act!S132</f>
        <v>619</v>
      </c>
      <c r="T51" s="84">
        <f>TrRoad_act!T132</f>
        <v>894</v>
      </c>
      <c r="U51" s="84">
        <f>TrRoad_act!U132</f>
        <v>1284</v>
      </c>
      <c r="V51" s="84">
        <f>TrRoad_act!V132</f>
        <v>979</v>
      </c>
      <c r="W51" s="84">
        <f>TrRoad_act!W132</f>
        <v>660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58</v>
      </c>
      <c r="K52" s="84">
        <f>TrRoad_act!K133</f>
        <v>3</v>
      </c>
      <c r="L52" s="84">
        <f>TrRoad_act!L133</f>
        <v>1</v>
      </c>
      <c r="M52" s="84">
        <f>TrRoad_act!M133</f>
        <v>16</v>
      </c>
      <c r="N52" s="84">
        <f>TrRoad_act!N133</f>
        <v>253</v>
      </c>
      <c r="O52" s="84">
        <f>TrRoad_act!O133</f>
        <v>106</v>
      </c>
      <c r="P52" s="84">
        <f>TrRoad_act!P133</f>
        <v>94</v>
      </c>
      <c r="Q52" s="84">
        <f>TrRoad_act!Q133</f>
        <v>69</v>
      </c>
      <c r="R52" s="84">
        <f>TrRoad_act!R133</f>
        <v>173</v>
      </c>
      <c r="S52" s="84">
        <f>TrRoad_act!S133</f>
        <v>182</v>
      </c>
      <c r="T52" s="84">
        <f>TrRoad_act!T133</f>
        <v>259</v>
      </c>
      <c r="U52" s="84">
        <f>TrRoad_act!U133</f>
        <v>410</v>
      </c>
      <c r="V52" s="84">
        <f>TrRoad_act!V133</f>
        <v>456</v>
      </c>
      <c r="W52" s="84">
        <f>TrRoad_act!W133</f>
        <v>706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1636</v>
      </c>
      <c r="C53" s="110">
        <f>TrRoad_act!C134</f>
        <v>43293</v>
      </c>
      <c r="D53" s="110">
        <f>TrRoad_act!D134</f>
        <v>4305</v>
      </c>
      <c r="E53" s="110">
        <f>TrRoad_act!E134</f>
        <v>8225</v>
      </c>
      <c r="F53" s="110">
        <f>TrRoad_act!F134</f>
        <v>13048</v>
      </c>
      <c r="G53" s="110">
        <f>TrRoad_act!G134</f>
        <v>11114</v>
      </c>
      <c r="H53" s="110">
        <f>TrRoad_act!H134</f>
        <v>10000</v>
      </c>
      <c r="I53" s="110">
        <f>TrRoad_act!I134</f>
        <v>10688</v>
      </c>
      <c r="J53" s="110">
        <f>TrRoad_act!J134</f>
        <v>16332</v>
      </c>
      <c r="K53" s="110">
        <f>TrRoad_act!K134</f>
        <v>8295</v>
      </c>
      <c r="L53" s="110">
        <f>TrRoad_act!L134</f>
        <v>6483</v>
      </c>
      <c r="M53" s="110">
        <f>TrRoad_act!M134</f>
        <v>23044</v>
      </c>
      <c r="N53" s="110">
        <f>TrRoad_act!N134</f>
        <v>9312</v>
      </c>
      <c r="O53" s="110">
        <f>TrRoad_act!O134</f>
        <v>5862</v>
      </c>
      <c r="P53" s="110">
        <f>TrRoad_act!P134</f>
        <v>10929</v>
      </c>
      <c r="Q53" s="110">
        <f>TrRoad_act!Q134</f>
        <v>21803</v>
      </c>
      <c r="R53" s="110">
        <f>TrRoad_act!R134</f>
        <v>5234</v>
      </c>
      <c r="S53" s="110">
        <f>TrRoad_act!S134</f>
        <v>8201</v>
      </c>
      <c r="T53" s="110">
        <f>TrRoad_act!T134</f>
        <v>14719</v>
      </c>
      <c r="U53" s="110">
        <f>TrRoad_act!U134</f>
        <v>15595</v>
      </c>
      <c r="V53" s="110">
        <f>TrRoad_act!V134</f>
        <v>6685</v>
      </c>
      <c r="W53" s="110">
        <f>TrRoad_act!W134</f>
        <v>17105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41194</v>
      </c>
      <c r="D54" s="102">
        <f>TrRoad_act!D135</f>
        <v>2285</v>
      </c>
      <c r="E54" s="102">
        <f>TrRoad_act!E135</f>
        <v>6524</v>
      </c>
      <c r="F54" s="102">
        <f>TrRoad_act!F135</f>
        <v>8140</v>
      </c>
      <c r="G54" s="102">
        <f>TrRoad_act!G135</f>
        <v>8661</v>
      </c>
      <c r="H54" s="102">
        <f>TrRoad_act!H135</f>
        <v>7580</v>
      </c>
      <c r="I54" s="102">
        <f>TrRoad_act!I135</f>
        <v>7862</v>
      </c>
      <c r="J54" s="102">
        <f>TrRoad_act!J135</f>
        <v>14331</v>
      </c>
      <c r="K54" s="102">
        <f>TrRoad_act!K135</f>
        <v>7504</v>
      </c>
      <c r="L54" s="102">
        <f>TrRoad_act!L135</f>
        <v>4099</v>
      </c>
      <c r="M54" s="102">
        <f>TrRoad_act!M135</f>
        <v>20794</v>
      </c>
      <c r="N54" s="102">
        <f>TrRoad_act!N135</f>
        <v>7184</v>
      </c>
      <c r="O54" s="102">
        <f>TrRoad_act!O135</f>
        <v>2980</v>
      </c>
      <c r="P54" s="102">
        <f>TrRoad_act!P135</f>
        <v>8675</v>
      </c>
      <c r="Q54" s="102">
        <f>TrRoad_act!Q135</f>
        <v>19014</v>
      </c>
      <c r="R54" s="102">
        <f>TrRoad_act!R135</f>
        <v>1399</v>
      </c>
      <c r="S54" s="102">
        <f>TrRoad_act!S135</f>
        <v>5593</v>
      </c>
      <c r="T54" s="102">
        <f>TrRoad_act!T135</f>
        <v>13522</v>
      </c>
      <c r="U54" s="102">
        <f>TrRoad_act!U135</f>
        <v>12792</v>
      </c>
      <c r="V54" s="102">
        <f>TrRoad_act!V135</f>
        <v>4155</v>
      </c>
      <c r="W54" s="102">
        <f>TrRoad_act!W135</f>
        <v>14094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1636</v>
      </c>
      <c r="C55" s="86">
        <f>TrRoad_act!C136</f>
        <v>2099</v>
      </c>
      <c r="D55" s="86">
        <f>TrRoad_act!D136</f>
        <v>2020</v>
      </c>
      <c r="E55" s="86">
        <f>TrRoad_act!E136</f>
        <v>1701</v>
      </c>
      <c r="F55" s="86">
        <f>TrRoad_act!F136</f>
        <v>4908</v>
      </c>
      <c r="G55" s="86">
        <f>TrRoad_act!G136</f>
        <v>2453</v>
      </c>
      <c r="H55" s="86">
        <f>TrRoad_act!H136</f>
        <v>2420</v>
      </c>
      <c r="I55" s="86">
        <f>TrRoad_act!I136</f>
        <v>2826</v>
      </c>
      <c r="J55" s="86">
        <f>TrRoad_act!J136</f>
        <v>2001</v>
      </c>
      <c r="K55" s="86">
        <f>TrRoad_act!K136</f>
        <v>791</v>
      </c>
      <c r="L55" s="86">
        <f>TrRoad_act!L136</f>
        <v>2384</v>
      </c>
      <c r="M55" s="86">
        <f>TrRoad_act!M136</f>
        <v>2250</v>
      </c>
      <c r="N55" s="86">
        <f>TrRoad_act!N136</f>
        <v>2128</v>
      </c>
      <c r="O55" s="86">
        <f>TrRoad_act!O136</f>
        <v>2882</v>
      </c>
      <c r="P55" s="86">
        <f>TrRoad_act!P136</f>
        <v>2254</v>
      </c>
      <c r="Q55" s="86">
        <f>TrRoad_act!Q136</f>
        <v>2789</v>
      </c>
      <c r="R55" s="86">
        <f>TrRoad_act!R136</f>
        <v>3835</v>
      </c>
      <c r="S55" s="86">
        <f>TrRoad_act!S136</f>
        <v>2608</v>
      </c>
      <c r="T55" s="86">
        <f>TrRoad_act!T136</f>
        <v>1197</v>
      </c>
      <c r="U55" s="86">
        <f>TrRoad_act!U136</f>
        <v>2803</v>
      </c>
      <c r="V55" s="86">
        <f>TrRoad_act!V136</f>
        <v>2530</v>
      </c>
      <c r="W55" s="86">
        <f>TrRoad_act!W136</f>
        <v>3011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11866</v>
      </c>
      <c r="C59" s="54">
        <f t="shared" si="0"/>
        <v>36318</v>
      </c>
      <c r="D59" s="54">
        <f t="shared" si="0"/>
        <v>44073</v>
      </c>
      <c r="E59" s="54">
        <f t="shared" si="0"/>
        <v>48393</v>
      </c>
      <c r="F59" s="54">
        <f t="shared" si="0"/>
        <v>61302</v>
      </c>
      <c r="G59" s="54">
        <f t="shared" si="0"/>
        <v>69417</v>
      </c>
      <c r="H59" s="54">
        <f t="shared" si="0"/>
        <v>79487</v>
      </c>
      <c r="I59" s="54">
        <f t="shared" si="0"/>
        <v>86538</v>
      </c>
      <c r="J59" s="54">
        <f t="shared" si="0"/>
        <v>187023</v>
      </c>
      <c r="K59" s="54">
        <f t="shared" si="0"/>
        <v>249810</v>
      </c>
      <c r="L59" s="54">
        <f t="shared" ref="L59" si="1">L60+L75</f>
        <v>334167</v>
      </c>
      <c r="M59" s="54">
        <f t="shared" ref="M59:V59" si="2">M60+M75</f>
        <v>421326</v>
      </c>
      <c r="N59" s="54">
        <f t="shared" si="2"/>
        <v>416602</v>
      </c>
      <c r="O59" s="54">
        <f t="shared" si="2"/>
        <v>453194</v>
      </c>
      <c r="P59" s="54">
        <f t="shared" si="2"/>
        <v>498200</v>
      </c>
      <c r="Q59" s="54">
        <f t="shared" si="2"/>
        <v>568762</v>
      </c>
      <c r="R59" s="54">
        <f t="shared" si="2"/>
        <v>605923</v>
      </c>
      <c r="S59" s="54">
        <f t="shared" si="2"/>
        <v>653913</v>
      </c>
      <c r="T59" s="54">
        <f t="shared" si="2"/>
        <v>884120</v>
      </c>
      <c r="U59" s="54">
        <f t="shared" si="2"/>
        <v>732745</v>
      </c>
      <c r="V59" s="54">
        <f t="shared" si="2"/>
        <v>621740</v>
      </c>
      <c r="W59" s="54">
        <f t="shared" ref="W59" si="3">W60+W75</f>
        <v>660373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11866</v>
      </c>
      <c r="C60" s="28">
        <f t="shared" si="4"/>
        <v>36318</v>
      </c>
      <c r="D60" s="28">
        <f t="shared" si="4"/>
        <v>44073</v>
      </c>
      <c r="E60" s="28">
        <f t="shared" si="4"/>
        <v>47959</v>
      </c>
      <c r="F60" s="28">
        <f t="shared" si="4"/>
        <v>58645</v>
      </c>
      <c r="G60" s="28">
        <f t="shared" si="4"/>
        <v>66075</v>
      </c>
      <c r="H60" s="28">
        <f t="shared" si="4"/>
        <v>76090</v>
      </c>
      <c r="I60" s="28">
        <f t="shared" si="4"/>
        <v>82223</v>
      </c>
      <c r="J60" s="28">
        <f t="shared" si="4"/>
        <v>166169</v>
      </c>
      <c r="K60" s="28">
        <f t="shared" si="4"/>
        <v>206065</v>
      </c>
      <c r="L60" s="28">
        <f t="shared" ref="L60" si="5">L61+L62+L69</f>
        <v>279514</v>
      </c>
      <c r="M60" s="28">
        <f t="shared" ref="M60:V60" si="6">M61+M62+M69</f>
        <v>349610</v>
      </c>
      <c r="N60" s="28">
        <f t="shared" si="6"/>
        <v>347636</v>
      </c>
      <c r="O60" s="28">
        <f t="shared" si="6"/>
        <v>379025</v>
      </c>
      <c r="P60" s="28">
        <f t="shared" si="6"/>
        <v>420484</v>
      </c>
      <c r="Q60" s="28">
        <f t="shared" si="6"/>
        <v>481276</v>
      </c>
      <c r="R60" s="28">
        <f t="shared" si="6"/>
        <v>537303</v>
      </c>
      <c r="S60" s="28">
        <f t="shared" si="6"/>
        <v>572327</v>
      </c>
      <c r="T60" s="28">
        <f t="shared" si="6"/>
        <v>792513</v>
      </c>
      <c r="U60" s="28">
        <f t="shared" si="6"/>
        <v>635832</v>
      </c>
      <c r="V60" s="28">
        <f t="shared" si="6"/>
        <v>543494</v>
      </c>
      <c r="W60" s="28">
        <f t="shared" ref="W60" si="7">W61+W62+W69</f>
        <v>572825</v>
      </c>
      <c r="DA60" s="173" t="s">
        <v>837</v>
      </c>
    </row>
    <row r="61" spans="1:105" ht="11.45" customHeight="1" x14ac:dyDescent="0.25">
      <c r="A61" s="136" t="s">
        <v>180</v>
      </c>
      <c r="B61" s="137">
        <v>8036</v>
      </c>
      <c r="C61" s="137">
        <v>9344</v>
      </c>
      <c r="D61" s="137">
        <v>10724</v>
      </c>
      <c r="E61" s="137">
        <v>12422</v>
      </c>
      <c r="F61" s="137">
        <v>15532</v>
      </c>
      <c r="G61" s="137">
        <v>19327</v>
      </c>
      <c r="H61" s="137">
        <v>20237</v>
      </c>
      <c r="I61" s="137">
        <v>24161</v>
      </c>
      <c r="J61" s="137">
        <v>22691</v>
      </c>
      <c r="K61" s="137">
        <v>24181</v>
      </c>
      <c r="L61" s="137">
        <v>25569</v>
      </c>
      <c r="M61" s="137">
        <v>25452</v>
      </c>
      <c r="N61" s="137">
        <v>24853</v>
      </c>
      <c r="O61" s="137">
        <v>22731</v>
      </c>
      <c r="P61" s="137">
        <v>23508</v>
      </c>
      <c r="Q61" s="137">
        <v>25190</v>
      </c>
      <c r="R61" s="137">
        <v>28187</v>
      </c>
      <c r="S61" s="137">
        <v>25972</v>
      </c>
      <c r="T61" s="137">
        <v>225285</v>
      </c>
      <c r="U61" s="137">
        <v>52967</v>
      </c>
      <c r="V61" s="137">
        <v>47712</v>
      </c>
      <c r="W61" s="137">
        <v>68494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3723</v>
      </c>
      <c r="C62" s="110">
        <f t="shared" si="8"/>
        <v>26974</v>
      </c>
      <c r="D62" s="110">
        <f t="shared" si="8"/>
        <v>33349</v>
      </c>
      <c r="E62" s="110">
        <f t="shared" si="8"/>
        <v>35537</v>
      </c>
      <c r="F62" s="110">
        <f t="shared" si="8"/>
        <v>42990</v>
      </c>
      <c r="G62" s="110">
        <f t="shared" si="8"/>
        <v>46514</v>
      </c>
      <c r="H62" s="110">
        <f t="shared" si="8"/>
        <v>55502</v>
      </c>
      <c r="I62" s="110">
        <f t="shared" si="8"/>
        <v>57528</v>
      </c>
      <c r="J62" s="110">
        <f t="shared" si="8"/>
        <v>142754</v>
      </c>
      <c r="K62" s="110">
        <f t="shared" si="8"/>
        <v>181151</v>
      </c>
      <c r="L62" s="110">
        <f t="shared" ref="L62" si="9">SUM(L63:L68)</f>
        <v>253077</v>
      </c>
      <c r="M62" s="110">
        <f t="shared" ref="M62:V62" si="10">SUM(M63:M68)</f>
        <v>323418</v>
      </c>
      <c r="N62" s="110">
        <f t="shared" si="10"/>
        <v>321806</v>
      </c>
      <c r="O62" s="110">
        <f t="shared" si="10"/>
        <v>355346</v>
      </c>
      <c r="P62" s="110">
        <f t="shared" si="10"/>
        <v>395680</v>
      </c>
      <c r="Q62" s="110">
        <f t="shared" si="10"/>
        <v>454892</v>
      </c>
      <c r="R62" s="110">
        <f t="shared" si="10"/>
        <v>508067</v>
      </c>
      <c r="S62" s="110">
        <f t="shared" si="10"/>
        <v>545230</v>
      </c>
      <c r="T62" s="110">
        <f t="shared" si="10"/>
        <v>565921</v>
      </c>
      <c r="U62" s="110">
        <f t="shared" si="10"/>
        <v>581295</v>
      </c>
      <c r="V62" s="110">
        <f t="shared" si="10"/>
        <v>494456</v>
      </c>
      <c r="W62" s="110">
        <f t="shared" ref="W62" si="11">SUM(W63:W68)</f>
        <v>502702</v>
      </c>
      <c r="DA62" s="176" t="s">
        <v>839</v>
      </c>
    </row>
    <row r="63" spans="1:105" ht="11.45" customHeight="1" x14ac:dyDescent="0.25">
      <c r="A63" s="111" t="s">
        <v>110</v>
      </c>
      <c r="B63" s="84">
        <v>3017</v>
      </c>
      <c r="C63" s="84">
        <v>24779</v>
      </c>
      <c r="D63" s="84">
        <v>32914</v>
      </c>
      <c r="E63" s="84">
        <v>35537</v>
      </c>
      <c r="F63" s="84">
        <v>42990</v>
      </c>
      <c r="G63" s="84">
        <v>46385</v>
      </c>
      <c r="H63" s="84">
        <v>55283</v>
      </c>
      <c r="I63" s="84">
        <v>57335</v>
      </c>
      <c r="J63" s="84">
        <v>61630</v>
      </c>
      <c r="K63" s="84">
        <v>70716</v>
      </c>
      <c r="L63" s="84">
        <v>88008</v>
      </c>
      <c r="M63" s="84">
        <v>104742</v>
      </c>
      <c r="N63" s="84">
        <v>120303</v>
      </c>
      <c r="O63" s="84">
        <v>142748</v>
      </c>
      <c r="P63" s="84">
        <v>162311</v>
      </c>
      <c r="Q63" s="84">
        <v>183909</v>
      </c>
      <c r="R63" s="84">
        <v>246790</v>
      </c>
      <c r="S63" s="84">
        <v>288194</v>
      </c>
      <c r="T63" s="84">
        <v>352784</v>
      </c>
      <c r="U63" s="84">
        <v>381346</v>
      </c>
      <c r="V63" s="84">
        <v>288559</v>
      </c>
      <c r="W63" s="84">
        <v>309933</v>
      </c>
      <c r="DA63" s="171" t="s">
        <v>840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80886</v>
      </c>
      <c r="K64" s="84">
        <v>110240</v>
      </c>
      <c r="L64" s="84">
        <v>164891</v>
      </c>
      <c r="M64" s="84">
        <v>211735</v>
      </c>
      <c r="N64" s="84">
        <v>196142</v>
      </c>
      <c r="O64" s="84">
        <v>211673</v>
      </c>
      <c r="P64" s="84">
        <v>225689</v>
      </c>
      <c r="Q64" s="84">
        <v>249060</v>
      </c>
      <c r="R64" s="84">
        <v>250013</v>
      </c>
      <c r="S64" s="84">
        <v>240195</v>
      </c>
      <c r="T64" s="84">
        <v>194225</v>
      </c>
      <c r="U64" s="84">
        <v>177015</v>
      </c>
      <c r="V64" s="84">
        <v>154443</v>
      </c>
      <c r="W64" s="84">
        <v>118236</v>
      </c>
      <c r="DA64" s="171" t="s">
        <v>841</v>
      </c>
    </row>
    <row r="65" spans="1:105" ht="11.45" customHeight="1" x14ac:dyDescent="0.25">
      <c r="A65" s="111" t="s">
        <v>112</v>
      </c>
      <c r="B65" s="84">
        <v>706</v>
      </c>
      <c r="C65" s="84">
        <v>2195</v>
      </c>
      <c r="D65" s="84">
        <v>435</v>
      </c>
      <c r="E65" s="84">
        <v>0</v>
      </c>
      <c r="F65" s="84">
        <v>0</v>
      </c>
      <c r="G65" s="84">
        <v>129</v>
      </c>
      <c r="H65" s="84">
        <v>219</v>
      </c>
      <c r="I65" s="84">
        <v>193</v>
      </c>
      <c r="J65" s="84">
        <v>238</v>
      </c>
      <c r="K65" s="84">
        <v>195</v>
      </c>
      <c r="L65" s="84">
        <v>178</v>
      </c>
      <c r="M65" s="84">
        <v>6941</v>
      </c>
      <c r="N65" s="84">
        <v>5361</v>
      </c>
      <c r="O65" s="84">
        <v>925</v>
      </c>
      <c r="P65" s="84">
        <v>6769</v>
      </c>
      <c r="Q65" s="84">
        <v>17782</v>
      </c>
      <c r="R65" s="84">
        <v>73</v>
      </c>
      <c r="S65" s="84">
        <v>82</v>
      </c>
      <c r="T65" s="84">
        <v>51</v>
      </c>
      <c r="U65" s="84">
        <v>165</v>
      </c>
      <c r="V65" s="84">
        <v>987</v>
      </c>
      <c r="W65" s="84">
        <v>2088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400</v>
      </c>
      <c r="Q66" s="84">
        <v>540</v>
      </c>
      <c r="R66" s="84">
        <v>1927</v>
      </c>
      <c r="S66" s="84">
        <v>2383</v>
      </c>
      <c r="T66" s="84">
        <v>4240</v>
      </c>
      <c r="U66" s="84">
        <v>5023</v>
      </c>
      <c r="V66" s="84">
        <v>2923</v>
      </c>
      <c r="W66" s="84">
        <v>995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511</v>
      </c>
      <c r="Q67" s="84">
        <v>2794</v>
      </c>
      <c r="R67" s="84">
        <v>7253</v>
      </c>
      <c r="S67" s="84">
        <v>11598</v>
      </c>
      <c r="T67" s="84">
        <v>10705</v>
      </c>
      <c r="U67" s="84">
        <v>8972</v>
      </c>
      <c r="V67" s="84">
        <v>32926</v>
      </c>
      <c r="W67" s="84">
        <v>48676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807</v>
      </c>
      <c r="R68" s="84">
        <v>2011</v>
      </c>
      <c r="S68" s="84">
        <v>2778</v>
      </c>
      <c r="T68" s="84">
        <v>3916</v>
      </c>
      <c r="U68" s="84">
        <v>8774</v>
      </c>
      <c r="V68" s="84">
        <v>14618</v>
      </c>
      <c r="W68" s="84">
        <v>22774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107</v>
      </c>
      <c r="C69" s="110">
        <f t="shared" si="12"/>
        <v>0</v>
      </c>
      <c r="D69" s="110">
        <f t="shared" si="12"/>
        <v>0</v>
      </c>
      <c r="E69" s="110">
        <f t="shared" si="12"/>
        <v>0</v>
      </c>
      <c r="F69" s="110">
        <f t="shared" si="12"/>
        <v>123</v>
      </c>
      <c r="G69" s="110">
        <f t="shared" si="12"/>
        <v>234</v>
      </c>
      <c r="H69" s="110">
        <f t="shared" si="12"/>
        <v>351</v>
      </c>
      <c r="I69" s="110">
        <f t="shared" si="12"/>
        <v>534</v>
      </c>
      <c r="J69" s="110">
        <f t="shared" si="12"/>
        <v>724</v>
      </c>
      <c r="K69" s="110">
        <f t="shared" si="12"/>
        <v>733</v>
      </c>
      <c r="L69" s="110">
        <f t="shared" ref="L69" si="13">SUM(L70:L74)</f>
        <v>868</v>
      </c>
      <c r="M69" s="110">
        <f t="shared" ref="M69:V69" si="14">SUM(M70:M74)</f>
        <v>740</v>
      </c>
      <c r="N69" s="110">
        <f t="shared" si="14"/>
        <v>977</v>
      </c>
      <c r="O69" s="110">
        <f t="shared" si="14"/>
        <v>948</v>
      </c>
      <c r="P69" s="110">
        <f t="shared" si="14"/>
        <v>1296</v>
      </c>
      <c r="Q69" s="110">
        <f t="shared" si="14"/>
        <v>1194</v>
      </c>
      <c r="R69" s="110">
        <f t="shared" si="14"/>
        <v>1049</v>
      </c>
      <c r="S69" s="110">
        <f t="shared" si="14"/>
        <v>1125</v>
      </c>
      <c r="T69" s="110">
        <f t="shared" si="14"/>
        <v>1307</v>
      </c>
      <c r="U69" s="110">
        <f t="shared" si="14"/>
        <v>1570</v>
      </c>
      <c r="V69" s="110">
        <f t="shared" si="14"/>
        <v>1326</v>
      </c>
      <c r="W69" s="110">
        <f t="shared" ref="W69" si="15">SUM(W70:W74)</f>
        <v>1629</v>
      </c>
      <c r="DA69" s="176" t="s">
        <v>846</v>
      </c>
    </row>
    <row r="70" spans="1:105" ht="11.45" customHeight="1" x14ac:dyDescent="0.25">
      <c r="A70" s="111" t="s">
        <v>110</v>
      </c>
      <c r="B70" s="102">
        <v>107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1</v>
      </c>
      <c r="L70" s="102">
        <v>2</v>
      </c>
      <c r="M70" s="102">
        <v>2</v>
      </c>
      <c r="N70" s="102">
        <v>0</v>
      </c>
      <c r="O70" s="102">
        <v>0</v>
      </c>
      <c r="P70" s="102">
        <v>0</v>
      </c>
      <c r="Q70" s="102">
        <v>0</v>
      </c>
      <c r="R70" s="102">
        <v>1</v>
      </c>
      <c r="S70" s="102">
        <v>0</v>
      </c>
      <c r="T70" s="102">
        <v>0</v>
      </c>
      <c r="U70" s="102">
        <v>1</v>
      </c>
      <c r="V70" s="102">
        <v>0</v>
      </c>
      <c r="W70" s="102">
        <v>0</v>
      </c>
      <c r="DA70" s="175" t="s">
        <v>847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0</v>
      </c>
      <c r="F71" s="102">
        <v>123</v>
      </c>
      <c r="G71" s="102">
        <v>234</v>
      </c>
      <c r="H71" s="102">
        <v>351</v>
      </c>
      <c r="I71" s="102">
        <v>534</v>
      </c>
      <c r="J71" s="102">
        <v>724</v>
      </c>
      <c r="K71" s="102">
        <v>732</v>
      </c>
      <c r="L71" s="102">
        <v>866</v>
      </c>
      <c r="M71" s="102">
        <v>738</v>
      </c>
      <c r="N71" s="102">
        <v>977</v>
      </c>
      <c r="O71" s="102">
        <v>948</v>
      </c>
      <c r="P71" s="102">
        <v>1296</v>
      </c>
      <c r="Q71" s="102">
        <v>1194</v>
      </c>
      <c r="R71" s="102">
        <v>1048</v>
      </c>
      <c r="S71" s="102">
        <v>1125</v>
      </c>
      <c r="T71" s="102">
        <v>1293</v>
      </c>
      <c r="U71" s="102">
        <v>1526</v>
      </c>
      <c r="V71" s="102">
        <v>1299</v>
      </c>
      <c r="W71" s="102">
        <v>1482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4</v>
      </c>
      <c r="U73" s="102">
        <v>6</v>
      </c>
      <c r="V73" s="102">
        <v>13</v>
      </c>
      <c r="W73" s="102">
        <v>118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0</v>
      </c>
      <c r="S74" s="102">
        <v>0</v>
      </c>
      <c r="T74" s="102">
        <v>10</v>
      </c>
      <c r="U74" s="102">
        <v>37</v>
      </c>
      <c r="V74" s="102">
        <v>14</v>
      </c>
      <c r="W74" s="102">
        <v>29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0</v>
      </c>
      <c r="D75" s="28">
        <f t="shared" si="16"/>
        <v>0</v>
      </c>
      <c r="E75" s="28">
        <f t="shared" si="16"/>
        <v>434</v>
      </c>
      <c r="F75" s="28">
        <f t="shared" si="16"/>
        <v>2657</v>
      </c>
      <c r="G75" s="28">
        <f t="shared" si="16"/>
        <v>3342</v>
      </c>
      <c r="H75" s="28">
        <f t="shared" si="16"/>
        <v>3397</v>
      </c>
      <c r="I75" s="28">
        <f t="shared" si="16"/>
        <v>4315</v>
      </c>
      <c r="J75" s="28">
        <f t="shared" si="16"/>
        <v>20854</v>
      </c>
      <c r="K75" s="28">
        <f t="shared" si="16"/>
        <v>43745</v>
      </c>
      <c r="L75" s="28">
        <f t="shared" ref="L75" si="17">L76+L82</f>
        <v>54653</v>
      </c>
      <c r="M75" s="28">
        <f t="shared" ref="M75:V75" si="18">M76+M82</f>
        <v>71716</v>
      </c>
      <c r="N75" s="28">
        <f t="shared" si="18"/>
        <v>68966</v>
      </c>
      <c r="O75" s="28">
        <f t="shared" si="18"/>
        <v>74169</v>
      </c>
      <c r="P75" s="28">
        <f t="shared" si="18"/>
        <v>77716</v>
      </c>
      <c r="Q75" s="28">
        <f t="shared" si="18"/>
        <v>87486</v>
      </c>
      <c r="R75" s="28">
        <f t="shared" si="18"/>
        <v>68620</v>
      </c>
      <c r="S75" s="28">
        <f t="shared" si="18"/>
        <v>81586</v>
      </c>
      <c r="T75" s="28">
        <f t="shared" si="18"/>
        <v>91607</v>
      </c>
      <c r="U75" s="28">
        <f t="shared" si="18"/>
        <v>96913</v>
      </c>
      <c r="V75" s="28">
        <f t="shared" si="18"/>
        <v>78246</v>
      </c>
      <c r="W75" s="28">
        <f t="shared" ref="W75" si="19">W76+W82</f>
        <v>87548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0</v>
      </c>
      <c r="F76" s="137">
        <f t="shared" si="20"/>
        <v>0</v>
      </c>
      <c r="G76" s="137">
        <f t="shared" si="20"/>
        <v>0</v>
      </c>
      <c r="H76" s="137">
        <f t="shared" si="20"/>
        <v>0</v>
      </c>
      <c r="I76" s="137">
        <f t="shared" si="20"/>
        <v>0</v>
      </c>
      <c r="J76" s="137">
        <f t="shared" si="20"/>
        <v>11449</v>
      </c>
      <c r="K76" s="137">
        <f t="shared" si="20"/>
        <v>38480</v>
      </c>
      <c r="L76" s="137">
        <f t="shared" ref="L76" si="21">SUM(L77:L81)</f>
        <v>50301</v>
      </c>
      <c r="M76" s="137">
        <f t="shared" ref="M76:V76" si="22">SUM(M77:M81)</f>
        <v>54543</v>
      </c>
      <c r="N76" s="137">
        <f t="shared" si="22"/>
        <v>61724</v>
      </c>
      <c r="O76" s="137">
        <f t="shared" si="22"/>
        <v>69594</v>
      </c>
      <c r="P76" s="137">
        <f t="shared" si="22"/>
        <v>68300</v>
      </c>
      <c r="Q76" s="137">
        <f t="shared" si="22"/>
        <v>67692</v>
      </c>
      <c r="R76" s="137">
        <f t="shared" si="22"/>
        <v>64224</v>
      </c>
      <c r="S76" s="137">
        <f t="shared" si="22"/>
        <v>73955</v>
      </c>
      <c r="T76" s="137">
        <f t="shared" si="22"/>
        <v>77176</v>
      </c>
      <c r="U76" s="137">
        <f t="shared" si="22"/>
        <v>81593</v>
      </c>
      <c r="V76" s="137">
        <f t="shared" si="22"/>
        <v>71674</v>
      </c>
      <c r="W76" s="137">
        <f t="shared" ref="W76" si="23">SUM(W77:W81)</f>
        <v>70443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786</v>
      </c>
      <c r="P77" s="84">
        <v>1184</v>
      </c>
      <c r="Q77" s="84">
        <v>1699</v>
      </c>
      <c r="R77" s="84">
        <v>2913</v>
      </c>
      <c r="S77" s="84">
        <v>4190</v>
      </c>
      <c r="T77" s="84">
        <v>6998</v>
      </c>
      <c r="U77" s="84">
        <v>5447</v>
      </c>
      <c r="V77" s="84">
        <v>3497</v>
      </c>
      <c r="W77" s="84">
        <v>3550</v>
      </c>
      <c r="DA77" s="171" t="s">
        <v>854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10726</v>
      </c>
      <c r="K78" s="84">
        <v>37281</v>
      </c>
      <c r="L78" s="84">
        <v>49119</v>
      </c>
      <c r="M78" s="84">
        <v>51956</v>
      </c>
      <c r="N78" s="84">
        <v>59980</v>
      </c>
      <c r="O78" s="84">
        <v>68712</v>
      </c>
      <c r="P78" s="84">
        <v>67006</v>
      </c>
      <c r="Q78" s="84">
        <v>65918</v>
      </c>
      <c r="R78" s="84">
        <v>60835</v>
      </c>
      <c r="S78" s="84">
        <v>69015</v>
      </c>
      <c r="T78" s="84">
        <v>69047</v>
      </c>
      <c r="U78" s="84">
        <v>74457</v>
      </c>
      <c r="V78" s="84">
        <v>65987</v>
      </c>
      <c r="W78" s="84">
        <v>65276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723</v>
      </c>
      <c r="K79" s="84">
        <v>1199</v>
      </c>
      <c r="L79" s="84">
        <v>1182</v>
      </c>
      <c r="M79" s="84">
        <v>2587</v>
      </c>
      <c r="N79" s="84">
        <v>1636</v>
      </c>
      <c r="O79" s="84">
        <v>9</v>
      </c>
      <c r="P79" s="84">
        <v>26</v>
      </c>
      <c r="Q79" s="84">
        <v>11</v>
      </c>
      <c r="R79" s="84">
        <v>4</v>
      </c>
      <c r="S79" s="84">
        <v>5</v>
      </c>
      <c r="T79" s="84">
        <v>9</v>
      </c>
      <c r="U79" s="84">
        <v>6</v>
      </c>
      <c r="V79" s="84">
        <v>759</v>
      </c>
      <c r="W79" s="84">
        <v>251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307</v>
      </c>
      <c r="S80" s="84">
        <v>568</v>
      </c>
      <c r="T80" s="84">
        <v>867</v>
      </c>
      <c r="U80" s="84">
        <v>1275</v>
      </c>
      <c r="V80" s="84">
        <v>979</v>
      </c>
      <c r="W80" s="84">
        <v>660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108</v>
      </c>
      <c r="O81" s="84">
        <v>87</v>
      </c>
      <c r="P81" s="84">
        <v>84</v>
      </c>
      <c r="Q81" s="84">
        <v>64</v>
      </c>
      <c r="R81" s="84">
        <v>165</v>
      </c>
      <c r="S81" s="84">
        <v>177</v>
      </c>
      <c r="T81" s="84">
        <v>255</v>
      </c>
      <c r="U81" s="84">
        <v>408</v>
      </c>
      <c r="V81" s="84">
        <v>452</v>
      </c>
      <c r="W81" s="84">
        <v>706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434</v>
      </c>
      <c r="F82" s="110">
        <f t="shared" si="24"/>
        <v>2657</v>
      </c>
      <c r="G82" s="110">
        <f t="shared" si="24"/>
        <v>3342</v>
      </c>
      <c r="H82" s="110">
        <f t="shared" si="24"/>
        <v>3397</v>
      </c>
      <c r="I82" s="110">
        <f t="shared" si="24"/>
        <v>4315</v>
      </c>
      <c r="J82" s="110">
        <f t="shared" si="24"/>
        <v>9405</v>
      </c>
      <c r="K82" s="110">
        <f t="shared" si="24"/>
        <v>5265</v>
      </c>
      <c r="L82" s="110">
        <f t="shared" ref="L82" si="25">SUM(L83:L84)</f>
        <v>4352</v>
      </c>
      <c r="M82" s="110">
        <f t="shared" ref="M82:V82" si="26">SUM(M83:M84)</f>
        <v>17173</v>
      </c>
      <c r="N82" s="110">
        <f t="shared" si="26"/>
        <v>7242</v>
      </c>
      <c r="O82" s="110">
        <f t="shared" si="26"/>
        <v>4575</v>
      </c>
      <c r="P82" s="110">
        <f t="shared" si="26"/>
        <v>9416</v>
      </c>
      <c r="Q82" s="110">
        <f t="shared" si="26"/>
        <v>19794</v>
      </c>
      <c r="R82" s="110">
        <f t="shared" si="26"/>
        <v>4396</v>
      </c>
      <c r="S82" s="110">
        <f t="shared" si="26"/>
        <v>7631</v>
      </c>
      <c r="T82" s="110">
        <f t="shared" si="26"/>
        <v>14431</v>
      </c>
      <c r="U82" s="110">
        <f t="shared" si="26"/>
        <v>15320</v>
      </c>
      <c r="V82" s="110">
        <f t="shared" si="26"/>
        <v>6572</v>
      </c>
      <c r="W82" s="110">
        <f t="shared" ref="W82" si="27">SUM(W83:W84)</f>
        <v>17105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434</v>
      </c>
      <c r="F83" s="102">
        <v>2657</v>
      </c>
      <c r="G83" s="102">
        <v>3342</v>
      </c>
      <c r="H83" s="102">
        <v>3397</v>
      </c>
      <c r="I83" s="102">
        <v>4025</v>
      </c>
      <c r="J83" s="102">
        <v>8252</v>
      </c>
      <c r="K83" s="102">
        <v>4792</v>
      </c>
      <c r="L83" s="102">
        <v>2865</v>
      </c>
      <c r="M83" s="102">
        <v>15710</v>
      </c>
      <c r="N83" s="102">
        <v>5801</v>
      </c>
      <c r="O83" s="102">
        <v>2545</v>
      </c>
      <c r="P83" s="102">
        <v>7761</v>
      </c>
      <c r="Q83" s="102">
        <v>17657</v>
      </c>
      <c r="R83" s="102">
        <v>1337</v>
      </c>
      <c r="S83" s="102">
        <v>5461</v>
      </c>
      <c r="T83" s="102">
        <v>13389</v>
      </c>
      <c r="U83" s="102">
        <v>12763</v>
      </c>
      <c r="V83" s="102">
        <v>4155</v>
      </c>
      <c r="W83" s="102">
        <v>14094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290</v>
      </c>
      <c r="J84" s="86">
        <v>1153</v>
      </c>
      <c r="K84" s="86">
        <v>473</v>
      </c>
      <c r="L84" s="86">
        <v>1487</v>
      </c>
      <c r="M84" s="86">
        <v>1463</v>
      </c>
      <c r="N84" s="86">
        <v>1441</v>
      </c>
      <c r="O84" s="86">
        <v>2030</v>
      </c>
      <c r="P84" s="86">
        <v>1655</v>
      </c>
      <c r="Q84" s="86">
        <v>2137</v>
      </c>
      <c r="R84" s="86">
        <v>3059</v>
      </c>
      <c r="S84" s="86">
        <v>2170</v>
      </c>
      <c r="T84" s="86">
        <v>1042</v>
      </c>
      <c r="U84" s="86">
        <v>2557</v>
      </c>
      <c r="V84" s="86">
        <v>2417</v>
      </c>
      <c r="W84" s="86">
        <v>3011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3.8675761774471273</v>
      </c>
      <c r="C90" s="141">
        <v>3.8259812971290845</v>
      </c>
      <c r="D90" s="141">
        <v>3.7862697585906666</v>
      </c>
      <c r="E90" s="141">
        <v>3.7450924510941825</v>
      </c>
      <c r="F90" s="141">
        <v>3.6896466847955685</v>
      </c>
      <c r="G90" s="141">
        <v>3.6401561052412577</v>
      </c>
      <c r="H90" s="141">
        <v>3.586110538855567</v>
      </c>
      <c r="I90" s="141">
        <v>3.5300118572911421</v>
      </c>
      <c r="J90" s="141">
        <v>3.4781713196249546</v>
      </c>
      <c r="K90" s="141">
        <v>3.4191039089436872</v>
      </c>
      <c r="L90" s="141">
        <v>3.3772259852803055</v>
      </c>
      <c r="M90" s="141">
        <v>3.3092435650310783</v>
      </c>
      <c r="N90" s="141">
        <v>3.2444931157545467</v>
      </c>
      <c r="O90" s="141">
        <v>3.2095769905820077</v>
      </c>
      <c r="P90" s="141">
        <v>3.1489826910713554</v>
      </c>
      <c r="Q90" s="141">
        <v>3.1099244266199659</v>
      </c>
      <c r="R90" s="141">
        <v>3.06602925429846</v>
      </c>
      <c r="S90" s="141">
        <v>3.0211406134163528</v>
      </c>
      <c r="T90" s="141">
        <v>2.7680133816972057</v>
      </c>
      <c r="U90" s="141">
        <v>2.7221211872317501</v>
      </c>
      <c r="V90" s="141">
        <v>2.6959869844610007</v>
      </c>
      <c r="W90" s="141">
        <v>2.4450836998534182</v>
      </c>
      <c r="DA90" s="174" t="s">
        <v>862</v>
      </c>
    </row>
    <row r="91" spans="1:105" ht="11.45" customHeight="1" x14ac:dyDescent="0.25">
      <c r="A91" s="109" t="s">
        <v>20</v>
      </c>
      <c r="B91" s="130">
        <v>7.2224644638580031</v>
      </c>
      <c r="C91" s="130">
        <v>7.0695865756505025</v>
      </c>
      <c r="D91" s="130">
        <v>6.9977886793315429</v>
      </c>
      <c r="E91" s="130">
        <v>6.918768905093942</v>
      </c>
      <c r="F91" s="130">
        <v>6.8352461591874514</v>
      </c>
      <c r="G91" s="130">
        <v>6.746220364497006</v>
      </c>
      <c r="H91" s="130">
        <v>6.6514734516399496</v>
      </c>
      <c r="I91" s="130">
        <v>6.5581546238730084</v>
      </c>
      <c r="J91" s="130">
        <v>6.4518758388281858</v>
      </c>
      <c r="K91" s="130">
        <v>6.3664329896034397</v>
      </c>
      <c r="L91" s="130">
        <v>6.2475605001505352</v>
      </c>
      <c r="M91" s="130">
        <v>6.1238933326605469</v>
      </c>
      <c r="N91" s="130">
        <v>6.0092603849444126</v>
      </c>
      <c r="O91" s="130">
        <v>5.8993145178627024</v>
      </c>
      <c r="P91" s="130">
        <v>5.7922553172639075</v>
      </c>
      <c r="Q91" s="130">
        <v>5.686952714065284</v>
      </c>
      <c r="R91" s="130">
        <v>5.5492723380089437</v>
      </c>
      <c r="S91" s="130">
        <v>5.4232223245026097</v>
      </c>
      <c r="T91" s="130">
        <v>5.3442355200170892</v>
      </c>
      <c r="U91" s="130">
        <v>5.2672608156329037</v>
      </c>
      <c r="V91" s="130">
        <v>5.1639424497676716</v>
      </c>
      <c r="W91" s="130">
        <v>5.0990976557253838</v>
      </c>
      <c r="DA91" s="176" t="s">
        <v>863</v>
      </c>
    </row>
    <row r="92" spans="1:105" ht="11.45" customHeight="1" x14ac:dyDescent="0.25">
      <c r="A92" s="111" t="s">
        <v>110</v>
      </c>
      <c r="B92" s="96">
        <v>7.3332436566571095</v>
      </c>
      <c r="C92" s="96">
        <v>7.235538601393281</v>
      </c>
      <c r="D92" s="96">
        <v>7.1967566265744924</v>
      </c>
      <c r="E92" s="96">
        <v>7.1556920673314872</v>
      </c>
      <c r="F92" s="96">
        <v>7.1067248308805677</v>
      </c>
      <c r="G92" s="96">
        <v>7.0551260889574126</v>
      </c>
      <c r="H92" s="96">
        <v>6.992806890955972</v>
      </c>
      <c r="I92" s="96">
        <v>6.9407117092649875</v>
      </c>
      <c r="J92" s="96">
        <v>6.8684679238502788</v>
      </c>
      <c r="K92" s="96">
        <v>6.7728337044544222</v>
      </c>
      <c r="L92" s="96">
        <v>6.6500130067253256</v>
      </c>
      <c r="M92" s="96">
        <v>6.5183606002605856</v>
      </c>
      <c r="N92" s="96">
        <v>6.3754047923934989</v>
      </c>
      <c r="O92" s="96">
        <v>6.2187360098064728</v>
      </c>
      <c r="P92" s="96">
        <v>6.0823668980183188</v>
      </c>
      <c r="Q92" s="96">
        <v>5.9343905913236235</v>
      </c>
      <c r="R92" s="96">
        <v>5.7626943422311472</v>
      </c>
      <c r="S92" s="96">
        <v>5.6095300509610011</v>
      </c>
      <c r="T92" s="96">
        <v>5.482445032880972</v>
      </c>
      <c r="U92" s="96">
        <v>5.415745226355634</v>
      </c>
      <c r="V92" s="96">
        <v>5.3268659651955872</v>
      </c>
      <c r="W92" s="96">
        <v>5.2591871568537405</v>
      </c>
      <c r="DA92" s="171" t="s">
        <v>864</v>
      </c>
    </row>
    <row r="93" spans="1:105" ht="11.45" customHeight="1" x14ac:dyDescent="0.25">
      <c r="A93" s="111" t="s">
        <v>111</v>
      </c>
      <c r="B93" s="96">
        <v>7.0363554982900931</v>
      </c>
      <c r="C93" s="96">
        <v>6.7325540577756193</v>
      </c>
      <c r="D93" s="96">
        <v>6.6216859615457109</v>
      </c>
      <c r="E93" s="96">
        <v>6.5107290500440227</v>
      </c>
      <c r="F93" s="96">
        <v>6.4128203896714027</v>
      </c>
      <c r="G93" s="96">
        <v>6.315667396941798</v>
      </c>
      <c r="H93" s="96">
        <v>6.2335008677970798</v>
      </c>
      <c r="I93" s="96">
        <v>6.1526950873326882</v>
      </c>
      <c r="J93" s="96">
        <v>6.0653929690110857</v>
      </c>
      <c r="K93" s="96">
        <v>6.00370678726485</v>
      </c>
      <c r="L93" s="96">
        <v>5.9000149083609461</v>
      </c>
      <c r="M93" s="96">
        <v>5.7767333193534762</v>
      </c>
      <c r="N93" s="96">
        <v>5.68232140187515</v>
      </c>
      <c r="O93" s="96">
        <v>5.5927707860155671</v>
      </c>
      <c r="P93" s="96">
        <v>5.4877751747562842</v>
      </c>
      <c r="Q93" s="96">
        <v>5.389078423214996</v>
      </c>
      <c r="R93" s="96">
        <v>5.2678759319922994</v>
      </c>
      <c r="S93" s="96">
        <v>5.1579906168770693</v>
      </c>
      <c r="T93" s="96">
        <v>5.1137981477111287</v>
      </c>
      <c r="U93" s="96">
        <v>5.0297171157916694</v>
      </c>
      <c r="V93" s="96">
        <v>4.9400700781716189</v>
      </c>
      <c r="W93" s="96">
        <v>4.9105587282864702</v>
      </c>
      <c r="DA93" s="171" t="s">
        <v>865</v>
      </c>
    </row>
    <row r="94" spans="1:105" ht="11.45" customHeight="1" x14ac:dyDescent="0.25">
      <c r="A94" s="111" t="s">
        <v>112</v>
      </c>
      <c r="B94" s="96">
        <v>7.9853718382634788</v>
      </c>
      <c r="C94" s="96">
        <v>7.6441368556869724</v>
      </c>
      <c r="D94" s="96">
        <v>7.6080558718200173</v>
      </c>
      <c r="E94" s="96">
        <v>7.5956636457707774</v>
      </c>
      <c r="F94" s="96">
        <v>7.5694045879826009</v>
      </c>
      <c r="G94" s="96">
        <v>7.5408188235410689</v>
      </c>
      <c r="H94" s="96">
        <v>7.5157953517179106</v>
      </c>
      <c r="I94" s="96">
        <v>7.485507972055073</v>
      </c>
      <c r="J94" s="96">
        <v>7.4608154950613157</v>
      </c>
      <c r="K94" s="96">
        <v>7.4284104671975291</v>
      </c>
      <c r="L94" s="96">
        <v>7.3718583958666155</v>
      </c>
      <c r="M94" s="96">
        <v>7.2235736613807848</v>
      </c>
      <c r="N94" s="96">
        <v>7.1394564625220136</v>
      </c>
      <c r="O94" s="96">
        <v>7.0787377226732735</v>
      </c>
      <c r="P94" s="96">
        <v>6.9445050335913248</v>
      </c>
      <c r="Q94" s="96">
        <v>6.4016407178582133</v>
      </c>
      <c r="R94" s="96">
        <v>6.3158944085485835</v>
      </c>
      <c r="S94" s="96">
        <v>6.3032889165298815</v>
      </c>
      <c r="T94" s="96">
        <v>6.2935298177128383</v>
      </c>
      <c r="U94" s="96">
        <v>6.2844064602708558</v>
      </c>
      <c r="V94" s="96">
        <v>6.2326740853656437</v>
      </c>
      <c r="W94" s="96">
        <v>6.1170100148772582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8.9677818856312737</v>
      </c>
      <c r="G95" s="96">
        <v>8.9423848505829344</v>
      </c>
      <c r="H95" s="96">
        <v>8.9338207704793717</v>
      </c>
      <c r="I95" s="96">
        <v>8.9311862062221739</v>
      </c>
      <c r="J95" s="96">
        <v>8.9272852480350178</v>
      </c>
      <c r="K95" s="96">
        <v>8.9248689112282964</v>
      </c>
      <c r="L95" s="96">
        <v>8.9242460689595742</v>
      </c>
      <c r="M95" s="96">
        <v>8.7582929535477341</v>
      </c>
      <c r="N95" s="96">
        <v>8.2875837456479271</v>
      </c>
      <c r="O95" s="96">
        <v>7.6421505137757304</v>
      </c>
      <c r="P95" s="96">
        <v>6.4631707954423376</v>
      </c>
      <c r="Q95" s="96">
        <v>6.299687999920093</v>
      </c>
      <c r="R95" s="96">
        <v>6.1628221220236066</v>
      </c>
      <c r="S95" s="96">
        <v>6.0725531526938648</v>
      </c>
      <c r="T95" s="96">
        <v>6.0617542554989932</v>
      </c>
      <c r="U95" s="96">
        <v>5.8215586838885081</v>
      </c>
      <c r="V95" s="96">
        <v>5.6857492574033746</v>
      </c>
      <c r="W95" s="96">
        <v>5.6283853194119553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3.3025380460809304</v>
      </c>
      <c r="N96" s="96">
        <v>2.4397635360030909</v>
      </c>
      <c r="O96" s="96">
        <v>2.6483700049395278</v>
      </c>
      <c r="P96" s="96">
        <v>2.9882060171046949</v>
      </c>
      <c r="Q96" s="96">
        <v>3.4981934079890289</v>
      </c>
      <c r="R96" s="96">
        <v>3.6599666836048512</v>
      </c>
      <c r="S96" s="96">
        <v>3.6177132829658225</v>
      </c>
      <c r="T96" s="96">
        <v>3.5438223509314479</v>
      </c>
      <c r="U96" s="96">
        <v>3.4334727839705699</v>
      </c>
      <c r="V96" s="96">
        <v>3.7008092607648821</v>
      </c>
      <c r="W96" s="96">
        <v>3.443970349437286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1.2236579000796759</v>
      </c>
      <c r="K97" s="96">
        <v>1.2227848345780585</v>
      </c>
      <c r="L97" s="96">
        <v>1.2057844804402047</v>
      </c>
      <c r="M97" s="96">
        <v>1.2037833190025795</v>
      </c>
      <c r="N97" s="96">
        <v>1.2037833190025797</v>
      </c>
      <c r="O97" s="96">
        <v>1.2242505202827694</v>
      </c>
      <c r="P97" s="96">
        <v>1.2310292960362299</v>
      </c>
      <c r="Q97" s="96">
        <v>1.4063644395159072</v>
      </c>
      <c r="R97" s="96">
        <v>1.4334031228389876</v>
      </c>
      <c r="S97" s="96">
        <v>1.4425153729552025</v>
      </c>
      <c r="T97" s="96">
        <v>1.5306579607608626</v>
      </c>
      <c r="U97" s="96">
        <v>1.6287462461744104</v>
      </c>
      <c r="V97" s="96">
        <v>1.6133305841831149</v>
      </c>
      <c r="W97" s="96">
        <v>1.607752188673006</v>
      </c>
      <c r="DA97" s="171" t="s">
        <v>869</v>
      </c>
    </row>
    <row r="98" spans="1:105" ht="11.45" customHeight="1" x14ac:dyDescent="0.25">
      <c r="A98" s="109" t="s">
        <v>21</v>
      </c>
      <c r="B98" s="130">
        <v>57.041257945080176</v>
      </c>
      <c r="C98" s="130">
        <v>55.283319305394144</v>
      </c>
      <c r="D98" s="130">
        <v>54.361054629023165</v>
      </c>
      <c r="E98" s="130">
        <v>53.601073451956267</v>
      </c>
      <c r="F98" s="130">
        <v>52.845796205717214</v>
      </c>
      <c r="G98" s="130">
        <v>52.044802078288981</v>
      </c>
      <c r="H98" s="130">
        <v>51.259389389635182</v>
      </c>
      <c r="I98" s="130">
        <v>50.441133823966716</v>
      </c>
      <c r="J98" s="130">
        <v>49.711191193562414</v>
      </c>
      <c r="K98" s="130">
        <v>48.984117169419868</v>
      </c>
      <c r="L98" s="130">
        <v>48.304011842476207</v>
      </c>
      <c r="M98" s="130">
        <v>47.703003301037533</v>
      </c>
      <c r="N98" s="130">
        <v>47.082029102953904</v>
      </c>
      <c r="O98" s="130">
        <v>46.260606376274453</v>
      </c>
      <c r="P98" s="130">
        <v>45.486367898814841</v>
      </c>
      <c r="Q98" s="130">
        <v>45.303681471061502</v>
      </c>
      <c r="R98" s="130">
        <v>44.773638640178525</v>
      </c>
      <c r="S98" s="130">
        <v>44.347903974950356</v>
      </c>
      <c r="T98" s="130">
        <v>44.139636396481556</v>
      </c>
      <c r="U98" s="130">
        <v>43.757289115688444</v>
      </c>
      <c r="V98" s="130">
        <v>43.42221999621745</v>
      </c>
      <c r="W98" s="130">
        <v>42.993669498586321</v>
      </c>
      <c r="DA98" s="176" t="s">
        <v>870</v>
      </c>
    </row>
    <row r="99" spans="1:105" ht="11.45" customHeight="1" x14ac:dyDescent="0.25">
      <c r="A99" s="111" t="s">
        <v>110</v>
      </c>
      <c r="B99" s="97">
        <v>16.912617126500798</v>
      </c>
      <c r="C99" s="97">
        <v>16.912617126500795</v>
      </c>
      <c r="D99" s="97">
        <v>16.912617126500802</v>
      </c>
      <c r="E99" s="97">
        <v>16.912617126500795</v>
      </c>
      <c r="F99" s="97">
        <v>16.912617126500795</v>
      </c>
      <c r="G99" s="97">
        <v>16.912617126500798</v>
      </c>
      <c r="H99" s="97">
        <v>16.912617126500802</v>
      </c>
      <c r="I99" s="97">
        <v>16.912617126500795</v>
      </c>
      <c r="J99" s="97">
        <v>16.912617126500798</v>
      </c>
      <c r="K99" s="97">
        <v>16.856674184959662</v>
      </c>
      <c r="L99" s="97">
        <v>16.720930597419635</v>
      </c>
      <c r="M99" s="97">
        <v>16.564690310989178</v>
      </c>
      <c r="N99" s="97">
        <v>16.560945057487526</v>
      </c>
      <c r="O99" s="97">
        <v>16.547387291541135</v>
      </c>
      <c r="P99" s="97">
        <v>16.541158214116685</v>
      </c>
      <c r="Q99" s="97">
        <v>16.531756557489334</v>
      </c>
      <c r="R99" s="97">
        <v>16.406207890713052</v>
      </c>
      <c r="S99" s="97">
        <v>16.402286959688695</v>
      </c>
      <c r="T99" s="97">
        <v>16.398304838384078</v>
      </c>
      <c r="U99" s="97">
        <v>16.247732225800696</v>
      </c>
      <c r="V99" s="97">
        <v>16.242608166734339</v>
      </c>
      <c r="W99" s="97">
        <v>16.237404515247047</v>
      </c>
      <c r="DA99" s="175" t="s">
        <v>871</v>
      </c>
    </row>
    <row r="100" spans="1:105" ht="11.45" customHeight="1" x14ac:dyDescent="0.25">
      <c r="A100" s="111" t="s">
        <v>111</v>
      </c>
      <c r="B100" s="97">
        <v>57.63763302900869</v>
      </c>
      <c r="C100" s="97">
        <v>55.24523658224718</v>
      </c>
      <c r="D100" s="97">
        <v>54.055948117868489</v>
      </c>
      <c r="E100" s="97">
        <v>53.119852485136562</v>
      </c>
      <c r="F100" s="97">
        <v>52.242820183594972</v>
      </c>
      <c r="G100" s="97">
        <v>51.417487459263533</v>
      </c>
      <c r="H100" s="97">
        <v>50.582506865635139</v>
      </c>
      <c r="I100" s="97">
        <v>49.768775737011516</v>
      </c>
      <c r="J100" s="97">
        <v>49.046363656189627</v>
      </c>
      <c r="K100" s="97">
        <v>48.367624709592334</v>
      </c>
      <c r="L100" s="97">
        <v>47.734539061395623</v>
      </c>
      <c r="M100" s="97">
        <v>47.199313758290721</v>
      </c>
      <c r="N100" s="97">
        <v>46.660767170793385</v>
      </c>
      <c r="O100" s="97">
        <v>46.019105568307765</v>
      </c>
      <c r="P100" s="97">
        <v>45.390373426548912</v>
      </c>
      <c r="Q100" s="97">
        <v>45.158629030991214</v>
      </c>
      <c r="R100" s="97">
        <v>44.726451290776097</v>
      </c>
      <c r="S100" s="97">
        <v>44.359691305650855</v>
      </c>
      <c r="T100" s="97">
        <v>44.133432019756675</v>
      </c>
      <c r="U100" s="97">
        <v>43.809922831066864</v>
      </c>
      <c r="V100" s="97">
        <v>43.51734287152717</v>
      </c>
      <c r="W100" s="97">
        <v>43.220614900885181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0</v>
      </c>
      <c r="G101" s="97">
        <v>0</v>
      </c>
      <c r="H101" s="97">
        <v>0</v>
      </c>
      <c r="I101" s="97">
        <v>0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0</v>
      </c>
      <c r="S101" s="97">
        <v>0</v>
      </c>
      <c r="T101" s="97">
        <v>0</v>
      </c>
      <c r="U101" s="97">
        <v>0</v>
      </c>
      <c r="V101" s="97">
        <v>0</v>
      </c>
      <c r="W101" s="97">
        <v>0</v>
      </c>
      <c r="DA101" s="175" t="s">
        <v>873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0</v>
      </c>
      <c r="G102" s="97">
        <v>0</v>
      </c>
      <c r="H102" s="97">
        <v>0</v>
      </c>
      <c r="I102" s="97">
        <v>0</v>
      </c>
      <c r="J102" s="97">
        <v>0</v>
      </c>
      <c r="K102" s="97">
        <v>0</v>
      </c>
      <c r="L102" s="97">
        <v>0</v>
      </c>
      <c r="M102" s="97">
        <v>0</v>
      </c>
      <c r="N102" s="97">
        <v>0</v>
      </c>
      <c r="O102" s="97">
        <v>0</v>
      </c>
      <c r="P102" s="97">
        <v>0</v>
      </c>
      <c r="Q102" s="97">
        <v>0</v>
      </c>
      <c r="R102" s="97">
        <v>34.634105438082152</v>
      </c>
      <c r="S102" s="97">
        <v>34.634105438082152</v>
      </c>
      <c r="T102" s="97">
        <v>32.306349908451246</v>
      </c>
      <c r="U102" s="97">
        <v>31.825585991304322</v>
      </c>
      <c r="V102" s="97">
        <v>31.040804423014347</v>
      </c>
      <c r="W102" s="97">
        <v>30.00206241882492</v>
      </c>
      <c r="DA102" s="175" t="s">
        <v>874</v>
      </c>
    </row>
    <row r="103" spans="1:105" ht="11.45" customHeight="1" x14ac:dyDescent="0.25">
      <c r="A103" s="111" t="s">
        <v>115</v>
      </c>
      <c r="B103" s="97">
        <v>25.297341799565</v>
      </c>
      <c r="C103" s="97">
        <v>25.297341799565004</v>
      </c>
      <c r="D103" s="97">
        <v>25.297341799565</v>
      </c>
      <c r="E103" s="97">
        <v>25.297341799565</v>
      </c>
      <c r="F103" s="97">
        <v>25.297341799564997</v>
      </c>
      <c r="G103" s="97">
        <v>23.047713555419246</v>
      </c>
      <c r="H103" s="97">
        <v>23.047713555419243</v>
      </c>
      <c r="I103" s="97">
        <v>22.974437331316029</v>
      </c>
      <c r="J103" s="97">
        <v>22.883344259150356</v>
      </c>
      <c r="K103" s="97">
        <v>22.883344259150356</v>
      </c>
      <c r="L103" s="97">
        <v>22.883344259150356</v>
      </c>
      <c r="M103" s="97">
        <v>22.883344259150356</v>
      </c>
      <c r="N103" s="97">
        <v>22.883344259150356</v>
      </c>
      <c r="O103" s="97">
        <v>22.883344259150356</v>
      </c>
      <c r="P103" s="97">
        <v>22.10771834080855</v>
      </c>
      <c r="Q103" s="97">
        <v>22.017409692020642</v>
      </c>
      <c r="R103" s="97">
        <v>21.963881682619498</v>
      </c>
      <c r="S103" s="97">
        <v>21.903299944360082</v>
      </c>
      <c r="T103" s="97">
        <v>20.243156206283867</v>
      </c>
      <c r="U103" s="97">
        <v>20.360963721784906</v>
      </c>
      <c r="V103" s="97">
        <v>20.408389898798976</v>
      </c>
      <c r="W103" s="97">
        <v>20.536235213760076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12.736840651917239</v>
      </c>
      <c r="C105" s="141">
        <v>12.113581531707046</v>
      </c>
      <c r="D105" s="141">
        <v>11.786774622010947</v>
      </c>
      <c r="E105" s="141">
        <v>11.231923676159866</v>
      </c>
      <c r="F105" s="141">
        <v>10.736550894903782</v>
      </c>
      <c r="G105" s="141">
        <v>10.317320503849944</v>
      </c>
      <c r="H105" s="141">
        <v>9.9694607671423849</v>
      </c>
      <c r="I105" s="141">
        <v>9.6142630770439208</v>
      </c>
      <c r="J105" s="141">
        <v>9.2298850884033214</v>
      </c>
      <c r="K105" s="141">
        <v>8.8778036244587408</v>
      </c>
      <c r="L105" s="141">
        <v>8.7021348698040146</v>
      </c>
      <c r="M105" s="141">
        <v>8.6710317886187696</v>
      </c>
      <c r="N105" s="141">
        <v>8.5321580866938014</v>
      </c>
      <c r="O105" s="141">
        <v>8.3842617066013503</v>
      </c>
      <c r="P105" s="141">
        <v>8.2246239900282792</v>
      </c>
      <c r="Q105" s="141">
        <v>8.0405832233742665</v>
      </c>
      <c r="R105" s="141">
        <v>7.9056506372409228</v>
      </c>
      <c r="S105" s="141">
        <v>7.7072742111633632</v>
      </c>
      <c r="T105" s="141">
        <v>7.523233603139472</v>
      </c>
      <c r="U105" s="141">
        <v>7.3527022593188489</v>
      </c>
      <c r="V105" s="141">
        <v>7.2789458421469169</v>
      </c>
      <c r="W105" s="141">
        <v>7.2127425326544845</v>
      </c>
      <c r="DA105" s="174" t="s">
        <v>876</v>
      </c>
    </row>
    <row r="106" spans="1:105" ht="11.45" customHeight="1" x14ac:dyDescent="0.25">
      <c r="A106" s="111" t="s">
        <v>110</v>
      </c>
      <c r="B106" s="96">
        <v>11.576744653160128</v>
      </c>
      <c r="C106" s="96">
        <v>10.996243326795963</v>
      </c>
      <c r="D106" s="96">
        <v>10.485107345340463</v>
      </c>
      <c r="E106" s="96">
        <v>10.066278730235405</v>
      </c>
      <c r="F106" s="96">
        <v>9.7001549379370733</v>
      </c>
      <c r="G106" s="96">
        <v>9.4141730710603575</v>
      </c>
      <c r="H106" s="96">
        <v>9.2107691784416339</v>
      </c>
      <c r="I106" s="96">
        <v>8.9676822360293205</v>
      </c>
      <c r="J106" s="96">
        <v>8.5557167700908909</v>
      </c>
      <c r="K106" s="96">
        <v>8.1781869261972471</v>
      </c>
      <c r="L106" s="96">
        <v>7.9761412876264988</v>
      </c>
      <c r="M106" s="96">
        <v>7.959882216862189</v>
      </c>
      <c r="N106" s="96">
        <v>7.8831120007816899</v>
      </c>
      <c r="O106" s="96">
        <v>7.7642796893348169</v>
      </c>
      <c r="P106" s="96">
        <v>7.6310638009055278</v>
      </c>
      <c r="Q106" s="96">
        <v>7.4196544699936062</v>
      </c>
      <c r="R106" s="96">
        <v>7.1089841547893373</v>
      </c>
      <c r="S106" s="96">
        <v>6.770648768342185</v>
      </c>
      <c r="T106" s="96">
        <v>6.4992593174447633</v>
      </c>
      <c r="U106" s="96">
        <v>6.3067483444574286</v>
      </c>
      <c r="V106" s="96">
        <v>6.1439775285711917</v>
      </c>
      <c r="W106" s="96">
        <v>6.0126995538193269</v>
      </c>
      <c r="DA106" s="171" t="s">
        <v>877</v>
      </c>
    </row>
    <row r="107" spans="1:105" ht="11.45" customHeight="1" x14ac:dyDescent="0.25">
      <c r="A107" s="111" t="s">
        <v>111</v>
      </c>
      <c r="B107" s="96">
        <v>12.334585517824248</v>
      </c>
      <c r="C107" s="96">
        <v>11.552905054945748</v>
      </c>
      <c r="D107" s="96">
        <v>11.227502762096663</v>
      </c>
      <c r="E107" s="96">
        <v>10.668608713638697</v>
      </c>
      <c r="F107" s="96">
        <v>10.189223333077143</v>
      </c>
      <c r="G107" s="96">
        <v>9.8153097018973856</v>
      </c>
      <c r="H107" s="96">
        <v>9.5277590762726003</v>
      </c>
      <c r="I107" s="96">
        <v>9.2638632495906332</v>
      </c>
      <c r="J107" s="96">
        <v>8.9840813744837664</v>
      </c>
      <c r="K107" s="96">
        <v>8.7261193551953742</v>
      </c>
      <c r="L107" s="96">
        <v>8.616896635647727</v>
      </c>
      <c r="M107" s="96">
        <v>8.5920623991598273</v>
      </c>
      <c r="N107" s="96">
        <v>8.4471822591041619</v>
      </c>
      <c r="O107" s="96">
        <v>8.3019514830626537</v>
      </c>
      <c r="P107" s="96">
        <v>8.1429235491906731</v>
      </c>
      <c r="Q107" s="96">
        <v>7.9684337700336911</v>
      </c>
      <c r="R107" s="96">
        <v>7.8266279461491779</v>
      </c>
      <c r="S107" s="96">
        <v>7.6217505245066715</v>
      </c>
      <c r="T107" s="96">
        <v>7.4430850816491443</v>
      </c>
      <c r="U107" s="96">
        <v>7.2783747849047868</v>
      </c>
      <c r="V107" s="96">
        <v>7.2092858785045673</v>
      </c>
      <c r="W107" s="96">
        <v>7.150065832111939</v>
      </c>
      <c r="DA107" s="171" t="s">
        <v>878</v>
      </c>
    </row>
    <row r="108" spans="1:105" ht="11.45" customHeight="1" x14ac:dyDescent="0.25">
      <c r="A108" s="111" t="s">
        <v>112</v>
      </c>
      <c r="B108" s="96">
        <v>19.274752802961292</v>
      </c>
      <c r="C108" s="96">
        <v>17.83581234338244</v>
      </c>
      <c r="D108" s="96">
        <v>17.421086521201406</v>
      </c>
      <c r="E108" s="96">
        <v>17.082915496663212</v>
      </c>
      <c r="F108" s="96">
        <v>16.348130320077022</v>
      </c>
      <c r="G108" s="96">
        <v>15.703544442765541</v>
      </c>
      <c r="H108" s="96">
        <v>14.995214528835438</v>
      </c>
      <c r="I108" s="96">
        <v>14.496601372945593</v>
      </c>
      <c r="J108" s="96">
        <v>13.576338258496811</v>
      </c>
      <c r="K108" s="96">
        <v>12.720011504458279</v>
      </c>
      <c r="L108" s="96">
        <v>12.094247015292643</v>
      </c>
      <c r="M108" s="96">
        <v>11.75946054201723</v>
      </c>
      <c r="N108" s="96">
        <v>11.546183547541343</v>
      </c>
      <c r="O108" s="96">
        <v>11.434244429721732</v>
      </c>
      <c r="P108" s="96">
        <v>11.344324661804258</v>
      </c>
      <c r="Q108" s="96">
        <v>11.263409255552565</v>
      </c>
      <c r="R108" s="96">
        <v>11.26148524514689</v>
      </c>
      <c r="S108" s="96">
        <v>11.25842231521292</v>
      </c>
      <c r="T108" s="96">
        <v>11.251599590729704</v>
      </c>
      <c r="U108" s="96">
        <v>11.245657117752934</v>
      </c>
      <c r="V108" s="96">
        <v>10.949840836381759</v>
      </c>
      <c r="W108" s="96">
        <v>10.837124450510739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8.0091480861391222</v>
      </c>
      <c r="K109" s="96">
        <v>7.9188118619073098</v>
      </c>
      <c r="L109" s="96">
        <v>7.8384555727639205</v>
      </c>
      <c r="M109" s="96">
        <v>7.823266778576814</v>
      </c>
      <c r="N109" s="96">
        <v>7.6331102869293357</v>
      </c>
      <c r="O109" s="96">
        <v>7.6022221281967326</v>
      </c>
      <c r="P109" s="96">
        <v>7.2512630497500403</v>
      </c>
      <c r="Q109" s="96">
        <v>7.4898827631385219</v>
      </c>
      <c r="R109" s="96">
        <v>7.549320537129101</v>
      </c>
      <c r="S109" s="96">
        <v>7.2367745524929417</v>
      </c>
      <c r="T109" s="96">
        <v>7.0236937763426761</v>
      </c>
      <c r="U109" s="96">
        <v>6.7753423153805219</v>
      </c>
      <c r="V109" s="96">
        <v>6.9041819016046198</v>
      </c>
      <c r="W109" s="96">
        <v>7.0908264908620362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1.3721216028622245</v>
      </c>
      <c r="K110" s="96">
        <v>1.3719636117496292</v>
      </c>
      <c r="L110" s="96">
        <v>1.3715806308298879</v>
      </c>
      <c r="M110" s="96">
        <v>1.3682436069795896</v>
      </c>
      <c r="N110" s="96">
        <v>1.3402872772151353</v>
      </c>
      <c r="O110" s="96">
        <v>1.3320367950480017</v>
      </c>
      <c r="P110" s="96">
        <v>1.3298474986213416</v>
      </c>
      <c r="Q110" s="96">
        <v>1.3373914308391102</v>
      </c>
      <c r="R110" s="96">
        <v>1.3524586221588188</v>
      </c>
      <c r="S110" s="96">
        <v>1.3588697411696689</v>
      </c>
      <c r="T110" s="96">
        <v>1.4064238307087846</v>
      </c>
      <c r="U110" s="96">
        <v>1.5070133825599854</v>
      </c>
      <c r="V110" s="96">
        <v>1.6751195319356376</v>
      </c>
      <c r="W110" s="96">
        <v>1.8041320691990477</v>
      </c>
      <c r="DA110" s="171" t="s">
        <v>881</v>
      </c>
    </row>
    <row r="111" spans="1:105" ht="11.45" customHeight="1" x14ac:dyDescent="0.25">
      <c r="A111" s="109" t="s">
        <v>158</v>
      </c>
      <c r="B111" s="130">
        <v>34.312785757521169</v>
      </c>
      <c r="C111" s="130">
        <v>33.634146670307224</v>
      </c>
      <c r="D111" s="130">
        <v>33.573007838755096</v>
      </c>
      <c r="E111" s="130">
        <v>33.453562079460816</v>
      </c>
      <c r="F111" s="130">
        <v>33.292371824765205</v>
      </c>
      <c r="G111" s="130">
        <v>33.127568940619064</v>
      </c>
      <c r="H111" s="130">
        <v>32.946487612858178</v>
      </c>
      <c r="I111" s="130">
        <v>32.74957382318096</v>
      </c>
      <c r="J111" s="130">
        <v>32.444073440795044</v>
      </c>
      <c r="K111" s="130">
        <v>32.218505586976171</v>
      </c>
      <c r="L111" s="130">
        <v>32.007821158939215</v>
      </c>
      <c r="M111" s="130">
        <v>31.489603445106468</v>
      </c>
      <c r="N111" s="130">
        <v>31.189077055303464</v>
      </c>
      <c r="O111" s="130">
        <v>30.949706923526168</v>
      </c>
      <c r="P111" s="130">
        <v>30.576510263265668</v>
      </c>
      <c r="Q111" s="130">
        <v>29.90579489683428</v>
      </c>
      <c r="R111" s="130">
        <v>29.526327674534013</v>
      </c>
      <c r="S111" s="130">
        <v>29.159197214830783</v>
      </c>
      <c r="T111" s="130">
        <v>28.358193242209165</v>
      </c>
      <c r="U111" s="130">
        <v>27.405695072416574</v>
      </c>
      <c r="V111" s="130">
        <v>26.92983595215982</v>
      </c>
      <c r="W111" s="130">
        <v>25.801243862916611</v>
      </c>
      <c r="DA111" s="176" t="s">
        <v>882</v>
      </c>
    </row>
    <row r="112" spans="1:105" ht="11.45" customHeight="1" x14ac:dyDescent="0.25">
      <c r="A112" s="128" t="s">
        <v>27</v>
      </c>
      <c r="B112" s="97">
        <v>33.80915576360777</v>
      </c>
      <c r="C112" s="97">
        <v>33.240049052301849</v>
      </c>
      <c r="D112" s="97">
        <v>33.203190601845144</v>
      </c>
      <c r="E112" s="97">
        <v>33.115359972266873</v>
      </c>
      <c r="F112" s="97">
        <v>32.998239168244417</v>
      </c>
      <c r="G112" s="97">
        <v>32.864892767442107</v>
      </c>
      <c r="H112" s="97">
        <v>32.705992222905628</v>
      </c>
      <c r="I112" s="97">
        <v>32.541294301533902</v>
      </c>
      <c r="J112" s="97">
        <v>32.253795171558778</v>
      </c>
      <c r="K112" s="97">
        <v>32.041782766962505</v>
      </c>
      <c r="L112" s="97">
        <v>31.867869950040379</v>
      </c>
      <c r="M112" s="97">
        <v>31.355534965918082</v>
      </c>
      <c r="N112" s="97">
        <v>31.081402892616175</v>
      </c>
      <c r="O112" s="97">
        <v>30.862878981515337</v>
      </c>
      <c r="P112" s="97">
        <v>30.487800206134033</v>
      </c>
      <c r="Q112" s="97">
        <v>29.783375533410506</v>
      </c>
      <c r="R112" s="97">
        <v>29.431194339831872</v>
      </c>
      <c r="S112" s="97">
        <v>29.084897171319792</v>
      </c>
      <c r="T112" s="97">
        <v>28.195882534879804</v>
      </c>
      <c r="U112" s="97">
        <v>27.172575657718021</v>
      </c>
      <c r="V112" s="97">
        <v>26.700575413598724</v>
      </c>
      <c r="W112" s="97">
        <v>25.463598659896498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36.332586632908516</v>
      </c>
      <c r="D113" s="98">
        <v>35.970027807843465</v>
      </c>
      <c r="E113" s="98">
        <v>35.665786771407582</v>
      </c>
      <c r="F113" s="98">
        <v>34.981241294050093</v>
      </c>
      <c r="G113" s="98">
        <v>34.640246096731815</v>
      </c>
      <c r="H113" s="98">
        <v>34.291786638996072</v>
      </c>
      <c r="I113" s="98">
        <v>33.890394178671087</v>
      </c>
      <c r="J113" s="98">
        <v>33.548423802357846</v>
      </c>
      <c r="K113" s="98">
        <v>33.29377639663938</v>
      </c>
      <c r="L113" s="98">
        <v>32.821111335892461</v>
      </c>
      <c r="M113" s="98">
        <v>32.339568422597047</v>
      </c>
      <c r="N113" s="98">
        <v>31.858452054731089</v>
      </c>
      <c r="O113" s="98">
        <v>31.441620372531112</v>
      </c>
      <c r="P113" s="98">
        <v>31.071000684436044</v>
      </c>
      <c r="Q113" s="98">
        <v>30.604253119235644</v>
      </c>
      <c r="R113" s="98">
        <v>29.976724840765687</v>
      </c>
      <c r="S113" s="98">
        <v>29.507468284804826</v>
      </c>
      <c r="T113" s="98">
        <v>29.184294465249291</v>
      </c>
      <c r="U113" s="98">
        <v>28.590436691128915</v>
      </c>
      <c r="V113" s="98">
        <v>28.047582301828154</v>
      </c>
      <c r="W113" s="98">
        <v>27.470428147409102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1.1275000000068984</v>
      </c>
      <c r="C117" s="150">
        <f>IF(TrRoad_act!C59=0,0,TrRoad_ene!C62/TrRoad_tech!C90)</f>
        <v>1.1278320999801346</v>
      </c>
      <c r="D117" s="150">
        <f>IF(TrRoad_act!D59=0,0,TrRoad_ene!D62/TrRoad_tech!D90)</f>
        <v>1.1285848401157599</v>
      </c>
      <c r="E117" s="150">
        <f>IF(TrRoad_act!E59=0,0,TrRoad_ene!E62/TrRoad_tech!E90)</f>
        <v>1.1298361526765306</v>
      </c>
      <c r="F117" s="150">
        <f>IF(TrRoad_act!F59=0,0,TrRoad_ene!F62/TrRoad_tech!F90)</f>
        <v>1.1320029003542091</v>
      </c>
      <c r="G117" s="150">
        <f>IF(TrRoad_act!G59=0,0,TrRoad_ene!G62/TrRoad_tech!G90)</f>
        <v>1.1278436128359806</v>
      </c>
      <c r="H117" s="150">
        <f>IF(TrRoad_act!H59=0,0,TrRoad_ene!H62/TrRoad_tech!H90)</f>
        <v>1.1385875198386353</v>
      </c>
      <c r="I117" s="150">
        <f>IF(TrRoad_act!I59=0,0,TrRoad_ene!I62/TrRoad_tech!I90)</f>
        <v>1.1436366848582276</v>
      </c>
      <c r="J117" s="150">
        <f>IF(TrRoad_act!J59=0,0,TrRoad_ene!J62/TrRoad_tech!J90)</f>
        <v>1.1487332767762291</v>
      </c>
      <c r="K117" s="150">
        <f>IF(TrRoad_act!K59=0,0,TrRoad_ene!K62/TrRoad_tech!K90)</f>
        <v>1.1543582830399157</v>
      </c>
      <c r="L117" s="150">
        <f>IF(TrRoad_act!L59=0,0,TrRoad_ene!L62/TrRoad_tech!L90)</f>
        <v>1.1599565636381204</v>
      </c>
      <c r="M117" s="150">
        <f>IF(TrRoad_act!M59=0,0,TrRoad_ene!M62/TrRoad_tech!M90)</f>
        <v>1.1665218407006757</v>
      </c>
      <c r="N117" s="150">
        <f>IF(TrRoad_act!N59=0,0,TrRoad_ene!N62/TrRoad_tech!N90)</f>
        <v>1.1744719384662146</v>
      </c>
      <c r="O117" s="150">
        <f>IF(TrRoad_act!O59=0,0,TrRoad_ene!O62/TrRoad_tech!O90)</f>
        <v>1.1805254014539293</v>
      </c>
      <c r="P117" s="150">
        <f>IF(TrRoad_act!P59=0,0,TrRoad_ene!P62/TrRoad_tech!P90)</f>
        <v>1.1892784963084091</v>
      </c>
      <c r="Q117" s="150">
        <f>IF(TrRoad_act!Q59=0,0,TrRoad_ene!Q62/TrRoad_tech!Q90)</f>
        <v>1.1970565199658489</v>
      </c>
      <c r="R117" s="150">
        <f>IF(TrRoad_act!R59=0,0,TrRoad_ene!R62/TrRoad_tech!R90)</f>
        <v>1.148780384107533</v>
      </c>
      <c r="S117" s="150">
        <f>IF(TrRoad_act!S59=0,0,TrRoad_ene!S62/TrRoad_tech!S90)</f>
        <v>1.1917150473327576</v>
      </c>
      <c r="T117" s="150">
        <f>IF(TrRoad_act!T59=0,0,TrRoad_ene!T62/TrRoad_tech!T90)</f>
        <v>1.27607959272634</v>
      </c>
      <c r="U117" s="150">
        <f>IF(TrRoad_act!U59=0,0,TrRoad_ene!U62/TrRoad_tech!U90)</f>
        <v>1.2901724305462188</v>
      </c>
      <c r="V117" s="150">
        <f>IF(TrRoad_act!V59=0,0,TrRoad_ene!V62/TrRoad_tech!V90)</f>
        <v>1.2486754763076398</v>
      </c>
      <c r="W117" s="150">
        <f>IF(TrRoad_act!W59=0,0,TrRoad_ene!W62/TrRoad_tech!W90)</f>
        <v>1.3036625017891235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0.94116654115852472</v>
      </c>
      <c r="C118" s="151">
        <f>IF(TrRoad_act!C60=0,0,TrRoad_ene!C63/TrRoad_tech!C91)</f>
        <v>0.94139120737534054</v>
      </c>
      <c r="D118" s="151">
        <f>IF(TrRoad_act!D60=0,0,TrRoad_ene!D63/TrRoad_tech!D91)</f>
        <v>0.93949689001087522</v>
      </c>
      <c r="E118" s="151">
        <f>IF(TrRoad_act!E60=0,0,TrRoad_ene!E63/TrRoad_tech!E91)</f>
        <v>0.9423522021845151</v>
      </c>
      <c r="F118" s="151">
        <f>IF(TrRoad_act!F60=0,0,TrRoad_ene!F63/TrRoad_tech!F91)</f>
        <v>0.95453649514663863</v>
      </c>
      <c r="G118" s="151">
        <f>IF(TrRoad_act!G60=0,0,TrRoad_ene!G63/TrRoad_tech!G91)</f>
        <v>0.95790792744500897</v>
      </c>
      <c r="H118" s="151">
        <f>IF(TrRoad_act!H60=0,0,TrRoad_ene!H63/TrRoad_tech!H91)</f>
        <v>0.96412812854846741</v>
      </c>
      <c r="I118" s="151">
        <f>IF(TrRoad_act!I60=0,0,TrRoad_ene!I63/TrRoad_tech!I91)</f>
        <v>0.9681007529406106</v>
      </c>
      <c r="J118" s="151">
        <f>IF(TrRoad_act!J60=0,0,TrRoad_ene!J63/TrRoad_tech!J91)</f>
        <v>0.97694916471102466</v>
      </c>
      <c r="K118" s="151">
        <f>IF(TrRoad_act!K60=0,0,TrRoad_ene!K63/TrRoad_tech!K91)</f>
        <v>0.9862434210183465</v>
      </c>
      <c r="L118" s="151">
        <f>IF(TrRoad_act!L60=0,0,TrRoad_ene!L63/TrRoad_tech!L91)</f>
        <v>0.99158640561973066</v>
      </c>
      <c r="M118" s="151">
        <f>IF(TrRoad_act!M60=0,0,TrRoad_ene!M63/TrRoad_tech!M91)</f>
        <v>0.99160908848005058</v>
      </c>
      <c r="N118" s="151">
        <f>IF(TrRoad_act!N60=0,0,TrRoad_ene!N63/TrRoad_tech!N91)</f>
        <v>0.99510185338891377</v>
      </c>
      <c r="O118" s="151">
        <f>IF(TrRoad_act!O60=0,0,TrRoad_ene!O63/TrRoad_tech!O91)</f>
        <v>1.0021941193064687</v>
      </c>
      <c r="P118" s="151">
        <f>IF(TrRoad_act!P60=0,0,TrRoad_ene!P63/TrRoad_tech!P91)</f>
        <v>1.0054699822739235</v>
      </c>
      <c r="Q118" s="151">
        <f>IF(TrRoad_act!Q60=0,0,TrRoad_ene!Q63/TrRoad_tech!Q91)</f>
        <v>1.0160804715257523</v>
      </c>
      <c r="R118" s="151">
        <f>IF(TrRoad_act!R60=0,0,TrRoad_ene!R63/TrRoad_tech!R91)</f>
        <v>1.0416397862702926</v>
      </c>
      <c r="S118" s="151">
        <f>IF(TrRoad_act!S60=0,0,TrRoad_ene!S63/TrRoad_tech!S91)</f>
        <v>1.0527712009699088</v>
      </c>
      <c r="T118" s="151">
        <f>IF(TrRoad_act!T60=0,0,TrRoad_ene!T63/TrRoad_tech!T91)</f>
        <v>1.0649171841371234</v>
      </c>
      <c r="U118" s="151">
        <f>IF(TrRoad_act!U60=0,0,TrRoad_ene!U63/TrRoad_tech!U91)</f>
        <v>1.0715976630137463</v>
      </c>
      <c r="V118" s="151">
        <f>IF(TrRoad_act!V60=0,0,TrRoad_ene!V63/TrRoad_tech!V91)</f>
        <v>1.0583182154041892</v>
      </c>
      <c r="W118" s="151">
        <f>IF(TrRoad_act!W60=0,0,TrRoad_ene!W63/TrRoad_tech!W91)</f>
        <v>1.1049304236442821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0.8952785590381338</v>
      </c>
      <c r="C119" s="91">
        <f>IF(TrRoad_act!C61=0,0,TrRoad_ene!C64/TrRoad_tech!C92)</f>
        <v>0.90108007260923473</v>
      </c>
      <c r="D119" s="91">
        <f>IF(TrRoad_act!D61=0,0,TrRoad_ene!D64/TrRoad_tech!D92)</f>
        <v>0.90310623362475462</v>
      </c>
      <c r="E119" s="91">
        <f>IF(TrRoad_act!E61=0,0,TrRoad_ene!E64/TrRoad_tech!E92)</f>
        <v>0.90813858207803033</v>
      </c>
      <c r="F119" s="91">
        <f>IF(TrRoad_act!F61=0,0,TrRoad_ene!F64/TrRoad_tech!F92)</f>
        <v>0.92822798867225154</v>
      </c>
      <c r="G119" s="91">
        <f>IF(TrRoad_act!G61=0,0,TrRoad_ene!G64/TrRoad_tech!G92)</f>
        <v>0.93150242500519764</v>
      </c>
      <c r="H119" s="91">
        <f>IF(TrRoad_act!H61=0,0,TrRoad_ene!H64/TrRoad_tech!H92)</f>
        <v>0.9357466291753076</v>
      </c>
      <c r="I119" s="91">
        <f>IF(TrRoad_act!I61=0,0,TrRoad_ene!I64/TrRoad_tech!I92)</f>
        <v>0.9406741620363146</v>
      </c>
      <c r="J119" s="91">
        <f>IF(TrRoad_act!J61=0,0,TrRoad_ene!J64/TrRoad_tech!J92)</f>
        <v>0.94596374672470107</v>
      </c>
      <c r="K119" s="91">
        <f>IF(TrRoad_act!K61=0,0,TrRoad_ene!K64/TrRoad_tech!K92)</f>
        <v>0.96301759858921498</v>
      </c>
      <c r="L119" s="91">
        <f>IF(TrRoad_act!L61=0,0,TrRoad_ene!L64/TrRoad_tech!L92)</f>
        <v>0.97123248428358477</v>
      </c>
      <c r="M119" s="91">
        <f>IF(TrRoad_act!M61=0,0,TrRoad_ene!M64/TrRoad_tech!M92)</f>
        <v>0.97204432465159196</v>
      </c>
      <c r="N119" s="91">
        <f>IF(TrRoad_act!N61=0,0,TrRoad_ene!N64/TrRoad_tech!N92)</f>
        <v>0.98479458869746084</v>
      </c>
      <c r="O119" s="91">
        <f>IF(TrRoad_act!O61=0,0,TrRoad_ene!O64/TrRoad_tech!O92)</f>
        <v>0.99630751394300943</v>
      </c>
      <c r="P119" s="91">
        <f>IF(TrRoad_act!P61=0,0,TrRoad_ene!P64/TrRoad_tech!P92)</f>
        <v>1.0048355912349189</v>
      </c>
      <c r="Q119" s="91">
        <f>IF(TrRoad_act!Q61=0,0,TrRoad_ene!Q64/TrRoad_tech!Q92)</f>
        <v>1.0172379134705318</v>
      </c>
      <c r="R119" s="91">
        <f>IF(TrRoad_act!R61=0,0,TrRoad_ene!R64/TrRoad_tech!R92)</f>
        <v>1.0563181369482586</v>
      </c>
      <c r="S119" s="91">
        <f>IF(TrRoad_act!S61=0,0,TrRoad_ene!S64/TrRoad_tech!S92)</f>
        <v>1.0600494302076684</v>
      </c>
      <c r="T119" s="91">
        <f>IF(TrRoad_act!T61=0,0,TrRoad_ene!T64/TrRoad_tech!T92)</f>
        <v>1.0645562655958529</v>
      </c>
      <c r="U119" s="91">
        <f>IF(TrRoad_act!U61=0,0,TrRoad_ene!U64/TrRoad_tech!U92)</f>
        <v>1.0685424985274383</v>
      </c>
      <c r="V119" s="91">
        <f>IF(TrRoad_act!V61=0,0,TrRoad_ene!V64/TrRoad_tech!V92)</f>
        <v>1.0400247961561733</v>
      </c>
      <c r="W119" s="91">
        <f>IF(TrRoad_act!W61=0,0,TrRoad_ene!W64/TrRoad_tech!W92)</f>
        <v>1.1052852543638017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0.9921862646299372</v>
      </c>
      <c r="C120" s="91">
        <f>IF(TrRoad_act!C62=0,0,TrRoad_ene!C65/TrRoad_tech!C93)</f>
        <v>1.0015857250808227</v>
      </c>
      <c r="D120" s="91">
        <f>IF(TrRoad_act!D62=0,0,TrRoad_ene!D65/TrRoad_tech!D93)</f>
        <v>1.0025471533252348</v>
      </c>
      <c r="E120" s="91">
        <f>IF(TrRoad_act!E62=0,0,TrRoad_ene!E65/TrRoad_tech!E93)</f>
        <v>1.0063248182841815</v>
      </c>
      <c r="F120" s="91">
        <f>IF(TrRoad_act!F62=0,0,TrRoad_ene!F65/TrRoad_tech!F93)</f>
        <v>1.0139014914643509</v>
      </c>
      <c r="G120" s="91">
        <f>IF(TrRoad_act!G62=0,0,TrRoad_ene!G65/TrRoad_tech!G93)</f>
        <v>1.0155663679994109</v>
      </c>
      <c r="H120" s="91">
        <f>IF(TrRoad_act!H62=0,0,TrRoad_ene!H65/TrRoad_tech!H93)</f>
        <v>1.0198860198762949</v>
      </c>
      <c r="I120" s="91">
        <f>IF(TrRoad_act!I62=0,0,TrRoad_ene!I65/TrRoad_tech!I93)</f>
        <v>1.0217071256960184</v>
      </c>
      <c r="J120" s="91">
        <f>IF(TrRoad_act!J62=0,0,TrRoad_ene!J65/TrRoad_tech!J93)</f>
        <v>1.0292334207612455</v>
      </c>
      <c r="K120" s="91">
        <f>IF(TrRoad_act!K62=0,0,TrRoad_ene!K65/TrRoad_tech!K93)</f>
        <v>1.0334342988729655</v>
      </c>
      <c r="L120" s="91">
        <f>IF(TrRoad_act!L62=0,0,TrRoad_ene!L65/TrRoad_tech!L93)</f>
        <v>1.0372162160836063</v>
      </c>
      <c r="M120" s="91">
        <f>IF(TrRoad_act!M62=0,0,TrRoad_ene!M65/TrRoad_tech!M93)</f>
        <v>1.0386818157886757</v>
      </c>
      <c r="N120" s="91">
        <f>IF(TrRoad_act!N62=0,0,TrRoad_ene!N65/TrRoad_tech!N93)</f>
        <v>1.0384610157652217</v>
      </c>
      <c r="O120" s="91">
        <f>IF(TrRoad_act!O62=0,0,TrRoad_ene!O65/TrRoad_tech!O93)</f>
        <v>1.0429423432538145</v>
      </c>
      <c r="P120" s="91">
        <f>IF(TrRoad_act!P62=0,0,TrRoad_ene!P65/TrRoad_tech!P93)</f>
        <v>1.0459531813151681</v>
      </c>
      <c r="Q120" s="91">
        <f>IF(TrRoad_act!Q62=0,0,TrRoad_ene!Q65/TrRoad_tech!Q93)</f>
        <v>1.0557638583216045</v>
      </c>
      <c r="R120" s="91">
        <f>IF(TrRoad_act!R62=0,0,TrRoad_ene!R65/TrRoad_tech!R93)</f>
        <v>1.0741704319811267</v>
      </c>
      <c r="S120" s="91">
        <f>IF(TrRoad_act!S62=0,0,TrRoad_ene!S65/TrRoad_tech!S93)</f>
        <v>1.0877573647256151</v>
      </c>
      <c r="T120" s="91">
        <f>IF(TrRoad_act!T62=0,0,TrRoad_ene!T65/TrRoad_tech!T93)</f>
        <v>1.0995834165911891</v>
      </c>
      <c r="U120" s="91">
        <f>IF(TrRoad_act!U62=0,0,TrRoad_ene!U65/TrRoad_tech!U93)</f>
        <v>1.1055572023734097</v>
      </c>
      <c r="V120" s="91">
        <f>IF(TrRoad_act!V62=0,0,TrRoad_ene!V65/TrRoad_tech!V93)</f>
        <v>1.0959941207819703</v>
      </c>
      <c r="W120" s="91">
        <f>IF(TrRoad_act!W62=0,0,TrRoad_ene!W65/TrRoad_tech!W93)</f>
        <v>1.1264422396387492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0.85675133830243277</v>
      </c>
      <c r="C121" s="91">
        <f>IF(TrRoad_act!C63=0,0,TrRoad_ene!C66/TrRoad_tech!C94)</f>
        <v>0.93261047964615928</v>
      </c>
      <c r="D121" s="91">
        <f>IF(TrRoad_act!D63=0,0,TrRoad_ene!D66/TrRoad_tech!D94)</f>
        <v>0.76762716975011525</v>
      </c>
      <c r="E121" s="91">
        <f>IF(TrRoad_act!E63=0,0,TrRoad_ene!E66/TrRoad_tech!E94)</f>
        <v>0.72100212703291511</v>
      </c>
      <c r="F121" s="91">
        <f>IF(TrRoad_act!F63=0,0,TrRoad_ene!F66/TrRoad_tech!F94)</f>
        <v>0.72475801294862685</v>
      </c>
      <c r="G121" s="91">
        <f>IF(TrRoad_act!G63=0,0,TrRoad_ene!G66/TrRoad_tech!G94)</f>
        <v>0.79664971992784017</v>
      </c>
      <c r="H121" s="91">
        <f>IF(TrRoad_act!H63=0,0,TrRoad_ene!H66/TrRoad_tech!H94)</f>
        <v>0.85110896222947496</v>
      </c>
      <c r="I121" s="91">
        <f>IF(TrRoad_act!I63=0,0,TrRoad_ene!I66/TrRoad_tech!I94)</f>
        <v>0.79488762615169961</v>
      </c>
      <c r="J121" s="91">
        <f>IF(TrRoad_act!J63=0,0,TrRoad_ene!J66/TrRoad_tech!J94)</f>
        <v>0.8269917816484097</v>
      </c>
      <c r="K121" s="91">
        <f>IF(TrRoad_act!K63=0,0,TrRoad_ene!K66/TrRoad_tech!K94)</f>
        <v>0.88208950907062356</v>
      </c>
      <c r="L121" s="91">
        <f>IF(TrRoad_act!L63=0,0,TrRoad_ene!L66/TrRoad_tech!L94)</f>
        <v>0.93616776856778949</v>
      </c>
      <c r="M121" s="91">
        <f>IF(TrRoad_act!M63=0,0,TrRoad_ene!M66/TrRoad_tech!M94)</f>
        <v>0.92951228261121643</v>
      </c>
      <c r="N121" s="91">
        <f>IF(TrRoad_act!N63=0,0,TrRoad_ene!N66/TrRoad_tech!N94)</f>
        <v>0.89341723702961018</v>
      </c>
      <c r="O121" s="91">
        <f>IF(TrRoad_act!O63=0,0,TrRoad_ene!O66/TrRoad_tech!O94)</f>
        <v>0.91809041718988693</v>
      </c>
      <c r="P121" s="91">
        <f>IF(TrRoad_act!P63=0,0,TrRoad_ene!P66/TrRoad_tech!P94)</f>
        <v>0.93155262414608853</v>
      </c>
      <c r="Q121" s="91">
        <f>IF(TrRoad_act!Q63=0,0,TrRoad_ene!Q66/TrRoad_tech!Q94)</f>
        <v>1.1114838449661339</v>
      </c>
      <c r="R121" s="91">
        <f>IF(TrRoad_act!R63=0,0,TrRoad_ene!R66/TrRoad_tech!R94)</f>
        <v>1.2979020326440549</v>
      </c>
      <c r="S121" s="91">
        <f>IF(TrRoad_act!S63=0,0,TrRoad_ene!S66/TrRoad_tech!S94)</f>
        <v>1.2064624699173041</v>
      </c>
      <c r="T121" s="91">
        <f>IF(TrRoad_act!T63=0,0,TrRoad_ene!T66/TrRoad_tech!T94)</f>
        <v>1.1703321006114396</v>
      </c>
      <c r="U121" s="91">
        <f>IF(TrRoad_act!U63=0,0,TrRoad_ene!U66/TrRoad_tech!U94)</f>
        <v>1.2056415107539655</v>
      </c>
      <c r="V121" s="91">
        <f>IF(TrRoad_act!V63=0,0,TrRoad_ene!V66/TrRoad_tech!V94)</f>
        <v>1.1710846002687156</v>
      </c>
      <c r="W121" s="91">
        <f>IF(TrRoad_act!W63=0,0,TrRoad_ene!W66/TrRoad_tech!W94)</f>
        <v>1.1852050783683137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0.74973939861854755</v>
      </c>
      <c r="G122" s="91">
        <f>IF(TrRoad_act!G64=0,0,TrRoad_ene!G67/TrRoad_tech!G95)</f>
        <v>0.73662273896462438</v>
      </c>
      <c r="H122" s="91">
        <f>IF(TrRoad_act!H64=0,0,TrRoad_ene!H67/TrRoad_tech!H95)</f>
        <v>0.68760533048245898</v>
      </c>
      <c r="I122" s="91">
        <f>IF(TrRoad_act!I64=0,0,TrRoad_ene!I67/TrRoad_tech!I95)</f>
        <v>0.68708646931499684</v>
      </c>
      <c r="J122" s="91">
        <f>IF(TrRoad_act!J64=0,0,TrRoad_ene!J67/TrRoad_tech!J95)</f>
        <v>0.44681952451220297</v>
      </c>
      <c r="K122" s="91">
        <f>IF(TrRoad_act!K64=0,0,TrRoad_ene!K67/TrRoad_tech!K95)</f>
        <v>0.33596035397414686</v>
      </c>
      <c r="L122" s="91">
        <f>IF(TrRoad_act!L64=0,0,TrRoad_ene!L67/TrRoad_tech!L95)</f>
        <v>0.28211452137777587</v>
      </c>
      <c r="M122" s="91">
        <f>IF(TrRoad_act!M64=0,0,TrRoad_ene!M67/TrRoad_tech!M95)</f>
        <v>0.33364737130474492</v>
      </c>
      <c r="N122" s="91">
        <f>IF(TrRoad_act!N64=0,0,TrRoad_ene!N67/TrRoad_tech!N95)</f>
        <v>0.74427966343582885</v>
      </c>
      <c r="O122" s="91">
        <f>IF(TrRoad_act!O64=0,0,TrRoad_ene!O67/TrRoad_tech!O95)</f>
        <v>1.1687118813005717</v>
      </c>
      <c r="P122" s="91">
        <f>IF(TrRoad_act!P64=0,0,TrRoad_ene!P67/TrRoad_tech!P95)</f>
        <v>0.91826278811865036</v>
      </c>
      <c r="Q122" s="91">
        <f>IF(TrRoad_act!Q64=0,0,TrRoad_ene!Q67/TrRoad_tech!Q95)</f>
        <v>1.1493382347969303</v>
      </c>
      <c r="R122" s="91">
        <f>IF(TrRoad_act!R64=0,0,TrRoad_ene!R67/TrRoad_tech!R95)</f>
        <v>1.0996067830010334</v>
      </c>
      <c r="S122" s="91">
        <f>IF(TrRoad_act!S64=0,0,TrRoad_ene!S67/TrRoad_tech!S95)</f>
        <v>1.1170230331517281</v>
      </c>
      <c r="T122" s="91">
        <f>IF(TrRoad_act!T64=0,0,TrRoad_ene!T67/TrRoad_tech!T95)</f>
        <v>1.1251475861404689</v>
      </c>
      <c r="U122" s="91">
        <f>IF(TrRoad_act!U64=0,0,TrRoad_ene!U67/TrRoad_tech!U95)</f>
        <v>1.4743687850609184</v>
      </c>
      <c r="V122" s="91">
        <f>IF(TrRoad_act!V64=0,0,TrRoad_ene!V67/TrRoad_tech!V95)</f>
        <v>2.0792005275546788</v>
      </c>
      <c r="W122" s="91">
        <f>IF(TrRoad_act!W64=0,0,TrRoad_ene!W67/TrRoad_tech!W95)</f>
        <v>2.9788890784953233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1.0104218454496627</v>
      </c>
      <c r="N123" s="91">
        <f>IF(TrRoad_act!N65=0,0,TrRoad_ene!N68/TrRoad_tech!N96)</f>
        <v>1.0294890567564008</v>
      </c>
      <c r="O123" s="91">
        <f>IF(TrRoad_act!O65=0,0,TrRoad_ene!O68/TrRoad_tech!O96)</f>
        <v>1.036832031000974</v>
      </c>
      <c r="P123" s="91">
        <f>IF(TrRoad_act!P65=0,0,TrRoad_ene!P68/TrRoad_tech!P96)</f>
        <v>1.0465075651433966</v>
      </c>
      <c r="Q123" s="91">
        <f>IF(TrRoad_act!Q65=0,0,TrRoad_ene!Q68/TrRoad_tech!Q96)</f>
        <v>1.058092850630626</v>
      </c>
      <c r="R123" s="91">
        <f>IF(TrRoad_act!R65=0,0,TrRoad_ene!R68/TrRoad_tech!R96)</f>
        <v>1.0845022898867762</v>
      </c>
      <c r="S123" s="91">
        <f>IF(TrRoad_act!S65=0,0,TrRoad_ene!S68/TrRoad_tech!S96)</f>
        <v>1.0864858772331212</v>
      </c>
      <c r="T123" s="91">
        <f>IF(TrRoad_act!T65=0,0,TrRoad_ene!T68/TrRoad_tech!T96)</f>
        <v>1.0870696728329674</v>
      </c>
      <c r="U123" s="91">
        <f>IF(TrRoad_act!U65=0,0,TrRoad_ene!U68/TrRoad_tech!U96)</f>
        <v>1.0878417260109965</v>
      </c>
      <c r="V123" s="91">
        <f>IF(TrRoad_act!V65=0,0,TrRoad_ene!V68/TrRoad_tech!V96)</f>
        <v>1.074929207361377</v>
      </c>
      <c r="W123" s="91">
        <f>IF(TrRoad_act!W65=0,0,TrRoad_ene!W68/TrRoad_tech!W96)</f>
        <v>1.1090319237151198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1.0470370370414099</v>
      </c>
      <c r="K124" s="91">
        <f>IF(TrRoad_act!K66=0,0,TrRoad_ene!K69/TrRoad_tech!K97)</f>
        <v>1.0483207520776441</v>
      </c>
      <c r="L124" s="91">
        <f>IF(TrRoad_act!L66=0,0,TrRoad_ene!L69/TrRoad_tech!L97)</f>
        <v>1.0548721191110406</v>
      </c>
      <c r="M124" s="91">
        <f>IF(TrRoad_act!M66=0,0,TrRoad_ene!M69/TrRoad_tech!M97)</f>
        <v>1.0598655069820961</v>
      </c>
      <c r="N124" s="91">
        <f>IF(TrRoad_act!N66=0,0,TrRoad_ene!N69/TrRoad_tech!N97)</f>
        <v>1.0640861752263642</v>
      </c>
      <c r="O124" s="91">
        <f>IF(TrRoad_act!O66=0,0,TrRoad_ene!O69/TrRoad_tech!O97)</f>
        <v>1.0674708696883046</v>
      </c>
      <c r="P124" s="91">
        <f>IF(TrRoad_act!P66=0,0,TrRoad_ene!P69/TrRoad_tech!P97)</f>
        <v>1.0738077019140764</v>
      </c>
      <c r="Q124" s="91">
        <f>IF(TrRoad_act!Q66=0,0,TrRoad_ene!Q69/TrRoad_tech!Q97)</f>
        <v>1.0799933551540772</v>
      </c>
      <c r="R124" s="91">
        <f>IF(TrRoad_act!R66=0,0,TrRoad_ene!R69/TrRoad_tech!R97)</f>
        <v>1.0841188886109749</v>
      </c>
      <c r="S124" s="91">
        <f>IF(TrRoad_act!S66=0,0,TrRoad_ene!S69/TrRoad_tech!S97)</f>
        <v>1.0876858485289311</v>
      </c>
      <c r="T124" s="91">
        <f>IF(TrRoad_act!T66=0,0,TrRoad_ene!T69/TrRoad_tech!T97)</f>
        <v>1.0909401622339518</v>
      </c>
      <c r="U124" s="91">
        <f>IF(TrRoad_act!U66=0,0,TrRoad_ene!U69/TrRoad_tech!U97)</f>
        <v>1.094177288055046</v>
      </c>
      <c r="V124" s="91">
        <f>IF(TrRoad_act!V66=0,0,TrRoad_ene!V69/TrRoad_tech!V97)</f>
        <v>1.0958927681545942</v>
      </c>
      <c r="W124" s="91">
        <f>IF(TrRoad_act!W66=0,0,TrRoad_ene!W69/TrRoad_tech!W97)</f>
        <v>1.0972157995368446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1.0388918675251668</v>
      </c>
      <c r="C125" s="151">
        <f>IF(TrRoad_act!C67=0,0,TrRoad_ene!C70/TrRoad_tech!C98)</f>
        <v>1.0512228425593497</v>
      </c>
      <c r="D125" s="151">
        <f>IF(TrRoad_act!D67=0,0,TrRoad_ene!D70/TrRoad_tech!D98)</f>
        <v>1.0468068229035501</v>
      </c>
      <c r="E125" s="151">
        <f>IF(TrRoad_act!E67=0,0,TrRoad_ene!E70/TrRoad_tech!E98)</f>
        <v>1.0593244639775159</v>
      </c>
      <c r="F125" s="151">
        <f>IF(TrRoad_act!F67=0,0,TrRoad_ene!F70/TrRoad_tech!F98)</f>
        <v>1.0737917356242885</v>
      </c>
      <c r="G125" s="151">
        <f>IF(TrRoad_act!G67=0,0,TrRoad_ene!G70/TrRoad_tech!G98)</f>
        <v>1.0798863945835113</v>
      </c>
      <c r="H125" s="151">
        <f>IF(TrRoad_act!H67=0,0,TrRoad_ene!H70/TrRoad_tech!H98)</f>
        <v>1.0915677908117467</v>
      </c>
      <c r="I125" s="151">
        <f>IF(TrRoad_act!I67=0,0,TrRoad_ene!I70/TrRoad_tech!I98)</f>
        <v>1.1003595033711377</v>
      </c>
      <c r="J125" s="151">
        <f>IF(TrRoad_act!J67=0,0,TrRoad_ene!J70/TrRoad_tech!J98)</f>
        <v>1.1171379300482178</v>
      </c>
      <c r="K125" s="151">
        <f>IF(TrRoad_act!K67=0,0,TrRoad_ene!K70/TrRoad_tech!K98)</f>
        <v>1.1253480154664166</v>
      </c>
      <c r="L125" s="151">
        <f>IF(TrRoad_act!L67=0,0,TrRoad_ene!L70/TrRoad_tech!L98)</f>
        <v>1.139070152950171</v>
      </c>
      <c r="M125" s="151">
        <f>IF(TrRoad_act!M67=0,0,TrRoad_ene!M70/TrRoad_tech!M98)</f>
        <v>1.1403680719463813</v>
      </c>
      <c r="N125" s="151">
        <f>IF(TrRoad_act!N67=0,0,TrRoad_ene!N70/TrRoad_tech!N98)</f>
        <v>1.1430588863399658</v>
      </c>
      <c r="O125" s="151">
        <f>IF(TrRoad_act!O67=0,0,TrRoad_ene!O70/TrRoad_tech!O98)</f>
        <v>1.1650585442851547</v>
      </c>
      <c r="P125" s="151">
        <f>IF(TrRoad_act!P67=0,0,TrRoad_ene!P70/TrRoad_tech!P98)</f>
        <v>1.1844756073516634</v>
      </c>
      <c r="Q125" s="151">
        <f>IF(TrRoad_act!Q67=0,0,TrRoad_ene!Q70/TrRoad_tech!Q98)</f>
        <v>1.2099165574408832</v>
      </c>
      <c r="R125" s="151">
        <f>IF(TrRoad_act!R67=0,0,TrRoad_ene!R70/TrRoad_tech!R98)</f>
        <v>1.2713134769902197</v>
      </c>
      <c r="S125" s="151">
        <f>IF(TrRoad_act!S67=0,0,TrRoad_ene!S70/TrRoad_tech!S98)</f>
        <v>1.319212149755101</v>
      </c>
      <c r="T125" s="151">
        <f>IF(TrRoad_act!T67=0,0,TrRoad_ene!T70/TrRoad_tech!T98)</f>
        <v>1.3762622245807241</v>
      </c>
      <c r="U125" s="151">
        <f>IF(TrRoad_act!U67=0,0,TrRoad_ene!U70/TrRoad_tech!U98)</f>
        <v>1.3932539009605129</v>
      </c>
      <c r="V125" s="151">
        <f>IF(TrRoad_act!V67=0,0,TrRoad_ene!V70/TrRoad_tech!V98)</f>
        <v>1.3943713398993554</v>
      </c>
      <c r="W125" s="151">
        <f>IF(TrRoad_act!W67=0,0,TrRoad_ene!W70/TrRoad_tech!W98)</f>
        <v>1.4817199421795453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</v>
      </c>
      <c r="C126" s="93">
        <f>IF(TrRoad_act!C68=0,0,TrRoad_ene!C71/TrRoad_tech!C99)</f>
        <v>1.1000000000067303</v>
      </c>
      <c r="D126" s="93">
        <f>IF(TrRoad_act!D68=0,0,TrRoad_ene!D71/TrRoad_tech!D99)</f>
        <v>1.1000000000067298</v>
      </c>
      <c r="E126" s="93">
        <f>IF(TrRoad_act!E68=0,0,TrRoad_ene!E71/TrRoad_tech!E99)</f>
        <v>1.1000000000067303</v>
      </c>
      <c r="F126" s="93">
        <f>IF(TrRoad_act!F68=0,0,TrRoad_ene!F71/TrRoad_tech!F99)</f>
        <v>1.1000000000067303</v>
      </c>
      <c r="G126" s="93">
        <f>IF(TrRoad_act!G68=0,0,TrRoad_ene!G71/TrRoad_tech!G99)</f>
        <v>1.10000000000673</v>
      </c>
      <c r="H126" s="93">
        <f>IF(TrRoad_act!H68=0,0,TrRoad_ene!H71/TrRoad_tech!H99)</f>
        <v>1.1000000000067298</v>
      </c>
      <c r="I126" s="93">
        <f>IF(TrRoad_act!I68=0,0,TrRoad_ene!I71/TrRoad_tech!I99)</f>
        <v>1.1000000000067303</v>
      </c>
      <c r="J126" s="93">
        <f>IF(TrRoad_act!J68=0,0,TrRoad_ene!J71/TrRoad_tech!J99)</f>
        <v>1.10000000000673</v>
      </c>
      <c r="K126" s="93">
        <f>IF(TrRoad_act!K68=0,0,TrRoad_ene!K71/TrRoad_tech!K99)</f>
        <v>1.1007652523512523</v>
      </c>
      <c r="L126" s="93">
        <f>IF(TrRoad_act!L68=0,0,TrRoad_ene!L71/TrRoad_tech!L99)</f>
        <v>1.1027225069855457</v>
      </c>
      <c r="M126" s="93">
        <f>IF(TrRoad_act!M68=0,0,TrRoad_ene!M71/TrRoad_tech!M99)</f>
        <v>1.104942477191287</v>
      </c>
      <c r="N126" s="93">
        <f>IF(TrRoad_act!N68=0,0,TrRoad_ene!N71/TrRoad_tech!N99)</f>
        <v>1.1049968101919703</v>
      </c>
      <c r="O126" s="93">
        <f>IF(TrRoad_act!O68=0,0,TrRoad_ene!O71/TrRoad_tech!O99)</f>
        <v>1.1051937005702619</v>
      </c>
      <c r="P126" s="93">
        <f>IF(TrRoad_act!P68=0,0,TrRoad_ene!P71/TrRoad_tech!P99)</f>
        <v>1.1052842695115124</v>
      </c>
      <c r="Q126" s="93">
        <f>IF(TrRoad_act!Q68=0,0,TrRoad_ene!Q71/TrRoad_tech!Q99)</f>
        <v>1.1054210960618913</v>
      </c>
      <c r="R126" s="93">
        <f>IF(TrRoad_act!R68=0,0,TrRoad_ene!R71/TrRoad_tech!R99)</f>
        <v>1.1076217429404578</v>
      </c>
      <c r="S126" s="93">
        <f>IF(TrRoad_act!S68=0,0,TrRoad_ene!S71/TrRoad_tech!S99)</f>
        <v>1.1076825912185866</v>
      </c>
      <c r="T126" s="93">
        <f>IF(TrRoad_act!T68=0,0,TrRoad_ene!T71/TrRoad_tech!T99)</f>
        <v>1.1077444188815946</v>
      </c>
      <c r="U126" s="93">
        <f>IF(TrRoad_act!U68=0,0,TrRoad_ene!U71/TrRoad_tech!U99)</f>
        <v>1.1103406564969933</v>
      </c>
      <c r="V126" s="93">
        <f>IF(TrRoad_act!V68=0,0,TrRoad_ene!V71/TrRoad_tech!V99)</f>
        <v>1.1104236359978292</v>
      </c>
      <c r="W126" s="93">
        <f>IF(TrRoad_act!W68=0,0,TrRoad_ene!W71/TrRoad_tech!W99)</f>
        <v>1.1105079580243782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1.0377840941915204</v>
      </c>
      <c r="C127" s="93">
        <f>IF(TrRoad_act!C69=0,0,TrRoad_ene!C72/TrRoad_tech!C100)</f>
        <v>1.061533760644471</v>
      </c>
      <c r="D127" s="93">
        <f>IF(TrRoad_act!D69=0,0,TrRoad_ene!D72/TrRoad_tech!D100)</f>
        <v>1.0613708988141779</v>
      </c>
      <c r="E127" s="93">
        <f>IF(TrRoad_act!E69=0,0,TrRoad_ene!E72/TrRoad_tech!E100)</f>
        <v>1.0775718754241788</v>
      </c>
      <c r="F127" s="93">
        <f>IF(TrRoad_act!F69=0,0,TrRoad_ene!F72/TrRoad_tech!F100)</f>
        <v>1.0947596183332147</v>
      </c>
      <c r="G127" s="93">
        <f>IF(TrRoad_act!G69=0,0,TrRoad_ene!G72/TrRoad_tech!G100)</f>
        <v>1.1023263330952924</v>
      </c>
      <c r="H127" s="93">
        <f>IF(TrRoad_act!H69=0,0,TrRoad_ene!H72/TrRoad_tech!H100)</f>
        <v>1.1148888486654938</v>
      </c>
      <c r="I127" s="93">
        <f>IF(TrRoad_act!I69=0,0,TrRoad_ene!I72/TrRoad_tech!I100)</f>
        <v>1.1235564277142216</v>
      </c>
      <c r="J127" s="93">
        <f>IF(TrRoad_act!J69=0,0,TrRoad_ene!J72/TrRoad_tech!J100)</f>
        <v>1.1399896897665611</v>
      </c>
      <c r="K127" s="93">
        <f>IF(TrRoad_act!K69=0,0,TrRoad_ene!K72/TrRoad_tech!K100)</f>
        <v>1.1469160474644822</v>
      </c>
      <c r="L127" s="93">
        <f>IF(TrRoad_act!L69=0,0,TrRoad_ene!L72/TrRoad_tech!L100)</f>
        <v>1.159350207548836</v>
      </c>
      <c r="M127" s="93">
        <f>IF(TrRoad_act!M69=0,0,TrRoad_ene!M72/TrRoad_tech!M100)</f>
        <v>1.159078385641916</v>
      </c>
      <c r="N127" s="93">
        <f>IF(TrRoad_act!N69=0,0,TrRoad_ene!N72/TrRoad_tech!N100)</f>
        <v>1.159733045838953</v>
      </c>
      <c r="O127" s="93">
        <f>IF(TrRoad_act!O69=0,0,TrRoad_ene!O72/TrRoad_tech!O100)</f>
        <v>1.177390379956984</v>
      </c>
      <c r="P127" s="93">
        <f>IF(TrRoad_act!P69=0,0,TrRoad_ene!P72/TrRoad_tech!P100)</f>
        <v>1.1931115461057336</v>
      </c>
      <c r="Q127" s="93">
        <f>IF(TrRoad_act!Q69=0,0,TrRoad_ene!Q72/TrRoad_tech!Q100)</f>
        <v>1.2197604386027323</v>
      </c>
      <c r="R127" s="93">
        <f>IF(TrRoad_act!R69=0,0,TrRoad_ene!R72/TrRoad_tech!R100)</f>
        <v>1.2790577687559437</v>
      </c>
      <c r="S127" s="93">
        <f>IF(TrRoad_act!S69=0,0,TrRoad_ene!S72/TrRoad_tech!S100)</f>
        <v>1.3253951561525588</v>
      </c>
      <c r="T127" s="93">
        <f>IF(TrRoad_act!T69=0,0,TrRoad_ene!T72/TrRoad_tech!T100)</f>
        <v>1.3836489809212711</v>
      </c>
      <c r="U127" s="93">
        <f>IF(TrRoad_act!U69=0,0,TrRoad_ene!U72/TrRoad_tech!U100)</f>
        <v>1.4006015204879445</v>
      </c>
      <c r="V127" s="93">
        <f>IF(TrRoad_act!V69=0,0,TrRoad_ene!V72/TrRoad_tech!V100)</f>
        <v>1.400269637713377</v>
      </c>
      <c r="W127" s="93">
        <f>IF(TrRoad_act!W69=0,0,TrRoad_ene!W72/TrRoad_tech!W100)</f>
        <v>1.4762899277141621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0</v>
      </c>
      <c r="G128" s="93">
        <f>IF(TrRoad_act!G70=0,0,TrRoad_ene!G73/TrRoad_tech!G101)</f>
        <v>0</v>
      </c>
      <c r="H128" s="93">
        <f>IF(TrRoad_act!H70=0,0,TrRoad_ene!H73/TrRoad_tech!H101)</f>
        <v>0</v>
      </c>
      <c r="I128" s="93">
        <f>IF(TrRoad_act!I70=0,0,TrRoad_ene!I73/TrRoad_tech!I101)</f>
        <v>0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0</v>
      </c>
      <c r="S128" s="93">
        <f>IF(TrRoad_act!S70=0,0,TrRoad_ene!S73/TrRoad_tech!S101)</f>
        <v>0</v>
      </c>
      <c r="T128" s="93">
        <f>IF(TrRoad_act!T70=0,0,TrRoad_ene!T73/TrRoad_tech!T101)</f>
        <v>0</v>
      </c>
      <c r="U128" s="93">
        <f>IF(TrRoad_act!U70=0,0,TrRoad_ene!U73/TrRoad_tech!U101)</f>
        <v>0</v>
      </c>
      <c r="V128" s="93">
        <f>IF(TrRoad_act!V70=0,0,TrRoad_ene!V73/TrRoad_tech!V101)</f>
        <v>0</v>
      </c>
      <c r="W128" s="93">
        <f>IF(TrRoad_act!W70=0,0,TrRoad_ene!W73/TrRoad_tech!W101)</f>
        <v>0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0</v>
      </c>
      <c r="G129" s="93">
        <f>IF(TrRoad_act!G71=0,0,TrRoad_ene!G74/TrRoad_tech!G102)</f>
        <v>0</v>
      </c>
      <c r="H129" s="93">
        <f>IF(TrRoad_act!H71=0,0,TrRoad_ene!H74/TrRoad_tech!H102)</f>
        <v>0</v>
      </c>
      <c r="I129" s="93">
        <f>IF(TrRoad_act!I71=0,0,TrRoad_ene!I74/TrRoad_tech!I102)</f>
        <v>0</v>
      </c>
      <c r="J129" s="93">
        <f>IF(TrRoad_act!J71=0,0,TrRoad_ene!J74/TrRoad_tech!J102)</f>
        <v>0</v>
      </c>
      <c r="K129" s="93">
        <f>IF(TrRoad_act!K71=0,0,TrRoad_ene!K74/TrRoad_tech!K102)</f>
        <v>0</v>
      </c>
      <c r="L129" s="93">
        <f>IF(TrRoad_act!L71=0,0,TrRoad_ene!L74/TrRoad_tech!L102)</f>
        <v>0</v>
      </c>
      <c r="M129" s="93">
        <f>IF(TrRoad_act!M71=0,0,TrRoad_ene!M74/TrRoad_tech!M102)</f>
        <v>0</v>
      </c>
      <c r="N129" s="93">
        <f>IF(TrRoad_act!N71=0,0,TrRoad_ene!N74/TrRoad_tech!N102)</f>
        <v>0</v>
      </c>
      <c r="O129" s="93">
        <f>IF(TrRoad_act!O71=0,0,TrRoad_ene!O74/TrRoad_tech!O102)</f>
        <v>0</v>
      </c>
      <c r="P129" s="93">
        <f>IF(TrRoad_act!P71=0,0,TrRoad_ene!P74/TrRoad_tech!P102)</f>
        <v>0</v>
      </c>
      <c r="Q129" s="93">
        <f>IF(TrRoad_act!Q71=0,0,TrRoad_ene!Q74/TrRoad_tech!Q102)</f>
        <v>0</v>
      </c>
      <c r="R129" s="93">
        <f>IF(TrRoad_act!R71=0,0,TrRoad_ene!R74/TrRoad_tech!R102)</f>
        <v>1.3372136808518771</v>
      </c>
      <c r="S129" s="93">
        <f>IF(TrRoad_act!S71=0,0,TrRoad_ene!S74/TrRoad_tech!S102)</f>
        <v>1.3523638633146537</v>
      </c>
      <c r="T129" s="93">
        <f>IF(TrRoad_act!T71=0,0,TrRoad_ene!T74/TrRoad_tech!T102)</f>
        <v>1.382447908723643</v>
      </c>
      <c r="U129" s="93">
        <f>IF(TrRoad_act!U71=0,0,TrRoad_ene!U74/TrRoad_tech!U102)</f>
        <v>1.8136264343149973</v>
      </c>
      <c r="V129" s="93">
        <f>IF(TrRoad_act!V71=0,0,TrRoad_ene!V74/TrRoad_tech!V102)</f>
        <v>2.5664577456940467</v>
      </c>
      <c r="W129" s="93">
        <f>IF(TrRoad_act!W71=0,0,TrRoad_ene!W74/TrRoad_tech!W102)</f>
        <v>3.6928967406609146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1.1000000000067303</v>
      </c>
      <c r="C130" s="93">
        <f>IF(TrRoad_act!C72=0,0,TrRoad_ene!C75/TrRoad_tech!C103)</f>
        <v>1.1000000000067303</v>
      </c>
      <c r="D130" s="93">
        <f>IF(TrRoad_act!D72=0,0,TrRoad_ene!D75/TrRoad_tech!D103)</f>
        <v>1.1000000000067303</v>
      </c>
      <c r="E130" s="93">
        <f>IF(TrRoad_act!E72=0,0,TrRoad_ene!E75/TrRoad_tech!E103)</f>
        <v>1.1000000000067303</v>
      </c>
      <c r="F130" s="93">
        <f>IF(TrRoad_act!F72=0,0,TrRoad_ene!F75/TrRoad_tech!F103)</f>
        <v>1.1000000000067303</v>
      </c>
      <c r="G130" s="93">
        <f>IF(TrRoad_act!G72=0,0,TrRoad_ene!G75/TrRoad_tech!G103)</f>
        <v>1.1308421272397093</v>
      </c>
      <c r="H130" s="93">
        <f>IF(TrRoad_act!H72=0,0,TrRoad_ene!H75/TrRoad_tech!H103)</f>
        <v>1.1308421272397096</v>
      </c>
      <c r="I130" s="93">
        <f>IF(TrRoad_act!I72=0,0,TrRoad_ene!I75/TrRoad_tech!I103)</f>
        <v>1.1319483094134841</v>
      </c>
      <c r="J130" s="93">
        <f>IF(TrRoad_act!J72=0,0,TrRoad_ene!J75/TrRoad_tech!J103)</f>
        <v>1.1333333333400337</v>
      </c>
      <c r="K130" s="93">
        <f>IF(TrRoad_act!K72=0,0,TrRoad_ene!K75/TrRoad_tech!K103)</f>
        <v>1.1333333333400333</v>
      </c>
      <c r="L130" s="93">
        <f>IF(TrRoad_act!L72=0,0,TrRoad_ene!L75/TrRoad_tech!L103)</f>
        <v>1.1333333333400333</v>
      </c>
      <c r="M130" s="93">
        <f>IF(TrRoad_act!M72=0,0,TrRoad_ene!M75/TrRoad_tech!M103)</f>
        <v>1.1333333333400333</v>
      </c>
      <c r="N130" s="93">
        <f>IF(TrRoad_act!N72=0,0,TrRoad_ene!N75/TrRoad_tech!N103)</f>
        <v>1.1333333333400333</v>
      </c>
      <c r="O130" s="93">
        <f>IF(TrRoad_act!O72=0,0,TrRoad_ene!O75/TrRoad_tech!O103)</f>
        <v>1.1333333333400333</v>
      </c>
      <c r="P130" s="93">
        <f>IF(TrRoad_act!P72=0,0,TrRoad_ene!P75/TrRoad_tech!P103)</f>
        <v>1.160748087021706</v>
      </c>
      <c r="Q130" s="93">
        <f>IF(TrRoad_act!Q72=0,0,TrRoad_ene!Q75/TrRoad_tech!Q103)</f>
        <v>1.1640656154262887</v>
      </c>
      <c r="R130" s="93">
        <f>IF(TrRoad_act!R72=0,0,TrRoad_ene!R75/TrRoad_tech!R103)</f>
        <v>1.1660448680354809</v>
      </c>
      <c r="S130" s="93">
        <f>IF(TrRoad_act!S72=0,0,TrRoad_ene!S75/TrRoad_tech!S103)</f>
        <v>1.1682966095588669</v>
      </c>
      <c r="T130" s="93">
        <f>IF(TrRoad_act!T72=0,0,TrRoad_ene!T75/TrRoad_tech!T103)</f>
        <v>1.3402704049142131</v>
      </c>
      <c r="U130" s="93">
        <f>IF(TrRoad_act!U72=0,0,TrRoad_ene!U75/TrRoad_tech!U103)</f>
        <v>1.3451658416139292</v>
      </c>
      <c r="V130" s="93">
        <f>IF(TrRoad_act!V72=0,0,TrRoad_ene!V75/TrRoad_tech!V103)</f>
        <v>1.3469088287058846</v>
      </c>
      <c r="W130" s="93">
        <f>IF(TrRoad_act!W72=0,0,TrRoad_ene!W75/TrRoad_tech!W103)</f>
        <v>1.3512409429324785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1.0776954166916959</v>
      </c>
      <c r="C132" s="150">
        <f>IF(TrRoad_act!C74=0,0,TrRoad_ene!C77/TrRoad_tech!C105)</f>
        <v>1.062727373857115</v>
      </c>
      <c r="D132" s="150">
        <f>IF(TrRoad_act!D74=0,0,TrRoad_ene!D77/TrRoad_tech!D105)</f>
        <v>1.0604651812004549</v>
      </c>
      <c r="E132" s="150">
        <f>IF(TrRoad_act!E74=0,0,TrRoad_ene!E77/TrRoad_tech!E105)</f>
        <v>1.0588053191245501</v>
      </c>
      <c r="F132" s="150">
        <f>IF(TrRoad_act!F74=0,0,TrRoad_ene!F77/TrRoad_tech!F105)</f>
        <v>1.0591067769336939</v>
      </c>
      <c r="G132" s="150">
        <f>IF(TrRoad_act!G74=0,0,TrRoad_ene!G77/TrRoad_tech!G105)</f>
        <v>1.0625940359342754</v>
      </c>
      <c r="H132" s="150">
        <f>IF(TrRoad_act!H74=0,0,TrRoad_ene!H77/TrRoad_tech!H105)</f>
        <v>1.0688467070190355</v>
      </c>
      <c r="I132" s="150">
        <f>IF(TrRoad_act!I74=0,0,TrRoad_ene!I77/TrRoad_tech!I105)</f>
        <v>1.0793837209420025</v>
      </c>
      <c r="J132" s="150">
        <f>IF(TrRoad_act!J74=0,0,TrRoad_ene!J77/TrRoad_tech!J105)</f>
        <v>1.0924973652935315</v>
      </c>
      <c r="K132" s="150">
        <f>IF(TrRoad_act!K74=0,0,TrRoad_ene!K77/TrRoad_tech!K105)</f>
        <v>1.1072827328249188</v>
      </c>
      <c r="L132" s="150">
        <f>IF(TrRoad_act!L74=0,0,TrRoad_ene!L77/TrRoad_tech!L105)</f>
        <v>1.1173569023981751</v>
      </c>
      <c r="M132" s="150">
        <f>IF(TrRoad_act!M74=0,0,TrRoad_ene!M77/TrRoad_tech!M105)</f>
        <v>1.1224595420738381</v>
      </c>
      <c r="N132" s="150">
        <f>IF(TrRoad_act!N74=0,0,TrRoad_ene!N77/TrRoad_tech!N105)</f>
        <v>1.1337341923128208</v>
      </c>
      <c r="O132" s="150">
        <f>IF(TrRoad_act!O74=0,0,TrRoad_ene!O77/TrRoad_tech!O105)</f>
        <v>1.1467360915343661</v>
      </c>
      <c r="P132" s="150">
        <f>IF(TrRoad_act!P74=0,0,TrRoad_ene!P77/TrRoad_tech!P105)</f>
        <v>1.1606389585817107</v>
      </c>
      <c r="Q132" s="150">
        <f>IF(TrRoad_act!Q74=0,0,TrRoad_ene!Q77/TrRoad_tech!Q105)</f>
        <v>1.1774881819699989</v>
      </c>
      <c r="R132" s="150">
        <f>IF(TrRoad_act!R74=0,0,TrRoad_ene!R77/TrRoad_tech!R105)</f>
        <v>1.1885078915618863</v>
      </c>
      <c r="S132" s="150">
        <f>IF(TrRoad_act!S74=0,0,TrRoad_ene!S77/TrRoad_tech!S105)</f>
        <v>1.2026346133710064</v>
      </c>
      <c r="T132" s="150">
        <f>IF(TrRoad_act!T74=0,0,TrRoad_ene!T77/TrRoad_tech!T105)</f>
        <v>1.2183549977015578</v>
      </c>
      <c r="U132" s="150">
        <f>IF(TrRoad_act!U74=0,0,TrRoad_ene!U77/TrRoad_tech!U105)</f>
        <v>1.235695128493508</v>
      </c>
      <c r="V132" s="150">
        <f>IF(TrRoad_act!V74=0,0,TrRoad_ene!V77/TrRoad_tech!V105)</f>
        <v>1.2502544180648105</v>
      </c>
      <c r="W132" s="150">
        <f>IF(TrRoad_act!W74=0,0,TrRoad_ene!W77/TrRoad_tech!W105)</f>
        <v>1.2659525596848031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1.1000000000067305</v>
      </c>
      <c r="C133" s="91">
        <f>IF(TrRoad_act!C75=0,0,TrRoad_ene!C78/TrRoad_tech!C106)</f>
        <v>1.1001988953811439</v>
      </c>
      <c r="D133" s="91">
        <f>IF(TrRoad_act!D75=0,0,TrRoad_ene!D78/TrRoad_tech!D106)</f>
        <v>1.1006625983353779</v>
      </c>
      <c r="E133" s="91">
        <f>IF(TrRoad_act!E75=0,0,TrRoad_ene!E78/TrRoad_tech!E106)</f>
        <v>1.1013746736027945</v>
      </c>
      <c r="F133" s="91">
        <f>IF(TrRoad_act!F75=0,0,TrRoad_ene!F78/TrRoad_tech!F106)</f>
        <v>1.1023359804477018</v>
      </c>
      <c r="G133" s="91">
        <f>IF(TrRoad_act!G75=0,0,TrRoad_ene!G78/TrRoad_tech!G106)</f>
        <v>1.1033733254663092</v>
      </c>
      <c r="H133" s="91">
        <f>IF(TrRoad_act!H75=0,0,TrRoad_ene!H78/TrRoad_tech!H106)</f>
        <v>1.1040827419128796</v>
      </c>
      <c r="I133" s="91">
        <f>IF(TrRoad_act!I75=0,0,TrRoad_ene!I78/TrRoad_tech!I106)</f>
        <v>1.1053136975072726</v>
      </c>
      <c r="J133" s="91">
        <f>IF(TrRoad_act!J75=0,0,TrRoad_ene!J78/TrRoad_tech!J106)</f>
        <v>1.1107677102811098</v>
      </c>
      <c r="K133" s="91">
        <f>IF(TrRoad_act!K75=0,0,TrRoad_ene!K78/TrRoad_tech!K106)</f>
        <v>1.1171536184040658</v>
      </c>
      <c r="L133" s="91">
        <f>IF(TrRoad_act!L75=0,0,TrRoad_ene!L78/TrRoad_tech!L106)</f>
        <v>1.1222962600670017</v>
      </c>
      <c r="M133" s="91">
        <f>IF(TrRoad_act!M75=0,0,TrRoad_ene!M78/TrRoad_tech!M106)</f>
        <v>1.1272686976899651</v>
      </c>
      <c r="N133" s="91">
        <f>IF(TrRoad_act!N75=0,0,TrRoad_ene!N78/TrRoad_tech!N106)</f>
        <v>1.1364609356457591</v>
      </c>
      <c r="O133" s="91">
        <f>IF(TrRoad_act!O75=0,0,TrRoad_ene!O78/TrRoad_tech!O106)</f>
        <v>1.1472226498357043</v>
      </c>
      <c r="P133" s="91">
        <f>IF(TrRoad_act!P75=0,0,TrRoad_ene!P78/TrRoad_tech!P106)</f>
        <v>1.1591718541194544</v>
      </c>
      <c r="Q133" s="91">
        <f>IF(TrRoad_act!Q75=0,0,TrRoad_ene!Q78/TrRoad_tech!Q106)</f>
        <v>1.1771693707905837</v>
      </c>
      <c r="R133" s="91">
        <f>IF(TrRoad_act!R75=0,0,TrRoad_ene!R78/TrRoad_tech!R106)</f>
        <v>1.2028976030862684</v>
      </c>
      <c r="S133" s="91">
        <f>IF(TrRoad_act!S75=0,0,TrRoad_ene!S78/TrRoad_tech!S106)</f>
        <v>1.2352537699979667</v>
      </c>
      <c r="T133" s="91">
        <f>IF(TrRoad_act!T75=0,0,TrRoad_ene!T78/TrRoad_tech!T106)</f>
        <v>1.2741040253546889</v>
      </c>
      <c r="U133" s="91">
        <f>IF(TrRoad_act!U75=0,0,TrRoad_ene!U78/TrRoad_tech!U106)</f>
        <v>1.3012254315928995</v>
      </c>
      <c r="V133" s="91">
        <f>IF(TrRoad_act!V75=0,0,TrRoad_ene!V78/TrRoad_tech!V106)</f>
        <v>1.3210221653038114</v>
      </c>
      <c r="W133" s="91">
        <f>IF(TrRoad_act!W75=0,0,TrRoad_ene!W78/TrRoad_tech!W106)</f>
        <v>1.3352728564082095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1.10000000000673</v>
      </c>
      <c r="C134" s="91">
        <f>IF(TrRoad_act!C76=0,0,TrRoad_ene!C79/TrRoad_tech!C107)</f>
        <v>1.1003015827506417</v>
      </c>
      <c r="D134" s="91">
        <f>IF(TrRoad_act!D76=0,0,TrRoad_ene!D79/TrRoad_tech!D107)</f>
        <v>1.1006137043563331</v>
      </c>
      <c r="E134" s="91">
        <f>IF(TrRoad_act!E76=0,0,TrRoad_ene!E79/TrRoad_tech!E107)</f>
        <v>1.101690752526884</v>
      </c>
      <c r="F134" s="91">
        <f>IF(TrRoad_act!F76=0,0,TrRoad_ene!F79/TrRoad_tech!F107)</f>
        <v>1.1032585839902171</v>
      </c>
      <c r="G134" s="91">
        <f>IF(TrRoad_act!G76=0,0,TrRoad_ene!G79/TrRoad_tech!G107)</f>
        <v>1.1051508254675713</v>
      </c>
      <c r="H134" s="91">
        <f>IF(TrRoad_act!H76=0,0,TrRoad_ene!H79/TrRoad_tech!H107)</f>
        <v>1.1075785246781362</v>
      </c>
      <c r="I134" s="91">
        <f>IF(TrRoad_act!I76=0,0,TrRoad_ene!I79/TrRoad_tech!I107)</f>
        <v>1.1110121115051925</v>
      </c>
      <c r="J134" s="91">
        <f>IF(TrRoad_act!J76=0,0,TrRoad_ene!J79/TrRoad_tech!J107)</f>
        <v>1.1156880002728047</v>
      </c>
      <c r="K134" s="91">
        <f>IF(TrRoad_act!K76=0,0,TrRoad_ene!K79/TrRoad_tech!K107)</f>
        <v>1.1220169472511234</v>
      </c>
      <c r="L134" s="91">
        <f>IF(TrRoad_act!L76=0,0,TrRoad_ene!L79/TrRoad_tech!L107)</f>
        <v>1.1257109356137429</v>
      </c>
      <c r="M134" s="91">
        <f>IF(TrRoad_act!M76=0,0,TrRoad_ene!M79/TrRoad_tech!M107)</f>
        <v>1.1302509885551957</v>
      </c>
      <c r="N134" s="91">
        <f>IF(TrRoad_act!N76=0,0,TrRoad_ene!N79/TrRoad_tech!N107)</f>
        <v>1.1430527098891419</v>
      </c>
      <c r="O134" s="91">
        <f>IF(TrRoad_act!O76=0,0,TrRoad_ene!O79/TrRoad_tech!O107)</f>
        <v>1.1568080334040181</v>
      </c>
      <c r="P134" s="91">
        <f>IF(TrRoad_act!P76=0,0,TrRoad_ene!P79/TrRoad_tech!P107)</f>
        <v>1.1714032200192279</v>
      </c>
      <c r="Q134" s="91">
        <f>IF(TrRoad_act!Q76=0,0,TrRoad_ene!Q79/TrRoad_tech!Q107)</f>
        <v>1.1879839682596807</v>
      </c>
      <c r="R134" s="91">
        <f>IF(TrRoad_act!R76=0,0,TrRoad_ene!R79/TrRoad_tech!R107)</f>
        <v>1.2010970647227572</v>
      </c>
      <c r="S134" s="91">
        <f>IF(TrRoad_act!S76=0,0,TrRoad_ene!S79/TrRoad_tech!S107)</f>
        <v>1.2175501425896975</v>
      </c>
      <c r="T134" s="91">
        <f>IF(TrRoad_act!T76=0,0,TrRoad_ene!T79/TrRoad_tech!T107)</f>
        <v>1.2340134055689906</v>
      </c>
      <c r="U134" s="91">
        <f>IF(TrRoad_act!U76=0,0,TrRoad_ene!U79/TrRoad_tech!U107)</f>
        <v>1.2504995952716587</v>
      </c>
      <c r="V134" s="91">
        <f>IF(TrRoad_act!V76=0,0,TrRoad_ene!V79/TrRoad_tech!V107)</f>
        <v>1.261926501128497</v>
      </c>
      <c r="W134" s="91">
        <f>IF(TrRoad_act!W76=0,0,TrRoad_ene!W79/TrRoad_tech!W107)</f>
        <v>1.2725446302543215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1.10000000000673</v>
      </c>
      <c r="C135" s="91">
        <f>IF(TrRoad_act!C77=0,0,TrRoad_ene!C80/TrRoad_tech!C108)</f>
        <v>1.1000047686996524</v>
      </c>
      <c r="D135" s="91">
        <f>IF(TrRoad_act!D77=0,0,TrRoad_ene!D80/TrRoad_tech!D108)</f>
        <v>1.1000078430607227</v>
      </c>
      <c r="E135" s="91">
        <f>IF(TrRoad_act!E77=0,0,TrRoad_ene!E80/TrRoad_tech!E108)</f>
        <v>1.1000114391886089</v>
      </c>
      <c r="F135" s="91">
        <f>IF(TrRoad_act!F77=0,0,TrRoad_ene!F80/TrRoad_tech!F108)</f>
        <v>1.100025851097894</v>
      </c>
      <c r="G135" s="91">
        <f>IF(TrRoad_act!G77=0,0,TrRoad_ene!G80/TrRoad_tech!G108)</f>
        <v>1.1000429830386569</v>
      </c>
      <c r="H135" s="91">
        <f>IF(TrRoad_act!H77=0,0,TrRoad_ene!H80/TrRoad_tech!H108)</f>
        <v>1.100376482105921</v>
      </c>
      <c r="I135" s="91">
        <f>IF(TrRoad_act!I77=0,0,TrRoad_ene!I80/TrRoad_tech!I108)</f>
        <v>1.1005736920614348</v>
      </c>
      <c r="J135" s="91">
        <f>IF(TrRoad_act!J77=0,0,TrRoad_ene!J80/TrRoad_tech!J108)</f>
        <v>1.1022690691368968</v>
      </c>
      <c r="K135" s="91">
        <f>IF(TrRoad_act!K77=0,0,TrRoad_ene!K80/TrRoad_tech!K108)</f>
        <v>1.1052279743430384</v>
      </c>
      <c r="L135" s="91">
        <f>IF(TrRoad_act!L77=0,0,TrRoad_ene!L80/TrRoad_tech!L108)</f>
        <v>1.1093498989017971</v>
      </c>
      <c r="M135" s="91">
        <f>IF(TrRoad_act!M77=0,0,TrRoad_ene!M80/TrRoad_tech!M108)</f>
        <v>1.1181822092922888</v>
      </c>
      <c r="N135" s="91">
        <f>IF(TrRoad_act!N77=0,0,TrRoad_ene!N80/TrRoad_tech!N108)</f>
        <v>1.1255717124190612</v>
      </c>
      <c r="O135" s="91">
        <f>IF(TrRoad_act!O77=0,0,TrRoad_ene!O80/TrRoad_tech!O108)</f>
        <v>1.1289495343283649</v>
      </c>
      <c r="P135" s="91">
        <f>IF(TrRoad_act!P77=0,0,TrRoad_ene!P80/TrRoad_tech!P108)</f>
        <v>1.1327156577187778</v>
      </c>
      <c r="Q135" s="91">
        <f>IF(TrRoad_act!Q77=0,0,TrRoad_ene!Q80/TrRoad_tech!Q108)</f>
        <v>1.1400844553561149</v>
      </c>
      <c r="R135" s="91">
        <f>IF(TrRoad_act!R77=0,0,TrRoad_ene!R80/TrRoad_tech!R108)</f>
        <v>1.1401817337360605</v>
      </c>
      <c r="S135" s="91">
        <f>IF(TrRoad_act!S77=0,0,TrRoad_ene!S80/TrRoad_tech!S108)</f>
        <v>1.1402871446067484</v>
      </c>
      <c r="T135" s="91">
        <f>IF(TrRoad_act!T77=0,0,TrRoad_ene!T80/TrRoad_tech!T108)</f>
        <v>1.1404932705875097</v>
      </c>
      <c r="U135" s="91">
        <f>IF(TrRoad_act!U77=0,0,TrRoad_ene!U80/TrRoad_tech!U108)</f>
        <v>1.1406268184112704</v>
      </c>
      <c r="V135" s="91">
        <f>IF(TrRoad_act!V77=0,0,TrRoad_ene!V80/TrRoad_tech!V108)</f>
        <v>1.1565159337188191</v>
      </c>
      <c r="W135" s="91">
        <f>IF(TrRoad_act!W77=0,0,TrRoad_ene!W80/TrRoad_tech!W108)</f>
        <v>1.1622635562369799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1.1693333333396367</v>
      </c>
      <c r="K136" s="91">
        <f>IF(TrRoad_act!K78=0,0,TrRoad_ene!K81/TrRoad_tech!K109)</f>
        <v>1.1730255516932699</v>
      </c>
      <c r="L136" s="91">
        <f>IF(TrRoad_act!L78=0,0,TrRoad_ene!L81/TrRoad_tech!L109)</f>
        <v>1.178075333457014</v>
      </c>
      <c r="M136" s="91">
        <f>IF(TrRoad_act!M78=0,0,TrRoad_ene!M81/TrRoad_tech!M109)</f>
        <v>1.1789119134870596</v>
      </c>
      <c r="N136" s="91">
        <f>IF(TrRoad_act!N78=0,0,TrRoad_ene!N81/TrRoad_tech!N109)</f>
        <v>1.2145595105919591</v>
      </c>
      <c r="O136" s="91">
        <f>IF(TrRoad_act!O78=0,0,TrRoad_ene!O81/TrRoad_tech!O109)</f>
        <v>1.3549736047299201</v>
      </c>
      <c r="P136" s="91">
        <f>IF(TrRoad_act!P78=0,0,TrRoad_ene!P81/TrRoad_tech!P109)</f>
        <v>1.2467350136377611</v>
      </c>
      <c r="Q136" s="91">
        <f>IF(TrRoad_act!Q78=0,0,TrRoad_ene!Q81/TrRoad_tech!Q109)</f>
        <v>1.3571063022302434</v>
      </c>
      <c r="R136" s="91">
        <f>IF(TrRoad_act!R78=0,0,TrRoad_ene!R81/TrRoad_tech!R109)</f>
        <v>1.3297391280643769</v>
      </c>
      <c r="S136" s="91">
        <f>IF(TrRoad_act!S78=0,0,TrRoad_ene!S81/TrRoad_tech!S109)</f>
        <v>1.3544186981947435</v>
      </c>
      <c r="T136" s="91">
        <f>IF(TrRoad_act!T78=0,0,TrRoad_ene!T81/TrRoad_tech!T109)</f>
        <v>1.369483367937631</v>
      </c>
      <c r="U136" s="91">
        <f>IF(TrRoad_act!U78=0,0,TrRoad_ene!U81/TrRoad_tech!U109)</f>
        <v>1.8014875936921426</v>
      </c>
      <c r="V136" s="91">
        <f>IF(TrRoad_act!V78=0,0,TrRoad_ene!V81/TrRoad_tech!V109)</f>
        <v>2.5474231561106113</v>
      </c>
      <c r="W136" s="91">
        <f>IF(TrRoad_act!W78=0,0,TrRoad_ene!W81/TrRoad_tech!W109)</f>
        <v>3.6640530089215986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1.1693333333396367</v>
      </c>
      <c r="K137" s="91">
        <f>IF(TrRoad_act!K79=0,0,TrRoad_ene!K82/TrRoad_tech!K110)</f>
        <v>1.1700786904684302</v>
      </c>
      <c r="L137" s="91">
        <f>IF(TrRoad_act!L79=0,0,TrRoad_ene!L82/TrRoad_tech!L110)</f>
        <v>1.1705883457499615</v>
      </c>
      <c r="M137" s="91">
        <f>IF(TrRoad_act!M79=0,0,TrRoad_ene!M82/TrRoad_tech!M110)</f>
        <v>1.1809322456436222</v>
      </c>
      <c r="N137" s="91">
        <f>IF(TrRoad_act!N79=0,0,TrRoad_ene!N82/TrRoad_tech!N110)</f>
        <v>1.2240905524957797</v>
      </c>
      <c r="O137" s="91">
        <f>IF(TrRoad_act!O79=0,0,TrRoad_ene!O82/TrRoad_tech!O110)</f>
        <v>1.2328756686818911</v>
      </c>
      <c r="P137" s="91">
        <f>IF(TrRoad_act!P79=0,0,TrRoad_ene!P82/TrRoad_tech!P110)</f>
        <v>1.2414826549237836</v>
      </c>
      <c r="Q137" s="91">
        <f>IF(TrRoad_act!Q79=0,0,TrRoad_ene!Q82/TrRoad_tech!Q110)</f>
        <v>1.2509683026708522</v>
      </c>
      <c r="R137" s="91">
        <f>IF(TrRoad_act!R79=0,0,TrRoad_ene!R82/TrRoad_tech!R110)</f>
        <v>1.2736109635202562</v>
      </c>
      <c r="S137" s="91">
        <f>IF(TrRoad_act!S79=0,0,TrRoad_ene!S82/TrRoad_tech!S110)</f>
        <v>1.2925402749758053</v>
      </c>
      <c r="T137" s="91">
        <f>IF(TrRoad_act!T79=0,0,TrRoad_ene!T82/TrRoad_tech!T110)</f>
        <v>1.3075876698604014</v>
      </c>
      <c r="U137" s="91">
        <f>IF(TrRoad_act!U79=0,0,TrRoad_ene!U82/TrRoad_tech!U110)</f>
        <v>1.3242334598267651</v>
      </c>
      <c r="V137" s="91">
        <f>IF(TrRoad_act!V79=0,0,TrRoad_ene!V82/TrRoad_tech!V110)</f>
        <v>1.3343414836459941</v>
      </c>
      <c r="W137" s="91">
        <f>IF(TrRoad_act!W79=0,0,TrRoad_ene!W82/TrRoad_tech!W110)</f>
        <v>1.3426635691620969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0.88655745814911846</v>
      </c>
      <c r="C138" s="151">
        <f>IF(TrRoad_act!C80=0,0,TrRoad_ene!C83/TrRoad_tech!C111)</f>
        <v>0.99564319453634698</v>
      </c>
      <c r="D138" s="151">
        <f>IF(TrRoad_act!D80=0,0,TrRoad_ene!D83/TrRoad_tech!D111)</f>
        <v>0.98677402403930137</v>
      </c>
      <c r="E138" s="151">
        <f>IF(TrRoad_act!E80=0,0,TrRoad_ene!E83/TrRoad_tech!E111)</f>
        <v>1.0536379879979267</v>
      </c>
      <c r="F138" s="151">
        <f>IF(TrRoad_act!F80=0,0,TrRoad_ene!F83/TrRoad_tech!F111)</f>
        <v>1.1159176063876675</v>
      </c>
      <c r="G138" s="151">
        <f>IF(TrRoad_act!G80=0,0,TrRoad_ene!G83/TrRoad_tech!G111)</f>
        <v>1.1422466601416761</v>
      </c>
      <c r="H138" s="151">
        <f>IF(TrRoad_act!H80=0,0,TrRoad_ene!H83/TrRoad_tech!H111)</f>
        <v>1.1853904147883478</v>
      </c>
      <c r="I138" s="151">
        <f>IF(TrRoad_act!I80=0,0,TrRoad_ene!I83/TrRoad_tech!I111)</f>
        <v>1.2106200117931072</v>
      </c>
      <c r="J138" s="151">
        <f>IF(TrRoad_act!J80=0,0,TrRoad_ene!J83/TrRoad_tech!J111)</f>
        <v>1.275050786944653</v>
      </c>
      <c r="K138" s="151">
        <f>IF(TrRoad_act!K80=0,0,TrRoad_ene!K83/TrRoad_tech!K111)</f>
        <v>1.2771824806643679</v>
      </c>
      <c r="L138" s="151">
        <f>IF(TrRoad_act!L80=0,0,TrRoad_ene!L83/TrRoad_tech!L111)</f>
        <v>1.3060289844335149</v>
      </c>
      <c r="M138" s="151">
        <f>IF(TrRoad_act!M80=0,0,TrRoad_ene!M83/TrRoad_tech!M111)</f>
        <v>1.2726475512956723</v>
      </c>
      <c r="N138" s="151">
        <f>IF(TrRoad_act!N80=0,0,TrRoad_ene!N83/TrRoad_tech!N111)</f>
        <v>1.2256324887129559</v>
      </c>
      <c r="O138" s="151">
        <f>IF(TrRoad_act!O80=0,0,TrRoad_ene!O83/TrRoad_tech!O111)</f>
        <v>1.2590568605313703</v>
      </c>
      <c r="P138" s="151">
        <f>IF(TrRoad_act!P80=0,0,TrRoad_ene!P83/TrRoad_tech!P111)</f>
        <v>1.2731349987256484</v>
      </c>
      <c r="Q138" s="151">
        <f>IF(TrRoad_act!Q80=0,0,TrRoad_ene!Q83/TrRoad_tech!Q111)</f>
        <v>1.3491955330612393</v>
      </c>
      <c r="R138" s="151">
        <f>IF(TrRoad_act!R80=0,0,TrRoad_ene!R83/TrRoad_tech!R111)</f>
        <v>1.5545680197219804</v>
      </c>
      <c r="S138" s="151">
        <f>IF(TrRoad_act!S80=0,0,TrRoad_ene!S83/TrRoad_tech!S111)</f>
        <v>1.6772419700065873</v>
      </c>
      <c r="T138" s="151">
        <f>IF(TrRoad_act!T80=0,0,TrRoad_ene!T83/TrRoad_tech!T111)</f>
        <v>1.9084170369405595</v>
      </c>
      <c r="U138" s="151">
        <f>IF(TrRoad_act!U80=0,0,TrRoad_ene!U83/TrRoad_tech!U111)</f>
        <v>1.8789316425553444</v>
      </c>
      <c r="V138" s="151">
        <f>IF(TrRoad_act!V80=0,0,TrRoad_ene!V83/TrRoad_tech!V111)</f>
        <v>1.80324359340628</v>
      </c>
      <c r="W138" s="151">
        <f>IF(TrRoad_act!W80=0,0,TrRoad_ene!W83/TrRoad_tech!W111)</f>
        <v>2.0375355492146126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0.86867650488105119</v>
      </c>
      <c r="C139" s="93">
        <f>IF(TrRoad_act!C81=0,0,TrRoad_ene!C84/TrRoad_tech!C112)</f>
        <v>0.97086486599149335</v>
      </c>
      <c r="D139" s="93">
        <f>IF(TrRoad_act!D81=0,0,TrRoad_ene!D84/TrRoad_tech!D112)</f>
        <v>0.96430293284873281</v>
      </c>
      <c r="E139" s="93">
        <f>IF(TrRoad_act!E81=0,0,TrRoad_ene!E84/TrRoad_tech!E112)</f>
        <v>1.0291821388443283</v>
      </c>
      <c r="F139" s="93">
        <f>IF(TrRoad_act!F81=0,0,TrRoad_ene!F84/TrRoad_tech!F112)</f>
        <v>1.0928627782116933</v>
      </c>
      <c r="G139" s="93">
        <f>IF(TrRoad_act!G81=0,0,TrRoad_ene!G84/TrRoad_tech!G112)</f>
        <v>1.118534355990418</v>
      </c>
      <c r="H139" s="93">
        <f>IF(TrRoad_act!H81=0,0,TrRoad_ene!H84/TrRoad_tech!H112)</f>
        <v>1.1622592386763695</v>
      </c>
      <c r="I139" s="93">
        <f>IF(TrRoad_act!I81=0,0,TrRoad_ene!I84/TrRoad_tech!I112)</f>
        <v>1.188000011325747</v>
      </c>
      <c r="J139" s="93">
        <f>IF(TrRoad_act!J81=0,0,TrRoad_ene!J84/TrRoad_tech!J112)</f>
        <v>1.2493898692736385</v>
      </c>
      <c r="K139" s="93">
        <f>IF(TrRoad_act!K81=0,0,TrRoad_ene!K84/TrRoad_tech!K112)</f>
        <v>1.2529942096201703</v>
      </c>
      <c r="L139" s="93">
        <f>IF(TrRoad_act!L81=0,0,TrRoad_ene!L84/TrRoad_tech!L112)</f>
        <v>1.2829974389256205</v>
      </c>
      <c r="M139" s="93">
        <f>IF(TrRoad_act!M81=0,0,TrRoad_ene!M84/TrRoad_tech!M112)</f>
        <v>1.2518107481848928</v>
      </c>
      <c r="N139" s="93">
        <f>IF(TrRoad_act!N81=0,0,TrRoad_ene!N84/TrRoad_tech!N112)</f>
        <v>1.2068006095200432</v>
      </c>
      <c r="O139" s="93">
        <f>IF(TrRoad_act!O81=0,0,TrRoad_ene!O84/TrRoad_tech!O112)</f>
        <v>1.2380991187377677</v>
      </c>
      <c r="P139" s="93">
        <f>IF(TrRoad_act!P81=0,0,TrRoad_ene!P84/TrRoad_tech!P112)</f>
        <v>1.2509604003830781</v>
      </c>
      <c r="Q139" s="93">
        <f>IF(TrRoad_act!Q81=0,0,TrRoad_ene!Q84/TrRoad_tech!Q112)</f>
        <v>1.3261605980448137</v>
      </c>
      <c r="R139" s="93">
        <f>IF(TrRoad_act!R81=0,0,TrRoad_ene!R84/TrRoad_tech!R112)</f>
        <v>1.5252878965172922</v>
      </c>
      <c r="S139" s="93">
        <f>IF(TrRoad_act!S81=0,0,TrRoad_ene!S84/TrRoad_tech!S112)</f>
        <v>1.6416391973544189</v>
      </c>
      <c r="T139" s="93">
        <f>IF(TrRoad_act!T81=0,0,TrRoad_ene!T84/TrRoad_tech!T112)</f>
        <v>1.8570463194213616</v>
      </c>
      <c r="U139" s="93">
        <f>IF(TrRoad_act!U81=0,0,TrRoad_ene!U84/TrRoad_tech!U112)</f>
        <v>1.8162677943437691</v>
      </c>
      <c r="V139" s="93">
        <f>IF(TrRoad_act!V81=0,0,TrRoad_ene!V84/TrRoad_tech!V112)</f>
        <v>1.7335951215586003</v>
      </c>
      <c r="W139" s="93">
        <f>IF(TrRoad_act!W81=0,0,TrRoad_ene!W84/TrRoad_tech!W112)</f>
        <v>1.9454591812880773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0.8686765048810513</v>
      </c>
      <c r="C140" s="94">
        <f>IF(TrRoad_act!C82=0,0,TrRoad_ene!C85/TrRoad_tech!C113)</f>
        <v>0.97008323012794195</v>
      </c>
      <c r="D140" s="94">
        <f>IF(TrRoad_act!D82=0,0,TrRoad_ene!D85/TrRoad_tech!D113)</f>
        <v>0.96417106314475953</v>
      </c>
      <c r="E140" s="94">
        <f>IF(TrRoad_act!E82=0,0,TrRoad_ene!E85/TrRoad_tech!E113)</f>
        <v>1.0295141207815444</v>
      </c>
      <c r="F140" s="94">
        <f>IF(TrRoad_act!F82=0,0,TrRoad_ene!F85/TrRoad_tech!F113)</f>
        <v>1.096324577586292</v>
      </c>
      <c r="G140" s="94">
        <f>IF(TrRoad_act!G82=0,0,TrRoad_ene!G85/TrRoad_tech!G113)</f>
        <v>1.1230501773339627</v>
      </c>
      <c r="H140" s="94">
        <f>IF(TrRoad_act!H82=0,0,TrRoad_ene!H85/TrRoad_tech!H113)</f>
        <v>1.1683079877152143</v>
      </c>
      <c r="I140" s="94">
        <f>IF(TrRoad_act!I82=0,0,TrRoad_ene!I85/TrRoad_tech!I113)</f>
        <v>1.1965781496963883</v>
      </c>
      <c r="J140" s="94">
        <f>IF(TrRoad_act!J82=0,0,TrRoad_ene!J85/TrRoad_tech!J113)</f>
        <v>1.2570052758683945</v>
      </c>
      <c r="K140" s="94">
        <f>IF(TrRoad_act!K82=0,0,TrRoad_ene!K85/TrRoad_tech!K113)</f>
        <v>1.2592621556138566</v>
      </c>
      <c r="L140" s="94">
        <f>IF(TrRoad_act!L82=0,0,TrRoad_ene!L85/TrRoad_tech!L113)</f>
        <v>1.2951046463565381</v>
      </c>
      <c r="M140" s="94">
        <f>IF(TrRoad_act!M82=0,0,TrRoad_ene!M85/TrRoad_tech!M113)</f>
        <v>1.2593153971664699</v>
      </c>
      <c r="N140" s="94">
        <f>IF(TrRoad_act!N82=0,0,TrRoad_ene!N85/TrRoad_tech!N113)</f>
        <v>1.2176628197335231</v>
      </c>
      <c r="O140" s="94">
        <f>IF(TrRoad_act!O82=0,0,TrRoad_ene!O85/TrRoad_tech!O113)</f>
        <v>1.2584662211964128</v>
      </c>
      <c r="P140" s="94">
        <f>IF(TrRoad_act!P82=0,0,TrRoad_ene!P85/TrRoad_tech!P113)</f>
        <v>1.2737398807907239</v>
      </c>
      <c r="Q140" s="94">
        <f>IF(TrRoad_act!Q82=0,0,TrRoad_ene!Q85/TrRoad_tech!Q113)</f>
        <v>1.3443266118253725</v>
      </c>
      <c r="R140" s="94">
        <f>IF(TrRoad_act!R82=0,0,TrRoad_ene!R85/TrRoad_tech!R113)</f>
        <v>1.5598428186636109</v>
      </c>
      <c r="S140" s="94">
        <f>IF(TrRoad_act!S82=0,0,TrRoad_ene!S85/TrRoad_tech!S113)</f>
        <v>1.6907709080277293</v>
      </c>
      <c r="T140" s="94">
        <f>IF(TrRoad_act!T82=0,0,TrRoad_ene!T85/TrRoad_tech!T113)</f>
        <v>1.9046487292598695</v>
      </c>
      <c r="U140" s="94">
        <f>IF(TrRoad_act!U82=0,0,TrRoad_ene!U85/TrRoad_tech!U113)</f>
        <v>1.8684630461891583</v>
      </c>
      <c r="V140" s="94">
        <f>IF(TrRoad_act!V82=0,0,TrRoad_ene!V85/TrRoad_tech!V113)</f>
        <v>1.7997729355607506</v>
      </c>
      <c r="W140" s="94">
        <f>IF(TrRoad_act!W82=0,0,TrRoad_ene!W85/TrRoad_tech!W113)</f>
        <v>2.0147331402048052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3.4291998277597293</v>
      </c>
      <c r="C144" s="141">
        <v>3.4291998277597293</v>
      </c>
      <c r="D144" s="141">
        <v>3.4291998277597293</v>
      </c>
      <c r="E144" s="141">
        <v>3.3809012386363531</v>
      </c>
      <c r="F144" s="141">
        <v>3.3326026495129768</v>
      </c>
      <c r="G144" s="141">
        <v>3.2843040603896001</v>
      </c>
      <c r="H144" s="141">
        <v>3.2360054712662234</v>
      </c>
      <c r="I144" s="141">
        <v>3.2360054712662234</v>
      </c>
      <c r="J144" s="141">
        <v>3.1394082930194704</v>
      </c>
      <c r="K144" s="141">
        <v>2.9751930899999905</v>
      </c>
      <c r="L144" s="141">
        <v>2.8669836909800623</v>
      </c>
      <c r="M144" s="141">
        <v>2.6982894293847863</v>
      </c>
      <c r="N144" s="141">
        <v>2.75882672600186</v>
      </c>
      <c r="O144" s="141">
        <v>2.6737370721440339</v>
      </c>
      <c r="P144" s="141">
        <v>2.6162391167196879</v>
      </c>
      <c r="Q144" s="141">
        <v>2.5463595938658994</v>
      </c>
      <c r="R144" s="141">
        <v>2.5030176099252293</v>
      </c>
      <c r="S144" s="141">
        <v>2.4683440227726932</v>
      </c>
      <c r="T144" s="141">
        <v>2.4406051530506643</v>
      </c>
      <c r="U144" s="141">
        <v>2.4184140572730413</v>
      </c>
      <c r="V144" s="141">
        <v>2.400661180650943</v>
      </c>
      <c r="W144" s="141">
        <v>2.3864588793532642</v>
      </c>
      <c r="DA144" s="174" t="s">
        <v>885</v>
      </c>
    </row>
    <row r="145" spans="1:105" ht="11.45" customHeight="1" x14ac:dyDescent="0.25">
      <c r="A145" s="109" t="s">
        <v>20</v>
      </c>
      <c r="B145" s="130">
        <v>6.4847834401277176</v>
      </c>
      <c r="C145" s="130">
        <v>6.4852040567408338</v>
      </c>
      <c r="D145" s="130">
        <v>6.4525499570175544</v>
      </c>
      <c r="E145" s="130">
        <v>6.3299465459566315</v>
      </c>
      <c r="F145" s="130">
        <v>6.2760008944011316</v>
      </c>
      <c r="G145" s="130">
        <v>6.1676997766655566</v>
      </c>
      <c r="H145" s="130">
        <v>6.1289822412566961</v>
      </c>
      <c r="I145" s="130">
        <v>6.1092819058190155</v>
      </c>
      <c r="J145" s="130">
        <v>5.95903240620083</v>
      </c>
      <c r="K145" s="130">
        <v>5.7186351379022939</v>
      </c>
      <c r="L145" s="130">
        <v>5.4992369905907585</v>
      </c>
      <c r="M145" s="130">
        <v>5.2496854175082506</v>
      </c>
      <c r="N145" s="130">
        <v>5.2871394658620936</v>
      </c>
      <c r="O145" s="130">
        <v>5.1186212455917799</v>
      </c>
      <c r="P145" s="130">
        <v>5.0233841876048579</v>
      </c>
      <c r="Q145" s="130">
        <v>4.9066418904965001</v>
      </c>
      <c r="R145" s="130">
        <v>4.8126579197626711</v>
      </c>
      <c r="S145" s="130">
        <v>4.8265911423164782</v>
      </c>
      <c r="T145" s="130">
        <v>4.9738321176403746</v>
      </c>
      <c r="U145" s="130">
        <v>4.9901292482577082</v>
      </c>
      <c r="V145" s="130">
        <v>4.6888775801967153</v>
      </c>
      <c r="W145" s="130">
        <v>4.375742243473141</v>
      </c>
      <c r="DA145" s="176" t="s">
        <v>886</v>
      </c>
    </row>
    <row r="146" spans="1:105" ht="11.45" customHeight="1" x14ac:dyDescent="0.25">
      <c r="A146" s="111" t="s">
        <v>110</v>
      </c>
      <c r="B146" s="96">
        <v>6.8442588575701118</v>
      </c>
      <c r="C146" s="96">
        <v>6.8442588575701118</v>
      </c>
      <c r="D146" s="96">
        <v>6.8442588575701118</v>
      </c>
      <c r="E146" s="96">
        <v>6.7478608454916591</v>
      </c>
      <c r="F146" s="96">
        <v>6.6514628334132091</v>
      </c>
      <c r="G146" s="96">
        <v>6.5550648213347555</v>
      </c>
      <c r="H146" s="96">
        <v>6.4586668092563038</v>
      </c>
      <c r="I146" s="96">
        <v>6.4586668092563038</v>
      </c>
      <c r="J146" s="96">
        <v>6.2658707850993984</v>
      </c>
      <c r="K146" s="96">
        <v>5.9381175440326599</v>
      </c>
      <c r="L146" s="96">
        <v>5.7215385702731814</v>
      </c>
      <c r="M146" s="96">
        <v>5.3850757673959313</v>
      </c>
      <c r="N146" s="96">
        <v>5.5130920070472103</v>
      </c>
      <c r="O146" s="96">
        <v>5.3396909363942102</v>
      </c>
      <c r="P146" s="96">
        <v>5.2352008908412451</v>
      </c>
      <c r="Q146" s="96">
        <v>5.113876272706201</v>
      </c>
      <c r="R146" s="96">
        <v>5.0776632581594416</v>
      </c>
      <c r="S146" s="96">
        <v>5.043632469779058</v>
      </c>
      <c r="T146" s="96">
        <v>5.1314774393887728</v>
      </c>
      <c r="U146" s="96">
        <v>5.1799119516028904</v>
      </c>
      <c r="V146" s="96">
        <v>4.9387896657375521</v>
      </c>
      <c r="W146" s="96">
        <v>4.7270121310159245</v>
      </c>
      <c r="DA146" s="171" t="s">
        <v>887</v>
      </c>
    </row>
    <row r="147" spans="1:105" ht="11.45" customHeight="1" x14ac:dyDescent="0.25">
      <c r="A147" s="111" t="s">
        <v>111</v>
      </c>
      <c r="B147" s="96">
        <v>6.2462002396839109</v>
      </c>
      <c r="C147" s="96">
        <v>6.2388089996767562</v>
      </c>
      <c r="D147" s="96">
        <v>6.2306067682026569</v>
      </c>
      <c r="E147" s="96">
        <v>6.1361213225204896</v>
      </c>
      <c r="F147" s="96">
        <v>6.1139646452917482</v>
      </c>
      <c r="G147" s="96">
        <v>6.0207574694497019</v>
      </c>
      <c r="H147" s="96">
        <v>6.0153248226291947</v>
      </c>
      <c r="I147" s="96">
        <v>6.0040334390414696</v>
      </c>
      <c r="J147" s="96">
        <v>5.8750347076760754</v>
      </c>
      <c r="K147" s="96">
        <v>5.6456917938612952</v>
      </c>
      <c r="L147" s="96">
        <v>5.4288328859896975</v>
      </c>
      <c r="M147" s="96">
        <v>5.2010771097484367</v>
      </c>
      <c r="N147" s="96">
        <v>5.1783101429640555</v>
      </c>
      <c r="O147" s="96">
        <v>5.0014427636029284</v>
      </c>
      <c r="P147" s="96">
        <v>4.889836758356795</v>
      </c>
      <c r="Q147" s="96">
        <v>4.7369536745997962</v>
      </c>
      <c r="R147" s="96">
        <v>4.6106800637581227</v>
      </c>
      <c r="S147" s="96">
        <v>4.6594088265420091</v>
      </c>
      <c r="T147" s="96">
        <v>4.8193823067334334</v>
      </c>
      <c r="U147" s="96">
        <v>4.8302930440261811</v>
      </c>
      <c r="V147" s="96">
        <v>4.6519243705238118</v>
      </c>
      <c r="W147" s="96">
        <v>4.5032052008137455</v>
      </c>
      <c r="DA147" s="171" t="s">
        <v>888</v>
      </c>
    </row>
    <row r="148" spans="1:105" ht="11.45" customHeight="1" x14ac:dyDescent="0.25">
      <c r="A148" s="111" t="s">
        <v>112</v>
      </c>
      <c r="B148" s="96">
        <v>0</v>
      </c>
      <c r="C148" s="96">
        <v>7.283569324376062</v>
      </c>
      <c r="D148" s="96">
        <v>7.2739935349009741</v>
      </c>
      <c r="E148" s="96">
        <v>0</v>
      </c>
      <c r="F148" s="96">
        <v>0</v>
      </c>
      <c r="G148" s="96">
        <v>7.0290025574214496</v>
      </c>
      <c r="H148" s="96">
        <v>7.0226601514054838</v>
      </c>
      <c r="I148" s="96">
        <v>7.0094778957644506</v>
      </c>
      <c r="J148" s="96">
        <v>6.858876843110794</v>
      </c>
      <c r="K148" s="96">
        <v>6.591127820515152</v>
      </c>
      <c r="L148" s="96">
        <v>5.4769946227472355</v>
      </c>
      <c r="M148" s="96">
        <v>5.5374190259824161</v>
      </c>
      <c r="N148" s="96">
        <v>6.0454335064064004</v>
      </c>
      <c r="O148" s="96">
        <v>5.9032344408181361</v>
      </c>
      <c r="P148" s="96">
        <v>5.8481330566790017</v>
      </c>
      <c r="Q148" s="96">
        <v>5.8361473555459673</v>
      </c>
      <c r="R148" s="96">
        <v>5.3366291549738785</v>
      </c>
      <c r="S148" s="96">
        <v>5.2768624697082451</v>
      </c>
      <c r="T148" s="96">
        <v>5.8088207213440741</v>
      </c>
      <c r="U148" s="96">
        <v>6.177057311724762</v>
      </c>
      <c r="V148" s="96">
        <v>4.8019017647627305</v>
      </c>
      <c r="W148" s="96">
        <v>5.1362957656921591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8.9677818856312737</v>
      </c>
      <c r="G149" s="96">
        <v>8.8006593327116409</v>
      </c>
      <c r="H149" s="96">
        <v>8.4177820151517118</v>
      </c>
      <c r="I149" s="96">
        <v>8.3089652273734469</v>
      </c>
      <c r="J149" s="96">
        <v>0</v>
      </c>
      <c r="K149" s="96">
        <v>0</v>
      </c>
      <c r="L149" s="96">
        <v>0</v>
      </c>
      <c r="M149" s="96">
        <v>7.2852128975871357</v>
      </c>
      <c r="N149" s="96">
        <v>7.334087023984698</v>
      </c>
      <c r="O149" s="96">
        <v>6.9286426565353443</v>
      </c>
      <c r="P149" s="96">
        <v>6.1306296595326835</v>
      </c>
      <c r="Q149" s="96">
        <v>6.0904243188725387</v>
      </c>
      <c r="R149" s="96">
        <v>6.0690621634531405</v>
      </c>
      <c r="S149" s="96">
        <v>6.0556571564542079</v>
      </c>
      <c r="T149" s="96">
        <v>6.0476918775716584</v>
      </c>
      <c r="U149" s="96">
        <v>5.3666599636994334</v>
      </c>
      <c r="V149" s="96">
        <v>5.0377855508396214</v>
      </c>
      <c r="W149" s="96">
        <v>4.9775982065013089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3.3025380460809304</v>
      </c>
      <c r="N150" s="96">
        <v>2.4091518745362723</v>
      </c>
      <c r="O150" s="96">
        <v>2.9134669966879496</v>
      </c>
      <c r="P150" s="96">
        <v>3.1323610243016593</v>
      </c>
      <c r="Q150" s="96">
        <v>3.6887586514175359</v>
      </c>
      <c r="R150" s="96">
        <v>3.7459205291659696</v>
      </c>
      <c r="S150" s="96">
        <v>3.5434082786122936</v>
      </c>
      <c r="T150" s="96">
        <v>3.399434720927724</v>
      </c>
      <c r="U150" s="96">
        <v>3.058046965667172</v>
      </c>
      <c r="V150" s="96">
        <v>4.0094893129511195</v>
      </c>
      <c r="W150" s="96">
        <v>3.0834846287647619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1.2236579000796759</v>
      </c>
      <c r="K151" s="96">
        <v>1.2208913782356174</v>
      </c>
      <c r="L151" s="96">
        <v>1.2037833190025795</v>
      </c>
      <c r="M151" s="96">
        <v>1.2037833190025795</v>
      </c>
      <c r="N151" s="96">
        <v>1.2037833190025795</v>
      </c>
      <c r="O151" s="96">
        <v>1.251753631714712</v>
      </c>
      <c r="P151" s="96">
        <v>1.231229463838412</v>
      </c>
      <c r="Q151" s="96">
        <v>1.5788056743420533</v>
      </c>
      <c r="R151" s="96">
        <v>1.4475633367384662</v>
      </c>
      <c r="S151" s="96">
        <v>1.4231806612120879</v>
      </c>
      <c r="T151" s="96">
        <v>1.649922262509558</v>
      </c>
      <c r="U151" s="96">
        <v>1.7234776757196941</v>
      </c>
      <c r="V151" s="96">
        <v>1.5953807392512502</v>
      </c>
      <c r="W151" s="96">
        <v>1.5995153591321005</v>
      </c>
      <c r="DA151" s="171" t="s">
        <v>892</v>
      </c>
    </row>
    <row r="152" spans="1:105" ht="11.45" customHeight="1" x14ac:dyDescent="0.25">
      <c r="A152" s="109" t="s">
        <v>21</v>
      </c>
      <c r="B152" s="130">
        <v>46.591787614218987</v>
      </c>
      <c r="C152" s="130">
        <v>46.591787614218987</v>
      </c>
      <c r="D152" s="130">
        <v>46.591787614218987</v>
      </c>
      <c r="E152" s="130">
        <v>46.425980540858781</v>
      </c>
      <c r="F152" s="130">
        <v>46.258377723021745</v>
      </c>
      <c r="G152" s="130">
        <v>45.698058835587879</v>
      </c>
      <c r="H152" s="130">
        <v>45.917598792126483</v>
      </c>
      <c r="I152" s="130">
        <v>45.917598792126483</v>
      </c>
      <c r="J152" s="130">
        <v>45.56708277081254</v>
      </c>
      <c r="K152" s="130">
        <v>44.920813240382472</v>
      </c>
      <c r="L152" s="130">
        <v>44.476136411572028</v>
      </c>
      <c r="M152" s="130">
        <v>43.775171952586518</v>
      </c>
      <c r="N152" s="130">
        <v>44.08332828517905</v>
      </c>
      <c r="O152" s="130">
        <v>43.73536706605185</v>
      </c>
      <c r="P152" s="130">
        <v>43.444766665313722</v>
      </c>
      <c r="Q152" s="130">
        <v>43.199999999908329</v>
      </c>
      <c r="R152" s="130">
        <v>42.896030954420418</v>
      </c>
      <c r="S152" s="130">
        <v>42.697856146718181</v>
      </c>
      <c r="T152" s="130">
        <v>42.085740089648404</v>
      </c>
      <c r="U152" s="130">
        <v>41.70330290605235</v>
      </c>
      <c r="V152" s="130">
        <v>41.783973811587067</v>
      </c>
      <c r="W152" s="130">
        <v>40.713235154026989</v>
      </c>
      <c r="DA152" s="176" t="s">
        <v>893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12.396637874999961</v>
      </c>
      <c r="L153" s="97">
        <v>11.945765379083593</v>
      </c>
      <c r="M153" s="97">
        <v>11.242872622436611</v>
      </c>
      <c r="N153" s="97">
        <v>0</v>
      </c>
      <c r="O153" s="97">
        <v>0</v>
      </c>
      <c r="P153" s="97">
        <v>0</v>
      </c>
      <c r="Q153" s="97">
        <v>0</v>
      </c>
      <c r="R153" s="97">
        <v>9.5192868829738568</v>
      </c>
      <c r="S153" s="97">
        <v>0</v>
      </c>
      <c r="T153" s="97">
        <v>0</v>
      </c>
      <c r="U153" s="97">
        <v>8.8319418665591947</v>
      </c>
      <c r="V153" s="97">
        <v>0</v>
      </c>
      <c r="W153" s="97">
        <v>0</v>
      </c>
      <c r="DA153" s="175" t="s">
        <v>894</v>
      </c>
    </row>
    <row r="154" spans="1:105" ht="11.45" customHeight="1" x14ac:dyDescent="0.25">
      <c r="A154" s="111" t="s">
        <v>111</v>
      </c>
      <c r="B154" s="97">
        <v>46.591787614218987</v>
      </c>
      <c r="C154" s="97">
        <v>46.591787614218987</v>
      </c>
      <c r="D154" s="97">
        <v>46.591787614218987</v>
      </c>
      <c r="E154" s="97">
        <v>46.425980540858781</v>
      </c>
      <c r="F154" s="97">
        <v>46.258377723021745</v>
      </c>
      <c r="G154" s="97">
        <v>46.088933115977703</v>
      </c>
      <c r="H154" s="97">
        <v>45.917598792126483</v>
      </c>
      <c r="I154" s="97">
        <v>45.917598792126483</v>
      </c>
      <c r="J154" s="97">
        <v>45.56708277081254</v>
      </c>
      <c r="K154" s="97">
        <v>44.946874278335507</v>
      </c>
      <c r="L154" s="97">
        <v>44.526727968387718</v>
      </c>
      <c r="M154" s="97">
        <v>43.841496721863074</v>
      </c>
      <c r="N154" s="97">
        <v>44.08332828517905</v>
      </c>
      <c r="O154" s="97">
        <v>43.73536706605185</v>
      </c>
      <c r="P154" s="97">
        <v>43.49638345204815</v>
      </c>
      <c r="Q154" s="97">
        <v>43.199999999908329</v>
      </c>
      <c r="R154" s="97">
        <v>42.934982001742945</v>
      </c>
      <c r="S154" s="97">
        <v>42.697856146718181</v>
      </c>
      <c r="T154" s="97">
        <v>42.485562811934216</v>
      </c>
      <c r="U154" s="97">
        <v>42.295401430380586</v>
      </c>
      <c r="V154" s="97">
        <v>42.124984024196614</v>
      </c>
      <c r="W154" s="97">
        <v>41.972195522407404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0</v>
      </c>
      <c r="G156" s="97">
        <v>0</v>
      </c>
      <c r="H156" s="97">
        <v>0</v>
      </c>
      <c r="I156" s="97">
        <v>0</v>
      </c>
      <c r="J156" s="97">
        <v>0</v>
      </c>
      <c r="K156" s="97">
        <v>0</v>
      </c>
      <c r="L156" s="97">
        <v>0</v>
      </c>
      <c r="M156" s="97">
        <v>0</v>
      </c>
      <c r="N156" s="97">
        <v>0</v>
      </c>
      <c r="O156" s="97">
        <v>0</v>
      </c>
      <c r="P156" s="97">
        <v>0</v>
      </c>
      <c r="Q156" s="97">
        <v>0</v>
      </c>
      <c r="R156" s="97">
        <v>34.634105438082152</v>
      </c>
      <c r="S156" s="97">
        <v>0</v>
      </c>
      <c r="T156" s="97">
        <v>32.306349908451246</v>
      </c>
      <c r="U156" s="97">
        <v>31.362184085948012</v>
      </c>
      <c r="V156" s="97">
        <v>30.536050560067689</v>
      </c>
      <c r="W156" s="97">
        <v>29.811153156270553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22.883344259150356</v>
      </c>
      <c r="H157" s="97">
        <v>0</v>
      </c>
      <c r="I157" s="97">
        <v>0</v>
      </c>
      <c r="J157" s="97">
        <v>0</v>
      </c>
      <c r="K157" s="97">
        <v>0</v>
      </c>
      <c r="L157" s="97">
        <v>0</v>
      </c>
      <c r="M157" s="97">
        <v>0</v>
      </c>
      <c r="N157" s="97">
        <v>0</v>
      </c>
      <c r="O157" s="97">
        <v>0</v>
      </c>
      <c r="P157" s="97">
        <v>19.322521664754536</v>
      </c>
      <c r="Q157" s="97">
        <v>0</v>
      </c>
      <c r="R157" s="97">
        <v>0</v>
      </c>
      <c r="S157" s="97">
        <v>0</v>
      </c>
      <c r="T157" s="97">
        <v>20.243156206283867</v>
      </c>
      <c r="U157" s="97">
        <v>20.423716743821906</v>
      </c>
      <c r="V157" s="97">
        <v>20.587597818012533</v>
      </c>
      <c r="W157" s="97">
        <v>20.736214802146954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0</v>
      </c>
      <c r="C159" s="141">
        <v>9.0699969916701004</v>
      </c>
      <c r="D159" s="141">
        <v>8.8475237764853336</v>
      </c>
      <c r="E159" s="141">
        <v>8.7324211350818537</v>
      </c>
      <c r="F159" s="141">
        <v>8.8177315896322721</v>
      </c>
      <c r="G159" s="141">
        <v>8.7577168076704339</v>
      </c>
      <c r="H159" s="141">
        <v>8.8000726535974731</v>
      </c>
      <c r="I159" s="141">
        <v>8.6996787112874099</v>
      </c>
      <c r="J159" s="141">
        <v>8.5823057912551288</v>
      </c>
      <c r="K159" s="141">
        <v>8.4249897816761994</v>
      </c>
      <c r="L159" s="141">
        <v>8.5685156076298981</v>
      </c>
      <c r="M159" s="141">
        <v>8.6269538052594044</v>
      </c>
      <c r="N159" s="141">
        <v>7.8108331335274261</v>
      </c>
      <c r="O159" s="141">
        <v>7.6590683433346696</v>
      </c>
      <c r="P159" s="141">
        <v>7.3864115472198</v>
      </c>
      <c r="Q159" s="141">
        <v>7.1008056868147653</v>
      </c>
      <c r="R159" s="141">
        <v>6.731265396620711</v>
      </c>
      <c r="S159" s="141">
        <v>6.3880281111404047</v>
      </c>
      <c r="T159" s="141">
        <v>6.4294251359732462</v>
      </c>
      <c r="U159" s="141">
        <v>6.4258059709785735</v>
      </c>
      <c r="V159" s="141">
        <v>6.7284504788622757</v>
      </c>
      <c r="W159" s="141">
        <v>6.6917712219981542</v>
      </c>
      <c r="DA159" s="174" t="s">
        <v>899</v>
      </c>
    </row>
    <row r="160" spans="1:105" ht="11.45" customHeight="1" x14ac:dyDescent="0.25">
      <c r="A160" s="111" t="s">
        <v>110</v>
      </c>
      <c r="B160" s="96">
        <v>0</v>
      </c>
      <c r="C160" s="96">
        <v>8.323731629732638</v>
      </c>
      <c r="D160" s="96">
        <v>8.323731629732638</v>
      </c>
      <c r="E160" s="96">
        <v>8.2064959729758389</v>
      </c>
      <c r="F160" s="96">
        <v>8.0892603162190451</v>
      </c>
      <c r="G160" s="96">
        <v>7.9720246594622441</v>
      </c>
      <c r="H160" s="96">
        <v>7.8547890027054468</v>
      </c>
      <c r="I160" s="96">
        <v>7.8547890027054468</v>
      </c>
      <c r="J160" s="96">
        <v>7.6203176891918494</v>
      </c>
      <c r="K160" s="96">
        <v>7.2217164562187381</v>
      </c>
      <c r="L160" s="96">
        <v>6.9590586810826167</v>
      </c>
      <c r="M160" s="96">
        <v>6.5495853836596654</v>
      </c>
      <c r="N160" s="96">
        <v>6.6965281796294693</v>
      </c>
      <c r="O160" s="96">
        <v>6.4975000991128553</v>
      </c>
      <c r="P160" s="96">
        <v>6.3841750610376007</v>
      </c>
      <c r="Q160" s="96">
        <v>6.2209093877108304</v>
      </c>
      <c r="R160" s="96">
        <v>5.9891911401309317</v>
      </c>
      <c r="S160" s="96">
        <v>5.9384877807257475</v>
      </c>
      <c r="T160" s="96">
        <v>6.1480099752843458</v>
      </c>
      <c r="U160" s="96">
        <v>6.0645456620407545</v>
      </c>
      <c r="V160" s="96">
        <v>5.8399237621100246</v>
      </c>
      <c r="W160" s="96">
        <v>5.6684503231677557</v>
      </c>
      <c r="DA160" s="171" t="s">
        <v>900</v>
      </c>
    </row>
    <row r="161" spans="1:105" ht="11.45" customHeight="1" x14ac:dyDescent="0.25">
      <c r="A161" s="111" t="s">
        <v>111</v>
      </c>
      <c r="B161" s="96">
        <v>0</v>
      </c>
      <c r="C161" s="96">
        <v>8.8469620478671764</v>
      </c>
      <c r="D161" s="96">
        <v>8.8353308486169748</v>
      </c>
      <c r="E161" s="96">
        <v>8.7013454754360904</v>
      </c>
      <c r="F161" s="96">
        <v>8.6699261320069745</v>
      </c>
      <c r="G161" s="96">
        <v>8.5377534132546895</v>
      </c>
      <c r="H161" s="96">
        <v>8.530049631933128</v>
      </c>
      <c r="I161" s="96">
        <v>8.5140378511471386</v>
      </c>
      <c r="J161" s="96">
        <v>8.3311108083939782</v>
      </c>
      <c r="K161" s="96">
        <v>8.0058903929955001</v>
      </c>
      <c r="L161" s="96">
        <v>7.6983729601359059</v>
      </c>
      <c r="M161" s="96">
        <v>7.3754031899933397</v>
      </c>
      <c r="N161" s="96">
        <v>7.3430646997601317</v>
      </c>
      <c r="O161" s="96">
        <v>7.2398329349598542</v>
      </c>
      <c r="P161" s="96">
        <v>7.1018039044072161</v>
      </c>
      <c r="Q161" s="96">
        <v>6.9793621443401186</v>
      </c>
      <c r="R161" s="96">
        <v>6.7622362631261241</v>
      </c>
      <c r="S161" s="96">
        <v>6.4010014383883744</v>
      </c>
      <c r="T161" s="96">
        <v>6.4446208160100467</v>
      </c>
      <c r="U161" s="96">
        <v>6.4253153106623895</v>
      </c>
      <c r="V161" s="96">
        <v>6.7659543608579469</v>
      </c>
      <c r="W161" s="96">
        <v>6.7722689479339664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11.66177521404855</v>
      </c>
      <c r="D162" s="96">
        <v>11.646443348670159</v>
      </c>
      <c r="E162" s="96">
        <v>11.469828224116458</v>
      </c>
      <c r="F162" s="96">
        <v>11.428412276081318</v>
      </c>
      <c r="G162" s="96">
        <v>11.254186533145031</v>
      </c>
      <c r="H162" s="96">
        <v>11.24403166127103</v>
      </c>
      <c r="I162" s="96">
        <v>11.222925456983887</v>
      </c>
      <c r="J162" s="96">
        <v>10.981797028760068</v>
      </c>
      <c r="K162" s="96">
        <v>10.55310214356941</v>
      </c>
      <c r="L162" s="96">
        <v>10.147742749349511</v>
      </c>
      <c r="M162" s="96">
        <v>9.7220145909198568</v>
      </c>
      <c r="N162" s="96">
        <v>9.6793870537131976</v>
      </c>
      <c r="O162" s="96">
        <v>7.334824411813778</v>
      </c>
      <c r="P162" s="96">
        <v>6.9819051966043038</v>
      </c>
      <c r="Q162" s="96">
        <v>8.85587094882586</v>
      </c>
      <c r="R162" s="96">
        <v>8.5260048843708045</v>
      </c>
      <c r="S162" s="96">
        <v>5.6355542401619063</v>
      </c>
      <c r="T162" s="96">
        <v>6.8974595153126614</v>
      </c>
      <c r="U162" s="96">
        <v>6.8038208055699325</v>
      </c>
      <c r="V162" s="96">
        <v>7.5284121528880421</v>
      </c>
      <c r="W162" s="96">
        <v>5.9900733979875165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8.0091480861391222</v>
      </c>
      <c r="K163" s="96">
        <v>7.6619439232599404</v>
      </c>
      <c r="L163" s="96">
        <v>7.5076854285663348</v>
      </c>
      <c r="M163" s="96">
        <v>0</v>
      </c>
      <c r="N163" s="96">
        <v>7.5239653203891041</v>
      </c>
      <c r="O163" s="96">
        <v>7.5191855441194999</v>
      </c>
      <c r="P163" s="96">
        <v>6.7911574795944176</v>
      </c>
      <c r="Q163" s="96">
        <v>7.8187827999213066</v>
      </c>
      <c r="R163" s="96">
        <v>7.3639744617377199</v>
      </c>
      <c r="S163" s="96">
        <v>6.8954082830255201</v>
      </c>
      <c r="T163" s="96">
        <v>6.7288284339165259</v>
      </c>
      <c r="U163" s="96">
        <v>6.3825110610806828</v>
      </c>
      <c r="V163" s="96">
        <v>7.3307711269615261</v>
      </c>
      <c r="W163" s="96">
        <v>8.4843625053992273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1.3721216028622247</v>
      </c>
      <c r="K164" s="96">
        <v>1.3690194250502927</v>
      </c>
      <c r="L164" s="96">
        <v>1.3498356828825111</v>
      </c>
      <c r="M164" s="96">
        <v>1.3566283477464831</v>
      </c>
      <c r="N164" s="96">
        <v>1.3327601031814273</v>
      </c>
      <c r="O164" s="96">
        <v>1.3098239721196385</v>
      </c>
      <c r="P164" s="96">
        <v>1.3210182316517647</v>
      </c>
      <c r="Q164" s="96">
        <v>1.3939461911348712</v>
      </c>
      <c r="R164" s="96">
        <v>1.3977525424733896</v>
      </c>
      <c r="S164" s="96">
        <v>1.3701565464248187</v>
      </c>
      <c r="T164" s="96">
        <v>1.5290247755404023</v>
      </c>
      <c r="U164" s="96">
        <v>1.7091628635050817</v>
      </c>
      <c r="V164" s="96">
        <v>2.1193045948246736</v>
      </c>
      <c r="W164" s="96">
        <v>2.0939743833123026</v>
      </c>
      <c r="DA164" s="171" t="s">
        <v>904</v>
      </c>
    </row>
    <row r="165" spans="1:105" ht="11.45" customHeight="1" x14ac:dyDescent="0.25">
      <c r="A165" s="109" t="s">
        <v>158</v>
      </c>
      <c r="B165" s="130">
        <v>33.546147315091126</v>
      </c>
      <c r="C165" s="130">
        <v>32.210213979434464</v>
      </c>
      <c r="D165" s="130">
        <v>32.57522983127209</v>
      </c>
      <c r="E165" s="130">
        <v>32.04191695037688</v>
      </c>
      <c r="F165" s="130">
        <v>32.014309354503922</v>
      </c>
      <c r="G165" s="130">
        <v>31.535115726718001</v>
      </c>
      <c r="H165" s="130">
        <v>31.242743573708388</v>
      </c>
      <c r="I165" s="130">
        <v>30.914896474243157</v>
      </c>
      <c r="J165" s="130">
        <v>30.33554028667907</v>
      </c>
      <c r="K165" s="130">
        <v>29.868986368099691</v>
      </c>
      <c r="L165" s="130">
        <v>29.76809857484691</v>
      </c>
      <c r="M165" s="130">
        <v>28.907323511108483</v>
      </c>
      <c r="N165" s="130">
        <v>28.555098568876165</v>
      </c>
      <c r="O165" s="130">
        <v>28.359526133572931</v>
      </c>
      <c r="P165" s="130">
        <v>27.372915687397146</v>
      </c>
      <c r="Q165" s="130">
        <v>26.642108967433341</v>
      </c>
      <c r="R165" s="130">
        <v>26.575264907645092</v>
      </c>
      <c r="S165" s="130">
        <v>24.49224300190545</v>
      </c>
      <c r="T165" s="130">
        <v>22.187122168032914</v>
      </c>
      <c r="U165" s="130">
        <v>20.785127602364657</v>
      </c>
      <c r="V165" s="130">
        <v>21.312181089592652</v>
      </c>
      <c r="W165" s="130">
        <v>19.841684055409203</v>
      </c>
      <c r="DA165" s="176" t="s">
        <v>905</v>
      </c>
    </row>
    <row r="166" spans="1:105" ht="11.45" customHeight="1" x14ac:dyDescent="0.25">
      <c r="A166" s="128" t="s">
        <v>27</v>
      </c>
      <c r="B166" s="97">
        <v>0</v>
      </c>
      <c r="C166" s="97">
        <v>32.149484536018456</v>
      </c>
      <c r="D166" s="97">
        <v>31.985175202073769</v>
      </c>
      <c r="E166" s="97">
        <v>31.780579497470978</v>
      </c>
      <c r="F166" s="97">
        <v>31.536217303748952</v>
      </c>
      <c r="G166" s="97">
        <v>31.25270516709838</v>
      </c>
      <c r="H166" s="97">
        <v>30.930752453596899</v>
      </c>
      <c r="I166" s="97">
        <v>30.571156979829169</v>
      </c>
      <c r="J166" s="97">
        <v>30.174800168222379</v>
      </c>
      <c r="K166" s="97">
        <v>29.742641780267991</v>
      </c>
      <c r="L166" s="97">
        <v>29.275714285639253</v>
      </c>
      <c r="M166" s="97">
        <v>28.775116926117732</v>
      </c>
      <c r="N166" s="97">
        <v>28.242009535524133</v>
      </c>
      <c r="O166" s="97">
        <v>27.677606177564872</v>
      </c>
      <c r="P166" s="97">
        <v>27.083168662049438</v>
      </c>
      <c r="Q166" s="97">
        <v>26.459999999943847</v>
      </c>
      <c r="R166" s="97">
        <v>25.127938629069241</v>
      </c>
      <c r="S166" s="97">
        <v>23.529464984019715</v>
      </c>
      <c r="T166" s="97">
        <v>21.85106765671771</v>
      </c>
      <c r="U166" s="97">
        <v>19.799693145570814</v>
      </c>
      <c r="V166" s="97">
        <v>19.140107958166521</v>
      </c>
      <c r="W166" s="97">
        <v>18.818601454704567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31.067582811954381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112.21588182236793</v>
      </c>
      <c r="C171" s="152">
        <v>111.00902616910295</v>
      </c>
      <c r="D171" s="152">
        <v>109.8568147811031</v>
      </c>
      <c r="E171" s="152">
        <v>108.66207480449098</v>
      </c>
      <c r="F171" s="152">
        <v>107.05334228752146</v>
      </c>
      <c r="G171" s="152">
        <v>105.61739667926901</v>
      </c>
      <c r="H171" s="152">
        <v>104.04929029627779</v>
      </c>
      <c r="I171" s="152">
        <v>102.42161375365842</v>
      </c>
      <c r="J171" s="152">
        <v>100.91748522936993</v>
      </c>
      <c r="K171" s="152">
        <v>99.203672424540443</v>
      </c>
      <c r="L171" s="152">
        <v>97.988604403339053</v>
      </c>
      <c r="M171" s="152">
        <v>96.016126839439792</v>
      </c>
      <c r="N171" s="152">
        <v>94.137423374895093</v>
      </c>
      <c r="O171" s="152">
        <v>93.124348623089446</v>
      </c>
      <c r="P171" s="152">
        <v>91.366233865674445</v>
      </c>
      <c r="Q171" s="152">
        <v>90.232976914351241</v>
      </c>
      <c r="R171" s="152">
        <v>88.959379383544785</v>
      </c>
      <c r="S171" s="152">
        <v>87.656956835343493</v>
      </c>
      <c r="T171" s="152">
        <v>80.312590695574741</v>
      </c>
      <c r="U171" s="152">
        <v>78.981050517844125</v>
      </c>
      <c r="V171" s="152">
        <v>78.222779064331348</v>
      </c>
      <c r="W171" s="152">
        <v>70.942939691405797</v>
      </c>
      <c r="DA171" s="174" t="s">
        <v>908</v>
      </c>
    </row>
    <row r="172" spans="1:105" ht="11.45" customHeight="1" x14ac:dyDescent="0.25">
      <c r="A172" s="109" t="s">
        <v>20</v>
      </c>
      <c r="B172" s="116">
        <v>217.58517721573156</v>
      </c>
      <c r="C172" s="116">
        <v>212.95516379987009</v>
      </c>
      <c r="D172" s="116">
        <v>211.65942151023268</v>
      </c>
      <c r="E172" s="116">
        <v>209.95281938976112</v>
      </c>
      <c r="F172" s="116">
        <v>207.67080954238531</v>
      </c>
      <c r="G172" s="116">
        <v>205.32795898222037</v>
      </c>
      <c r="H172" s="116">
        <v>202.74262410601995</v>
      </c>
      <c r="I172" s="116">
        <v>200.2331526352028</v>
      </c>
      <c r="J172" s="116">
        <v>197.23079126518786</v>
      </c>
      <c r="K172" s="116">
        <v>194.20307661758093</v>
      </c>
      <c r="L172" s="116">
        <v>190.64917128932964</v>
      </c>
      <c r="M172" s="116">
        <v>186.39741031798735</v>
      </c>
      <c r="N172" s="116">
        <v>182.04154858191353</v>
      </c>
      <c r="O172" s="116">
        <v>178.52118515772113</v>
      </c>
      <c r="P172" s="116">
        <v>174.39916378438414</v>
      </c>
      <c r="Q172" s="116">
        <v>170.23425326669661</v>
      </c>
      <c r="R172" s="116">
        <v>165.51822479073178</v>
      </c>
      <c r="S172" s="116">
        <v>160.86563134080561</v>
      </c>
      <c r="T172" s="116">
        <v>157.3847333747006</v>
      </c>
      <c r="U172" s="116">
        <v>154.26570251852246</v>
      </c>
      <c r="V172" s="116">
        <v>146.0205135630211</v>
      </c>
      <c r="W172" s="116">
        <v>143.04746975695565</v>
      </c>
      <c r="DA172" s="176" t="s">
        <v>909</v>
      </c>
    </row>
    <row r="173" spans="1:105" ht="11.45" customHeight="1" x14ac:dyDescent="0.25">
      <c r="A173" s="111" t="s">
        <v>110</v>
      </c>
      <c r="B173" s="87">
        <v>212.77057407392547</v>
      </c>
      <c r="C173" s="87">
        <v>209.93570840305179</v>
      </c>
      <c r="D173" s="87">
        <v>208.81046786390465</v>
      </c>
      <c r="E173" s="87">
        <v>207.61899922419909</v>
      </c>
      <c r="F173" s="87">
        <v>206.19823816698022</v>
      </c>
      <c r="G173" s="87">
        <v>204.70112523108102</v>
      </c>
      <c r="H173" s="87">
        <v>202.89296336500743</v>
      </c>
      <c r="I173" s="87">
        <v>201.38144646555</v>
      </c>
      <c r="J173" s="87">
        <v>199.28532741978412</v>
      </c>
      <c r="K173" s="87">
        <v>196.51054606590176</v>
      </c>
      <c r="L173" s="87">
        <v>192.94696198394413</v>
      </c>
      <c r="M173" s="87">
        <v>189.12713007691517</v>
      </c>
      <c r="N173" s="87">
        <v>184.9793353586162</v>
      </c>
      <c r="O173" s="87">
        <v>180.43366520619412</v>
      </c>
      <c r="P173" s="87">
        <v>176.47698033935808</v>
      </c>
      <c r="Q173" s="87">
        <v>172.18351823733349</v>
      </c>
      <c r="R173" s="87">
        <v>167.20183329732981</v>
      </c>
      <c r="S173" s="87">
        <v>162.7578442923292</v>
      </c>
      <c r="T173" s="87">
        <v>159.07053298520574</v>
      </c>
      <c r="U173" s="87">
        <v>157.13526984798096</v>
      </c>
      <c r="V173" s="87">
        <v>154.55648039195054</v>
      </c>
      <c r="W173" s="87">
        <v>152.59281198302463</v>
      </c>
      <c r="DA173" s="171" t="s">
        <v>910</v>
      </c>
    </row>
    <row r="174" spans="1:105" ht="11.45" customHeight="1" x14ac:dyDescent="0.25">
      <c r="A174" s="111" t="s">
        <v>111</v>
      </c>
      <c r="B174" s="87">
        <v>218.29721581378553</v>
      </c>
      <c r="C174" s="87">
        <v>208.8720228085937</v>
      </c>
      <c r="D174" s="87">
        <v>205.43243014795493</v>
      </c>
      <c r="E174" s="87">
        <v>201.99008206562715</v>
      </c>
      <c r="F174" s="87">
        <v>198.95254537939888</v>
      </c>
      <c r="G174" s="87">
        <v>195.93845266819295</v>
      </c>
      <c r="H174" s="87">
        <v>193.38930282069975</v>
      </c>
      <c r="I174" s="87">
        <v>190.88236909608574</v>
      </c>
      <c r="J174" s="87">
        <v>188.1738917644781</v>
      </c>
      <c r="K174" s="87">
        <v>186.26012806498071</v>
      </c>
      <c r="L174" s="87">
        <v>183.04317171979278</v>
      </c>
      <c r="M174" s="87">
        <v>179.21846052548628</v>
      </c>
      <c r="N174" s="87">
        <v>176.28940744819823</v>
      </c>
      <c r="O174" s="87">
        <v>173.51117230625474</v>
      </c>
      <c r="P174" s="87">
        <v>170.25376872337185</v>
      </c>
      <c r="Q174" s="87">
        <v>167.19178214856564</v>
      </c>
      <c r="R174" s="87">
        <v>163.43157327480435</v>
      </c>
      <c r="S174" s="87">
        <v>160.02247060023018</v>
      </c>
      <c r="T174" s="87">
        <v>158.65143512864185</v>
      </c>
      <c r="U174" s="87">
        <v>156.0428893871385</v>
      </c>
      <c r="V174" s="87">
        <v>153.261662838371</v>
      </c>
      <c r="W174" s="87">
        <v>152.34609717140037</v>
      </c>
      <c r="DA174" s="171" t="s">
        <v>911</v>
      </c>
    </row>
    <row r="175" spans="1:105" ht="11.45" customHeight="1" x14ac:dyDescent="0.25">
      <c r="A175" s="111" t="s">
        <v>112</v>
      </c>
      <c r="B175" s="87">
        <v>210.96320686650608</v>
      </c>
      <c r="C175" s="87">
        <v>201.94821950243229</v>
      </c>
      <c r="D175" s="87">
        <v>200.99500652529849</v>
      </c>
      <c r="E175" s="87">
        <v>200.66761992383366</v>
      </c>
      <c r="F175" s="87">
        <v>199.97388954377269</v>
      </c>
      <c r="G175" s="87">
        <v>199.21869058003506</v>
      </c>
      <c r="H175" s="87">
        <v>198.55760278479278</v>
      </c>
      <c r="I175" s="87">
        <v>197.75744934539517</v>
      </c>
      <c r="J175" s="87">
        <v>197.10510600590035</v>
      </c>
      <c r="K175" s="87">
        <v>196.24900703703511</v>
      </c>
      <c r="L175" s="87">
        <v>194.75497437774857</v>
      </c>
      <c r="M175" s="87">
        <v>190.83748327650989</v>
      </c>
      <c r="N175" s="87">
        <v>188.61521556208206</v>
      </c>
      <c r="O175" s="87">
        <v>187.01110490389021</v>
      </c>
      <c r="P175" s="87">
        <v>183.46485068697945</v>
      </c>
      <c r="Q175" s="87">
        <v>169.12307684600654</v>
      </c>
      <c r="R175" s="87">
        <v>166.85777013827774</v>
      </c>
      <c r="S175" s="87">
        <v>166.52474932543933</v>
      </c>
      <c r="T175" s="87">
        <v>166.2669265434487</v>
      </c>
      <c r="U175" s="87">
        <v>166.02589922720935</v>
      </c>
      <c r="V175" s="87">
        <v>164.65919672044205</v>
      </c>
      <c r="W175" s="87">
        <v>161.60350141611798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210.63479460504934</v>
      </c>
      <c r="G176" s="87">
        <v>210.03827036647976</v>
      </c>
      <c r="H176" s="87">
        <v>209.83711769833948</v>
      </c>
      <c r="I176" s="87">
        <v>209.77523719006373</v>
      </c>
      <c r="J176" s="87">
        <v>209.68361168701364</v>
      </c>
      <c r="K176" s="87">
        <v>209.62685689374686</v>
      </c>
      <c r="L176" s="87">
        <v>209.61222760692692</v>
      </c>
      <c r="M176" s="87">
        <v>205.71432946169563</v>
      </c>
      <c r="N176" s="87">
        <v>194.65833606342375</v>
      </c>
      <c r="O176" s="87">
        <v>179.49843387573765</v>
      </c>
      <c r="P176" s="87">
        <v>151.80661955846827</v>
      </c>
      <c r="Q176" s="87">
        <v>147.96674415834715</v>
      </c>
      <c r="R176" s="87">
        <v>144.75204553534016</v>
      </c>
      <c r="S176" s="87">
        <v>142.6318126777096</v>
      </c>
      <c r="T176" s="87">
        <v>142.37816874193908</v>
      </c>
      <c r="U176" s="87">
        <v>136.73646764612172</v>
      </c>
      <c r="V176" s="87">
        <v>133.5465828989291</v>
      </c>
      <c r="W176" s="87">
        <v>132.19922170631139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70.784615682644855</v>
      </c>
      <c r="N177" s="87">
        <v>43.868544438411931</v>
      </c>
      <c r="O177" s="87">
        <v>48.90105236860061</v>
      </c>
      <c r="P177" s="87">
        <v>54.565832196881196</v>
      </c>
      <c r="Q177" s="87">
        <v>64.198101453517054</v>
      </c>
      <c r="R177" s="87">
        <v>68.019023793077253</v>
      </c>
      <c r="S177" s="87">
        <v>67.644261810513825</v>
      </c>
      <c r="T177" s="87">
        <v>66.647099126963013</v>
      </c>
      <c r="U177" s="87">
        <v>62.672244051804228</v>
      </c>
      <c r="V177" s="87">
        <v>54.598312366952335</v>
      </c>
      <c r="W177" s="87">
        <v>51.42423204479595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1769.6587102446613</v>
      </c>
      <c r="C179" s="116">
        <v>1715.1200913945775</v>
      </c>
      <c r="D179" s="116">
        <v>1686.507578689085</v>
      </c>
      <c r="E179" s="116">
        <v>1662.9297797752999</v>
      </c>
      <c r="F179" s="116">
        <v>1639.4979164958577</v>
      </c>
      <c r="G179" s="116">
        <v>1601.0287614817826</v>
      </c>
      <c r="H179" s="116">
        <v>1590.280933189247</v>
      </c>
      <c r="I179" s="116">
        <v>1564.8952186879021</v>
      </c>
      <c r="J179" s="116">
        <v>1542.2493412930244</v>
      </c>
      <c r="K179" s="116">
        <v>1519.6707094098476</v>
      </c>
      <c r="L179" s="116">
        <v>1498.552258290078</v>
      </c>
      <c r="M179" s="116">
        <v>1479.8968474950686</v>
      </c>
      <c r="N179" s="116">
        <v>1460.6817223115136</v>
      </c>
      <c r="O179" s="116">
        <v>1435.1977492115377</v>
      </c>
      <c r="P179" s="116">
        <v>1409.8374805593946</v>
      </c>
      <c r="Q179" s="116">
        <v>1405.5099310503288</v>
      </c>
      <c r="R179" s="116">
        <v>1388.792763374679</v>
      </c>
      <c r="S179" s="116">
        <v>1375.8577103248072</v>
      </c>
      <c r="T179" s="116">
        <v>1357.7655551315993</v>
      </c>
      <c r="U179" s="116">
        <v>1340.4940129048887</v>
      </c>
      <c r="V179" s="116">
        <v>1337.7865308410694</v>
      </c>
      <c r="W179" s="116">
        <v>1304.5639796548662</v>
      </c>
      <c r="DA179" s="176" t="s">
        <v>916</v>
      </c>
    </row>
    <row r="180" spans="1:105" ht="11.45" customHeight="1" x14ac:dyDescent="0.25">
      <c r="A180" s="111" t="s">
        <v>110</v>
      </c>
      <c r="B180" s="101">
        <v>490.71153551966842</v>
      </c>
      <c r="C180" s="101">
        <v>490.71153551966836</v>
      </c>
      <c r="D180" s="101">
        <v>490.71153551966859</v>
      </c>
      <c r="E180" s="101">
        <v>490.71153551966836</v>
      </c>
      <c r="F180" s="101">
        <v>490.71153551966836</v>
      </c>
      <c r="G180" s="101">
        <v>490.71153551966853</v>
      </c>
      <c r="H180" s="101">
        <v>490.71153551966859</v>
      </c>
      <c r="I180" s="101">
        <v>490.7115355196683</v>
      </c>
      <c r="J180" s="101">
        <v>490.71153551966853</v>
      </c>
      <c r="K180" s="101">
        <v>489.08837769969256</v>
      </c>
      <c r="L180" s="101">
        <v>485.14984212116627</v>
      </c>
      <c r="M180" s="101">
        <v>480.61660458076301</v>
      </c>
      <c r="N180" s="101">
        <v>480.50793783315322</v>
      </c>
      <c r="O180" s="101">
        <v>480.11456570771526</v>
      </c>
      <c r="P180" s="101">
        <v>479.93383199128573</v>
      </c>
      <c r="Q180" s="101">
        <v>479.66104739943177</v>
      </c>
      <c r="R180" s="101">
        <v>476.01831259408323</v>
      </c>
      <c r="S180" s="101">
        <v>475.90454864677463</v>
      </c>
      <c r="T180" s="101">
        <v>475.78900929261096</v>
      </c>
      <c r="U180" s="101">
        <v>471.4202166110677</v>
      </c>
      <c r="V180" s="101">
        <v>471.27154447630949</v>
      </c>
      <c r="W180" s="101">
        <v>471.1205630053438</v>
      </c>
      <c r="DA180" s="175" t="s">
        <v>917</v>
      </c>
    </row>
    <row r="181" spans="1:105" ht="11.45" customHeight="1" x14ac:dyDescent="0.25">
      <c r="A181" s="111" t="s">
        <v>111</v>
      </c>
      <c r="B181" s="101">
        <v>1788.1607629669752</v>
      </c>
      <c r="C181" s="101">
        <v>1713.938605832114</v>
      </c>
      <c r="D181" s="101">
        <v>1677.0418969269983</v>
      </c>
      <c r="E181" s="101">
        <v>1648.0002900311435</v>
      </c>
      <c r="F181" s="101">
        <v>1620.7910750260451</v>
      </c>
      <c r="G181" s="101">
        <v>1595.1857974238342</v>
      </c>
      <c r="H181" s="101">
        <v>1569.2812025107551</v>
      </c>
      <c r="I181" s="101">
        <v>1544.0358549948835</v>
      </c>
      <c r="J181" s="101">
        <v>1521.6236067859941</v>
      </c>
      <c r="K181" s="101">
        <v>1500.5662821038384</v>
      </c>
      <c r="L181" s="101">
        <v>1480.9253139340815</v>
      </c>
      <c r="M181" s="101">
        <v>1464.3203835081981</v>
      </c>
      <c r="N181" s="101">
        <v>1447.6124129309223</v>
      </c>
      <c r="O181" s="101">
        <v>1427.7053827430273</v>
      </c>
      <c r="P181" s="101">
        <v>1408.1994785754578</v>
      </c>
      <c r="Q181" s="101">
        <v>1401.0097968797295</v>
      </c>
      <c r="R181" s="101">
        <v>1387.6018334178805</v>
      </c>
      <c r="S181" s="101">
        <v>1376.2234026884778</v>
      </c>
      <c r="T181" s="101">
        <v>1369.203892066151</v>
      </c>
      <c r="U181" s="101">
        <v>1359.1672821765103</v>
      </c>
      <c r="V181" s="101">
        <v>1350.0902265067186</v>
      </c>
      <c r="W181" s="101">
        <v>1340.8844821606635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0</v>
      </c>
      <c r="G182" s="101">
        <v>0</v>
      </c>
      <c r="H182" s="101">
        <v>0</v>
      </c>
      <c r="I182" s="101">
        <v>0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0</v>
      </c>
      <c r="S182" s="101">
        <v>0</v>
      </c>
      <c r="T182" s="101">
        <v>0</v>
      </c>
      <c r="U182" s="101">
        <v>0</v>
      </c>
      <c r="V182" s="101">
        <v>0</v>
      </c>
      <c r="W182" s="101">
        <v>0</v>
      </c>
      <c r="DA182" s="175" t="s">
        <v>919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813.48406755619101</v>
      </c>
      <c r="S183" s="101">
        <v>813.48406755619089</v>
      </c>
      <c r="T183" s="101">
        <v>758.80986671950768</v>
      </c>
      <c r="U183" s="101">
        <v>747.51770883328436</v>
      </c>
      <c r="V183" s="101">
        <v>729.08480016593114</v>
      </c>
      <c r="W183" s="101">
        <v>704.68688198611403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387.30588588060749</v>
      </c>
      <c r="C186" s="152">
        <v>367.44705100399261</v>
      </c>
      <c r="D186" s="152">
        <v>361.09467097453722</v>
      </c>
      <c r="E186" s="152">
        <v>345.21843739595192</v>
      </c>
      <c r="F186" s="152">
        <v>326.77058585734284</v>
      </c>
      <c r="G186" s="152">
        <v>311.60673468925245</v>
      </c>
      <c r="H186" s="152">
        <v>300.58320036833265</v>
      </c>
      <c r="I186" s="152">
        <v>291.52558251463853</v>
      </c>
      <c r="J186" s="152">
        <v>276.2533799079801</v>
      </c>
      <c r="K186" s="152">
        <v>260.70334722040258</v>
      </c>
      <c r="L186" s="152">
        <v>241.45461030109516</v>
      </c>
      <c r="M186" s="152">
        <v>230.00583980046812</v>
      </c>
      <c r="N186" s="152">
        <v>247.73418061570362</v>
      </c>
      <c r="O186" s="152">
        <v>244.78126166130838</v>
      </c>
      <c r="P186" s="152">
        <v>244.22086440139367</v>
      </c>
      <c r="Q186" s="152">
        <v>243.84342486629839</v>
      </c>
      <c r="R186" s="152">
        <v>243.68104313258814</v>
      </c>
      <c r="S186" s="152">
        <v>236.93542639133955</v>
      </c>
      <c r="T186" s="152">
        <v>230.38383425093582</v>
      </c>
      <c r="U186" s="152">
        <v>224.30419599942144</v>
      </c>
      <c r="V186" s="152">
        <v>222.89883965284406</v>
      </c>
      <c r="W186" s="152">
        <v>221.40423542742826</v>
      </c>
      <c r="DA186" s="174" t="s">
        <v>922</v>
      </c>
    </row>
    <row r="187" spans="1:105" ht="11.45" customHeight="1" x14ac:dyDescent="0.25">
      <c r="A187" s="111" t="s">
        <v>110</v>
      </c>
      <c r="B187" s="87">
        <v>335.89373558098623</v>
      </c>
      <c r="C187" s="87">
        <v>319.05076591516132</v>
      </c>
      <c r="D187" s="87">
        <v>304.2203987139572</v>
      </c>
      <c r="E187" s="87">
        <v>292.06828580910468</v>
      </c>
      <c r="F187" s="87">
        <v>281.44537825049372</v>
      </c>
      <c r="G187" s="87">
        <v>273.14775051043443</v>
      </c>
      <c r="H187" s="87">
        <v>267.24608338635505</v>
      </c>
      <c r="I187" s="87">
        <v>260.19303146164634</v>
      </c>
      <c r="J187" s="87">
        <v>248.24004956300465</v>
      </c>
      <c r="K187" s="87">
        <v>237.28620084663626</v>
      </c>
      <c r="L187" s="87">
        <v>231.42394281722997</v>
      </c>
      <c r="M187" s="87">
        <v>230.95219361832119</v>
      </c>
      <c r="N187" s="87">
        <v>228.72474234136837</v>
      </c>
      <c r="O187" s="87">
        <v>225.27687938891759</v>
      </c>
      <c r="P187" s="87">
        <v>221.41168379690467</v>
      </c>
      <c r="Q187" s="87">
        <v>215.27774269133681</v>
      </c>
      <c r="R187" s="87">
        <v>206.26379137475496</v>
      </c>
      <c r="S187" s="87">
        <v>196.44715118463475</v>
      </c>
      <c r="T187" s="87">
        <v>188.57291544822473</v>
      </c>
      <c r="U187" s="87">
        <v>182.98730120222035</v>
      </c>
      <c r="V187" s="87">
        <v>178.26458345818955</v>
      </c>
      <c r="W187" s="87">
        <v>174.45561550908013</v>
      </c>
      <c r="DA187" s="171" t="s">
        <v>923</v>
      </c>
    </row>
    <row r="188" spans="1:105" ht="11.45" customHeight="1" x14ac:dyDescent="0.25">
      <c r="A188" s="111" t="s">
        <v>111</v>
      </c>
      <c r="B188" s="87">
        <v>382.67050000705677</v>
      </c>
      <c r="C188" s="87">
        <v>358.41949837078727</v>
      </c>
      <c r="D188" s="87">
        <v>348.32415646180618</v>
      </c>
      <c r="E188" s="87">
        <v>330.98492243036509</v>
      </c>
      <c r="F188" s="87">
        <v>316.11238025937189</v>
      </c>
      <c r="G188" s="87">
        <v>304.51201346988847</v>
      </c>
      <c r="H188" s="87">
        <v>295.59098880098753</v>
      </c>
      <c r="I188" s="87">
        <v>287.40383506159077</v>
      </c>
      <c r="J188" s="87">
        <v>278.72382956928277</v>
      </c>
      <c r="K188" s="87">
        <v>270.7207673860201</v>
      </c>
      <c r="L188" s="87">
        <v>267.33222120090255</v>
      </c>
      <c r="M188" s="87">
        <v>266.56175917926555</v>
      </c>
      <c r="N188" s="87">
        <v>262.06697047671224</v>
      </c>
      <c r="O188" s="87">
        <v>257.56130357741461</v>
      </c>
      <c r="P188" s="87">
        <v>252.62759105971867</v>
      </c>
      <c r="Q188" s="87">
        <v>247.21418734707404</v>
      </c>
      <c r="R188" s="87">
        <v>242.81477680738598</v>
      </c>
      <c r="S188" s="87">
        <v>236.45862116139358</v>
      </c>
      <c r="T188" s="87">
        <v>230.91567087307845</v>
      </c>
      <c r="U188" s="87">
        <v>225.80566766134572</v>
      </c>
      <c r="V188" s="87">
        <v>223.66224044047087</v>
      </c>
      <c r="W188" s="87">
        <v>221.82498658781722</v>
      </c>
      <c r="DA188" s="171" t="s">
        <v>924</v>
      </c>
    </row>
    <row r="189" spans="1:105" ht="11.45" customHeight="1" x14ac:dyDescent="0.25">
      <c r="A189" s="111" t="s">
        <v>112</v>
      </c>
      <c r="B189" s="87">
        <v>509.21406607361598</v>
      </c>
      <c r="C189" s="87">
        <v>471.19911824261646</v>
      </c>
      <c r="D189" s="87">
        <v>460.24259784635581</v>
      </c>
      <c r="E189" s="87">
        <v>451.30855629502042</v>
      </c>
      <c r="F189" s="87">
        <v>431.89648127206141</v>
      </c>
      <c r="G189" s="87">
        <v>414.86735519844564</v>
      </c>
      <c r="H189" s="87">
        <v>396.15419403466109</v>
      </c>
      <c r="I189" s="87">
        <v>382.98147866424881</v>
      </c>
      <c r="J189" s="87">
        <v>358.66931616045588</v>
      </c>
      <c r="K189" s="87">
        <v>336.046269692924</v>
      </c>
      <c r="L189" s="87">
        <v>319.51438037688791</v>
      </c>
      <c r="M189" s="87">
        <v>310.66975429707497</v>
      </c>
      <c r="N189" s="87">
        <v>305.03525165689888</v>
      </c>
      <c r="O189" s="87">
        <v>302.07796478944499</v>
      </c>
      <c r="P189" s="87">
        <v>299.70240069740549</v>
      </c>
      <c r="Q189" s="87">
        <v>297.56472020694059</v>
      </c>
      <c r="R189" s="87">
        <v>297.51389033784415</v>
      </c>
      <c r="S189" s="87">
        <v>297.43297168629414</v>
      </c>
      <c r="T189" s="87">
        <v>297.25272412040761</v>
      </c>
      <c r="U189" s="87">
        <v>297.09573166203643</v>
      </c>
      <c r="V189" s="87">
        <v>289.2806477028455</v>
      </c>
      <c r="W189" s="87">
        <v>286.30282641770367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188.11845377153529</v>
      </c>
      <c r="K190" s="87">
        <v>185.99664123426206</v>
      </c>
      <c r="L190" s="87">
        <v>184.10923689338918</v>
      </c>
      <c r="M190" s="87">
        <v>183.75248328533974</v>
      </c>
      <c r="N190" s="87">
        <v>179.28609749766133</v>
      </c>
      <c r="O190" s="87">
        <v>178.5605980315342</v>
      </c>
      <c r="P190" s="87">
        <v>170.31728944685037</v>
      </c>
      <c r="Q190" s="87">
        <v>175.92197686669397</v>
      </c>
      <c r="R190" s="87">
        <v>177.31804821142043</v>
      </c>
      <c r="S190" s="87">
        <v>169.97698437667751</v>
      </c>
      <c r="T190" s="87">
        <v>164.97215418666042</v>
      </c>
      <c r="U190" s="87">
        <v>159.13888798585731</v>
      </c>
      <c r="V190" s="87">
        <v>162.16506548743047</v>
      </c>
      <c r="W190" s="87">
        <v>166.54896389439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1064.5263161450594</v>
      </c>
      <c r="C192" s="116">
        <v>1043.4720895191854</v>
      </c>
      <c r="D192" s="116">
        <v>1041.5753069150117</v>
      </c>
      <c r="E192" s="116">
        <v>1037.8695992228634</v>
      </c>
      <c r="F192" s="116">
        <v>1032.8688024574187</v>
      </c>
      <c r="G192" s="116">
        <v>1027.7559267967267</v>
      </c>
      <c r="H192" s="116">
        <v>1022.1380256409834</v>
      </c>
      <c r="I192" s="116">
        <v>1016.0289352102448</v>
      </c>
      <c r="J192" s="116">
        <v>1006.5510339130323</v>
      </c>
      <c r="K192" s="116">
        <v>999.5529744093991</v>
      </c>
      <c r="L192" s="116">
        <v>993.01666110530823</v>
      </c>
      <c r="M192" s="116">
        <v>976.93937732643087</v>
      </c>
      <c r="N192" s="116">
        <v>967.61579011022104</v>
      </c>
      <c r="O192" s="116">
        <v>960.18952614037755</v>
      </c>
      <c r="P192" s="116">
        <v>948.61140279148356</v>
      </c>
      <c r="Q192" s="116">
        <v>927.80300316882722</v>
      </c>
      <c r="R192" s="116">
        <v>916.03034072434605</v>
      </c>
      <c r="S192" s="116">
        <v>904.64041632198666</v>
      </c>
      <c r="T192" s="116">
        <v>879.78991848662668</v>
      </c>
      <c r="U192" s="116">
        <v>850.2394361973254</v>
      </c>
      <c r="V192" s="116">
        <v>835.47629338896525</v>
      </c>
      <c r="W192" s="116">
        <v>800.4626402369712</v>
      </c>
      <c r="DA192" s="176" t="s">
        <v>928</v>
      </c>
    </row>
    <row r="193" spans="1:105" ht="11.45" customHeight="1" x14ac:dyDescent="0.25">
      <c r="A193" s="128" t="s">
        <v>27</v>
      </c>
      <c r="B193" s="101">
        <v>980.95656132293595</v>
      </c>
      <c r="C193" s="101">
        <v>964.44420098918931</v>
      </c>
      <c r="D193" s="101">
        <v>963.37477059381058</v>
      </c>
      <c r="E193" s="101">
        <v>960.82640668397653</v>
      </c>
      <c r="F193" s="101">
        <v>957.42820230476764</v>
      </c>
      <c r="G193" s="101">
        <v>953.55921995837548</v>
      </c>
      <c r="H193" s="101">
        <v>948.94879629530874</v>
      </c>
      <c r="I193" s="101">
        <v>944.17016450291885</v>
      </c>
      <c r="J193" s="101">
        <v>935.82851409627631</v>
      </c>
      <c r="K193" s="101">
        <v>929.67707509482011</v>
      </c>
      <c r="L193" s="101">
        <v>924.63107749432561</v>
      </c>
      <c r="M193" s="101">
        <v>909.7659218014694</v>
      </c>
      <c r="N193" s="101">
        <v>901.81211018148144</v>
      </c>
      <c r="O193" s="101">
        <v>895.47174291827241</v>
      </c>
      <c r="P193" s="101">
        <v>884.58901078808083</v>
      </c>
      <c r="Q193" s="101">
        <v>864.15046421515194</v>
      </c>
      <c r="R193" s="101">
        <v>853.93209452171607</v>
      </c>
      <c r="S193" s="101">
        <v>843.88444701479011</v>
      </c>
      <c r="T193" s="101">
        <v>818.09011050945094</v>
      </c>
      <c r="U193" s="101">
        <v>788.3993485626753</v>
      </c>
      <c r="V193" s="101">
        <v>774.70448615167015</v>
      </c>
      <c r="W193" s="101">
        <v>738.81419444393475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1054.1727068426035</v>
      </c>
      <c r="D194" s="88">
        <v>1043.6532351113417</v>
      </c>
      <c r="E194" s="88">
        <v>1034.8258262578879</v>
      </c>
      <c r="F194" s="88">
        <v>1014.9640650760075</v>
      </c>
      <c r="G194" s="88">
        <v>1005.0702517395316</v>
      </c>
      <c r="H194" s="88">
        <v>994.95986644003096</v>
      </c>
      <c r="I194" s="88">
        <v>983.31365526651257</v>
      </c>
      <c r="J194" s="88">
        <v>973.39154757568303</v>
      </c>
      <c r="K194" s="88">
        <v>966.00307431092699</v>
      </c>
      <c r="L194" s="88">
        <v>952.28892256192398</v>
      </c>
      <c r="M194" s="88">
        <v>938.31718414708405</v>
      </c>
      <c r="N194" s="88">
        <v>924.35782174484461</v>
      </c>
      <c r="O194" s="88">
        <v>912.26364889769286</v>
      </c>
      <c r="P194" s="88">
        <v>901.51029506258601</v>
      </c>
      <c r="Q194" s="88">
        <v>887.96783663013741</v>
      </c>
      <c r="R194" s="88">
        <v>869.76040233379229</v>
      </c>
      <c r="S194" s="88">
        <v>856.14514672870848</v>
      </c>
      <c r="T194" s="88">
        <v>846.76841218504285</v>
      </c>
      <c r="U194" s="88">
        <v>829.5379115452406</v>
      </c>
      <c r="V194" s="88">
        <v>813.78724983836821</v>
      </c>
      <c r="W194" s="88">
        <v>797.04139677327692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1.1275000000068987</v>
      </c>
      <c r="C198" s="150">
        <f>IF(TrRoad_act!C59=0,0,TrRoad_emi!C56/TrRoad_tech!C171)</f>
        <v>1.1278320999801346</v>
      </c>
      <c r="D198" s="150">
        <f>IF(TrRoad_act!D59=0,0,TrRoad_emi!D56/TrRoad_tech!D171)</f>
        <v>1.1285848401157601</v>
      </c>
      <c r="E198" s="150">
        <f>IF(TrRoad_act!E59=0,0,TrRoad_emi!E56/TrRoad_tech!E171)</f>
        <v>1.1298361526765306</v>
      </c>
      <c r="F198" s="150">
        <f>IF(TrRoad_act!F59=0,0,TrRoad_emi!F56/TrRoad_tech!F171)</f>
        <v>1.1320029003542091</v>
      </c>
      <c r="G198" s="150">
        <f>IF(TrRoad_act!G59=0,0,TrRoad_emi!G56/TrRoad_tech!G171)</f>
        <v>1.1278436128359806</v>
      </c>
      <c r="H198" s="150">
        <f>IF(TrRoad_act!H59=0,0,TrRoad_emi!H56/TrRoad_tech!H171)</f>
        <v>1.1385875198386353</v>
      </c>
      <c r="I198" s="150">
        <f>IF(TrRoad_act!I59=0,0,TrRoad_emi!I56/TrRoad_tech!I171)</f>
        <v>1.1436366848582276</v>
      </c>
      <c r="J198" s="150">
        <f>IF(TrRoad_act!J59=0,0,TrRoad_emi!J56/TrRoad_tech!J171)</f>
        <v>1.1487332767762288</v>
      </c>
      <c r="K198" s="150">
        <f>IF(TrRoad_act!K59=0,0,TrRoad_emi!K56/TrRoad_tech!K171)</f>
        <v>1.1379641706289876</v>
      </c>
      <c r="L198" s="150">
        <f>IF(TrRoad_act!L59=0,0,TrRoad_emi!L56/TrRoad_tech!L171)</f>
        <v>1.1099902888437192</v>
      </c>
      <c r="M198" s="150">
        <f>IF(TrRoad_act!M59=0,0,TrRoad_emi!M56/TrRoad_tech!M171)</f>
        <v>1.114851991688216</v>
      </c>
      <c r="N198" s="150">
        <f>IF(TrRoad_act!N59=0,0,TrRoad_emi!N56/TrRoad_tech!N171)</f>
        <v>1.122707887508638</v>
      </c>
      <c r="O198" s="150">
        <f>IF(TrRoad_act!O59=0,0,TrRoad_emi!O56/TrRoad_tech!O171)</f>
        <v>1.1286828366117585</v>
      </c>
      <c r="P198" s="150">
        <f>IF(TrRoad_act!P59=0,0,TrRoad_emi!P56/TrRoad_tech!P171)</f>
        <v>1.1538136082990069</v>
      </c>
      <c r="Q198" s="150">
        <f>IF(TrRoad_act!Q59=0,0,TrRoad_emi!Q56/TrRoad_tech!Q171)</f>
        <v>1.1619640562551758</v>
      </c>
      <c r="R198" s="150">
        <f>IF(TrRoad_act!R59=0,0,TrRoad_emi!R56/TrRoad_tech!R171)</f>
        <v>1.1157348195776629</v>
      </c>
      <c r="S198" s="150">
        <f>IF(TrRoad_act!S59=0,0,TrRoad_emi!S56/TrRoad_tech!S171)</f>
        <v>1.1174410731878626</v>
      </c>
      <c r="T198" s="150">
        <f>IF(TrRoad_act!T59=0,0,TrRoad_emi!T56/TrRoad_tech!T171)</f>
        <v>1.1928271842791625</v>
      </c>
      <c r="U198" s="150">
        <f>IF(TrRoad_act!U59=0,0,TrRoad_emi!U56/TrRoad_tech!U171)</f>
        <v>1.2045744563897061</v>
      </c>
      <c r="V198" s="150">
        <f>IF(TrRoad_act!V59=0,0,TrRoad_emi!V56/TrRoad_tech!V171)</f>
        <v>1.1500137466675311</v>
      </c>
      <c r="W198" s="150">
        <f>IF(TrRoad_act!W59=0,0,TrRoad_emi!W56/TrRoad_tech!W171)</f>
        <v>1.1985653526998008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0.94118267629992991</v>
      </c>
      <c r="C199" s="151">
        <f>IF(TrRoad_act!C60=0,0,TrRoad_emi!C57/TrRoad_tech!C172)</f>
        <v>0.94231393726357604</v>
      </c>
      <c r="D199" s="151">
        <f>IF(TrRoad_act!D60=0,0,TrRoad_emi!D57/TrRoad_tech!D172)</f>
        <v>0.93785455892293557</v>
      </c>
      <c r="E199" s="151">
        <f>IF(TrRoad_act!E60=0,0,TrRoad_emi!E57/TrRoad_tech!E172)</f>
        <v>0.93820723854076071</v>
      </c>
      <c r="F199" s="151">
        <f>IF(TrRoad_act!F60=0,0,TrRoad_emi!F57/TrRoad_tech!F172)</f>
        <v>0.95161097226251601</v>
      </c>
      <c r="G199" s="151">
        <f>IF(TrRoad_act!G60=0,0,TrRoad_emi!G57/TrRoad_tech!G172)</f>
        <v>0.95403827855048617</v>
      </c>
      <c r="H199" s="151">
        <f>IF(TrRoad_act!H60=0,0,TrRoad_emi!H57/TrRoad_tech!H172)</f>
        <v>0.96091643815765559</v>
      </c>
      <c r="I199" s="151">
        <f>IF(TrRoad_act!I60=0,0,TrRoad_emi!I57/TrRoad_tech!I172)</f>
        <v>0.96518943213766684</v>
      </c>
      <c r="J199" s="151">
        <f>IF(TrRoad_act!J60=0,0,TrRoad_emi!J57/TrRoad_tech!J172)</f>
        <v>0.97470731683636747</v>
      </c>
      <c r="K199" s="151">
        <f>IF(TrRoad_act!K60=0,0,TrRoad_emi!K57/TrRoad_tech!K172)</f>
        <v>0.97145152240157484</v>
      </c>
      <c r="L199" s="151">
        <f>IF(TrRoad_act!L60=0,0,TrRoad_emi!L57/TrRoad_tech!L172)</f>
        <v>0.9504663652580827</v>
      </c>
      <c r="M199" s="151">
        <f>IF(TrRoad_act!M60=0,0,TrRoad_emi!M57/TrRoad_tech!M172)</f>
        <v>0.95386776366965276</v>
      </c>
      <c r="N199" s="151">
        <f>IF(TrRoad_act!N60=0,0,TrRoad_emi!N57/TrRoad_tech!N172)</f>
        <v>0.96073538004774328</v>
      </c>
      <c r="O199" s="151">
        <f>IF(TrRoad_act!O60=0,0,TrRoad_emi!O57/TrRoad_tech!O172)</f>
        <v>0.96770512866173486</v>
      </c>
      <c r="P199" s="151">
        <f>IF(TrRoad_act!P60=0,0,TrRoad_emi!P57/TrRoad_tech!P172)</f>
        <v>0.96890792900838008</v>
      </c>
      <c r="Q199" s="151">
        <f>IF(TrRoad_act!Q60=0,0,TrRoad_emi!Q57/TrRoad_tech!Q172)</f>
        <v>1.0033824933741726</v>
      </c>
      <c r="R199" s="151">
        <f>IF(TrRoad_act!R60=0,0,TrRoad_emi!R57/TrRoad_tech!R172)</f>
        <v>1.0107582815081506</v>
      </c>
      <c r="S199" s="151">
        <f>IF(TrRoad_act!S60=0,0,TrRoad_emi!S57/TrRoad_tech!S172)</f>
        <v>1.016428323361346</v>
      </c>
      <c r="T199" s="151">
        <f>IF(TrRoad_act!T60=0,0,TrRoad_emi!T57/TrRoad_tech!T172)</f>
        <v>1.0316597421033176</v>
      </c>
      <c r="U199" s="151">
        <f>IF(TrRoad_act!U60=0,0,TrRoad_emi!U57/TrRoad_tech!U172)</f>
        <v>1.0373915718712226</v>
      </c>
      <c r="V199" s="151">
        <f>IF(TrRoad_act!V60=0,0,TrRoad_emi!V57/TrRoad_tech!V172)</f>
        <v>1.0198691021947999</v>
      </c>
      <c r="W199" s="151">
        <f>IF(TrRoad_act!W60=0,0,TrRoad_emi!W57/TrRoad_tech!W172)</f>
        <v>1.0660003180691691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0.89527855903813369</v>
      </c>
      <c r="C200" s="91">
        <f>IF(TrRoad_act!C61=0,0,TrRoad_emi!C58/TrRoad_tech!C173)</f>
        <v>0.90108007260923473</v>
      </c>
      <c r="D200" s="91">
        <f>IF(TrRoad_act!D61=0,0,TrRoad_emi!D58/TrRoad_tech!D173)</f>
        <v>0.90310623362475462</v>
      </c>
      <c r="E200" s="91">
        <f>IF(TrRoad_act!E61=0,0,TrRoad_emi!E58/TrRoad_tech!E173)</f>
        <v>0.90813858207803011</v>
      </c>
      <c r="F200" s="91">
        <f>IF(TrRoad_act!F61=0,0,TrRoad_emi!F58/TrRoad_tech!F173)</f>
        <v>0.92822798867225154</v>
      </c>
      <c r="G200" s="91">
        <f>IF(TrRoad_act!G61=0,0,TrRoad_emi!G58/TrRoad_tech!G173)</f>
        <v>0.93150242500519742</v>
      </c>
      <c r="H200" s="91">
        <f>IF(TrRoad_act!H61=0,0,TrRoad_emi!H58/TrRoad_tech!H173)</f>
        <v>0.93574662917530771</v>
      </c>
      <c r="I200" s="91">
        <f>IF(TrRoad_act!I61=0,0,TrRoad_emi!I58/TrRoad_tech!I173)</f>
        <v>0.9406741620363146</v>
      </c>
      <c r="J200" s="91">
        <f>IF(TrRoad_act!J61=0,0,TrRoad_emi!J58/TrRoad_tech!J173)</f>
        <v>0.94596374672470074</v>
      </c>
      <c r="K200" s="91">
        <f>IF(TrRoad_act!K61=0,0,TrRoad_emi!K58/TrRoad_tech!K173)</f>
        <v>0.9493408926678979</v>
      </c>
      <c r="L200" s="91">
        <f>IF(TrRoad_act!L61=0,0,TrRoad_emi!L58/TrRoad_tech!L173)</f>
        <v>0.92939568563074959</v>
      </c>
      <c r="M200" s="91">
        <f>IF(TrRoad_act!M61=0,0,TrRoad_emi!M58/TrRoad_tech!M173)</f>
        <v>0.92898865116501728</v>
      </c>
      <c r="N200" s="91">
        <f>IF(TrRoad_act!N61=0,0,TrRoad_emi!N58/TrRoad_tech!N173)</f>
        <v>0.94139043777440523</v>
      </c>
      <c r="O200" s="91">
        <f>IF(TrRoad_act!O61=0,0,TrRoad_emi!O58/TrRoad_tech!O173)</f>
        <v>0.95255484514764155</v>
      </c>
      <c r="P200" s="91">
        <f>IF(TrRoad_act!P61=0,0,TrRoad_emi!P58/TrRoad_tech!P173)</f>
        <v>0.97487088421160606</v>
      </c>
      <c r="Q200" s="91">
        <f>IF(TrRoad_act!Q61=0,0,TrRoad_emi!Q58/TrRoad_tech!Q173)</f>
        <v>0.98741694514682732</v>
      </c>
      <c r="R200" s="91">
        <f>IF(TrRoad_act!R61=0,0,TrRoad_emi!R58/TrRoad_tech!R173)</f>
        <v>1.0259323211374205</v>
      </c>
      <c r="S200" s="91">
        <f>IF(TrRoad_act!S61=0,0,TrRoad_emi!S58/TrRoad_tech!S173)</f>
        <v>0.99398155253189824</v>
      </c>
      <c r="T200" s="91">
        <f>IF(TrRoad_act!T61=0,0,TrRoad_emi!T58/TrRoad_tech!T173)</f>
        <v>0.99510380076249827</v>
      </c>
      <c r="U200" s="91">
        <f>IF(TrRoad_act!U61=0,0,TrRoad_emi!U58/TrRoad_tech!U173)</f>
        <v>0.99764881718023779</v>
      </c>
      <c r="V200" s="91">
        <f>IF(TrRoad_act!V61=0,0,TrRoad_emi!V58/TrRoad_tech!V173)</f>
        <v>0.95784920513648608</v>
      </c>
      <c r="W200" s="91">
        <f>IF(TrRoad_act!W61=0,0,TrRoad_emi!W58/TrRoad_tech!W173)</f>
        <v>1.0161806517502545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0.9921862646299372</v>
      </c>
      <c r="C201" s="91">
        <f>IF(TrRoad_act!C62=0,0,TrRoad_emi!C59/TrRoad_tech!C174)</f>
        <v>1.0015857250808224</v>
      </c>
      <c r="D201" s="91">
        <f>IF(TrRoad_act!D62=0,0,TrRoad_emi!D59/TrRoad_tech!D174)</f>
        <v>1.0025471533252348</v>
      </c>
      <c r="E201" s="91">
        <f>IF(TrRoad_act!E62=0,0,TrRoad_emi!E59/TrRoad_tech!E174)</f>
        <v>1.0063248182841817</v>
      </c>
      <c r="F201" s="91">
        <f>IF(TrRoad_act!F62=0,0,TrRoad_emi!F59/TrRoad_tech!F174)</f>
        <v>1.0139014914643507</v>
      </c>
      <c r="G201" s="91">
        <f>IF(TrRoad_act!G62=0,0,TrRoad_emi!G59/TrRoad_tech!G174)</f>
        <v>1.0155663679994111</v>
      </c>
      <c r="H201" s="91">
        <f>IF(TrRoad_act!H62=0,0,TrRoad_emi!H59/TrRoad_tech!H174)</f>
        <v>1.0198860198762951</v>
      </c>
      <c r="I201" s="91">
        <f>IF(TrRoad_act!I62=0,0,TrRoad_emi!I59/TrRoad_tech!I174)</f>
        <v>1.0217071256960184</v>
      </c>
      <c r="J201" s="91">
        <f>IF(TrRoad_act!J62=0,0,TrRoad_emi!J59/TrRoad_tech!J174)</f>
        <v>1.0292334207612455</v>
      </c>
      <c r="K201" s="91">
        <f>IF(TrRoad_act!K62=0,0,TrRoad_emi!K59/TrRoad_tech!K174)</f>
        <v>1.0168983106272473</v>
      </c>
      <c r="L201" s="91">
        <f>IF(TrRoad_act!L62=0,0,TrRoad_emi!L59/TrRoad_tech!L174)</f>
        <v>0.99274691556149963</v>
      </c>
      <c r="M201" s="91">
        <f>IF(TrRoad_act!M62=0,0,TrRoad_emi!M59/TrRoad_tech!M174)</f>
        <v>0.99524108460095928</v>
      </c>
      <c r="N201" s="91">
        <f>IF(TrRoad_act!N62=0,0,TrRoad_emi!N59/TrRoad_tech!N174)</f>
        <v>0.99368323304434969</v>
      </c>
      <c r="O201" s="91">
        <f>IF(TrRoad_act!O62=0,0,TrRoad_emi!O59/TrRoad_tech!O174)</f>
        <v>0.99734802193562078</v>
      </c>
      <c r="P201" s="91">
        <f>IF(TrRoad_act!P62=0,0,TrRoad_emi!P59/TrRoad_tech!P174)</f>
        <v>0.98796619808847874</v>
      </c>
      <c r="Q201" s="91">
        <f>IF(TrRoad_act!Q62=0,0,TrRoad_emi!Q59/TrRoad_tech!Q174)</f>
        <v>1.0231344644863569</v>
      </c>
      <c r="R201" s="91">
        <f>IF(TrRoad_act!R62=0,0,TrRoad_emi!R59/TrRoad_tech!R174)</f>
        <v>1.0141406477077253</v>
      </c>
      <c r="S201" s="91">
        <f>IF(TrRoad_act!S62=0,0,TrRoad_emi!S59/TrRoad_tech!S174)</f>
        <v>1.0277126770383485</v>
      </c>
      <c r="T201" s="91">
        <f>IF(TrRoad_act!T62=0,0,TrRoad_emi!T59/TrRoad_tech!T174)</f>
        <v>1.0402166497714174</v>
      </c>
      <c r="U201" s="91">
        <f>IF(TrRoad_act!U62=0,0,TrRoad_emi!U59/TrRoad_tech!U174)</f>
        <v>1.0447307253945128</v>
      </c>
      <c r="V201" s="91">
        <f>IF(TrRoad_act!V62=0,0,TrRoad_emi!V59/TrRoad_tech!V174)</f>
        <v>0.9857024798184929</v>
      </c>
      <c r="W201" s="91">
        <f>IF(TrRoad_act!W62=0,0,TrRoad_emi!W59/TrRoad_tech!W174)</f>
        <v>1.0132435707680361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0.85675133830243266</v>
      </c>
      <c r="C202" s="91">
        <f>IF(TrRoad_act!C63=0,0,TrRoad_emi!C60/TrRoad_tech!C175)</f>
        <v>0.93261047964615928</v>
      </c>
      <c r="D202" s="91">
        <f>IF(TrRoad_act!D63=0,0,TrRoad_emi!D60/TrRoad_tech!D175)</f>
        <v>0.76762716975011536</v>
      </c>
      <c r="E202" s="91">
        <f>IF(TrRoad_act!E63=0,0,TrRoad_emi!E60/TrRoad_tech!E175)</f>
        <v>0.721002127032915</v>
      </c>
      <c r="F202" s="91">
        <f>IF(TrRoad_act!F63=0,0,TrRoad_emi!F60/TrRoad_tech!F175)</f>
        <v>0.72475801294862685</v>
      </c>
      <c r="G202" s="91">
        <f>IF(TrRoad_act!G63=0,0,TrRoad_emi!G60/TrRoad_tech!G175)</f>
        <v>0.79664971992784017</v>
      </c>
      <c r="H202" s="91">
        <f>IF(TrRoad_act!H63=0,0,TrRoad_emi!H60/TrRoad_tech!H175)</f>
        <v>0.85110896222947507</v>
      </c>
      <c r="I202" s="91">
        <f>IF(TrRoad_act!I63=0,0,TrRoad_emi!I60/TrRoad_tech!I175)</f>
        <v>0.79488762615169961</v>
      </c>
      <c r="J202" s="91">
        <f>IF(TrRoad_act!J63=0,0,TrRoad_emi!J60/TrRoad_tech!J175)</f>
        <v>0.82699178164840959</v>
      </c>
      <c r="K202" s="91">
        <f>IF(TrRoad_act!K63=0,0,TrRoad_emi!K60/TrRoad_tech!K175)</f>
        <v>0.88208950907062378</v>
      </c>
      <c r="L202" s="91">
        <f>IF(TrRoad_act!L63=0,0,TrRoad_emi!L60/TrRoad_tech!L175)</f>
        <v>0.93616776856778938</v>
      </c>
      <c r="M202" s="91">
        <f>IF(TrRoad_act!M63=0,0,TrRoad_emi!M60/TrRoad_tech!M175)</f>
        <v>0.92951228261121632</v>
      </c>
      <c r="N202" s="91">
        <f>IF(TrRoad_act!N63=0,0,TrRoad_emi!N60/TrRoad_tech!N175)</f>
        <v>0.89341723702961029</v>
      </c>
      <c r="O202" s="91">
        <f>IF(TrRoad_act!O63=0,0,TrRoad_emi!O60/TrRoad_tech!O175)</f>
        <v>0.91809041718988693</v>
      </c>
      <c r="P202" s="91">
        <f>IF(TrRoad_act!P63=0,0,TrRoad_emi!P60/TrRoad_tech!P175)</f>
        <v>0.9315526241460883</v>
      </c>
      <c r="Q202" s="91">
        <f>IF(TrRoad_act!Q63=0,0,TrRoad_emi!Q60/TrRoad_tech!Q175)</f>
        <v>1.1114838449661339</v>
      </c>
      <c r="R202" s="91">
        <f>IF(TrRoad_act!R63=0,0,TrRoad_emi!R60/TrRoad_tech!R175)</f>
        <v>1.2979020326440553</v>
      </c>
      <c r="S202" s="91">
        <f>IF(TrRoad_act!S63=0,0,TrRoad_emi!S60/TrRoad_tech!S175)</f>
        <v>1.2064624699173039</v>
      </c>
      <c r="T202" s="91">
        <f>IF(TrRoad_act!T63=0,0,TrRoad_emi!T60/TrRoad_tech!T175)</f>
        <v>1.17033210061144</v>
      </c>
      <c r="U202" s="91">
        <f>IF(TrRoad_act!U63=0,0,TrRoad_emi!U60/TrRoad_tech!U175)</f>
        <v>1.2056415107539658</v>
      </c>
      <c r="V202" s="91">
        <f>IF(TrRoad_act!V63=0,0,TrRoad_emi!V60/TrRoad_tech!V175)</f>
        <v>1.1710846002687154</v>
      </c>
      <c r="W202" s="91">
        <f>IF(TrRoad_act!W63=0,0,TrRoad_emi!W60/TrRoad_tech!W175)</f>
        <v>1.1852050783683135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0.74973939861854744</v>
      </c>
      <c r="G203" s="91">
        <f>IF(TrRoad_act!G64=0,0,TrRoad_emi!G61/TrRoad_tech!G176)</f>
        <v>0.73662273896462449</v>
      </c>
      <c r="H203" s="91">
        <f>IF(TrRoad_act!H64=0,0,TrRoad_emi!H61/TrRoad_tech!H176)</f>
        <v>0.68760533048245875</v>
      </c>
      <c r="I203" s="91">
        <f>IF(TrRoad_act!I64=0,0,TrRoad_emi!I61/TrRoad_tech!I176)</f>
        <v>0.68708646931499695</v>
      </c>
      <c r="J203" s="91">
        <f>IF(TrRoad_act!J64=0,0,TrRoad_emi!J61/TrRoad_tech!J176)</f>
        <v>0.44681952451220303</v>
      </c>
      <c r="K203" s="91">
        <f>IF(TrRoad_act!K64=0,0,TrRoad_emi!K61/TrRoad_tech!K176)</f>
        <v>0.33596035397414675</v>
      </c>
      <c r="L203" s="91">
        <f>IF(TrRoad_act!L64=0,0,TrRoad_emi!L61/TrRoad_tech!L176)</f>
        <v>0.28211452137777582</v>
      </c>
      <c r="M203" s="91">
        <f>IF(TrRoad_act!M64=0,0,TrRoad_emi!M61/TrRoad_tech!M176)</f>
        <v>0.33364737130474492</v>
      </c>
      <c r="N203" s="91">
        <f>IF(TrRoad_act!N64=0,0,TrRoad_emi!N61/TrRoad_tech!N176)</f>
        <v>0.74427966343582908</v>
      </c>
      <c r="O203" s="91">
        <f>IF(TrRoad_act!O64=0,0,TrRoad_emi!O61/TrRoad_tech!O176)</f>
        <v>1.1687118813005717</v>
      </c>
      <c r="P203" s="91">
        <f>IF(TrRoad_act!P64=0,0,TrRoad_emi!P61/TrRoad_tech!P176)</f>
        <v>0.91826278811865059</v>
      </c>
      <c r="Q203" s="91">
        <f>IF(TrRoad_act!Q64=0,0,TrRoad_emi!Q61/TrRoad_tech!Q176)</f>
        <v>1.1493382347969303</v>
      </c>
      <c r="R203" s="91">
        <f>IF(TrRoad_act!R64=0,0,TrRoad_emi!R61/TrRoad_tech!R176)</f>
        <v>1.0996067830010334</v>
      </c>
      <c r="S203" s="91">
        <f>IF(TrRoad_act!S64=0,0,TrRoad_emi!S61/TrRoad_tech!S176)</f>
        <v>1.1170230331517277</v>
      </c>
      <c r="T203" s="91">
        <f>IF(TrRoad_act!T64=0,0,TrRoad_emi!T61/TrRoad_tech!T176)</f>
        <v>1.1251475861404689</v>
      </c>
      <c r="U203" s="91">
        <f>IF(TrRoad_act!U64=0,0,TrRoad_emi!U61/TrRoad_tech!U176)</f>
        <v>1.4743687850609186</v>
      </c>
      <c r="V203" s="91">
        <f>IF(TrRoad_act!V64=0,0,TrRoad_emi!V61/TrRoad_tech!V176)</f>
        <v>2.0792005275546783</v>
      </c>
      <c r="W203" s="91">
        <f>IF(TrRoad_act!W64=0,0,TrRoad_emi!W61/TrRoad_tech!W176)</f>
        <v>2.9788890784953237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0.94878172550540563</v>
      </c>
      <c r="N204" s="91">
        <f>IF(TrRoad_act!N65=0,0,TrRoad_emi!N62/TrRoad_tech!N177)</f>
        <v>0.9630992809752742</v>
      </c>
      <c r="O204" s="91">
        <f>IF(TrRoad_act!O65=0,0,TrRoad_emi!O62/TrRoad_tech!O177)</f>
        <v>0.97402530237883977</v>
      </c>
      <c r="P204" s="91">
        <f>IF(TrRoad_act!P65=0,0,TrRoad_emi!P62/TrRoad_tech!P177)</f>
        <v>0.99915103614893019</v>
      </c>
      <c r="Q204" s="91">
        <f>IF(TrRoad_act!Q65=0,0,TrRoad_emi!Q62/TrRoad_tech!Q177)</f>
        <v>1.0139609459511687</v>
      </c>
      <c r="R204" s="91">
        <f>IF(TrRoad_act!R65=0,0,TrRoad_emi!R62/TrRoad_tech!R177)</f>
        <v>1.0524640982211404</v>
      </c>
      <c r="S204" s="91">
        <f>IF(TrRoad_act!S65=0,0,TrRoad_emi!S62/TrRoad_tech!S177)</f>
        <v>1.0172740994168121</v>
      </c>
      <c r="T204" s="91">
        <f>IF(TrRoad_act!T65=0,0,TrRoad_emi!T62/TrRoad_tech!T177)</f>
        <v>1.0141390348179993</v>
      </c>
      <c r="U204" s="91">
        <f>IF(TrRoad_act!U65=0,0,TrRoad_emi!U62/TrRoad_tech!U177)</f>
        <v>1.0133114324546746</v>
      </c>
      <c r="V204" s="91">
        <f>IF(TrRoad_act!V65=0,0,TrRoad_emi!V62/TrRoad_tech!V177)</f>
        <v>0.97210051675371179</v>
      </c>
      <c r="W204" s="91">
        <f>IF(TrRoad_act!W65=0,0,TrRoad_emi!W62/TrRoad_tech!W177)</f>
        <v>1.0304788947993295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1.0385490349836322</v>
      </c>
      <c r="C206" s="151">
        <f>IF(TrRoad_act!C67=0,0,TrRoad_emi!C64/TrRoad_tech!C179)</f>
        <v>1.0508753775678712</v>
      </c>
      <c r="D206" s="151">
        <f>IF(TrRoad_act!D67=0,0,TrRoad_emi!D64/TrRoad_tech!D179)</f>
        <v>1.0464799728706657</v>
      </c>
      <c r="E206" s="151">
        <f>IF(TrRoad_act!E67=0,0,TrRoad_emi!E64/TrRoad_tech!E179)</f>
        <v>1.0589984000669592</v>
      </c>
      <c r="F206" s="151">
        <f>IF(TrRoad_act!F67=0,0,TrRoad_emi!F64/TrRoad_tech!F179)</f>
        <v>1.0734676968987698</v>
      </c>
      <c r="G206" s="151">
        <f>IF(TrRoad_act!G67=0,0,TrRoad_emi!G64/TrRoad_tech!G179)</f>
        <v>1.0881785464916713</v>
      </c>
      <c r="H206" s="151">
        <f>IF(TrRoad_act!H67=0,0,TrRoad_emi!H64/TrRoad_tech!H179)</f>
        <v>1.0906757007090213</v>
      </c>
      <c r="I206" s="151">
        <f>IF(TrRoad_act!I67=0,0,TrRoad_emi!I64/TrRoad_tech!I179)</f>
        <v>1.0994941366687476</v>
      </c>
      <c r="J206" s="151">
        <f>IF(TrRoad_act!J67=0,0,TrRoad_emi!J64/TrRoad_tech!J179)</f>
        <v>1.1163263761020117</v>
      </c>
      <c r="K206" s="151">
        <f>IF(TrRoad_act!K67=0,0,TrRoad_emi!K64/TrRoad_tech!K179)</f>
        <v>1.1065625268825021</v>
      </c>
      <c r="L206" s="151">
        <f>IF(TrRoad_act!L67=0,0,TrRoad_emi!L64/TrRoad_tech!L179)</f>
        <v>1.0895211168984866</v>
      </c>
      <c r="M206" s="151">
        <f>IF(TrRoad_act!M67=0,0,TrRoad_emi!M64/TrRoad_tech!M179)</f>
        <v>1.091975991273106</v>
      </c>
      <c r="N206" s="151">
        <f>IF(TrRoad_act!N67=0,0,TrRoad_emi!N64/TrRoad_tech!N179)</f>
        <v>1.0930569281570683</v>
      </c>
      <c r="O206" s="151">
        <f>IF(TrRoad_act!O67=0,0,TrRoad_emi!O64/TrRoad_tech!O179)</f>
        <v>1.1133936671974922</v>
      </c>
      <c r="P206" s="151">
        <f>IF(TrRoad_act!P67=0,0,TrRoad_emi!P64/TrRoad_tech!P179)</f>
        <v>1.1191595533527667</v>
      </c>
      <c r="Q206" s="151">
        <f>IF(TrRoad_act!Q67=0,0,TrRoad_emi!Q64/TrRoad_tech!Q179)</f>
        <v>1.1718149232627746</v>
      </c>
      <c r="R206" s="151">
        <f>IF(TrRoad_act!R67=0,0,TrRoad_emi!R64/TrRoad_tech!R179)</f>
        <v>1.1998549996786738</v>
      </c>
      <c r="S206" s="151">
        <f>IF(TrRoad_act!S67=0,0,TrRoad_emi!S64/TrRoad_tech!S179)</f>
        <v>1.245692681915773</v>
      </c>
      <c r="T206" s="151">
        <f>IF(TrRoad_act!T67=0,0,TrRoad_emi!T64/TrRoad_tech!T179)</f>
        <v>1.3120478558812809</v>
      </c>
      <c r="U206" s="151">
        <f>IF(TrRoad_act!U67=0,0,TrRoad_emi!U64/TrRoad_tech!U179)</f>
        <v>1.3306780774617788</v>
      </c>
      <c r="V206" s="151">
        <f>IF(TrRoad_act!V67=0,0,TrRoad_emi!V64/TrRoad_tech!V179)</f>
        <v>1.2596756164853271</v>
      </c>
      <c r="W206" s="151">
        <f>IF(TrRoad_act!W67=0,0,TrRoad_emi!W64/TrRoad_tech!W179)</f>
        <v>1.356138692105564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1.1000000000067303</v>
      </c>
      <c r="C207" s="93">
        <f>IF(TrRoad_act!C68=0,0,TrRoad_emi!C65/TrRoad_tech!C180)</f>
        <v>1.1000000000067303</v>
      </c>
      <c r="D207" s="93">
        <f>IF(TrRoad_act!D68=0,0,TrRoad_emi!D65/TrRoad_tech!D180)</f>
        <v>1.10000000000673</v>
      </c>
      <c r="E207" s="93">
        <f>IF(TrRoad_act!E68=0,0,TrRoad_emi!E65/TrRoad_tech!E180)</f>
        <v>1.1000000000067303</v>
      </c>
      <c r="F207" s="93">
        <f>IF(TrRoad_act!F68=0,0,TrRoad_emi!F65/TrRoad_tech!F180)</f>
        <v>1.1000000000067305</v>
      </c>
      <c r="G207" s="93">
        <f>IF(TrRoad_act!G68=0,0,TrRoad_emi!G65/TrRoad_tech!G180)</f>
        <v>1.1000000000067298</v>
      </c>
      <c r="H207" s="93">
        <f>IF(TrRoad_act!H68=0,0,TrRoad_emi!H65/TrRoad_tech!H180)</f>
        <v>1.1000000000067298</v>
      </c>
      <c r="I207" s="93">
        <f>IF(TrRoad_act!I68=0,0,TrRoad_emi!I65/TrRoad_tech!I180)</f>
        <v>1.1000000000067305</v>
      </c>
      <c r="J207" s="93">
        <f>IF(TrRoad_act!J68=0,0,TrRoad_emi!J65/TrRoad_tech!J180)</f>
        <v>1.1000000000067298</v>
      </c>
      <c r="K207" s="93">
        <f>IF(TrRoad_act!K68=0,0,TrRoad_emi!K65/TrRoad_tech!K180)</f>
        <v>1.0851322642658141</v>
      </c>
      <c r="L207" s="93">
        <f>IF(TrRoad_act!L68=0,0,TrRoad_emi!L65/TrRoad_tech!L180)</f>
        <v>1.0552216457177781</v>
      </c>
      <c r="M207" s="93">
        <f>IF(TrRoad_act!M68=0,0,TrRoad_emi!M65/TrRoad_tech!M180)</f>
        <v>1.0560002208425889</v>
      </c>
      <c r="N207" s="93">
        <f>IF(TrRoad_act!N68=0,0,TrRoad_emi!N65/TrRoad_tech!N180)</f>
        <v>1.0562948282055509</v>
      </c>
      <c r="O207" s="93">
        <f>IF(TrRoad_act!O68=0,0,TrRoad_emi!O65/TrRoad_tech!O180)</f>
        <v>1.0566593140891181</v>
      </c>
      <c r="P207" s="93">
        <f>IF(TrRoad_act!P68=0,0,TrRoad_emi!P65/TrRoad_tech!P180)</f>
        <v>1.0723241319504158</v>
      </c>
      <c r="Q207" s="93">
        <f>IF(TrRoad_act!Q68=0,0,TrRoad_emi!Q65/TrRoad_tech!Q180)</f>
        <v>1.0730149823558555</v>
      </c>
      <c r="R207" s="93">
        <f>IF(TrRoad_act!R68=0,0,TrRoad_emi!R65/TrRoad_tech!R180)</f>
        <v>1.0757601388537363</v>
      </c>
      <c r="S207" s="93">
        <f>IF(TrRoad_act!S68=0,0,TrRoad_emi!S65/TrRoad_tech!S180)</f>
        <v>1.0386459634399434</v>
      </c>
      <c r="T207" s="93">
        <f>IF(TrRoad_act!T68=0,0,TrRoad_emi!T65/TrRoad_tech!T180)</f>
        <v>1.0354743259019092</v>
      </c>
      <c r="U207" s="93">
        <f>IF(TrRoad_act!U68=0,0,TrRoad_emi!U65/TrRoad_tech!U180)</f>
        <v>1.0366738282734851</v>
      </c>
      <c r="V207" s="93">
        <f>IF(TrRoad_act!V68=0,0,TrRoad_emi!V65/TrRoad_tech!V180)</f>
        <v>1.022685613877971</v>
      </c>
      <c r="W207" s="93">
        <f>IF(TrRoad_act!W68=0,0,TrRoad_emi!W65/TrRoad_tech!W180)</f>
        <v>1.0209823175543986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1.0377840941915202</v>
      </c>
      <c r="C208" s="93">
        <f>IF(TrRoad_act!C69=0,0,TrRoad_emi!C66/TrRoad_tech!C181)</f>
        <v>1.0615337606444708</v>
      </c>
      <c r="D208" s="93">
        <f>IF(TrRoad_act!D69=0,0,TrRoad_emi!D66/TrRoad_tech!D181)</f>
        <v>1.0613708988141777</v>
      </c>
      <c r="E208" s="93">
        <f>IF(TrRoad_act!E69=0,0,TrRoad_emi!E66/TrRoad_tech!E181)</f>
        <v>1.0775718754241792</v>
      </c>
      <c r="F208" s="93">
        <f>IF(TrRoad_act!F69=0,0,TrRoad_emi!F66/TrRoad_tech!F181)</f>
        <v>1.0947596183332144</v>
      </c>
      <c r="G208" s="93">
        <f>IF(TrRoad_act!G69=0,0,TrRoad_emi!G66/TrRoad_tech!G181)</f>
        <v>1.1023263330952924</v>
      </c>
      <c r="H208" s="93">
        <f>IF(TrRoad_act!H69=0,0,TrRoad_emi!H66/TrRoad_tech!H181)</f>
        <v>1.1148888486654938</v>
      </c>
      <c r="I208" s="93">
        <f>IF(TrRoad_act!I69=0,0,TrRoad_emi!I66/TrRoad_tech!I181)</f>
        <v>1.1235564277142218</v>
      </c>
      <c r="J208" s="93">
        <f>IF(TrRoad_act!J69=0,0,TrRoad_emi!J66/TrRoad_tech!J181)</f>
        <v>1.1399896897665613</v>
      </c>
      <c r="K208" s="93">
        <f>IF(TrRoad_act!K69=0,0,TrRoad_emi!K66/TrRoad_tech!K181)</f>
        <v>1.1285642370974549</v>
      </c>
      <c r="L208" s="93">
        <f>IF(TrRoad_act!L69=0,0,TrRoad_emi!L66/TrRoad_tech!L181)</f>
        <v>1.109644570488395</v>
      </c>
      <c r="M208" s="93">
        <f>IF(TrRoad_act!M69=0,0,TrRoad_emi!M66/TrRoad_tech!M181)</f>
        <v>1.1106023154818438</v>
      </c>
      <c r="N208" s="93">
        <f>IF(TrRoad_act!N69=0,0,TrRoad_emi!N66/TrRoad_tech!N181)</f>
        <v>1.1097260898219039</v>
      </c>
      <c r="O208" s="93">
        <f>IF(TrRoad_act!O69=0,0,TrRoad_emi!O66/TrRoad_tech!O181)</f>
        <v>1.1259183924133305</v>
      </c>
      <c r="P208" s="93">
        <f>IF(TrRoad_act!P69=0,0,TrRoad_emi!P66/TrRoad_tech!P181)</f>
        <v>1.126966196153635</v>
      </c>
      <c r="Q208" s="93">
        <f>IF(TrRoad_act!Q69=0,0,TrRoad_emi!Q66/TrRoad_tech!Q181)</f>
        <v>1.1820625732873817</v>
      </c>
      <c r="R208" s="93">
        <f>IF(TrRoad_act!R69=0,0,TrRoad_emi!R66/TrRoad_tech!R181)</f>
        <v>1.207577899597726</v>
      </c>
      <c r="S208" s="93">
        <f>IF(TrRoad_act!S69=0,0,TrRoad_emi!S66/TrRoad_tech!S181)</f>
        <v>1.2522327572627376</v>
      </c>
      <c r="T208" s="93">
        <f>IF(TrRoad_act!T69=0,0,TrRoad_emi!T66/TrRoad_tech!T181)</f>
        <v>1.3089454475909685</v>
      </c>
      <c r="U208" s="93">
        <f>IF(TrRoad_act!U69=0,0,TrRoad_emi!U66/TrRoad_tech!U181)</f>
        <v>1.3235420468038381</v>
      </c>
      <c r="V208" s="93">
        <f>IF(TrRoad_act!V69=0,0,TrRoad_emi!V66/TrRoad_tech!V181)</f>
        <v>1.2593582649182806</v>
      </c>
      <c r="W208" s="93">
        <f>IF(TrRoad_act!W69=0,0,TrRoad_emi!W66/TrRoad_tech!W181)</f>
        <v>1.3279342918867283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0</v>
      </c>
      <c r="G209" s="93">
        <f>IF(TrRoad_act!G70=0,0,TrRoad_emi!G67/TrRoad_tech!G182)</f>
        <v>0</v>
      </c>
      <c r="H209" s="93">
        <f>IF(TrRoad_act!H70=0,0,TrRoad_emi!H67/TrRoad_tech!H182)</f>
        <v>0</v>
      </c>
      <c r="I209" s="93">
        <f>IF(TrRoad_act!I70=0,0,TrRoad_emi!I67/TrRoad_tech!I182)</f>
        <v>0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0</v>
      </c>
      <c r="S209" s="93">
        <f>IF(TrRoad_act!S70=0,0,TrRoad_emi!S67/TrRoad_tech!S182)</f>
        <v>0</v>
      </c>
      <c r="T209" s="93">
        <f>IF(TrRoad_act!T70=0,0,TrRoad_emi!T67/TrRoad_tech!T182)</f>
        <v>0</v>
      </c>
      <c r="U209" s="93">
        <f>IF(TrRoad_act!U70=0,0,TrRoad_emi!U67/TrRoad_tech!U182)</f>
        <v>0</v>
      </c>
      <c r="V209" s="93">
        <f>IF(TrRoad_act!V70=0,0,TrRoad_emi!V67/TrRoad_tech!V182)</f>
        <v>0</v>
      </c>
      <c r="W209" s="93">
        <f>IF(TrRoad_act!W70=0,0,TrRoad_emi!W67/TrRoad_tech!W182)</f>
        <v>0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0</v>
      </c>
      <c r="G210" s="93">
        <f>IF(TrRoad_act!G71=0,0,TrRoad_emi!G68/TrRoad_tech!G183)</f>
        <v>0</v>
      </c>
      <c r="H210" s="93">
        <f>IF(TrRoad_act!H71=0,0,TrRoad_emi!H68/TrRoad_tech!H183)</f>
        <v>0</v>
      </c>
      <c r="I210" s="93">
        <f>IF(TrRoad_act!I71=0,0,TrRoad_emi!I68/TrRoad_tech!I183)</f>
        <v>0</v>
      </c>
      <c r="J210" s="93">
        <f>IF(TrRoad_act!J71=0,0,TrRoad_emi!J68/TrRoad_tech!J183)</f>
        <v>0</v>
      </c>
      <c r="K210" s="93">
        <f>IF(TrRoad_act!K71=0,0,TrRoad_emi!K68/TrRoad_tech!K183)</f>
        <v>0</v>
      </c>
      <c r="L210" s="93">
        <f>IF(TrRoad_act!L71=0,0,TrRoad_emi!L68/TrRoad_tech!L183)</f>
        <v>0</v>
      </c>
      <c r="M210" s="93">
        <f>IF(TrRoad_act!M71=0,0,TrRoad_emi!M68/TrRoad_tech!M183)</f>
        <v>0</v>
      </c>
      <c r="N210" s="93">
        <f>IF(TrRoad_act!N71=0,0,TrRoad_emi!N68/TrRoad_tech!N183)</f>
        <v>0</v>
      </c>
      <c r="O210" s="93">
        <f>IF(TrRoad_act!O71=0,0,TrRoad_emi!O68/TrRoad_tech!O183)</f>
        <v>0</v>
      </c>
      <c r="P210" s="93">
        <f>IF(TrRoad_act!P71=0,0,TrRoad_emi!P68/TrRoad_tech!P183)</f>
        <v>0</v>
      </c>
      <c r="Q210" s="93">
        <f>IF(TrRoad_act!Q71=0,0,TrRoad_emi!Q68/TrRoad_tech!Q183)</f>
        <v>0</v>
      </c>
      <c r="R210" s="93">
        <f>IF(TrRoad_act!R71=0,0,TrRoad_emi!R68/TrRoad_tech!R183)</f>
        <v>1.3372136808518771</v>
      </c>
      <c r="S210" s="93">
        <f>IF(TrRoad_act!S71=0,0,TrRoad_emi!S68/TrRoad_tech!S183)</f>
        <v>1.3523638633146537</v>
      </c>
      <c r="T210" s="93">
        <f>IF(TrRoad_act!T71=0,0,TrRoad_emi!T68/TrRoad_tech!T183)</f>
        <v>1.382447908723643</v>
      </c>
      <c r="U210" s="93">
        <f>IF(TrRoad_act!U71=0,0,TrRoad_emi!U68/TrRoad_tech!U183)</f>
        <v>1.8136264343149973</v>
      </c>
      <c r="V210" s="93">
        <f>IF(TrRoad_act!V71=0,0,TrRoad_emi!V68/TrRoad_tech!V183)</f>
        <v>2.5664577456940467</v>
      </c>
      <c r="W210" s="93">
        <f>IF(TrRoad_act!W71=0,0,TrRoad_emi!W68/TrRoad_tech!W183)</f>
        <v>3.6928967406609141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1.0878531195047723</v>
      </c>
      <c r="C213" s="150">
        <f>IF(TrRoad_act!C74=0,0,TrRoad_emi!C71/TrRoad_tech!C186)</f>
        <v>1.0754544250720215</v>
      </c>
      <c r="D213" s="150">
        <f>IF(TrRoad_act!D74=0,0,TrRoad_emi!D71/TrRoad_tech!D186)</f>
        <v>1.0627231362159477</v>
      </c>
      <c r="E213" s="150">
        <f>IF(TrRoad_act!E74=0,0,TrRoad_emi!E71/TrRoad_tech!E186)</f>
        <v>1.0585655963647358</v>
      </c>
      <c r="F213" s="150">
        <f>IF(TrRoad_act!F74=0,0,TrRoad_emi!F71/TrRoad_tech!F186)</f>
        <v>1.0701293557625426</v>
      </c>
      <c r="G213" s="150">
        <f>IF(TrRoad_act!G74=0,0,TrRoad_emi!G71/TrRoad_tech!G186)</f>
        <v>1.0825069273192829</v>
      </c>
      <c r="H213" s="150">
        <f>IF(TrRoad_act!H74=0,0,TrRoad_emi!H71/TrRoad_tech!H186)</f>
        <v>1.0913413389703073</v>
      </c>
      <c r="I213" s="150">
        <f>IF(TrRoad_act!I74=0,0,TrRoad_emi!I71/TrRoad_tech!I186)</f>
        <v>1.0970524586899868</v>
      </c>
      <c r="J213" s="150">
        <f>IF(TrRoad_act!J74=0,0,TrRoad_emi!J71/TrRoad_tech!J186)</f>
        <v>1.1256872166097174</v>
      </c>
      <c r="K213" s="150">
        <f>IF(TrRoad_act!K74=0,0,TrRoad_emi!K71/TrRoad_tech!K186)</f>
        <v>1.1453670334190318</v>
      </c>
      <c r="L213" s="150">
        <f>IF(TrRoad_act!L74=0,0,TrRoad_emi!L71/TrRoad_tech!L186)</f>
        <v>1.1908854260429103</v>
      </c>
      <c r="M213" s="150">
        <f>IF(TrRoad_act!M74=0,0,TrRoad_emi!M71/TrRoad_tech!M186)</f>
        <v>1.2527932680173335</v>
      </c>
      <c r="N213" s="150">
        <f>IF(TrRoad_act!N74=0,0,TrRoad_emi!N71/TrRoad_tech!N186)</f>
        <v>1.1546391188329723</v>
      </c>
      <c r="O213" s="150">
        <f>IF(TrRoad_act!O74=0,0,TrRoad_emi!O71/TrRoad_tech!O186)</f>
        <v>1.1611893333741707</v>
      </c>
      <c r="P213" s="150">
        <f>IF(TrRoad_act!P74=0,0,TrRoad_emi!P71/TrRoad_tech!P186)</f>
        <v>1.1426755468168117</v>
      </c>
      <c r="Q213" s="150">
        <f>IF(TrRoad_act!Q74=0,0,TrRoad_emi!Q71/TrRoad_tech!Q186)</f>
        <v>1.1641482214990428</v>
      </c>
      <c r="R213" s="150">
        <f>IF(TrRoad_act!R74=0,0,TrRoad_emi!R71/TrRoad_tech!R186)</f>
        <v>1.1270561548753892</v>
      </c>
      <c r="S213" s="150">
        <f>IF(TrRoad_act!S74=0,0,TrRoad_emi!S71/TrRoad_tech!S186)</f>
        <v>1.1428812420117873</v>
      </c>
      <c r="T213" s="150">
        <f>IF(TrRoad_act!T74=0,0,TrRoad_emi!T71/TrRoad_tech!T186)</f>
        <v>1.1630162140883469</v>
      </c>
      <c r="U213" s="150">
        <f>IF(TrRoad_act!U74=0,0,TrRoad_emi!U71/TrRoad_tech!U186)</f>
        <v>1.1819214969989396</v>
      </c>
      <c r="V213" s="150">
        <f>IF(TrRoad_act!V74=0,0,TrRoad_emi!V71/TrRoad_tech!V186)</f>
        <v>1.1349747618524264</v>
      </c>
      <c r="W213" s="150">
        <f>IF(TrRoad_act!W74=0,0,TrRoad_emi!W71/TrRoad_tech!W186)</f>
        <v>1.1456690087543608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1.1000000000067303</v>
      </c>
      <c r="C214" s="91">
        <f>IF(TrRoad_act!C75=0,0,TrRoad_emi!C72/TrRoad_tech!C187)</f>
        <v>1.1001988953811441</v>
      </c>
      <c r="D214" s="91">
        <f>IF(TrRoad_act!D75=0,0,TrRoad_emi!D72/TrRoad_tech!D187)</f>
        <v>1.1006625983353777</v>
      </c>
      <c r="E214" s="91">
        <f>IF(TrRoad_act!E75=0,0,TrRoad_emi!E72/TrRoad_tech!E187)</f>
        <v>1.1013746736027947</v>
      </c>
      <c r="F214" s="91">
        <f>IF(TrRoad_act!F75=0,0,TrRoad_emi!F72/TrRoad_tech!F187)</f>
        <v>1.1023359804477015</v>
      </c>
      <c r="G214" s="91">
        <f>IF(TrRoad_act!G75=0,0,TrRoad_emi!G72/TrRoad_tech!G187)</f>
        <v>1.1033733254663092</v>
      </c>
      <c r="H214" s="91">
        <f>IF(TrRoad_act!H75=0,0,TrRoad_emi!H72/TrRoad_tech!H187)</f>
        <v>1.1040827419128798</v>
      </c>
      <c r="I214" s="91">
        <f>IF(TrRoad_act!I75=0,0,TrRoad_emi!I72/TrRoad_tech!I187)</f>
        <v>1.1053136975072728</v>
      </c>
      <c r="J214" s="91">
        <f>IF(TrRoad_act!J75=0,0,TrRoad_emi!J72/TrRoad_tech!J187)</f>
        <v>1.1107677102811095</v>
      </c>
      <c r="K214" s="91">
        <f>IF(TrRoad_act!K75=0,0,TrRoad_emi!K72/TrRoad_tech!K187)</f>
        <v>1.1012878839354219</v>
      </c>
      <c r="L214" s="91">
        <f>IF(TrRoad_act!L75=0,0,TrRoad_emi!L72/TrRoad_tech!L187)</f>
        <v>1.0739522400501178</v>
      </c>
      <c r="M214" s="91">
        <f>IF(TrRoad_act!M75=0,0,TrRoad_emi!M72/TrRoad_tech!M187)</f>
        <v>1.077337525058746</v>
      </c>
      <c r="N214" s="91">
        <f>IF(TrRoad_act!N75=0,0,TrRoad_emi!N72/TrRoad_tech!N187)</f>
        <v>1.0863721937547544</v>
      </c>
      <c r="O214" s="91">
        <f>IF(TrRoad_act!O75=0,0,TrRoad_emi!O72/TrRoad_tech!O187)</f>
        <v>1.0968425694585557</v>
      </c>
      <c r="P214" s="91">
        <f>IF(TrRoad_act!P75=0,0,TrRoad_emi!P72/TrRoad_tech!P187)</f>
        <v>1.124604761451417</v>
      </c>
      <c r="Q214" s="91">
        <f>IF(TrRoad_act!Q75=0,0,TrRoad_emi!Q72/TrRoad_tech!Q187)</f>
        <v>1.142659911348382</v>
      </c>
      <c r="R214" s="91">
        <f>IF(TrRoad_act!R75=0,0,TrRoad_emi!R72/TrRoad_tech!R187)</f>
        <v>1.168295314506546</v>
      </c>
      <c r="S214" s="91">
        <f>IF(TrRoad_act!S75=0,0,TrRoad_emi!S72/TrRoad_tech!S187)</f>
        <v>1.1582662327670175</v>
      </c>
      <c r="T214" s="91">
        <f>IF(TrRoad_act!T75=0,0,TrRoad_emi!T72/TrRoad_tech!T187)</f>
        <v>1.1909805044335537</v>
      </c>
      <c r="U214" s="91">
        <f>IF(TrRoad_act!U75=0,0,TrRoad_emi!U72/TrRoad_tech!U187)</f>
        <v>1.2148941333662506</v>
      </c>
      <c r="V214" s="91">
        <f>IF(TrRoad_act!V75=0,0,TrRoad_emi!V72/TrRoad_tech!V187)</f>
        <v>1.2166440989488951</v>
      </c>
      <c r="W214" s="91">
        <f>IF(TrRoad_act!W75=0,0,TrRoad_emi!W72/TrRoad_tech!W187)</f>
        <v>1.2276273804723226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1.1000000000067305</v>
      </c>
      <c r="C215" s="91">
        <f>IF(TrRoad_act!C76=0,0,TrRoad_emi!C73/TrRoad_tech!C188)</f>
        <v>1.1003015827506415</v>
      </c>
      <c r="D215" s="91">
        <f>IF(TrRoad_act!D76=0,0,TrRoad_emi!D73/TrRoad_tech!D188)</f>
        <v>1.1006137043563331</v>
      </c>
      <c r="E215" s="91">
        <f>IF(TrRoad_act!E76=0,0,TrRoad_emi!E73/TrRoad_tech!E188)</f>
        <v>1.1016907525268842</v>
      </c>
      <c r="F215" s="91">
        <f>IF(TrRoad_act!F76=0,0,TrRoad_emi!F73/TrRoad_tech!F188)</f>
        <v>1.1032585839902171</v>
      </c>
      <c r="G215" s="91">
        <f>IF(TrRoad_act!G76=0,0,TrRoad_emi!G73/TrRoad_tech!G188)</f>
        <v>1.1051508254675715</v>
      </c>
      <c r="H215" s="91">
        <f>IF(TrRoad_act!H76=0,0,TrRoad_emi!H73/TrRoad_tech!H188)</f>
        <v>1.1075785246781362</v>
      </c>
      <c r="I215" s="91">
        <f>IF(TrRoad_act!I76=0,0,TrRoad_emi!I73/TrRoad_tech!I188)</f>
        <v>1.1110121115051923</v>
      </c>
      <c r="J215" s="91">
        <f>IF(TrRoad_act!J76=0,0,TrRoad_emi!J73/TrRoad_tech!J188)</f>
        <v>1.1156880002728045</v>
      </c>
      <c r="K215" s="91">
        <f>IF(TrRoad_act!K76=0,0,TrRoad_emi!K73/TrRoad_tech!K188)</f>
        <v>1.104063547531881</v>
      </c>
      <c r="L215" s="91">
        <f>IF(TrRoad_act!L76=0,0,TrRoad_emi!L73/TrRoad_tech!L188)</f>
        <v>1.0774475387244735</v>
      </c>
      <c r="M215" s="91">
        <f>IF(TrRoad_act!M76=0,0,TrRoad_emi!M73/TrRoad_tech!M188)</f>
        <v>1.0829805650028239</v>
      </c>
      <c r="N215" s="91">
        <f>IF(TrRoad_act!N76=0,0,TrRoad_emi!N73/TrRoad_tech!N188)</f>
        <v>1.0937649994167331</v>
      </c>
      <c r="O215" s="91">
        <f>IF(TrRoad_act!O76=0,0,TrRoad_emi!O73/TrRoad_tech!O188)</f>
        <v>1.1062358445196949</v>
      </c>
      <c r="P215" s="91">
        <f>IF(TrRoad_act!P76=0,0,TrRoad_emi!P73/TrRoad_tech!P188)</f>
        <v>1.1064613659435654</v>
      </c>
      <c r="Q215" s="91">
        <f>IF(TrRoad_act!Q76=0,0,TrRoad_emi!Q73/TrRoad_tech!Q188)</f>
        <v>1.1512681852133388</v>
      </c>
      <c r="R215" s="91">
        <f>IF(TrRoad_act!R76=0,0,TrRoad_emi!R73/TrRoad_tech!R188)</f>
        <v>1.1339740127935183</v>
      </c>
      <c r="S215" s="91">
        <f>IF(TrRoad_act!S76=0,0,TrRoad_emi!S73/TrRoad_tech!S188)</f>
        <v>1.1503408361522951</v>
      </c>
      <c r="T215" s="91">
        <f>IF(TrRoad_act!T76=0,0,TrRoad_emi!T73/TrRoad_tech!T188)</f>
        <v>1.1673887320831011</v>
      </c>
      <c r="U215" s="91">
        <f>IF(TrRoad_act!U76=0,0,TrRoad_emi!U73/TrRoad_tech!U188)</f>
        <v>1.1816985556867157</v>
      </c>
      <c r="V215" s="91">
        <f>IF(TrRoad_act!V76=0,0,TrRoad_emi!V73/TrRoad_tech!V188)</f>
        <v>1.1349368193905518</v>
      </c>
      <c r="W215" s="91">
        <f>IF(TrRoad_act!W76=0,0,TrRoad_emi!W73/TrRoad_tech!W188)</f>
        <v>1.1446638094236323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1.1000000000067303</v>
      </c>
      <c r="C216" s="91">
        <f>IF(TrRoad_act!C77=0,0,TrRoad_emi!C74/TrRoad_tech!C189)</f>
        <v>1.1000047686996524</v>
      </c>
      <c r="D216" s="91">
        <f>IF(TrRoad_act!D77=0,0,TrRoad_emi!D74/TrRoad_tech!D189)</f>
        <v>1.1000078430607227</v>
      </c>
      <c r="E216" s="91">
        <f>IF(TrRoad_act!E77=0,0,TrRoad_emi!E74/TrRoad_tech!E189)</f>
        <v>1.1000114391886089</v>
      </c>
      <c r="F216" s="91">
        <f>IF(TrRoad_act!F77=0,0,TrRoad_emi!F74/TrRoad_tech!F189)</f>
        <v>1.100025851097894</v>
      </c>
      <c r="G216" s="91">
        <f>IF(TrRoad_act!G77=0,0,TrRoad_emi!G74/TrRoad_tech!G189)</f>
        <v>1.1000429830386567</v>
      </c>
      <c r="H216" s="91">
        <f>IF(TrRoad_act!H77=0,0,TrRoad_emi!H74/TrRoad_tech!H189)</f>
        <v>1.100376482105921</v>
      </c>
      <c r="I216" s="91">
        <f>IF(TrRoad_act!I77=0,0,TrRoad_emi!I74/TrRoad_tech!I189)</f>
        <v>1.1005736920614348</v>
      </c>
      <c r="J216" s="91">
        <f>IF(TrRoad_act!J77=0,0,TrRoad_emi!J74/TrRoad_tech!J189)</f>
        <v>1.1022690691368966</v>
      </c>
      <c r="K216" s="91">
        <f>IF(TrRoad_act!K77=0,0,TrRoad_emi!K74/TrRoad_tech!K189)</f>
        <v>1.1052279743430389</v>
      </c>
      <c r="L216" s="91">
        <f>IF(TrRoad_act!L77=0,0,TrRoad_emi!L74/TrRoad_tech!L189)</f>
        <v>1.1093498989017974</v>
      </c>
      <c r="M216" s="91">
        <f>IF(TrRoad_act!M77=0,0,TrRoad_emi!M74/TrRoad_tech!M189)</f>
        <v>1.1181822092922886</v>
      </c>
      <c r="N216" s="91">
        <f>IF(TrRoad_act!N77=0,0,TrRoad_emi!N74/TrRoad_tech!N189)</f>
        <v>1.1255717124190614</v>
      </c>
      <c r="O216" s="91">
        <f>IF(TrRoad_act!O77=0,0,TrRoad_emi!O74/TrRoad_tech!O189)</f>
        <v>1.1289495343283649</v>
      </c>
      <c r="P216" s="91">
        <f>IF(TrRoad_act!P77=0,0,TrRoad_emi!P74/TrRoad_tech!P189)</f>
        <v>1.1327156577187778</v>
      </c>
      <c r="Q216" s="91">
        <f>IF(TrRoad_act!Q77=0,0,TrRoad_emi!Q74/TrRoad_tech!Q189)</f>
        <v>1.1400844553561151</v>
      </c>
      <c r="R216" s="91">
        <f>IF(TrRoad_act!R77=0,0,TrRoad_emi!R74/TrRoad_tech!R189)</f>
        <v>1.1401817337360605</v>
      </c>
      <c r="S216" s="91">
        <f>IF(TrRoad_act!S77=0,0,TrRoad_emi!S74/TrRoad_tech!S189)</f>
        <v>1.1402871446067484</v>
      </c>
      <c r="T216" s="91">
        <f>IF(TrRoad_act!T77=0,0,TrRoad_emi!T74/TrRoad_tech!T189)</f>
        <v>1.1404932705875095</v>
      </c>
      <c r="U216" s="91">
        <f>IF(TrRoad_act!U77=0,0,TrRoad_emi!U74/TrRoad_tech!U189)</f>
        <v>1.1406268184112704</v>
      </c>
      <c r="V216" s="91">
        <f>IF(TrRoad_act!V77=0,0,TrRoad_emi!V74/TrRoad_tech!V189)</f>
        <v>1.1565159337188191</v>
      </c>
      <c r="W216" s="91">
        <f>IF(TrRoad_act!W77=0,0,TrRoad_emi!W74/TrRoad_tech!W189)</f>
        <v>1.1622635562369801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1.1693333333396367</v>
      </c>
      <c r="K217" s="91">
        <f>IF(TrRoad_act!K78=0,0,TrRoad_emi!K75/TrRoad_tech!K190)</f>
        <v>1.1730255516932699</v>
      </c>
      <c r="L217" s="91">
        <f>IF(TrRoad_act!L78=0,0,TrRoad_emi!L75/TrRoad_tech!L190)</f>
        <v>1.1780753334570142</v>
      </c>
      <c r="M217" s="91">
        <f>IF(TrRoad_act!M78=0,0,TrRoad_emi!M75/TrRoad_tech!M190)</f>
        <v>1.1789119134870598</v>
      </c>
      <c r="N217" s="91">
        <f>IF(TrRoad_act!N78=0,0,TrRoad_emi!N75/TrRoad_tech!N190)</f>
        <v>1.2145595105919591</v>
      </c>
      <c r="O217" s="91">
        <f>IF(TrRoad_act!O78=0,0,TrRoad_emi!O75/TrRoad_tech!O190)</f>
        <v>1.3549736047299201</v>
      </c>
      <c r="P217" s="91">
        <f>IF(TrRoad_act!P78=0,0,TrRoad_emi!P75/TrRoad_tech!P190)</f>
        <v>1.2467350136377613</v>
      </c>
      <c r="Q217" s="91">
        <f>IF(TrRoad_act!Q78=0,0,TrRoad_emi!Q75/TrRoad_tech!Q190)</f>
        <v>1.357106302230243</v>
      </c>
      <c r="R217" s="91">
        <f>IF(TrRoad_act!R78=0,0,TrRoad_emi!R75/TrRoad_tech!R190)</f>
        <v>1.3297391280643769</v>
      </c>
      <c r="S217" s="91">
        <f>IF(TrRoad_act!S78=0,0,TrRoad_emi!S75/TrRoad_tech!S190)</f>
        <v>1.3544186981947435</v>
      </c>
      <c r="T217" s="91">
        <f>IF(TrRoad_act!T78=0,0,TrRoad_emi!T75/TrRoad_tech!T190)</f>
        <v>1.3694833679376313</v>
      </c>
      <c r="U217" s="91">
        <f>IF(TrRoad_act!U78=0,0,TrRoad_emi!U75/TrRoad_tech!U190)</f>
        <v>1.8014875936921426</v>
      </c>
      <c r="V217" s="91">
        <f>IF(TrRoad_act!V78=0,0,TrRoad_emi!V75/TrRoad_tech!V190)</f>
        <v>2.5474231561106109</v>
      </c>
      <c r="W217" s="91">
        <f>IF(TrRoad_act!W78=0,0,TrRoad_emi!W75/TrRoad_tech!W190)</f>
        <v>3.6640530089215986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0.88655745814911846</v>
      </c>
      <c r="C219" s="151">
        <f>IF(TrRoad_act!C80=0,0,TrRoad_emi!C77/TrRoad_tech!C192)</f>
        <v>0.99564319453634686</v>
      </c>
      <c r="D219" s="151">
        <f>IF(TrRoad_act!D80=0,0,TrRoad_emi!D77/TrRoad_tech!D192)</f>
        <v>0.98677402403930126</v>
      </c>
      <c r="E219" s="151">
        <f>IF(TrRoad_act!E80=0,0,TrRoad_emi!E77/TrRoad_tech!E192)</f>
        <v>1.0536379879979265</v>
      </c>
      <c r="F219" s="151">
        <f>IF(TrRoad_act!F80=0,0,TrRoad_emi!F77/TrRoad_tech!F192)</f>
        <v>1.1159176063876677</v>
      </c>
      <c r="G219" s="151">
        <f>IF(TrRoad_act!G80=0,0,TrRoad_emi!G77/TrRoad_tech!G192)</f>
        <v>1.1422466601416763</v>
      </c>
      <c r="H219" s="151">
        <f>IF(TrRoad_act!H80=0,0,TrRoad_emi!H77/TrRoad_tech!H192)</f>
        <v>1.1853904147883478</v>
      </c>
      <c r="I219" s="151">
        <f>IF(TrRoad_act!I80=0,0,TrRoad_emi!I77/TrRoad_tech!I192)</f>
        <v>1.2106200117931072</v>
      </c>
      <c r="J219" s="151">
        <f>IF(TrRoad_act!J80=0,0,TrRoad_emi!J77/TrRoad_tech!J192)</f>
        <v>1.275050786944653</v>
      </c>
      <c r="K219" s="151">
        <f>IF(TrRoad_act!K80=0,0,TrRoad_emi!K77/TrRoad_tech!K192)</f>
        <v>1.2567462763396853</v>
      </c>
      <c r="L219" s="151">
        <f>IF(TrRoad_act!L80=0,0,TrRoad_emi!L77/TrRoad_tech!L192)</f>
        <v>1.2500346849819972</v>
      </c>
      <c r="M219" s="151">
        <f>IF(TrRoad_act!M80=0,0,TrRoad_emi!M77/TrRoad_tech!M192)</f>
        <v>1.2194216843052477</v>
      </c>
      <c r="N219" s="151">
        <f>IF(TrRoad_act!N80=0,0,TrRoad_emi!N77/TrRoad_tech!N192)</f>
        <v>1.172783990365823</v>
      </c>
      <c r="O219" s="151">
        <f>IF(TrRoad_act!O80=0,0,TrRoad_emi!O77/TrRoad_tech!O192)</f>
        <v>1.2040146586030771</v>
      </c>
      <c r="P219" s="151">
        <f>IF(TrRoad_act!P80=0,0,TrRoad_emi!P77/TrRoad_tech!P192)</f>
        <v>1.2025531991430054</v>
      </c>
      <c r="Q219" s="151">
        <f>IF(TrRoad_act!Q80=0,0,TrRoad_emi!Q77/TrRoad_tech!Q192)</f>
        <v>1.3074973521072164</v>
      </c>
      <c r="R219" s="151">
        <f>IF(TrRoad_act!R80=0,0,TrRoad_emi!R77/TrRoad_tech!R192)</f>
        <v>1.4676913192619563</v>
      </c>
      <c r="S219" s="151">
        <f>IF(TrRoad_act!S80=0,0,TrRoad_emi!S77/TrRoad_tech!S192)</f>
        <v>1.5846574713574557</v>
      </c>
      <c r="T219" s="151">
        <f>IF(TrRoad_act!T80=0,0,TrRoad_emi!T77/TrRoad_tech!T192)</f>
        <v>1.8053811530617723</v>
      </c>
      <c r="U219" s="151">
        <f>IF(TrRoad_act!U80=0,0,TrRoad_emi!U77/TrRoad_tech!U192)</f>
        <v>1.7755549994875239</v>
      </c>
      <c r="V219" s="151">
        <f>IF(TrRoad_act!V80=0,0,TrRoad_emi!V77/TrRoad_tech!V192)</f>
        <v>1.6217803070596735</v>
      </c>
      <c r="W219" s="151">
        <f>IF(TrRoad_act!W80=0,0,TrRoad_emi!W77/TrRoad_tech!W192)</f>
        <v>1.832779101141589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0.92884457448320212</v>
      </c>
      <c r="C220" s="93">
        <f>IF(TrRoad_act!C81=0,0,TrRoad_emi!C78/TrRoad_tech!C193)</f>
        <v>1.0381109173155794</v>
      </c>
      <c r="D220" s="93">
        <f>IF(TrRoad_act!D81=0,0,TrRoad_emi!D78/TrRoad_tech!D193)</f>
        <v>1.0310944779811124</v>
      </c>
      <c r="E220" s="93">
        <f>IF(TrRoad_act!E81=0,0,TrRoad_emi!E78/TrRoad_tech!E193)</f>
        <v>1.100467481794585</v>
      </c>
      <c r="F220" s="93">
        <f>IF(TrRoad_act!F81=0,0,TrRoad_emi!F78/TrRoad_tech!F193)</f>
        <v>1.1685589013778712</v>
      </c>
      <c r="G220" s="93">
        <f>IF(TrRoad_act!G81=0,0,TrRoad_emi!G78/TrRoad_tech!G193)</f>
        <v>1.1960085970979792</v>
      </c>
      <c r="H220" s="93">
        <f>IF(TrRoad_act!H81=0,0,TrRoad_emi!H78/TrRoad_tech!H193)</f>
        <v>1.2427620430868538</v>
      </c>
      <c r="I220" s="93">
        <f>IF(TrRoad_act!I81=0,0,TrRoad_emi!I78/TrRoad_tech!I193)</f>
        <v>1.2702857263959282</v>
      </c>
      <c r="J220" s="93">
        <f>IF(TrRoad_act!J81=0,0,TrRoad_emi!J78/TrRoad_tech!J193)</f>
        <v>1.3359276957168342</v>
      </c>
      <c r="K220" s="93">
        <f>IF(TrRoad_act!K81=0,0,TrRoad_emi!K78/TrRoad_tech!K193)</f>
        <v>1.3183438327468078</v>
      </c>
      <c r="L220" s="93">
        <f>IF(TrRoad_act!L81=0,0,TrRoad_emi!L78/TrRoad_tech!L193)</f>
        <v>1.3130462122099671</v>
      </c>
      <c r="M220" s="93">
        <f>IF(TrRoad_act!M81=0,0,TrRoad_emi!M78/TrRoad_tech!M193)</f>
        <v>1.2825355644890304</v>
      </c>
      <c r="N220" s="93">
        <f>IF(TrRoad_act!N81=0,0,TrRoad_emi!N78/TrRoad_tech!N193)</f>
        <v>1.2347477925797048</v>
      </c>
      <c r="O220" s="93">
        <f>IF(TrRoad_act!O81=0,0,TrRoad_emi!O78/TrRoad_tech!O193)</f>
        <v>1.2659799232759141</v>
      </c>
      <c r="P220" s="93">
        <f>IF(TrRoad_act!P81=0,0,TrRoad_emi!P78/TrRoad_tech!P193)</f>
        <v>1.2634509211664771</v>
      </c>
      <c r="Q220" s="93">
        <f>IF(TrRoad_act!Q81=0,0,TrRoad_emi!Q78/TrRoad_tech!Q193)</f>
        <v>1.3741907379080758</v>
      </c>
      <c r="R220" s="93">
        <f>IF(TrRoad_act!R81=0,0,TrRoad_emi!R78/TrRoad_tech!R193)</f>
        <v>1.5397910599035731</v>
      </c>
      <c r="S220" s="93">
        <f>IF(TrRoad_act!S81=0,0,TrRoad_emi!S78/TrRoad_tech!S193)</f>
        <v>1.6584499433485194</v>
      </c>
      <c r="T220" s="93">
        <f>IF(TrRoad_act!T81=0,0,TrRoad_emi!T78/TrRoad_tech!T193)</f>
        <v>1.8784659580199623</v>
      </c>
      <c r="U220" s="93">
        <f>IF(TrRoad_act!U81=0,0,TrRoad_emi!U78/TrRoad_tech!U193)</f>
        <v>1.8352194561826307</v>
      </c>
      <c r="V220" s="93">
        <f>IF(TrRoad_act!V81=0,0,TrRoad_emi!V78/TrRoad_tech!V193)</f>
        <v>1.6671330998271079</v>
      </c>
      <c r="W220" s="93">
        <f>IF(TrRoad_act!W81=0,0,TrRoad_emi!W78/TrRoad_tech!W193)</f>
        <v>1.8711647429941507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0.9288445744832019</v>
      </c>
      <c r="C221" s="94">
        <f>IF(TrRoad_act!C82=0,0,TrRoad_emi!C79/TrRoad_tech!C194)</f>
        <v>1.0372751421714357</v>
      </c>
      <c r="D221" s="94">
        <f>IF(TrRoad_act!D82=0,0,TrRoad_emi!D79/TrRoad_tech!D194)</f>
        <v>1.0309534744448292</v>
      </c>
      <c r="E221" s="94">
        <f>IF(TrRoad_act!E82=0,0,TrRoad_emi!E79/TrRoad_tech!E194)</f>
        <v>1.1008224581516945</v>
      </c>
      <c r="F221" s="94">
        <f>IF(TrRoad_act!F82=0,0,TrRoad_emi!F79/TrRoad_tech!F194)</f>
        <v>1.1722604790641307</v>
      </c>
      <c r="G221" s="94">
        <f>IF(TrRoad_act!G82=0,0,TrRoad_emi!G79/TrRoad_tech!G194)</f>
        <v>1.2008372026038474</v>
      </c>
      <c r="H221" s="94">
        <f>IF(TrRoad_act!H82=0,0,TrRoad_emi!H79/TrRoad_tech!H194)</f>
        <v>1.249229753098086</v>
      </c>
      <c r="I221" s="94">
        <f>IF(TrRoad_act!I82=0,0,TrRoad_emi!I79/TrRoad_tech!I194)</f>
        <v>1.2794580215368307</v>
      </c>
      <c r="J221" s="94">
        <f>IF(TrRoad_act!J82=0,0,TrRoad_emi!J79/TrRoad_tech!J194)</f>
        <v>1.3440705763614436</v>
      </c>
      <c r="K221" s="94">
        <f>IF(TrRoad_act!K82=0,0,TrRoad_emi!K79/TrRoad_tech!K194)</f>
        <v>1.3249386820137259</v>
      </c>
      <c r="L221" s="94">
        <f>IF(TrRoad_act!L82=0,0,TrRoad_emi!L79/TrRoad_tech!L194)</f>
        <v>1.3254369796232828</v>
      </c>
      <c r="M221" s="94">
        <f>IF(TrRoad_act!M82=0,0,TrRoad_emi!M79/TrRoad_tech!M194)</f>
        <v>1.2902244098131626</v>
      </c>
      <c r="N221" s="94">
        <f>IF(TrRoad_act!N82=0,0,TrRoad_emi!N79/TrRoad_tech!N194)</f>
        <v>1.2458615507082864</v>
      </c>
      <c r="O221" s="94">
        <f>IF(TrRoad_act!O82=0,0,TrRoad_emi!O79/TrRoad_tech!O194)</f>
        <v>1.2868056733452908</v>
      </c>
      <c r="P221" s="94">
        <f>IF(TrRoad_act!P82=0,0,TrRoad_emi!P79/TrRoad_tech!P194)</f>
        <v>1.2864578488805123</v>
      </c>
      <c r="Q221" s="94">
        <f>IF(TrRoad_act!Q82=0,0,TrRoad_emi!Q79/TrRoad_tech!Q194)</f>
        <v>1.3930146781750079</v>
      </c>
      <c r="R221" s="94">
        <f>IF(TrRoad_act!R82=0,0,TrRoad_emi!R79/TrRoad_tech!R194)</f>
        <v>1.5746745466984622</v>
      </c>
      <c r="S221" s="94">
        <f>IF(TrRoad_act!S82=0,0,TrRoad_emi!S79/TrRoad_tech!S194)</f>
        <v>1.7080847735317171</v>
      </c>
      <c r="T221" s="94">
        <f>IF(TrRoad_act!T82=0,0,TrRoad_emi!T79/TrRoad_tech!T194)</f>
        <v>1.9266174260076936</v>
      </c>
      <c r="U221" s="94">
        <f>IF(TrRoad_act!U82=0,0,TrRoad_emi!U79/TrRoad_tech!U194)</f>
        <v>1.8879593340824199</v>
      </c>
      <c r="V221" s="94">
        <f>IF(TrRoad_act!V82=0,0,TrRoad_emi!V79/TrRoad_tech!V194)</f>
        <v>1.7307738097167367</v>
      </c>
      <c r="W221" s="94">
        <f>IF(TrRoad_act!W82=0,0,TrRoad_emi!W79/TrRoad_tech!W194)</f>
        <v>1.9377932237041824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99.496600703330529</v>
      </c>
      <c r="C225" s="152">
        <v>99.496600703330529</v>
      </c>
      <c r="D225" s="152">
        <v>99.496600703330529</v>
      </c>
      <c r="E225" s="152">
        <v>98.095240130044203</v>
      </c>
      <c r="F225" s="152">
        <v>96.693879556757864</v>
      </c>
      <c r="G225" s="152">
        <v>95.29251898347151</v>
      </c>
      <c r="H225" s="152">
        <v>93.891158410185156</v>
      </c>
      <c r="I225" s="152">
        <v>93.891158410185156</v>
      </c>
      <c r="J225" s="152">
        <v>91.088437263612477</v>
      </c>
      <c r="K225" s="152">
        <v>86.323811314438899</v>
      </c>
      <c r="L225" s="152">
        <v>83.184167109549591</v>
      </c>
      <c r="M225" s="152">
        <v>78.289583407831202</v>
      </c>
      <c r="N225" s="152">
        <v>80.046044253422409</v>
      </c>
      <c r="O225" s="152">
        <v>77.577208449412808</v>
      </c>
      <c r="P225" s="152">
        <v>75.908932641802195</v>
      </c>
      <c r="Q225" s="152">
        <v>73.881411548852398</v>
      </c>
      <c r="R225" s="152">
        <v>72.623864515598214</v>
      </c>
      <c r="S225" s="152">
        <v>71.617826888994855</v>
      </c>
      <c r="T225" s="152">
        <v>70.81299678771218</v>
      </c>
      <c r="U225" s="152">
        <v>70.169132706686042</v>
      </c>
      <c r="V225" s="152">
        <v>69.654041441865132</v>
      </c>
      <c r="W225" s="152">
        <v>69.241968430008384</v>
      </c>
      <c r="DA225" s="174" t="s">
        <v>931</v>
      </c>
    </row>
    <row r="226" spans="1:105" ht="11.45" customHeight="1" x14ac:dyDescent="0.25">
      <c r="A226" s="109" t="s">
        <v>20</v>
      </c>
      <c r="B226" s="116">
        <v>195.36167482534415</v>
      </c>
      <c r="C226" s="116">
        <v>195.35197389555262</v>
      </c>
      <c r="D226" s="116">
        <v>195.1677956783733</v>
      </c>
      <c r="E226" s="116">
        <v>192.08476856794655</v>
      </c>
      <c r="F226" s="116">
        <v>190.67962675742956</v>
      </c>
      <c r="G226" s="116">
        <v>187.72010671671222</v>
      </c>
      <c r="H226" s="116">
        <v>186.81664321838466</v>
      </c>
      <c r="I226" s="116">
        <v>186.52819985157902</v>
      </c>
      <c r="J226" s="116">
        <v>182.16480075093159</v>
      </c>
      <c r="K226" s="116">
        <v>174.44250801785424</v>
      </c>
      <c r="L226" s="116">
        <v>167.81349695685114</v>
      </c>
      <c r="M226" s="116">
        <v>159.78850604546949</v>
      </c>
      <c r="N226" s="116">
        <v>160.16597622321035</v>
      </c>
      <c r="O226" s="116">
        <v>154.89635759708483</v>
      </c>
      <c r="P226" s="116">
        <v>151.24920323778423</v>
      </c>
      <c r="Q226" s="116">
        <v>146.87629039184861</v>
      </c>
      <c r="R226" s="116">
        <v>143.54721608238532</v>
      </c>
      <c r="S226" s="116">
        <v>143.16813600369792</v>
      </c>
      <c r="T226" s="116">
        <v>146.47656128801182</v>
      </c>
      <c r="U226" s="116">
        <v>146.14916957519284</v>
      </c>
      <c r="V226" s="116">
        <v>132.58713065736504</v>
      </c>
      <c r="W226" s="116">
        <v>122.75482810858485</v>
      </c>
      <c r="DA226" s="176" t="s">
        <v>932</v>
      </c>
    </row>
    <row r="227" spans="1:105" ht="11.45" customHeight="1" x14ac:dyDescent="0.25">
      <c r="A227" s="111" t="s">
        <v>110</v>
      </c>
      <c r="B227" s="87">
        <v>198.5829128851806</v>
      </c>
      <c r="C227" s="87">
        <v>198.5829128851806</v>
      </c>
      <c r="D227" s="87">
        <v>198.5829128851806</v>
      </c>
      <c r="E227" s="87">
        <v>195.78597045017807</v>
      </c>
      <c r="F227" s="87">
        <v>192.98902801517559</v>
      </c>
      <c r="G227" s="87">
        <v>190.192085580173</v>
      </c>
      <c r="H227" s="87">
        <v>187.39514314517047</v>
      </c>
      <c r="I227" s="87">
        <v>187.39514314517047</v>
      </c>
      <c r="J227" s="87">
        <v>181.80125827516537</v>
      </c>
      <c r="K227" s="87">
        <v>172.29165399615667</v>
      </c>
      <c r="L227" s="87">
        <v>166.00771816411691</v>
      </c>
      <c r="M227" s="87">
        <v>156.24541009492768</v>
      </c>
      <c r="N227" s="87">
        <v>159.95974035267946</v>
      </c>
      <c r="O227" s="87">
        <v>154.92859082659228</v>
      </c>
      <c r="P227" s="87">
        <v>151.89686189213469</v>
      </c>
      <c r="Q227" s="87">
        <v>148.37668584746461</v>
      </c>
      <c r="R227" s="87">
        <v>147.32598246778531</v>
      </c>
      <c r="S227" s="87">
        <v>146.33859534158375</v>
      </c>
      <c r="T227" s="87">
        <v>148.88737532060409</v>
      </c>
      <c r="U227" s="87">
        <v>150.2926796376689</v>
      </c>
      <c r="V227" s="87">
        <v>143.29663128749419</v>
      </c>
      <c r="W227" s="87">
        <v>137.15200692365269</v>
      </c>
      <c r="DA227" s="171" t="s">
        <v>933</v>
      </c>
    </row>
    <row r="228" spans="1:105" ht="11.45" customHeight="1" x14ac:dyDescent="0.25">
      <c r="A228" s="111" t="s">
        <v>111</v>
      </c>
      <c r="B228" s="87">
        <v>193.7832905215987</v>
      </c>
      <c r="C228" s="87">
        <v>193.55398330206364</v>
      </c>
      <c r="D228" s="87">
        <v>193.29951573079165</v>
      </c>
      <c r="E228" s="87">
        <v>190.3681815006843</v>
      </c>
      <c r="F228" s="87">
        <v>189.68078858088455</v>
      </c>
      <c r="G228" s="87">
        <v>186.7891116346118</v>
      </c>
      <c r="H228" s="87">
        <v>186.62056817831478</v>
      </c>
      <c r="I228" s="87">
        <v>186.2702621711091</v>
      </c>
      <c r="J228" s="87">
        <v>182.26818127746762</v>
      </c>
      <c r="K228" s="87">
        <v>175.15300360281006</v>
      </c>
      <c r="L228" s="87">
        <v>168.42513207552696</v>
      </c>
      <c r="M228" s="87">
        <v>161.35919405533213</v>
      </c>
      <c r="N228" s="87">
        <v>160.65286739762377</v>
      </c>
      <c r="O228" s="87">
        <v>155.16570056925681</v>
      </c>
      <c r="P228" s="87">
        <v>151.70321488057181</v>
      </c>
      <c r="Q228" s="87">
        <v>146.96014134807493</v>
      </c>
      <c r="R228" s="87">
        <v>143.04260510588401</v>
      </c>
      <c r="S228" s="87">
        <v>144.55437540349868</v>
      </c>
      <c r="T228" s="87">
        <v>149.51742272797171</v>
      </c>
      <c r="U228" s="87">
        <v>149.85591949296051</v>
      </c>
      <c r="V228" s="87">
        <v>144.3221762329124</v>
      </c>
      <c r="W228" s="87">
        <v>139.7082847526234</v>
      </c>
      <c r="DA228" s="171" t="s">
        <v>934</v>
      </c>
    </row>
    <row r="229" spans="1:105" ht="11.45" customHeight="1" x14ac:dyDescent="0.25">
      <c r="A229" s="111" t="s">
        <v>112</v>
      </c>
      <c r="B229" s="87">
        <v>0</v>
      </c>
      <c r="C229" s="87">
        <v>192.42249117844847</v>
      </c>
      <c r="D229" s="87">
        <v>192.16951119243666</v>
      </c>
      <c r="E229" s="87">
        <v>0</v>
      </c>
      <c r="F229" s="87">
        <v>0</v>
      </c>
      <c r="G229" s="87">
        <v>185.69716609577054</v>
      </c>
      <c r="H229" s="87">
        <v>185.52960792321727</v>
      </c>
      <c r="I229" s="87">
        <v>185.18134976065551</v>
      </c>
      <c r="J229" s="87">
        <v>181.20266452610591</v>
      </c>
      <c r="K229" s="87">
        <v>174.12908128086622</v>
      </c>
      <c r="L229" s="87">
        <v>144.6951216559294</v>
      </c>
      <c r="M229" s="87">
        <v>146.29145632107389</v>
      </c>
      <c r="N229" s="87">
        <v>159.71254253916686</v>
      </c>
      <c r="O229" s="87">
        <v>155.95582694751764</v>
      </c>
      <c r="P229" s="87">
        <v>154.50011956955004</v>
      </c>
      <c r="Q229" s="87">
        <v>154.1834728311411</v>
      </c>
      <c r="R229" s="87">
        <v>140.98684734954165</v>
      </c>
      <c r="S229" s="87">
        <v>139.40788874338099</v>
      </c>
      <c r="T229" s="87">
        <v>153.46153846153848</v>
      </c>
      <c r="U229" s="87">
        <v>163.18987341772149</v>
      </c>
      <c r="V229" s="87">
        <v>126.8600405679513</v>
      </c>
      <c r="W229" s="87">
        <v>135.69429803545759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210.63479460504934</v>
      </c>
      <c r="G230" s="87">
        <v>206.70942877244573</v>
      </c>
      <c r="H230" s="87">
        <v>197.71642624721866</v>
      </c>
      <c r="I230" s="87">
        <v>195.16054319435571</v>
      </c>
      <c r="J230" s="87">
        <v>0</v>
      </c>
      <c r="K230" s="87">
        <v>0</v>
      </c>
      <c r="L230" s="87">
        <v>0</v>
      </c>
      <c r="M230" s="87">
        <v>171.11470170745599</v>
      </c>
      <c r="N230" s="87">
        <v>172.26265464682734</v>
      </c>
      <c r="O230" s="87">
        <v>162.73959842728402</v>
      </c>
      <c r="P230" s="87">
        <v>143.9959106503614</v>
      </c>
      <c r="Q230" s="87">
        <v>143.05156969961362</v>
      </c>
      <c r="R230" s="87">
        <v>142.5498165039549</v>
      </c>
      <c r="S230" s="87">
        <v>142.23496039662433</v>
      </c>
      <c r="T230" s="87">
        <v>142.0478723404255</v>
      </c>
      <c r="U230" s="87">
        <v>126.0518301610542</v>
      </c>
      <c r="V230" s="87">
        <v>118.32724505327241</v>
      </c>
      <c r="W230" s="87">
        <v>116.91356783919601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70.784615682644855</v>
      </c>
      <c r="N231" s="87">
        <v>43.011935819505283</v>
      </c>
      <c r="O231" s="87">
        <v>55.842658098610436</v>
      </c>
      <c r="P231" s="87">
        <v>56.911146055323243</v>
      </c>
      <c r="Q231" s="87">
        <v>67.828254970148834</v>
      </c>
      <c r="R231" s="87">
        <v>70.104410920088355</v>
      </c>
      <c r="S231" s="87">
        <v>66.564800258771086</v>
      </c>
      <c r="T231" s="87">
        <v>64.697047496790759</v>
      </c>
      <c r="U231" s="87">
        <v>49.602633522028057</v>
      </c>
      <c r="V231" s="87">
        <v>41.301869743518452</v>
      </c>
      <c r="W231" s="87">
        <v>46.901084470049987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1445.4723781996015</v>
      </c>
      <c r="C233" s="116">
        <v>1445.4723781996015</v>
      </c>
      <c r="D233" s="116">
        <v>1445.4723781996015</v>
      </c>
      <c r="E233" s="116">
        <v>1440.3283483839443</v>
      </c>
      <c r="F233" s="116">
        <v>1435.1286070540386</v>
      </c>
      <c r="G233" s="116">
        <v>1405.7870069254036</v>
      </c>
      <c r="H233" s="116">
        <v>1424.5562174355048</v>
      </c>
      <c r="I233" s="116">
        <v>1424.5562174355048</v>
      </c>
      <c r="J233" s="116">
        <v>1413.681742493249</v>
      </c>
      <c r="K233" s="116">
        <v>1393.6118086638937</v>
      </c>
      <c r="L233" s="116">
        <v>1379.7987396353324</v>
      </c>
      <c r="M233" s="116">
        <v>1358.04319410175</v>
      </c>
      <c r="N233" s="116">
        <v>1367.6494643851127</v>
      </c>
      <c r="O233" s="116">
        <v>1356.8542501062013</v>
      </c>
      <c r="P233" s="116">
        <v>1346.5586110363531</v>
      </c>
      <c r="Q233" s="116">
        <v>1340.2449215971562</v>
      </c>
      <c r="R233" s="116">
        <v>1330.5529587567548</v>
      </c>
      <c r="S233" s="116">
        <v>1324.6663162927405</v>
      </c>
      <c r="T233" s="116">
        <v>1294.5862929786299</v>
      </c>
      <c r="U233" s="116">
        <v>1277.5706400851768</v>
      </c>
      <c r="V233" s="116">
        <v>1287.3141303007189</v>
      </c>
      <c r="W233" s="116">
        <v>1235.3683855458828</v>
      </c>
      <c r="DA233" s="176" t="s">
        <v>939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0</v>
      </c>
      <c r="J234" s="101">
        <v>0</v>
      </c>
      <c r="K234" s="101">
        <v>359.68254714349536</v>
      </c>
      <c r="L234" s="101">
        <v>346.60069628978999</v>
      </c>
      <c r="M234" s="101">
        <v>326.20659753262998</v>
      </c>
      <c r="N234" s="101">
        <v>0</v>
      </c>
      <c r="O234" s="101">
        <v>0</v>
      </c>
      <c r="P234" s="101">
        <v>0</v>
      </c>
      <c r="Q234" s="101">
        <v>0</v>
      </c>
      <c r="R234" s="101">
        <v>276.19757772893018</v>
      </c>
      <c r="S234" s="101">
        <v>0</v>
      </c>
      <c r="T234" s="101">
        <v>0</v>
      </c>
      <c r="U234" s="101">
        <v>256.25458925388654</v>
      </c>
      <c r="V234" s="101">
        <v>0</v>
      </c>
      <c r="W234" s="101">
        <v>0</v>
      </c>
      <c r="DA234" s="175" t="s">
        <v>940</v>
      </c>
    </row>
    <row r="235" spans="1:105" ht="11.45" customHeight="1" x14ac:dyDescent="0.25">
      <c r="A235" s="111" t="s">
        <v>111</v>
      </c>
      <c r="B235" s="101">
        <v>1445.4723781996015</v>
      </c>
      <c r="C235" s="101">
        <v>1445.4723781996015</v>
      </c>
      <c r="D235" s="101">
        <v>1445.4723781996015</v>
      </c>
      <c r="E235" s="101">
        <v>1440.3283483839443</v>
      </c>
      <c r="F235" s="101">
        <v>1435.1286070540386</v>
      </c>
      <c r="G235" s="101">
        <v>1429.8717257095179</v>
      </c>
      <c r="H235" s="101">
        <v>1424.5562174355048</v>
      </c>
      <c r="I235" s="101">
        <v>1424.5562174355048</v>
      </c>
      <c r="J235" s="101">
        <v>1413.681742493249</v>
      </c>
      <c r="K235" s="101">
        <v>1394.4402776234454</v>
      </c>
      <c r="L235" s="101">
        <v>1381.4055795161187</v>
      </c>
      <c r="M235" s="101">
        <v>1360.1468365004639</v>
      </c>
      <c r="N235" s="101">
        <v>1367.6494643851127</v>
      </c>
      <c r="O235" s="101">
        <v>1356.8542501062013</v>
      </c>
      <c r="P235" s="101">
        <v>1349.4399775364309</v>
      </c>
      <c r="Q235" s="101">
        <v>1340.2449215971562</v>
      </c>
      <c r="R235" s="101">
        <v>1332.0229533986897</v>
      </c>
      <c r="S235" s="101">
        <v>1324.6663162927405</v>
      </c>
      <c r="T235" s="101">
        <v>1318.0800879632559</v>
      </c>
      <c r="U235" s="101">
        <v>1312.1804855115961</v>
      </c>
      <c r="V235" s="101">
        <v>1306.8934238636723</v>
      </c>
      <c r="W235" s="101">
        <v>1302.1532846599257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0</v>
      </c>
      <c r="G237" s="101">
        <v>0</v>
      </c>
      <c r="H237" s="101">
        <v>0</v>
      </c>
      <c r="I237" s="101">
        <v>0</v>
      </c>
      <c r="J237" s="101">
        <v>0</v>
      </c>
      <c r="K237" s="101">
        <v>0</v>
      </c>
      <c r="L237" s="101">
        <v>0</v>
      </c>
      <c r="M237" s="101">
        <v>0</v>
      </c>
      <c r="N237" s="101">
        <v>0</v>
      </c>
      <c r="O237" s="101">
        <v>0</v>
      </c>
      <c r="P237" s="101">
        <v>0</v>
      </c>
      <c r="Q237" s="101">
        <v>0</v>
      </c>
      <c r="R237" s="101">
        <v>813.48406755619101</v>
      </c>
      <c r="S237" s="101">
        <v>0</v>
      </c>
      <c r="T237" s="101">
        <v>758.80986671950768</v>
      </c>
      <c r="U237" s="101">
        <v>736.63334897717448</v>
      </c>
      <c r="V237" s="101">
        <v>717.22916768024095</v>
      </c>
      <c r="W237" s="101">
        <v>700.2028151545187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0</v>
      </c>
      <c r="C240" s="152">
        <v>275.12454829984642</v>
      </c>
      <c r="D240" s="152">
        <v>271.04901802765625</v>
      </c>
      <c r="E240" s="152">
        <v>268.39505554466297</v>
      </c>
      <c r="F240" s="152">
        <v>268.37066630444718</v>
      </c>
      <c r="G240" s="152">
        <v>264.5031272172892</v>
      </c>
      <c r="H240" s="152">
        <v>265.32568445528602</v>
      </c>
      <c r="I240" s="152">
        <v>263.79337487174899</v>
      </c>
      <c r="J240" s="152">
        <v>256.87112672907625</v>
      </c>
      <c r="K240" s="152">
        <v>247.4061298595783</v>
      </c>
      <c r="L240" s="152">
        <v>237.74713077340797</v>
      </c>
      <c r="M240" s="152">
        <v>228.8366371235054</v>
      </c>
      <c r="N240" s="152">
        <v>226.79025946297477</v>
      </c>
      <c r="O240" s="152">
        <v>223.60900432718196</v>
      </c>
      <c r="P240" s="152">
        <v>219.33109830596069</v>
      </c>
      <c r="Q240" s="152">
        <v>215.34318218975852</v>
      </c>
      <c r="R240" s="152">
        <v>207.4821983309003</v>
      </c>
      <c r="S240" s="152">
        <v>196.37943621113936</v>
      </c>
      <c r="T240" s="152">
        <v>196.88815913369166</v>
      </c>
      <c r="U240" s="152">
        <v>196.02796239190505</v>
      </c>
      <c r="V240" s="152">
        <v>206.04134677249783</v>
      </c>
      <c r="W240" s="152">
        <v>205.41236351556066</v>
      </c>
      <c r="DA240" s="174" t="s">
        <v>945</v>
      </c>
    </row>
    <row r="241" spans="1:105" ht="11.45" customHeight="1" x14ac:dyDescent="0.25">
      <c r="A241" s="111" t="s">
        <v>110</v>
      </c>
      <c r="B241" s="87">
        <v>0</v>
      </c>
      <c r="C241" s="87">
        <v>241.50911114043674</v>
      </c>
      <c r="D241" s="87">
        <v>241.50911114043674</v>
      </c>
      <c r="E241" s="87">
        <v>238.10757436381084</v>
      </c>
      <c r="F241" s="87">
        <v>234.70603758718505</v>
      </c>
      <c r="G241" s="87">
        <v>231.30450081055912</v>
      </c>
      <c r="H241" s="87">
        <v>227.90296403393324</v>
      </c>
      <c r="I241" s="87">
        <v>227.90296403393324</v>
      </c>
      <c r="J241" s="87">
        <v>221.09989048068147</v>
      </c>
      <c r="K241" s="87">
        <v>209.53466544015353</v>
      </c>
      <c r="L241" s="87">
        <v>201.91377511967994</v>
      </c>
      <c r="M241" s="87">
        <v>190.03310230424259</v>
      </c>
      <c r="N241" s="87">
        <v>194.29657758453556</v>
      </c>
      <c r="O241" s="87">
        <v>188.52187256571233</v>
      </c>
      <c r="P241" s="87">
        <v>185.23380052867694</v>
      </c>
      <c r="Q241" s="87">
        <v>180.49672473156122</v>
      </c>
      <c r="R241" s="87">
        <v>173.77353007591628</v>
      </c>
      <c r="S241" s="87">
        <v>172.30239623757393</v>
      </c>
      <c r="T241" s="87">
        <v>178.38158298012709</v>
      </c>
      <c r="U241" s="87">
        <v>175.95990566037739</v>
      </c>
      <c r="V241" s="87">
        <v>169.44260815391161</v>
      </c>
      <c r="W241" s="87">
        <v>164.46738794435859</v>
      </c>
      <c r="DA241" s="171" t="s">
        <v>946</v>
      </c>
    </row>
    <row r="242" spans="1:105" ht="11.45" customHeight="1" x14ac:dyDescent="0.25">
      <c r="A242" s="111" t="s">
        <v>111</v>
      </c>
      <c r="B242" s="87">
        <v>0</v>
      </c>
      <c r="C242" s="87">
        <v>274.46981380189629</v>
      </c>
      <c r="D242" s="87">
        <v>274.10896528969261</v>
      </c>
      <c r="E242" s="87">
        <v>269.95217788287863</v>
      </c>
      <c r="F242" s="87">
        <v>268.97741826549719</v>
      </c>
      <c r="G242" s="87">
        <v>264.8768669904552</v>
      </c>
      <c r="H242" s="87">
        <v>264.6378634304242</v>
      </c>
      <c r="I242" s="87">
        <v>264.14111093310487</v>
      </c>
      <c r="J242" s="87">
        <v>258.46594796844676</v>
      </c>
      <c r="K242" s="87">
        <v>248.3762486596863</v>
      </c>
      <c r="L242" s="87">
        <v>238.83577000937285</v>
      </c>
      <c r="M242" s="87">
        <v>228.8158951421531</v>
      </c>
      <c r="N242" s="87">
        <v>227.81261974152187</v>
      </c>
      <c r="O242" s="87">
        <v>224.60993806278631</v>
      </c>
      <c r="P242" s="87">
        <v>220.32769946946348</v>
      </c>
      <c r="Q242" s="87">
        <v>216.52904328609102</v>
      </c>
      <c r="R242" s="87">
        <v>209.79288912764235</v>
      </c>
      <c r="S242" s="87">
        <v>198.58587201283135</v>
      </c>
      <c r="T242" s="87">
        <v>199.93912778460913</v>
      </c>
      <c r="U242" s="87">
        <v>199.34019015726841</v>
      </c>
      <c r="V242" s="87">
        <v>209.9082400906768</v>
      </c>
      <c r="W242" s="87">
        <v>210.10414502726559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308.08903414158618</v>
      </c>
      <c r="D243" s="87">
        <v>307.68398606705915</v>
      </c>
      <c r="E243" s="87">
        <v>303.01804266309131</v>
      </c>
      <c r="F243" s="87">
        <v>301.92388682540775</v>
      </c>
      <c r="G243" s="87">
        <v>297.32106779669095</v>
      </c>
      <c r="H243" s="87">
        <v>297.0527892018743</v>
      </c>
      <c r="I243" s="87">
        <v>296.49519055382393</v>
      </c>
      <c r="J243" s="87">
        <v>290.1248890180799</v>
      </c>
      <c r="K243" s="87">
        <v>278.79932402513435</v>
      </c>
      <c r="L243" s="87">
        <v>268.09025255418197</v>
      </c>
      <c r="M243" s="87">
        <v>256.84306464925118</v>
      </c>
      <c r="N243" s="87">
        <v>255.71690019102931</v>
      </c>
      <c r="O243" s="87">
        <v>193.77658436697999</v>
      </c>
      <c r="P243" s="87">
        <v>184.45291467277173</v>
      </c>
      <c r="Q243" s="87">
        <v>233.96066868271333</v>
      </c>
      <c r="R243" s="87">
        <v>225.24603344676609</v>
      </c>
      <c r="S243" s="87">
        <v>148.8840618889993</v>
      </c>
      <c r="T243" s="87">
        <v>182.22196887686675</v>
      </c>
      <c r="U243" s="87">
        <v>179.74815514667685</v>
      </c>
      <c r="V243" s="87">
        <v>198.89092237080058</v>
      </c>
      <c r="W243" s="87">
        <v>158.25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188.11845377153529</v>
      </c>
      <c r="K244" s="87">
        <v>179.96334044844548</v>
      </c>
      <c r="L244" s="87">
        <v>176.34012494652379</v>
      </c>
      <c r="M244" s="87">
        <v>0</v>
      </c>
      <c r="N244" s="87">
        <v>176.72250619910264</v>
      </c>
      <c r="O244" s="87">
        <v>176.61023906263054</v>
      </c>
      <c r="P244" s="87">
        <v>159.51035374052475</v>
      </c>
      <c r="Q244" s="87">
        <v>183.6471638278461</v>
      </c>
      <c r="R244" s="87">
        <v>172.96464923062359</v>
      </c>
      <c r="S244" s="87">
        <v>161.95899119047272</v>
      </c>
      <c r="T244" s="87">
        <v>158.04637235675281</v>
      </c>
      <c r="U244" s="87">
        <v>149.91208791208791</v>
      </c>
      <c r="V244" s="87">
        <v>172.18477102997377</v>
      </c>
      <c r="W244" s="87">
        <v>199.2802653399668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1040.7419809790824</v>
      </c>
      <c r="C246" s="116">
        <v>999.29573401820289</v>
      </c>
      <c r="D246" s="116">
        <v>1010.6200544285934</v>
      </c>
      <c r="E246" s="116">
        <v>994.07445534887893</v>
      </c>
      <c r="F246" s="116">
        <v>993.21795210428832</v>
      </c>
      <c r="G246" s="116">
        <v>978.35135890745596</v>
      </c>
      <c r="H246" s="116">
        <v>969.28075026652095</v>
      </c>
      <c r="I246" s="116">
        <v>959.10956021745687</v>
      </c>
      <c r="J246" s="116">
        <v>941.13550493550531</v>
      </c>
      <c r="K246" s="116">
        <v>926.66104845336201</v>
      </c>
      <c r="L246" s="116">
        <v>923.53108658858264</v>
      </c>
      <c r="M246" s="116">
        <v>896.82623918544982</v>
      </c>
      <c r="N246" s="116">
        <v>885.89874635934507</v>
      </c>
      <c r="O246" s="116">
        <v>879.83127035887981</v>
      </c>
      <c r="P246" s="116">
        <v>849.22248239395822</v>
      </c>
      <c r="Q246" s="116">
        <v>826.54979732213781</v>
      </c>
      <c r="R246" s="116">
        <v>824.47601464458398</v>
      </c>
      <c r="S246" s="116">
        <v>759.85195143279907</v>
      </c>
      <c r="T246" s="116">
        <v>688.33744932002071</v>
      </c>
      <c r="U246" s="116">
        <v>644.84170633975032</v>
      </c>
      <c r="V246" s="116">
        <v>661.19311281356727</v>
      </c>
      <c r="W246" s="116">
        <v>615.5721363716176</v>
      </c>
      <c r="DA246" s="176" t="s">
        <v>951</v>
      </c>
    </row>
    <row r="247" spans="1:105" ht="11.45" customHeight="1" x14ac:dyDescent="0.25">
      <c r="A247" s="128" t="s">
        <v>27</v>
      </c>
      <c r="B247" s="101">
        <v>0</v>
      </c>
      <c r="C247" s="101">
        <v>932.80199065793636</v>
      </c>
      <c r="D247" s="101">
        <v>928.03463354477435</v>
      </c>
      <c r="E247" s="101">
        <v>922.09838656327963</v>
      </c>
      <c r="F247" s="101">
        <v>915.00833382883923</v>
      </c>
      <c r="G247" s="101">
        <v>906.78236413570005</v>
      </c>
      <c r="H247" s="101">
        <v>897.44105940294617</v>
      </c>
      <c r="I247" s="101">
        <v>887.00756789902107</v>
      </c>
      <c r="J247" s="101">
        <v>875.50746367609236</v>
      </c>
      <c r="K247" s="101">
        <v>862.96859375698841</v>
      </c>
      <c r="L247" s="101">
        <v>849.42091475782308</v>
      </c>
      <c r="M247" s="101">
        <v>834.89632065564922</v>
      </c>
      <c r="N247" s="101">
        <v>819.42846347669388</v>
      </c>
      <c r="O247" s="101">
        <v>803.05256870150436</v>
      </c>
      <c r="P247" s="101">
        <v>785.8052471410814</v>
      </c>
      <c r="Q247" s="101">
        <v>767.72430503837074</v>
      </c>
      <c r="R247" s="101">
        <v>729.07517842365667</v>
      </c>
      <c r="S247" s="101">
        <v>682.69622648599955</v>
      </c>
      <c r="T247" s="101">
        <v>633.99832695145983</v>
      </c>
      <c r="U247" s="101">
        <v>574.4786719647999</v>
      </c>
      <c r="V247" s="101">
        <v>555.34112171481354</v>
      </c>
      <c r="W247" s="101">
        <v>546.01276355396055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901.41112711943799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8604</v>
      </c>
      <c r="C4" s="28">
        <f t="shared" ref="C4:V4" si="1">SUM(C5,C6,C9)</f>
        <v>8914</v>
      </c>
      <c r="D4" s="28">
        <f t="shared" si="1"/>
        <v>9150</v>
      </c>
      <c r="E4" s="28">
        <f t="shared" si="1"/>
        <v>9165</v>
      </c>
      <c r="F4" s="28">
        <f t="shared" si="1"/>
        <v>10135</v>
      </c>
      <c r="G4" s="28">
        <f t="shared" si="1"/>
        <v>9440</v>
      </c>
      <c r="H4" s="28">
        <f t="shared" si="1"/>
        <v>9914</v>
      </c>
      <c r="I4" s="28">
        <f t="shared" si="1"/>
        <v>9653.4074610000007</v>
      </c>
      <c r="J4" s="28">
        <f t="shared" si="1"/>
        <v>10082.721943</v>
      </c>
      <c r="K4" s="28">
        <f t="shared" si="1"/>
        <v>10170.603761</v>
      </c>
      <c r="L4" s="28">
        <f t="shared" si="1"/>
        <v>10441.746824</v>
      </c>
      <c r="M4" s="28">
        <f t="shared" si="1"/>
        <v>11021.498680717586</v>
      </c>
      <c r="N4" s="28">
        <f t="shared" si="1"/>
        <v>11124.190837966082</v>
      </c>
      <c r="O4" s="28">
        <f t="shared" si="1"/>
        <v>11110.863414573296</v>
      </c>
      <c r="P4" s="28">
        <f t="shared" si="1"/>
        <v>11145.482292338889</v>
      </c>
      <c r="Q4" s="28">
        <f t="shared" si="1"/>
        <v>11169.257814385583</v>
      </c>
      <c r="R4" s="28">
        <f t="shared" si="1"/>
        <v>11107.82629598305</v>
      </c>
      <c r="S4" s="28">
        <f t="shared" si="1"/>
        <v>11563.436738466306</v>
      </c>
      <c r="T4" s="28">
        <f t="shared" si="1"/>
        <v>11929.755435622703</v>
      </c>
      <c r="U4" s="28">
        <f t="shared" si="1"/>
        <v>12321.108011195696</v>
      </c>
      <c r="V4" s="28">
        <f t="shared" si="1"/>
        <v>8342.9088570117183</v>
      </c>
      <c r="W4" s="28">
        <f t="shared" ref="W4" si="2">SUM(W5,W6,W9)</f>
        <v>7914.9088570117183</v>
      </c>
      <c r="DA4" s="173" t="s">
        <v>375</v>
      </c>
    </row>
    <row r="5" spans="1:105" ht="11.45" customHeight="1" x14ac:dyDescent="0.25">
      <c r="A5" s="107" t="s">
        <v>23</v>
      </c>
      <c r="B5" s="108">
        <v>870</v>
      </c>
      <c r="C5" s="108">
        <v>876</v>
      </c>
      <c r="D5" s="108">
        <v>890</v>
      </c>
      <c r="E5" s="108">
        <v>900</v>
      </c>
      <c r="F5" s="108">
        <v>910</v>
      </c>
      <c r="G5" s="108">
        <v>930</v>
      </c>
      <c r="H5" s="108">
        <v>950</v>
      </c>
      <c r="I5" s="108">
        <v>970</v>
      </c>
      <c r="J5" s="108">
        <v>1000</v>
      </c>
      <c r="K5" s="108">
        <v>1000</v>
      </c>
      <c r="L5" s="108">
        <v>1070</v>
      </c>
      <c r="M5" s="108">
        <v>1132.8401797175866</v>
      </c>
      <c r="N5" s="108">
        <v>1218.5531819660803</v>
      </c>
      <c r="O5" s="108">
        <v>1239.5145325732949</v>
      </c>
      <c r="P5" s="108">
        <v>1227.917278338889</v>
      </c>
      <c r="Q5" s="108">
        <v>1242.308747385583</v>
      </c>
      <c r="R5" s="108">
        <v>1267.3777579830498</v>
      </c>
      <c r="S5" s="108">
        <v>1396.4367384663055</v>
      </c>
      <c r="T5" s="108">
        <v>1424.7554356227033</v>
      </c>
      <c r="U5" s="108">
        <v>1472.1080111956962</v>
      </c>
      <c r="V5" s="108">
        <v>945.9088570117184</v>
      </c>
      <c r="W5" s="108">
        <v>945.9088570117184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6869</v>
      </c>
      <c r="C6" s="110">
        <f t="shared" ref="C6:V6" si="4">SUM(C7:C8)</f>
        <v>7149</v>
      </c>
      <c r="D6" s="110">
        <f t="shared" si="4"/>
        <v>7351</v>
      </c>
      <c r="E6" s="110">
        <f t="shared" si="4"/>
        <v>7387</v>
      </c>
      <c r="F6" s="110">
        <f t="shared" si="4"/>
        <v>8285</v>
      </c>
      <c r="G6" s="110">
        <f t="shared" si="4"/>
        <v>7528</v>
      </c>
      <c r="H6" s="110">
        <f t="shared" si="4"/>
        <v>7964</v>
      </c>
      <c r="I6" s="110">
        <f t="shared" si="4"/>
        <v>7665.4074610000007</v>
      </c>
      <c r="J6" s="110">
        <f t="shared" si="4"/>
        <v>8003.7219430000005</v>
      </c>
      <c r="K6" s="110">
        <f t="shared" si="4"/>
        <v>8109.6037610000003</v>
      </c>
      <c r="L6" s="110">
        <f t="shared" si="4"/>
        <v>8310.7468239999998</v>
      </c>
      <c r="M6" s="110">
        <f t="shared" si="4"/>
        <v>8983.6585009999999</v>
      </c>
      <c r="N6" s="110">
        <f t="shared" si="4"/>
        <v>9000.6376560000008</v>
      </c>
      <c r="O6" s="110">
        <f t="shared" si="4"/>
        <v>8966.3488820000002</v>
      </c>
      <c r="P6" s="110">
        <f t="shared" si="4"/>
        <v>9007.5650139999998</v>
      </c>
      <c r="Q6" s="110">
        <f t="shared" si="4"/>
        <v>8726.9490669999996</v>
      </c>
      <c r="R6" s="110">
        <f t="shared" si="4"/>
        <v>8340.4485380000006</v>
      </c>
      <c r="S6" s="110">
        <f t="shared" si="4"/>
        <v>8603</v>
      </c>
      <c r="T6" s="110">
        <f t="shared" si="4"/>
        <v>8941</v>
      </c>
      <c r="U6" s="110">
        <f t="shared" si="4"/>
        <v>9285</v>
      </c>
      <c r="V6" s="110">
        <f t="shared" si="4"/>
        <v>6407</v>
      </c>
      <c r="W6" s="110">
        <f t="shared" ref="W6" si="5">SUM(W7:W8)</f>
        <v>6036.2826821684466</v>
      </c>
      <c r="DA6" s="176" t="s">
        <v>377</v>
      </c>
    </row>
    <row r="7" spans="1:105" ht="11.45" customHeight="1" x14ac:dyDescent="0.25">
      <c r="A7" s="111" t="s">
        <v>90</v>
      </c>
      <c r="B7" s="84">
        <v>502.13144569112376</v>
      </c>
      <c r="C7" s="84">
        <v>507.24088661168827</v>
      </c>
      <c r="D7" s="84">
        <v>493.86079824654422</v>
      </c>
      <c r="E7" s="84">
        <v>526.96535117684778</v>
      </c>
      <c r="F7" s="84">
        <v>489.21053987058548</v>
      </c>
      <c r="G7" s="84">
        <v>444.6652076159848</v>
      </c>
      <c r="H7" s="84">
        <v>470.89980962762337</v>
      </c>
      <c r="I7" s="84">
        <v>461.79932617351648</v>
      </c>
      <c r="J7" s="84">
        <v>517.28967156730505</v>
      </c>
      <c r="K7" s="84">
        <v>493.82210312078496</v>
      </c>
      <c r="L7" s="84">
        <v>442.18422271657516</v>
      </c>
      <c r="M7" s="84">
        <v>490.07454445112978</v>
      </c>
      <c r="N7" s="84">
        <v>577.36521604745212</v>
      </c>
      <c r="O7" s="84">
        <v>453.97981864368154</v>
      </c>
      <c r="P7" s="84">
        <v>378.89581786509837</v>
      </c>
      <c r="Q7" s="84">
        <v>371.4145869577838</v>
      </c>
      <c r="R7" s="84">
        <v>367.72611400689487</v>
      </c>
      <c r="S7" s="84">
        <v>407.9242861138884</v>
      </c>
      <c r="T7" s="84">
        <v>382.60912304155624</v>
      </c>
      <c r="U7" s="84">
        <v>397.01318293315887</v>
      </c>
      <c r="V7" s="84">
        <v>278.88418125759409</v>
      </c>
      <c r="W7" s="84">
        <v>249.41082815836046</v>
      </c>
      <c r="DA7" s="171" t="s">
        <v>1029</v>
      </c>
    </row>
    <row r="8" spans="1:105" ht="11.45" customHeight="1" x14ac:dyDescent="0.25">
      <c r="A8" s="111" t="s">
        <v>93</v>
      </c>
      <c r="B8" s="84">
        <v>6366.8685543088759</v>
      </c>
      <c r="C8" s="84">
        <v>6641.7591133883116</v>
      </c>
      <c r="D8" s="84">
        <v>6857.1392017534554</v>
      </c>
      <c r="E8" s="84">
        <v>6860.0346488231526</v>
      </c>
      <c r="F8" s="84">
        <v>7795.7894601294147</v>
      </c>
      <c r="G8" s="84">
        <v>7083.3347923840156</v>
      </c>
      <c r="H8" s="84">
        <v>7493.1001903723763</v>
      </c>
      <c r="I8" s="84">
        <v>7203.6081348264843</v>
      </c>
      <c r="J8" s="84">
        <v>7486.4322714326954</v>
      </c>
      <c r="K8" s="84">
        <v>7615.7816578792153</v>
      </c>
      <c r="L8" s="84">
        <v>7868.5626012834246</v>
      </c>
      <c r="M8" s="84">
        <v>8493.5839565488695</v>
      </c>
      <c r="N8" s="84">
        <v>8423.2724399525487</v>
      </c>
      <c r="O8" s="84">
        <v>8512.3690633563183</v>
      </c>
      <c r="P8" s="84">
        <v>8628.6691961349006</v>
      </c>
      <c r="Q8" s="84">
        <v>8355.5344800422154</v>
      </c>
      <c r="R8" s="84">
        <v>7972.7224239931056</v>
      </c>
      <c r="S8" s="84">
        <v>8195.0757138861118</v>
      </c>
      <c r="T8" s="84">
        <v>8558.3908769584432</v>
      </c>
      <c r="U8" s="84">
        <v>8887.9868170668415</v>
      </c>
      <c r="V8" s="84">
        <v>6128.1158187424062</v>
      </c>
      <c r="W8" s="84">
        <v>5786.8718540100863</v>
      </c>
      <c r="DA8" s="171" t="s">
        <v>1030</v>
      </c>
    </row>
    <row r="9" spans="1:105" ht="11.45" customHeight="1" x14ac:dyDescent="0.25">
      <c r="A9" s="112" t="s">
        <v>25</v>
      </c>
      <c r="B9" s="113">
        <v>865</v>
      </c>
      <c r="C9" s="113">
        <v>889</v>
      </c>
      <c r="D9" s="113">
        <v>909</v>
      </c>
      <c r="E9" s="113">
        <v>878</v>
      </c>
      <c r="F9" s="113">
        <v>940</v>
      </c>
      <c r="G9" s="113">
        <v>982</v>
      </c>
      <c r="H9" s="113">
        <v>1000</v>
      </c>
      <c r="I9" s="113">
        <v>1018</v>
      </c>
      <c r="J9" s="113">
        <v>1079</v>
      </c>
      <c r="K9" s="113">
        <v>1061</v>
      </c>
      <c r="L9" s="113">
        <v>1061</v>
      </c>
      <c r="M9" s="113">
        <v>905</v>
      </c>
      <c r="N9" s="113">
        <v>905</v>
      </c>
      <c r="O9" s="113">
        <v>905</v>
      </c>
      <c r="P9" s="113">
        <v>910</v>
      </c>
      <c r="Q9" s="113">
        <v>1200</v>
      </c>
      <c r="R9" s="113">
        <v>1500</v>
      </c>
      <c r="S9" s="113">
        <v>1564</v>
      </c>
      <c r="T9" s="113">
        <v>1564</v>
      </c>
      <c r="U9" s="113">
        <v>1564</v>
      </c>
      <c r="V9" s="113">
        <v>990</v>
      </c>
      <c r="W9" s="113">
        <v>932.71731783155337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7674</v>
      </c>
      <c r="C10" s="28">
        <f t="shared" ref="C10:V10" si="7">SUM(C11:C12)</f>
        <v>7081</v>
      </c>
      <c r="D10" s="28">
        <f t="shared" si="7"/>
        <v>7297</v>
      </c>
      <c r="E10" s="28">
        <f t="shared" si="7"/>
        <v>7293</v>
      </c>
      <c r="F10" s="28">
        <f t="shared" si="7"/>
        <v>7691</v>
      </c>
      <c r="G10" s="28">
        <f t="shared" si="7"/>
        <v>8130.0000000000009</v>
      </c>
      <c r="H10" s="28">
        <f t="shared" si="7"/>
        <v>8572</v>
      </c>
      <c r="I10" s="28">
        <f t="shared" si="7"/>
        <v>9258</v>
      </c>
      <c r="J10" s="28">
        <f t="shared" si="7"/>
        <v>8927</v>
      </c>
      <c r="K10" s="28">
        <f t="shared" si="7"/>
        <v>6374</v>
      </c>
      <c r="L10" s="28">
        <f t="shared" si="7"/>
        <v>7476</v>
      </c>
      <c r="M10" s="28">
        <f t="shared" si="7"/>
        <v>7593</v>
      </c>
      <c r="N10" s="28">
        <f t="shared" si="7"/>
        <v>7280</v>
      </c>
      <c r="O10" s="28">
        <f t="shared" si="7"/>
        <v>7280</v>
      </c>
      <c r="P10" s="28">
        <f t="shared" si="7"/>
        <v>7280</v>
      </c>
      <c r="Q10" s="28">
        <f t="shared" si="7"/>
        <v>7280</v>
      </c>
      <c r="R10" s="28">
        <f t="shared" si="7"/>
        <v>7280</v>
      </c>
      <c r="S10" s="28">
        <f t="shared" si="7"/>
        <v>7700</v>
      </c>
      <c r="T10" s="28">
        <f t="shared" si="7"/>
        <v>7500</v>
      </c>
      <c r="U10" s="28">
        <f t="shared" si="7"/>
        <v>7400</v>
      </c>
      <c r="V10" s="28">
        <f t="shared" si="7"/>
        <v>6700</v>
      </c>
      <c r="W10" s="28">
        <f t="shared" ref="W10" si="8">SUM(W11:W12)</f>
        <v>6769.9825460368293</v>
      </c>
      <c r="DA10" s="173" t="s">
        <v>383</v>
      </c>
    </row>
    <row r="11" spans="1:105" ht="11.45" customHeight="1" x14ac:dyDescent="0.25">
      <c r="A11" s="83" t="s">
        <v>90</v>
      </c>
      <c r="B11" s="84">
        <v>3208.2701568470166</v>
      </c>
      <c r="C11" s="84">
        <v>2766.6286004988847</v>
      </c>
      <c r="D11" s="84">
        <v>2412.4916935470669</v>
      </c>
      <c r="E11" s="84">
        <v>2270.5733258796595</v>
      </c>
      <c r="F11" s="84">
        <v>1990.4858793108299</v>
      </c>
      <c r="G11" s="84">
        <v>2037.5044413277237</v>
      </c>
      <c r="H11" s="84">
        <v>2077.1354702545841</v>
      </c>
      <c r="I11" s="84">
        <v>2320.6655256656227</v>
      </c>
      <c r="J11" s="84">
        <v>2053.2299278220103</v>
      </c>
      <c r="K11" s="84">
        <v>1224.9337099696033</v>
      </c>
      <c r="L11" s="84">
        <v>1274.8714586971801</v>
      </c>
      <c r="M11" s="84">
        <v>1307.9588551981417</v>
      </c>
      <c r="N11" s="84">
        <v>1451.9427733777889</v>
      </c>
      <c r="O11" s="84">
        <v>1151.4147045613076</v>
      </c>
      <c r="P11" s="84">
        <v>964.15936615207295</v>
      </c>
      <c r="Q11" s="84">
        <v>965.74853802801488</v>
      </c>
      <c r="R11" s="84">
        <v>988.0649060814045</v>
      </c>
      <c r="S11" s="84">
        <v>1109.2328228293065</v>
      </c>
      <c r="T11" s="84">
        <v>1071.7184861822275</v>
      </c>
      <c r="U11" s="84">
        <v>1059.4853228850257</v>
      </c>
      <c r="V11" s="84">
        <v>931.12161630631692</v>
      </c>
      <c r="W11" s="84">
        <v>927.47327330572045</v>
      </c>
      <c r="DA11" s="171" t="s">
        <v>1031</v>
      </c>
    </row>
    <row r="12" spans="1:105" ht="11.45" customHeight="1" x14ac:dyDescent="0.25">
      <c r="A12" s="85" t="s">
        <v>93</v>
      </c>
      <c r="B12" s="86">
        <v>4465.7298431529834</v>
      </c>
      <c r="C12" s="86">
        <v>4314.3713995011149</v>
      </c>
      <c r="D12" s="86">
        <v>4884.5083064529335</v>
      </c>
      <c r="E12" s="86">
        <v>5022.426674120341</v>
      </c>
      <c r="F12" s="86">
        <v>5700.5141206891703</v>
      </c>
      <c r="G12" s="86">
        <v>6092.4955586722772</v>
      </c>
      <c r="H12" s="86">
        <v>6494.8645297454159</v>
      </c>
      <c r="I12" s="86">
        <v>6937.3344743343769</v>
      </c>
      <c r="J12" s="86">
        <v>6873.7700721779893</v>
      </c>
      <c r="K12" s="86">
        <v>5149.0662900303969</v>
      </c>
      <c r="L12" s="86">
        <v>6201.1285413028199</v>
      </c>
      <c r="M12" s="86">
        <v>6285.0411448018585</v>
      </c>
      <c r="N12" s="86">
        <v>5828.0572266222116</v>
      </c>
      <c r="O12" s="86">
        <v>6128.5852954386919</v>
      </c>
      <c r="P12" s="86">
        <v>6315.8406338479272</v>
      </c>
      <c r="Q12" s="86">
        <v>6314.251461971985</v>
      </c>
      <c r="R12" s="86">
        <v>6291.9350939185952</v>
      </c>
      <c r="S12" s="86">
        <v>6590.7671771706937</v>
      </c>
      <c r="T12" s="86">
        <v>6428.2815138177721</v>
      </c>
      <c r="U12" s="86">
        <v>6340.5146771149739</v>
      </c>
      <c r="V12" s="86">
        <v>5768.8783836936827</v>
      </c>
      <c r="W12" s="86">
        <v>5842.5092727311085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92.893281596553464</v>
      </c>
      <c r="C14" s="62">
        <f t="shared" ref="C14:V14" si="10">C15+C21</f>
        <v>94.443066572990503</v>
      </c>
      <c r="D14" s="62">
        <f t="shared" si="10"/>
        <v>93.943540063825111</v>
      </c>
      <c r="E14" s="62">
        <f t="shared" si="10"/>
        <v>96.633654061967178</v>
      </c>
      <c r="F14" s="62">
        <f t="shared" si="10"/>
        <v>105.1382294950381</v>
      </c>
      <c r="G14" s="62">
        <f t="shared" si="10"/>
        <v>105.43953600058082</v>
      </c>
      <c r="H14" s="62">
        <f t="shared" si="10"/>
        <v>111.9684124981012</v>
      </c>
      <c r="I14" s="62">
        <f t="shared" si="10"/>
        <v>113.88530045752491</v>
      </c>
      <c r="J14" s="62">
        <f t="shared" si="10"/>
        <v>118.89145790015279</v>
      </c>
      <c r="K14" s="62">
        <f t="shared" si="10"/>
        <v>112.6590995640737</v>
      </c>
      <c r="L14" s="62">
        <f t="shared" si="10"/>
        <v>115.44830774716959</v>
      </c>
      <c r="M14" s="62">
        <f t="shared" si="10"/>
        <v>112.90281702769519</v>
      </c>
      <c r="N14" s="62">
        <f t="shared" si="10"/>
        <v>111.64227394407244</v>
      </c>
      <c r="O14" s="62">
        <f t="shared" si="10"/>
        <v>115.24048663824753</v>
      </c>
      <c r="P14" s="62">
        <f t="shared" si="10"/>
        <v>111.24828233945176</v>
      </c>
      <c r="Q14" s="62">
        <f t="shared" si="10"/>
        <v>115.12590892380096</v>
      </c>
      <c r="R14" s="62">
        <f t="shared" si="10"/>
        <v>118.77085952187767</v>
      </c>
      <c r="S14" s="62">
        <f t="shared" si="10"/>
        <v>123.99707752536374</v>
      </c>
      <c r="T14" s="62">
        <f t="shared" si="10"/>
        <v>122.94744242665389</v>
      </c>
      <c r="U14" s="62">
        <f t="shared" si="10"/>
        <v>125.33976527004526</v>
      </c>
      <c r="V14" s="62">
        <f t="shared" si="10"/>
        <v>111.03742900184074</v>
      </c>
      <c r="W14" s="62">
        <f t="shared" ref="W14" si="11">W15+W21</f>
        <v>115.16086031037773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79.238464641502389</v>
      </c>
      <c r="C15" s="29">
        <f t="shared" ref="C15:V15" si="13">SUM(C16,C17,C20)</f>
        <v>81.716638393806875</v>
      </c>
      <c r="D15" s="29">
        <f t="shared" si="13"/>
        <v>80.711680096262455</v>
      </c>
      <c r="E15" s="29">
        <f t="shared" si="13"/>
        <v>83.42718412639077</v>
      </c>
      <c r="F15" s="29">
        <f t="shared" si="13"/>
        <v>89.732027712057956</v>
      </c>
      <c r="G15" s="29">
        <f t="shared" si="13"/>
        <v>88.582547011870901</v>
      </c>
      <c r="H15" s="29">
        <f t="shared" si="13"/>
        <v>94.31601362561085</v>
      </c>
      <c r="I15" s="29">
        <f t="shared" si="13"/>
        <v>95.502364688854485</v>
      </c>
      <c r="J15" s="29">
        <f t="shared" si="13"/>
        <v>100.77073064938992</v>
      </c>
      <c r="K15" s="29">
        <f t="shared" si="13"/>
        <v>99.389776479306462</v>
      </c>
      <c r="L15" s="29">
        <f t="shared" si="13"/>
        <v>99.884030968933558</v>
      </c>
      <c r="M15" s="29">
        <f t="shared" si="13"/>
        <v>97.488042955531853</v>
      </c>
      <c r="N15" s="29">
        <f t="shared" si="13"/>
        <v>97.018221528017833</v>
      </c>
      <c r="O15" s="29">
        <f t="shared" si="13"/>
        <v>100.20154006792434</v>
      </c>
      <c r="P15" s="29">
        <f t="shared" si="13"/>
        <v>96.634227051550084</v>
      </c>
      <c r="Q15" s="29">
        <f t="shared" si="13"/>
        <v>100.41714494817521</v>
      </c>
      <c r="R15" s="29">
        <f t="shared" si="13"/>
        <v>103.78507768466294</v>
      </c>
      <c r="S15" s="29">
        <f t="shared" si="13"/>
        <v>108.39245632936375</v>
      </c>
      <c r="T15" s="29">
        <f t="shared" si="13"/>
        <v>102.29734561738785</v>
      </c>
      <c r="U15" s="29">
        <f t="shared" si="13"/>
        <v>106.09336515446842</v>
      </c>
      <c r="V15" s="29">
        <f t="shared" si="13"/>
        <v>93.204614018765255</v>
      </c>
      <c r="W15" s="29">
        <f t="shared" ref="W15" si="14">SUM(W16,W17,W20)</f>
        <v>95.876920544152853</v>
      </c>
      <c r="DA15" s="173" t="s">
        <v>1034</v>
      </c>
    </row>
    <row r="16" spans="1:105" ht="11.45" customHeight="1" x14ac:dyDescent="0.25">
      <c r="A16" s="107" t="s">
        <v>23</v>
      </c>
      <c r="B16" s="115">
        <v>12.063438834280841</v>
      </c>
      <c r="C16" s="115">
        <v>11.994948413004458</v>
      </c>
      <c r="D16" s="115">
        <v>12.128701499567152</v>
      </c>
      <c r="E16" s="115">
        <v>12.277181720753777</v>
      </c>
      <c r="F16" s="115">
        <v>12.114737396560587</v>
      </c>
      <c r="G16" s="115">
        <v>12.606041286638618</v>
      </c>
      <c r="H16" s="115">
        <v>12.743984902406689</v>
      </c>
      <c r="I16" s="115">
        <v>13.170703907342315</v>
      </c>
      <c r="J16" s="115">
        <v>13.428179611766458</v>
      </c>
      <c r="K16" s="115">
        <v>13.442731150493834</v>
      </c>
      <c r="L16" s="115">
        <v>14.368853264139672</v>
      </c>
      <c r="M16" s="115">
        <v>15.00989894917632</v>
      </c>
      <c r="N16" s="115">
        <v>16.146275505560258</v>
      </c>
      <c r="O16" s="115">
        <v>16.422586812890344</v>
      </c>
      <c r="P16" s="115">
        <v>16.26858789900232</v>
      </c>
      <c r="Q16" s="115">
        <v>16.3256832268933</v>
      </c>
      <c r="R16" s="115">
        <v>16.503644863787898</v>
      </c>
      <c r="S16" s="115">
        <v>18.176727699082779</v>
      </c>
      <c r="T16" s="115">
        <v>18.572398451087974</v>
      </c>
      <c r="U16" s="115">
        <v>19.216216638254483</v>
      </c>
      <c r="V16" s="115">
        <v>12.496385333846915</v>
      </c>
      <c r="W16" s="115">
        <v>12.496385333846915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64.187164300093229</v>
      </c>
      <c r="C17" s="116">
        <f t="shared" ref="C17:V17" si="16">SUM(C18:C19)</f>
        <v>66.650928270008123</v>
      </c>
      <c r="D17" s="116">
        <f t="shared" si="16"/>
        <v>65.443133382846014</v>
      </c>
      <c r="E17" s="116">
        <f t="shared" si="16"/>
        <v>68.117236621522949</v>
      </c>
      <c r="F17" s="116">
        <f t="shared" si="16"/>
        <v>74.37036567191285</v>
      </c>
      <c r="G17" s="116">
        <f t="shared" si="16"/>
        <v>72.58450572523229</v>
      </c>
      <c r="H17" s="116">
        <f t="shared" si="16"/>
        <v>78.400028723204159</v>
      </c>
      <c r="I17" s="116">
        <f t="shared" si="16"/>
        <v>78.96266078151217</v>
      </c>
      <c r="J17" s="116">
        <f t="shared" si="16"/>
        <v>83.684551037623464</v>
      </c>
      <c r="K17" s="116">
        <f t="shared" si="16"/>
        <v>82.485045328812618</v>
      </c>
      <c r="L17" s="116">
        <f t="shared" si="16"/>
        <v>81.998177704793889</v>
      </c>
      <c r="M17" s="116">
        <f t="shared" si="16"/>
        <v>79.478144006355535</v>
      </c>
      <c r="N17" s="116">
        <f t="shared" si="16"/>
        <v>77.871946022457578</v>
      </c>
      <c r="O17" s="116">
        <f t="shared" si="16"/>
        <v>80.778953255033997</v>
      </c>
      <c r="P17" s="116">
        <f t="shared" si="16"/>
        <v>77.348639152547776</v>
      </c>
      <c r="Q17" s="116">
        <f t="shared" si="16"/>
        <v>80.113461721281908</v>
      </c>
      <c r="R17" s="116">
        <f t="shared" si="16"/>
        <v>82.309432820875045</v>
      </c>
      <c r="S17" s="116">
        <f t="shared" si="16"/>
        <v>85.03172863028098</v>
      </c>
      <c r="T17" s="116">
        <f t="shared" si="16"/>
        <v>78.656355879206743</v>
      </c>
      <c r="U17" s="116">
        <f t="shared" si="16"/>
        <v>81.603093260577225</v>
      </c>
      <c r="V17" s="116">
        <f t="shared" si="16"/>
        <v>75.780736782727161</v>
      </c>
      <c r="W17" s="116">
        <f t="shared" ref="W17" si="17">SUM(W18:W19)</f>
        <v>78.122797152872735</v>
      </c>
      <c r="DA17" s="176" t="s">
        <v>1036</v>
      </c>
    </row>
    <row r="18" spans="1:105" ht="11.45" customHeight="1" x14ac:dyDescent="0.25">
      <c r="A18" s="111" t="s">
        <v>92</v>
      </c>
      <c r="B18" s="87">
        <v>4.5293958590326264</v>
      </c>
      <c r="C18" s="87">
        <v>4.4343235793082023</v>
      </c>
      <c r="D18" s="87">
        <v>4.7463173604133067</v>
      </c>
      <c r="E18" s="87">
        <v>5.116813304197998</v>
      </c>
      <c r="F18" s="87">
        <v>4.8833448014700966</v>
      </c>
      <c r="G18" s="87">
        <v>4.9100153451365793</v>
      </c>
      <c r="H18" s="87">
        <v>6.414854148783693</v>
      </c>
      <c r="I18" s="87">
        <v>6.7310168003844923</v>
      </c>
      <c r="J18" s="87">
        <v>6.907614787503114</v>
      </c>
      <c r="K18" s="87">
        <v>6.6000852789027658</v>
      </c>
      <c r="L18" s="87">
        <v>5.7808726565574755</v>
      </c>
      <c r="M18" s="87">
        <v>5.7513235486435752</v>
      </c>
      <c r="N18" s="87">
        <v>6.4762789259292779</v>
      </c>
      <c r="O18" s="87">
        <v>5.0660619050113818</v>
      </c>
      <c r="P18" s="87">
        <v>4.0202557937954921</v>
      </c>
      <c r="Q18" s="87">
        <v>5.808113756851915</v>
      </c>
      <c r="R18" s="87">
        <v>6.2504273110206414</v>
      </c>
      <c r="S18" s="87">
        <v>6.9896264474847252</v>
      </c>
      <c r="T18" s="87">
        <v>5.5093835878225423</v>
      </c>
      <c r="U18" s="87">
        <v>5.3395211468762822</v>
      </c>
      <c r="V18" s="87">
        <v>4.0543123185146746</v>
      </c>
      <c r="W18" s="87">
        <v>4.0107231710379487</v>
      </c>
      <c r="DA18" s="171" t="s">
        <v>1037</v>
      </c>
    </row>
    <row r="19" spans="1:105" ht="11.45" customHeight="1" x14ac:dyDescent="0.25">
      <c r="A19" s="111" t="s">
        <v>93</v>
      </c>
      <c r="B19" s="87">
        <v>59.657768441060597</v>
      </c>
      <c r="C19" s="87">
        <v>62.216604690699924</v>
      </c>
      <c r="D19" s="87">
        <v>60.696816022432706</v>
      </c>
      <c r="E19" s="87">
        <v>63.000423317324952</v>
      </c>
      <c r="F19" s="87">
        <v>69.487020870442748</v>
      </c>
      <c r="G19" s="87">
        <v>67.674490380095705</v>
      </c>
      <c r="H19" s="87">
        <v>71.985174574420469</v>
      </c>
      <c r="I19" s="87">
        <v>72.231643981127675</v>
      </c>
      <c r="J19" s="87">
        <v>76.776936250120343</v>
      </c>
      <c r="K19" s="87">
        <v>75.88496004990985</v>
      </c>
      <c r="L19" s="87">
        <v>76.217305048236412</v>
      </c>
      <c r="M19" s="87">
        <v>73.726820457711966</v>
      </c>
      <c r="N19" s="87">
        <v>71.3956670965283</v>
      </c>
      <c r="O19" s="87">
        <v>75.712891350022616</v>
      </c>
      <c r="P19" s="87">
        <v>73.328383358752291</v>
      </c>
      <c r="Q19" s="87">
        <v>74.305347964429998</v>
      </c>
      <c r="R19" s="87">
        <v>76.059005509854401</v>
      </c>
      <c r="S19" s="87">
        <v>78.042102182796256</v>
      </c>
      <c r="T19" s="87">
        <v>73.146972291384202</v>
      </c>
      <c r="U19" s="87">
        <v>76.263572113700945</v>
      </c>
      <c r="V19" s="87">
        <v>71.726424464212485</v>
      </c>
      <c r="W19" s="87">
        <v>74.112073981834783</v>
      </c>
      <c r="DA19" s="171" t="s">
        <v>1038</v>
      </c>
    </row>
    <row r="20" spans="1:105" ht="11.45" customHeight="1" x14ac:dyDescent="0.25">
      <c r="A20" s="112" t="s">
        <v>25</v>
      </c>
      <c r="B20" s="117">
        <v>2.9878615071283097</v>
      </c>
      <c r="C20" s="117">
        <v>3.0707617107942968</v>
      </c>
      <c r="D20" s="117">
        <v>3.1398452138492869</v>
      </c>
      <c r="E20" s="117">
        <v>3.0327657841140532</v>
      </c>
      <c r="F20" s="117">
        <v>3.2469246435845212</v>
      </c>
      <c r="G20" s="117">
        <v>3.3919999999999995</v>
      </c>
      <c r="H20" s="117">
        <v>3.1720000000000002</v>
      </c>
      <c r="I20" s="117">
        <v>3.3690000000000002</v>
      </c>
      <c r="J20" s="117">
        <v>3.6579999999999999</v>
      </c>
      <c r="K20" s="117">
        <v>3.4620000000000002</v>
      </c>
      <c r="L20" s="117">
        <v>3.5169999999999999</v>
      </c>
      <c r="M20" s="117">
        <v>3</v>
      </c>
      <c r="N20" s="117">
        <v>3</v>
      </c>
      <c r="O20" s="117">
        <v>3</v>
      </c>
      <c r="P20" s="117">
        <v>3.0170000000000003</v>
      </c>
      <c r="Q20" s="117">
        <v>3.9779999999999998</v>
      </c>
      <c r="R20" s="117">
        <v>4.9719999999999995</v>
      </c>
      <c r="S20" s="117">
        <v>5.1840000000000002</v>
      </c>
      <c r="T20" s="117">
        <v>5.0685912870931285</v>
      </c>
      <c r="U20" s="117">
        <v>5.2740552556367088</v>
      </c>
      <c r="V20" s="117">
        <v>4.9274919021911723</v>
      </c>
      <c r="W20" s="117">
        <v>5.2577380574331976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13.654816955051082</v>
      </c>
      <c r="C21" s="29">
        <f t="shared" ref="C21:V21" si="19">SUM(C22:C23)</f>
        <v>12.726428179183632</v>
      </c>
      <c r="D21" s="29">
        <f t="shared" si="19"/>
        <v>13.231859967562652</v>
      </c>
      <c r="E21" s="29">
        <f t="shared" si="19"/>
        <v>13.206469935576404</v>
      </c>
      <c r="F21" s="29">
        <f t="shared" si="19"/>
        <v>15.406201782980155</v>
      </c>
      <c r="G21" s="29">
        <f t="shared" si="19"/>
        <v>16.856988988709919</v>
      </c>
      <c r="H21" s="29">
        <f t="shared" si="19"/>
        <v>17.652398872490352</v>
      </c>
      <c r="I21" s="29">
        <f t="shared" si="19"/>
        <v>18.382935768670421</v>
      </c>
      <c r="J21" s="29">
        <f t="shared" si="19"/>
        <v>18.120727250762869</v>
      </c>
      <c r="K21" s="29">
        <f t="shared" si="19"/>
        <v>13.26932308476724</v>
      </c>
      <c r="L21" s="29">
        <f t="shared" si="19"/>
        <v>15.564276778236033</v>
      </c>
      <c r="M21" s="29">
        <f t="shared" si="19"/>
        <v>15.414774072163343</v>
      </c>
      <c r="N21" s="29">
        <f t="shared" si="19"/>
        <v>14.624052416054607</v>
      </c>
      <c r="O21" s="29">
        <f t="shared" si="19"/>
        <v>15.038946570323194</v>
      </c>
      <c r="P21" s="29">
        <f t="shared" si="19"/>
        <v>14.61405528790168</v>
      </c>
      <c r="Q21" s="29">
        <f t="shared" si="19"/>
        <v>14.708763975625754</v>
      </c>
      <c r="R21" s="29">
        <f t="shared" si="19"/>
        <v>14.985781837214734</v>
      </c>
      <c r="S21" s="29">
        <f t="shared" si="19"/>
        <v>15.604621195999984</v>
      </c>
      <c r="T21" s="29">
        <f t="shared" si="19"/>
        <v>20.650096809266046</v>
      </c>
      <c r="U21" s="29">
        <f t="shared" si="19"/>
        <v>19.246400115576844</v>
      </c>
      <c r="V21" s="29">
        <f t="shared" si="19"/>
        <v>17.832814983075483</v>
      </c>
      <c r="W21" s="29">
        <f t="shared" ref="W21" si="20">SUM(W22:W23)</f>
        <v>19.283939766224879</v>
      </c>
      <c r="DA21" s="173" t="s">
        <v>1040</v>
      </c>
    </row>
    <row r="22" spans="1:105" ht="11.45" customHeight="1" x14ac:dyDescent="0.25">
      <c r="A22" s="83" t="s">
        <v>92</v>
      </c>
      <c r="B22" s="87">
        <v>5.5981552897091573</v>
      </c>
      <c r="C22" s="87">
        <v>4.7363614699754804</v>
      </c>
      <c r="D22" s="87">
        <v>3.920812673684011</v>
      </c>
      <c r="E22" s="87">
        <v>3.4739965933820844</v>
      </c>
      <c r="F22" s="87">
        <v>3.4833486485395335</v>
      </c>
      <c r="G22" s="87">
        <v>3.7680421822002588</v>
      </c>
      <c r="H22" s="87">
        <v>4.2820483192336098</v>
      </c>
      <c r="I22" s="87">
        <v>4.6868488181161725</v>
      </c>
      <c r="J22" s="87">
        <v>3.966576488874197</v>
      </c>
      <c r="K22" s="87">
        <v>2.2568650715151182</v>
      </c>
      <c r="L22" s="87">
        <v>2.0746072181536128</v>
      </c>
      <c r="M22" s="87">
        <v>1.9569696366379885</v>
      </c>
      <c r="N22" s="87">
        <v>2.3658020243262143</v>
      </c>
      <c r="O22" s="87">
        <v>1.9101458123936677</v>
      </c>
      <c r="P22" s="87">
        <v>1.6162812416283447</v>
      </c>
      <c r="Q22" s="87">
        <v>1.5692771601956141</v>
      </c>
      <c r="R22" s="87">
        <v>1.696699618692757</v>
      </c>
      <c r="S22" s="87">
        <v>1.9405471316979888</v>
      </c>
      <c r="T22" s="87">
        <v>2.5859958332592221</v>
      </c>
      <c r="U22" s="87">
        <v>2.732126888024935</v>
      </c>
      <c r="V22" s="87">
        <v>2.6826228586465612</v>
      </c>
      <c r="W22" s="87">
        <v>2.8231598412971892</v>
      </c>
      <c r="DA22" s="171" t="s">
        <v>1041</v>
      </c>
    </row>
    <row r="23" spans="1:105" ht="11.45" customHeight="1" x14ac:dyDescent="0.25">
      <c r="A23" s="85" t="s">
        <v>93</v>
      </c>
      <c r="B23" s="88">
        <v>8.0566616653419239</v>
      </c>
      <c r="C23" s="88">
        <v>7.9900667092081505</v>
      </c>
      <c r="D23" s="88">
        <v>9.3110472938786408</v>
      </c>
      <c r="E23" s="88">
        <v>9.7324733421943197</v>
      </c>
      <c r="F23" s="88">
        <v>11.922853134440622</v>
      </c>
      <c r="G23" s="88">
        <v>13.088946806509661</v>
      </c>
      <c r="H23" s="88">
        <v>13.370350553256742</v>
      </c>
      <c r="I23" s="88">
        <v>13.69608695055425</v>
      </c>
      <c r="J23" s="88">
        <v>14.154150761888673</v>
      </c>
      <c r="K23" s="88">
        <v>11.012458013252122</v>
      </c>
      <c r="L23" s="88">
        <v>13.489669560082421</v>
      </c>
      <c r="M23" s="88">
        <v>13.457804435525354</v>
      </c>
      <c r="N23" s="88">
        <v>12.258250391728392</v>
      </c>
      <c r="O23" s="88">
        <v>13.128800757929527</v>
      </c>
      <c r="P23" s="88">
        <v>12.997774046273335</v>
      </c>
      <c r="Q23" s="88">
        <v>13.139486815430139</v>
      </c>
      <c r="R23" s="88">
        <v>13.289082218521978</v>
      </c>
      <c r="S23" s="88">
        <v>13.664074064301996</v>
      </c>
      <c r="T23" s="88">
        <v>18.064100976006824</v>
      </c>
      <c r="U23" s="88">
        <v>16.514273227551907</v>
      </c>
      <c r="V23" s="88">
        <v>15.150192124428921</v>
      </c>
      <c r="W23" s="88">
        <v>16.460779924927689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612.49583499999994</v>
      </c>
      <c r="C25" s="62">
        <f t="shared" ref="C25:V25" si="22">C26+C32</f>
        <v>625.350458</v>
      </c>
      <c r="D25" s="62">
        <f t="shared" si="22"/>
        <v>622.47377399999993</v>
      </c>
      <c r="E25" s="62">
        <f t="shared" si="22"/>
        <v>640.72104799999988</v>
      </c>
      <c r="F25" s="62">
        <f t="shared" si="22"/>
        <v>690.18281500000001</v>
      </c>
      <c r="G25" s="62">
        <f t="shared" si="22"/>
        <v>690.31980599999997</v>
      </c>
      <c r="H25" s="62">
        <f t="shared" si="22"/>
        <v>733.83215200000006</v>
      </c>
      <c r="I25" s="62">
        <f t="shared" si="22"/>
        <v>745.55275899999992</v>
      </c>
      <c r="J25" s="62">
        <f t="shared" si="22"/>
        <v>779.50617999999997</v>
      </c>
      <c r="K25" s="62">
        <f t="shared" si="22"/>
        <v>764.37879900000007</v>
      </c>
      <c r="L25" s="62">
        <f t="shared" si="22"/>
        <v>770.02319599999998</v>
      </c>
      <c r="M25" s="62">
        <f t="shared" si="22"/>
        <v>752.98646799999995</v>
      </c>
      <c r="N25" s="62">
        <f t="shared" si="22"/>
        <v>747.6870009999999</v>
      </c>
      <c r="O25" s="62">
        <f t="shared" si="22"/>
        <v>776.06585099999995</v>
      </c>
      <c r="P25" s="62">
        <f t="shared" si="22"/>
        <v>753.66286600000001</v>
      </c>
      <c r="Q25" s="62">
        <f t="shared" si="22"/>
        <v>764.88887</v>
      </c>
      <c r="R25" s="62">
        <f t="shared" si="22"/>
        <v>784.74048900000003</v>
      </c>
      <c r="S25" s="62">
        <f t="shared" si="22"/>
        <v>821.66427899999985</v>
      </c>
      <c r="T25" s="62">
        <f t="shared" si="22"/>
        <v>814.57840299999998</v>
      </c>
      <c r="U25" s="62">
        <f t="shared" si="22"/>
        <v>835.34794299999987</v>
      </c>
      <c r="V25" s="62">
        <f t="shared" si="22"/>
        <v>786.17411400000003</v>
      </c>
      <c r="W25" s="62">
        <f t="shared" ref="W25" si="23">W26+W32</f>
        <v>789.46253400000001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544.22174899999993</v>
      </c>
      <c r="C26" s="29">
        <f t="shared" ref="C26:V26" si="25">SUM(C27,C28,C31)</f>
        <v>560.20842400000004</v>
      </c>
      <c r="D26" s="29">
        <f t="shared" si="25"/>
        <v>553.52591399999994</v>
      </c>
      <c r="E26" s="29">
        <f t="shared" si="25"/>
        <v>572.46513499999992</v>
      </c>
      <c r="F26" s="29">
        <f t="shared" si="25"/>
        <v>613.15180499999997</v>
      </c>
      <c r="G26" s="29">
        <f t="shared" si="25"/>
        <v>606.03485999999998</v>
      </c>
      <c r="H26" s="29">
        <f t="shared" si="25"/>
        <v>645.57015700000011</v>
      </c>
      <c r="I26" s="29">
        <f t="shared" si="25"/>
        <v>653.63807899999995</v>
      </c>
      <c r="J26" s="29">
        <f t="shared" si="25"/>
        <v>688.10025799999994</v>
      </c>
      <c r="K26" s="29">
        <f t="shared" si="25"/>
        <v>679.80028400000003</v>
      </c>
      <c r="L26" s="29">
        <f t="shared" si="25"/>
        <v>687.53783399999998</v>
      </c>
      <c r="M26" s="29">
        <f t="shared" si="25"/>
        <v>673.45950799999991</v>
      </c>
      <c r="N26" s="29">
        <f t="shared" si="25"/>
        <v>672.59729699999991</v>
      </c>
      <c r="O26" s="29">
        <f t="shared" si="25"/>
        <v>700.87111699999991</v>
      </c>
      <c r="P26" s="29">
        <f t="shared" si="25"/>
        <v>680.59258799999998</v>
      </c>
      <c r="Q26" s="29">
        <f t="shared" si="25"/>
        <v>691.34504900000002</v>
      </c>
      <c r="R26" s="29">
        <f t="shared" si="25"/>
        <v>709.81157800000005</v>
      </c>
      <c r="S26" s="29">
        <f t="shared" si="25"/>
        <v>743.64117199999987</v>
      </c>
      <c r="T26" s="29">
        <f t="shared" si="25"/>
        <v>711.32791799999995</v>
      </c>
      <c r="U26" s="29">
        <f t="shared" si="25"/>
        <v>735.39513299999987</v>
      </c>
      <c r="V26" s="29">
        <f t="shared" si="25"/>
        <v>690.49715400000002</v>
      </c>
      <c r="W26" s="29">
        <f t="shared" ref="W26" si="26">SUM(W27,W28,W31)</f>
        <v>693.04283399999997</v>
      </c>
      <c r="DA26" s="173" t="s">
        <v>1044</v>
      </c>
    </row>
    <row r="27" spans="1:105" ht="11.45" customHeight="1" x14ac:dyDescent="0.25">
      <c r="A27" s="107" t="s">
        <v>23</v>
      </c>
      <c r="B27" s="115">
        <v>109.667626</v>
      </c>
      <c r="C27" s="115">
        <v>109.04498599999999</v>
      </c>
      <c r="D27" s="115">
        <v>110.26092299999999</v>
      </c>
      <c r="E27" s="115">
        <v>111.610743</v>
      </c>
      <c r="F27" s="115">
        <v>110.133977</v>
      </c>
      <c r="G27" s="115">
        <v>114.600376</v>
      </c>
      <c r="H27" s="115">
        <v>115.854409</v>
      </c>
      <c r="I27" s="115">
        <v>119.733672</v>
      </c>
      <c r="J27" s="115">
        <v>122.074361</v>
      </c>
      <c r="K27" s="115">
        <v>122.206647</v>
      </c>
      <c r="L27" s="115">
        <v>130.62593899999999</v>
      </c>
      <c r="M27" s="115">
        <v>136.45362700000001</v>
      </c>
      <c r="N27" s="115">
        <v>146.784323</v>
      </c>
      <c r="O27" s="115">
        <v>149.296244</v>
      </c>
      <c r="P27" s="115">
        <v>147.896254</v>
      </c>
      <c r="Q27" s="115">
        <v>148.41530299999999</v>
      </c>
      <c r="R27" s="115">
        <v>150.03313599999998</v>
      </c>
      <c r="S27" s="115">
        <v>165.24297999999999</v>
      </c>
      <c r="T27" s="115">
        <v>168.83998600000001</v>
      </c>
      <c r="U27" s="115">
        <v>174.692879</v>
      </c>
      <c r="V27" s="115">
        <v>163.72611699999999</v>
      </c>
      <c r="W27" s="115">
        <v>152.759355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427.91442999999998</v>
      </c>
      <c r="C28" s="116">
        <f t="shared" ref="C28:V28" si="28">SUM(C29:C30)</f>
        <v>444.33952299999999</v>
      </c>
      <c r="D28" s="116">
        <f t="shared" si="28"/>
        <v>436.28755699999999</v>
      </c>
      <c r="E28" s="116">
        <f t="shared" si="28"/>
        <v>454.114912</v>
      </c>
      <c r="F28" s="116">
        <f t="shared" si="28"/>
        <v>495.80243899999999</v>
      </c>
      <c r="G28" s="116">
        <f t="shared" si="28"/>
        <v>483.89670599999999</v>
      </c>
      <c r="H28" s="116">
        <f t="shared" si="28"/>
        <v>522.66685900000004</v>
      </c>
      <c r="I28" s="116">
        <f t="shared" si="28"/>
        <v>526.41773999999998</v>
      </c>
      <c r="J28" s="116">
        <f t="shared" si="28"/>
        <v>557.89700800000003</v>
      </c>
      <c r="K28" s="116">
        <f t="shared" si="28"/>
        <v>549.90030300000001</v>
      </c>
      <c r="L28" s="116">
        <f t="shared" si="28"/>
        <v>549.09633899999994</v>
      </c>
      <c r="M28" s="116">
        <f t="shared" si="28"/>
        <v>529.85429399999998</v>
      </c>
      <c r="N28" s="116">
        <f t="shared" si="28"/>
        <v>519.14630699999998</v>
      </c>
      <c r="O28" s="116">
        <f t="shared" si="28"/>
        <v>544.90820599999995</v>
      </c>
      <c r="P28" s="116">
        <f t="shared" si="28"/>
        <v>525.99188900000001</v>
      </c>
      <c r="Q28" s="116">
        <f t="shared" si="28"/>
        <v>534.08974599999999</v>
      </c>
      <c r="R28" s="116">
        <f t="shared" si="28"/>
        <v>548.72955300000001</v>
      </c>
      <c r="S28" s="116">
        <f t="shared" si="28"/>
        <v>566.8781919999999</v>
      </c>
      <c r="T28" s="116">
        <f t="shared" si="28"/>
        <v>531.22439499999996</v>
      </c>
      <c r="U28" s="116">
        <f t="shared" si="28"/>
        <v>548.98213099999998</v>
      </c>
      <c r="V28" s="116">
        <f t="shared" si="28"/>
        <v>515.71488299999999</v>
      </c>
      <c r="W28" s="116">
        <f t="shared" ref="W28" si="29">SUM(W29:W30)</f>
        <v>528.59961599999997</v>
      </c>
      <c r="DA28" s="176" t="s">
        <v>1046</v>
      </c>
    </row>
    <row r="29" spans="1:105" ht="11.45" customHeight="1" x14ac:dyDescent="0.25">
      <c r="A29" s="111" t="s">
        <v>92</v>
      </c>
      <c r="B29" s="87">
        <v>30.195973000000002</v>
      </c>
      <c r="C29" s="87">
        <v>29.562158</v>
      </c>
      <c r="D29" s="87">
        <v>31.642116000000001</v>
      </c>
      <c r="E29" s="87">
        <v>34.112088999999997</v>
      </c>
      <c r="F29" s="87">
        <v>32.555633</v>
      </c>
      <c r="G29" s="87">
        <v>32.733435999999998</v>
      </c>
      <c r="H29" s="87">
        <v>42.765695000000001</v>
      </c>
      <c r="I29" s="87">
        <v>44.873445999999994</v>
      </c>
      <c r="J29" s="87">
        <v>46.050765999999996</v>
      </c>
      <c r="K29" s="87">
        <v>44.000568999999999</v>
      </c>
      <c r="L29" s="87">
        <v>40.980971999999994</v>
      </c>
      <c r="M29" s="87">
        <v>38.342157</v>
      </c>
      <c r="N29" s="87">
        <v>43.175193</v>
      </c>
      <c r="O29" s="87">
        <v>40.155595999999996</v>
      </c>
      <c r="P29" s="87">
        <v>37.135998999999998</v>
      </c>
      <c r="Q29" s="87">
        <v>38.720758999999994</v>
      </c>
      <c r="R29" s="87">
        <v>41.669515999999994</v>
      </c>
      <c r="S29" s="87">
        <v>46.59751</v>
      </c>
      <c r="T29" s="87">
        <v>43.577912999999995</v>
      </c>
      <c r="U29" s="87">
        <v>40.558315999999998</v>
      </c>
      <c r="V29" s="87">
        <v>37.538719</v>
      </c>
      <c r="W29" s="87">
        <v>34.519121999999996</v>
      </c>
      <c r="DA29" s="171" t="s">
        <v>1047</v>
      </c>
    </row>
    <row r="30" spans="1:105" ht="11.45" customHeight="1" x14ac:dyDescent="0.25">
      <c r="A30" s="111" t="s">
        <v>93</v>
      </c>
      <c r="B30" s="87">
        <v>397.718457</v>
      </c>
      <c r="C30" s="87">
        <v>414.77736499999997</v>
      </c>
      <c r="D30" s="87">
        <v>404.64544100000001</v>
      </c>
      <c r="E30" s="87">
        <v>420.00282299999998</v>
      </c>
      <c r="F30" s="87">
        <v>463.24680599999999</v>
      </c>
      <c r="G30" s="87">
        <v>451.16327000000001</v>
      </c>
      <c r="H30" s="87">
        <v>479.90116399999999</v>
      </c>
      <c r="I30" s="87">
        <v>481.54429399999998</v>
      </c>
      <c r="J30" s="87">
        <v>511.84624200000002</v>
      </c>
      <c r="K30" s="87">
        <v>505.89973400000002</v>
      </c>
      <c r="L30" s="87">
        <v>508.11536699999999</v>
      </c>
      <c r="M30" s="87">
        <v>491.512137</v>
      </c>
      <c r="N30" s="87">
        <v>475.971114</v>
      </c>
      <c r="O30" s="87">
        <v>504.75261</v>
      </c>
      <c r="P30" s="87">
        <v>488.85588999999999</v>
      </c>
      <c r="Q30" s="87">
        <v>495.368987</v>
      </c>
      <c r="R30" s="87">
        <v>507.06003700000002</v>
      </c>
      <c r="S30" s="87">
        <v>520.28068199999996</v>
      </c>
      <c r="T30" s="87">
        <v>487.64648199999999</v>
      </c>
      <c r="U30" s="87">
        <v>508.42381499999999</v>
      </c>
      <c r="V30" s="87">
        <v>478.17616399999997</v>
      </c>
      <c r="W30" s="87">
        <v>494.08049399999999</v>
      </c>
      <c r="DA30" s="171" t="s">
        <v>1048</v>
      </c>
    </row>
    <row r="31" spans="1:105" ht="11.45" customHeight="1" x14ac:dyDescent="0.25">
      <c r="A31" s="112" t="s">
        <v>25</v>
      </c>
      <c r="B31" s="117">
        <v>6.6396930000000003</v>
      </c>
      <c r="C31" s="117">
        <v>6.8239150000000004</v>
      </c>
      <c r="D31" s="117">
        <v>6.9774340000000006</v>
      </c>
      <c r="E31" s="117">
        <v>6.7394800000000004</v>
      </c>
      <c r="F31" s="117">
        <v>7.2153890000000001</v>
      </c>
      <c r="G31" s="117">
        <v>7.5377780000000003</v>
      </c>
      <c r="H31" s="117">
        <v>7.048889</v>
      </c>
      <c r="I31" s="117">
        <v>7.4866669999999997</v>
      </c>
      <c r="J31" s="117">
        <v>8.1288889999999991</v>
      </c>
      <c r="K31" s="117">
        <v>7.6933340000000001</v>
      </c>
      <c r="L31" s="117">
        <v>7.8155559999999999</v>
      </c>
      <c r="M31" s="117">
        <v>7.1515870000000001</v>
      </c>
      <c r="N31" s="117">
        <v>6.6666670000000003</v>
      </c>
      <c r="O31" s="117">
        <v>6.6666670000000003</v>
      </c>
      <c r="P31" s="117">
        <v>6.7044449999999998</v>
      </c>
      <c r="Q31" s="117">
        <v>8.84</v>
      </c>
      <c r="R31" s="117">
        <v>11.048888999999999</v>
      </c>
      <c r="S31" s="117">
        <v>11.52</v>
      </c>
      <c r="T31" s="117">
        <v>11.263536999999999</v>
      </c>
      <c r="U31" s="117">
        <v>11.720122999999999</v>
      </c>
      <c r="V31" s="117">
        <v>11.056153999999999</v>
      </c>
      <c r="W31" s="117">
        <v>11.683862999999999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68.274085999999997</v>
      </c>
      <c r="C32" s="29">
        <f t="shared" ref="C32:V32" si="31">SUM(C33:C34)</f>
        <v>65.142033999999995</v>
      </c>
      <c r="D32" s="29">
        <f t="shared" si="31"/>
        <v>68.947859999999991</v>
      </c>
      <c r="E32" s="29">
        <f t="shared" si="31"/>
        <v>68.255912999999993</v>
      </c>
      <c r="F32" s="29">
        <f t="shared" si="31"/>
        <v>77.031010000000009</v>
      </c>
      <c r="G32" s="29">
        <f t="shared" si="31"/>
        <v>84.284945999999991</v>
      </c>
      <c r="H32" s="29">
        <f t="shared" si="31"/>
        <v>88.261994999999999</v>
      </c>
      <c r="I32" s="29">
        <f t="shared" si="31"/>
        <v>91.914680000000004</v>
      </c>
      <c r="J32" s="29">
        <f t="shared" si="31"/>
        <v>91.405922000000004</v>
      </c>
      <c r="K32" s="29">
        <f t="shared" si="31"/>
        <v>84.578514999999996</v>
      </c>
      <c r="L32" s="29">
        <f t="shared" si="31"/>
        <v>82.485361999999995</v>
      </c>
      <c r="M32" s="29">
        <f t="shared" si="31"/>
        <v>79.526960000000003</v>
      </c>
      <c r="N32" s="29">
        <f t="shared" si="31"/>
        <v>75.089703999999998</v>
      </c>
      <c r="O32" s="29">
        <f t="shared" si="31"/>
        <v>75.194733999999997</v>
      </c>
      <c r="P32" s="29">
        <f t="shared" si="31"/>
        <v>73.070278000000002</v>
      </c>
      <c r="Q32" s="29">
        <f t="shared" si="31"/>
        <v>73.543820999999994</v>
      </c>
      <c r="R32" s="29">
        <f t="shared" si="31"/>
        <v>74.928910999999999</v>
      </c>
      <c r="S32" s="29">
        <f t="shared" si="31"/>
        <v>78.023106999999996</v>
      </c>
      <c r="T32" s="29">
        <f t="shared" si="31"/>
        <v>103.250485</v>
      </c>
      <c r="U32" s="29">
        <f t="shared" si="31"/>
        <v>99.952809999999999</v>
      </c>
      <c r="V32" s="29">
        <f t="shared" si="31"/>
        <v>95.676960000000008</v>
      </c>
      <c r="W32" s="29">
        <f t="shared" ref="W32" si="32">SUM(W33:W34)</f>
        <v>96.419700000000006</v>
      </c>
      <c r="DA32" s="173" t="s">
        <v>1050</v>
      </c>
    </row>
    <row r="33" spans="1:105" ht="11.45" customHeight="1" x14ac:dyDescent="0.25">
      <c r="A33" s="83" t="s">
        <v>92</v>
      </c>
      <c r="B33" s="87">
        <v>27.990777000000001</v>
      </c>
      <c r="C33" s="87">
        <v>25.191700000000001</v>
      </c>
      <c r="D33" s="87">
        <v>22.392623</v>
      </c>
      <c r="E33" s="87">
        <v>19.593546</v>
      </c>
      <c r="F33" s="87">
        <v>17.416744000000001</v>
      </c>
      <c r="G33" s="87">
        <v>18.840211</v>
      </c>
      <c r="H33" s="87">
        <v>21.410242</v>
      </c>
      <c r="I33" s="87">
        <v>23.434245000000001</v>
      </c>
      <c r="J33" s="87">
        <v>20.635168</v>
      </c>
      <c r="K33" s="87">
        <v>17.836091</v>
      </c>
      <c r="L33" s="87">
        <v>15.037013999999999</v>
      </c>
      <c r="M33" s="87">
        <v>12.237936999999999</v>
      </c>
      <c r="N33" s="87">
        <v>11.829010999999999</v>
      </c>
      <c r="O33" s="87">
        <v>9.5507299999999997</v>
      </c>
      <c r="P33" s="87">
        <v>8.0814069999999987</v>
      </c>
      <c r="Q33" s="87">
        <v>7.8463859999999999</v>
      </c>
      <c r="R33" s="87">
        <v>8.4834990000000001</v>
      </c>
      <c r="S33" s="87">
        <v>9.7027359999999998</v>
      </c>
      <c r="T33" s="87">
        <v>12.929979999999999</v>
      </c>
      <c r="U33" s="87">
        <v>13.660634999999999</v>
      </c>
      <c r="V33" s="87">
        <v>13.413114999999999</v>
      </c>
      <c r="W33" s="87">
        <v>14.1158</v>
      </c>
      <c r="DA33" s="171" t="s">
        <v>1051</v>
      </c>
    </row>
    <row r="34" spans="1:105" ht="11.45" customHeight="1" x14ac:dyDescent="0.25">
      <c r="A34" s="85" t="s">
        <v>93</v>
      </c>
      <c r="B34" s="88">
        <v>40.283308999999996</v>
      </c>
      <c r="C34" s="88">
        <v>39.950333999999998</v>
      </c>
      <c r="D34" s="88">
        <v>46.555236999999998</v>
      </c>
      <c r="E34" s="88">
        <v>48.662366999999996</v>
      </c>
      <c r="F34" s="88">
        <v>59.614266000000001</v>
      </c>
      <c r="G34" s="88">
        <v>65.444734999999994</v>
      </c>
      <c r="H34" s="88">
        <v>66.851753000000002</v>
      </c>
      <c r="I34" s="88">
        <v>68.480435</v>
      </c>
      <c r="J34" s="88">
        <v>70.770753999999997</v>
      </c>
      <c r="K34" s="88">
        <v>66.742424</v>
      </c>
      <c r="L34" s="88">
        <v>67.448347999999996</v>
      </c>
      <c r="M34" s="88">
        <v>67.289023</v>
      </c>
      <c r="N34" s="88">
        <v>63.260692999999996</v>
      </c>
      <c r="O34" s="88">
        <v>65.644003999999995</v>
      </c>
      <c r="P34" s="88">
        <v>64.988871000000003</v>
      </c>
      <c r="Q34" s="88">
        <v>65.697434999999999</v>
      </c>
      <c r="R34" s="88">
        <v>66.445412000000005</v>
      </c>
      <c r="S34" s="88">
        <v>68.320370999999994</v>
      </c>
      <c r="T34" s="88">
        <v>90.320504999999997</v>
      </c>
      <c r="U34" s="88">
        <v>86.292175</v>
      </c>
      <c r="V34" s="88">
        <v>82.263845000000003</v>
      </c>
      <c r="W34" s="88">
        <v>82.303899999999999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33.651367999999948</v>
      </c>
      <c r="D36" s="54">
        <f t="shared" ref="D36:V36" si="34">D37+D43</f>
        <v>17.920061000000004</v>
      </c>
      <c r="E36" s="54">
        <f t="shared" si="34"/>
        <v>39.087003999999951</v>
      </c>
      <c r="F36" s="54">
        <f t="shared" si="34"/>
        <v>70.207287000000008</v>
      </c>
      <c r="G36" s="54">
        <f t="shared" si="34"/>
        <v>19.37508099999998</v>
      </c>
      <c r="H36" s="54">
        <f t="shared" si="34"/>
        <v>62.811601999999979</v>
      </c>
      <c r="I36" s="54">
        <f t="shared" si="34"/>
        <v>30.725942999999948</v>
      </c>
      <c r="J36" s="54">
        <f t="shared" si="34"/>
        <v>54.750166000000064</v>
      </c>
      <c r="K36" s="54">
        <f t="shared" si="34"/>
        <v>9.6713930000000516</v>
      </c>
      <c r="L36" s="54">
        <f t="shared" si="34"/>
        <v>28.475332999999914</v>
      </c>
      <c r="M36" s="54">
        <f t="shared" si="34"/>
        <v>10.634874000000011</v>
      </c>
      <c r="N36" s="54">
        <f t="shared" si="34"/>
        <v>20.382712999999974</v>
      </c>
      <c r="O36" s="54">
        <f t="shared" si="34"/>
        <v>50.688989999999968</v>
      </c>
      <c r="P36" s="54">
        <f t="shared" si="34"/>
        <v>3.1441349999999879</v>
      </c>
      <c r="Q36" s="54">
        <f t="shared" si="34"/>
        <v>30.231339999999967</v>
      </c>
      <c r="R36" s="54">
        <f t="shared" si="34"/>
        <v>38.856955000000035</v>
      </c>
      <c r="S36" s="54">
        <f t="shared" si="34"/>
        <v>55.929125999999897</v>
      </c>
      <c r="T36" s="54">
        <f t="shared" si="34"/>
        <v>34.798563000000009</v>
      </c>
      <c r="U36" s="54">
        <f t="shared" si="34"/>
        <v>44.505718999999964</v>
      </c>
      <c r="V36" s="54">
        <f t="shared" si="34"/>
        <v>0.76014800000000093</v>
      </c>
      <c r="W36" s="54">
        <f t="shared" ref="W36" si="35">W37+W43</f>
        <v>31.65987599999999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32.652664999999949</v>
      </c>
      <c r="D37" s="28">
        <f t="shared" ref="D37:V37" si="37">SUM(D38,D39,D42)</f>
        <v>9.9834800000000072</v>
      </c>
      <c r="E37" s="28">
        <f t="shared" si="37"/>
        <v>35.648195999999956</v>
      </c>
      <c r="F37" s="28">
        <f t="shared" si="37"/>
        <v>57.92371</v>
      </c>
      <c r="G37" s="28">
        <f t="shared" si="37"/>
        <v>9.7817989999999924</v>
      </c>
      <c r="H37" s="28">
        <f t="shared" si="37"/>
        <v>56.495206999999972</v>
      </c>
      <c r="I37" s="28">
        <f t="shared" si="37"/>
        <v>24.733911999999954</v>
      </c>
      <c r="J37" s="28">
        <f t="shared" si="37"/>
        <v>51.128169000000071</v>
      </c>
      <c r="K37" s="28">
        <f t="shared" si="37"/>
        <v>9.6713930000000516</v>
      </c>
      <c r="L37" s="28">
        <f t="shared" si="37"/>
        <v>26.437730999999921</v>
      </c>
      <c r="M37" s="28">
        <f t="shared" si="37"/>
        <v>9.4625210000000095</v>
      </c>
      <c r="N37" s="28">
        <f t="shared" si="37"/>
        <v>19.783970999999973</v>
      </c>
      <c r="O37" s="28">
        <f t="shared" si="37"/>
        <v>46.974000999999973</v>
      </c>
      <c r="P37" s="28">
        <f t="shared" si="37"/>
        <v>2.4675899999999835</v>
      </c>
      <c r="Q37" s="28">
        <f t="shared" si="37"/>
        <v>27.418450999999973</v>
      </c>
      <c r="R37" s="28">
        <f t="shared" si="37"/>
        <v>35.13251900000003</v>
      </c>
      <c r="S37" s="28">
        <f t="shared" si="37"/>
        <v>50.495583999999909</v>
      </c>
      <c r="T37" s="28">
        <f t="shared" si="37"/>
        <v>7.2318390000000079</v>
      </c>
      <c r="U37" s="28">
        <f t="shared" si="37"/>
        <v>42.767395999999962</v>
      </c>
      <c r="V37" s="28">
        <f t="shared" si="37"/>
        <v>0</v>
      </c>
      <c r="W37" s="28">
        <f t="shared" ref="W37" si="38">SUM(W38,W39,W42)</f>
        <v>28.577789999999997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3.0121929999999963</v>
      </c>
      <c r="D38" s="108">
        <v>4.8507699999999971</v>
      </c>
      <c r="E38" s="108">
        <v>4.9846530000000087</v>
      </c>
      <c r="F38" s="108">
        <v>2.1580670000000026</v>
      </c>
      <c r="G38" s="108">
        <v>8.101231999999996</v>
      </c>
      <c r="H38" s="108">
        <v>4.8888660000000073</v>
      </c>
      <c r="I38" s="108">
        <v>7.514095999999995</v>
      </c>
      <c r="J38" s="108">
        <v>5.975521999999998</v>
      </c>
      <c r="K38" s="108">
        <v>3.7671190000000081</v>
      </c>
      <c r="L38" s="108">
        <v>12.054124999999971</v>
      </c>
      <c r="M38" s="108">
        <v>9.4625210000000095</v>
      </c>
      <c r="N38" s="108">
        <v>13.965528999999975</v>
      </c>
      <c r="O38" s="108">
        <v>6.1467539999999872</v>
      </c>
      <c r="P38" s="108">
        <v>2.2348429999999837</v>
      </c>
      <c r="Q38" s="108">
        <v>4.1538819999999816</v>
      </c>
      <c r="R38" s="108">
        <v>5.2526659999999765</v>
      </c>
      <c r="S38" s="108">
        <v>18.84467699999999</v>
      </c>
      <c r="T38" s="108">
        <v>7.2318390000000079</v>
      </c>
      <c r="U38" s="108">
        <v>9.4877259999999808</v>
      </c>
      <c r="V38" s="108">
        <v>0</v>
      </c>
      <c r="W38" s="108">
        <v>0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29.261280999999954</v>
      </c>
      <c r="D39" s="110">
        <f t="shared" ref="D39:V39" si="40">SUM(D40:D41)</f>
        <v>4.7842220000000104</v>
      </c>
      <c r="E39" s="110">
        <f t="shared" si="40"/>
        <v>30.663542999999947</v>
      </c>
      <c r="F39" s="110">
        <f t="shared" si="40"/>
        <v>55.094764999999995</v>
      </c>
      <c r="G39" s="110">
        <f t="shared" si="40"/>
        <v>1.1632089999999948</v>
      </c>
      <c r="H39" s="110">
        <f t="shared" si="40"/>
        <v>51.606340999999965</v>
      </c>
      <c r="I39" s="110">
        <f t="shared" si="40"/>
        <v>16.587068999999957</v>
      </c>
      <c r="J39" s="110">
        <f t="shared" si="40"/>
        <v>44.315456000000076</v>
      </c>
      <c r="K39" s="110">
        <f t="shared" si="40"/>
        <v>5.9042740000000435</v>
      </c>
      <c r="L39" s="110">
        <f t="shared" si="40"/>
        <v>14.066414999999949</v>
      </c>
      <c r="M39" s="110">
        <f t="shared" si="40"/>
        <v>0</v>
      </c>
      <c r="N39" s="110">
        <f t="shared" si="40"/>
        <v>5.8184419999999974</v>
      </c>
      <c r="O39" s="110">
        <f t="shared" si="40"/>
        <v>40.632277999999985</v>
      </c>
      <c r="P39" s="110">
        <f t="shared" si="40"/>
        <v>0</v>
      </c>
      <c r="Q39" s="110">
        <f t="shared" si="40"/>
        <v>20.93404499999999</v>
      </c>
      <c r="R39" s="110">
        <f t="shared" si="40"/>
        <v>27.475995000000054</v>
      </c>
      <c r="S39" s="110">
        <f t="shared" si="40"/>
        <v>30.984826999999918</v>
      </c>
      <c r="T39" s="110">
        <f t="shared" si="40"/>
        <v>0</v>
      </c>
      <c r="U39" s="110">
        <f t="shared" si="40"/>
        <v>32.62811499999998</v>
      </c>
      <c r="V39" s="110">
        <f t="shared" si="40"/>
        <v>0</v>
      </c>
      <c r="W39" s="110">
        <f t="shared" ref="W39" si="41">SUM(W40:W41)</f>
        <v>27.755111999999997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0.3515909999999991</v>
      </c>
      <c r="D40" s="84">
        <v>3.0653639999999989</v>
      </c>
      <c r="E40" s="84">
        <v>3.4553789999999935</v>
      </c>
      <c r="F40" s="84">
        <v>0</v>
      </c>
      <c r="G40" s="84">
        <v>1.1632089999999948</v>
      </c>
      <c r="H40" s="84">
        <v>11.017665000000001</v>
      </c>
      <c r="I40" s="84">
        <v>3.0931569999999908</v>
      </c>
      <c r="J40" s="84">
        <v>2.1627259999999993</v>
      </c>
      <c r="K40" s="84">
        <v>0</v>
      </c>
      <c r="L40" s="84">
        <v>0</v>
      </c>
      <c r="M40" s="84">
        <v>0</v>
      </c>
      <c r="N40" s="84">
        <v>5.8184419999999974</v>
      </c>
      <c r="O40" s="84">
        <v>0</v>
      </c>
      <c r="P40" s="84">
        <v>0</v>
      </c>
      <c r="Q40" s="84">
        <v>2.5701659999999933</v>
      </c>
      <c r="R40" s="84">
        <v>3.9341629999999981</v>
      </c>
      <c r="S40" s="84">
        <v>5.9134000000000029</v>
      </c>
      <c r="T40" s="84">
        <v>0</v>
      </c>
      <c r="U40" s="84">
        <v>0</v>
      </c>
      <c r="V40" s="84">
        <v>0</v>
      </c>
      <c r="W40" s="84">
        <v>0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28.909689999999955</v>
      </c>
      <c r="D41" s="84">
        <v>1.7188580000000115</v>
      </c>
      <c r="E41" s="84">
        <v>27.208163999999954</v>
      </c>
      <c r="F41" s="84">
        <v>55.094764999999995</v>
      </c>
      <c r="G41" s="84">
        <v>0</v>
      </c>
      <c r="H41" s="84">
        <v>40.588675999999964</v>
      </c>
      <c r="I41" s="84">
        <v>13.493911999999966</v>
      </c>
      <c r="J41" s="84">
        <v>42.152730000000076</v>
      </c>
      <c r="K41" s="84">
        <v>5.9042740000000435</v>
      </c>
      <c r="L41" s="84">
        <v>14.066414999999949</v>
      </c>
      <c r="M41" s="84">
        <v>0</v>
      </c>
      <c r="N41" s="84">
        <v>0</v>
      </c>
      <c r="O41" s="84">
        <v>40.632277999999985</v>
      </c>
      <c r="P41" s="84">
        <v>0</v>
      </c>
      <c r="Q41" s="84">
        <v>18.363878999999997</v>
      </c>
      <c r="R41" s="84">
        <v>23.541832000000056</v>
      </c>
      <c r="S41" s="84">
        <v>25.071426999999915</v>
      </c>
      <c r="T41" s="84">
        <v>0</v>
      </c>
      <c r="U41" s="84">
        <v>32.62811499999998</v>
      </c>
      <c r="V41" s="84">
        <v>0</v>
      </c>
      <c r="W41" s="84">
        <v>27.755111999999997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0.3791910000000005</v>
      </c>
      <c r="D42" s="113">
        <v>0.34848800000000058</v>
      </c>
      <c r="E42" s="113">
        <v>0</v>
      </c>
      <c r="F42" s="113">
        <v>0.67087800000000009</v>
      </c>
      <c r="G42" s="113">
        <v>0.51735800000000065</v>
      </c>
      <c r="H42" s="113">
        <v>0</v>
      </c>
      <c r="I42" s="113">
        <v>0.63274700000000017</v>
      </c>
      <c r="J42" s="113">
        <v>0.8371909999999998</v>
      </c>
      <c r="K42" s="113">
        <v>0</v>
      </c>
      <c r="L42" s="113">
        <v>0.31719099999999933</v>
      </c>
      <c r="M42" s="113">
        <v>0</v>
      </c>
      <c r="N42" s="113">
        <v>0</v>
      </c>
      <c r="O42" s="113">
        <v>0.19496900000000039</v>
      </c>
      <c r="P42" s="113">
        <v>0.23274699999999982</v>
      </c>
      <c r="Q42" s="113">
        <v>2.3305240000000005</v>
      </c>
      <c r="R42" s="113">
        <v>2.4038579999999996</v>
      </c>
      <c r="S42" s="113">
        <v>0.66608000000000089</v>
      </c>
      <c r="T42" s="113">
        <v>0</v>
      </c>
      <c r="U42" s="113">
        <v>0.65155500000000011</v>
      </c>
      <c r="V42" s="113">
        <v>0</v>
      </c>
      <c r="W42" s="113">
        <v>0.8226779999999998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0.99870299999999901</v>
      </c>
      <c r="D43" s="28">
        <f t="shared" ref="D43:V43" si="43">SUM(D44:D45)</f>
        <v>7.9365809999999968</v>
      </c>
      <c r="E43" s="28">
        <f t="shared" si="43"/>
        <v>3.4388079999999945</v>
      </c>
      <c r="F43" s="28">
        <f t="shared" si="43"/>
        <v>12.283577000000001</v>
      </c>
      <c r="G43" s="28">
        <f t="shared" si="43"/>
        <v>9.5932819999999879</v>
      </c>
      <c r="H43" s="28">
        <f t="shared" si="43"/>
        <v>6.3163950000000035</v>
      </c>
      <c r="I43" s="28">
        <f t="shared" si="43"/>
        <v>5.9920309999999937</v>
      </c>
      <c r="J43" s="28">
        <f t="shared" si="43"/>
        <v>3.6219969999999932</v>
      </c>
      <c r="K43" s="28">
        <f t="shared" si="43"/>
        <v>0</v>
      </c>
      <c r="L43" s="28">
        <f t="shared" si="43"/>
        <v>2.0376019999999926</v>
      </c>
      <c r="M43" s="28">
        <f t="shared" si="43"/>
        <v>1.1723530000000011</v>
      </c>
      <c r="N43" s="28">
        <f t="shared" si="43"/>
        <v>0.59874200000000144</v>
      </c>
      <c r="O43" s="28">
        <f t="shared" si="43"/>
        <v>3.7149889999999957</v>
      </c>
      <c r="P43" s="28">
        <f t="shared" si="43"/>
        <v>0.67654500000000439</v>
      </c>
      <c r="Q43" s="28">
        <f t="shared" si="43"/>
        <v>2.8128889999999931</v>
      </c>
      <c r="R43" s="28">
        <f t="shared" si="43"/>
        <v>3.7244360000000034</v>
      </c>
      <c r="S43" s="28">
        <f t="shared" si="43"/>
        <v>5.4335419999999868</v>
      </c>
      <c r="T43" s="28">
        <f t="shared" si="43"/>
        <v>27.566724000000001</v>
      </c>
      <c r="U43" s="28">
        <f t="shared" si="43"/>
        <v>1.7383230000000012</v>
      </c>
      <c r="V43" s="28">
        <f t="shared" si="43"/>
        <v>0.76014800000000093</v>
      </c>
      <c r="W43" s="28">
        <f t="shared" ref="W43" si="44">SUM(W44:W45)</f>
        <v>3.0820859999999932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0</v>
      </c>
      <c r="E44" s="84">
        <v>0</v>
      </c>
      <c r="F44" s="84">
        <v>0</v>
      </c>
      <c r="G44" s="84">
        <v>2.4311349999999976</v>
      </c>
      <c r="H44" s="84">
        <v>3.5776989999999991</v>
      </c>
      <c r="I44" s="84">
        <v>3.0316709999999993</v>
      </c>
      <c r="J44" s="84">
        <v>0</v>
      </c>
      <c r="K44" s="84">
        <v>0</v>
      </c>
      <c r="L44" s="84">
        <v>0</v>
      </c>
      <c r="M44" s="84">
        <v>0</v>
      </c>
      <c r="N44" s="84">
        <v>0.59874200000000144</v>
      </c>
      <c r="O44" s="84">
        <v>0</v>
      </c>
      <c r="P44" s="84">
        <v>0</v>
      </c>
      <c r="Q44" s="84">
        <v>0.77264700000000097</v>
      </c>
      <c r="R44" s="84">
        <v>1.6447810000000009</v>
      </c>
      <c r="S44" s="84">
        <v>2.2269050000000004</v>
      </c>
      <c r="T44" s="84">
        <v>4.2349119999999996</v>
      </c>
      <c r="U44" s="84">
        <v>1.7383230000000012</v>
      </c>
      <c r="V44" s="84">
        <v>0.76014800000000093</v>
      </c>
      <c r="W44" s="84">
        <v>1.7103530000000013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0.99870299999999901</v>
      </c>
      <c r="D45" s="86">
        <v>7.9365809999999968</v>
      </c>
      <c r="E45" s="86">
        <v>3.4388079999999945</v>
      </c>
      <c r="F45" s="86">
        <v>12.283577000000001</v>
      </c>
      <c r="G45" s="86">
        <v>7.1621469999999903</v>
      </c>
      <c r="H45" s="86">
        <v>2.7386960000000045</v>
      </c>
      <c r="I45" s="86">
        <v>2.9603599999999943</v>
      </c>
      <c r="J45" s="86">
        <v>3.6219969999999932</v>
      </c>
      <c r="K45" s="86">
        <v>0</v>
      </c>
      <c r="L45" s="86">
        <v>2.0376019999999926</v>
      </c>
      <c r="M45" s="86">
        <v>1.1723530000000011</v>
      </c>
      <c r="N45" s="86">
        <v>0</v>
      </c>
      <c r="O45" s="86">
        <v>3.7149889999999957</v>
      </c>
      <c r="P45" s="86">
        <v>0.67654500000000439</v>
      </c>
      <c r="Q45" s="86">
        <v>2.0402419999999921</v>
      </c>
      <c r="R45" s="86">
        <v>2.0796550000000025</v>
      </c>
      <c r="S45" s="86">
        <v>3.2066369999999864</v>
      </c>
      <c r="T45" s="86">
        <v>23.331811999999999</v>
      </c>
      <c r="U45" s="86">
        <v>0</v>
      </c>
      <c r="V45" s="86">
        <v>0</v>
      </c>
      <c r="W45" s="86">
        <v>1.3717329999999919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108.58362840480278</v>
      </c>
      <c r="C50" s="29">
        <f t="shared" si="45"/>
        <v>109.08427188404231</v>
      </c>
      <c r="D50" s="29">
        <f t="shared" si="45"/>
        <v>113.36649155471753</v>
      </c>
      <c r="E50" s="29">
        <f t="shared" si="45"/>
        <v>109.85627881333235</v>
      </c>
      <c r="F50" s="29">
        <f t="shared" si="45"/>
        <v>112.94740861671272</v>
      </c>
      <c r="G50" s="29">
        <f t="shared" si="45"/>
        <v>106.56726768914142</v>
      </c>
      <c r="H50" s="29">
        <f t="shared" si="45"/>
        <v>105.11470554039535</v>
      </c>
      <c r="I50" s="29">
        <f t="shared" si="45"/>
        <v>101.08029777535543</v>
      </c>
      <c r="J50" s="29">
        <f t="shared" si="45"/>
        <v>100.05605673417872</v>
      </c>
      <c r="K50" s="29">
        <f t="shared" ref="K50:V50" si="46">IF(K4=0,0,K4/K15)</f>
        <v>102.33048228172221</v>
      </c>
      <c r="L50" s="29">
        <f t="shared" si="46"/>
        <v>104.53870075835891</v>
      </c>
      <c r="M50" s="29">
        <f t="shared" si="46"/>
        <v>113.0548767477559</v>
      </c>
      <c r="N50" s="29">
        <f t="shared" si="46"/>
        <v>114.66084064170907</v>
      </c>
      <c r="O50" s="29">
        <f t="shared" si="46"/>
        <v>110.88515612675708</v>
      </c>
      <c r="P50" s="29">
        <f t="shared" si="46"/>
        <v>115.33679765859013</v>
      </c>
      <c r="Q50" s="29">
        <f t="shared" si="46"/>
        <v>111.22859368437513</v>
      </c>
      <c r="R50" s="29">
        <f t="shared" si="46"/>
        <v>107.02720028531166</v>
      </c>
      <c r="S50" s="29">
        <f t="shared" si="46"/>
        <v>106.68119470721641</v>
      </c>
      <c r="T50" s="29">
        <f t="shared" si="46"/>
        <v>116.61842605615917</v>
      </c>
      <c r="U50" s="29">
        <f t="shared" si="46"/>
        <v>116.13457630697803</v>
      </c>
      <c r="V50" s="29">
        <f t="shared" si="46"/>
        <v>89.511758026614515</v>
      </c>
      <c r="W50" s="29">
        <f t="shared" ref="W50" si="47">IF(W4=0,0,W4/W15)</f>
        <v>82.552806369774629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72.118739270904157</v>
      </c>
      <c r="C51" s="115">
        <f t="shared" si="48"/>
        <v>73.03074342948193</v>
      </c>
      <c r="D51" s="115">
        <f t="shared" si="48"/>
        <v>73.379660636529167</v>
      </c>
      <c r="E51" s="115">
        <f t="shared" si="48"/>
        <v>73.30672628870586</v>
      </c>
      <c r="F51" s="115">
        <f t="shared" si="48"/>
        <v>75.115123853889884</v>
      </c>
      <c r="G51" s="115">
        <f t="shared" si="48"/>
        <v>73.774151524136656</v>
      </c>
      <c r="H51" s="115">
        <f t="shared" si="48"/>
        <v>74.544972179039021</v>
      </c>
      <c r="I51" s="115">
        <f t="shared" si="48"/>
        <v>73.648303600481896</v>
      </c>
      <c r="J51" s="115">
        <f t="shared" si="48"/>
        <v>74.470257988189914</v>
      </c>
      <c r="K51" s="115">
        <f t="shared" ref="K51:V51" si="49">IF(K5=0,0,K5/K16)</f>
        <v>74.389645140174053</v>
      </c>
      <c r="L51" s="115">
        <f t="shared" si="49"/>
        <v>74.466624464068929</v>
      </c>
      <c r="M51" s="115">
        <f t="shared" si="49"/>
        <v>75.472871839670319</v>
      </c>
      <c r="N51" s="115">
        <f t="shared" si="49"/>
        <v>75.469614125341153</v>
      </c>
      <c r="O51" s="115">
        <f t="shared" si="49"/>
        <v>75.476205222455008</v>
      </c>
      <c r="P51" s="115">
        <f t="shared" si="49"/>
        <v>75.477803357118148</v>
      </c>
      <c r="Q51" s="115">
        <f t="shared" si="49"/>
        <v>76.095360305602867</v>
      </c>
      <c r="R51" s="115">
        <f t="shared" si="49"/>
        <v>76.793809394427484</v>
      </c>
      <c r="S51" s="115">
        <f t="shared" si="49"/>
        <v>76.825529962511979</v>
      </c>
      <c r="T51" s="115">
        <f t="shared" si="49"/>
        <v>76.713594066750218</v>
      </c>
      <c r="U51" s="115">
        <f t="shared" si="49"/>
        <v>76.607588210944314</v>
      </c>
      <c r="V51" s="115">
        <f t="shared" si="49"/>
        <v>75.694597416877812</v>
      </c>
      <c r="W51" s="115">
        <f t="shared" ref="W51" si="50">IF(W5=0,0,W5/W16)</f>
        <v>75.694597416877812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107.01516533563429</v>
      </c>
      <c r="C52" s="116">
        <f t="shared" si="51"/>
        <v>107.26032158230178</v>
      </c>
      <c r="D52" s="116">
        <f t="shared" si="51"/>
        <v>112.32652869776629</v>
      </c>
      <c r="E52" s="116">
        <f t="shared" si="51"/>
        <v>108.44538572584923</v>
      </c>
      <c r="F52" s="116">
        <f t="shared" si="51"/>
        <v>111.40189946825771</v>
      </c>
      <c r="G52" s="116">
        <f t="shared" si="51"/>
        <v>103.71359458583554</v>
      </c>
      <c r="H52" s="116">
        <f t="shared" si="51"/>
        <v>101.58159543687621</v>
      </c>
      <c r="I52" s="116">
        <f t="shared" si="51"/>
        <v>97.076357168485032</v>
      </c>
      <c r="J52" s="116">
        <f t="shared" si="51"/>
        <v>95.641571159312704</v>
      </c>
      <c r="K52" s="116">
        <f t="shared" ref="K52:V52" si="52">IF(K6=0,0,K6/K17)</f>
        <v>98.316049032554233</v>
      </c>
      <c r="L52" s="116">
        <f t="shared" si="52"/>
        <v>101.35282339956349</v>
      </c>
      <c r="M52" s="116">
        <f t="shared" si="52"/>
        <v>113.03306856639247</v>
      </c>
      <c r="N52" s="116">
        <f t="shared" si="52"/>
        <v>115.58254436590421</v>
      </c>
      <c r="O52" s="116">
        <f t="shared" si="52"/>
        <v>110.99857723696405</v>
      </c>
      <c r="P52" s="116">
        <f t="shared" si="52"/>
        <v>116.4540852003251</v>
      </c>
      <c r="Q52" s="116">
        <f t="shared" si="52"/>
        <v>108.93236766327014</v>
      </c>
      <c r="R52" s="116">
        <f t="shared" si="52"/>
        <v>101.3304095552548</v>
      </c>
      <c r="S52" s="116">
        <f t="shared" si="52"/>
        <v>101.1739986776695</v>
      </c>
      <c r="T52" s="116">
        <f t="shared" si="52"/>
        <v>113.67167853200283</v>
      </c>
      <c r="U52" s="116">
        <f t="shared" si="52"/>
        <v>113.78245148564264</v>
      </c>
      <c r="V52" s="116">
        <f t="shared" si="52"/>
        <v>84.546551960423258</v>
      </c>
      <c r="W52" s="116">
        <f t="shared" ref="W52" si="53">IF(W6=0,0,W6/W17)</f>
        <v>77.266596974971222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110.86057861111026</v>
      </c>
      <c r="C53" s="87">
        <f t="shared" si="54"/>
        <v>114.3896870716915</v>
      </c>
      <c r="D53" s="87">
        <f t="shared" si="54"/>
        <v>104.0513646149315</v>
      </c>
      <c r="E53" s="87">
        <f t="shared" si="54"/>
        <v>102.98701942955559</v>
      </c>
      <c r="F53" s="87">
        <f t="shared" si="54"/>
        <v>100.17939747431147</v>
      </c>
      <c r="G53" s="87">
        <f t="shared" si="54"/>
        <v>90.562895705902477</v>
      </c>
      <c r="H53" s="87">
        <f t="shared" si="54"/>
        <v>73.407718820374072</v>
      </c>
      <c r="I53" s="87">
        <f t="shared" si="54"/>
        <v>68.607662091578405</v>
      </c>
      <c r="J53" s="87">
        <f t="shared" si="54"/>
        <v>74.886873035126072</v>
      </c>
      <c r="K53" s="87">
        <f t="shared" ref="K53:V53" si="55">IF(K7=0,0,K7/K18)</f>
        <v>74.820564015936569</v>
      </c>
      <c r="L53" s="87">
        <f t="shared" si="55"/>
        <v>76.490912183472489</v>
      </c>
      <c r="M53" s="87">
        <f t="shared" si="55"/>
        <v>85.210741546041476</v>
      </c>
      <c r="N53" s="87">
        <f t="shared" si="55"/>
        <v>89.150764297046749</v>
      </c>
      <c r="O53" s="87">
        <f t="shared" si="55"/>
        <v>89.611976157378123</v>
      </c>
      <c r="P53" s="87">
        <f t="shared" si="55"/>
        <v>94.246694066047425</v>
      </c>
      <c r="Q53" s="87">
        <f t="shared" si="55"/>
        <v>63.947540028743532</v>
      </c>
      <c r="R53" s="87">
        <f t="shared" si="55"/>
        <v>58.832155900529678</v>
      </c>
      <c r="S53" s="87">
        <f t="shared" si="55"/>
        <v>58.361385859280553</v>
      </c>
      <c r="T53" s="87">
        <f t="shared" si="55"/>
        <v>69.44681141593442</v>
      </c>
      <c r="U53" s="87">
        <f t="shared" si="55"/>
        <v>74.353705512603668</v>
      </c>
      <c r="V53" s="87">
        <f t="shared" si="55"/>
        <v>68.7870492818287</v>
      </c>
      <c r="W53" s="87">
        <f t="shared" ref="W53" si="56">IF(W7=0,0,W7/W18)</f>
        <v>62.185999263024321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106.72321008116619</v>
      </c>
      <c r="C54" s="87">
        <f t="shared" si="57"/>
        <v>106.75219495513736</v>
      </c>
      <c r="D54" s="87">
        <f t="shared" si="57"/>
        <v>112.97362285394264</v>
      </c>
      <c r="E54" s="87">
        <f t="shared" si="57"/>
        <v>108.88870721185553</v>
      </c>
      <c r="F54" s="87">
        <f t="shared" si="57"/>
        <v>112.19058411878844</v>
      </c>
      <c r="G54" s="87">
        <f t="shared" si="57"/>
        <v>104.66772269137549</v>
      </c>
      <c r="H54" s="87">
        <f t="shared" si="57"/>
        <v>104.09226948009663</v>
      </c>
      <c r="I54" s="87">
        <f t="shared" si="57"/>
        <v>99.729256289786335</v>
      </c>
      <c r="J54" s="87">
        <f t="shared" si="57"/>
        <v>97.508869682475265</v>
      </c>
      <c r="K54" s="87">
        <f t="shared" ref="K54:V54" si="58">IF(K8=0,0,K8/K19)</f>
        <v>100.35956601769685</v>
      </c>
      <c r="L54" s="87">
        <f t="shared" si="58"/>
        <v>103.23853088617562</v>
      </c>
      <c r="M54" s="87">
        <f t="shared" si="58"/>
        <v>115.20344840342867</v>
      </c>
      <c r="N54" s="87">
        <f t="shared" si="58"/>
        <v>117.98016297773539</v>
      </c>
      <c r="O54" s="87">
        <f t="shared" si="58"/>
        <v>112.42958644920084</v>
      </c>
      <c r="P54" s="87">
        <f t="shared" si="58"/>
        <v>117.67161364951876</v>
      </c>
      <c r="Q54" s="87">
        <f t="shared" si="58"/>
        <v>112.44862865109</v>
      </c>
      <c r="R54" s="87">
        <f t="shared" si="58"/>
        <v>104.82285918082559</v>
      </c>
      <c r="S54" s="87">
        <f t="shared" si="58"/>
        <v>105.00839270950148</v>
      </c>
      <c r="T54" s="87">
        <f t="shared" si="58"/>
        <v>117.00266749067499</v>
      </c>
      <c r="U54" s="87">
        <f t="shared" si="58"/>
        <v>116.54301746862565</v>
      </c>
      <c r="V54" s="87">
        <f t="shared" si="58"/>
        <v>85.437352614725654</v>
      </c>
      <c r="W54" s="87">
        <f t="shared" ref="W54" si="59">IF(W8=0,0,W8/W19)</f>
        <v>78.082713694241988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289.50471698113205</v>
      </c>
      <c r="C55" s="117">
        <f t="shared" si="60"/>
        <v>289.50471698113211</v>
      </c>
      <c r="D55" s="117">
        <f t="shared" si="60"/>
        <v>289.50471698113211</v>
      </c>
      <c r="E55" s="117">
        <f t="shared" si="60"/>
        <v>289.50471698113205</v>
      </c>
      <c r="F55" s="117">
        <f t="shared" si="60"/>
        <v>289.50471698113211</v>
      </c>
      <c r="G55" s="117">
        <f t="shared" si="60"/>
        <v>289.50471698113211</v>
      </c>
      <c r="H55" s="117">
        <f t="shared" si="60"/>
        <v>315.25851197982342</v>
      </c>
      <c r="I55" s="117">
        <f t="shared" si="60"/>
        <v>302.16681507865832</v>
      </c>
      <c r="J55" s="117">
        <f t="shared" si="60"/>
        <v>294.96992892290871</v>
      </c>
      <c r="K55" s="117">
        <f t="shared" ref="K55:V55" si="61">IF(K9=0,0,K9/K20)</f>
        <v>306.47024841132293</v>
      </c>
      <c r="L55" s="117">
        <f t="shared" si="61"/>
        <v>301.67756610747796</v>
      </c>
      <c r="M55" s="117">
        <f t="shared" si="61"/>
        <v>301.66666666666669</v>
      </c>
      <c r="N55" s="117">
        <f t="shared" si="61"/>
        <v>301.66666666666669</v>
      </c>
      <c r="O55" s="117">
        <f t="shared" si="61"/>
        <v>301.66666666666669</v>
      </c>
      <c r="P55" s="117">
        <f t="shared" si="61"/>
        <v>301.62412993039442</v>
      </c>
      <c r="Q55" s="117">
        <f t="shared" si="61"/>
        <v>301.65912518853696</v>
      </c>
      <c r="R55" s="117">
        <f t="shared" si="61"/>
        <v>301.68946098149638</v>
      </c>
      <c r="S55" s="117">
        <f t="shared" si="61"/>
        <v>301.69753086419752</v>
      </c>
      <c r="T55" s="117">
        <f t="shared" si="61"/>
        <v>308.56699848390508</v>
      </c>
      <c r="U55" s="117">
        <f t="shared" si="61"/>
        <v>296.54600192678237</v>
      </c>
      <c r="V55" s="117">
        <f t="shared" si="61"/>
        <v>200.91357218867549</v>
      </c>
      <c r="W55" s="117">
        <f t="shared" ref="W55" si="62">IF(W9=0,0,W9/W20)</f>
        <v>177.39897036386432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561.99947793231274</v>
      </c>
      <c r="C56" s="29">
        <f t="shared" si="63"/>
        <v>556.40120702384138</v>
      </c>
      <c r="D56" s="29">
        <f t="shared" si="63"/>
        <v>551.47197883655724</v>
      </c>
      <c r="E56" s="29">
        <f t="shared" si="63"/>
        <v>552.22932665402629</v>
      </c>
      <c r="F56" s="29">
        <f t="shared" si="63"/>
        <v>499.21454413874773</v>
      </c>
      <c r="G56" s="29">
        <f t="shared" si="63"/>
        <v>482.29253785745027</v>
      </c>
      <c r="H56" s="29">
        <f t="shared" si="63"/>
        <v>485.59972284326057</v>
      </c>
      <c r="I56" s="29">
        <f t="shared" si="63"/>
        <v>503.61923234145104</v>
      </c>
      <c r="J56" s="29">
        <f t="shared" si="63"/>
        <v>492.64027190874361</v>
      </c>
      <c r="K56" s="29">
        <f t="shared" ref="K56:V56" si="64">IF(K10=0,0,K10/K21)</f>
        <v>480.3560783983886</v>
      </c>
      <c r="L56" s="29">
        <f t="shared" si="64"/>
        <v>480.33070257744976</v>
      </c>
      <c r="M56" s="29">
        <f t="shared" si="64"/>
        <v>492.57938938668997</v>
      </c>
      <c r="N56" s="29">
        <f t="shared" si="64"/>
        <v>497.81003191754536</v>
      </c>
      <c r="O56" s="29">
        <f t="shared" si="64"/>
        <v>484.07645881034267</v>
      </c>
      <c r="P56" s="29">
        <f t="shared" si="64"/>
        <v>498.15057193787851</v>
      </c>
      <c r="Q56" s="29">
        <f t="shared" si="64"/>
        <v>494.9430157465211</v>
      </c>
      <c r="R56" s="29">
        <f t="shared" si="64"/>
        <v>485.7938063612612</v>
      </c>
      <c r="S56" s="29">
        <f t="shared" si="64"/>
        <v>493.44357054779272</v>
      </c>
      <c r="T56" s="29">
        <f t="shared" si="64"/>
        <v>363.19442321619647</v>
      </c>
      <c r="U56" s="29">
        <f t="shared" si="64"/>
        <v>384.48748626039935</v>
      </c>
      <c r="V56" s="29">
        <f t="shared" si="64"/>
        <v>375.71185515908405</v>
      </c>
      <c r="W56" s="29">
        <f t="shared" ref="W56" si="65">IF(W10=0,0,W10/W21)</f>
        <v>351.06843456824151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573.09416956414884</v>
      </c>
      <c r="C57" s="87">
        <f t="shared" si="66"/>
        <v>584.12530758831781</v>
      </c>
      <c r="D57" s="87">
        <f t="shared" si="66"/>
        <v>615.30399290417517</v>
      </c>
      <c r="E57" s="87">
        <f t="shared" si="66"/>
        <v>653.59112044181916</v>
      </c>
      <c r="F57" s="87">
        <f t="shared" si="66"/>
        <v>571.42884050535179</v>
      </c>
      <c r="G57" s="87">
        <f t="shared" si="66"/>
        <v>540.73291720369525</v>
      </c>
      <c r="H57" s="87">
        <f t="shared" si="66"/>
        <v>485.07987659194481</v>
      </c>
      <c r="I57" s="87">
        <f t="shared" si="66"/>
        <v>495.14409696670964</v>
      </c>
      <c r="J57" s="87">
        <f t="shared" si="66"/>
        <v>517.63275801716929</v>
      </c>
      <c r="K57" s="87">
        <f t="shared" ref="K57:V57" si="67">IF(K11=0,0,K11/K22)</f>
        <v>542.75894710323087</v>
      </c>
      <c r="L57" s="87">
        <f t="shared" si="67"/>
        <v>614.51220623429992</v>
      </c>
      <c r="M57" s="87">
        <f t="shared" si="67"/>
        <v>668.35929935283684</v>
      </c>
      <c r="N57" s="87">
        <f t="shared" si="67"/>
        <v>613.72116451346153</v>
      </c>
      <c r="O57" s="87">
        <f t="shared" si="67"/>
        <v>602.788906004213</v>
      </c>
      <c r="P57" s="87">
        <f t="shared" si="67"/>
        <v>596.52945373585931</v>
      </c>
      <c r="Q57" s="87">
        <f t="shared" si="67"/>
        <v>615.40979664014992</v>
      </c>
      <c r="R57" s="87">
        <f t="shared" si="67"/>
        <v>582.34521608643445</v>
      </c>
      <c r="S57" s="87">
        <f t="shared" si="67"/>
        <v>571.60828753420799</v>
      </c>
      <c r="T57" s="87">
        <f t="shared" si="67"/>
        <v>414.43163689537067</v>
      </c>
      <c r="U57" s="87">
        <f t="shared" si="67"/>
        <v>387.78774424014091</v>
      </c>
      <c r="V57" s="87">
        <f t="shared" si="67"/>
        <v>347.09374569934408</v>
      </c>
      <c r="W57" s="87">
        <f t="shared" ref="W57" si="68">IF(W11=0,0,W11/W22)</f>
        <v>328.52311786907671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554.29035357952546</v>
      </c>
      <c r="C58" s="88">
        <f t="shared" si="69"/>
        <v>539.96688094343676</v>
      </c>
      <c r="D58" s="88">
        <f t="shared" si="69"/>
        <v>524.59279308613918</v>
      </c>
      <c r="E58" s="88">
        <f t="shared" si="69"/>
        <v>516.04833607363014</v>
      </c>
      <c r="F58" s="88">
        <f t="shared" si="69"/>
        <v>478.11660987608218</v>
      </c>
      <c r="G58" s="88">
        <f t="shared" si="69"/>
        <v>465.4687385269404</v>
      </c>
      <c r="H58" s="88">
        <f t="shared" si="69"/>
        <v>485.76621113074708</v>
      </c>
      <c r="I58" s="88">
        <f t="shared" si="69"/>
        <v>506.51945328469446</v>
      </c>
      <c r="J58" s="88">
        <f t="shared" si="69"/>
        <v>485.63634709093498</v>
      </c>
      <c r="K58" s="88">
        <f t="shared" ref="K58:V58" si="70">IF(K12=0,0,K12/K23)</f>
        <v>467.56739356773363</v>
      </c>
      <c r="L58" s="88">
        <f t="shared" si="70"/>
        <v>459.69462140516151</v>
      </c>
      <c r="M58" s="88">
        <f t="shared" si="70"/>
        <v>467.01831453360012</v>
      </c>
      <c r="N58" s="88">
        <f t="shared" si="70"/>
        <v>475.4395644059336</v>
      </c>
      <c r="O58" s="88">
        <f t="shared" si="70"/>
        <v>466.80465401511645</v>
      </c>
      <c r="P58" s="88">
        <f t="shared" si="70"/>
        <v>485.91709714008897</v>
      </c>
      <c r="Q58" s="88">
        <f t="shared" si="70"/>
        <v>480.55540910143827</v>
      </c>
      <c r="R58" s="88">
        <f t="shared" si="70"/>
        <v>473.46648853967201</v>
      </c>
      <c r="S58" s="88">
        <f t="shared" si="70"/>
        <v>482.34275854734773</v>
      </c>
      <c r="T58" s="88">
        <f t="shared" si="70"/>
        <v>355.85947633685015</v>
      </c>
      <c r="U58" s="88">
        <f t="shared" si="70"/>
        <v>383.94149047604793</v>
      </c>
      <c r="V58" s="88">
        <f t="shared" si="70"/>
        <v>380.77922288468255</v>
      </c>
      <c r="W58" s="88">
        <f t="shared" ref="W58" si="71">IF(W12=0,0,W12/W23)</f>
        <v>354.93514276825948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339.0491034565398</v>
      </c>
      <c r="C61" s="29">
        <f t="shared" ref="C61" si="73">IF(C26=0,0,(C62*C27+C64*C29+C65*C30+C66*C31)/(C27+C29+C30+C31))</f>
        <v>338.49550637960419</v>
      </c>
      <c r="D61" s="29">
        <f t="shared" ref="D61" si="74">IF(D26=0,0,(D62*D27+D64*D29+D65*D30+D66*D31)/(D27+D29+D30+D31))</f>
        <v>338.96109601112556</v>
      </c>
      <c r="E61" s="29">
        <f t="shared" ref="E61" si="75">IF(E26=0,0,(E62*E27+E64*E29+E65*E30+E66*E31)/(E27+E29+E30+E31))</f>
        <v>338.42266715509237</v>
      </c>
      <c r="F61" s="29">
        <f t="shared" ref="F61" si="76">IF(F26=0,0,(F62*F27+F64*F29+F65*F30+F66*F31)/(F27+F29+F30+F31))</f>
        <v>337.19380328661026</v>
      </c>
      <c r="G61" s="29">
        <f t="shared" ref="G61" si="77">IF(G26=0,0,(G62*G27+G64*G29+G65*G30+G66*G31)/(G27+G29+G30+G31))</f>
        <v>338.11297917746845</v>
      </c>
      <c r="H61" s="29">
        <f t="shared" ref="H61" si="78">IF(H26=0,0,(H62*H27+H64*H29+H65*H30+H66*H31)/(H27+H29+H30+H31))</f>
        <v>336.97737412604715</v>
      </c>
      <c r="I61" s="29">
        <f t="shared" ref="I61" si="79">IF(I26=0,0,(I62*I27+I64*I29+I65*I30+I66*I31)/(I27+I29+I30+I31))</f>
        <v>337.40335241392813</v>
      </c>
      <c r="J61" s="29">
        <f t="shared" ref="J61" si="80">IF(J26=0,0,(J62*J27+J64*J29+J65*J30+J66*J31)/(J27+J29+J30+J31))</f>
        <v>337.02787072636153</v>
      </c>
      <c r="K61" s="29">
        <f t="shared" ref="K61" si="81">IF(K26=0,0,(K62*K27+K64*K29+K65*K30+K66*K31)/(K27+K29+K30+K31))</f>
        <v>337.09756849704399</v>
      </c>
      <c r="L61" s="29">
        <f t="shared" ref="L61" si="82">IF(L26=0,0,(L62*L27+L64*L29+L65*L30+L66*L31)/(L27+L29+L30+L31))</f>
        <v>337.92746224348139</v>
      </c>
      <c r="M61" s="29">
        <f t="shared" ref="M61" si="83">IF(M26=0,0,(M62*M27+M64*M29+M65*M30+M66*M31)/(M27+M29+M30+M31))</f>
        <v>338.75787763026131</v>
      </c>
      <c r="N61" s="29">
        <f t="shared" ref="N61" si="84">IF(N26=0,0,(N62*N27+N64*N29+N65*N30+N66*N31)/(N27+N29+N30+N31))</f>
        <v>339.83764427765755</v>
      </c>
      <c r="O61" s="29">
        <f t="shared" ref="O61" si="85">IF(O26=0,0,(O62*O27+O64*O29+O65*O30+O66*O31)/(O27+O29+O30+O31))</f>
        <v>339.32409436127477</v>
      </c>
      <c r="P61" s="29">
        <f t="shared" ref="P61" si="86">IF(P26=0,0,(P62*P27+P64*P29+P65*P30+P66*P31)/(P27+P29+P30+P31))</f>
        <v>339.74862400352794</v>
      </c>
      <c r="Q61" s="29">
        <f t="shared" ref="Q61" si="87">IF(Q26=0,0,(Q62*Q27+Q64*Q29+Q65*Q30+Q66*Q31)/(Q27+Q29+Q30+Q31))</f>
        <v>340.24289355979749</v>
      </c>
      <c r="R61" s="29">
        <f t="shared" ref="R61" si="88">IF(R26=0,0,(R62*R27+R64*R29+R65*R30+R66*R31)/(R27+R29+R30+R31))</f>
        <v>340.64545675810314</v>
      </c>
      <c r="S61" s="29">
        <f t="shared" ref="S61" si="89">IF(S26=0,0,(S62*S27+S64*S29+S65*S30+S66*S31)/(S27+S29+S30+S31))</f>
        <v>341.49455813078629</v>
      </c>
      <c r="T61" s="29">
        <f t="shared" ref="T61" si="90">IF(T26=0,0,(T62*T27+T64*T29+T65*T30+T66*T31)/(T27+T29+T30+T31))</f>
        <v>342.78899414714101</v>
      </c>
      <c r="U61" s="29">
        <f t="shared" ref="U61" si="91">IF(U26=0,0,(U62*U27+U64*U29+U65*U30+U66*U31)/(U27+U29+U30+U31))</f>
        <v>342.82889712842314</v>
      </c>
      <c r="V61" s="29">
        <f t="shared" ref="V61" si="92">IF(V26=0,0,(V62*V27+V64*V29+V65*V30+V66*V31)/(V27+V29+V30+V31))</f>
        <v>342.81192069909667</v>
      </c>
      <c r="W61" s="29">
        <f t="shared" ref="W61" si="93">IF(W26=0,0,(W62*W27+W64*W29+W65*W30+W66*W31)/(W27+W29+W30+W31))</f>
        <v>341.67957705194306</v>
      </c>
      <c r="DA61" s="173" t="s">
        <v>1072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320.00000000000006</v>
      </c>
      <c r="G63" s="116">
        <f t="shared" ref="G63" si="99">IF(G28=0,0,(G64*G29+G65*G30)/(G29+G30))</f>
        <v>320</v>
      </c>
      <c r="H63" s="116">
        <f t="shared" ref="H63" si="100">IF(H28=0,0,(H64*H29+H65*H30)/(H29+H30))</f>
        <v>319.99999999999994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320.00000000000006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320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" si="115">IF(W28=0,0,(W64*W29+W65*W30)/(W29+W30))</f>
        <v>320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560</v>
      </c>
      <c r="C66" s="117">
        <v>560</v>
      </c>
      <c r="D66" s="117">
        <v>560</v>
      </c>
      <c r="E66" s="117">
        <v>560</v>
      </c>
      <c r="F66" s="117">
        <v>560</v>
      </c>
      <c r="G66" s="117">
        <v>560</v>
      </c>
      <c r="H66" s="117">
        <v>560</v>
      </c>
      <c r="I66" s="117">
        <v>560</v>
      </c>
      <c r="J66" s="117">
        <v>560</v>
      </c>
      <c r="K66" s="117">
        <v>560</v>
      </c>
      <c r="L66" s="117">
        <v>560</v>
      </c>
      <c r="M66" s="117">
        <v>560</v>
      </c>
      <c r="N66" s="117">
        <v>560</v>
      </c>
      <c r="O66" s="117">
        <v>560</v>
      </c>
      <c r="P66" s="117">
        <v>560</v>
      </c>
      <c r="Q66" s="117">
        <v>560</v>
      </c>
      <c r="R66" s="117">
        <v>560</v>
      </c>
      <c r="S66" s="117">
        <v>560</v>
      </c>
      <c r="T66" s="117">
        <v>560</v>
      </c>
      <c r="U66" s="117">
        <v>560</v>
      </c>
      <c r="V66" s="117">
        <v>560</v>
      </c>
      <c r="W66" s="117">
        <v>560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2100.0000000000005</v>
      </c>
      <c r="F67" s="29">
        <f t="shared" ref="F67" si="120">IF(F32=0,0,(F68*F33+F69*F34)/(F33+F34))</f>
        <v>2099.9999999999995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2099.9999999999995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2099.9999999999995</v>
      </c>
      <c r="M67" s="29">
        <f t="shared" ref="M67" si="127">IF(M32=0,0,(M68*M33+M69*M34)/(M33+M34))</f>
        <v>2099.9999999999995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2100.0000000000005</v>
      </c>
      <c r="Q67" s="29">
        <f t="shared" ref="Q67" si="131">IF(Q32=0,0,(Q68*Q33+Q69*Q34)/(Q33+Q34))</f>
        <v>2100.0000000000005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" si="137">IF(W32=0,0,(W68*W33+W69*W34)/(W33+W34))</f>
        <v>2100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0.32025929960531901</v>
      </c>
      <c r="C72" s="30">
        <f t="shared" ref="C72:J72" si="138">IF(C50=0,0,C50/C61)</f>
        <v>0.32226209751130425</v>
      </c>
      <c r="D72" s="30">
        <f t="shared" si="138"/>
        <v>0.33445281151379258</v>
      </c>
      <c r="E72" s="30">
        <f t="shared" si="138"/>
        <v>0.32461265002378642</v>
      </c>
      <c r="F72" s="30">
        <f t="shared" si="138"/>
        <v>0.33496288340954156</v>
      </c>
      <c r="G72" s="30">
        <f t="shared" si="138"/>
        <v>0.31518242200695429</v>
      </c>
      <c r="H72" s="30">
        <f t="shared" si="138"/>
        <v>0.31193401578670071</v>
      </c>
      <c r="I72" s="30">
        <f t="shared" si="138"/>
        <v>0.29958296813645652</v>
      </c>
      <c r="J72" s="30">
        <f t="shared" si="138"/>
        <v>0.29687769298882666</v>
      </c>
      <c r="K72" s="30">
        <f t="shared" ref="K72:V72" si="139">IF(K50=0,0,K50/K61)</f>
        <v>0.3035633948294692</v>
      </c>
      <c r="L72" s="30">
        <f t="shared" si="139"/>
        <v>0.30935248666779658</v>
      </c>
      <c r="M72" s="30">
        <f t="shared" si="139"/>
        <v>0.33373357259945441</v>
      </c>
      <c r="N72" s="30">
        <f t="shared" si="139"/>
        <v>0.33739888023713971</v>
      </c>
      <c r="O72" s="30">
        <f t="shared" si="139"/>
        <v>0.32678244182889893</v>
      </c>
      <c r="P72" s="30">
        <f t="shared" si="139"/>
        <v>0.33947686468744159</v>
      </c>
      <c r="Q72" s="30">
        <f t="shared" si="139"/>
        <v>0.32690938088564886</v>
      </c>
      <c r="R72" s="30">
        <f t="shared" si="139"/>
        <v>0.31418942528657617</v>
      </c>
      <c r="S72" s="30">
        <f t="shared" si="139"/>
        <v>0.31239500650068758</v>
      </c>
      <c r="T72" s="30">
        <f t="shared" si="139"/>
        <v>0.34020469748833621</v>
      </c>
      <c r="U72" s="30">
        <f t="shared" si="139"/>
        <v>0.33875375523981638</v>
      </c>
      <c r="V72" s="30">
        <f t="shared" si="139"/>
        <v>0.26111040084041742</v>
      </c>
      <c r="W72" s="30">
        <f t="shared" ref="W72" si="140">IF(W50=0,0,W50/W61)</f>
        <v>0.24160884031188298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0.18029684817726038</v>
      </c>
      <c r="C73" s="118">
        <f t="shared" si="141"/>
        <v>0.18257685857370481</v>
      </c>
      <c r="D73" s="118">
        <f t="shared" si="141"/>
        <v>0.18344915159132291</v>
      </c>
      <c r="E73" s="118">
        <f t="shared" si="141"/>
        <v>0.18326681572176465</v>
      </c>
      <c r="F73" s="118">
        <f t="shared" si="141"/>
        <v>0.18778780963472472</v>
      </c>
      <c r="G73" s="118">
        <f t="shared" si="141"/>
        <v>0.18443537881034164</v>
      </c>
      <c r="H73" s="118">
        <f t="shared" si="141"/>
        <v>0.18636243044759757</v>
      </c>
      <c r="I73" s="118">
        <f t="shared" si="141"/>
        <v>0.18412075900120473</v>
      </c>
      <c r="J73" s="118">
        <f t="shared" si="141"/>
        <v>0.18617564497047479</v>
      </c>
      <c r="K73" s="118">
        <f t="shared" ref="K73:V73" si="142">IF(K51=0,0,K51/K62)</f>
        <v>0.18597411285043514</v>
      </c>
      <c r="L73" s="118">
        <f t="shared" si="142"/>
        <v>0.18616656116017233</v>
      </c>
      <c r="M73" s="118">
        <f t="shared" si="142"/>
        <v>0.1886821795991758</v>
      </c>
      <c r="N73" s="118">
        <f t="shared" si="142"/>
        <v>0.18867403531335289</v>
      </c>
      <c r="O73" s="118">
        <f t="shared" si="142"/>
        <v>0.18869051305613752</v>
      </c>
      <c r="P73" s="118">
        <f t="shared" si="142"/>
        <v>0.18869450839279536</v>
      </c>
      <c r="Q73" s="118">
        <f t="shared" si="142"/>
        <v>0.19023840076400717</v>
      </c>
      <c r="R73" s="118">
        <f t="shared" si="142"/>
        <v>0.1919845234860687</v>
      </c>
      <c r="S73" s="118">
        <f t="shared" si="142"/>
        <v>0.19206382490627993</v>
      </c>
      <c r="T73" s="118">
        <f t="shared" si="142"/>
        <v>0.19178398516687556</v>
      </c>
      <c r="U73" s="118">
        <f t="shared" si="142"/>
        <v>0.19151897052736078</v>
      </c>
      <c r="V73" s="118">
        <f t="shared" si="142"/>
        <v>0.18923649354219452</v>
      </c>
      <c r="W73" s="118">
        <f t="shared" ref="W73" si="143">IF(W51=0,0,W51/W62)</f>
        <v>0.18923649354219452</v>
      </c>
      <c r="DA73" s="203"/>
    </row>
    <row r="74" spans="1:105" ht="11.45" customHeight="1" x14ac:dyDescent="0.25">
      <c r="A74" s="109" t="s">
        <v>24</v>
      </c>
      <c r="B74" s="119">
        <f t="shared" si="141"/>
        <v>0.33442239167385718</v>
      </c>
      <c r="C74" s="119">
        <f t="shared" si="141"/>
        <v>0.3351885049446931</v>
      </c>
      <c r="D74" s="119">
        <f t="shared" si="141"/>
        <v>0.35102040218051966</v>
      </c>
      <c r="E74" s="119">
        <f t="shared" si="141"/>
        <v>0.33889183039327886</v>
      </c>
      <c r="F74" s="119">
        <f t="shared" si="141"/>
        <v>0.34813093583830529</v>
      </c>
      <c r="G74" s="119">
        <f t="shared" si="141"/>
        <v>0.32410498308073604</v>
      </c>
      <c r="H74" s="119">
        <f t="shared" si="141"/>
        <v>0.3174424857402382</v>
      </c>
      <c r="I74" s="119">
        <f t="shared" si="141"/>
        <v>0.30336361615151575</v>
      </c>
      <c r="J74" s="119">
        <f t="shared" si="141"/>
        <v>0.29887990987285218</v>
      </c>
      <c r="K74" s="119">
        <f t="shared" ref="K74:V74" si="144">IF(K52=0,0,K52/K63)</f>
        <v>0.30723765322673197</v>
      </c>
      <c r="L74" s="119">
        <f t="shared" si="144"/>
        <v>0.31672757312363592</v>
      </c>
      <c r="M74" s="119">
        <f t="shared" si="144"/>
        <v>0.35322833926997649</v>
      </c>
      <c r="N74" s="119">
        <f t="shared" si="144"/>
        <v>0.36119545114345059</v>
      </c>
      <c r="O74" s="119">
        <f t="shared" si="144"/>
        <v>0.34687055386551269</v>
      </c>
      <c r="P74" s="119">
        <f t="shared" si="144"/>
        <v>0.36391901625101591</v>
      </c>
      <c r="Q74" s="119">
        <f t="shared" si="144"/>
        <v>0.34041364894771919</v>
      </c>
      <c r="R74" s="119">
        <f t="shared" si="144"/>
        <v>0.31665752986017126</v>
      </c>
      <c r="S74" s="119">
        <f t="shared" si="144"/>
        <v>0.3161687458677172</v>
      </c>
      <c r="T74" s="119">
        <f t="shared" si="144"/>
        <v>0.35522399541250882</v>
      </c>
      <c r="U74" s="119">
        <f t="shared" si="144"/>
        <v>0.35557016089263327</v>
      </c>
      <c r="V74" s="119">
        <f t="shared" si="144"/>
        <v>0.26420797487632269</v>
      </c>
      <c r="W74" s="119">
        <f t="shared" ref="W74" si="145">IF(W52=0,0,W52/W63)</f>
        <v>0.24145811554678506</v>
      </c>
      <c r="DA74" s="176"/>
    </row>
    <row r="75" spans="1:105" ht="11.45" customHeight="1" x14ac:dyDescent="0.25">
      <c r="A75" s="111" t="s">
        <v>92</v>
      </c>
      <c r="B75" s="120">
        <f t="shared" si="141"/>
        <v>0.34643930815971957</v>
      </c>
      <c r="C75" s="120">
        <f t="shared" si="141"/>
        <v>0.35746777209903591</v>
      </c>
      <c r="D75" s="120">
        <f t="shared" si="141"/>
        <v>0.32516051442166094</v>
      </c>
      <c r="E75" s="120">
        <f t="shared" si="141"/>
        <v>0.3218344357173612</v>
      </c>
      <c r="F75" s="120">
        <f t="shared" si="141"/>
        <v>0.31306061710722333</v>
      </c>
      <c r="G75" s="120">
        <f t="shared" si="141"/>
        <v>0.28300904908094526</v>
      </c>
      <c r="H75" s="120">
        <f t="shared" si="141"/>
        <v>0.22939912131366896</v>
      </c>
      <c r="I75" s="120">
        <f t="shared" si="141"/>
        <v>0.21439894403618251</v>
      </c>
      <c r="J75" s="120">
        <f t="shared" si="141"/>
        <v>0.23402147823476899</v>
      </c>
      <c r="K75" s="120">
        <f t="shared" ref="K75:V75" si="146">IF(K53=0,0,K53/K64)</f>
        <v>0.23381426254980178</v>
      </c>
      <c r="L75" s="120">
        <f t="shared" si="146"/>
        <v>0.23903410057335153</v>
      </c>
      <c r="M75" s="120">
        <f t="shared" si="146"/>
        <v>0.26628356733137959</v>
      </c>
      <c r="N75" s="120">
        <f t="shared" si="146"/>
        <v>0.27859613842827108</v>
      </c>
      <c r="O75" s="120">
        <f t="shared" si="146"/>
        <v>0.28003742549180666</v>
      </c>
      <c r="P75" s="120">
        <f t="shared" si="146"/>
        <v>0.2945209189563982</v>
      </c>
      <c r="Q75" s="120">
        <f t="shared" si="146"/>
        <v>0.19983606258982353</v>
      </c>
      <c r="R75" s="120">
        <f t="shared" si="146"/>
        <v>0.18385048718915525</v>
      </c>
      <c r="S75" s="120">
        <f t="shared" si="146"/>
        <v>0.18237933081025173</v>
      </c>
      <c r="T75" s="120">
        <f t="shared" si="146"/>
        <v>0.21702128567479506</v>
      </c>
      <c r="U75" s="120">
        <f t="shared" si="146"/>
        <v>0.23235532972688647</v>
      </c>
      <c r="V75" s="120">
        <f t="shared" si="146"/>
        <v>0.21495952900571469</v>
      </c>
      <c r="W75" s="120">
        <f t="shared" ref="W75" si="147">IF(W53=0,0,W53/W64)</f>
        <v>0.19433124769695101</v>
      </c>
      <c r="DA75" s="171"/>
    </row>
    <row r="76" spans="1:105" ht="11.45" customHeight="1" x14ac:dyDescent="0.25">
      <c r="A76" s="111" t="s">
        <v>93</v>
      </c>
      <c r="B76" s="120">
        <f t="shared" si="141"/>
        <v>0.33351003150364433</v>
      </c>
      <c r="C76" s="120">
        <f t="shared" si="141"/>
        <v>0.33360060923480422</v>
      </c>
      <c r="D76" s="120">
        <f t="shared" si="141"/>
        <v>0.35304257141857076</v>
      </c>
      <c r="E76" s="120">
        <f t="shared" si="141"/>
        <v>0.34027721003704853</v>
      </c>
      <c r="F76" s="120">
        <f t="shared" si="141"/>
        <v>0.35059557537121389</v>
      </c>
      <c r="G76" s="120">
        <f t="shared" si="141"/>
        <v>0.32708663341054839</v>
      </c>
      <c r="H76" s="120">
        <f t="shared" si="141"/>
        <v>0.325288342125302</v>
      </c>
      <c r="I76" s="120">
        <f t="shared" si="141"/>
        <v>0.31165392590558227</v>
      </c>
      <c r="J76" s="120">
        <f t="shared" si="141"/>
        <v>0.30471521775773519</v>
      </c>
      <c r="K76" s="120">
        <f t="shared" ref="K76:V76" si="148">IF(K54=0,0,K54/K65)</f>
        <v>0.31362364380530267</v>
      </c>
      <c r="L76" s="120">
        <f t="shared" si="148"/>
        <v>0.32262040901929884</v>
      </c>
      <c r="M76" s="120">
        <f t="shared" si="148"/>
        <v>0.36001077626071459</v>
      </c>
      <c r="N76" s="120">
        <f t="shared" si="148"/>
        <v>0.36868800930542311</v>
      </c>
      <c r="O76" s="120">
        <f t="shared" si="148"/>
        <v>0.3513424576537526</v>
      </c>
      <c r="P76" s="120">
        <f t="shared" si="148"/>
        <v>0.36772379265474614</v>
      </c>
      <c r="Q76" s="120">
        <f t="shared" si="148"/>
        <v>0.35140196453465627</v>
      </c>
      <c r="R76" s="120">
        <f t="shared" si="148"/>
        <v>0.32757143494007995</v>
      </c>
      <c r="S76" s="120">
        <f t="shared" si="148"/>
        <v>0.32815122721719214</v>
      </c>
      <c r="T76" s="120">
        <f t="shared" si="148"/>
        <v>0.36563333590835934</v>
      </c>
      <c r="U76" s="120">
        <f t="shared" si="148"/>
        <v>0.36419692958945515</v>
      </c>
      <c r="V76" s="120">
        <f t="shared" si="148"/>
        <v>0.26699172692101769</v>
      </c>
      <c r="W76" s="120">
        <f t="shared" ref="W76" si="149">IF(W54=0,0,W54/W65)</f>
        <v>0.24400848029450622</v>
      </c>
      <c r="DA76" s="171"/>
    </row>
    <row r="77" spans="1:105" ht="11.45" customHeight="1" x14ac:dyDescent="0.25">
      <c r="A77" s="112" t="s">
        <v>25</v>
      </c>
      <c r="B77" s="121">
        <f t="shared" si="141"/>
        <v>0.51697270889487867</v>
      </c>
      <c r="C77" s="121">
        <f t="shared" si="141"/>
        <v>0.51697270889487879</v>
      </c>
      <c r="D77" s="121">
        <f t="shared" si="141"/>
        <v>0.51697270889487879</v>
      </c>
      <c r="E77" s="121">
        <f t="shared" si="141"/>
        <v>0.51697270889487867</v>
      </c>
      <c r="F77" s="121">
        <f t="shared" si="141"/>
        <v>0.51697270889487879</v>
      </c>
      <c r="G77" s="121">
        <f t="shared" si="141"/>
        <v>0.51697270889487879</v>
      </c>
      <c r="H77" s="121">
        <f t="shared" si="141"/>
        <v>0.56296162853539899</v>
      </c>
      <c r="I77" s="121">
        <f t="shared" si="141"/>
        <v>0.53958359835474701</v>
      </c>
      <c r="J77" s="121">
        <f t="shared" si="141"/>
        <v>0.52673201593376551</v>
      </c>
      <c r="K77" s="121">
        <f t="shared" ref="K77:V77" si="150">IF(K55=0,0,K55/K66)</f>
        <v>0.54726830073450528</v>
      </c>
      <c r="L77" s="121">
        <f t="shared" si="150"/>
        <v>0.53870993947763923</v>
      </c>
      <c r="M77" s="121">
        <f t="shared" si="150"/>
        <v>0.53869047619047628</v>
      </c>
      <c r="N77" s="121">
        <f t="shared" si="150"/>
        <v>0.53869047619047628</v>
      </c>
      <c r="O77" s="121">
        <f t="shared" si="150"/>
        <v>0.53869047619047628</v>
      </c>
      <c r="P77" s="121">
        <f t="shared" si="150"/>
        <v>0.53861451773284719</v>
      </c>
      <c r="Q77" s="121">
        <f t="shared" si="150"/>
        <v>0.53867700926524453</v>
      </c>
      <c r="R77" s="121">
        <f t="shared" si="150"/>
        <v>0.53873118032410072</v>
      </c>
      <c r="S77" s="121">
        <f t="shared" si="150"/>
        <v>0.53874559082892415</v>
      </c>
      <c r="T77" s="121">
        <f t="shared" si="150"/>
        <v>0.55101249729268764</v>
      </c>
      <c r="U77" s="121">
        <f t="shared" si="150"/>
        <v>0.52954643201211138</v>
      </c>
      <c r="V77" s="121">
        <f t="shared" si="150"/>
        <v>0.35877423605120623</v>
      </c>
      <c r="W77" s="121">
        <f t="shared" ref="W77" si="151">IF(W55=0,0,W55/W66)</f>
        <v>0.31678387564975774</v>
      </c>
      <c r="DA77" s="204"/>
    </row>
    <row r="78" spans="1:105" ht="11.45" customHeight="1" x14ac:dyDescent="0.25">
      <c r="A78" s="27" t="s">
        <v>34</v>
      </c>
      <c r="B78" s="30">
        <f t="shared" si="141"/>
        <v>0.26761879901538704</v>
      </c>
      <c r="C78" s="30">
        <f t="shared" si="141"/>
        <v>0.26495295572563876</v>
      </c>
      <c r="D78" s="30">
        <f t="shared" si="141"/>
        <v>0.26260570420788443</v>
      </c>
      <c r="E78" s="30">
        <f t="shared" si="141"/>
        <v>0.26296634602572677</v>
      </c>
      <c r="F78" s="30">
        <f t="shared" si="141"/>
        <v>0.23772121149464182</v>
      </c>
      <c r="G78" s="30">
        <f t="shared" si="141"/>
        <v>0.22966311326545252</v>
      </c>
      <c r="H78" s="30">
        <f t="shared" si="141"/>
        <v>0.2312379632586955</v>
      </c>
      <c r="I78" s="30">
        <f t="shared" si="141"/>
        <v>0.23981868206735768</v>
      </c>
      <c r="J78" s="30">
        <f t="shared" si="141"/>
        <v>0.23459060567083029</v>
      </c>
      <c r="K78" s="30">
        <f t="shared" ref="K78:V78" si="152">IF(K56=0,0,K56/K67)</f>
        <v>0.22874098971351839</v>
      </c>
      <c r="L78" s="30">
        <f t="shared" si="152"/>
        <v>0.22872890598926185</v>
      </c>
      <c r="M78" s="30">
        <f t="shared" si="152"/>
        <v>0.23456161399366193</v>
      </c>
      <c r="N78" s="30">
        <f t="shared" si="152"/>
        <v>0.23705239615121207</v>
      </c>
      <c r="O78" s="30">
        <f t="shared" si="152"/>
        <v>0.2305125994334965</v>
      </c>
      <c r="P78" s="30">
        <f t="shared" si="152"/>
        <v>0.23721455806565639</v>
      </c>
      <c r="Q78" s="30">
        <f t="shared" si="152"/>
        <v>0.23568715035548618</v>
      </c>
      <c r="R78" s="30">
        <f t="shared" si="152"/>
        <v>0.23133038398155295</v>
      </c>
      <c r="S78" s="30">
        <f t="shared" si="152"/>
        <v>0.23497312883228225</v>
      </c>
      <c r="T78" s="30">
        <f t="shared" si="152"/>
        <v>0.17294972534104594</v>
      </c>
      <c r="U78" s="30">
        <f t="shared" si="152"/>
        <v>0.18308927917161874</v>
      </c>
      <c r="V78" s="30">
        <f t="shared" si="152"/>
        <v>0.17891040721861146</v>
      </c>
      <c r="W78" s="30">
        <f t="shared" ref="W78" si="153">IF(W56=0,0,W56/W67)</f>
        <v>0.16717544503249596</v>
      </c>
      <c r="DA78" s="173"/>
    </row>
    <row r="79" spans="1:105" ht="11.45" customHeight="1" x14ac:dyDescent="0.25">
      <c r="A79" s="83" t="s">
        <v>92</v>
      </c>
      <c r="B79" s="120">
        <f t="shared" si="141"/>
        <v>0.27290198550673755</v>
      </c>
      <c r="C79" s="120">
        <f t="shared" si="141"/>
        <v>0.27815490837538942</v>
      </c>
      <c r="D79" s="120">
        <f t="shared" si="141"/>
        <v>0.29300190138294058</v>
      </c>
      <c r="E79" s="120">
        <f t="shared" si="141"/>
        <v>0.31123386687705673</v>
      </c>
      <c r="F79" s="120">
        <f t="shared" si="141"/>
        <v>0.27210897166921516</v>
      </c>
      <c r="G79" s="120">
        <f t="shared" si="141"/>
        <v>0.257491865335093</v>
      </c>
      <c r="H79" s="120">
        <f t="shared" si="141"/>
        <v>0.23099041742473561</v>
      </c>
      <c r="I79" s="120">
        <f t="shared" si="141"/>
        <v>0.23578290331748078</v>
      </c>
      <c r="J79" s="120">
        <f t="shared" si="141"/>
        <v>0.24649178953198539</v>
      </c>
      <c r="K79" s="120">
        <f t="shared" ref="K79:V79" si="154">IF(K57=0,0,K57/K68)</f>
        <v>0.25845664147772901</v>
      </c>
      <c r="L79" s="120">
        <f t="shared" si="154"/>
        <v>0.29262486011157141</v>
      </c>
      <c r="M79" s="120">
        <f t="shared" si="154"/>
        <v>0.31826633302516039</v>
      </c>
      <c r="N79" s="120">
        <f t="shared" si="154"/>
        <v>0.29224817357783883</v>
      </c>
      <c r="O79" s="120">
        <f t="shared" si="154"/>
        <v>0.28704233619248237</v>
      </c>
      <c r="P79" s="120">
        <f t="shared" si="154"/>
        <v>0.28406164463612349</v>
      </c>
      <c r="Q79" s="120">
        <f t="shared" si="154"/>
        <v>0.29305228411435713</v>
      </c>
      <c r="R79" s="120">
        <f t="shared" si="154"/>
        <v>0.27730724575544496</v>
      </c>
      <c r="S79" s="120">
        <f t="shared" si="154"/>
        <v>0.27219442263533716</v>
      </c>
      <c r="T79" s="120">
        <f t="shared" si="154"/>
        <v>0.19734839852160507</v>
      </c>
      <c r="U79" s="120">
        <f t="shared" si="154"/>
        <v>0.18466083059054328</v>
      </c>
      <c r="V79" s="120">
        <f t="shared" si="154"/>
        <v>0.1652827360473067</v>
      </c>
      <c r="W79" s="120">
        <f t="shared" ref="W79" si="155">IF(W57=0,0,W57/W68)</f>
        <v>0.15643957993765559</v>
      </c>
      <c r="DA79" s="171"/>
    </row>
    <row r="80" spans="1:105" ht="11.45" customHeight="1" x14ac:dyDescent="0.25">
      <c r="A80" s="85" t="s">
        <v>93</v>
      </c>
      <c r="B80" s="122">
        <f t="shared" si="141"/>
        <v>0.26394778741882163</v>
      </c>
      <c r="C80" s="122">
        <f t="shared" si="141"/>
        <v>0.2571270861635413</v>
      </c>
      <c r="D80" s="122">
        <f t="shared" si="141"/>
        <v>0.24980609194578057</v>
      </c>
      <c r="E80" s="122">
        <f t="shared" si="141"/>
        <v>0.24573730289220483</v>
      </c>
      <c r="F80" s="122">
        <f t="shared" si="141"/>
        <v>0.22767457613146772</v>
      </c>
      <c r="G80" s="122">
        <f t="shared" si="141"/>
        <v>0.221651780250924</v>
      </c>
      <c r="H80" s="122">
        <f t="shared" si="141"/>
        <v>0.23131724339559384</v>
      </c>
      <c r="I80" s="122">
        <f t="shared" si="141"/>
        <v>0.24119973965937833</v>
      </c>
      <c r="J80" s="122">
        <f t="shared" si="141"/>
        <v>0.23125540337663569</v>
      </c>
      <c r="K80" s="122">
        <f t="shared" ref="K80:V80" si="156">IF(K58=0,0,K58/K69)</f>
        <v>0.22265113979415888</v>
      </c>
      <c r="L80" s="122">
        <f t="shared" si="156"/>
        <v>0.21890220066912452</v>
      </c>
      <c r="M80" s="122">
        <f t="shared" si="156"/>
        <v>0.22238967358742862</v>
      </c>
      <c r="N80" s="122">
        <f t="shared" si="156"/>
        <v>0.22639979257425411</v>
      </c>
      <c r="O80" s="122">
        <f t="shared" si="156"/>
        <v>0.2222879304833888</v>
      </c>
      <c r="P80" s="122">
        <f t="shared" si="156"/>
        <v>0.23138909387623285</v>
      </c>
      <c r="Q80" s="122">
        <f t="shared" si="156"/>
        <v>0.228835909095923</v>
      </c>
      <c r="R80" s="122">
        <f t="shared" si="156"/>
        <v>0.22546023263793905</v>
      </c>
      <c r="S80" s="122">
        <f t="shared" si="156"/>
        <v>0.22968702787968939</v>
      </c>
      <c r="T80" s="122">
        <f t="shared" si="156"/>
        <v>0.16945689349373816</v>
      </c>
      <c r="U80" s="122">
        <f t="shared" si="156"/>
        <v>0.18282928117907044</v>
      </c>
      <c r="V80" s="122">
        <f t="shared" si="156"/>
        <v>0.18132343946889645</v>
      </c>
      <c r="W80" s="122">
        <f t="shared" ref="W80" si="157">IF(W58=0,0,W58/W69)</f>
        <v>0.16901673465155215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151663.53187781837</v>
      </c>
      <c r="C82" s="54">
        <f t="shared" si="158"/>
        <v>151024.22228175693</v>
      </c>
      <c r="D82" s="54">
        <f t="shared" si="158"/>
        <v>150919.67563572424</v>
      </c>
      <c r="E82" s="54">
        <f t="shared" si="158"/>
        <v>150820.16481838317</v>
      </c>
      <c r="F82" s="54">
        <f t="shared" si="158"/>
        <v>152333.88489256735</v>
      </c>
      <c r="G82" s="54">
        <f t="shared" si="158"/>
        <v>152740.12868259038</v>
      </c>
      <c r="H82" s="54">
        <f t="shared" si="158"/>
        <v>152580.41255475162</v>
      </c>
      <c r="I82" s="54">
        <f t="shared" si="158"/>
        <v>152752.83886049563</v>
      </c>
      <c r="J82" s="54">
        <f t="shared" si="158"/>
        <v>152521.50778349544</v>
      </c>
      <c r="K82" s="54">
        <f t="shared" ref="K82:V82" si="159">IF(K14=0,0,K14/K25*1000000)</f>
        <v>147386.47868237604</v>
      </c>
      <c r="L82" s="54">
        <f t="shared" si="159"/>
        <v>149928.35066123074</v>
      </c>
      <c r="M82" s="54">
        <f t="shared" si="159"/>
        <v>149940.03455012315</v>
      </c>
      <c r="N82" s="54">
        <f t="shared" si="159"/>
        <v>149316.85825051874</v>
      </c>
      <c r="O82" s="54">
        <f t="shared" si="159"/>
        <v>148493.1806878944</v>
      </c>
      <c r="P82" s="54">
        <f t="shared" si="159"/>
        <v>147610.14156089755</v>
      </c>
      <c r="Q82" s="54">
        <f t="shared" si="159"/>
        <v>150513.24896883511</v>
      </c>
      <c r="R82" s="54">
        <f t="shared" si="159"/>
        <v>151350.49253445319</v>
      </c>
      <c r="S82" s="54">
        <f t="shared" si="159"/>
        <v>150909.66066612196</v>
      </c>
      <c r="T82" s="54">
        <f t="shared" si="159"/>
        <v>150933.83518867232</v>
      </c>
      <c r="U82" s="54">
        <f t="shared" si="159"/>
        <v>150044.97984386046</v>
      </c>
      <c r="V82" s="54">
        <f t="shared" si="159"/>
        <v>141237.70679358789</v>
      </c>
      <c r="W82" s="54">
        <f t="shared" ref="W82" si="160">IF(W14=0,0,W14/W25*1000000)</f>
        <v>145872.48330441699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145599.59205434547</v>
      </c>
      <c r="C83" s="28">
        <f t="shared" si="161"/>
        <v>145868.27847095506</v>
      </c>
      <c r="D83" s="28">
        <f t="shared" si="161"/>
        <v>145813.73347637427</v>
      </c>
      <c r="E83" s="28">
        <f t="shared" si="161"/>
        <v>145733.21417450302</v>
      </c>
      <c r="F83" s="28">
        <f t="shared" si="161"/>
        <v>146345.53299905555</v>
      </c>
      <c r="G83" s="28">
        <f t="shared" si="161"/>
        <v>146167.41190741223</v>
      </c>
      <c r="H83" s="28">
        <f t="shared" si="161"/>
        <v>146097.23296984876</v>
      </c>
      <c r="I83" s="28">
        <f t="shared" si="161"/>
        <v>146108.93666868893</v>
      </c>
      <c r="J83" s="28">
        <f t="shared" si="161"/>
        <v>146447.74431895348</v>
      </c>
      <c r="K83" s="28">
        <f t="shared" ref="K83:V83" si="162">IF(K15=0,0,K15/K26*1000000)</f>
        <v>146204.37622427716</v>
      </c>
      <c r="L83" s="28">
        <f t="shared" si="162"/>
        <v>145277.86840154251</v>
      </c>
      <c r="M83" s="28">
        <f t="shared" si="162"/>
        <v>144757.09645119729</v>
      </c>
      <c r="N83" s="28">
        <f t="shared" si="162"/>
        <v>144244.14424611913</v>
      </c>
      <c r="O83" s="28">
        <f t="shared" si="162"/>
        <v>142967.1413723336</v>
      </c>
      <c r="P83" s="28">
        <f t="shared" si="162"/>
        <v>141985.4238135636</v>
      </c>
      <c r="Q83" s="28">
        <f t="shared" si="162"/>
        <v>145248.95360634197</v>
      </c>
      <c r="R83" s="28">
        <f t="shared" si="162"/>
        <v>146214.96873450963</v>
      </c>
      <c r="S83" s="28">
        <f t="shared" si="162"/>
        <v>145759.08436839987</v>
      </c>
      <c r="T83" s="28">
        <f t="shared" si="162"/>
        <v>143811.79625989016</v>
      </c>
      <c r="U83" s="28">
        <f t="shared" si="162"/>
        <v>144267.15706108493</v>
      </c>
      <c r="V83" s="28">
        <f t="shared" si="162"/>
        <v>134981.89453618697</v>
      </c>
      <c r="W83" s="28">
        <f t="shared" ref="W83" si="163">IF(W15=0,0,W15/W26*1000000)</f>
        <v>138341.98384360303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109999.99976548084</v>
      </c>
      <c r="C84" s="108">
        <f t="shared" si="161"/>
        <v>109999.99956902611</v>
      </c>
      <c r="D84" s="108">
        <f t="shared" si="161"/>
        <v>109999.99972399246</v>
      </c>
      <c r="E84" s="108">
        <f t="shared" si="161"/>
        <v>109999.99991715651</v>
      </c>
      <c r="F84" s="108">
        <f t="shared" si="161"/>
        <v>109999.99933318114</v>
      </c>
      <c r="G84" s="108">
        <f t="shared" si="161"/>
        <v>109999.99935985042</v>
      </c>
      <c r="H84" s="108">
        <f t="shared" si="161"/>
        <v>109999.99924393631</v>
      </c>
      <c r="I84" s="108">
        <f t="shared" si="161"/>
        <v>109999.99989428466</v>
      </c>
      <c r="J84" s="108">
        <f t="shared" si="161"/>
        <v>109999.99919529751</v>
      </c>
      <c r="K84" s="108">
        <f t="shared" ref="K84:V84" si="164">IF(K16=0,0,K16/K27*1000000)</f>
        <v>109999.99984038375</v>
      </c>
      <c r="L84" s="108">
        <f t="shared" si="164"/>
        <v>109999.99980202763</v>
      </c>
      <c r="M84" s="108">
        <f t="shared" si="164"/>
        <v>109999.99984739372</v>
      </c>
      <c r="N84" s="108">
        <f t="shared" si="164"/>
        <v>109999.99983349897</v>
      </c>
      <c r="O84" s="108">
        <f t="shared" si="164"/>
        <v>109999.99981841703</v>
      </c>
      <c r="P84" s="108">
        <f t="shared" si="164"/>
        <v>109999.99972279432</v>
      </c>
      <c r="Q84" s="108">
        <f t="shared" si="164"/>
        <v>109999.99930528256</v>
      </c>
      <c r="R84" s="108">
        <f t="shared" si="164"/>
        <v>109999.99935872765</v>
      </c>
      <c r="S84" s="108">
        <f t="shared" si="164"/>
        <v>109999.99938927984</v>
      </c>
      <c r="T84" s="108">
        <f t="shared" si="164"/>
        <v>109999.99994721614</v>
      </c>
      <c r="U84" s="108">
        <f t="shared" si="164"/>
        <v>109999.99970379149</v>
      </c>
      <c r="V84" s="108">
        <f t="shared" si="164"/>
        <v>76324.935586464286</v>
      </c>
      <c r="W84" s="108">
        <f t="shared" ref="W84" si="165">IF(W16=0,0,W16/W27*1000000)</f>
        <v>81804.386604322295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149999.99953283471</v>
      </c>
      <c r="C85" s="110">
        <f t="shared" si="161"/>
        <v>149999.99959492267</v>
      </c>
      <c r="D85" s="110">
        <f t="shared" si="161"/>
        <v>149999.999616872</v>
      </c>
      <c r="E85" s="110">
        <f t="shared" si="161"/>
        <v>149999.99960697821</v>
      </c>
      <c r="F85" s="110">
        <f t="shared" si="161"/>
        <v>149999.99964081027</v>
      </c>
      <c r="G85" s="110">
        <f t="shared" si="161"/>
        <v>149999.99963883261</v>
      </c>
      <c r="H85" s="110">
        <f t="shared" si="161"/>
        <v>149999.99975740598</v>
      </c>
      <c r="I85" s="110">
        <f t="shared" si="161"/>
        <v>149999.99958495353</v>
      </c>
      <c r="J85" s="110">
        <f t="shared" si="161"/>
        <v>149999.99970894889</v>
      </c>
      <c r="K85" s="110">
        <f t="shared" ref="K85:V85" si="166">IF(K17=0,0,K17/K28*1000000)</f>
        <v>149999.99977961936</v>
      </c>
      <c r="L85" s="110">
        <f t="shared" si="166"/>
        <v>149332.95285509797</v>
      </c>
      <c r="M85" s="110">
        <f t="shared" si="166"/>
        <v>149999.99982326376</v>
      </c>
      <c r="N85" s="110">
        <f t="shared" si="166"/>
        <v>149999.99994694671</v>
      </c>
      <c r="O85" s="110">
        <f t="shared" si="166"/>
        <v>148243.23136553023</v>
      </c>
      <c r="P85" s="110">
        <f t="shared" si="166"/>
        <v>147052.91235498077</v>
      </c>
      <c r="Q85" s="110">
        <f t="shared" si="166"/>
        <v>149999.99966537816</v>
      </c>
      <c r="R85" s="110">
        <f t="shared" si="166"/>
        <v>149999.99976468377</v>
      </c>
      <c r="S85" s="110">
        <f t="shared" si="166"/>
        <v>149999.99970060762</v>
      </c>
      <c r="T85" s="110">
        <f t="shared" si="166"/>
        <v>148066.15927193395</v>
      </c>
      <c r="U85" s="110">
        <f t="shared" si="166"/>
        <v>148644.35225229076</v>
      </c>
      <c r="V85" s="110">
        <f t="shared" si="166"/>
        <v>146943.08673408435</v>
      </c>
      <c r="W85" s="110">
        <f t="shared" ref="W85" si="167">IF(W17=0,0,W17/W28*1000000)</f>
        <v>147792.00511729607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149999.99698743361</v>
      </c>
      <c r="C86" s="84">
        <f t="shared" si="161"/>
        <v>149999.99591735497</v>
      </c>
      <c r="D86" s="84">
        <f t="shared" si="161"/>
        <v>149999.99874892394</v>
      </c>
      <c r="E86" s="84">
        <f t="shared" si="161"/>
        <v>149999.99865730881</v>
      </c>
      <c r="F86" s="84">
        <f t="shared" si="161"/>
        <v>149999.99543765889</v>
      </c>
      <c r="G86" s="84">
        <f t="shared" si="161"/>
        <v>149999.99832393334</v>
      </c>
      <c r="H86" s="84">
        <f t="shared" si="161"/>
        <v>149999.99763323602</v>
      </c>
      <c r="I86" s="84">
        <f t="shared" si="161"/>
        <v>149999.99778007896</v>
      </c>
      <c r="J86" s="84">
        <f t="shared" si="161"/>
        <v>149999.99755711152</v>
      </c>
      <c r="K86" s="84">
        <f t="shared" ref="K86:V86" si="168">IF(K18=0,0,K18/K29*1000000)</f>
        <v>149999.99838417466</v>
      </c>
      <c r="L86" s="84">
        <f t="shared" si="168"/>
        <v>141062.36075995164</v>
      </c>
      <c r="M86" s="84">
        <f t="shared" si="168"/>
        <v>149999.99996462316</v>
      </c>
      <c r="N86" s="84">
        <f t="shared" si="168"/>
        <v>149999.9994424872</v>
      </c>
      <c r="O86" s="84">
        <f t="shared" si="168"/>
        <v>126160.79474978737</v>
      </c>
      <c r="P86" s="84">
        <f t="shared" si="168"/>
        <v>108257.64492818659</v>
      </c>
      <c r="Q86" s="84">
        <f t="shared" si="168"/>
        <v>149999.99759436317</v>
      </c>
      <c r="R86" s="84">
        <f t="shared" si="168"/>
        <v>149999.99786464142</v>
      </c>
      <c r="S86" s="84">
        <f t="shared" si="168"/>
        <v>149999.99887300257</v>
      </c>
      <c r="T86" s="84">
        <f t="shared" si="168"/>
        <v>126426.05413027793</v>
      </c>
      <c r="U86" s="84">
        <f t="shared" si="168"/>
        <v>131650.46465134999</v>
      </c>
      <c r="V86" s="84">
        <f t="shared" si="168"/>
        <v>108003.48084639422</v>
      </c>
      <c r="W86" s="84">
        <f t="shared" ref="W86" si="169">IF(W18=0,0,W18/W29*1000000)</f>
        <v>116188.44682775968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149999.99972608915</v>
      </c>
      <c r="C87" s="84">
        <f t="shared" si="161"/>
        <v>149999.99985703157</v>
      </c>
      <c r="D87" s="84">
        <f t="shared" si="161"/>
        <v>149999.99968474303</v>
      </c>
      <c r="E87" s="84">
        <f t="shared" si="161"/>
        <v>149999.99968410915</v>
      </c>
      <c r="F87" s="84">
        <f t="shared" si="161"/>
        <v>149999.99993619544</v>
      </c>
      <c r="G87" s="84">
        <f t="shared" si="161"/>
        <v>149999.99973423302</v>
      </c>
      <c r="H87" s="84">
        <f t="shared" si="161"/>
        <v>149999.99994669831</v>
      </c>
      <c r="I87" s="84">
        <f t="shared" si="161"/>
        <v>149999.99975314355</v>
      </c>
      <c r="J87" s="84">
        <f t="shared" si="161"/>
        <v>149999.99990254952</v>
      </c>
      <c r="K87" s="84">
        <f t="shared" ref="K87:V87" si="170">IF(K19=0,0,K19/K30*1000000)</f>
        <v>149999.99990098798</v>
      </c>
      <c r="L87" s="84">
        <f t="shared" si="170"/>
        <v>149999.99999652916</v>
      </c>
      <c r="M87" s="84">
        <f t="shared" si="170"/>
        <v>149999.99981223652</v>
      </c>
      <c r="N87" s="84">
        <f t="shared" si="170"/>
        <v>149999.99999270609</v>
      </c>
      <c r="O87" s="84">
        <f t="shared" si="170"/>
        <v>149999.99970286954</v>
      </c>
      <c r="P87" s="84">
        <f t="shared" si="170"/>
        <v>149999.99971106474</v>
      </c>
      <c r="Q87" s="84">
        <f t="shared" si="170"/>
        <v>149999.99982726006</v>
      </c>
      <c r="R87" s="84">
        <f t="shared" si="170"/>
        <v>149999.99992082673</v>
      </c>
      <c r="S87" s="84">
        <f t="shared" si="170"/>
        <v>149999.9997747298</v>
      </c>
      <c r="T87" s="84">
        <f t="shared" si="170"/>
        <v>149999.99998233188</v>
      </c>
      <c r="U87" s="84">
        <f t="shared" si="170"/>
        <v>149999.99973191845</v>
      </c>
      <c r="V87" s="84">
        <f t="shared" si="170"/>
        <v>149999.99971603038</v>
      </c>
      <c r="W87" s="84">
        <f t="shared" ref="W87" si="171">IF(W19=0,0,W19/W30*1000000)</f>
        <v>149999.99976083814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449999.94836030965</v>
      </c>
      <c r="C88" s="113">
        <f t="shared" si="161"/>
        <v>449999.99425466126</v>
      </c>
      <c r="D88" s="113">
        <f t="shared" si="161"/>
        <v>449999.98765295191</v>
      </c>
      <c r="E88" s="113">
        <f t="shared" si="161"/>
        <v>449999.96796697268</v>
      </c>
      <c r="F88" s="113">
        <f t="shared" si="161"/>
        <v>449999.94367379515</v>
      </c>
      <c r="G88" s="113">
        <f t="shared" si="161"/>
        <v>449999.98673349083</v>
      </c>
      <c r="H88" s="113">
        <f t="shared" si="161"/>
        <v>449999.99290668365</v>
      </c>
      <c r="I88" s="113">
        <f t="shared" si="161"/>
        <v>449999.97996438207</v>
      </c>
      <c r="J88" s="113">
        <f t="shared" si="161"/>
        <v>449999.99384909798</v>
      </c>
      <c r="K88" s="113">
        <f t="shared" ref="K88:V88" si="172">IF(K20=0,0,K20/K31*1000000)</f>
        <v>449999.96100520273</v>
      </c>
      <c r="L88" s="113">
        <f t="shared" si="172"/>
        <v>449999.97441000998</v>
      </c>
      <c r="M88" s="113">
        <f t="shared" si="172"/>
        <v>419487.31099824415</v>
      </c>
      <c r="N88" s="113">
        <f t="shared" si="172"/>
        <v>449999.97750000108</v>
      </c>
      <c r="O88" s="113">
        <f t="shared" si="172"/>
        <v>449999.97750000108</v>
      </c>
      <c r="P88" s="113">
        <f t="shared" si="172"/>
        <v>449999.96271130576</v>
      </c>
      <c r="Q88" s="113">
        <f t="shared" si="172"/>
        <v>449999.99999999994</v>
      </c>
      <c r="R88" s="113">
        <f t="shared" si="172"/>
        <v>449999.99547465815</v>
      </c>
      <c r="S88" s="113">
        <f t="shared" si="172"/>
        <v>450000</v>
      </c>
      <c r="T88" s="113">
        <f t="shared" si="172"/>
        <v>449999.96778038092</v>
      </c>
      <c r="U88" s="113">
        <f t="shared" si="172"/>
        <v>449999.99194860918</v>
      </c>
      <c r="V88" s="113">
        <f t="shared" si="172"/>
        <v>445678.66024579364</v>
      </c>
      <c r="W88" s="113">
        <f t="shared" ref="W88" si="173">IF(W20=0,0,W20/W31*1000000)</f>
        <v>449999.97495975415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199999.99641227102</v>
      </c>
      <c r="C89" s="28">
        <f t="shared" si="161"/>
        <v>195364.30470045857</v>
      </c>
      <c r="D89" s="28">
        <f t="shared" si="161"/>
        <v>191911.10452975123</v>
      </c>
      <c r="E89" s="28">
        <f t="shared" si="161"/>
        <v>193484.62799957575</v>
      </c>
      <c r="F89" s="28">
        <f t="shared" si="161"/>
        <v>199999.99718269505</v>
      </c>
      <c r="G89" s="28">
        <f t="shared" si="161"/>
        <v>199999.9974931457</v>
      </c>
      <c r="H89" s="28">
        <f t="shared" si="161"/>
        <v>199999.99855532782</v>
      </c>
      <c r="I89" s="28">
        <f t="shared" si="161"/>
        <v>199999.99748321401</v>
      </c>
      <c r="J89" s="28">
        <f t="shared" si="161"/>
        <v>198244.56505961253</v>
      </c>
      <c r="K89" s="28">
        <f t="shared" ref="K89:V89" si="174">IF(K21=0,0,K21/K32*1000000)</f>
        <v>156887.63375388231</v>
      </c>
      <c r="L89" s="28">
        <f t="shared" si="174"/>
        <v>188691.37991097177</v>
      </c>
      <c r="M89" s="28">
        <f t="shared" si="174"/>
        <v>193830.79740711005</v>
      </c>
      <c r="N89" s="28">
        <f t="shared" si="174"/>
        <v>194754.42886357105</v>
      </c>
      <c r="O89" s="28">
        <f t="shared" si="174"/>
        <v>199999.99694557328</v>
      </c>
      <c r="P89" s="28">
        <f t="shared" si="174"/>
        <v>199999.99572879248</v>
      </c>
      <c r="Q89" s="28">
        <f t="shared" si="174"/>
        <v>199999.99694910814</v>
      </c>
      <c r="R89" s="28">
        <f t="shared" si="174"/>
        <v>199999.99515827387</v>
      </c>
      <c r="S89" s="28">
        <f t="shared" si="174"/>
        <v>199999.99738538975</v>
      </c>
      <c r="T89" s="28">
        <f t="shared" si="174"/>
        <v>199999.99815270648</v>
      </c>
      <c r="U89" s="28">
        <f t="shared" si="174"/>
        <v>192554.86779788224</v>
      </c>
      <c r="V89" s="28">
        <f t="shared" si="174"/>
        <v>186385.67721085079</v>
      </c>
      <c r="W89" s="28">
        <f t="shared" ref="W89" si="175">IF(W21=0,0,W21/W32*1000000)</f>
        <v>199999.99757544234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199999.99605974343</v>
      </c>
      <c r="C90" s="84">
        <f t="shared" si="161"/>
        <v>188012.77682631504</v>
      </c>
      <c r="D90" s="84">
        <f t="shared" si="161"/>
        <v>175093.94382623292</v>
      </c>
      <c r="E90" s="84">
        <f t="shared" si="161"/>
        <v>177303.10753255611</v>
      </c>
      <c r="F90" s="84">
        <f t="shared" si="161"/>
        <v>199999.99130374388</v>
      </c>
      <c r="G90" s="84">
        <f t="shared" si="161"/>
        <v>199999.99905522601</v>
      </c>
      <c r="H90" s="84">
        <f t="shared" si="161"/>
        <v>199999.99622767503</v>
      </c>
      <c r="I90" s="84">
        <f t="shared" si="161"/>
        <v>199999.99223854544</v>
      </c>
      <c r="J90" s="84">
        <f t="shared" si="161"/>
        <v>192224.09475290906</v>
      </c>
      <c r="K90" s="84">
        <f t="shared" ref="K90:V90" si="176">IF(K22=0,0,K22/K33*1000000)</f>
        <v>126533.61498969243</v>
      </c>
      <c r="L90" s="84">
        <f t="shared" si="176"/>
        <v>137966.70124491557</v>
      </c>
      <c r="M90" s="84">
        <f t="shared" si="176"/>
        <v>159910.09241492162</v>
      </c>
      <c r="N90" s="84">
        <f t="shared" si="176"/>
        <v>199999.98514890336</v>
      </c>
      <c r="O90" s="84">
        <f t="shared" si="176"/>
        <v>199999.98035685939</v>
      </c>
      <c r="P90" s="84">
        <f t="shared" si="176"/>
        <v>199999.98040296015</v>
      </c>
      <c r="Q90" s="84">
        <f t="shared" si="176"/>
        <v>199999.99492704211</v>
      </c>
      <c r="R90" s="84">
        <f t="shared" si="176"/>
        <v>199999.97862824725</v>
      </c>
      <c r="S90" s="84">
        <f t="shared" si="176"/>
        <v>199999.9929605411</v>
      </c>
      <c r="T90" s="84">
        <f t="shared" si="176"/>
        <v>199999.98710432826</v>
      </c>
      <c r="U90" s="84">
        <f t="shared" si="176"/>
        <v>199999.99180308491</v>
      </c>
      <c r="V90" s="84">
        <f t="shared" si="176"/>
        <v>199999.98946155023</v>
      </c>
      <c r="W90" s="84">
        <f t="shared" ref="W90" si="177">IF(W22=0,0,W22/W33*1000000)</f>
        <v>199999.98875707993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199999.99665722408</v>
      </c>
      <c r="C91" s="86">
        <f t="shared" si="161"/>
        <v>199999.99772738197</v>
      </c>
      <c r="D91" s="86">
        <f t="shared" si="161"/>
        <v>199999.99772052802</v>
      </c>
      <c r="E91" s="86">
        <f t="shared" si="161"/>
        <v>199999.99881210711</v>
      </c>
      <c r="F91" s="86">
        <f t="shared" si="161"/>
        <v>199999.99890027367</v>
      </c>
      <c r="G91" s="86">
        <f t="shared" si="161"/>
        <v>199999.99704345447</v>
      </c>
      <c r="H91" s="86">
        <f t="shared" si="161"/>
        <v>199999.99930079232</v>
      </c>
      <c r="I91" s="86">
        <f t="shared" si="161"/>
        <v>199999.99927795801</v>
      </c>
      <c r="J91" s="86">
        <f t="shared" si="161"/>
        <v>199999.99946148199</v>
      </c>
      <c r="K91" s="86">
        <f t="shared" ref="K91:V91" si="178">IF(K23=0,0,K23/K34*1000000)</f>
        <v>164999.37151296934</v>
      </c>
      <c r="L91" s="86">
        <f t="shared" si="178"/>
        <v>199999.99940817559</v>
      </c>
      <c r="M91" s="86">
        <f t="shared" si="178"/>
        <v>199999.9975556987</v>
      </c>
      <c r="N91" s="86">
        <f t="shared" si="178"/>
        <v>193773.57108194171</v>
      </c>
      <c r="O91" s="86">
        <f t="shared" si="178"/>
        <v>199999.99935911174</v>
      </c>
      <c r="P91" s="86">
        <f t="shared" si="178"/>
        <v>199999.99763456939</v>
      </c>
      <c r="Q91" s="86">
        <f t="shared" si="178"/>
        <v>199999.99719060783</v>
      </c>
      <c r="R91" s="86">
        <f t="shared" si="178"/>
        <v>199999.99726876518</v>
      </c>
      <c r="S91" s="86">
        <f t="shared" si="178"/>
        <v>199999.99801379882</v>
      </c>
      <c r="T91" s="86">
        <f t="shared" si="178"/>
        <v>199999.99973435517</v>
      </c>
      <c r="U91" s="86">
        <f t="shared" si="178"/>
        <v>191376.25430755346</v>
      </c>
      <c r="V91" s="86">
        <f t="shared" si="178"/>
        <v>184165.8644138129</v>
      </c>
      <c r="W91" s="86">
        <f t="shared" ref="W91" si="179">IF(W23=0,0,W23/W34*1000000)</f>
        <v>199999.99908786447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15809731.999519926</v>
      </c>
      <c r="C94" s="28">
        <f t="shared" si="180"/>
        <v>15911934.947982859</v>
      </c>
      <c r="D94" s="28">
        <f t="shared" si="180"/>
        <v>16530391.384711215</v>
      </c>
      <c r="E94" s="28">
        <f t="shared" si="180"/>
        <v>16009708.608717283</v>
      </c>
      <c r="F94" s="28">
        <f t="shared" si="180"/>
        <v>16529348.714874942</v>
      </c>
      <c r="G94" s="28">
        <f t="shared" si="180"/>
        <v>15576661.712166196</v>
      </c>
      <c r="H94" s="28">
        <f t="shared" si="180"/>
        <v>15356967.62389219</v>
      </c>
      <c r="I94" s="28">
        <f t="shared" si="180"/>
        <v>14768734.826111626</v>
      </c>
      <c r="J94" s="28">
        <f t="shared" si="180"/>
        <v>14652983.814169711</v>
      </c>
      <c r="K94" s="28">
        <f t="shared" ref="K94:V94" si="181">IF(K4=0,0,K4/K26*1000000)</f>
        <v>14961164.330728641</v>
      </c>
      <c r="L94" s="28">
        <f t="shared" si="181"/>
        <v>15187159.611641096</v>
      </c>
      <c r="M94" s="28">
        <f t="shared" si="181"/>
        <v>16365495.69765312</v>
      </c>
      <c r="N94" s="28">
        <f t="shared" si="181"/>
        <v>16539154.836903965</v>
      </c>
      <c r="O94" s="28">
        <f t="shared" si="181"/>
        <v>15852933.792067362</v>
      </c>
      <c r="P94" s="28">
        <f t="shared" si="181"/>
        <v>16376144.096854152</v>
      </c>
      <c r="Q94" s="28">
        <f t="shared" si="181"/>
        <v>16155836.843760461</v>
      </c>
      <c r="R94" s="28">
        <f t="shared" si="181"/>
        <v>15648978.743458942</v>
      </c>
      <c r="S94" s="28">
        <f t="shared" si="181"/>
        <v>15549753.25985085</v>
      </c>
      <c r="T94" s="28">
        <f t="shared" si="181"/>
        <v>16771105.328137428</v>
      </c>
      <c r="U94" s="28">
        <f t="shared" si="181"/>
        <v>16754405.16030135</v>
      </c>
      <c r="V94" s="28">
        <f t="shared" si="181"/>
        <v>12082466.681697167</v>
      </c>
      <c r="W94" s="28">
        <f t="shared" ref="W94" si="182">IF(W4=0,0,W4/W26*1000000)</f>
        <v>11420519.005051451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7933061.3028862318</v>
      </c>
      <c r="C95" s="108">
        <f t="shared" si="180"/>
        <v>8033381.7457686681</v>
      </c>
      <c r="D95" s="108">
        <f t="shared" si="180"/>
        <v>8071762.6497648675</v>
      </c>
      <c r="E95" s="108">
        <f t="shared" si="180"/>
        <v>8063739.8856846597</v>
      </c>
      <c r="F95" s="108">
        <f t="shared" si="180"/>
        <v>8262663.5738397064</v>
      </c>
      <c r="G95" s="108">
        <f t="shared" si="180"/>
        <v>8115156.6204285417</v>
      </c>
      <c r="H95" s="108">
        <f t="shared" si="180"/>
        <v>8199946.8833335452</v>
      </c>
      <c r="I95" s="108">
        <f t="shared" si="180"/>
        <v>8101313.3882672545</v>
      </c>
      <c r="J95" s="108">
        <f t="shared" si="180"/>
        <v>8191728.3187744888</v>
      </c>
      <c r="K95" s="108">
        <f t="shared" ref="K95:V95" si="183">IF(K5=0,0,K5/K27*1000000)</f>
        <v>8182860.9535453487</v>
      </c>
      <c r="L95" s="108">
        <f t="shared" si="183"/>
        <v>8191328.6763052484</v>
      </c>
      <c r="M95" s="108">
        <f t="shared" si="183"/>
        <v>8302015.8908460997</v>
      </c>
      <c r="N95" s="108">
        <f t="shared" si="183"/>
        <v>8301657.5412217574</v>
      </c>
      <c r="O95" s="108">
        <f t="shared" si="183"/>
        <v>8302382.5607648566</v>
      </c>
      <c r="P95" s="108">
        <f t="shared" si="183"/>
        <v>8302558.3483601203</v>
      </c>
      <c r="Q95" s="108">
        <f t="shared" si="183"/>
        <v>8370489.580751542</v>
      </c>
      <c r="R95" s="108">
        <f t="shared" si="183"/>
        <v>8447318.9841412753</v>
      </c>
      <c r="S95" s="108">
        <f t="shared" si="183"/>
        <v>8450808.2489574179</v>
      </c>
      <c r="T95" s="108">
        <f t="shared" si="183"/>
        <v>8438495.3432932831</v>
      </c>
      <c r="U95" s="108">
        <f t="shared" si="183"/>
        <v>8426834.6805120558</v>
      </c>
      <c r="V95" s="108">
        <f t="shared" si="183"/>
        <v>5777385.2720865449</v>
      </c>
      <c r="W95" s="108">
        <f t="shared" ref="W95" si="184">IF(W5=0,0,W5/W27*1000000)</f>
        <v>6192150.1109488085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16052274.750351373</v>
      </c>
      <c r="C96" s="110">
        <f t="shared" si="180"/>
        <v>16089048.193896541</v>
      </c>
      <c r="D96" s="110">
        <f t="shared" si="180"/>
        <v>16848979.261629507</v>
      </c>
      <c r="E96" s="110">
        <f t="shared" si="180"/>
        <v>16266807.816255987</v>
      </c>
      <c r="F96" s="110">
        <f t="shared" si="180"/>
        <v>16710284.880224239</v>
      </c>
      <c r="G96" s="110">
        <f t="shared" si="180"/>
        <v>15557039.150417361</v>
      </c>
      <c r="H96" s="110">
        <f t="shared" si="180"/>
        <v>15237239.290888347</v>
      </c>
      <c r="I96" s="110">
        <f t="shared" si="180"/>
        <v>14561453.534981554</v>
      </c>
      <c r="J96" s="110">
        <f t="shared" si="180"/>
        <v>14346235.646060321</v>
      </c>
      <c r="K96" s="110">
        <f t="shared" ref="K96:V96" si="185">IF(K6=0,0,K6/K28*1000000)</f>
        <v>14747407.333216181</v>
      </c>
      <c r="L96" s="110">
        <f t="shared" si="185"/>
        <v>15135316.398458088</v>
      </c>
      <c r="M96" s="110">
        <f t="shared" si="185"/>
        <v>16954960.264981829</v>
      </c>
      <c r="N96" s="110">
        <f t="shared" si="185"/>
        <v>17337381.648753598</v>
      </c>
      <c r="O96" s="110">
        <f t="shared" si="185"/>
        <v>16454787.76658394</v>
      </c>
      <c r="P96" s="110">
        <f t="shared" si="185"/>
        <v>17124912.384342868</v>
      </c>
      <c r="Q96" s="110">
        <f t="shared" si="185"/>
        <v>16339855.113039374</v>
      </c>
      <c r="R96" s="110">
        <f t="shared" si="185"/>
        <v>15199561.409443535</v>
      </c>
      <c r="S96" s="110">
        <f t="shared" si="185"/>
        <v>15176099.771359703</v>
      </c>
      <c r="T96" s="110">
        <f t="shared" si="185"/>
        <v>16830928.858227603</v>
      </c>
      <c r="U96" s="110">
        <f t="shared" si="185"/>
        <v>16913118.798761047</v>
      </c>
      <c r="V96" s="110">
        <f t="shared" si="185"/>
        <v>12423531.317788245</v>
      </c>
      <c r="W96" s="110">
        <f t="shared" ref="W96" si="186">IF(W6=0,0,W6/W28*1000000)</f>
        <v>11419385.295521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16629086.457691684</v>
      </c>
      <c r="C97" s="84">
        <f t="shared" si="180"/>
        <v>17158452.593741238</v>
      </c>
      <c r="D97" s="84">
        <f t="shared" si="180"/>
        <v>15607704.562063554</v>
      </c>
      <c r="E97" s="84">
        <f t="shared" si="180"/>
        <v>15448052.776153574</v>
      </c>
      <c r="F97" s="84">
        <f t="shared" si="180"/>
        <v>15026909.164094135</v>
      </c>
      <c r="G97" s="84">
        <f t="shared" si="180"/>
        <v>13584434.204095922</v>
      </c>
      <c r="H97" s="84">
        <f t="shared" si="180"/>
        <v>11011157.649317365</v>
      </c>
      <c r="I97" s="84">
        <f t="shared" si="180"/>
        <v>10291149.161433168</v>
      </c>
      <c r="J97" s="84">
        <f t="shared" si="180"/>
        <v>11233030.772328632</v>
      </c>
      <c r="K97" s="84">
        <f t="shared" ref="K97:V97" si="187">IF(K7=0,0,K7/K29*1000000)</f>
        <v>11223084.481493523</v>
      </c>
      <c r="L97" s="84">
        <f t="shared" si="187"/>
        <v>10789988.649282774</v>
      </c>
      <c r="M97" s="84">
        <f t="shared" si="187"/>
        <v>12781611.228891734</v>
      </c>
      <c r="N97" s="84">
        <f t="shared" si="187"/>
        <v>13372614.594854321</v>
      </c>
      <c r="O97" s="84">
        <f t="shared" si="187"/>
        <v>11305518.13111382</v>
      </c>
      <c r="P97" s="84">
        <f t="shared" si="187"/>
        <v>10202925.141857591</v>
      </c>
      <c r="Q97" s="84">
        <f t="shared" si="187"/>
        <v>9592130.8504769709</v>
      </c>
      <c r="R97" s="84">
        <f t="shared" si="187"/>
        <v>8824823.2594517022</v>
      </c>
      <c r="S97" s="84">
        <f t="shared" si="187"/>
        <v>8754207.8131189495</v>
      </c>
      <c r="T97" s="84">
        <f t="shared" si="187"/>
        <v>8779886.3392461296</v>
      </c>
      <c r="U97" s="84">
        <f t="shared" si="187"/>
        <v>9788699.8792839162</v>
      </c>
      <c r="V97" s="84">
        <f t="shared" si="187"/>
        <v>7429240.7595899608</v>
      </c>
      <c r="W97" s="84">
        <f t="shared" ref="W97" si="188">IF(W7=0,0,W7/W29*1000000)</f>
        <v>7225294.6688030036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16008481.482942279</v>
      </c>
      <c r="C98" s="84">
        <f t="shared" si="180"/>
        <v>16012829.22800841</v>
      </c>
      <c r="D98" s="84">
        <f t="shared" si="180"/>
        <v>16946043.392475672</v>
      </c>
      <c r="E98" s="84">
        <f t="shared" si="180"/>
        <v>16333306.047381384</v>
      </c>
      <c r="F98" s="84">
        <f t="shared" si="180"/>
        <v>16828587.610659998</v>
      </c>
      <c r="G98" s="84">
        <f t="shared" si="180"/>
        <v>15700158.3758891</v>
      </c>
      <c r="H98" s="84">
        <f t="shared" si="180"/>
        <v>15613840.416466204</v>
      </c>
      <c r="I98" s="84">
        <f t="shared" si="180"/>
        <v>14959388.418849139</v>
      </c>
      <c r="J98" s="84">
        <f t="shared" si="180"/>
        <v>14626330.442869004</v>
      </c>
      <c r="K98" s="84">
        <f t="shared" ref="K98:V98" si="189">IF(K8=0,0,K8/K30*1000000)</f>
        <v>15053934.892717723</v>
      </c>
      <c r="L98" s="84">
        <f t="shared" si="189"/>
        <v>15485779.63256802</v>
      </c>
      <c r="M98" s="84">
        <f t="shared" si="189"/>
        <v>17280517.238883298</v>
      </c>
      <c r="N98" s="84">
        <f t="shared" si="189"/>
        <v>17697024.445799768</v>
      </c>
      <c r="O98" s="84">
        <f t="shared" si="189"/>
        <v>16864437.933973867</v>
      </c>
      <c r="P98" s="84">
        <f t="shared" si="189"/>
        <v>17650742.013428334</v>
      </c>
      <c r="Q98" s="84">
        <f t="shared" si="189"/>
        <v>16867294.278239131</v>
      </c>
      <c r="R98" s="84">
        <f t="shared" si="189"/>
        <v>15723428.86882467</v>
      </c>
      <c r="S98" s="84">
        <f t="shared" si="189"/>
        <v>15751258.882769959</v>
      </c>
      <c r="T98" s="84">
        <f t="shared" si="189"/>
        <v>17550400.121534031</v>
      </c>
      <c r="U98" s="84">
        <f t="shared" si="189"/>
        <v>17481452.589050815</v>
      </c>
      <c r="V98" s="84">
        <f t="shared" si="189"/>
        <v>12815602.867947232</v>
      </c>
      <c r="W98" s="84">
        <f t="shared" ref="W98" si="190">IF(W8=0,0,W8/W30*1000000)</f>
        <v>11712407.03546189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130277107.69157548</v>
      </c>
      <c r="C99" s="113">
        <f t="shared" si="180"/>
        <v>130277120.9782068</v>
      </c>
      <c r="D99" s="113">
        <f t="shared" si="180"/>
        <v>130277119.06698076</v>
      </c>
      <c r="E99" s="113">
        <f t="shared" si="180"/>
        <v>130277113.36779691</v>
      </c>
      <c r="F99" s="113">
        <f t="shared" si="180"/>
        <v>130277106.33480746</v>
      </c>
      <c r="G99" s="113">
        <f t="shared" si="180"/>
        <v>130277118.8007925</v>
      </c>
      <c r="H99" s="113">
        <f t="shared" si="180"/>
        <v>141866328.15469217</v>
      </c>
      <c r="I99" s="113">
        <f t="shared" si="180"/>
        <v>135975060.7312974</v>
      </c>
      <c r="J99" s="113">
        <f t="shared" si="180"/>
        <v>132736466.20097779</v>
      </c>
      <c r="K99" s="113">
        <f t="shared" ref="K99:V99" si="191">IF(K9=0,0,K9/K31*1000000)</f>
        <v>137911599.83435008</v>
      </c>
      <c r="L99" s="113">
        <f t="shared" si="191"/>
        <v>135754897.02843919</v>
      </c>
      <c r="M99" s="113">
        <f t="shared" si="191"/>
        <v>126545338.81780365</v>
      </c>
      <c r="N99" s="113">
        <f t="shared" si="191"/>
        <v>135749993.21250033</v>
      </c>
      <c r="O99" s="113">
        <f t="shared" si="191"/>
        <v>135749993.21250033</v>
      </c>
      <c r="P99" s="113">
        <f t="shared" si="191"/>
        <v>135730847.22150752</v>
      </c>
      <c r="Q99" s="113">
        <f t="shared" si="191"/>
        <v>135746606.33484164</v>
      </c>
      <c r="R99" s="113">
        <f t="shared" si="191"/>
        <v>135760256.07642543</v>
      </c>
      <c r="S99" s="113">
        <f t="shared" si="191"/>
        <v>135763888.8888889</v>
      </c>
      <c r="T99" s="113">
        <f t="shared" si="191"/>
        <v>138855139.37584618</v>
      </c>
      <c r="U99" s="113">
        <f t="shared" si="191"/>
        <v>133445698.47944431</v>
      </c>
      <c r="V99" s="113">
        <f t="shared" si="191"/>
        <v>89542891.67824544</v>
      </c>
      <c r="W99" s="113">
        <f t="shared" ref="W99" si="192">IF(W9=0,0,W9/W31*1000000)</f>
        <v>79829532.221625119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112399893.57016073</v>
      </c>
      <c r="C100" s="28">
        <f t="shared" si="180"/>
        <v>108700934.94470868</v>
      </c>
      <c r="D100" s="28">
        <f t="shared" si="180"/>
        <v>105833596.57573129</v>
      </c>
      <c r="E100" s="28">
        <f t="shared" si="180"/>
        <v>106847885.83811048</v>
      </c>
      <c r="F100" s="28">
        <f t="shared" si="180"/>
        <v>99842907.421309933</v>
      </c>
      <c r="G100" s="28">
        <f t="shared" si="180"/>
        <v>96458506.362452939</v>
      </c>
      <c r="H100" s="28">
        <f t="shared" si="180"/>
        <v>97119943.8671197</v>
      </c>
      <c r="I100" s="28">
        <f t="shared" si="180"/>
        <v>100723845.20078838</v>
      </c>
      <c r="J100" s="28">
        <f t="shared" si="180"/>
        <v>97663256.435398132</v>
      </c>
      <c r="K100" s="28">
        <f t="shared" ref="K100:V100" si="193">IF(K10=0,0,K10/K32*1000000)</f>
        <v>75361928.49921757</v>
      </c>
      <c r="L100" s="28">
        <f t="shared" si="193"/>
        <v>90634263.08294557</v>
      </c>
      <c r="M100" s="28">
        <f t="shared" si="193"/>
        <v>95477055.831129462</v>
      </c>
      <c r="N100" s="28">
        <f t="shared" si="193"/>
        <v>96950708.448657617</v>
      </c>
      <c r="O100" s="28">
        <f t="shared" si="193"/>
        <v>96815290.283492461</v>
      </c>
      <c r="P100" s="28">
        <f t="shared" si="193"/>
        <v>99630112.259871244</v>
      </c>
      <c r="Q100" s="28">
        <f t="shared" si="193"/>
        <v>98988601.639286593</v>
      </c>
      <c r="R100" s="28">
        <f t="shared" si="193"/>
        <v>97158758.920171678</v>
      </c>
      <c r="S100" s="28">
        <f t="shared" si="193"/>
        <v>98688712.81939593</v>
      </c>
      <c r="T100" s="28">
        <f t="shared" si="193"/>
        <v>72638883.972312585</v>
      </c>
      <c r="U100" s="28">
        <f t="shared" si="193"/>
        <v>74034937.086811274</v>
      </c>
      <c r="V100" s="28">
        <f t="shared" si="193"/>
        <v>70027308.55997096</v>
      </c>
      <c r="W100" s="28">
        <f t="shared" ref="W100" si="194">IF(W10=0,0,W10/W32*1000000)</f>
        <v>70213686.062462643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114618831.65469171</v>
      </c>
      <c r="C101" s="84">
        <f t="shared" si="180"/>
        <v>109823021.09420502</v>
      </c>
      <c r="D101" s="84">
        <f t="shared" si="180"/>
        <v>107736002.76962046</v>
      </c>
      <c r="E101" s="84">
        <f t="shared" si="180"/>
        <v>115883736.71001969</v>
      </c>
      <c r="F101" s="84">
        <f t="shared" si="180"/>
        <v>114285763.13177881</v>
      </c>
      <c r="G101" s="84">
        <f t="shared" si="180"/>
        <v>108146582.92986865</v>
      </c>
      <c r="H101" s="84">
        <f t="shared" si="180"/>
        <v>97015973.488510042</v>
      </c>
      <c r="I101" s="84">
        <f t="shared" si="180"/>
        <v>99028815.550303519</v>
      </c>
      <c r="J101" s="84">
        <f t="shared" si="180"/>
        <v>99501488.324302003</v>
      </c>
      <c r="K101" s="84">
        <f t="shared" ref="K101:V101" si="195">IF(K11=0,0,K11/K33*1000000)</f>
        <v>68677251.644971058</v>
      </c>
      <c r="L101" s="84">
        <f t="shared" si="195"/>
        <v>84782221.968881607</v>
      </c>
      <c r="M101" s="84">
        <f t="shared" si="195"/>
        <v>106877397.3258844</v>
      </c>
      <c r="N101" s="84">
        <f t="shared" si="195"/>
        <v>122744223.78825997</v>
      </c>
      <c r="O101" s="84">
        <f t="shared" si="195"/>
        <v>120557769.36017537</v>
      </c>
      <c r="P101" s="84">
        <f t="shared" si="195"/>
        <v>119305879.05696039</v>
      </c>
      <c r="Q101" s="84">
        <f t="shared" si="195"/>
        <v>123081956.206082</v>
      </c>
      <c r="R101" s="84">
        <f t="shared" si="195"/>
        <v>116469030.77154891</v>
      </c>
      <c r="S101" s="84">
        <f t="shared" si="195"/>
        <v>114321653.48302856</v>
      </c>
      <c r="T101" s="84">
        <f t="shared" si="195"/>
        <v>82886322.034699783</v>
      </c>
      <c r="U101" s="84">
        <f t="shared" si="195"/>
        <v>77557545.669364989</v>
      </c>
      <c r="V101" s="84">
        <f t="shared" si="195"/>
        <v>69418745.482038796</v>
      </c>
      <c r="W101" s="84">
        <f t="shared" ref="W101" si="196">IF(W11=0,0,W11/W33*1000000)</f>
        <v>65704619.880256206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110858068.86303665</v>
      </c>
      <c r="C102" s="86">
        <f t="shared" si="180"/>
        <v>107993374.96154888</v>
      </c>
      <c r="D102" s="86">
        <f t="shared" si="180"/>
        <v>104918557.42143326</v>
      </c>
      <c r="E102" s="86">
        <f t="shared" si="180"/>
        <v>103209666.60171588</v>
      </c>
      <c r="F102" s="86">
        <f t="shared" si="180"/>
        <v>95623321.449419007</v>
      </c>
      <c r="G102" s="86">
        <f t="shared" si="180"/>
        <v>93093746.329208568</v>
      </c>
      <c r="H102" s="86">
        <f t="shared" si="180"/>
        <v>97153241.886497959</v>
      </c>
      <c r="I102" s="86">
        <f t="shared" si="180"/>
        <v>101303890.29121058</v>
      </c>
      <c r="J102" s="86">
        <f t="shared" si="180"/>
        <v>97127269.156663075</v>
      </c>
      <c r="K102" s="86">
        <f t="shared" ref="K102:V102" si="197">IF(K12=0,0,K12/K34*1000000)</f>
        <v>77148326.078633234</v>
      </c>
      <c r="L102" s="86">
        <f t="shared" si="197"/>
        <v>91938924.008973792</v>
      </c>
      <c r="M102" s="86">
        <f t="shared" si="197"/>
        <v>93403661.765186548</v>
      </c>
      <c r="N102" s="86">
        <f t="shared" si="197"/>
        <v>92127622.228580579</v>
      </c>
      <c r="O102" s="86">
        <f t="shared" si="197"/>
        <v>93360930.503853664</v>
      </c>
      <c r="P102" s="86">
        <f t="shared" si="197"/>
        <v>97183418.27861461</v>
      </c>
      <c r="Q102" s="86">
        <f t="shared" si="197"/>
        <v>96111080.470219046</v>
      </c>
      <c r="R102" s="86">
        <f t="shared" si="197"/>
        <v>94693296.414786249</v>
      </c>
      <c r="S102" s="86">
        <f t="shared" si="197"/>
        <v>96468550.75143978</v>
      </c>
      <c r="T102" s="86">
        <f t="shared" si="197"/>
        <v>71171895.172837794</v>
      </c>
      <c r="U102" s="86">
        <f t="shared" si="197"/>
        <v>73477284.320565253</v>
      </c>
      <c r="V102" s="86">
        <f t="shared" si="197"/>
        <v>70126534.733377501</v>
      </c>
      <c r="W102" s="86">
        <f t="shared" ref="W102" si="198">IF(W12=0,0,W12/W34*1000000)</f>
        <v>70987028.229902938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0.10111576011157601</v>
      </c>
      <c r="C106" s="123">
        <f t="shared" si="199"/>
        <v>9.8272380525016828E-2</v>
      </c>
      <c r="D106" s="123">
        <f t="shared" si="199"/>
        <v>9.7267759562841533E-2</v>
      </c>
      <c r="E106" s="123">
        <f t="shared" si="199"/>
        <v>9.8199672667757767E-2</v>
      </c>
      <c r="F106" s="123">
        <f t="shared" si="199"/>
        <v>8.9787863838184503E-2</v>
      </c>
      <c r="G106" s="123">
        <f t="shared" si="199"/>
        <v>9.8516949152542374E-2</v>
      </c>
      <c r="H106" s="123">
        <f t="shared" si="199"/>
        <v>9.5824087149485579E-2</v>
      </c>
      <c r="I106" s="123">
        <f t="shared" si="199"/>
        <v>0.10048265381098057</v>
      </c>
      <c r="J106" s="123">
        <f t="shared" si="199"/>
        <v>9.9179567348304881E-2</v>
      </c>
      <c r="K106" s="123">
        <f t="shared" ref="K106:V106" si="202">IF(K5=0,0,K5/K$4)</f>
        <v>9.8322579809330554E-2</v>
      </c>
      <c r="L106" s="123">
        <f t="shared" si="202"/>
        <v>0.10247327559605654</v>
      </c>
      <c r="M106" s="123">
        <f t="shared" si="202"/>
        <v>0.10278458606537072</v>
      </c>
      <c r="N106" s="123">
        <f t="shared" si="202"/>
        <v>0.10954083759577765</v>
      </c>
      <c r="O106" s="123">
        <f t="shared" si="202"/>
        <v>0.11155879487704939</v>
      </c>
      <c r="P106" s="123">
        <f t="shared" si="202"/>
        <v>0.11017174906669826</v>
      </c>
      <c r="Q106" s="123">
        <f t="shared" si="202"/>
        <v>0.11122572045794629</v>
      </c>
      <c r="R106" s="123">
        <f t="shared" si="202"/>
        <v>0.11409772931373394</v>
      </c>
      <c r="S106" s="123">
        <f t="shared" si="202"/>
        <v>0.12076312345974051</v>
      </c>
      <c r="T106" s="123">
        <f t="shared" si="202"/>
        <v>0.11942872117632265</v>
      </c>
      <c r="U106" s="123">
        <f t="shared" si="202"/>
        <v>0.11947854120409064</v>
      </c>
      <c r="V106" s="123">
        <f t="shared" si="202"/>
        <v>0.11337878349428908</v>
      </c>
      <c r="W106" s="123">
        <f t="shared" ref="W106" si="203">IF(W5=0,0,W5/W$4)</f>
        <v>0.11950975988482163</v>
      </c>
      <c r="DA106" s="203"/>
    </row>
    <row r="107" spans="1:105" ht="11.45" customHeight="1" x14ac:dyDescent="0.25">
      <c r="A107" s="109" t="s">
        <v>24</v>
      </c>
      <c r="B107" s="124">
        <f t="shared" si="199"/>
        <v>0.79834960483496054</v>
      </c>
      <c r="C107" s="124">
        <f t="shared" si="199"/>
        <v>0.80199685887368188</v>
      </c>
      <c r="D107" s="124">
        <f t="shared" si="199"/>
        <v>0.80338797814207652</v>
      </c>
      <c r="E107" s="124">
        <f t="shared" si="199"/>
        <v>0.80600109110747409</v>
      </c>
      <c r="F107" s="124">
        <f t="shared" si="199"/>
        <v>0.8174642328564381</v>
      </c>
      <c r="G107" s="124">
        <f t="shared" si="199"/>
        <v>0.7974576271186441</v>
      </c>
      <c r="H107" s="124">
        <f t="shared" si="199"/>
        <v>0.8033084526931612</v>
      </c>
      <c r="I107" s="124">
        <f t="shared" si="199"/>
        <v>0.79406235486986665</v>
      </c>
      <c r="J107" s="124">
        <f t="shared" si="199"/>
        <v>0.79380567948287417</v>
      </c>
      <c r="K107" s="124">
        <f t="shared" ref="K107:V107" si="204">IF(K6=0,0,K6/K$4)</f>
        <v>0.79735716301296977</v>
      </c>
      <c r="L107" s="124">
        <f t="shared" si="204"/>
        <v>0.79591537355589115</v>
      </c>
      <c r="M107" s="124">
        <f t="shared" si="204"/>
        <v>0.81510316892902746</v>
      </c>
      <c r="N107" s="124">
        <f t="shared" si="204"/>
        <v>0.80910493060595989</v>
      </c>
      <c r="O107" s="124">
        <f t="shared" si="204"/>
        <v>0.80698938934300146</v>
      </c>
      <c r="P107" s="124">
        <f t="shared" si="204"/>
        <v>0.80818081961258537</v>
      </c>
      <c r="Q107" s="124">
        <f t="shared" si="204"/>
        <v>0.78133652316271351</v>
      </c>
      <c r="R107" s="124">
        <f t="shared" si="204"/>
        <v>0.75086234838009458</v>
      </c>
      <c r="S107" s="124">
        <f t="shared" si="204"/>
        <v>0.74398296930027075</v>
      </c>
      <c r="T107" s="124">
        <f t="shared" si="204"/>
        <v>0.74947051917777241</v>
      </c>
      <c r="U107" s="124">
        <f t="shared" si="204"/>
        <v>0.75358482301779139</v>
      </c>
      <c r="V107" s="124">
        <f t="shared" si="204"/>
        <v>0.76795756849426655</v>
      </c>
      <c r="W107" s="124">
        <f t="shared" ref="W107" si="205">IF(W6=0,0,W6/W$4)</f>
        <v>0.76264714998214789</v>
      </c>
      <c r="DA107" s="176"/>
    </row>
    <row r="108" spans="1:105" ht="11.45" customHeight="1" x14ac:dyDescent="0.25">
      <c r="A108" s="111" t="s">
        <v>92</v>
      </c>
      <c r="B108" s="125">
        <f t="shared" si="199"/>
        <v>5.8360233111474168E-2</v>
      </c>
      <c r="C108" s="125">
        <f t="shared" si="199"/>
        <v>5.6903846377797648E-2</v>
      </c>
      <c r="D108" s="125">
        <f t="shared" si="199"/>
        <v>5.3973857731862758E-2</v>
      </c>
      <c r="E108" s="125">
        <f t="shared" si="199"/>
        <v>5.7497583325351639E-2</v>
      </c>
      <c r="F108" s="125">
        <f t="shared" si="199"/>
        <v>4.8269416859455891E-2</v>
      </c>
      <c r="G108" s="125">
        <f t="shared" si="199"/>
        <v>4.7104365213557708E-2</v>
      </c>
      <c r="H108" s="125">
        <f t="shared" si="199"/>
        <v>4.7498467785719527E-2</v>
      </c>
      <c r="I108" s="125">
        <f t="shared" si="199"/>
        <v>4.783796064127583E-2</v>
      </c>
      <c r="J108" s="125">
        <f t="shared" si="199"/>
        <v>5.1304565819792043E-2</v>
      </c>
      <c r="K108" s="125">
        <f t="shared" ref="K108:V108" si="206">IF(K7=0,0,K7/K$4)</f>
        <v>4.855386314570484E-2</v>
      </c>
      <c r="L108" s="125">
        <f t="shared" si="206"/>
        <v>4.2347724970713693E-2</v>
      </c>
      <c r="M108" s="125">
        <f t="shared" si="206"/>
        <v>4.4465327143624181E-2</v>
      </c>
      <c r="N108" s="125">
        <f t="shared" si="206"/>
        <v>5.1901771954230166E-2</v>
      </c>
      <c r="O108" s="125">
        <f t="shared" si="206"/>
        <v>4.0859094536994295E-2</v>
      </c>
      <c r="P108" s="125">
        <f t="shared" si="206"/>
        <v>3.399546183170031E-2</v>
      </c>
      <c r="Q108" s="125">
        <f t="shared" si="206"/>
        <v>3.3253291591086365E-2</v>
      </c>
      <c r="R108" s="125">
        <f t="shared" si="206"/>
        <v>3.3105137243627639E-2</v>
      </c>
      <c r="S108" s="125">
        <f t="shared" si="206"/>
        <v>3.5277080278124359E-2</v>
      </c>
      <c r="T108" s="125">
        <f t="shared" si="206"/>
        <v>3.2071832914451114E-2</v>
      </c>
      <c r="U108" s="125">
        <f t="shared" si="206"/>
        <v>3.2222198082543299E-2</v>
      </c>
      <c r="V108" s="125">
        <f t="shared" si="206"/>
        <v>3.3427691233041401E-2</v>
      </c>
      <c r="W108" s="125">
        <f t="shared" ref="W108" si="207">IF(W7=0,0,W7/W$4)</f>
        <v>3.1511522452644609E-2</v>
      </c>
      <c r="DA108" s="171"/>
    </row>
    <row r="109" spans="1:105" ht="11.45" customHeight="1" x14ac:dyDescent="0.25">
      <c r="A109" s="111" t="s">
        <v>93</v>
      </c>
      <c r="B109" s="125">
        <f t="shared" si="199"/>
        <v>0.73998937172348622</v>
      </c>
      <c r="C109" s="125">
        <f t="shared" si="199"/>
        <v>0.74509301249588422</v>
      </c>
      <c r="D109" s="125">
        <f t="shared" si="199"/>
        <v>0.74941412041021371</v>
      </c>
      <c r="E109" s="125">
        <f t="shared" si="199"/>
        <v>0.74850350778212249</v>
      </c>
      <c r="F109" s="125">
        <f t="shared" si="199"/>
        <v>0.76919481599698225</v>
      </c>
      <c r="G109" s="125">
        <f t="shared" si="199"/>
        <v>0.75035326190508644</v>
      </c>
      <c r="H109" s="125">
        <f t="shared" si="199"/>
        <v>0.75580998490744167</v>
      </c>
      <c r="I109" s="125">
        <f t="shared" si="199"/>
        <v>0.74622439422859077</v>
      </c>
      <c r="J109" s="125">
        <f t="shared" si="199"/>
        <v>0.74250111366308214</v>
      </c>
      <c r="K109" s="125">
        <f t="shared" ref="K109:V109" si="208">IF(K8=0,0,K8/K$4)</f>
        <v>0.7488032998672649</v>
      </c>
      <c r="L109" s="125">
        <f t="shared" si="208"/>
        <v>0.75356764858517744</v>
      </c>
      <c r="M109" s="125">
        <f t="shared" si="208"/>
        <v>0.77063784178540318</v>
      </c>
      <c r="N109" s="125">
        <f t="shared" si="208"/>
        <v>0.75720315865172971</v>
      </c>
      <c r="O109" s="125">
        <f t="shared" si="208"/>
        <v>0.76613029480600714</v>
      </c>
      <c r="P109" s="125">
        <f t="shared" si="208"/>
        <v>0.77418535778088493</v>
      </c>
      <c r="Q109" s="125">
        <f t="shared" si="208"/>
        <v>0.74808323157162715</v>
      </c>
      <c r="R109" s="125">
        <f t="shared" si="208"/>
        <v>0.71775721113646695</v>
      </c>
      <c r="S109" s="125">
        <f t="shared" si="208"/>
        <v>0.70870588902214637</v>
      </c>
      <c r="T109" s="125">
        <f t="shared" si="208"/>
        <v>0.71739868626332126</v>
      </c>
      <c r="U109" s="125">
        <f t="shared" si="208"/>
        <v>0.72136262493524805</v>
      </c>
      <c r="V109" s="125">
        <f t="shared" si="208"/>
        <v>0.73452987726122521</v>
      </c>
      <c r="W109" s="125">
        <f t="shared" ref="W109" si="209">IF(W8=0,0,W8/W$4)</f>
        <v>0.73113562752950334</v>
      </c>
      <c r="DA109" s="171"/>
    </row>
    <row r="110" spans="1:105" ht="11.45" customHeight="1" x14ac:dyDescent="0.25">
      <c r="A110" s="112" t="s">
        <v>25</v>
      </c>
      <c r="B110" s="126">
        <f t="shared" si="199"/>
        <v>0.10053463505346351</v>
      </c>
      <c r="C110" s="126">
        <f t="shared" si="199"/>
        <v>9.973076060130133E-2</v>
      </c>
      <c r="D110" s="126">
        <f t="shared" si="199"/>
        <v>9.9344262295081961E-2</v>
      </c>
      <c r="E110" s="126">
        <f t="shared" si="199"/>
        <v>9.5799236224768144E-2</v>
      </c>
      <c r="F110" s="126">
        <f t="shared" si="199"/>
        <v>9.274790330537741E-2</v>
      </c>
      <c r="G110" s="126">
        <f t="shared" si="199"/>
        <v>0.10402542372881356</v>
      </c>
      <c r="H110" s="126">
        <f t="shared" si="199"/>
        <v>0.10086746015735323</v>
      </c>
      <c r="I110" s="126">
        <f t="shared" si="199"/>
        <v>0.1054549913191528</v>
      </c>
      <c r="J110" s="126">
        <f t="shared" si="199"/>
        <v>0.10701475316882096</v>
      </c>
      <c r="K110" s="126">
        <f t="shared" ref="K110:V110" si="210">IF(K9=0,0,K9/K$4)</f>
        <v>0.10432025717769972</v>
      </c>
      <c r="L110" s="126">
        <f t="shared" si="210"/>
        <v>0.10161135084805233</v>
      </c>
      <c r="M110" s="126">
        <f t="shared" si="210"/>
        <v>8.2112245005601853E-2</v>
      </c>
      <c r="N110" s="126">
        <f t="shared" si="210"/>
        <v>8.1354231798262455E-2</v>
      </c>
      <c r="O110" s="126">
        <f t="shared" si="210"/>
        <v>8.1451815779949074E-2</v>
      </c>
      <c r="P110" s="126">
        <f t="shared" si="210"/>
        <v>8.1647431320716377E-2</v>
      </c>
      <c r="Q110" s="126">
        <f t="shared" si="210"/>
        <v>0.10743775637934019</v>
      </c>
      <c r="R110" s="126">
        <f t="shared" si="210"/>
        <v>0.13503992230617151</v>
      </c>
      <c r="S110" s="126">
        <f t="shared" si="210"/>
        <v>0.13525390723998879</v>
      </c>
      <c r="T110" s="126">
        <f t="shared" si="210"/>
        <v>0.13110075964590495</v>
      </c>
      <c r="U110" s="126">
        <f t="shared" si="210"/>
        <v>0.12693663577811801</v>
      </c>
      <c r="V110" s="126">
        <f t="shared" si="210"/>
        <v>0.11866364801144434</v>
      </c>
      <c r="W110" s="126">
        <f t="shared" ref="W110" si="211">IF(W9=0,0,W9/W$4)</f>
        <v>0.1178430901330305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0.41807012729306964</v>
      </c>
      <c r="C112" s="125">
        <f t="shared" si="212"/>
        <v>0.39071156623342534</v>
      </c>
      <c r="D112" s="125">
        <f t="shared" si="212"/>
        <v>0.33061418302686951</v>
      </c>
      <c r="E112" s="125">
        <f t="shared" si="212"/>
        <v>0.31133598325512951</v>
      </c>
      <c r="F112" s="125">
        <f t="shared" si="212"/>
        <v>0.25880716152786765</v>
      </c>
      <c r="G112" s="125">
        <f t="shared" si="212"/>
        <v>0.25061555243883438</v>
      </c>
      <c r="H112" s="125">
        <f t="shared" si="212"/>
        <v>0.24231631710856091</v>
      </c>
      <c r="I112" s="125">
        <f t="shared" si="212"/>
        <v>0.25066596734344598</v>
      </c>
      <c r="J112" s="125">
        <f t="shared" si="212"/>
        <v>0.23000223230895153</v>
      </c>
      <c r="K112" s="125">
        <f t="shared" ref="K112:V112" si="215">IF(K11=0,0,K11/K$10)</f>
        <v>0.19217660965949221</v>
      </c>
      <c r="L112" s="125">
        <f t="shared" si="215"/>
        <v>0.17052855252771268</v>
      </c>
      <c r="M112" s="125">
        <f t="shared" si="215"/>
        <v>0.17225850852076144</v>
      </c>
      <c r="N112" s="125">
        <f t="shared" si="215"/>
        <v>0.19944268865079517</v>
      </c>
      <c r="O112" s="125">
        <f t="shared" si="215"/>
        <v>0.15816136051666313</v>
      </c>
      <c r="P112" s="125">
        <f t="shared" si="215"/>
        <v>0.1324394733725375</v>
      </c>
      <c r="Q112" s="125">
        <f t="shared" si="215"/>
        <v>0.13265776621263942</v>
      </c>
      <c r="R112" s="125">
        <f t="shared" si="215"/>
        <v>0.13572320138480831</v>
      </c>
      <c r="S112" s="125">
        <f t="shared" si="215"/>
        <v>0.1440562107570528</v>
      </c>
      <c r="T112" s="125">
        <f t="shared" si="215"/>
        <v>0.14289579815763034</v>
      </c>
      <c r="U112" s="125">
        <f t="shared" si="215"/>
        <v>0.14317369228176022</v>
      </c>
      <c r="V112" s="125">
        <f t="shared" si="215"/>
        <v>0.13897337556810702</v>
      </c>
      <c r="W112" s="125">
        <f t="shared" ref="W112" si="216">IF(W11=0,0,W11/W$10)</f>
        <v>0.13699788249065228</v>
      </c>
      <c r="DA112" s="171"/>
    </row>
    <row r="113" spans="1:105" ht="11.45" customHeight="1" x14ac:dyDescent="0.25">
      <c r="A113" s="85" t="s">
        <v>93</v>
      </c>
      <c r="B113" s="127">
        <f t="shared" si="212"/>
        <v>0.58192987270693031</v>
      </c>
      <c r="C113" s="127">
        <f t="shared" si="212"/>
        <v>0.6092884337665746</v>
      </c>
      <c r="D113" s="127">
        <f t="shared" si="212"/>
        <v>0.66938581697313049</v>
      </c>
      <c r="E113" s="127">
        <f t="shared" si="212"/>
        <v>0.68866401674487054</v>
      </c>
      <c r="F113" s="127">
        <f t="shared" si="212"/>
        <v>0.74119283847213235</v>
      </c>
      <c r="G113" s="127">
        <f t="shared" si="212"/>
        <v>0.74938444756116562</v>
      </c>
      <c r="H113" s="127">
        <f t="shared" si="212"/>
        <v>0.75768368289143906</v>
      </c>
      <c r="I113" s="127">
        <f t="shared" si="212"/>
        <v>0.74933403265655396</v>
      </c>
      <c r="J113" s="127">
        <f t="shared" si="212"/>
        <v>0.76999776769104844</v>
      </c>
      <c r="K113" s="127">
        <f t="shared" ref="K113:V113" si="217">IF(K12=0,0,K12/K$10)</f>
        <v>0.80782339034050787</v>
      </c>
      <c r="L113" s="127">
        <f t="shared" si="217"/>
        <v>0.82947144747228729</v>
      </c>
      <c r="M113" s="127">
        <f t="shared" si="217"/>
        <v>0.82774149147923859</v>
      </c>
      <c r="N113" s="127">
        <f t="shared" si="217"/>
        <v>0.80055731134920494</v>
      </c>
      <c r="O113" s="127">
        <f t="shared" si="217"/>
        <v>0.84183863948333681</v>
      </c>
      <c r="P113" s="127">
        <f t="shared" si="217"/>
        <v>0.86756052662746252</v>
      </c>
      <c r="Q113" s="127">
        <f t="shared" si="217"/>
        <v>0.86734223378736053</v>
      </c>
      <c r="R113" s="127">
        <f t="shared" si="217"/>
        <v>0.86427679861519169</v>
      </c>
      <c r="S113" s="127">
        <f t="shared" si="217"/>
        <v>0.85594378924294723</v>
      </c>
      <c r="T113" s="127">
        <f t="shared" si="217"/>
        <v>0.85710420184236957</v>
      </c>
      <c r="U113" s="127">
        <f t="shared" si="217"/>
        <v>0.85682630771823975</v>
      </c>
      <c r="V113" s="127">
        <f t="shared" si="217"/>
        <v>0.86102662443189293</v>
      </c>
      <c r="W113" s="127">
        <f t="shared" ref="W113" si="218">IF(W12=0,0,W12/W$10)</f>
        <v>0.86300211750934763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0.15224220823635728</v>
      </c>
      <c r="C117" s="123">
        <f t="shared" si="219"/>
        <v>0.14678710050698229</v>
      </c>
      <c r="D117" s="123">
        <f t="shared" si="219"/>
        <v>0.1502719493027726</v>
      </c>
      <c r="E117" s="123">
        <f t="shared" si="219"/>
        <v>0.14716044715298141</v>
      </c>
      <c r="F117" s="123">
        <f t="shared" si="219"/>
        <v>0.13501018204375917</v>
      </c>
      <c r="G117" s="123">
        <f t="shared" si="219"/>
        <v>0.1423084085056765</v>
      </c>
      <c r="H117" s="123">
        <f t="shared" si="219"/>
        <v>0.13512005451157183</v>
      </c>
      <c r="I117" s="123">
        <f t="shared" si="219"/>
        <v>0.13790971511807382</v>
      </c>
      <c r="J117" s="123">
        <f t="shared" si="219"/>
        <v>0.13325476083414459</v>
      </c>
      <c r="K117" s="123">
        <f t="shared" ref="K117:V117" si="222">IF(K16=0,0,K16/K$15)</f>
        <v>0.13525265501822203</v>
      </c>
      <c r="L117" s="123">
        <f t="shared" si="222"/>
        <v>0.14385536030888407</v>
      </c>
      <c r="M117" s="123">
        <f t="shared" si="222"/>
        <v>0.15396656342791626</v>
      </c>
      <c r="N117" s="123">
        <f t="shared" si="222"/>
        <v>0.16642518540599494</v>
      </c>
      <c r="O117" s="123">
        <f t="shared" si="222"/>
        <v>0.16389555292022306</v>
      </c>
      <c r="P117" s="123">
        <f t="shared" si="222"/>
        <v>0.16835223290319018</v>
      </c>
      <c r="Q117" s="123">
        <f t="shared" si="222"/>
        <v>0.16257864367005162</v>
      </c>
      <c r="R117" s="123">
        <f t="shared" si="222"/>
        <v>0.15901751226637814</v>
      </c>
      <c r="S117" s="123">
        <f t="shared" si="222"/>
        <v>0.16769365982306522</v>
      </c>
      <c r="T117" s="123">
        <f t="shared" si="222"/>
        <v>0.18155308272173934</v>
      </c>
      <c r="U117" s="123">
        <f t="shared" si="222"/>
        <v>0.18112552665547285</v>
      </c>
      <c r="V117" s="123">
        <f t="shared" si="222"/>
        <v>0.13407475011195227</v>
      </c>
      <c r="W117" s="123">
        <f t="shared" ref="W117" si="223">IF(W16=0,0,W16/W$15)</f>
        <v>0.13033778372233107</v>
      </c>
      <c r="DA117" s="203"/>
    </row>
    <row r="118" spans="1:105" ht="11.45" customHeight="1" x14ac:dyDescent="0.25">
      <c r="A118" s="109" t="s">
        <v>24</v>
      </c>
      <c r="B118" s="124">
        <f t="shared" si="219"/>
        <v>0.81005058074376413</v>
      </c>
      <c r="C118" s="124">
        <f t="shared" si="219"/>
        <v>0.81563472972059325</v>
      </c>
      <c r="D118" s="124">
        <f t="shared" si="219"/>
        <v>0.81082605770061911</v>
      </c>
      <c r="E118" s="124">
        <f t="shared" si="219"/>
        <v>0.8164873036866076</v>
      </c>
      <c r="F118" s="124">
        <f t="shared" si="219"/>
        <v>0.82880513867981109</v>
      </c>
      <c r="G118" s="124">
        <f t="shared" si="219"/>
        <v>0.8193996241212762</v>
      </c>
      <c r="H118" s="124">
        <f t="shared" si="219"/>
        <v>0.83124832898912071</v>
      </c>
      <c r="I118" s="124">
        <f t="shared" si="219"/>
        <v>0.82681367146008933</v>
      </c>
      <c r="J118" s="124">
        <f t="shared" si="219"/>
        <v>0.83044501611073818</v>
      </c>
      <c r="K118" s="124">
        <f t="shared" ref="K118:V118" si="224">IF(K17=0,0,K17/K$15)</f>
        <v>0.82991478852944689</v>
      </c>
      <c r="L118" s="124">
        <f t="shared" si="224"/>
        <v>0.82093380602848698</v>
      </c>
      <c r="M118" s="124">
        <f t="shared" si="224"/>
        <v>0.81526043191377484</v>
      </c>
      <c r="N118" s="124">
        <f t="shared" si="224"/>
        <v>0.80265278826997444</v>
      </c>
      <c r="O118" s="124">
        <f t="shared" si="224"/>
        <v>0.80616478749005038</v>
      </c>
      <c r="P118" s="124">
        <f t="shared" si="224"/>
        <v>0.80042694511630641</v>
      </c>
      <c r="Q118" s="124">
        <f t="shared" si="224"/>
        <v>0.79780660725444918</v>
      </c>
      <c r="R118" s="124">
        <f t="shared" si="224"/>
        <v>0.79307579333284539</v>
      </c>
      <c r="S118" s="124">
        <f t="shared" si="224"/>
        <v>0.7844801336718642</v>
      </c>
      <c r="T118" s="124">
        <f t="shared" si="224"/>
        <v>0.76889928477124869</v>
      </c>
      <c r="U118" s="124">
        <f t="shared" si="224"/>
        <v>0.76916302109718016</v>
      </c>
      <c r="V118" s="124">
        <f t="shared" si="224"/>
        <v>0.81305778239122284</v>
      </c>
      <c r="W118" s="124">
        <f t="shared" ref="W118" si="225">IF(W17=0,0,W17/W$15)</f>
        <v>0.81482380440969571</v>
      </c>
      <c r="DA118" s="176"/>
    </row>
    <row r="119" spans="1:105" ht="11.45" customHeight="1" x14ac:dyDescent="0.25">
      <c r="A119" s="111" t="s">
        <v>92</v>
      </c>
      <c r="B119" s="125">
        <f t="shared" si="219"/>
        <v>5.7161580294682844E-2</v>
      </c>
      <c r="C119" s="125">
        <f t="shared" si="219"/>
        <v>5.4264635286860624E-2</v>
      </c>
      <c r="D119" s="125">
        <f t="shared" si="219"/>
        <v>5.8805830268339264E-2</v>
      </c>
      <c r="E119" s="125">
        <f t="shared" si="219"/>
        <v>6.133268619549849E-2</v>
      </c>
      <c r="F119" s="125">
        <f t="shared" si="219"/>
        <v>5.4421424835514841E-2</v>
      </c>
      <c r="G119" s="125">
        <f t="shared" si="219"/>
        <v>5.5428699114720544E-2</v>
      </c>
      <c r="H119" s="125">
        <f t="shared" si="219"/>
        <v>6.801447497821074E-2</v>
      </c>
      <c r="I119" s="125">
        <f t="shared" si="219"/>
        <v>7.0480106145162591E-2</v>
      </c>
      <c r="J119" s="125">
        <f t="shared" si="219"/>
        <v>6.8547828749368447E-2</v>
      </c>
      <c r="K119" s="125">
        <f t="shared" ref="K119:V119" si="226">IF(K18=0,0,K18/K$15)</f>
        <v>6.6406078297972043E-2</v>
      </c>
      <c r="L119" s="125">
        <f t="shared" si="226"/>
        <v>5.787584462180418E-2</v>
      </c>
      <c r="M119" s="125">
        <f t="shared" si="226"/>
        <v>5.899516878461681E-2</v>
      </c>
      <c r="N119" s="125">
        <f t="shared" si="226"/>
        <v>6.6753222476449922E-2</v>
      </c>
      <c r="O119" s="125">
        <f t="shared" si="226"/>
        <v>5.0558722965507452E-2</v>
      </c>
      <c r="P119" s="125">
        <f t="shared" si="226"/>
        <v>4.1602814204234943E-2</v>
      </c>
      <c r="Q119" s="125">
        <f t="shared" si="226"/>
        <v>5.7839861508206129E-2</v>
      </c>
      <c r="R119" s="125">
        <f t="shared" si="226"/>
        <v>6.0224720648297127E-2</v>
      </c>
      <c r="S119" s="125">
        <f t="shared" si="226"/>
        <v>6.4484436317651939E-2</v>
      </c>
      <c r="T119" s="125">
        <f t="shared" si="226"/>
        <v>5.3856564455041861E-2</v>
      </c>
      <c r="U119" s="125">
        <f t="shared" si="226"/>
        <v>5.032851148704838E-2</v>
      </c>
      <c r="V119" s="125">
        <f t="shared" si="226"/>
        <v>4.3499051642426241E-2</v>
      </c>
      <c r="W119" s="125">
        <f t="shared" ref="W119" si="227">IF(W18=0,0,W18/W$15)</f>
        <v>4.1831998235601929E-2</v>
      </c>
      <c r="DA119" s="171"/>
    </row>
    <row r="120" spans="1:105" ht="11.45" customHeight="1" x14ac:dyDescent="0.25">
      <c r="A120" s="111" t="s">
        <v>93</v>
      </c>
      <c r="B120" s="125">
        <f t="shared" si="219"/>
        <v>0.75288900044908125</v>
      </c>
      <c r="C120" s="125">
        <f t="shared" si="219"/>
        <v>0.76137009443373271</v>
      </c>
      <c r="D120" s="125">
        <f t="shared" si="219"/>
        <v>0.75202022743227981</v>
      </c>
      <c r="E120" s="125">
        <f t="shared" si="219"/>
        <v>0.75515461749110913</v>
      </c>
      <c r="F120" s="125">
        <f t="shared" si="219"/>
        <v>0.77438371384429627</v>
      </c>
      <c r="G120" s="125">
        <f t="shared" si="219"/>
        <v>0.7639709250065555</v>
      </c>
      <c r="H120" s="125">
        <f t="shared" si="219"/>
        <v>0.76323385401091004</v>
      </c>
      <c r="I120" s="125">
        <f t="shared" si="219"/>
        <v>0.75633356531492668</v>
      </c>
      <c r="J120" s="125">
        <f t="shared" si="219"/>
        <v>0.76189718736136958</v>
      </c>
      <c r="K120" s="125">
        <f t="shared" ref="K120:V120" si="228">IF(K19=0,0,K19/K$15)</f>
        <v>0.76350871023147482</v>
      </c>
      <c r="L120" s="125">
        <f t="shared" si="228"/>
        <v>0.76305796140668281</v>
      </c>
      <c r="M120" s="125">
        <f t="shared" si="228"/>
        <v>0.75626526312915809</v>
      </c>
      <c r="N120" s="125">
        <f t="shared" si="228"/>
        <v>0.73589956579352456</v>
      </c>
      <c r="O120" s="125">
        <f t="shared" si="228"/>
        <v>0.75560606452454293</v>
      </c>
      <c r="P120" s="125">
        <f t="shared" si="228"/>
        <v>0.75882413091207157</v>
      </c>
      <c r="Q120" s="125">
        <f t="shared" si="228"/>
        <v>0.7399667457462431</v>
      </c>
      <c r="R120" s="125">
        <f t="shared" si="228"/>
        <v>0.73285107268454819</v>
      </c>
      <c r="S120" s="125">
        <f t="shared" si="228"/>
        <v>0.71999569735421232</v>
      </c>
      <c r="T120" s="125">
        <f t="shared" si="228"/>
        <v>0.71504272031620675</v>
      </c>
      <c r="U120" s="125">
        <f t="shared" si="228"/>
        <v>0.71883450961013173</v>
      </c>
      <c r="V120" s="125">
        <f t="shared" si="228"/>
        <v>0.76955873074879666</v>
      </c>
      <c r="W120" s="125">
        <f t="shared" ref="W120" si="229">IF(W19=0,0,W19/W$15)</f>
        <v>0.77299180617409369</v>
      </c>
      <c r="DA120" s="171"/>
    </row>
    <row r="121" spans="1:105" ht="11.45" customHeight="1" x14ac:dyDescent="0.25">
      <c r="A121" s="112" t="s">
        <v>25</v>
      </c>
      <c r="B121" s="126">
        <f t="shared" si="219"/>
        <v>3.7707211019878471E-2</v>
      </c>
      <c r="C121" s="126">
        <f t="shared" si="219"/>
        <v>3.7578169772424501E-2</v>
      </c>
      <c r="D121" s="126">
        <f t="shared" si="219"/>
        <v>3.8901992996608244E-2</v>
      </c>
      <c r="E121" s="126">
        <f t="shared" si="219"/>
        <v>3.6352249160411125E-2</v>
      </c>
      <c r="F121" s="126">
        <f t="shared" si="219"/>
        <v>3.6184679276429724E-2</v>
      </c>
      <c r="G121" s="126">
        <f t="shared" si="219"/>
        <v>3.8291967373047416E-2</v>
      </c>
      <c r="H121" s="126">
        <f t="shared" si="219"/>
        <v>3.3631616499307453E-2</v>
      </c>
      <c r="I121" s="126">
        <f t="shared" si="219"/>
        <v>3.5276613421836835E-2</v>
      </c>
      <c r="J121" s="126">
        <f t="shared" si="219"/>
        <v>3.6300223055117306E-2</v>
      </c>
      <c r="K121" s="126">
        <f t="shared" ref="K121:V121" si="230">IF(K20=0,0,K20/K$15)</f>
        <v>3.4832556452330979E-2</v>
      </c>
      <c r="L121" s="126">
        <f t="shared" si="230"/>
        <v>3.5210833662628969E-2</v>
      </c>
      <c r="M121" s="126">
        <f t="shared" si="230"/>
        <v>3.07730046583089E-2</v>
      </c>
      <c r="N121" s="126">
        <f t="shared" si="230"/>
        <v>3.0922026324030603E-2</v>
      </c>
      <c r="O121" s="126">
        <f t="shared" si="230"/>
        <v>2.9939659589726549E-2</v>
      </c>
      <c r="P121" s="126">
        <f t="shared" si="230"/>
        <v>3.1220821980503494E-2</v>
      </c>
      <c r="Q121" s="126">
        <f t="shared" si="230"/>
        <v>3.9614749075499271E-2</v>
      </c>
      <c r="R121" s="126">
        <f t="shared" si="230"/>
        <v>4.7906694400776537E-2</v>
      </c>
      <c r="S121" s="126">
        <f t="shared" si="230"/>
        <v>4.782620650507062E-2</v>
      </c>
      <c r="T121" s="126">
        <f t="shared" si="230"/>
        <v>4.954763250701201E-2</v>
      </c>
      <c r="U121" s="126">
        <f t="shared" si="230"/>
        <v>4.9711452247347035E-2</v>
      </c>
      <c r="V121" s="126">
        <f t="shared" si="230"/>
        <v>5.2867467496824791E-2</v>
      </c>
      <c r="W121" s="126">
        <f t="shared" ref="W121" si="231">IF(W20=0,0,W20/W$15)</f>
        <v>5.4838411867973225E-2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0.40997658980982032</v>
      </c>
      <c r="C123" s="125">
        <f t="shared" si="232"/>
        <v>0.37216738296788204</v>
      </c>
      <c r="D123" s="125">
        <f t="shared" si="232"/>
        <v>0.29631606465725291</v>
      </c>
      <c r="E123" s="125">
        <f t="shared" si="232"/>
        <v>0.26305262574547783</v>
      </c>
      <c r="F123" s="125">
        <f t="shared" si="232"/>
        <v>0.22610041706630946</v>
      </c>
      <c r="G123" s="125">
        <f t="shared" si="232"/>
        <v>0.22352996639696035</v>
      </c>
      <c r="H123" s="125">
        <f t="shared" si="232"/>
        <v>0.24257600058577819</v>
      </c>
      <c r="I123" s="125">
        <f t="shared" si="232"/>
        <v>0.25495649210197707</v>
      </c>
      <c r="J123" s="125">
        <f t="shared" si="232"/>
        <v>0.21889720175039923</v>
      </c>
      <c r="K123" s="125">
        <f t="shared" ref="K123:V123" si="235">IF(K22=0,0,K22/K$21)</f>
        <v>0.1700814018241765</v>
      </c>
      <c r="L123" s="125">
        <f t="shared" si="235"/>
        <v>0.13329287622632069</v>
      </c>
      <c r="M123" s="125">
        <f t="shared" si="235"/>
        <v>0.12695415628387105</v>
      </c>
      <c r="N123" s="125">
        <f t="shared" si="235"/>
        <v>0.16177472269786075</v>
      </c>
      <c r="O123" s="125">
        <f t="shared" si="235"/>
        <v>0.1270132720707324</v>
      </c>
      <c r="P123" s="125">
        <f t="shared" si="235"/>
        <v>0.11059772320461873</v>
      </c>
      <c r="Q123" s="125">
        <f t="shared" si="235"/>
        <v>0.10668994096282332</v>
      </c>
      <c r="R123" s="125">
        <f t="shared" si="235"/>
        <v>0.11322062720006248</v>
      </c>
      <c r="S123" s="125">
        <f t="shared" si="235"/>
        <v>0.12435720850406927</v>
      </c>
      <c r="T123" s="125">
        <f t="shared" si="235"/>
        <v>0.12522923534667607</v>
      </c>
      <c r="U123" s="125">
        <f t="shared" si="235"/>
        <v>0.14195521612448037</v>
      </c>
      <c r="V123" s="125">
        <f t="shared" si="235"/>
        <v>0.15043182252451714</v>
      </c>
      <c r="W123" s="125">
        <f t="shared" ref="W123" si="236">IF(W22=0,0,W22/W$21)</f>
        <v>0.14639953637699343</v>
      </c>
      <c r="DA123" s="171"/>
    </row>
    <row r="124" spans="1:105" ht="11.45" customHeight="1" x14ac:dyDescent="0.25">
      <c r="A124" s="85" t="s">
        <v>93</v>
      </c>
      <c r="B124" s="127">
        <f t="shared" si="232"/>
        <v>0.59002341019017956</v>
      </c>
      <c r="C124" s="127">
        <f t="shared" si="232"/>
        <v>0.6278326170321179</v>
      </c>
      <c r="D124" s="127">
        <f t="shared" si="232"/>
        <v>0.70368393534274709</v>
      </c>
      <c r="E124" s="127">
        <f t="shared" si="232"/>
        <v>0.73694737425452217</v>
      </c>
      <c r="F124" s="127">
        <f t="shared" si="232"/>
        <v>0.77389958293369054</v>
      </c>
      <c r="G124" s="127">
        <f t="shared" si="232"/>
        <v>0.77647003360303968</v>
      </c>
      <c r="H124" s="127">
        <f t="shared" si="232"/>
        <v>0.75742399941422178</v>
      </c>
      <c r="I124" s="127">
        <f t="shared" si="232"/>
        <v>0.74504350789802298</v>
      </c>
      <c r="J124" s="127">
        <f t="shared" si="232"/>
        <v>0.78110279824960083</v>
      </c>
      <c r="K124" s="127">
        <f t="shared" ref="K124:V124" si="237">IF(K23=0,0,K23/K$21)</f>
        <v>0.82991859817582347</v>
      </c>
      <c r="L124" s="127">
        <f t="shared" si="237"/>
        <v>0.86670712377367931</v>
      </c>
      <c r="M124" s="127">
        <f t="shared" si="237"/>
        <v>0.87304584371612892</v>
      </c>
      <c r="N124" s="127">
        <f t="shared" si="237"/>
        <v>0.83822527730213925</v>
      </c>
      <c r="O124" s="127">
        <f t="shared" si="237"/>
        <v>0.87298672792926768</v>
      </c>
      <c r="P124" s="127">
        <f t="shared" si="237"/>
        <v>0.88940227679538131</v>
      </c>
      <c r="Q124" s="127">
        <f t="shared" si="237"/>
        <v>0.89331005903717664</v>
      </c>
      <c r="R124" s="127">
        <f t="shared" si="237"/>
        <v>0.88677937279993757</v>
      </c>
      <c r="S124" s="127">
        <f t="shared" si="237"/>
        <v>0.87564279149593083</v>
      </c>
      <c r="T124" s="127">
        <f t="shared" si="237"/>
        <v>0.87477076465332393</v>
      </c>
      <c r="U124" s="127">
        <f t="shared" si="237"/>
        <v>0.85804478387551952</v>
      </c>
      <c r="V124" s="127">
        <f t="shared" si="237"/>
        <v>0.84956817747548286</v>
      </c>
      <c r="W124" s="127">
        <f t="shared" ref="W124" si="238">IF(W23=0,0,W23/W$21)</f>
        <v>0.85360046362300646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177.84608770421323</v>
      </c>
      <c r="C4" s="146">
        <f t="shared" ref="C4:V4" si="0">SUM(C5,C8)</f>
        <v>173.41358555460019</v>
      </c>
      <c r="D4" s="146">
        <f t="shared" si="0"/>
        <v>168.19432502149616</v>
      </c>
      <c r="E4" s="146">
        <f t="shared" si="0"/>
        <v>169.93551160791057</v>
      </c>
      <c r="F4" s="146">
        <f t="shared" si="0"/>
        <v>183.24307824591571</v>
      </c>
      <c r="G4" s="146">
        <f t="shared" si="0"/>
        <v>185.62914875322443</v>
      </c>
      <c r="H4" s="146">
        <f t="shared" si="0"/>
        <v>200.31384350816856</v>
      </c>
      <c r="I4" s="146">
        <f t="shared" si="0"/>
        <v>202.33018056749788</v>
      </c>
      <c r="J4" s="146">
        <f t="shared" si="0"/>
        <v>201.98194325021498</v>
      </c>
      <c r="K4" s="146">
        <f t="shared" si="0"/>
        <v>180.67067927773002</v>
      </c>
      <c r="L4" s="146">
        <f t="shared" si="0"/>
        <v>180.9802235597592</v>
      </c>
      <c r="M4" s="146">
        <f t="shared" si="0"/>
        <v>173.16276870163375</v>
      </c>
      <c r="N4" s="146">
        <f t="shared" si="0"/>
        <v>170.69793637145315</v>
      </c>
      <c r="O4" s="146">
        <f t="shared" si="0"/>
        <v>165.7552020636285</v>
      </c>
      <c r="P4" s="146">
        <f t="shared" si="0"/>
        <v>153.77325881341358</v>
      </c>
      <c r="Q4" s="146">
        <f t="shared" si="0"/>
        <v>156.07592433361992</v>
      </c>
      <c r="R4" s="146">
        <f t="shared" si="0"/>
        <v>157.34711951848664</v>
      </c>
      <c r="S4" s="146">
        <f t="shared" si="0"/>
        <v>162.44883920894242</v>
      </c>
      <c r="T4" s="146">
        <f t="shared" si="0"/>
        <v>163.12957867583827</v>
      </c>
      <c r="U4" s="146">
        <f t="shared" si="0"/>
        <v>163.463456577816</v>
      </c>
      <c r="V4" s="146">
        <f t="shared" si="0"/>
        <v>148.2177987962167</v>
      </c>
      <c r="W4" s="146">
        <f t="shared" ref="W4" si="1">SUM(W5,W8)</f>
        <v>153.83886500429918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54.028374892519338</v>
      </c>
      <c r="C5" s="101">
        <f t="shared" ref="C5:V5" si="2">SUM(C6:C7)</f>
        <v>47.618228718830601</v>
      </c>
      <c r="D5" s="101">
        <f t="shared" si="2"/>
        <v>43.34479793637145</v>
      </c>
      <c r="E5" s="101">
        <f t="shared" si="2"/>
        <v>41.818572656921752</v>
      </c>
      <c r="F5" s="101">
        <f t="shared" si="2"/>
        <v>40.801117798796213</v>
      </c>
      <c r="G5" s="101">
        <f t="shared" si="2"/>
        <v>42.32734307824591</v>
      </c>
      <c r="H5" s="101">
        <f t="shared" si="2"/>
        <v>50.97592433361995</v>
      </c>
      <c r="I5" s="101">
        <f t="shared" si="2"/>
        <v>54.333619948409279</v>
      </c>
      <c r="J5" s="101">
        <f t="shared" si="2"/>
        <v>50.365434221840069</v>
      </c>
      <c r="K5" s="101">
        <f t="shared" si="2"/>
        <v>37.850386930352528</v>
      </c>
      <c r="L5" s="101">
        <f t="shared" si="2"/>
        <v>33.576956147893377</v>
      </c>
      <c r="M5" s="101">
        <f t="shared" si="2"/>
        <v>32.457695614789337</v>
      </c>
      <c r="N5" s="101">
        <f t="shared" si="2"/>
        <v>37.138177128116943</v>
      </c>
      <c r="O5" s="101">
        <f t="shared" si="2"/>
        <v>28.48950988822012</v>
      </c>
      <c r="P5" s="101">
        <f t="shared" si="2"/>
        <v>22.079363714531389</v>
      </c>
      <c r="Q5" s="101">
        <f t="shared" si="2"/>
        <v>22.447377472055024</v>
      </c>
      <c r="R5" s="101">
        <f t="shared" si="2"/>
        <v>23.159673258813413</v>
      </c>
      <c r="S5" s="101">
        <f t="shared" si="2"/>
        <v>25.398108340498705</v>
      </c>
      <c r="T5" s="101">
        <f t="shared" si="2"/>
        <v>25.296388650042985</v>
      </c>
      <c r="U5" s="101">
        <f t="shared" si="2"/>
        <v>25.398108340498705</v>
      </c>
      <c r="V5" s="101">
        <f t="shared" si="2"/>
        <v>22.345055889939815</v>
      </c>
      <c r="W5" s="101">
        <f t="shared" ref="W5" si="3">SUM(W6:W7)</f>
        <v>22.858641444539984</v>
      </c>
      <c r="DA5" s="175"/>
    </row>
    <row r="6" spans="1:105" ht="11.45" customHeight="1" x14ac:dyDescent="0.25">
      <c r="A6" s="164" t="s">
        <v>182</v>
      </c>
      <c r="B6" s="165">
        <v>54.028374892519338</v>
      </c>
      <c r="C6" s="165">
        <v>47.618228718830601</v>
      </c>
      <c r="D6" s="165">
        <v>43.34479793637145</v>
      </c>
      <c r="E6" s="165">
        <v>41.818572656921752</v>
      </c>
      <c r="F6" s="165">
        <v>40.801117798796213</v>
      </c>
      <c r="G6" s="165">
        <v>42.32734307824591</v>
      </c>
      <c r="H6" s="165">
        <v>50.97592433361995</v>
      </c>
      <c r="I6" s="165">
        <v>54.333619948409279</v>
      </c>
      <c r="J6" s="165">
        <v>50.365434221840069</v>
      </c>
      <c r="K6" s="165">
        <v>37.850386930352528</v>
      </c>
      <c r="L6" s="165">
        <v>33.576956147893377</v>
      </c>
      <c r="M6" s="165">
        <v>32.457695614789337</v>
      </c>
      <c r="N6" s="165">
        <v>37.138177128116943</v>
      </c>
      <c r="O6" s="165">
        <v>28.48950988822012</v>
      </c>
      <c r="P6" s="165">
        <v>22.079363714531389</v>
      </c>
      <c r="Q6" s="165">
        <v>22.447377472055024</v>
      </c>
      <c r="R6" s="165">
        <v>23.159673258813413</v>
      </c>
      <c r="S6" s="165">
        <v>25.398108340498705</v>
      </c>
      <c r="T6" s="165">
        <v>25.296388650042985</v>
      </c>
      <c r="U6" s="165">
        <v>25.398108340498705</v>
      </c>
      <c r="V6" s="165">
        <v>22.345055889939815</v>
      </c>
      <c r="W6" s="165">
        <v>22.858641444539984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DA7" s="177" t="s">
        <v>1103</v>
      </c>
    </row>
    <row r="8" spans="1:105" ht="11.45" customHeight="1" x14ac:dyDescent="0.25">
      <c r="A8" s="85" t="s">
        <v>91</v>
      </c>
      <c r="B8" s="88">
        <v>123.81771281169389</v>
      </c>
      <c r="C8" s="88">
        <v>125.7953568357696</v>
      </c>
      <c r="D8" s="88">
        <v>124.84952708512471</v>
      </c>
      <c r="E8" s="88">
        <v>128.11693895098881</v>
      </c>
      <c r="F8" s="88">
        <v>142.4419604471195</v>
      </c>
      <c r="G8" s="88">
        <v>143.30180567497851</v>
      </c>
      <c r="H8" s="88">
        <v>149.3379191745486</v>
      </c>
      <c r="I8" s="88">
        <v>147.9965606190886</v>
      </c>
      <c r="J8" s="88">
        <v>151.61650902837491</v>
      </c>
      <c r="K8" s="88">
        <v>142.82029234737749</v>
      </c>
      <c r="L8" s="88">
        <v>147.40326741186581</v>
      </c>
      <c r="M8" s="88">
        <v>140.70507308684441</v>
      </c>
      <c r="N8" s="88">
        <v>133.5597592433362</v>
      </c>
      <c r="O8" s="88">
        <v>137.26569217540839</v>
      </c>
      <c r="P8" s="88">
        <v>131.69389509888219</v>
      </c>
      <c r="Q8" s="88">
        <v>133.6285468615649</v>
      </c>
      <c r="R8" s="88">
        <v>134.18744625967321</v>
      </c>
      <c r="S8" s="88">
        <v>137.05073086844371</v>
      </c>
      <c r="T8" s="88">
        <v>137.83319002579529</v>
      </c>
      <c r="U8" s="88">
        <v>138.06534823731729</v>
      </c>
      <c r="V8" s="88">
        <v>125.8727429062769</v>
      </c>
      <c r="W8" s="88">
        <v>130.9802235597592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177.84608770421323</v>
      </c>
      <c r="C10" s="62">
        <f t="shared" ref="C10:V10" si="5">SUM(C11,C17)</f>
        <v>173.41358555460019</v>
      </c>
      <c r="D10" s="62">
        <f t="shared" si="5"/>
        <v>168.19432502149616</v>
      </c>
      <c r="E10" s="62">
        <f t="shared" si="5"/>
        <v>169.93551160791057</v>
      </c>
      <c r="F10" s="62">
        <f t="shared" si="5"/>
        <v>183.24307824591574</v>
      </c>
      <c r="G10" s="62">
        <f t="shared" si="5"/>
        <v>185.62914875322446</v>
      </c>
      <c r="H10" s="62">
        <f t="shared" si="5"/>
        <v>200.31384350816856</v>
      </c>
      <c r="I10" s="62">
        <f t="shared" si="5"/>
        <v>202.33018056749791</v>
      </c>
      <c r="J10" s="62">
        <f t="shared" si="5"/>
        <v>201.98194325021498</v>
      </c>
      <c r="K10" s="62">
        <f t="shared" si="5"/>
        <v>180.67067927773002</v>
      </c>
      <c r="L10" s="62">
        <f t="shared" si="5"/>
        <v>180.98022355975917</v>
      </c>
      <c r="M10" s="62">
        <f t="shared" si="5"/>
        <v>173.16276870163375</v>
      </c>
      <c r="N10" s="62">
        <f t="shared" si="5"/>
        <v>170.69793637145315</v>
      </c>
      <c r="O10" s="62">
        <f t="shared" si="5"/>
        <v>165.75520206362853</v>
      </c>
      <c r="P10" s="62">
        <f t="shared" si="5"/>
        <v>153.77325881341361</v>
      </c>
      <c r="Q10" s="62">
        <f t="shared" si="5"/>
        <v>156.07592433361992</v>
      </c>
      <c r="R10" s="62">
        <f t="shared" si="5"/>
        <v>157.34711951848664</v>
      </c>
      <c r="S10" s="62">
        <f t="shared" si="5"/>
        <v>162.44883920894239</v>
      </c>
      <c r="T10" s="62">
        <f t="shared" si="5"/>
        <v>163.12957867583827</v>
      </c>
      <c r="U10" s="62">
        <f t="shared" si="5"/>
        <v>163.46345657781598</v>
      </c>
      <c r="V10" s="62">
        <f t="shared" si="5"/>
        <v>148.2177987962167</v>
      </c>
      <c r="W10" s="62">
        <f t="shared" ref="W10" si="6">SUM(W11,W17)</f>
        <v>153.83886500429918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123.88622009564459</v>
      </c>
      <c r="C11" s="29">
        <f t="shared" ref="C11:V11" si="8">SUM(C12,C13,C16)</f>
        <v>125.28730794823163</v>
      </c>
      <c r="D11" s="29">
        <f t="shared" si="8"/>
        <v>123.64982261575796</v>
      </c>
      <c r="E11" s="29">
        <f t="shared" si="8"/>
        <v>126.78745703306031</v>
      </c>
      <c r="F11" s="29">
        <f t="shared" si="8"/>
        <v>135.54344863862161</v>
      </c>
      <c r="G11" s="29">
        <f t="shared" si="8"/>
        <v>133.98229018118587</v>
      </c>
      <c r="H11" s="29">
        <f t="shared" si="8"/>
        <v>145.05623807767785</v>
      </c>
      <c r="I11" s="29">
        <f t="shared" si="8"/>
        <v>145.12658622138153</v>
      </c>
      <c r="J11" s="29">
        <f t="shared" si="8"/>
        <v>147.84905343401718</v>
      </c>
      <c r="K11" s="29">
        <f t="shared" si="8"/>
        <v>143.70798334983022</v>
      </c>
      <c r="L11" s="29">
        <f t="shared" si="8"/>
        <v>140.50628920223471</v>
      </c>
      <c r="M11" s="29">
        <f t="shared" si="8"/>
        <v>133.82690957708991</v>
      </c>
      <c r="N11" s="29">
        <f t="shared" si="8"/>
        <v>131.51263605213825</v>
      </c>
      <c r="O11" s="29">
        <f t="shared" si="8"/>
        <v>128.0934282386213</v>
      </c>
      <c r="P11" s="29">
        <f t="shared" si="8"/>
        <v>118.10291152995619</v>
      </c>
      <c r="Q11" s="29">
        <f t="shared" si="8"/>
        <v>120.34024182140611</v>
      </c>
      <c r="R11" s="29">
        <f t="shared" si="8"/>
        <v>121.730065740729</v>
      </c>
      <c r="S11" s="29">
        <f t="shared" si="8"/>
        <v>125.26115219430815</v>
      </c>
      <c r="T11" s="29">
        <f t="shared" si="8"/>
        <v>114.42520665437202</v>
      </c>
      <c r="U11" s="29">
        <f t="shared" si="8"/>
        <v>117.41306991709367</v>
      </c>
      <c r="V11" s="29">
        <f t="shared" si="8"/>
        <v>105.40100479279639</v>
      </c>
      <c r="W11" s="29">
        <f t="shared" ref="W11" si="9">SUM(W12,W13,W16)</f>
        <v>108.10850236038659</v>
      </c>
      <c r="DA11" s="173" t="s">
        <v>394</v>
      </c>
    </row>
    <row r="12" spans="1:105" ht="11.45" customHeight="1" x14ac:dyDescent="0.25">
      <c r="A12" s="107" t="s">
        <v>23</v>
      </c>
      <c r="B12" s="115">
        <v>5.5265356812686006</v>
      </c>
      <c r="C12" s="115">
        <v>5.434040937071333</v>
      </c>
      <c r="D12" s="115">
        <v>5.4352740757328499</v>
      </c>
      <c r="E12" s="115">
        <v>5.4964104934362368</v>
      </c>
      <c r="F12" s="115">
        <v>5.3676426740308019</v>
      </c>
      <c r="G12" s="115">
        <v>5.5477639160253309</v>
      </c>
      <c r="H12" s="115">
        <v>5.5820120843833232</v>
      </c>
      <c r="I12" s="115">
        <v>5.6490380305738537</v>
      </c>
      <c r="J12" s="115">
        <v>5.6967635998961565</v>
      </c>
      <c r="K12" s="115">
        <v>5.6741521140436681</v>
      </c>
      <c r="L12" s="115">
        <v>5.9615551047427982</v>
      </c>
      <c r="M12" s="115">
        <v>6.1548627078600653</v>
      </c>
      <c r="N12" s="115">
        <v>6.5965876443760241</v>
      </c>
      <c r="O12" s="115">
        <v>6.6260761198554663</v>
      </c>
      <c r="P12" s="115">
        <v>6.4777277822823027</v>
      </c>
      <c r="Q12" s="115">
        <v>6.4640739966147391</v>
      </c>
      <c r="R12" s="115">
        <v>6.5070839899660244</v>
      </c>
      <c r="S12" s="115">
        <v>7.1441561058339005</v>
      </c>
      <c r="T12" s="115">
        <v>7.2824036210388572</v>
      </c>
      <c r="U12" s="115">
        <v>7.5214795409677135</v>
      </c>
      <c r="V12" s="115">
        <v>4.8847380613134881</v>
      </c>
      <c r="W12" s="115">
        <v>4.8798603031474794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110.62877292406149</v>
      </c>
      <c r="C13" s="116">
        <f t="shared" ref="C13:V13" si="11">SUM(C14:C15)</f>
        <v>111.94698087512705</v>
      </c>
      <c r="D13" s="116">
        <f t="shared" si="11"/>
        <v>110.15982529720914</v>
      </c>
      <c r="E13" s="116">
        <f t="shared" si="11"/>
        <v>113.47497176938688</v>
      </c>
      <c r="F13" s="116">
        <f t="shared" si="11"/>
        <v>121.82239200870667</v>
      </c>
      <c r="G13" s="116">
        <f t="shared" si="11"/>
        <v>119.85445176026813</v>
      </c>
      <c r="H13" s="116">
        <f t="shared" si="11"/>
        <v>131.54004011463178</v>
      </c>
      <c r="I13" s="116">
        <f t="shared" si="11"/>
        <v>131.11921314083753</v>
      </c>
      <c r="J13" s="116">
        <f t="shared" si="11"/>
        <v>133.11587696793191</v>
      </c>
      <c r="K13" s="116">
        <f t="shared" si="11"/>
        <v>129.53433651854871</v>
      </c>
      <c r="L13" s="116">
        <f t="shared" si="11"/>
        <v>125.97762795161077</v>
      </c>
      <c r="M13" s="116">
        <f t="shared" si="11"/>
        <v>120.43782911498059</v>
      </c>
      <c r="N13" s="116">
        <f t="shared" si="11"/>
        <v>117.71850088100608</v>
      </c>
      <c r="O13" s="116">
        <f t="shared" si="11"/>
        <v>114.31494251422946</v>
      </c>
      <c r="P13" s="116">
        <f t="shared" si="11"/>
        <v>104.51404027503375</v>
      </c>
      <c r="Q13" s="116">
        <f t="shared" si="11"/>
        <v>104.79503742846146</v>
      </c>
      <c r="R13" s="116">
        <f t="shared" si="11"/>
        <v>104.13063130228205</v>
      </c>
      <c r="S13" s="116">
        <f t="shared" si="11"/>
        <v>106.73798477217922</v>
      </c>
      <c r="T13" s="116">
        <f t="shared" si="11"/>
        <v>96.173787381208996</v>
      </c>
      <c r="U13" s="116">
        <f t="shared" si="11"/>
        <v>98.621270677577286</v>
      </c>
      <c r="V13" s="116">
        <f t="shared" si="11"/>
        <v>90.106729975591776</v>
      </c>
      <c r="W13" s="116">
        <f t="shared" ref="W13" si="12">SUM(W14:W15)</f>
        <v>92.216675796848151</v>
      </c>
      <c r="DA13" s="176" t="s">
        <v>396</v>
      </c>
    </row>
    <row r="14" spans="1:105" ht="11.45" customHeight="1" x14ac:dyDescent="0.25">
      <c r="A14" s="111" t="s">
        <v>95</v>
      </c>
      <c r="B14" s="87">
        <v>18.227759782577181</v>
      </c>
      <c r="C14" s="87">
        <v>17.502801923499124</v>
      </c>
      <c r="D14" s="87">
        <v>18.476276520009019</v>
      </c>
      <c r="E14" s="87">
        <v>19.808935132708378</v>
      </c>
      <c r="F14" s="87">
        <v>18.82533831227148</v>
      </c>
      <c r="G14" s="87">
        <v>18.791643878281082</v>
      </c>
      <c r="H14" s="87">
        <v>24.397379202258094</v>
      </c>
      <c r="I14" s="87">
        <v>25.383568948095629</v>
      </c>
      <c r="J14" s="87">
        <v>25.981868684905159</v>
      </c>
      <c r="K14" s="87">
        <v>24.050394972212317</v>
      </c>
      <c r="L14" s="87">
        <v>20.941526074781628</v>
      </c>
      <c r="M14" s="87">
        <v>20.686959991448596</v>
      </c>
      <c r="N14" s="87">
        <v>23.244123963480149</v>
      </c>
      <c r="O14" s="87">
        <v>17.556662259728494</v>
      </c>
      <c r="P14" s="87">
        <v>12.931121421048415</v>
      </c>
      <c r="Q14" s="87">
        <v>13.602811465720556</v>
      </c>
      <c r="R14" s="87">
        <v>13.846589473534888</v>
      </c>
      <c r="S14" s="87">
        <v>14.851377255754619</v>
      </c>
      <c r="T14" s="87">
        <v>11.345549050705181</v>
      </c>
      <c r="U14" s="87">
        <v>10.740688579113085</v>
      </c>
      <c r="V14" s="87">
        <v>8.0131356533425517</v>
      </c>
      <c r="W14" s="87">
        <v>7.8230227025448187</v>
      </c>
      <c r="DA14" s="171" t="s">
        <v>1106</v>
      </c>
    </row>
    <row r="15" spans="1:105" ht="11.45" customHeight="1" x14ac:dyDescent="0.25">
      <c r="A15" s="111" t="s">
        <v>93</v>
      </c>
      <c r="B15" s="87">
        <v>92.401013141484313</v>
      </c>
      <c r="C15" s="87">
        <v>94.444178951627933</v>
      </c>
      <c r="D15" s="87">
        <v>91.683548777200116</v>
      </c>
      <c r="E15" s="87">
        <v>93.666036636678498</v>
      </c>
      <c r="F15" s="87">
        <v>102.99705369643519</v>
      </c>
      <c r="G15" s="87">
        <v>101.06280788198706</v>
      </c>
      <c r="H15" s="87">
        <v>107.1426609123737</v>
      </c>
      <c r="I15" s="87">
        <v>105.73564419274189</v>
      </c>
      <c r="J15" s="87">
        <v>107.13400828302674</v>
      </c>
      <c r="K15" s="87">
        <v>105.4839415463364</v>
      </c>
      <c r="L15" s="87">
        <v>105.03610187682914</v>
      </c>
      <c r="M15" s="87">
        <v>99.750869123531984</v>
      </c>
      <c r="N15" s="87">
        <v>94.47437691752593</v>
      </c>
      <c r="O15" s="87">
        <v>96.75828025450096</v>
      </c>
      <c r="P15" s="87">
        <v>91.582918853985333</v>
      </c>
      <c r="Q15" s="87">
        <v>91.192225962740906</v>
      </c>
      <c r="R15" s="87">
        <v>90.284041828747164</v>
      </c>
      <c r="S15" s="87">
        <v>91.886607516424604</v>
      </c>
      <c r="T15" s="87">
        <v>84.828238330503822</v>
      </c>
      <c r="U15" s="87">
        <v>87.880582098464203</v>
      </c>
      <c r="V15" s="87">
        <v>82.093594322249231</v>
      </c>
      <c r="W15" s="87">
        <v>84.393653094303332</v>
      </c>
      <c r="DA15" s="171" t="s">
        <v>1107</v>
      </c>
    </row>
    <row r="16" spans="1:105" ht="11.45" customHeight="1" x14ac:dyDescent="0.25">
      <c r="A16" s="112" t="s">
        <v>25</v>
      </c>
      <c r="B16" s="117">
        <v>7.7309114903144964</v>
      </c>
      <c r="C16" s="117">
        <v>7.9062861360332386</v>
      </c>
      <c r="D16" s="117">
        <v>8.0547232428159639</v>
      </c>
      <c r="E16" s="117">
        <v>7.8160747702371944</v>
      </c>
      <c r="F16" s="117">
        <v>8.3534139558841218</v>
      </c>
      <c r="G16" s="117">
        <v>8.5800745048923996</v>
      </c>
      <c r="H16" s="117">
        <v>7.9341858786627357</v>
      </c>
      <c r="I16" s="117">
        <v>8.3583350499701581</v>
      </c>
      <c r="J16" s="117">
        <v>9.0364128661891243</v>
      </c>
      <c r="K16" s="117">
        <v>8.499494717237825</v>
      </c>
      <c r="L16" s="117">
        <v>8.5671061458811568</v>
      </c>
      <c r="M16" s="117">
        <v>7.2342177542492472</v>
      </c>
      <c r="N16" s="117">
        <v>7.1975475267561535</v>
      </c>
      <c r="O16" s="117">
        <v>7.152409604536361</v>
      </c>
      <c r="P16" s="117">
        <v>7.1111434726401432</v>
      </c>
      <c r="Q16" s="117">
        <v>9.0811303963299057</v>
      </c>
      <c r="R16" s="117">
        <v>11.092350448480921</v>
      </c>
      <c r="S16" s="117">
        <v>11.379011316295031</v>
      </c>
      <c r="T16" s="117">
        <v>10.969015652124174</v>
      </c>
      <c r="U16" s="117">
        <v>11.270319698548667</v>
      </c>
      <c r="V16" s="117">
        <v>10.40953675589112</v>
      </c>
      <c r="W16" s="117">
        <v>11.011966260390967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53.959867608568658</v>
      </c>
      <c r="C17" s="29">
        <f t="shared" si="13"/>
        <v>48.126277606368568</v>
      </c>
      <c r="D17" s="29">
        <f t="shared" si="13"/>
        <v>44.5445024057382</v>
      </c>
      <c r="E17" s="29">
        <f t="shared" si="13"/>
        <v>43.148054574850256</v>
      </c>
      <c r="F17" s="29">
        <f t="shared" si="13"/>
        <v>47.699629607294113</v>
      </c>
      <c r="G17" s="29">
        <f t="shared" si="13"/>
        <v>51.646858572038568</v>
      </c>
      <c r="H17" s="29">
        <f t="shared" si="13"/>
        <v>55.257605430490713</v>
      </c>
      <c r="I17" s="29">
        <f t="shared" si="13"/>
        <v>57.203594346116361</v>
      </c>
      <c r="J17" s="29">
        <f t="shared" si="13"/>
        <v>54.132889816197803</v>
      </c>
      <c r="K17" s="29">
        <f t="shared" si="13"/>
        <v>36.962695927899816</v>
      </c>
      <c r="L17" s="29">
        <f t="shared" si="13"/>
        <v>40.473934357524463</v>
      </c>
      <c r="M17" s="29">
        <f t="shared" si="13"/>
        <v>39.335859124543859</v>
      </c>
      <c r="N17" s="29">
        <f t="shared" si="13"/>
        <v>39.185300319314898</v>
      </c>
      <c r="O17" s="29">
        <f t="shared" si="13"/>
        <v>37.661773825007238</v>
      </c>
      <c r="P17" s="29">
        <f t="shared" si="13"/>
        <v>35.67034728345741</v>
      </c>
      <c r="Q17" s="29">
        <f t="shared" si="13"/>
        <v>35.735682512213813</v>
      </c>
      <c r="R17" s="29">
        <f t="shared" si="13"/>
        <v>35.617053777757619</v>
      </c>
      <c r="S17" s="29">
        <f t="shared" si="13"/>
        <v>37.18768701463425</v>
      </c>
      <c r="T17" s="29">
        <f t="shared" si="13"/>
        <v>48.704372021466249</v>
      </c>
      <c r="U17" s="29">
        <f t="shared" si="13"/>
        <v>46.050386660722324</v>
      </c>
      <c r="V17" s="29">
        <f t="shared" si="13"/>
        <v>42.81679400342032</v>
      </c>
      <c r="W17" s="29">
        <f t="shared" si="13"/>
        <v>45.730362643912578</v>
      </c>
      <c r="DA17" s="173" t="s">
        <v>401</v>
      </c>
    </row>
    <row r="18" spans="1:105" ht="11.45" customHeight="1" x14ac:dyDescent="0.25">
      <c r="A18" s="83" t="s">
        <v>95</v>
      </c>
      <c r="B18" s="87">
        <v>35.800615109942157</v>
      </c>
      <c r="C18" s="87">
        <v>30.115426795331473</v>
      </c>
      <c r="D18" s="87">
        <v>24.86852141636243</v>
      </c>
      <c r="E18" s="87">
        <v>22.009637524213371</v>
      </c>
      <c r="F18" s="87">
        <v>21.975779486524733</v>
      </c>
      <c r="G18" s="87">
        <v>23.535699199964828</v>
      </c>
      <c r="H18" s="87">
        <v>26.578545131361857</v>
      </c>
      <c r="I18" s="87">
        <v>28.950051000313646</v>
      </c>
      <c r="J18" s="87">
        <v>24.38356553693492</v>
      </c>
      <c r="K18" s="87">
        <v>13.799991958140208</v>
      </c>
      <c r="L18" s="87">
        <v>12.635430073111751</v>
      </c>
      <c r="M18" s="87">
        <v>11.770735623340743</v>
      </c>
      <c r="N18" s="87">
        <v>13.894053164636796</v>
      </c>
      <c r="O18" s="87">
        <v>10.932847628491627</v>
      </c>
      <c r="P18" s="87">
        <v>9.1482422934829728</v>
      </c>
      <c r="Q18" s="87">
        <v>8.8445660063344658</v>
      </c>
      <c r="R18" s="87">
        <v>9.3130837852785238</v>
      </c>
      <c r="S18" s="87">
        <v>10.546731084744087</v>
      </c>
      <c r="T18" s="87">
        <v>13.950839599337806</v>
      </c>
      <c r="U18" s="87">
        <v>14.657419761385622</v>
      </c>
      <c r="V18" s="87">
        <v>14.331920236597261</v>
      </c>
      <c r="W18" s="87">
        <v>15.035618741995165</v>
      </c>
      <c r="DA18" s="171" t="s">
        <v>1108</v>
      </c>
    </row>
    <row r="19" spans="1:105" ht="11.45" customHeight="1" x14ac:dyDescent="0.25">
      <c r="A19" s="85" t="s">
        <v>93</v>
      </c>
      <c r="B19" s="88">
        <v>18.1592524986265</v>
      </c>
      <c r="C19" s="88">
        <v>18.010850811037095</v>
      </c>
      <c r="D19" s="88">
        <v>19.67598098937577</v>
      </c>
      <c r="E19" s="88">
        <v>21.138417050636885</v>
      </c>
      <c r="F19" s="88">
        <v>25.723850120769381</v>
      </c>
      <c r="G19" s="88">
        <v>28.11115937207374</v>
      </c>
      <c r="H19" s="88">
        <v>28.67906029912886</v>
      </c>
      <c r="I19" s="88">
        <v>28.253543345802715</v>
      </c>
      <c r="J19" s="88">
        <v>29.749324279262879</v>
      </c>
      <c r="K19" s="88">
        <v>23.162703969759612</v>
      </c>
      <c r="L19" s="88">
        <v>27.838504284412711</v>
      </c>
      <c r="M19" s="88">
        <v>27.565123501203114</v>
      </c>
      <c r="N19" s="88">
        <v>25.2912471546781</v>
      </c>
      <c r="O19" s="88">
        <v>26.728926196515609</v>
      </c>
      <c r="P19" s="88">
        <v>26.522104989974437</v>
      </c>
      <c r="Q19" s="88">
        <v>26.891116505879346</v>
      </c>
      <c r="R19" s="88">
        <v>26.303969992479097</v>
      </c>
      <c r="S19" s="88">
        <v>26.640955929890165</v>
      </c>
      <c r="T19" s="88">
        <v>34.753532422128444</v>
      </c>
      <c r="U19" s="88">
        <v>31.392966899336702</v>
      </c>
      <c r="V19" s="88">
        <v>28.48487376682306</v>
      </c>
      <c r="W19" s="88">
        <v>30.694743901917413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191.45204545213491</v>
      </c>
      <c r="C23" s="62">
        <f>IF(C10=0,0,C10/TrRail_act!C14*100)</f>
        <v>183.61706353592103</v>
      </c>
      <c r="D23" s="62">
        <f>IF(D10=0,0,D10/TrRail_act!D14*100)</f>
        <v>179.0376697612472</v>
      </c>
      <c r="E23" s="62">
        <f>IF(E10=0,0,E10/TrRail_act!E14*100)</f>
        <v>175.8554131658293</v>
      </c>
      <c r="F23" s="62">
        <f>IF(F10=0,0,F10/TrRail_act!F14*100)</f>
        <v>174.28777251243679</v>
      </c>
      <c r="G23" s="62">
        <f>IF(G10=0,0,G10/TrRail_act!G14*100)</f>
        <v>176.05269882086915</v>
      </c>
      <c r="H23" s="62">
        <f>IF(H10=0,0,H10/TrRail_act!H14*100)</f>
        <v>178.90210197591713</v>
      </c>
      <c r="I23" s="62">
        <f>IF(I10=0,0,I10/TrRail_act!I14*100)</f>
        <v>177.66136608908516</v>
      </c>
      <c r="J23" s="62">
        <f>IF(J10=0,0,J10/TrRail_act!J14*100)</f>
        <v>169.88768311668204</v>
      </c>
      <c r="K23" s="62">
        <f>IF(K10=0,0,K10/TrRail_act!K14*100)</f>
        <v>160.36936206380332</v>
      </c>
      <c r="L23" s="62">
        <f>IF(L10=0,0,L10/TrRail_act!L14*100)</f>
        <v>156.76299383798997</v>
      </c>
      <c r="M23" s="62">
        <f>IF(M10=0,0,M10/TrRail_act!M14*100)</f>
        <v>153.37329329803765</v>
      </c>
      <c r="N23" s="62">
        <f>IF(N10=0,0,N10/TrRail_act!N14*100)</f>
        <v>152.89722283600639</v>
      </c>
      <c r="O23" s="62">
        <f>IF(O10=0,0,O10/TrRail_act!O14*100)</f>
        <v>143.83417399472827</v>
      </c>
      <c r="P23" s="62">
        <f>IF(P10=0,0,P10/TrRail_act!P14*100)</f>
        <v>138.2252881390163</v>
      </c>
      <c r="Q23" s="62">
        <f>IF(Q10=0,0,Q10/TrRail_act!Q14*100)</f>
        <v>135.56976513160282</v>
      </c>
      <c r="R23" s="62">
        <f>IF(R10=0,0,R10/TrRail_act!R14*100)</f>
        <v>132.47956624369061</v>
      </c>
      <c r="S23" s="62">
        <f>IF(S10=0,0,S10/TrRail_act!S14*100)</f>
        <v>131.01021608812781</v>
      </c>
      <c r="T23" s="62">
        <f>IF(T10=0,0,T10/TrRail_act!T14*100)</f>
        <v>132.68236854390497</v>
      </c>
      <c r="U23" s="62">
        <f>IF(U10=0,0,U10/TrRail_act!U14*100)</f>
        <v>130.41627788725549</v>
      </c>
      <c r="V23" s="62">
        <f>IF(V10=0,0,V10/TrRail_act!V14*100)</f>
        <v>133.48453771724093</v>
      </c>
      <c r="W23" s="62">
        <f>IF(W10=0,0,W10/TrRail_act!W14*100)</f>
        <v>133.58606786166564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156.34606331172807</v>
      </c>
      <c r="C24" s="29">
        <f>IF(C11=0,0,C11/TrRail_act!C15*100)</f>
        <v>153.31921431281842</v>
      </c>
      <c r="D24" s="29">
        <f>IF(D11=0,0,D11/TrRail_act!D15*100)</f>
        <v>153.19941607990867</v>
      </c>
      <c r="E24" s="29">
        <f>IF(E11=0,0,E11/TrRail_act!E15*100)</f>
        <v>151.97379410646229</v>
      </c>
      <c r="F24" s="29">
        <f>IF(F11=0,0,F11/TrRail_act!F15*100)</f>
        <v>151.05358933107854</v>
      </c>
      <c r="G24" s="29">
        <f>IF(G11=0,0,G11/TrRail_act!G15*100)</f>
        <v>151.25134092524002</v>
      </c>
      <c r="H24" s="29">
        <f>IF(H11=0,0,H11/TrRail_act!H15*100)</f>
        <v>153.79810119359078</v>
      </c>
      <c r="I24" s="29">
        <f>IF(I11=0,0,I11/TrRail_act!I15*100)</f>
        <v>151.96124901640096</v>
      </c>
      <c r="J24" s="29">
        <f>IF(J11=0,0,J11/TrRail_act!J15*100)</f>
        <v>146.71825090603556</v>
      </c>
      <c r="K24" s="29">
        <f>IF(K11=0,0,K11/TrRail_act!K15*100)</f>
        <v>144.59030741431548</v>
      </c>
      <c r="L24" s="29">
        <f>IF(L11=0,0,L11/TrRail_act!L15*100)</f>
        <v>140.66942216812984</v>
      </c>
      <c r="M24" s="29">
        <f>IF(M11=0,0,M11/TrRail_act!M15*100)</f>
        <v>137.27520372742904</v>
      </c>
      <c r="N24" s="29">
        <f>IF(N11=0,0,N11/TrRail_act!N15*100)</f>
        <v>135.55457313156251</v>
      </c>
      <c r="O24" s="29">
        <f>IF(O11=0,0,O11/TrRail_act!O15*100)</f>
        <v>127.83578790484627</v>
      </c>
      <c r="P24" s="29">
        <f>IF(P11=0,0,P11/TrRail_act!P15*100)</f>
        <v>122.21643938534687</v>
      </c>
      <c r="Q24" s="29">
        <f>IF(Q11=0,0,Q11/TrRail_act!Q15*100)</f>
        <v>119.8403339225718</v>
      </c>
      <c r="R24" s="29">
        <f>IF(R11=0,0,R11/TrRail_act!R15*100)</f>
        <v>117.29052813410181</v>
      </c>
      <c r="S24" s="29">
        <f>IF(S11=0,0,S11/TrRail_act!S15*100)</f>
        <v>115.56261056921416</v>
      </c>
      <c r="T24" s="29">
        <f>IF(T11=0,0,T11/TrRail_act!T15*100)</f>
        <v>111.85549924466736</v>
      </c>
      <c r="U24" s="29">
        <f>IF(U11=0,0,U11/TrRail_act!U15*100)</f>
        <v>110.66956896516962</v>
      </c>
      <c r="V24" s="29">
        <f>IF(V11=0,0,V11/TrRail_act!V15*100)</f>
        <v>113.08560837082121</v>
      </c>
      <c r="W24" s="29">
        <f>IF(W11=0,0,W11/TrRail_act!W15*100)</f>
        <v>112.75758727628397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45.81227423778838</v>
      </c>
      <c r="C25" s="115">
        <f>IF(C12=0,0,C12/TrRail_act!C16*100)</f>
        <v>45.302745372209827</v>
      </c>
      <c r="D25" s="115">
        <f>IF(D12=0,0,D12/TrRail_act!D16*100)</f>
        <v>44.813322150988903</v>
      </c>
      <c r="E25" s="115">
        <f>IF(E12=0,0,E12/TrRail_act!E16*100)</f>
        <v>44.769317734744554</v>
      </c>
      <c r="F25" s="115">
        <f>IF(F12=0,0,F12/TrRail_act!F16*100)</f>
        <v>44.306719149807513</v>
      </c>
      <c r="G25" s="115">
        <f>IF(G12=0,0,G12/TrRail_act!G16*100)</f>
        <v>44.008771587203285</v>
      </c>
      <c r="H25" s="115">
        <f>IF(H12=0,0,H12/TrRail_act!H16*100)</f>
        <v>43.801151108780466</v>
      </c>
      <c r="I25" s="115">
        <f>IF(I12=0,0,I12/TrRail_act!I16*100)</f>
        <v>42.89093483777026</v>
      </c>
      <c r="J25" s="115">
        <f>IF(J12=0,0,J12/TrRail_act!J16*100)</f>
        <v>42.423945498199629</v>
      </c>
      <c r="K25" s="115">
        <f>IF(K12=0,0,K12/TrRail_act!K16*100)</f>
        <v>42.209816223507687</v>
      </c>
      <c r="L25" s="115">
        <f>IF(L12=0,0,L12/TrRail_act!L16*100)</f>
        <v>41.489428523993929</v>
      </c>
      <c r="M25" s="115">
        <f>IF(M12=0,0,M12/TrRail_act!M16*100)</f>
        <v>41.005357389150298</v>
      </c>
      <c r="N25" s="115">
        <f>IF(N12=0,0,N12/TrRail_act!N16*100)</f>
        <v>40.855165899432173</v>
      </c>
      <c r="O25" s="115">
        <f>IF(O12=0,0,O12/TrRail_act!O16*100)</f>
        <v>40.347335017005697</v>
      </c>
      <c r="P25" s="115">
        <f>IF(P12=0,0,P12/TrRail_act!P16*100)</f>
        <v>39.817394247718042</v>
      </c>
      <c r="Q25" s="115">
        <f>IF(Q12=0,0,Q12/TrRail_act!Q16*100)</f>
        <v>39.594508277402255</v>
      </c>
      <c r="R25" s="115">
        <f>IF(R12=0,0,R12/TrRail_act!R16*100)</f>
        <v>39.428162952317223</v>
      </c>
      <c r="S25" s="115">
        <f>IF(S12=0,0,S12/TrRail_act!S16*100)</f>
        <v>39.303862741996205</v>
      </c>
      <c r="T25" s="115">
        <f>IF(T12=0,0,T12/TrRail_act!T16*100)</f>
        <v>39.210894813708094</v>
      </c>
      <c r="U25" s="115">
        <f>IF(U12=0,0,U12/TrRail_act!U16*100)</f>
        <v>39.141313207275189</v>
      </c>
      <c r="V25" s="115">
        <f>IF(V12=0,0,V12/TrRail_act!V16*100)</f>
        <v>39.089208045489741</v>
      </c>
      <c r="W25" s="115">
        <f>IF(W12=0,0,W12/TrRail_act!W16*100)</f>
        <v>39.050174692758553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172.35342008075096</v>
      </c>
      <c r="C26" s="116">
        <f>IF(C13=0,0,C13/TrRail_act!C17*100)</f>
        <v>167.96012265818877</v>
      </c>
      <c r="D26" s="116">
        <f>IF(D13=0,0,D13/TrRail_act!D17*100)</f>
        <v>168.32908145269874</v>
      </c>
      <c r="E26" s="116">
        <f>IF(E13=0,0,E13/TrRail_act!E17*100)</f>
        <v>166.58774988169776</v>
      </c>
      <c r="F26" s="116">
        <f>IF(F13=0,0,F13/TrRail_act!F17*100)</f>
        <v>163.80501952367678</v>
      </c>
      <c r="G26" s="116">
        <f>IF(G13=0,0,G13/TrRail_act!G17*100)</f>
        <v>165.12401725786438</v>
      </c>
      <c r="H26" s="116">
        <f>IF(H13=0,0,H13/TrRail_act!H17*100)</f>
        <v>167.78060194217724</v>
      </c>
      <c r="I26" s="116">
        <f>IF(I13=0,0,I13/TrRail_act!I17*100)</f>
        <v>166.05217180262113</v>
      </c>
      <c r="J26" s="116">
        <f>IF(J13=0,0,J13/TrRail_act!J17*100)</f>
        <v>159.06863969203201</v>
      </c>
      <c r="K26" s="116">
        <f>IF(K13=0,0,K13/TrRail_act!K17*100)</f>
        <v>157.03978339610785</v>
      </c>
      <c r="L26" s="116">
        <f>IF(L13=0,0,L13/TrRail_act!L17*100)</f>
        <v>153.63466783999723</v>
      </c>
      <c r="M26" s="116">
        <f>IF(M13=0,0,M13/TrRail_act!M17*100)</f>
        <v>151.53578461186723</v>
      </c>
      <c r="N26" s="116">
        <f>IF(N13=0,0,N13/TrRail_act!N17*100)</f>
        <v>151.16933233832</v>
      </c>
      <c r="O26" s="116">
        <f>IF(O13=0,0,O13/TrRail_act!O17*100)</f>
        <v>141.51575120479239</v>
      </c>
      <c r="P26" s="116">
        <f>IF(P13=0,0,P13/TrRail_act!P17*100)</f>
        <v>135.12072276916223</v>
      </c>
      <c r="Q26" s="116">
        <f>IF(Q13=0,0,Q13/TrRail_act!Q17*100)</f>
        <v>130.8082751348928</v>
      </c>
      <c r="R26" s="116">
        <f>IF(R13=0,0,R13/TrRail_act!R17*100)</f>
        <v>126.5111758562292</v>
      </c>
      <c r="S26" s="116">
        <f>IF(S13=0,0,S13/TrRail_act!S17*100)</f>
        <v>125.52724317328337</v>
      </c>
      <c r="T26" s="116">
        <f>IF(T13=0,0,T13/TrRail_act!T17*100)</f>
        <v>122.27084042503054</v>
      </c>
      <c r="U26" s="116">
        <f>IF(U13=0,0,U13/TrRail_act!U17*100)</f>
        <v>120.85481902341269</v>
      </c>
      <c r="V26" s="116">
        <f>IF(V13=0,0,V13/TrRail_act!V17*100)</f>
        <v>118.90453141665675</v>
      </c>
      <c r="W26" s="116">
        <f>IF(W13=0,0,W13/TrRail_act!W17*100)</f>
        <v>118.04067334711037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402.43247333365571</v>
      </c>
      <c r="C27" s="87">
        <f>IF(C14=0,0,C14/TrRail_act!C18*100)</f>
        <v>394.71187906024966</v>
      </c>
      <c r="D27" s="87">
        <f>IF(D14=0,0,D14/TrRail_act!D18*100)</f>
        <v>389.27604534223804</v>
      </c>
      <c r="E27" s="87">
        <f>IF(E14=0,0,E14/TrRail_act!E18*100)</f>
        <v>387.13421723744523</v>
      </c>
      <c r="F27" s="87">
        <f>IF(F14=0,0,F14/TrRail_act!F18*100)</f>
        <v>385.50090312288097</v>
      </c>
      <c r="G27" s="87">
        <f>IF(G14=0,0,G14/TrRail_act!G18*100)</f>
        <v>382.72067513789744</v>
      </c>
      <c r="H27" s="87">
        <f>IF(H14=0,0,H14/TrRail_act!H18*100)</f>
        <v>380.32632755779849</v>
      </c>
      <c r="I27" s="87">
        <f>IF(I14=0,0,I14/TrRail_act!I18*100)</f>
        <v>377.11343918567633</v>
      </c>
      <c r="J27" s="87">
        <f>IF(J14=0,0,J14/TrRail_act!J18*100)</f>
        <v>376.13372320515271</v>
      </c>
      <c r="K27" s="87">
        <f>IF(K14=0,0,K14/TrRail_act!K18*100)</f>
        <v>364.39521545410372</v>
      </c>
      <c r="L27" s="87">
        <f>IF(L14=0,0,L14/TrRail_act!L18*100)</f>
        <v>362.25544686625841</v>
      </c>
      <c r="M27" s="87">
        <f>IF(M14=0,0,M14/TrRail_act!M18*100)</f>
        <v>359.69042284758132</v>
      </c>
      <c r="N27" s="87">
        <f>IF(N14=0,0,N14/TrRail_act!N18*100)</f>
        <v>358.91171812283955</v>
      </c>
      <c r="O27" s="87">
        <f>IF(O14=0,0,O14/TrRail_act!O18*100)</f>
        <v>346.55443594878557</v>
      </c>
      <c r="P27" s="87">
        <f>IF(P14=0,0,P14/TrRail_act!P18*100)</f>
        <v>321.64922045520501</v>
      </c>
      <c r="Q27" s="87">
        <f>IF(Q14=0,0,Q14/TrRail_act!Q18*100)</f>
        <v>234.20359922656689</v>
      </c>
      <c r="R27" s="87">
        <f>IF(R14=0,0,R14/TrRail_act!R18*100)</f>
        <v>221.53028560336713</v>
      </c>
      <c r="S27" s="87">
        <f>IF(S14=0,0,S14/TrRail_act!S18*100)</f>
        <v>212.4774101640154</v>
      </c>
      <c r="T27" s="87">
        <f>IF(T14=0,0,T14/TrRail_act!T18*100)</f>
        <v>205.9313690878665</v>
      </c>
      <c r="U27" s="87">
        <f>IF(U14=0,0,U14/TrRail_act!U18*100)</f>
        <v>201.15452834935553</v>
      </c>
      <c r="V27" s="87">
        <f>IF(V14=0,0,V14/TrRail_act!V18*100)</f>
        <v>197.64475511048491</v>
      </c>
      <c r="W27" s="87">
        <f>IF(W14=0,0,W14/TrRail_act!W18*100)</f>
        <v>195.05267177341167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154.88513156970106</v>
      </c>
      <c r="C28" s="87">
        <f>IF(C15=0,0,C15/TrRail_act!C19*100)</f>
        <v>151.79899228050508</v>
      </c>
      <c r="D28" s="87">
        <f>IF(D15=0,0,D15/TrRail_act!D19*100)</f>
        <v>151.05166100197931</v>
      </c>
      <c r="E28" s="87">
        <f>IF(E15=0,0,E15/TrRail_act!E19*100)</f>
        <v>148.67524963268076</v>
      </c>
      <c r="F28" s="87">
        <f>IF(F15=0,0,F15/TrRail_act!F19*100)</f>
        <v>148.22488056938184</v>
      </c>
      <c r="G28" s="87">
        <f>IF(G15=0,0,G15/TrRail_act!G19*100)</f>
        <v>149.33663676573684</v>
      </c>
      <c r="H28" s="87">
        <f>IF(H15=0,0,H15/TrRail_act!H19*100)</f>
        <v>148.83989869553812</v>
      </c>
      <c r="I28" s="87">
        <f>IF(I15=0,0,I15/TrRail_act!I19*100)</f>
        <v>146.38410309526938</v>
      </c>
      <c r="J28" s="87">
        <f>IF(J15=0,0,J15/TrRail_act!J19*100)</f>
        <v>139.53931156358016</v>
      </c>
      <c r="K28" s="87">
        <f>IF(K15=0,0,K15/TrRail_act!K19*100)</f>
        <v>139.00506961716678</v>
      </c>
      <c r="L28" s="87">
        <f>IF(L15=0,0,L15/TrRail_act!L19*100)</f>
        <v>137.81135637156666</v>
      </c>
      <c r="M28" s="87">
        <f>IF(M15=0,0,M15/TrRail_act!M19*100)</f>
        <v>135.29793975144611</v>
      </c>
      <c r="N28" s="87">
        <f>IF(N15=0,0,N15/TrRail_act!N19*100)</f>
        <v>132.32508464385489</v>
      </c>
      <c r="O28" s="87">
        <f>IF(O15=0,0,O15/TrRail_act!O19*100)</f>
        <v>127.79630856677362</v>
      </c>
      <c r="P28" s="87">
        <f>IF(P15=0,0,P15/TrRail_act!P19*100)</f>
        <v>124.89422875440255</v>
      </c>
      <c r="Q28" s="87">
        <f>IF(Q15=0,0,Q15/TrRail_act!Q19*100)</f>
        <v>122.72632920902902</v>
      </c>
      <c r="R28" s="87">
        <f>IF(R15=0,0,R15/TrRail_act!R19*100)</f>
        <v>118.70263254631924</v>
      </c>
      <c r="S28" s="87">
        <f>IF(S15=0,0,S15/TrRail_act!S19*100)</f>
        <v>117.73979037776388</v>
      </c>
      <c r="T28" s="87">
        <f>IF(T15=0,0,T15/TrRail_act!T19*100)</f>
        <v>115.96958243546538</v>
      </c>
      <c r="U28" s="87">
        <f>IF(U15=0,0,U15/TrRail_act!U19*100)</f>
        <v>115.23271158534709</v>
      </c>
      <c r="V28" s="87">
        <f>IF(V15=0,0,V15/TrRail_act!V19*100)</f>
        <v>114.45376642635992</v>
      </c>
      <c r="W28" s="87">
        <f>IF(W15=0,0,W15/TrRail_act!W19*100)</f>
        <v>113.87301496243192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258.74397029013647</v>
      </c>
      <c r="C29" s="117">
        <f>IF(C16=0,0,C16/TrRail_act!C20*100)</f>
        <v>257.46986841216551</v>
      </c>
      <c r="D29" s="117">
        <f>IF(D16=0,0,D16/TrRail_act!D20*100)</f>
        <v>256.53249425443153</v>
      </c>
      <c r="E29" s="117">
        <f>IF(E16=0,0,E16/TrRail_act!E20*100)</f>
        <v>257.72101529167264</v>
      </c>
      <c r="F29" s="117">
        <f>IF(F16=0,0,F16/TrRail_act!F20*100)</f>
        <v>257.27156841749701</v>
      </c>
      <c r="G29" s="117">
        <f>IF(G16=0,0,G16/TrRail_act!G20*100)</f>
        <v>252.95030969612031</v>
      </c>
      <c r="H29" s="117">
        <f>IF(H16=0,0,H16/TrRail_act!H20*100)</f>
        <v>250.13196338785423</v>
      </c>
      <c r="I29" s="117">
        <f>IF(I16=0,0,I16/TrRail_act!I20*100)</f>
        <v>248.09543039389007</v>
      </c>
      <c r="J29" s="117">
        <f>IF(J16=0,0,J16/TrRail_act!J20*100)</f>
        <v>247.03151629822648</v>
      </c>
      <c r="K29" s="117">
        <f>IF(K16=0,0,K16/TrRail_act!K20*100)</f>
        <v>245.50822406810587</v>
      </c>
      <c r="L29" s="117">
        <f>IF(L16=0,0,L16/TrRail_act!L20*100)</f>
        <v>243.59130355078639</v>
      </c>
      <c r="M29" s="117">
        <f>IF(M16=0,0,M16/TrRail_act!M20*100)</f>
        <v>241.14059180830822</v>
      </c>
      <c r="N29" s="117">
        <f>IF(N16=0,0,N16/TrRail_act!N20*100)</f>
        <v>239.91825089187179</v>
      </c>
      <c r="O29" s="117">
        <f>IF(O16=0,0,O16/TrRail_act!O20*100)</f>
        <v>238.41365348454536</v>
      </c>
      <c r="P29" s="117">
        <f>IF(P16=0,0,P16/TrRail_act!P20*100)</f>
        <v>235.70246843354798</v>
      </c>
      <c r="Q29" s="117">
        <f>IF(Q16=0,0,Q16/TrRail_act!Q20*100)</f>
        <v>228.28382092332595</v>
      </c>
      <c r="R29" s="117">
        <f>IF(R16=0,0,R16/TrRail_act!R20*100)</f>
        <v>223.09634852133792</v>
      </c>
      <c r="S29" s="117">
        <f>IF(S16=0,0,S16/TrRail_act!S20*100)</f>
        <v>219.50253310754303</v>
      </c>
      <c r="T29" s="117">
        <f>IF(T16=0,0,T16/TrRail_act!T20*100)</f>
        <v>216.41152404724627</v>
      </c>
      <c r="U29" s="117">
        <f>IF(U16=0,0,U16/TrRail_act!U20*100)</f>
        <v>213.69362193358478</v>
      </c>
      <c r="V29" s="117">
        <f>IF(V16=0,0,V16/TrRail_act!V20*100)</f>
        <v>211.25426408640416</v>
      </c>
      <c r="W29" s="117">
        <f>IF(W16=0,0,W16/TrRail_act!W20*100)</f>
        <v>209.44303691247325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395.17093335043387</v>
      </c>
      <c r="C30" s="29">
        <f>IF(C17=0,0,C17/TrRail_act!C21*100)</f>
        <v>378.16013203993697</v>
      </c>
      <c r="D30" s="29">
        <f>IF(D17=0,0,D17/TrRail_act!D21*100)</f>
        <v>336.64581181283035</v>
      </c>
      <c r="E30" s="29">
        <f>IF(E17=0,0,E17/TrRail_act!E21*100)</f>
        <v>326.71906107638472</v>
      </c>
      <c r="F30" s="29">
        <f>IF(F17=0,0,F17/TrRail_act!F21*100)</f>
        <v>309.61316928868087</v>
      </c>
      <c r="G30" s="29">
        <f>IF(G17=0,0,G17/TrRail_act!G21*100)</f>
        <v>306.38246608946235</v>
      </c>
      <c r="H30" s="29">
        <f>IF(H17=0,0,H17/TrRail_act!H21*100)</f>
        <v>313.03170650989898</v>
      </c>
      <c r="I30" s="29">
        <f>IF(I17=0,0,I17/TrRail_act!I21*100)</f>
        <v>311.17768710048489</v>
      </c>
      <c r="J30" s="29">
        <f>IF(J17=0,0,J17/TrRail_act!J21*100)</f>
        <v>298.73464274961066</v>
      </c>
      <c r="K30" s="29">
        <f>IF(K17=0,0,K17/TrRail_act!K21*100)</f>
        <v>278.55750961653661</v>
      </c>
      <c r="L30" s="29">
        <f>IF(L17=0,0,L17/TrRail_act!L21*100)</f>
        <v>260.04378445724063</v>
      </c>
      <c r="M30" s="29">
        <f>IF(M17=0,0,M17/TrRail_act!M21*100)</f>
        <v>255.18284562845608</v>
      </c>
      <c r="N30" s="29">
        <f>IF(N17=0,0,N17/TrRail_act!N21*100)</f>
        <v>267.95103849803229</v>
      </c>
      <c r="O30" s="29">
        <f>IF(O17=0,0,O17/TrRail_act!O21*100)</f>
        <v>250.42827068304337</v>
      </c>
      <c r="P30" s="29">
        <f>IF(P17=0,0,P17/TrRail_act!P21*100)</f>
        <v>244.08247116039919</v>
      </c>
      <c r="Q30" s="29">
        <f>IF(Q17=0,0,Q17/TrRail_act!Q21*100)</f>
        <v>242.95503396092474</v>
      </c>
      <c r="R30" s="29">
        <f>IF(R17=0,0,R17/TrRail_act!R21*100)</f>
        <v>237.67230942404686</v>
      </c>
      <c r="S30" s="29">
        <f>IF(S17=0,0,S17/TrRail_act!S21*100)</f>
        <v>238.31201377811576</v>
      </c>
      <c r="T30" s="29">
        <f>IF(T17=0,0,T17/TrRail_act!T21*100)</f>
        <v>235.85541739257985</v>
      </c>
      <c r="U30" s="29">
        <f>IF(U17=0,0,U17/TrRail_act!U21*100)</f>
        <v>239.26753254730477</v>
      </c>
      <c r="V30" s="29">
        <f>IF(V17=0,0,V17/TrRail_act!V21*100)</f>
        <v>240.10115085058797</v>
      </c>
      <c r="W30" s="29">
        <f>IF(W17=0,0,W17/TrRail_act!W21*100)</f>
        <v>237.14221885305639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639.50736014331108</v>
      </c>
      <c r="C31" s="87">
        <f>IF(C18=0,0,C18/TrRail_act!C22*100)</f>
        <v>635.83463775384905</v>
      </c>
      <c r="D31" s="87">
        <f>IF(D18=0,0,D18/TrRail_act!D22*100)</f>
        <v>634.26956312594939</v>
      </c>
      <c r="E31" s="87">
        <f>IF(E18=0,0,E18/TrRail_act!E22*100)</f>
        <v>633.55380273375704</v>
      </c>
      <c r="F31" s="87">
        <f>IF(F18=0,0,F18/TrRail_act!F22*100)</f>
        <v>630.8808478226415</v>
      </c>
      <c r="G31" s="87">
        <f>IF(G18=0,0,G18/TrRail_act!G22*100)</f>
        <v>624.61347463530035</v>
      </c>
      <c r="H31" s="87">
        <f>IF(H18=0,0,H18/TrRail_act!H22*100)</f>
        <v>620.69699241784406</v>
      </c>
      <c r="I31" s="87">
        <f>IF(I18=0,0,I18/TrRail_act!I22*100)</f>
        <v>617.68689633026827</v>
      </c>
      <c r="J31" s="87">
        <f>IF(J18=0,0,J18/TrRail_act!J22*100)</f>
        <v>614.72571133641554</v>
      </c>
      <c r="K31" s="87">
        <f>IF(K18=0,0,K18/TrRail_act!K22*100)</f>
        <v>611.46730180354803</v>
      </c>
      <c r="L31" s="87">
        <f>IF(L18=0,0,L18/TrRail_act!L22*100)</f>
        <v>609.05167795363229</v>
      </c>
      <c r="M31" s="87">
        <f>IF(M18=0,0,M18/TrRail_act!M22*100)</f>
        <v>601.47768278931972</v>
      </c>
      <c r="N31" s="87">
        <f>IF(N18=0,0,N18/TrRail_act!N22*100)</f>
        <v>587.28722952183011</v>
      </c>
      <c r="O31" s="87">
        <f>IF(O18=0,0,O18/TrRail_act!O22*100)</f>
        <v>572.3567047895317</v>
      </c>
      <c r="P31" s="87">
        <f>IF(P18=0,0,P18/TrRail_act!P22*100)</f>
        <v>566.00559716120017</v>
      </c>
      <c r="Q31" s="87">
        <f>IF(Q18=0,0,Q18/TrRail_act!Q22*100)</f>
        <v>563.60764246590895</v>
      </c>
      <c r="R31" s="87">
        <f>IF(R18=0,0,R18/TrRail_act!R22*100)</f>
        <v>548.89408134917267</v>
      </c>
      <c r="S31" s="87">
        <f>IF(S18=0,0,S18/TrRail_act!S22*100)</f>
        <v>543.4926527919805</v>
      </c>
      <c r="T31" s="87">
        <f>IF(T18=0,0,T18/TrRail_act!T22*100)</f>
        <v>539.47649179910195</v>
      </c>
      <c r="U31" s="87">
        <f>IF(U18=0,0,U18/TrRail_act!U22*100)</f>
        <v>536.48385899022162</v>
      </c>
      <c r="V31" s="87">
        <f>IF(V18=0,0,V18/TrRail_act!V22*100)</f>
        <v>534.25028383706581</v>
      </c>
      <c r="W31" s="87">
        <f>IF(W18=0,0,W18/TrRail_act!W22*100)</f>
        <v>532.58120642175822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225.3942545054835</v>
      </c>
      <c r="C32" s="88">
        <f>IF(C19=0,0,C19/TrRail_act!C23*100)</f>
        <v>225.41552488267081</v>
      </c>
      <c r="D32" s="88">
        <f>IF(D19=0,0,D19/TrRail_act!D23*100)</f>
        <v>211.3186666156378</v>
      </c>
      <c r="E32" s="88">
        <f>IF(E19=0,0,E19/TrRail_act!E23*100)</f>
        <v>217.19470793711869</v>
      </c>
      <c r="F32" s="88">
        <f>IF(F19=0,0,F19/TrRail_act!F23*100)</f>
        <v>215.75246990557056</v>
      </c>
      <c r="G32" s="88">
        <f>IF(G19=0,0,G19/TrRail_act!G23*100)</f>
        <v>214.77021633316537</v>
      </c>
      <c r="H32" s="88">
        <f>IF(H19=0,0,H19/TrRail_act!H23*100)</f>
        <v>214.4974448118956</v>
      </c>
      <c r="I32" s="88">
        <f>IF(I19=0,0,I19/TrRail_act!I23*100)</f>
        <v>206.28916454607759</v>
      </c>
      <c r="J32" s="88">
        <f>IF(J19=0,0,J19/TrRail_act!J23*100)</f>
        <v>210.18091992750013</v>
      </c>
      <c r="K32" s="88">
        <f>IF(K19=0,0,K19/TrRail_act!K23*100)</f>
        <v>210.33182548243255</v>
      </c>
      <c r="L32" s="88">
        <f>IF(L19=0,0,L19/TrRail_act!L23*100)</f>
        <v>206.36906011982862</v>
      </c>
      <c r="M32" s="88">
        <f>IF(M19=0,0,M19/TrRail_act!M23*100)</f>
        <v>204.82630456746605</v>
      </c>
      <c r="N32" s="88">
        <f>IF(N19=0,0,N19/TrRail_act!N23*100)</f>
        <v>206.32020350754212</v>
      </c>
      <c r="O32" s="88">
        <f>IF(O19=0,0,O19/TrRail_act!O23*100)</f>
        <v>203.59000558654898</v>
      </c>
      <c r="P32" s="88">
        <f>IF(P19=0,0,P19/TrRail_act!P23*100)</f>
        <v>204.05113133643633</v>
      </c>
      <c r="Q32" s="88">
        <f>IF(Q19=0,0,Q19/TrRail_act!Q23*100)</f>
        <v>204.65880352572222</v>
      </c>
      <c r="R32" s="88">
        <f>IF(R19=0,0,R19/TrRail_act!R23*100)</f>
        <v>197.93669389611651</v>
      </c>
      <c r="S32" s="88">
        <f>IF(S19=0,0,S19/TrRail_act!S23*100)</f>
        <v>194.97081034924167</v>
      </c>
      <c r="T32" s="88">
        <f>IF(T19=0,0,T19/TrRail_act!T23*100)</f>
        <v>192.39004735574125</v>
      </c>
      <c r="U32" s="88">
        <f>IF(U19=0,0,U19/TrRail_act!U23*100)</f>
        <v>190.09596405951211</v>
      </c>
      <c r="V32" s="88">
        <f>IF(V19=0,0,V19/TrRail_act!V23*100)</f>
        <v>188.016584429267</v>
      </c>
      <c r="W32" s="88">
        <f>IF(W19=0,0,W19/TrRail_act!W23*100)</f>
        <v>186.47199003878458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14.398677370484029</v>
      </c>
      <c r="C35" s="29">
        <f>IF(C11=0,0,C11/TrRail_act!C4*1000)</f>
        <v>14.055116440232402</v>
      </c>
      <c r="D35" s="29">
        <f>IF(D11=0,0,D11/TrRail_act!D4*1000)</f>
        <v>13.51364181592983</v>
      </c>
      <c r="E35" s="29">
        <f>IF(E11=0,0,E11/TrRail_act!E4*1000)</f>
        <v>13.833874198915472</v>
      </c>
      <c r="F35" s="29">
        <f>IF(F11=0,0,F11/TrRail_act!F4*1000)</f>
        <v>13.373798582991773</v>
      </c>
      <c r="G35" s="29">
        <f>IF(G11=0,0,G11/TrRail_act!G4*1000)</f>
        <v>14.193039214108673</v>
      </c>
      <c r="H35" s="29">
        <f>IF(H11=0,0,H11/TrRail_act!H4*1000)</f>
        <v>14.631454314875716</v>
      </c>
      <c r="I35" s="29">
        <f>IF(I11=0,0,I11/TrRail_act!I4*1000)</f>
        <v>15.033716002115984</v>
      </c>
      <c r="J35" s="29">
        <f>IF(J11=0,0,J11/TrRail_act!J4*1000)</f>
        <v>14.663605152442234</v>
      </c>
      <c r="K35" s="29">
        <f>IF(K11=0,0,K11/TrRail_act!K4*1000)</f>
        <v>14.129739662151627</v>
      </c>
      <c r="L35" s="29">
        <f>IF(L11=0,0,L11/TrRail_act!L4*1000)</f>
        <v>13.45620532373815</v>
      </c>
      <c r="M35" s="29">
        <f>IF(M11=0,0,M11/TrRail_act!M4*1000)</f>
        <v>12.14235136744368</v>
      </c>
      <c r="N35" s="29">
        <f>IF(N11=0,0,N11/TrRail_act!N4*1000)</f>
        <v>11.822220417443296</v>
      </c>
      <c r="O35" s="29">
        <f>IF(O11=0,0,O11/TrRail_act!O4*1000)</f>
        <v>11.528665546424651</v>
      </c>
      <c r="P35" s="29">
        <f>IF(P11=0,0,P11/TrRail_act!P4*1000)</f>
        <v>10.596482810899715</v>
      </c>
      <c r="Q35" s="29">
        <f>IF(Q11=0,0,Q11/TrRail_act!Q4*1000)</f>
        <v>10.774237986199264</v>
      </c>
      <c r="R35" s="29">
        <f>IF(R11=0,0,R11/TrRail_act!R4*1000)</f>
        <v>10.958945746635463</v>
      </c>
      <c r="S35" s="29">
        <f>IF(S11=0,0,S11/TrRail_act!S4*1000)</f>
        <v>10.83251934761066</v>
      </c>
      <c r="T35" s="29">
        <f>IF(T11=0,0,T11/TrRail_act!T4*1000)</f>
        <v>9.5915802525753371</v>
      </c>
      <c r="U35" s="29">
        <f>IF(U11=0,0,U11/TrRail_act!U4*1000)</f>
        <v>9.5294246110337735</v>
      </c>
      <c r="V35" s="29">
        <f>IF(V11=0,0,V11/TrRail_act!V4*1000)</f>
        <v>12.633603770489847</v>
      </c>
      <c r="W35" s="29">
        <f>IF(W11=0,0,W11/TrRail_act!W4*1000)</f>
        <v>13.658843622010206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6.3523398635271269</v>
      </c>
      <c r="C36" s="115">
        <f>IF(C12=0,0,C12/TrRail_act!C5*1000)</f>
        <v>6.2032430788485531</v>
      </c>
      <c r="D36" s="115">
        <f>IF(D12=0,0,D12/TrRail_act!D5*1000)</f>
        <v>6.1070495232953377</v>
      </c>
      <c r="E36" s="115">
        <f>IF(E12=0,0,E12/TrRail_act!E5*1000)</f>
        <v>6.1071227704847075</v>
      </c>
      <c r="F36" s="115">
        <f>IF(F12=0,0,F12/TrRail_act!F5*1000)</f>
        <v>5.898508433000881</v>
      </c>
      <c r="G36" s="115">
        <f>IF(G12=0,0,G12/TrRail_act!G5*1000)</f>
        <v>5.9653375441132592</v>
      </c>
      <c r="H36" s="115">
        <f>IF(H12=0,0,H12/TrRail_act!H5*1000)</f>
        <v>5.8758021940877088</v>
      </c>
      <c r="I36" s="115">
        <f>IF(I12=0,0,I12/TrRail_act!I5*1000)</f>
        <v>5.8237505469833541</v>
      </c>
      <c r="J36" s="115">
        <f>IF(J12=0,0,J12/TrRail_act!J5*1000)</f>
        <v>5.6967635998961565</v>
      </c>
      <c r="K36" s="115">
        <f>IF(K12=0,0,K12/TrRail_act!K5*1000)</f>
        <v>5.6741521140436681</v>
      </c>
      <c r="L36" s="115">
        <f>IF(L12=0,0,L12/TrRail_act!L5*1000)</f>
        <v>5.5715468268624289</v>
      </c>
      <c r="M36" s="115">
        <f>IF(M12=0,0,M12/TrRail_act!M5*1000)</f>
        <v>5.4331253587725437</v>
      </c>
      <c r="N36" s="115">
        <f>IF(N12=0,0,N12/TrRail_act!N5*1000)</f>
        <v>5.4134589626467751</v>
      </c>
      <c r="O36" s="115">
        <f>IF(O12=0,0,O12/TrRail_act!O5*1000)</f>
        <v>5.3457026486808488</v>
      </c>
      <c r="P36" s="115">
        <f>IF(P12=0,0,P12/TrRail_act!P5*1000)</f>
        <v>5.275377988853851</v>
      </c>
      <c r="Q36" s="115">
        <f>IF(Q12=0,0,Q12/TrRail_act!Q5*1000)</f>
        <v>5.2032749589973255</v>
      </c>
      <c r="R36" s="115">
        <f>IF(R12=0,0,R12/TrRail_act!R5*1000)</f>
        <v>5.1342892432652674</v>
      </c>
      <c r="S36" s="115">
        <f>IF(S12=0,0,S12/TrRail_act!S5*1000)</f>
        <v>5.1159897967739418</v>
      </c>
      <c r="T36" s="115">
        <f>IF(T12=0,0,T12/TrRail_act!T5*1000)</f>
        <v>5.1113359099809372</v>
      </c>
      <c r="U36" s="115">
        <f>IF(U12=0,0,U12/TrRail_act!U5*1000)</f>
        <v>5.1093258672361355</v>
      </c>
      <c r="V36" s="115">
        <f>IF(V12=0,0,V12/TrRail_act!V5*1000)</f>
        <v>5.1640684248852251</v>
      </c>
      <c r="W36" s="115">
        <f>IF(W12=0,0,W12/TrRail_act!W5*1000)</f>
        <v>5.1589117354961243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16.105513600824207</v>
      </c>
      <c r="C37" s="116">
        <f>IF(C13=0,0,C13/TrRail_act!C6*1000)</f>
        <v>15.659110487498538</v>
      </c>
      <c r="D37" s="116">
        <f>IF(D13=0,0,D13/TrRail_act!D6*1000)</f>
        <v>14.985692463230736</v>
      </c>
      <c r="E37" s="116">
        <f>IF(E13=0,0,E13/TrRail_act!E6*1000)</f>
        <v>15.361441961471082</v>
      </c>
      <c r="F37" s="116">
        <f>IF(F13=0,0,F13/TrRail_act!F6*1000)</f>
        <v>14.703970067435929</v>
      </c>
      <c r="G37" s="116">
        <f>IF(G13=0,0,G13/TrRail_act!G6*1000)</f>
        <v>15.921154590896405</v>
      </c>
      <c r="H37" s="116">
        <f>IF(H13=0,0,H13/TrRail_act!H6*1000)</f>
        <v>16.516830752716196</v>
      </c>
      <c r="I37" s="116">
        <f>IF(I13=0,0,I13/TrRail_act!I6*1000)</f>
        <v>17.105315511007706</v>
      </c>
      <c r="J37" s="116">
        <f>IF(J13=0,0,J13/TrRail_act!J6*1000)</f>
        <v>16.631746819285009</v>
      </c>
      <c r="K37" s="116">
        <f>IF(K13=0,0,K13/TrRail_act!K6*1000)</f>
        <v>15.972955071059568</v>
      </c>
      <c r="L37" s="116">
        <f>IF(L13=0,0,L13/TrRail_act!L6*1000)</f>
        <v>15.158400396437196</v>
      </c>
      <c r="M37" s="116">
        <f>IF(M13=0,0,M13/TrRail_act!M6*1000)</f>
        <v>13.406323170184427</v>
      </c>
      <c r="N37" s="116">
        <f>IF(N13=0,0,N13/TrRail_act!N6*1000)</f>
        <v>13.078906781958123</v>
      </c>
      <c r="O37" s="116">
        <f>IF(O13=0,0,O13/TrRail_act!O6*1000)</f>
        <v>12.749330192104994</v>
      </c>
      <c r="P37" s="116">
        <f>IF(P13=0,0,P13/TrRail_act!P6*1000)</f>
        <v>11.602918226245706</v>
      </c>
      <c r="Q37" s="116">
        <f>IF(Q13=0,0,Q13/TrRail_act!Q6*1000)</f>
        <v>12.008210042697785</v>
      </c>
      <c r="R37" s="116">
        <f>IF(R13=0,0,R13/TrRail_act!R6*1000)</f>
        <v>12.485015743200314</v>
      </c>
      <c r="S37" s="116">
        <f>IF(S13=0,0,S13/TrRail_act!S6*1000)</f>
        <v>12.407065532044545</v>
      </c>
      <c r="T37" s="116">
        <f>IF(T13=0,0,T13/TrRail_act!T6*1000)</f>
        <v>10.756491151013197</v>
      </c>
      <c r="U37" s="116">
        <f>IF(U13=0,0,U13/TrRail_act!U6*1000)</f>
        <v>10.621569270606063</v>
      </c>
      <c r="V37" s="116">
        <f>IF(V13=0,0,V13/TrRail_act!V6*1000)</f>
        <v>14.063794283688431</v>
      </c>
      <c r="W37" s="116">
        <f>IF(W13=0,0,W13/TrRail_act!W6*1000)</f>
        <v>15.277063824274157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36.300773311436124</v>
      </c>
      <c r="C38" s="87">
        <f>IF(C14=0,0,C14/TrRail_act!C7*1000)</f>
        <v>34.505897267895456</v>
      </c>
      <c r="D38" s="87">
        <f>IF(D14=0,0,D14/TrRail_act!D7*1000)</f>
        <v>37.411911586441263</v>
      </c>
      <c r="E38" s="87">
        <f>IF(E14=0,0,E14/TrRail_act!E7*1000)</f>
        <v>37.590583685378903</v>
      </c>
      <c r="F38" s="87">
        <f>IF(F14=0,0,F14/TrRail_act!F7*1000)</f>
        <v>38.481056269252676</v>
      </c>
      <c r="G38" s="87">
        <f>IF(G14=0,0,G14/TrRail_act!G7*1000)</f>
        <v>42.260207356968763</v>
      </c>
      <c r="H38" s="87">
        <f>IF(H14=0,0,H14/TrRail_act!H7*1000)</f>
        <v>51.810127554629879</v>
      </c>
      <c r="I38" s="87">
        <f>IF(I14=0,0,I14/TrRail_act!I7*1000)</f>
        <v>54.966665192919763</v>
      </c>
      <c r="J38" s="87">
        <f>IF(J14=0,0,J14/TrRail_act!J7*1000)</f>
        <v>50.226923352604835</v>
      </c>
      <c r="K38" s="87">
        <f>IF(K14=0,0,K14/TrRail_act!K7*1000)</f>
        <v>48.702548590316503</v>
      </c>
      <c r="L38" s="87">
        <f>IF(L14=0,0,L14/TrRail_act!L7*1000)</f>
        <v>47.359279230105919</v>
      </c>
      <c r="M38" s="87">
        <f>IF(M14=0,0,M14/TrRail_act!M7*1000)</f>
        <v>42.211863941265165</v>
      </c>
      <c r="N38" s="87">
        <f>IF(N14=0,0,N14/TrRail_act!N7*1000)</f>
        <v>40.258961429310936</v>
      </c>
      <c r="O38" s="87">
        <f>IF(O14=0,0,O14/TrRail_act!O7*1000)</f>
        <v>38.672781341208292</v>
      </c>
      <c r="P38" s="87">
        <f>IF(P14=0,0,P14/TrRail_act!P7*1000)</f>
        <v>34.128435341169151</v>
      </c>
      <c r="Q38" s="87">
        <f>IF(Q14=0,0,Q14/TrRail_act!Q7*1000)</f>
        <v>36.624332870552273</v>
      </c>
      <c r="R38" s="87">
        <f>IF(R14=0,0,R14/TrRail_act!R7*1000)</f>
        <v>37.654626489962212</v>
      </c>
      <c r="S38" s="87">
        <f>IF(S14=0,0,S14/TrRail_act!S7*1000)</f>
        <v>36.407190651081415</v>
      </c>
      <c r="T38" s="87">
        <f>IF(T14=0,0,T14/TrRail_act!T7*1000)</f>
        <v>29.653106440624285</v>
      </c>
      <c r="U38" s="87">
        <f>IF(U14=0,0,U14/TrRail_act!U7*1000)</f>
        <v>27.053732825092077</v>
      </c>
      <c r="V38" s="87">
        <f>IF(V14=0,0,V14/TrRail_act!V7*1000)</f>
        <v>28.732843925418418</v>
      </c>
      <c r="W38" s="87">
        <f>IF(W14=0,0,W14/TrRail_act!W7*1000)</f>
        <v>31.366010691314823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14.512787935436569</v>
      </c>
      <c r="C39" s="87">
        <f>IF(C15=0,0,C15/TrRail_act!C8*1000)</f>
        <v>14.21975373380366</v>
      </c>
      <c r="D39" s="87">
        <f>IF(D15=0,0,D15/TrRail_act!D8*1000)</f>
        <v>13.370524657535828</v>
      </c>
      <c r="E39" s="87">
        <f>IF(E15=0,0,E15/TrRail_act!E8*1000)</f>
        <v>13.653872237037028</v>
      </c>
      <c r="F39" s="87">
        <f>IF(F15=0,0,F15/TrRail_act!F8*1000)</f>
        <v>13.21188241719465</v>
      </c>
      <c r="G39" s="87">
        <f>IF(G15=0,0,G15/TrRail_act!G8*1000)</f>
        <v>14.267687585605799</v>
      </c>
      <c r="H39" s="87">
        <f>IF(H15=0,0,H15/TrRail_act!H8*1000)</f>
        <v>14.298842693980999</v>
      </c>
      <c r="I39" s="87">
        <f>IF(I15=0,0,I15/TrRail_act!I8*1000)</f>
        <v>14.678150478723783</v>
      </c>
      <c r="J39" s="87">
        <f>IF(J15=0,0,J15/TrRail_act!J8*1000)</f>
        <v>14.310422428028494</v>
      </c>
      <c r="K39" s="87">
        <f>IF(K15=0,0,K15/TrRail_act!K8*1000)</f>
        <v>13.850704534997234</v>
      </c>
      <c r="L39" s="87">
        <f>IF(L15=0,0,L15/TrRail_act!L8*1000)</f>
        <v>13.348829665496583</v>
      </c>
      <c r="M39" s="87">
        <f>IF(M15=0,0,M15/TrRail_act!M8*1000)</f>
        <v>11.74426127225367</v>
      </c>
      <c r="N39" s="87">
        <f>IF(N15=0,0,N15/TrRail_act!N8*1000)</f>
        <v>11.215875728941533</v>
      </c>
      <c r="O39" s="87">
        <f>IF(O15=0,0,O15/TrRail_act!O8*1000)</f>
        <v>11.36678632403544</v>
      </c>
      <c r="P39" s="87">
        <f>IF(P15=0,0,P15/TrRail_act!P8*1000)</f>
        <v>10.613794175237208</v>
      </c>
      <c r="Q39" s="87">
        <f>IF(Q15=0,0,Q15/TrRail_act!Q8*1000)</f>
        <v>10.913990742370817</v>
      </c>
      <c r="R39" s="87">
        <f>IF(R15=0,0,R15/TrRail_act!R8*1000)</f>
        <v>11.324117036490124</v>
      </c>
      <c r="S39" s="87">
        <f>IF(S15=0,0,S15/TrRail_act!S8*1000)</f>
        <v>11.212417154453831</v>
      </c>
      <c r="T39" s="87">
        <f>IF(T15=0,0,T15/TrRail_act!T8*1000)</f>
        <v>9.911704145096353</v>
      </c>
      <c r="U39" s="87">
        <f>IF(U15=0,0,U15/TrRail_act!U8*1000)</f>
        <v>9.8875689070234252</v>
      </c>
      <c r="V39" s="87">
        <f>IF(V15=0,0,V15/TrRail_act!V8*1000)</f>
        <v>13.396221081718432</v>
      </c>
      <c r="W39" s="87">
        <f>IF(W15=0,0,W15/TrRail_act!W8*1000)</f>
        <v>14.583639524663344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8.9374699309994181</v>
      </c>
      <c r="C40" s="117">
        <f>IF(C16=0,0,C16/TrRail_act!C9*1000)</f>
        <v>8.8934602205098301</v>
      </c>
      <c r="D40" s="117">
        <f>IF(D16=0,0,D16/TrRail_act!D9*1000)</f>
        <v>8.8610816752650869</v>
      </c>
      <c r="E40" s="117">
        <f>IF(E16=0,0,E16/TrRail_act!E9*1000)</f>
        <v>8.9021352736186738</v>
      </c>
      <c r="F40" s="117">
        <f>IF(F16=0,0,F16/TrRail_act!F9*1000)</f>
        <v>8.8866105913660878</v>
      </c>
      <c r="G40" s="117">
        <f>IF(G16=0,0,G16/TrRail_act!G9*1000)</f>
        <v>8.7373467463262742</v>
      </c>
      <c r="H40" s="117">
        <f>IF(H16=0,0,H16/TrRail_act!H9*1000)</f>
        <v>7.9341858786627366</v>
      </c>
      <c r="I40" s="117">
        <f>IF(I16=0,0,I16/TrRail_act!I9*1000)</f>
        <v>8.2105452357270714</v>
      </c>
      <c r="J40" s="117">
        <f>IF(J16=0,0,J16/TrRail_act!J9*1000)</f>
        <v>8.3748033977656391</v>
      </c>
      <c r="K40" s="117">
        <f>IF(K16=0,0,K16/TrRail_act!K9*1000)</f>
        <v>8.010833852250542</v>
      </c>
      <c r="L40" s="117">
        <f>IF(L16=0,0,L16/TrRail_act!L9*1000)</f>
        <v>8.0745581016787522</v>
      </c>
      <c r="M40" s="117">
        <f>IF(M16=0,0,M16/TrRail_act!M9*1000)</f>
        <v>7.9936107781759649</v>
      </c>
      <c r="N40" s="117">
        <f>IF(N16=0,0,N16/TrRail_act!N9*1000)</f>
        <v>7.9530911897858054</v>
      </c>
      <c r="O40" s="117">
        <f>IF(O16=0,0,O16/TrRail_act!O9*1000)</f>
        <v>7.9032150326368633</v>
      </c>
      <c r="P40" s="117">
        <f>IF(P16=0,0,P16/TrRail_act!P9*1000)</f>
        <v>7.8144433765276293</v>
      </c>
      <c r="Q40" s="117">
        <f>IF(Q16=0,0,Q16/TrRail_act!Q9*1000)</f>
        <v>7.5676086636082553</v>
      </c>
      <c r="R40" s="117">
        <f>IF(R16=0,0,R16/TrRail_act!R9*1000)</f>
        <v>7.394900298987281</v>
      </c>
      <c r="S40" s="117">
        <f>IF(S16=0,0,S16/TrRail_act!S9*1000)</f>
        <v>7.2755826830530888</v>
      </c>
      <c r="T40" s="117">
        <f>IF(T16=0,0,T16/TrRail_act!T9*1000)</f>
        <v>7.0134371177264532</v>
      </c>
      <c r="U40" s="117">
        <f>IF(U16=0,0,U16/TrRail_act!U9*1000)</f>
        <v>7.20608676377792</v>
      </c>
      <c r="V40" s="117">
        <f>IF(V16=0,0,V16/TrRail_act!V9*1000)</f>
        <v>10.514683591809211</v>
      </c>
      <c r="W40" s="117">
        <f>IF(W16=0,0,W16/TrRail_act!W9*1000)</f>
        <v>11.806327651332087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7.0315178014814519</v>
      </c>
      <c r="C41" s="29">
        <f>IF(C17=0,0,C17/TrRail_act!C10*1000)</f>
        <v>6.7965368742223653</v>
      </c>
      <c r="D41" s="29">
        <f>IF(D17=0,0,D17/TrRail_act!D10*1000)</f>
        <v>6.1044953276330274</v>
      </c>
      <c r="E41" s="29">
        <f>IF(E17=0,0,E17/TrRail_act!E10*1000)</f>
        <v>5.9163656348348077</v>
      </c>
      <c r="F41" s="29">
        <f>IF(F17=0,0,F17/TrRail_act!F10*1000)</f>
        <v>6.2020061900005343</v>
      </c>
      <c r="G41" s="29">
        <f>IF(G17=0,0,G17/TrRail_act!G10*1000)</f>
        <v>6.3526271306320492</v>
      </c>
      <c r="H41" s="29">
        <f>IF(H17=0,0,H17/TrRail_act!H10*1000)</f>
        <v>6.4462908808318611</v>
      </c>
      <c r="I41" s="29">
        <f>IF(I17=0,0,I17/TrRail_act!I10*1000)</f>
        <v>6.1788285100579348</v>
      </c>
      <c r="J41" s="29">
        <f>IF(J17=0,0,J17/TrRail_act!J10*1000)</f>
        <v>6.0639509147751545</v>
      </c>
      <c r="K41" s="29">
        <f>IF(K17=0,0,K17/TrRail_act!K10*1000)</f>
        <v>5.7989795933322581</v>
      </c>
      <c r="L41" s="29">
        <f>IF(L17=0,0,L17/TrRail_act!L10*1000)</f>
        <v>5.4138488974751828</v>
      </c>
      <c r="M41" s="29">
        <f>IF(M17=0,0,M17/TrRail_act!M10*1000)</f>
        <v>5.1805424897331562</v>
      </c>
      <c r="N41" s="29">
        <f>IF(N17=0,0,N17/TrRail_act!N10*1000)</f>
        <v>5.3825961977080903</v>
      </c>
      <c r="O41" s="29">
        <f>IF(O17=0,0,O17/TrRail_act!O10*1000)</f>
        <v>5.173320580358137</v>
      </c>
      <c r="P41" s="29">
        <f>IF(P17=0,0,P17/TrRail_act!P10*1000)</f>
        <v>4.8997729784968973</v>
      </c>
      <c r="Q41" s="29">
        <f>IF(Q17=0,0,Q17/TrRail_act!Q10*1000)</f>
        <v>4.9087475978315682</v>
      </c>
      <c r="R41" s="29">
        <f>IF(R17=0,0,R17/TrRail_act!R10*1000)</f>
        <v>4.8924524419996729</v>
      </c>
      <c r="S41" s="29">
        <f>IF(S17=0,0,S17/TrRail_act!S10*1000)</f>
        <v>4.8295697421602926</v>
      </c>
      <c r="T41" s="29">
        <f>IF(T17=0,0,T17/TrRail_act!T10*1000)</f>
        <v>6.4939162695288326</v>
      </c>
      <c r="U41" s="29">
        <f>IF(U17=0,0,U17/TrRail_act!U10*1000)</f>
        <v>6.223025224421936</v>
      </c>
      <c r="V41" s="29">
        <f>IF(V17=0,0,V17/TrRail_act!V10*1000)</f>
        <v>6.3905662691672118</v>
      </c>
      <c r="W41" s="29">
        <f>IF(W17=0,0,W17/TrRail_act!W10*1000)</f>
        <v>6.754871572111111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11.158853014150727</v>
      </c>
      <c r="C42" s="87">
        <f>IF(C18=0,0,C18/TrRail_act!C11*1000)</f>
        <v>10.885243790908904</v>
      </c>
      <c r="D42" s="87">
        <f>IF(D18=0,0,D18/TrRail_act!D11*1000)</f>
        <v>10.308230897905577</v>
      </c>
      <c r="E42" s="87">
        <f>IF(E18=0,0,E18/TrRail_act!E11*1000)</f>
        <v>9.6934273266363036</v>
      </c>
      <c r="F42" s="87">
        <f>IF(F18=0,0,F18/TrRail_act!F11*1000)</f>
        <v>11.040409638139936</v>
      </c>
      <c r="G42" s="87">
        <f>IF(G18=0,0,G18/TrRail_act!G11*1000)</f>
        <v>11.551238231720356</v>
      </c>
      <c r="H42" s="87">
        <f>IF(H18=0,0,H18/TrRail_act!H11*1000)</f>
        <v>12.795768745937528</v>
      </c>
      <c r="I42" s="87">
        <f>IF(I18=0,0,I18/TrRail_act!I11*1000)</f>
        <v>12.474891655060922</v>
      </c>
      <c r="J42" s="87">
        <f>IF(J18=0,0,J18/TrRail_act!J11*1000)</f>
        <v>11.875711144927688</v>
      </c>
      <c r="K42" s="87">
        <f>IF(K18=0,0,K18/TrRail_act!K11*1000)</f>
        <v>11.265909204574552</v>
      </c>
      <c r="L42" s="87">
        <f>IF(L18=0,0,L18/TrRail_act!L11*1000)</f>
        <v>9.9111404423659959</v>
      </c>
      <c r="M42" s="87">
        <f>IF(M18=0,0,M18/TrRail_act!M11*1000)</f>
        <v>8.9993164361103712</v>
      </c>
      <c r="N42" s="87">
        <f>IF(N18=0,0,N18/TrRail_act!N11*1000)</f>
        <v>9.5692842854362468</v>
      </c>
      <c r="O42" s="87">
        <f>IF(O18=0,0,O18/TrRail_act!O11*1000)</f>
        <v>9.4951433095142495</v>
      </c>
      <c r="P42" s="87">
        <f>IF(P18=0,0,P18/TrRail_act!P11*1000)</f>
        <v>9.4883093134211762</v>
      </c>
      <c r="Q42" s="87">
        <f>IF(Q18=0,0,Q18/TrRail_act!Q11*1000)</f>
        <v>9.1582494387145505</v>
      </c>
      <c r="R42" s="87">
        <f>IF(R18=0,0,R18/TrRail_act!R11*1000)</f>
        <v>9.4255789553477349</v>
      </c>
      <c r="S42" s="87">
        <f>IF(S18=0,0,S18/TrRail_act!S11*1000)</f>
        <v>9.5081310863508968</v>
      </c>
      <c r="T42" s="87">
        <f>IF(T18=0,0,T18/TrRail_act!T11*1000)</f>
        <v>13.017261323012864</v>
      </c>
      <c r="U42" s="87">
        <f>IF(U18=0,0,U18/TrRail_act!U11*1000)</f>
        <v>13.834471742820199</v>
      </c>
      <c r="V42" s="87">
        <f>IF(V18=0,0,V18/TrRail_act!V11*1000)</f>
        <v>15.39210344342645</v>
      </c>
      <c r="W42" s="87">
        <f>IF(W18=0,0,W18/TrRail_act!W11*1000)</f>
        <v>16.21137683936151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4.0663571546919517</v>
      </c>
      <c r="C43" s="88">
        <f>IF(C19=0,0,C19/TrRail_act!C12*1000)</f>
        <v>4.1746176078210953</v>
      </c>
      <c r="D43" s="88">
        <f>IF(D19=0,0,D19/TrRail_act!D12*1000)</f>
        <v>4.0282418935354851</v>
      </c>
      <c r="E43" s="88">
        <f>IF(E19=0,0,E19/TrRail_act!E12*1000)</f>
        <v>4.2088055082136568</v>
      </c>
      <c r="F43" s="88">
        <f>IF(F19=0,0,F19/TrRail_act!F12*1000)</f>
        <v>4.5125491448935255</v>
      </c>
      <c r="G43" s="88">
        <f>IF(G19=0,0,G19/TrRail_act!G12*1000)</f>
        <v>4.6140631702323205</v>
      </c>
      <c r="H43" s="88">
        <f>IF(H19=0,0,H19/TrRail_act!H12*1000)</f>
        <v>4.4156518073292306</v>
      </c>
      <c r="I43" s="88">
        <f>IF(I19=0,0,I19/TrRail_act!I12*1000)</f>
        <v>4.0726799969542462</v>
      </c>
      <c r="J43" s="88">
        <f>IF(J19=0,0,J19/TrRail_act!J12*1000)</f>
        <v>4.3279487045508134</v>
      </c>
      <c r="K43" s="88">
        <f>IF(K19=0,0,K19/TrRail_act!K12*1000)</f>
        <v>4.4984279993845009</v>
      </c>
      <c r="L43" s="88">
        <f>IF(L19=0,0,L19/TrRail_act!L12*1000)</f>
        <v>4.4892641877995985</v>
      </c>
      <c r="M43" s="88">
        <f>IF(M19=0,0,M19/TrRail_act!M12*1000)</f>
        <v>4.3858302381999961</v>
      </c>
      <c r="N43" s="88">
        <f>IF(N19=0,0,N19/TrRail_act!N12*1000)</f>
        <v>4.3395674014917391</v>
      </c>
      <c r="O43" s="88">
        <f>IF(O19=0,0,O19/TrRail_act!O12*1000)</f>
        <v>4.3613533805932478</v>
      </c>
      <c r="P43" s="88">
        <f>IF(P19=0,0,P19/TrRail_act!P12*1000)</f>
        <v>4.1992992742465445</v>
      </c>
      <c r="Q43" s="88">
        <f>IF(Q19=0,0,Q19/TrRail_act!Q12*1000)</f>
        <v>4.2587972094290114</v>
      </c>
      <c r="R43" s="88">
        <f>IF(R19=0,0,R19/TrRail_act!R12*1000)</f>
        <v>4.1805850823068607</v>
      </c>
      <c r="S43" s="88">
        <f>IF(S19=0,0,S19/TrRail_act!S12*1000)</f>
        <v>4.0421631069247823</v>
      </c>
      <c r="T43" s="88">
        <f>IF(T19=0,0,T19/TrRail_act!T12*1000)</f>
        <v>5.4063488581551304</v>
      </c>
      <c r="U43" s="88">
        <f>IF(U19=0,0,U19/TrRail_act!U12*1000)</f>
        <v>4.9511701333401774</v>
      </c>
      <c r="V43" s="88">
        <f>IF(V19=0,0,V19/TrRail_act!V12*1000)</f>
        <v>4.9376797138484374</v>
      </c>
      <c r="W43" s="88">
        <f>IF(W19=0,0,W19/TrRail_act!W12*1000)</f>
        <v>5.2536919445177039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290362.93398503395</v>
      </c>
      <c r="C45" s="54">
        <f>IF(C10=0,0,1000000*C10/TrRail_act!C25)</f>
        <v>277306.24218172423</v>
      </c>
      <c r="D45" s="54">
        <f>IF(D10=0,0,1000000*D10/TrRail_act!D25)</f>
        <v>270203.07046943338</v>
      </c>
      <c r="E45" s="54">
        <f>IF(E10=0,0,1000000*E10/TrRail_act!E25)</f>
        <v>265225.42397875246</v>
      </c>
      <c r="F45" s="54">
        <f>IF(F10=0,0,1000000*F10/TrRail_act!F25)</f>
        <v>265499.33476091508</v>
      </c>
      <c r="G45" s="54">
        <f>IF(G10=0,0,1000000*G10/TrRail_act!G25)</f>
        <v>268903.11872816883</v>
      </c>
      <c r="H45" s="54">
        <f>IF(H10=0,0,1000000*H10/TrRail_act!H25)</f>
        <v>272969.56526397681</v>
      </c>
      <c r="I45" s="54">
        <f>IF(I10=0,0,1000000*I10/TrRail_act!I25)</f>
        <v>271382.78025941545</v>
      </c>
      <c r="J45" s="54">
        <f>IF(J10=0,0,1000000*J10/TrRail_act!J25)</f>
        <v>259115.25582801024</v>
      </c>
      <c r="K45" s="54">
        <f>IF(K10=0,0,1000000*K10/TrRail_act!K25)</f>
        <v>236362.7556312299</v>
      </c>
      <c r="L45" s="54">
        <f>IF(L10=0,0,1000000*L10/TrRail_act!L25)</f>
        <v>235032.17110846512</v>
      </c>
      <c r="M45" s="54">
        <f>IF(M10=0,0,1000000*M10/TrRail_act!M25)</f>
        <v>229967.96896173939</v>
      </c>
      <c r="N45" s="54">
        <f>IF(N10=0,0,1000000*N10/TrRail_act!N25)</f>
        <v>228301.32949101945</v>
      </c>
      <c r="O45" s="54">
        <f>IF(O10=0,0,1000000*O10/TrRail_act!O25)</f>
        <v>213583.93988093227</v>
      </c>
      <c r="P45" s="54">
        <f>IF(P10=0,0,1000000*P10/TrRail_act!P25)</f>
        <v>204034.54349496056</v>
      </c>
      <c r="Q45" s="54">
        <f>IF(Q10=0,0,1000000*Q10/TrRail_act!Q25)</f>
        <v>204050.45811899437</v>
      </c>
      <c r="R45" s="54">
        <f>IF(R10=0,0,1000000*R10/TrRail_act!R25)</f>
        <v>200508.47601733296</v>
      </c>
      <c r="S45" s="54">
        <f>IF(S10=0,0,1000000*S10/TrRail_act!S25)</f>
        <v>197707.0725365468</v>
      </c>
      <c r="T45" s="54">
        <f>IF(T10=0,0,1000000*T10/TrRail_act!T25)</f>
        <v>200262.58746248428</v>
      </c>
      <c r="U45" s="54">
        <f>IF(U10=0,0,1000000*U10/TrRail_act!U25)</f>
        <v>195683.07786904552</v>
      </c>
      <c r="V45" s="54">
        <f>IF(V10=0,0,1000000*V10/TrRail_act!V25)</f>
        <v>188530.49999585294</v>
      </c>
      <c r="W45" s="54">
        <f>IF(W10=0,0,1000000*W10/TrRail_act!W25)</f>
        <v>194865.3145385354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227639.23037490479</v>
      </c>
      <c r="C46" s="28">
        <f>IF(C11=0,0,1000000*C11/TrRail_act!C26)</f>
        <v>223644.09848330237</v>
      </c>
      <c r="D46" s="28">
        <f>IF(D11=0,0,1000000*D11/TrRail_act!D26)</f>
        <v>223385.78825011972</v>
      </c>
      <c r="E46" s="28">
        <f>IF(E11=0,0,1000000*E11/TrRail_act!E26)</f>
        <v>221476.29485428895</v>
      </c>
      <c r="F46" s="28">
        <f>IF(F11=0,0,1000000*F11/TrRail_act!F26)</f>
        <v>221060.18042077133</v>
      </c>
      <c r="G46" s="28">
        <f>IF(G11=0,0,1000000*G11/TrRail_act!G26)</f>
        <v>221080.17050567994</v>
      </c>
      <c r="H46" s="28">
        <f>IF(H11=0,0,1000000*H11/TrRail_act!H26)</f>
        <v>224694.77020400405</v>
      </c>
      <c r="I46" s="28">
        <f>IF(I11=0,0,1000000*I11/TrRail_act!I26)</f>
        <v>222028.96508632193</v>
      </c>
      <c r="J46" s="28">
        <f>IF(J11=0,0,1000000*J11/TrRail_act!J26)</f>
        <v>214865.56895611162</v>
      </c>
      <c r="K46" s="28">
        <f>IF(K11=0,0,1000000*K11/TrRail_act!K26)</f>
        <v>211397.35703586467</v>
      </c>
      <c r="L46" s="28">
        <f>IF(L11=0,0,1000000*L11/TrRail_act!L26)</f>
        <v>204361.53801862593</v>
      </c>
      <c r="M46" s="28">
        <f>IF(M11=0,0,1000000*M11/TrRail_act!M26)</f>
        <v>198715.59906329206</v>
      </c>
      <c r="N46" s="28">
        <f>IF(N11=0,0,1000000*N11/TrRail_act!N26)</f>
        <v>195529.53400010211</v>
      </c>
      <c r="O46" s="28">
        <f>IF(O11=0,0,1000000*O11/TrRail_act!O26)</f>
        <v>182763.17161835806</v>
      </c>
      <c r="P46" s="28">
        <f>IF(P11=0,0,1000000*P11/TrRail_act!P26)</f>
        <v>173529.52943113184</v>
      </c>
      <c r="Q46" s="28">
        <f>IF(Q11=0,0,1000000*Q11/TrRail_act!Q26)</f>
        <v>174066.8310208816</v>
      </c>
      <c r="R46" s="28">
        <f>IF(R11=0,0,1000000*R11/TrRail_act!R26)</f>
        <v>171496.30903981815</v>
      </c>
      <c r="S46" s="28">
        <f>IF(S11=0,0,1000000*S11/TrRail_act!S26)</f>
        <v>168443.00303790625</v>
      </c>
      <c r="T46" s="28">
        <f>IF(T11=0,0,1000000*T11/TrRail_act!T26)</f>
        <v>160861.402679224</v>
      </c>
      <c r="U46" s="28">
        <f>IF(U11=0,0,1000000*U11/TrRail_act!U26)</f>
        <v>159659.84087780697</v>
      </c>
      <c r="V46" s="28">
        <f>IF(V11=0,0,1000000*V11/TrRail_act!V26)</f>
        <v>152645.09662670729</v>
      </c>
      <c r="W46" s="28">
        <f>IF(W11=0,0,1000000*W11/TrRail_act!W26)</f>
        <v>155991.08317219338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50393.501554128663</v>
      </c>
      <c r="C47" s="108">
        <f>IF(C12=0,0,1000000*C12/TrRail_act!C27)</f>
        <v>49833.019714187802</v>
      </c>
      <c r="D47" s="108">
        <f>IF(D12=0,0,1000000*D12/TrRail_act!D27)</f>
        <v>49294.654242399636</v>
      </c>
      <c r="E47" s="108">
        <f>IF(E12=0,0,1000000*E12/TrRail_act!E27)</f>
        <v>49246.249471130541</v>
      </c>
      <c r="F47" s="108">
        <f>IF(F12=0,0,1000000*F12/TrRail_act!F27)</f>
        <v>48737.39076934271</v>
      </c>
      <c r="G47" s="108">
        <f>IF(G12=0,0,1000000*G12/TrRail_act!G27)</f>
        <v>48409.648464201651</v>
      </c>
      <c r="H47" s="108">
        <f>IF(H12=0,0,1000000*H12/TrRail_act!H27)</f>
        <v>48181.265888493916</v>
      </c>
      <c r="I47" s="108">
        <f>IF(I12=0,0,1000000*I12/TrRail_act!I27)</f>
        <v>47180.02827620499</v>
      </c>
      <c r="J47" s="108">
        <f>IF(J12=0,0,1000000*J12/TrRail_act!J27)</f>
        <v>46666.339706633044</v>
      </c>
      <c r="K47" s="108">
        <f>IF(K12=0,0,1000000*K12/TrRail_act!K27)</f>
        <v>46430.797778484732</v>
      </c>
      <c r="L47" s="108">
        <f>IF(L12=0,0,1000000*L12/TrRail_act!L27)</f>
        <v>45638.371294255718</v>
      </c>
      <c r="M47" s="108">
        <f>IF(M12=0,0,1000000*M12/TrRail_act!M27)</f>
        <v>45105.893065488577</v>
      </c>
      <c r="N47" s="108">
        <f>IF(N12=0,0,1000000*N12/TrRail_act!N27)</f>
        <v>44940.682421351114</v>
      </c>
      <c r="O47" s="108">
        <f>IF(O12=0,0,1000000*O12/TrRail_act!O27)</f>
        <v>44382.068445442383</v>
      </c>
      <c r="P47" s="108">
        <f>IF(P12=0,0,1000000*P12/TrRail_act!P27)</f>
        <v>43799.13356211377</v>
      </c>
      <c r="Q47" s="108">
        <f>IF(Q12=0,0,1000000*Q12/TrRail_act!Q27)</f>
        <v>43553.95883007253</v>
      </c>
      <c r="R47" s="108">
        <f>IF(R12=0,0,1000000*R12/TrRail_act!R27)</f>
        <v>43370.978994707046</v>
      </c>
      <c r="S47" s="108">
        <f>IF(S12=0,0,1000000*S12/TrRail_act!S27)</f>
        <v>43234.248776159206</v>
      </c>
      <c r="T47" s="108">
        <f>IF(T12=0,0,1000000*T12/TrRail_act!T27)</f>
        <v>43131.984274381881</v>
      </c>
      <c r="U47" s="108">
        <f>IF(U12=0,0,1000000*U12/TrRail_act!U27)</f>
        <v>43055.444412062803</v>
      </c>
      <c r="V47" s="108">
        <f>IF(V12=0,0,1000000*V12/TrRail_act!V27)</f>
        <v>29834.812861979062</v>
      </c>
      <c r="W47" s="108">
        <f>IF(W12=0,0,1000000*W12/TrRail_act!W27)</f>
        <v>31944.755875327439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258530.12931595108</v>
      </c>
      <c r="C48" s="110">
        <f>IF(C13=0,0,1000000*C13/TrRail_act!C28)</f>
        <v>251940.18330691473</v>
      </c>
      <c r="D48" s="110">
        <f>IF(D13=0,0,1000000*D13/TrRail_act!D28)</f>
        <v>252493.62153413222</v>
      </c>
      <c r="E48" s="110">
        <f>IF(E13=0,0,1000000*E13/TrRail_act!E28)</f>
        <v>249881.62416782053</v>
      </c>
      <c r="F48" s="110">
        <f>IF(F13=0,0,1000000*F13/TrRail_act!F28)</f>
        <v>245707.52869714439</v>
      </c>
      <c r="G48" s="110">
        <f>IF(G13=0,0,1000000*G13/TrRail_act!G28)</f>
        <v>247686.02529042249</v>
      </c>
      <c r="H48" s="110">
        <f>IF(H13=0,0,1000000*H13/TrRail_act!H28)</f>
        <v>251670.90250624015</v>
      </c>
      <c r="I48" s="110">
        <f>IF(I13=0,0,1000000*I13/TrRail_act!I28)</f>
        <v>249078.25701473802</v>
      </c>
      <c r="J48" s="110">
        <f>IF(J13=0,0,1000000*J13/TrRail_act!J28)</f>
        <v>238602.959075077</v>
      </c>
      <c r="K48" s="110">
        <f>IF(K13=0,0,1000000*K13/TrRail_act!K28)</f>
        <v>235559.67474807648</v>
      </c>
      <c r="L48" s="110">
        <f>IF(L13=0,0,1000000*L13/TrRail_act!L28)</f>
        <v>229427.18609458947</v>
      </c>
      <c r="M48" s="110">
        <f>IF(M13=0,0,1000000*M13/TrRail_act!M28)</f>
        <v>227303.6766499822</v>
      </c>
      <c r="N48" s="110">
        <f>IF(N13=0,0,1000000*N13/TrRail_act!N28)</f>
        <v>226753.99842727973</v>
      </c>
      <c r="O48" s="110">
        <f>IF(O13=0,0,1000000*O13/TrRail_act!O28)</f>
        <v>209787.52247718853</v>
      </c>
      <c r="P48" s="110">
        <f>IF(P13=0,0,1000000*P13/TrRail_act!P28)</f>
        <v>198698.95802715269</v>
      </c>
      <c r="Q48" s="110">
        <f>IF(Q13=0,0,1000000*Q13/TrRail_act!Q28)</f>
        <v>196212.41226462615</v>
      </c>
      <c r="R48" s="110">
        <f>IF(R13=0,0,1000000*R13/TrRail_act!R28)</f>
        <v>189766.76348664248</v>
      </c>
      <c r="S48" s="110">
        <f>IF(S13=0,0,1000000*S13/TrRail_act!S28)</f>
        <v>188290.86438410607</v>
      </c>
      <c r="T48" s="110">
        <f>IF(T13=0,0,1000000*T13/TrRail_act!T28)</f>
        <v>181041.7373268579</v>
      </c>
      <c r="U48" s="110">
        <f>IF(U13=0,0,1000000*U13/TrRail_act!U28)</f>
        <v>179643.86290303007</v>
      </c>
      <c r="V48" s="110">
        <f>IF(V13=0,0,1000000*V13/TrRail_act!V28)</f>
        <v>174721.9887303345</v>
      </c>
      <c r="W48" s="110">
        <f>IF(W13=0,0,1000000*W13/TrRail_act!W28)</f>
        <v>174454.67799365212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603648.69787693804</v>
      </c>
      <c r="C49" s="84">
        <f>IF(C14=0,0,1000000*C14/TrRail_act!C29)</f>
        <v>592067.80247568944</v>
      </c>
      <c r="D49" s="84">
        <f>IF(D14=0,0,1000000*D14/TrRail_act!D29)</f>
        <v>583914.0631432177</v>
      </c>
      <c r="E49" s="84">
        <f>IF(E14=0,0,1000000*E14/TrRail_act!E29)</f>
        <v>580701.32065815083</v>
      </c>
      <c r="F49" s="84">
        <f>IF(F14=0,0,1000000*F14/TrRail_act!F29)</f>
        <v>578251.33709645516</v>
      </c>
      <c r="G49" s="84">
        <f>IF(G14=0,0,1000000*G14/TrRail_act!G29)</f>
        <v>574081.00629219261</v>
      </c>
      <c r="H49" s="84">
        <f>IF(H14=0,0,1000000*H14/TrRail_act!H29)</f>
        <v>570489.4823352712</v>
      </c>
      <c r="I49" s="84">
        <f>IF(I14=0,0,1000000*I14/TrRail_act!I29)</f>
        <v>565670.15040689392</v>
      </c>
      <c r="J49" s="84">
        <f>IF(J14=0,0,1000000*J14/TrRail_act!J29)</f>
        <v>564200.57561920164</v>
      </c>
      <c r="K49" s="84">
        <f>IF(K14=0,0,1000000*K14/TrRail_act!K29)</f>
        <v>546592.81729316548</v>
      </c>
      <c r="L49" s="84">
        <f>IF(L14=0,0,1000000*L14/TrRail_act!L29)</f>
        <v>511006.08533105633</v>
      </c>
      <c r="M49" s="84">
        <f>IF(M14=0,0,1000000*M14/TrRail_act!M29)</f>
        <v>539535.63414412481</v>
      </c>
      <c r="N49" s="84">
        <f>IF(N14=0,0,1000000*N14/TrRail_act!N29)</f>
        <v>538367.57518328051</v>
      </c>
      <c r="O49" s="84">
        <f>IF(O14=0,0,1000000*O14/TrRail_act!O29)</f>
        <v>437215.83063363069</v>
      </c>
      <c r="P49" s="84">
        <f>IF(P14=0,0,1000000*P14/TrRail_act!P29)</f>
        <v>348209.87099467596</v>
      </c>
      <c r="Q49" s="84">
        <f>IF(Q14=0,0,1000000*Q14/TrRail_act!Q29)</f>
        <v>351305.39320576226</v>
      </c>
      <c r="R49" s="84">
        <f>IF(R14=0,0,1000000*R14/TrRail_act!R29)</f>
        <v>332295.42367458477</v>
      </c>
      <c r="S49" s="84">
        <f>IF(S14=0,0,1000000*S14/TrRail_act!S29)</f>
        <v>318716.11285140814</v>
      </c>
      <c r="T49" s="84">
        <f>IF(T14=0,0,1000000*T14/TrRail_act!T29)</f>
        <v>260350.90415424856</v>
      </c>
      <c r="U49" s="84">
        <f>IF(U14=0,0,1000000*U14/TrRail_act!U29)</f>
        <v>264820.87123915809</v>
      </c>
      <c r="V49" s="84">
        <f>IF(V14=0,0,1000000*V14/TrRail_act!V29)</f>
        <v>213463.21522965532</v>
      </c>
      <c r="W49" s="84">
        <f>IF(W14=0,0,1000000*W14/TrRail_act!W29)</f>
        <v>226628.66982957502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232327.69693030443</v>
      </c>
      <c r="C50" s="84">
        <f>IF(C15=0,0,1000000*C15/TrRail_act!C30)</f>
        <v>227698.48820373297</v>
      </c>
      <c r="D50" s="84">
        <f>IF(D15=0,0,1000000*D15/TrRail_act!D30)</f>
        <v>226577.49102676808</v>
      </c>
      <c r="E50" s="84">
        <f>IF(E15=0,0,1000000*E15/TrRail_act!E30)</f>
        <v>223012.87397936967</v>
      </c>
      <c r="F50" s="84">
        <f>IF(F15=0,0,1000000*F15/TrRail_act!F30)</f>
        <v>222337.32075949851</v>
      </c>
      <c r="G50" s="84">
        <f>IF(G15=0,0,1000000*G15/TrRail_act!G30)</f>
        <v>224004.95475171783</v>
      </c>
      <c r="H50" s="84">
        <f>IF(H15=0,0,1000000*H15/TrRail_act!H30)</f>
        <v>223259.84796397306</v>
      </c>
      <c r="I50" s="84">
        <f>IF(I15=0,0,1000000*I15/TrRail_act!I30)</f>
        <v>219576.15428154546</v>
      </c>
      <c r="J50" s="84">
        <f>IF(J15=0,0,1000000*J15/TrRail_act!J30)</f>
        <v>209308.9672093885</v>
      </c>
      <c r="K50" s="84">
        <f>IF(K15=0,0,1000000*K15/TrRail_act!K30)</f>
        <v>208507.60428811845</v>
      </c>
      <c r="L50" s="84">
        <f>IF(L15=0,0,1000000*L15/TrRail_act!L30)</f>
        <v>206717.03455256674</v>
      </c>
      <c r="M50" s="84">
        <f>IF(M15=0,0,1000000*M15/TrRail_act!M30)</f>
        <v>202946.90937312905</v>
      </c>
      <c r="N50" s="84">
        <f>IF(N15=0,0,1000000*N15/TrRail_act!N30)</f>
        <v>198487.62695613064</v>
      </c>
      <c r="O50" s="84">
        <f>IF(O15=0,0,1000000*O15/TrRail_act!O30)</f>
        <v>191694.46247043865</v>
      </c>
      <c r="P50" s="84">
        <f>IF(P15=0,0,1000000*P15/TrRail_act!P30)</f>
        <v>187341.34277074036</v>
      </c>
      <c r="Q50" s="84">
        <f>IF(Q15=0,0,1000000*Q15/TrRail_act!Q30)</f>
        <v>184089.49360154619</v>
      </c>
      <c r="R50" s="84">
        <f>IF(R15=0,0,1000000*R15/TrRail_act!R30)</f>
        <v>178053.94872549808</v>
      </c>
      <c r="S50" s="84">
        <f>IF(S15=0,0,1000000*S15/TrRail_act!S30)</f>
        <v>176609.68530141318</v>
      </c>
      <c r="T50" s="84">
        <f>IF(T15=0,0,1000000*T15/TrRail_act!T30)</f>
        <v>173954.37363270842</v>
      </c>
      <c r="U50" s="84">
        <f>IF(U15=0,0,1000000*U15/TrRail_act!U30)</f>
        <v>172849.06706910298</v>
      </c>
      <c r="V50" s="84">
        <f>IF(V15=0,0,1000000*V15/TrRail_act!V30)</f>
        <v>171680.64931452592</v>
      </c>
      <c r="W50" s="84">
        <f>IF(W15=0,0,1000000*W15/TrRail_act!W30)</f>
        <v>170809.52217130704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1164347.7326910291</v>
      </c>
      <c r="C51" s="113">
        <f>IF(C16=0,0,1000000*C16/TrRail_act!C31)</f>
        <v>1158614.3930622288</v>
      </c>
      <c r="D51" s="113">
        <f>IF(D16=0,0,1000000*D16/TrRail_act!D31)</f>
        <v>1154396.1924707512</v>
      </c>
      <c r="E51" s="113">
        <f>IF(E16=0,0,1000000*E16/TrRail_act!E31)</f>
        <v>1159744.4862566837</v>
      </c>
      <c r="F51" s="113">
        <f>IF(F16=0,0,1000000*F16/TrRail_act!F31)</f>
        <v>1157721.912967426</v>
      </c>
      <c r="G51" s="113">
        <f>IF(G16=0,0,1000000*G16/TrRail_act!G31)</f>
        <v>1138276.3600748654</v>
      </c>
      <c r="H51" s="113">
        <f>IF(H16=0,0,1000000*H16/TrRail_act!H31)</f>
        <v>1125593.8175026923</v>
      </c>
      <c r="I51" s="113">
        <f>IF(I16=0,0,1000000*I16/TrRail_act!I31)</f>
        <v>1116429.387065053</v>
      </c>
      <c r="J51" s="113">
        <f>IF(J16=0,0,1000000*J16/TrRail_act!J31)</f>
        <v>1111641.8081473527</v>
      </c>
      <c r="K51" s="113">
        <f>IF(K16=0,0,1000000*K16/TrRail_act!K31)</f>
        <v>1104786.9125710418</v>
      </c>
      <c r="L51" s="113">
        <f>IF(L16=0,0,1000000*L16/TrRail_act!L31)</f>
        <v>1096160.8036435484</v>
      </c>
      <c r="M51" s="113">
        <f>IF(M16=0,0,1000000*M16/TrRail_act!M31)</f>
        <v>1011554.1843019244</v>
      </c>
      <c r="N51" s="113">
        <f>IF(N16=0,0,1000000*N16/TrRail_act!N31)</f>
        <v>1079632.0750318193</v>
      </c>
      <c r="O51" s="113">
        <f>IF(O16=0,0,1000000*O16/TrRail_act!O31)</f>
        <v>1072861.3870373848</v>
      </c>
      <c r="P51" s="113">
        <f>IF(P16=0,0,1000000*P16/TrRail_act!P31)</f>
        <v>1060661.020060593</v>
      </c>
      <c r="Q51" s="113">
        <f>IF(Q16=0,0,1000000*Q16/TrRail_act!Q31)</f>
        <v>1027277.1941549667</v>
      </c>
      <c r="R51" s="113">
        <f>IF(R16=0,0,1000000*R16/TrRail_act!R31)</f>
        <v>1003933.5582501482</v>
      </c>
      <c r="S51" s="113">
        <f>IF(S16=0,0,1000000*S16/TrRail_act!S31)</f>
        <v>987761.39898394374</v>
      </c>
      <c r="T51" s="113">
        <f>IF(T16=0,0,1000000*T16/TrRail_act!T31)</f>
        <v>973851.7884856395</v>
      </c>
      <c r="U51" s="113">
        <f>IF(U16=0,0,1000000*U16/TrRail_act!U31)</f>
        <v>961621.28149582283</v>
      </c>
      <c r="V51" s="113">
        <f>IF(V16=0,0,1000000*V16/TrRail_act!V31)</f>
        <v>941515.17389239697</v>
      </c>
      <c r="W51" s="113">
        <f>IF(W16=0,0,1000000*W16/TrRail_act!W31)</f>
        <v>942493.61366107839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790341.85252320569</v>
      </c>
      <c r="C52" s="28">
        <f>IF(C17=0,0,1000000*C17/TrRail_act!C32)</f>
        <v>738789.91261415894</v>
      </c>
      <c r="D52" s="28">
        <f>IF(D17=0,0,1000000*D17/TrRail_act!D32)</f>
        <v>646060.69580315042</v>
      </c>
      <c r="E52" s="28">
        <f>IF(E17=0,0,1000000*E17/TrRail_act!E32)</f>
        <v>632151.15992734954</v>
      </c>
      <c r="F52" s="28">
        <f>IF(F17=0,0,1000000*F17/TrRail_act!F32)</f>
        <v>619226.32985461445</v>
      </c>
      <c r="G52" s="28">
        <f>IF(G17=0,0,1000000*G17/TrRail_act!G32)</f>
        <v>612764.9244983627</v>
      </c>
      <c r="H52" s="28">
        <f>IF(H17=0,0,1000000*H17/TrRail_act!H32)</f>
        <v>626063.40849751595</v>
      </c>
      <c r="I52" s="28">
        <f>IF(I17=0,0,1000000*I17/TrRail_act!I32)</f>
        <v>622355.36636929342</v>
      </c>
      <c r="J52" s="28">
        <f>IF(J17=0,0,1000000*J17/TrRail_act!J32)</f>
        <v>592225.19320135296</v>
      </c>
      <c r="K52" s="28">
        <f>IF(K17=0,0,1000000*K17/TrRail_act!K32)</f>
        <v>437022.28548112739</v>
      </c>
      <c r="L52" s="28">
        <f>IF(L17=0,0,1000000*L17/TrRail_act!L32)</f>
        <v>490680.20526508044</v>
      </c>
      <c r="M52" s="28">
        <f>IF(M17=0,0,1000000*M17/TrRail_act!M32)</f>
        <v>494622.94452779106</v>
      </c>
      <c r="N52" s="28">
        <f>IF(N17=0,0,1000000*N17/TrRail_act!N32)</f>
        <v>521846.51466085017</v>
      </c>
      <c r="O52" s="28">
        <f>IF(O17=0,0,1000000*O17/TrRail_act!O32)</f>
        <v>500856.53371693875</v>
      </c>
      <c r="P52" s="28">
        <f>IF(P17=0,0,1000000*P17/TrRail_act!P32)</f>
        <v>488164.93189552956</v>
      </c>
      <c r="Q52" s="28">
        <f>IF(Q17=0,0,1000000*Q17/TrRail_act!Q32)</f>
        <v>485910.06050955405</v>
      </c>
      <c r="R52" s="28">
        <f>IF(R17=0,0,1000000*R17/TrRail_act!R32)</f>
        <v>475344.60734065151</v>
      </c>
      <c r="S52" s="28">
        <f>IF(S17=0,0,1000000*S17/TrRail_act!S32)</f>
        <v>476624.02132530115</v>
      </c>
      <c r="T52" s="28">
        <f>IF(T17=0,0,1000000*T17/TrRail_act!T32)</f>
        <v>471710.83042821783</v>
      </c>
      <c r="U52" s="28">
        <f>IF(U17=0,0,1000000*U17/TrRail_act!U32)</f>
        <v>460721.28097971756</v>
      </c>
      <c r="V52" s="28">
        <f>IF(V17=0,0,1000000*V17/TrRail_act!V32)</f>
        <v>447514.15600391483</v>
      </c>
      <c r="W52" s="28">
        <f>IF(W17=0,0,1000000*W17/TrRail_act!W32)</f>
        <v>474284.43195646297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1279014.6950883914</v>
      </c>
      <c r="C53" s="84">
        <f>IF(C18=0,0,1000000*C18/TrRail_act!C33)</f>
        <v>1195450.3584645528</v>
      </c>
      <c r="D53" s="84">
        <f>IF(D18=0,0,1000000*D18/TrRail_act!D33)</f>
        <v>1110567.5925666427</v>
      </c>
      <c r="E53" s="84">
        <f>IF(E18=0,0,1000000*E18/TrRail_act!E33)</f>
        <v>1123310.5801376316</v>
      </c>
      <c r="F53" s="84">
        <f>IF(F18=0,0,1000000*F18/TrRail_act!F33)</f>
        <v>1261761.6407822685</v>
      </c>
      <c r="G53" s="84">
        <f>IF(G18=0,0,1000000*G18/TrRail_act!G33)</f>
        <v>1249226.9433694149</v>
      </c>
      <c r="H53" s="84">
        <f>IF(H18=0,0,1000000*H18/TrRail_act!H33)</f>
        <v>1241393.9614209805</v>
      </c>
      <c r="I53" s="84">
        <f>IF(I18=0,0,1000000*I18/TrRail_act!I33)</f>
        <v>1235373.7447190487</v>
      </c>
      <c r="J53" s="84">
        <f>IF(J18=0,0,1000000*J18/TrRail_act!J33)</f>
        <v>1181650.9338298056</v>
      </c>
      <c r="K53" s="84">
        <f>IF(K18=0,0,1000000*K18/TrRail_act!K33)</f>
        <v>773711.6814519621</v>
      </c>
      <c r="L53" s="84">
        <f>IF(L18=0,0,1000000*L18/TrRail_act!L33)</f>
        <v>840288.5089494331</v>
      </c>
      <c r="M53" s="84">
        <f>IF(M18=0,0,1000000*M18/TrRail_act!M33)</f>
        <v>961823.51840353024</v>
      </c>
      <c r="N53" s="84">
        <f>IF(N18=0,0,1000000*N18/TrRail_act!N33)</f>
        <v>1174574.3718250662</v>
      </c>
      <c r="O53" s="84">
        <f>IF(O18=0,0,1000000*O18/TrRail_act!O33)</f>
        <v>1144713.2971502312</v>
      </c>
      <c r="P53" s="84">
        <f>IF(P18=0,0,1000000*P18/TrRail_act!P33)</f>
        <v>1132011.0834020579</v>
      </c>
      <c r="Q53" s="84">
        <f>IF(Q18=0,0,1000000*Q18/TrRail_act!Q33)</f>
        <v>1127215.2563402394</v>
      </c>
      <c r="R53" s="84">
        <f>IF(R18=0,0,1000000*R18/TrRail_act!R33)</f>
        <v>1097788.0453900595</v>
      </c>
      <c r="S53" s="84">
        <f>IF(S18=0,0,1000000*S18/TrRail_act!S33)</f>
        <v>1086985.2673250192</v>
      </c>
      <c r="T53" s="84">
        <f>IF(T18=0,0,1000000*T18/TrRail_act!T33)</f>
        <v>1078952.9140290865</v>
      </c>
      <c r="U53" s="84">
        <f>IF(U18=0,0,1000000*U18/TrRail_act!U33)</f>
        <v>1072967.6740053168</v>
      </c>
      <c r="V53" s="84">
        <f>IF(V18=0,0,1000000*V18/TrRail_act!V33)</f>
        <v>1068500.5113724337</v>
      </c>
      <c r="W53" s="84">
        <f>IF(W18=0,0,1000000*W18/TrRail_act!W33)</f>
        <v>1065162.3529658371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450788.50147654209</v>
      </c>
      <c r="C54" s="86">
        <f>IF(C19=0,0,1000000*C19/TrRail_act!C34)</f>
        <v>450831.04464250774</v>
      </c>
      <c r="D54" s="86">
        <f>IF(D19=0,0,1000000*D19/TrRail_act!D34)</f>
        <v>422637.32841432578</v>
      </c>
      <c r="E54" s="86">
        <f>IF(E19=0,0,1000000*E19/TrRail_act!E34)</f>
        <v>434389.41329419683</v>
      </c>
      <c r="F54" s="86">
        <f>IF(F19=0,0,1000000*F19/TrRail_act!F34)</f>
        <v>431504.93743845442</v>
      </c>
      <c r="G54" s="86">
        <f>IF(G19=0,0,1000000*G19/TrRail_act!G34)</f>
        <v>429540.42631655157</v>
      </c>
      <c r="H54" s="86">
        <f>IF(H19=0,0,1000000*H19/TrRail_act!H34)</f>
        <v>428994.88812400866</v>
      </c>
      <c r="I54" s="86">
        <f>IF(I19=0,0,1000000*I19/TrRail_act!I34)</f>
        <v>412578.32760266069</v>
      </c>
      <c r="J54" s="86">
        <f>IF(J19=0,0,1000000*J19/TrRail_act!J34)</f>
        <v>420361.83872313809</v>
      </c>
      <c r="K54" s="86">
        <f>IF(K19=0,0,1000000*K19/TrRail_act!K34)</f>
        <v>347046.19013776927</v>
      </c>
      <c r="L54" s="86">
        <f>IF(L19=0,0,1000000*L19/TrRail_act!L34)</f>
        <v>412738.11901831476</v>
      </c>
      <c r="M54" s="86">
        <f>IF(M19=0,0,1000000*M19/TrRail_act!M34)</f>
        <v>409652.60412836005</v>
      </c>
      <c r="N54" s="86">
        <f>IF(N19=0,0,1000000*N19/TrRail_act!N34)</f>
        <v>399794.02620009397</v>
      </c>
      <c r="O54" s="86">
        <f>IF(O19=0,0,1000000*O19/TrRail_act!O34)</f>
        <v>407180.0098683135</v>
      </c>
      <c r="P54" s="86">
        <f>IF(P19=0,0,1000000*P19/TrRail_act!P34)</f>
        <v>408102.25784618466</v>
      </c>
      <c r="Q54" s="86">
        <f>IF(Q19=0,0,1000000*Q19/TrRail_act!Q34)</f>
        <v>409317.60130177601</v>
      </c>
      <c r="R54" s="86">
        <f>IF(R19=0,0,1000000*R19/TrRail_act!R34)</f>
        <v>395873.38238611713</v>
      </c>
      <c r="S54" s="86">
        <f>IF(S19=0,0,1000000*S19/TrRail_act!S34)</f>
        <v>389941.61682597076</v>
      </c>
      <c r="T54" s="86">
        <f>IF(T19=0,0,1000000*T19/TrRail_act!T34)</f>
        <v>384780.09420040826</v>
      </c>
      <c r="U54" s="86">
        <f>IF(U19=0,0,1000000*U19/TrRail_act!U34)</f>
        <v>363798.5356069273</v>
      </c>
      <c r="V54" s="86">
        <f>IF(V19=0,0,1000000*V19/TrRail_act!V34)</f>
        <v>346262.36795548588</v>
      </c>
      <c r="W54" s="86">
        <f>IF(W19=0,0,1000000*W19/TrRail_act!W34)</f>
        <v>372943.97837669193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0.69659232707827334</v>
      </c>
      <c r="C57" s="31">
        <f t="shared" ref="C57:V57" si="17">IF(C11=0,0,C11/C$10)</f>
        <v>0.72247688984427494</v>
      </c>
      <c r="D57" s="31">
        <f t="shared" si="17"/>
        <v>0.73516049129454775</v>
      </c>
      <c r="E57" s="31">
        <f t="shared" si="17"/>
        <v>0.74609159576719275</v>
      </c>
      <c r="F57" s="31">
        <f t="shared" si="17"/>
        <v>0.73969205241531522</v>
      </c>
      <c r="G57" s="31">
        <f t="shared" si="17"/>
        <v>0.72177398367161638</v>
      </c>
      <c r="H57" s="31">
        <f t="shared" si="17"/>
        <v>0.72414484958830427</v>
      </c>
      <c r="I57" s="31">
        <f t="shared" si="17"/>
        <v>0.71727601791452411</v>
      </c>
      <c r="J57" s="31">
        <f t="shared" si="17"/>
        <v>0.7319914397043995</v>
      </c>
      <c r="K57" s="31">
        <f t="shared" si="17"/>
        <v>0.7954139759939679</v>
      </c>
      <c r="L57" s="31">
        <f t="shared" si="17"/>
        <v>0.77636266791238617</v>
      </c>
      <c r="M57" s="31">
        <f t="shared" si="17"/>
        <v>0.77283881853193814</v>
      </c>
      <c r="N57" s="31">
        <f t="shared" si="17"/>
        <v>0.77044069101079016</v>
      </c>
      <c r="O57" s="31">
        <f t="shared" si="17"/>
        <v>0.77278677618485847</v>
      </c>
      <c r="P57" s="31">
        <f t="shared" si="17"/>
        <v>0.76803283250477683</v>
      </c>
      <c r="Q57" s="31">
        <f t="shared" si="17"/>
        <v>0.77103654734200355</v>
      </c>
      <c r="R57" s="31">
        <f t="shared" si="17"/>
        <v>0.77364025546350723</v>
      </c>
      <c r="S57" s="31">
        <f t="shared" si="17"/>
        <v>0.77108062331671523</v>
      </c>
      <c r="T57" s="31">
        <f t="shared" si="17"/>
        <v>0.70143751723745462</v>
      </c>
      <c r="U57" s="31">
        <f t="shared" si="17"/>
        <v>0.71828329325215112</v>
      </c>
      <c r="V57" s="31">
        <f t="shared" si="17"/>
        <v>0.71112245390792284</v>
      </c>
      <c r="W57" s="31">
        <f t="shared" ref="W57" si="18">IF(W11=0,0,W11/W$10)</f>
        <v>0.70273855931896922</v>
      </c>
      <c r="DA57" s="173"/>
    </row>
    <row r="58" spans="1:105" ht="11.45" customHeight="1" x14ac:dyDescent="0.25">
      <c r="A58" s="107" t="s">
        <v>23</v>
      </c>
      <c r="B58" s="123">
        <f t="shared" si="14"/>
        <v>3.1074822913507785E-2</v>
      </c>
      <c r="C58" s="123">
        <f t="shared" ref="C58:V58" si="19">IF(C12=0,0,C12/C$10)</f>
        <v>3.1335727934420667E-2</v>
      </c>
      <c r="D58" s="123">
        <f t="shared" si="19"/>
        <v>3.2315442718047663E-2</v>
      </c>
      <c r="E58" s="123">
        <f t="shared" si="19"/>
        <v>3.2344095953987621E-2</v>
      </c>
      <c r="F58" s="123">
        <f t="shared" si="19"/>
        <v>2.9292471647018078E-2</v>
      </c>
      <c r="G58" s="123">
        <f t="shared" si="19"/>
        <v>2.9886275691543104E-2</v>
      </c>
      <c r="H58" s="123">
        <f t="shared" si="19"/>
        <v>2.786633208481018E-2</v>
      </c>
      <c r="I58" s="123">
        <f t="shared" si="19"/>
        <v>2.7919898132494965E-2</v>
      </c>
      <c r="J58" s="123">
        <f t="shared" si="19"/>
        <v>2.8204321179537386E-2</v>
      </c>
      <c r="K58" s="123">
        <f t="shared" si="19"/>
        <v>3.1406048489590645E-2</v>
      </c>
      <c r="L58" s="123">
        <f t="shared" si="19"/>
        <v>3.2940367668262437E-2</v>
      </c>
      <c r="M58" s="123">
        <f t="shared" si="19"/>
        <v>3.5543799362928501E-2</v>
      </c>
      <c r="N58" s="123">
        <f t="shared" si="19"/>
        <v>3.8644800192670699E-2</v>
      </c>
      <c r="O58" s="123">
        <f t="shared" si="19"/>
        <v>3.99750718973629E-2</v>
      </c>
      <c r="P58" s="123">
        <f t="shared" si="19"/>
        <v>4.2125190246129138E-2</v>
      </c>
      <c r="Q58" s="123">
        <f t="shared" si="19"/>
        <v>4.1416214731475588E-2</v>
      </c>
      <c r="R58" s="123">
        <f t="shared" si="19"/>
        <v>4.1354960992479498E-2</v>
      </c>
      <c r="S58" s="123">
        <f t="shared" si="19"/>
        <v>4.3977883379302307E-2</v>
      </c>
      <c r="T58" s="123">
        <f t="shared" si="19"/>
        <v>4.4641834302226888E-2</v>
      </c>
      <c r="U58" s="123">
        <f t="shared" si="19"/>
        <v>4.6013217256219895E-2</v>
      </c>
      <c r="V58" s="123">
        <f t="shared" si="19"/>
        <v>3.2956487688968243E-2</v>
      </c>
      <c r="W58" s="123">
        <f t="shared" ref="W58" si="20">IF(W12=0,0,W12/W$10)</f>
        <v>3.1720594812052902E-2</v>
      </c>
      <c r="DA58" s="203"/>
    </row>
    <row r="59" spans="1:105" ht="11.45" customHeight="1" x14ac:dyDescent="0.25">
      <c r="A59" s="109" t="s">
        <v>24</v>
      </c>
      <c r="B59" s="124">
        <f t="shared" si="14"/>
        <v>0.62204782996438479</v>
      </c>
      <c r="C59" s="124">
        <f t="shared" ref="C59:V59" si="21">IF(C13=0,0,C13/C$10)</f>
        <v>0.64554908150422818</v>
      </c>
      <c r="D59" s="124">
        <f t="shared" si="21"/>
        <v>0.65495566085912893</v>
      </c>
      <c r="E59" s="124">
        <f t="shared" si="21"/>
        <v>0.66775314174006095</v>
      </c>
      <c r="F59" s="124">
        <f t="shared" si="21"/>
        <v>0.66481306238055371</v>
      </c>
      <c r="G59" s="124">
        <f t="shared" si="21"/>
        <v>0.64566611744582603</v>
      </c>
      <c r="H59" s="124">
        <f t="shared" si="21"/>
        <v>0.65666974289406876</v>
      </c>
      <c r="I59" s="124">
        <f t="shared" si="21"/>
        <v>0.64804574766390721</v>
      </c>
      <c r="J59" s="124">
        <f t="shared" si="21"/>
        <v>0.65904840217834781</v>
      </c>
      <c r="K59" s="124">
        <f t="shared" si="21"/>
        <v>0.71696379864397553</v>
      </c>
      <c r="L59" s="124">
        <f t="shared" si="21"/>
        <v>0.69608504992266906</v>
      </c>
      <c r="M59" s="124">
        <f t="shared" si="21"/>
        <v>0.69551803784391841</v>
      </c>
      <c r="N59" s="124">
        <f t="shared" si="21"/>
        <v>0.68963048636300239</v>
      </c>
      <c r="O59" s="124">
        <f t="shared" si="21"/>
        <v>0.68966126607807654</v>
      </c>
      <c r="P59" s="124">
        <f t="shared" si="21"/>
        <v>0.67966329829720051</v>
      </c>
      <c r="Q59" s="124">
        <f t="shared" si="21"/>
        <v>0.67143627613223</v>
      </c>
      <c r="R59" s="124">
        <f t="shared" si="21"/>
        <v>0.66178924419425289</v>
      </c>
      <c r="S59" s="124">
        <f t="shared" si="21"/>
        <v>0.65705600170458811</v>
      </c>
      <c r="T59" s="124">
        <f t="shared" si="21"/>
        <v>0.58955456246423599</v>
      </c>
      <c r="U59" s="124">
        <f t="shared" si="21"/>
        <v>0.60332304688925453</v>
      </c>
      <c r="V59" s="124">
        <f t="shared" si="21"/>
        <v>0.60793461181729391</v>
      </c>
      <c r="W59" s="124">
        <f t="shared" ref="W59" si="22">IF(W13=0,0,W13/W$10)</f>
        <v>0.59943679247939763</v>
      </c>
      <c r="DA59" s="176"/>
    </row>
    <row r="60" spans="1:105" ht="11.45" customHeight="1" x14ac:dyDescent="0.25">
      <c r="A60" s="111" t="s">
        <v>92</v>
      </c>
      <c r="B60" s="125">
        <f t="shared" si="14"/>
        <v>0.10249176699851216</v>
      </c>
      <c r="C60" s="125">
        <f t="shared" ref="C60:V60" si="23">IF(C14=0,0,C14/C$10)</f>
        <v>0.10093097301184788</v>
      </c>
      <c r="D60" s="125">
        <f t="shared" si="23"/>
        <v>0.10985077241843713</v>
      </c>
      <c r="E60" s="125">
        <f t="shared" si="23"/>
        <v>0.11656736691041487</v>
      </c>
      <c r="F60" s="125">
        <f t="shared" si="23"/>
        <v>0.10273423963664</v>
      </c>
      <c r="G60" s="125">
        <f t="shared" si="23"/>
        <v>0.10123218257743943</v>
      </c>
      <c r="H60" s="125">
        <f t="shared" si="23"/>
        <v>0.12179577194954674</v>
      </c>
      <c r="I60" s="125">
        <f t="shared" si="23"/>
        <v>0.12545616712691857</v>
      </c>
      <c r="J60" s="125">
        <f t="shared" si="23"/>
        <v>0.12863461093014067</v>
      </c>
      <c r="K60" s="125">
        <f t="shared" si="23"/>
        <v>0.13311731083515574</v>
      </c>
      <c r="L60" s="125">
        <f t="shared" si="23"/>
        <v>0.11571168198864996</v>
      </c>
      <c r="M60" s="125">
        <f t="shared" si="23"/>
        <v>0.11946540325358877</v>
      </c>
      <c r="N60" s="125">
        <f t="shared" si="23"/>
        <v>0.13617108945534626</v>
      </c>
      <c r="O60" s="125">
        <f t="shared" si="23"/>
        <v>0.1059192232952605</v>
      </c>
      <c r="P60" s="125">
        <f t="shared" si="23"/>
        <v>8.409213357921265E-2</v>
      </c>
      <c r="Q60" s="125">
        <f t="shared" si="23"/>
        <v>8.7155091496648018E-2</v>
      </c>
      <c r="R60" s="125">
        <f t="shared" si="23"/>
        <v>8.8000273000917936E-2</v>
      </c>
      <c r="S60" s="125">
        <f t="shared" si="23"/>
        <v>9.1421873668501338E-2</v>
      </c>
      <c r="T60" s="125">
        <f t="shared" si="23"/>
        <v>6.9549306402920369E-2</v>
      </c>
      <c r="U60" s="125">
        <f t="shared" si="23"/>
        <v>6.5706970866604875E-2</v>
      </c>
      <c r="V60" s="125">
        <f t="shared" si="23"/>
        <v>5.4063248263184226E-2</v>
      </c>
      <c r="W60" s="125">
        <f t="shared" ref="W60" si="24">IF(W14=0,0,W14/W$10)</f>
        <v>5.0852056808441723E-2</v>
      </c>
      <c r="DA60" s="171"/>
    </row>
    <row r="61" spans="1:105" ht="11.45" customHeight="1" x14ac:dyDescent="0.25">
      <c r="A61" s="111" t="s">
        <v>93</v>
      </c>
      <c r="B61" s="125">
        <f t="shared" si="14"/>
        <v>0.51955606296587264</v>
      </c>
      <c r="C61" s="125">
        <f t="shared" ref="C61:V61" si="25">IF(C15=0,0,C15/C$10)</f>
        <v>0.54461810849238035</v>
      </c>
      <c r="D61" s="125">
        <f t="shared" si="25"/>
        <v>0.54510488844069183</v>
      </c>
      <c r="E61" s="125">
        <f t="shared" si="25"/>
        <v>0.55118577482964604</v>
      </c>
      <c r="F61" s="125">
        <f t="shared" si="25"/>
        <v>0.56207882274391374</v>
      </c>
      <c r="G61" s="125">
        <f t="shared" si="25"/>
        <v>0.54443393486838665</v>
      </c>
      <c r="H61" s="125">
        <f t="shared" si="25"/>
        <v>0.53487397094452216</v>
      </c>
      <c r="I61" s="125">
        <f t="shared" si="25"/>
        <v>0.52258958053698856</v>
      </c>
      <c r="J61" s="125">
        <f t="shared" si="25"/>
        <v>0.53041379124820709</v>
      </c>
      <c r="K61" s="125">
        <f t="shared" si="25"/>
        <v>0.58384648780881987</v>
      </c>
      <c r="L61" s="125">
        <f t="shared" si="25"/>
        <v>0.58037336793401906</v>
      </c>
      <c r="M61" s="125">
        <f t="shared" si="25"/>
        <v>0.57605263459032952</v>
      </c>
      <c r="N61" s="125">
        <f t="shared" si="25"/>
        <v>0.55345939690765622</v>
      </c>
      <c r="O61" s="125">
        <f t="shared" si="25"/>
        <v>0.58374204278281605</v>
      </c>
      <c r="P61" s="125">
        <f t="shared" si="25"/>
        <v>0.59557116471798788</v>
      </c>
      <c r="Q61" s="125">
        <f t="shared" si="25"/>
        <v>0.58428118463558198</v>
      </c>
      <c r="R61" s="125">
        <f t="shared" si="25"/>
        <v>0.57378897119333494</v>
      </c>
      <c r="S61" s="125">
        <f t="shared" si="25"/>
        <v>0.56563412803608681</v>
      </c>
      <c r="T61" s="125">
        <f t="shared" si="25"/>
        <v>0.52000525606131565</v>
      </c>
      <c r="U61" s="125">
        <f t="shared" si="25"/>
        <v>0.5376160760226496</v>
      </c>
      <c r="V61" s="125">
        <f t="shared" si="25"/>
        <v>0.55387136355410982</v>
      </c>
      <c r="W61" s="125">
        <f t="shared" ref="W61" si="26">IF(W15=0,0,W15/W$10)</f>
        <v>0.54858473567095589</v>
      </c>
      <c r="DA61" s="171"/>
    </row>
    <row r="62" spans="1:105" ht="11.45" customHeight="1" x14ac:dyDescent="0.25">
      <c r="A62" s="112" t="s">
        <v>25</v>
      </c>
      <c r="B62" s="126">
        <f t="shared" si="14"/>
        <v>4.3469674200380788E-2</v>
      </c>
      <c r="C62" s="126">
        <f t="shared" ref="C62:V62" si="27">IF(C16=0,0,C16/C$10)</f>
        <v>4.5592080405626019E-2</v>
      </c>
      <c r="D62" s="126">
        <f t="shared" si="27"/>
        <v>4.7889387717371119E-2</v>
      </c>
      <c r="E62" s="126">
        <f t="shared" si="27"/>
        <v>4.5994358073144219E-2</v>
      </c>
      <c r="F62" s="126">
        <f t="shared" si="27"/>
        <v>4.5586518387743295E-2</v>
      </c>
      <c r="G62" s="126">
        <f t="shared" si="27"/>
        <v>4.6221590534247174E-2</v>
      </c>
      <c r="H62" s="126">
        <f t="shared" si="27"/>
        <v>3.960877460942528E-2</v>
      </c>
      <c r="I62" s="126">
        <f t="shared" si="27"/>
        <v>4.1310372118122017E-2</v>
      </c>
      <c r="J62" s="126">
        <f t="shared" si="27"/>
        <v>4.4738716346514336E-2</v>
      </c>
      <c r="K62" s="126">
        <f t="shared" si="27"/>
        <v>4.7044128860401629E-2</v>
      </c>
      <c r="L62" s="126">
        <f t="shared" si="27"/>
        <v>4.7337250321454721E-2</v>
      </c>
      <c r="M62" s="126">
        <f t="shared" si="27"/>
        <v>4.1776981325091243E-2</v>
      </c>
      <c r="N62" s="126">
        <f t="shared" si="27"/>
        <v>4.2165404455117024E-2</v>
      </c>
      <c r="O62" s="126">
        <f t="shared" si="27"/>
        <v>4.3150438209418981E-2</v>
      </c>
      <c r="P62" s="126">
        <f t="shared" si="27"/>
        <v>4.6244343961447214E-2</v>
      </c>
      <c r="Q62" s="126">
        <f t="shared" si="27"/>
        <v>5.8184056478297996E-2</v>
      </c>
      <c r="R62" s="126">
        <f t="shared" si="27"/>
        <v>7.049605027677476E-2</v>
      </c>
      <c r="S62" s="126">
        <f t="shared" si="27"/>
        <v>7.0046738232824785E-2</v>
      </c>
      <c r="T62" s="126">
        <f t="shared" si="27"/>
        <v>6.7241120470991789E-2</v>
      </c>
      <c r="U62" s="126">
        <f t="shared" si="27"/>
        <v>6.894702910667673E-2</v>
      </c>
      <c r="V62" s="126">
        <f t="shared" si="27"/>
        <v>7.0231354401660603E-2</v>
      </c>
      <c r="W62" s="126">
        <f t="shared" ref="W62" si="28">IF(W16=0,0,W16/W$10)</f>
        <v>7.1581172027518708E-2</v>
      </c>
      <c r="DA62" s="204"/>
    </row>
    <row r="63" spans="1:105" ht="11.45" customHeight="1" x14ac:dyDescent="0.25">
      <c r="A63" s="27" t="s">
        <v>34</v>
      </c>
      <c r="B63" s="31">
        <f t="shared" si="14"/>
        <v>0.30340767292172677</v>
      </c>
      <c r="C63" s="31">
        <f t="shared" ref="C63:V63" si="29">IF(C17=0,0,C17/C$10)</f>
        <v>0.27752311015572512</v>
      </c>
      <c r="D63" s="31">
        <f t="shared" si="29"/>
        <v>0.26483950870545225</v>
      </c>
      <c r="E63" s="31">
        <f t="shared" si="29"/>
        <v>0.25390840423280719</v>
      </c>
      <c r="F63" s="31">
        <f t="shared" si="29"/>
        <v>0.26030794758468473</v>
      </c>
      <c r="G63" s="31">
        <f t="shared" si="29"/>
        <v>0.27822601632838356</v>
      </c>
      <c r="H63" s="31">
        <f t="shared" si="29"/>
        <v>0.27585515041169573</v>
      </c>
      <c r="I63" s="31">
        <f t="shared" si="29"/>
        <v>0.28272398208547578</v>
      </c>
      <c r="J63" s="31">
        <f t="shared" si="29"/>
        <v>0.2680085602956005</v>
      </c>
      <c r="K63" s="31">
        <f t="shared" si="29"/>
        <v>0.20458602400603218</v>
      </c>
      <c r="L63" s="31">
        <f t="shared" si="29"/>
        <v>0.22363733208761388</v>
      </c>
      <c r="M63" s="31">
        <f t="shared" si="29"/>
        <v>0.22716118146806194</v>
      </c>
      <c r="N63" s="31">
        <f t="shared" si="29"/>
        <v>0.22955930898920984</v>
      </c>
      <c r="O63" s="31">
        <f t="shared" si="29"/>
        <v>0.22721322381514153</v>
      </c>
      <c r="P63" s="31">
        <f t="shared" si="29"/>
        <v>0.23196716749522314</v>
      </c>
      <c r="Q63" s="31">
        <f t="shared" si="29"/>
        <v>0.22896345265799639</v>
      </c>
      <c r="R63" s="31">
        <f t="shared" si="29"/>
        <v>0.22635974453649269</v>
      </c>
      <c r="S63" s="31">
        <f t="shared" si="29"/>
        <v>0.22891937668328483</v>
      </c>
      <c r="T63" s="31">
        <f t="shared" si="29"/>
        <v>0.29856248276254532</v>
      </c>
      <c r="U63" s="31">
        <f t="shared" si="29"/>
        <v>0.28171670674784893</v>
      </c>
      <c r="V63" s="31">
        <f t="shared" si="29"/>
        <v>0.28887754609207722</v>
      </c>
      <c r="W63" s="31">
        <f t="shared" ref="W63" si="30">IF(W17=0,0,W17/W$10)</f>
        <v>0.29726144068103078</v>
      </c>
      <c r="DA63" s="173"/>
    </row>
    <row r="64" spans="1:105" ht="11.45" customHeight="1" x14ac:dyDescent="0.25">
      <c r="A64" s="83" t="s">
        <v>92</v>
      </c>
      <c r="B64" s="125">
        <f t="shared" si="14"/>
        <v>0.20130111138280626</v>
      </c>
      <c r="C64" s="125">
        <f t="shared" ref="C64:V64" si="31">IF(C18=0,0,C18/C$10)</f>
        <v>0.1736624422995364</v>
      </c>
      <c r="D64" s="125">
        <f t="shared" si="31"/>
        <v>0.1478558887952022</v>
      </c>
      <c r="E64" s="125">
        <f t="shared" si="31"/>
        <v>0.12951758767758823</v>
      </c>
      <c r="F64" s="125">
        <f t="shared" si="31"/>
        <v>0.11992692819224972</v>
      </c>
      <c r="G64" s="125">
        <f t="shared" si="31"/>
        <v>0.12678881176820569</v>
      </c>
      <c r="H64" s="125">
        <f t="shared" si="31"/>
        <v>0.13268451478880447</v>
      </c>
      <c r="I64" s="125">
        <f t="shared" si="31"/>
        <v>0.14308320646536382</v>
      </c>
      <c r="J64" s="125">
        <f t="shared" si="31"/>
        <v>0.12072151175775445</v>
      </c>
      <c r="K64" s="125">
        <f t="shared" si="31"/>
        <v>7.638202287891234E-2</v>
      </c>
      <c r="L64" s="125">
        <f t="shared" si="31"/>
        <v>6.9816634240920619E-2</v>
      </c>
      <c r="M64" s="125">
        <f t="shared" si="31"/>
        <v>6.7974979330702331E-2</v>
      </c>
      <c r="N64" s="125">
        <f t="shared" si="31"/>
        <v>8.1395554392656277E-2</v>
      </c>
      <c r="O64" s="125">
        <f t="shared" si="31"/>
        <v>6.595779494326115E-2</v>
      </c>
      <c r="P64" s="125">
        <f t="shared" si="31"/>
        <v>5.9491763158790352E-2</v>
      </c>
      <c r="Q64" s="125">
        <f t="shared" si="31"/>
        <v>5.6668355764011198E-2</v>
      </c>
      <c r="R64" s="125">
        <f t="shared" si="31"/>
        <v>5.9188142838447921E-2</v>
      </c>
      <c r="S64" s="125">
        <f t="shared" si="31"/>
        <v>6.4923400721742533E-2</v>
      </c>
      <c r="T64" s="125">
        <f t="shared" si="31"/>
        <v>8.5519987929718821E-2</v>
      </c>
      <c r="U64" s="125">
        <f t="shared" si="31"/>
        <v>8.9667868698274034E-2</v>
      </c>
      <c r="V64" s="125">
        <f t="shared" si="31"/>
        <v>9.6695001227903046E-2</v>
      </c>
      <c r="W64" s="125">
        <f t="shared" ref="W64" si="32">IF(W18=0,0,W18/W$10)</f>
        <v>9.773615231479367E-2</v>
      </c>
      <c r="DA64" s="171"/>
    </row>
    <row r="65" spans="1:105" ht="11.45" customHeight="1" x14ac:dyDescent="0.25">
      <c r="A65" s="85" t="s">
        <v>93</v>
      </c>
      <c r="B65" s="127">
        <f t="shared" si="14"/>
        <v>0.1021065615389205</v>
      </c>
      <c r="C65" s="127">
        <f t="shared" ref="C65:V65" si="33">IF(C19=0,0,C19/C$10)</f>
        <v>0.10386066785618871</v>
      </c>
      <c r="D65" s="127">
        <f t="shared" si="33"/>
        <v>0.11698361991025008</v>
      </c>
      <c r="E65" s="127">
        <f t="shared" si="33"/>
        <v>0.12439081655521896</v>
      </c>
      <c r="F65" s="127">
        <f t="shared" si="33"/>
        <v>0.140381019392435</v>
      </c>
      <c r="G65" s="127">
        <f t="shared" si="33"/>
        <v>0.15143720456017787</v>
      </c>
      <c r="H65" s="127">
        <f t="shared" si="33"/>
        <v>0.14317063562289126</v>
      </c>
      <c r="I65" s="127">
        <f t="shared" si="33"/>
        <v>0.13964077562011198</v>
      </c>
      <c r="J65" s="127">
        <f t="shared" si="33"/>
        <v>0.14728704853784605</v>
      </c>
      <c r="K65" s="127">
        <f t="shared" si="33"/>
        <v>0.12820400112711988</v>
      </c>
      <c r="L65" s="127">
        <f t="shared" si="33"/>
        <v>0.15382069784669325</v>
      </c>
      <c r="M65" s="127">
        <f t="shared" si="33"/>
        <v>0.15918620213735959</v>
      </c>
      <c r="N65" s="127">
        <f t="shared" si="33"/>
        <v>0.14816375459655357</v>
      </c>
      <c r="O65" s="127">
        <f t="shared" si="33"/>
        <v>0.16125542887188038</v>
      </c>
      <c r="P65" s="127">
        <f t="shared" si="33"/>
        <v>0.17247540433643277</v>
      </c>
      <c r="Q65" s="127">
        <f t="shared" si="33"/>
        <v>0.1722950968939852</v>
      </c>
      <c r="R65" s="127">
        <f t="shared" si="33"/>
        <v>0.16717160169804479</v>
      </c>
      <c r="S65" s="127">
        <f t="shared" si="33"/>
        <v>0.16399597596154228</v>
      </c>
      <c r="T65" s="127">
        <f t="shared" si="33"/>
        <v>0.21304249483282653</v>
      </c>
      <c r="U65" s="127">
        <f t="shared" si="33"/>
        <v>0.19204883804957493</v>
      </c>
      <c r="V65" s="127">
        <f t="shared" si="33"/>
        <v>0.19218254486417419</v>
      </c>
      <c r="W65" s="127">
        <f t="shared" ref="W65" si="34">IF(W19=0,0,W19/W$10)</f>
        <v>0.19952528836623709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167.61864599999998</v>
      </c>
      <c r="C4" s="26">
        <f t="shared" ref="C4:W4" si="0">SUM(C5:C6)</f>
        <v>147.73168799999996</v>
      </c>
      <c r="D4" s="26">
        <f t="shared" si="0"/>
        <v>134.473716</v>
      </c>
      <c r="E4" s="26">
        <f t="shared" si="0"/>
        <v>129.73872600000001</v>
      </c>
      <c r="F4" s="26">
        <f t="shared" si="0"/>
        <v>126.58215491999999</v>
      </c>
      <c r="G4" s="26">
        <f t="shared" si="0"/>
        <v>131.31714491999998</v>
      </c>
      <c r="H4" s="26">
        <f t="shared" si="0"/>
        <v>158.14866600000002</v>
      </c>
      <c r="I4" s="26">
        <f t="shared" si="0"/>
        <v>168.56564399999999</v>
      </c>
      <c r="J4" s="26">
        <f t="shared" si="0"/>
        <v>156.25467</v>
      </c>
      <c r="K4" s="26">
        <f t="shared" si="0"/>
        <v>117.42775199999998</v>
      </c>
      <c r="L4" s="26">
        <f t="shared" si="0"/>
        <v>104.16978</v>
      </c>
      <c r="M4" s="26">
        <f t="shared" si="0"/>
        <v>100.69736508</v>
      </c>
      <c r="N4" s="26">
        <f t="shared" si="0"/>
        <v>115.21817892000001</v>
      </c>
      <c r="O4" s="26">
        <f t="shared" si="0"/>
        <v>88.386391079999996</v>
      </c>
      <c r="P4" s="26">
        <f t="shared" si="0"/>
        <v>68.499433080000017</v>
      </c>
      <c r="Q4" s="26">
        <f t="shared" si="0"/>
        <v>69.695039879999996</v>
      </c>
      <c r="R4" s="26">
        <f t="shared" si="0"/>
        <v>71.904879720000011</v>
      </c>
      <c r="S4" s="26">
        <f t="shared" si="0"/>
        <v>78.849442799999991</v>
      </c>
      <c r="T4" s="26">
        <f t="shared" si="0"/>
        <v>78.53386571999998</v>
      </c>
      <c r="U4" s="26">
        <f t="shared" si="0"/>
        <v>78.849442799999991</v>
      </c>
      <c r="V4" s="26">
        <f t="shared" si="0"/>
        <v>69.373831680000023</v>
      </c>
      <c r="W4" s="26">
        <f t="shared" si="0"/>
        <v>70.967189160000018</v>
      </c>
      <c r="DA4" s="202" t="s">
        <v>1135</v>
      </c>
    </row>
    <row r="5" spans="1:105" ht="11.45" customHeight="1" x14ac:dyDescent="0.25">
      <c r="A5" s="107" t="s">
        <v>92</v>
      </c>
      <c r="B5" s="129">
        <v>167.61864599999998</v>
      </c>
      <c r="C5" s="129">
        <v>147.73168799999996</v>
      </c>
      <c r="D5" s="129">
        <v>134.473716</v>
      </c>
      <c r="E5" s="129">
        <v>129.73872600000001</v>
      </c>
      <c r="F5" s="129">
        <v>126.58215491999999</v>
      </c>
      <c r="G5" s="129">
        <v>131.31714491999998</v>
      </c>
      <c r="H5" s="129">
        <v>158.14866600000002</v>
      </c>
      <c r="I5" s="129">
        <v>168.56564399999999</v>
      </c>
      <c r="J5" s="129">
        <v>156.25467</v>
      </c>
      <c r="K5" s="129">
        <v>117.42775199999998</v>
      </c>
      <c r="L5" s="129">
        <v>104.16978</v>
      </c>
      <c r="M5" s="129">
        <v>100.69736508</v>
      </c>
      <c r="N5" s="129">
        <v>115.21817892000001</v>
      </c>
      <c r="O5" s="129">
        <v>88.386391079999996</v>
      </c>
      <c r="P5" s="129">
        <v>68.499433080000017</v>
      </c>
      <c r="Q5" s="129">
        <v>69.695039879999996</v>
      </c>
      <c r="R5" s="129">
        <v>71.904879720000011</v>
      </c>
      <c r="S5" s="129">
        <v>78.849442799999991</v>
      </c>
      <c r="T5" s="129">
        <v>78.53386571999998</v>
      </c>
      <c r="U5" s="129">
        <v>78.849442799999991</v>
      </c>
      <c r="V5" s="129">
        <v>69.373831680000023</v>
      </c>
      <c r="W5" s="129">
        <v>70.967189160000018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167.61864599999998</v>
      </c>
      <c r="C8" s="79">
        <f t="shared" si="1"/>
        <v>147.73168799999993</v>
      </c>
      <c r="D8" s="79">
        <f t="shared" si="1"/>
        <v>134.473716</v>
      </c>
      <c r="E8" s="79">
        <f t="shared" si="1"/>
        <v>129.73872600000001</v>
      </c>
      <c r="F8" s="79">
        <f t="shared" si="1"/>
        <v>126.58215491999999</v>
      </c>
      <c r="G8" s="79">
        <f t="shared" si="1"/>
        <v>131.31714491999998</v>
      </c>
      <c r="H8" s="79">
        <f t="shared" si="1"/>
        <v>158.14866599999999</v>
      </c>
      <c r="I8" s="79">
        <f t="shared" si="1"/>
        <v>168.56564399999996</v>
      </c>
      <c r="J8" s="79">
        <f t="shared" si="1"/>
        <v>156.25467000000003</v>
      </c>
      <c r="K8" s="79">
        <f t="shared" si="1"/>
        <v>117.42775199999997</v>
      </c>
      <c r="L8" s="79">
        <f t="shared" si="1"/>
        <v>104.16978</v>
      </c>
      <c r="M8" s="79">
        <f t="shared" si="1"/>
        <v>100.69736508</v>
      </c>
      <c r="N8" s="79">
        <f t="shared" si="1"/>
        <v>115.21817892000003</v>
      </c>
      <c r="O8" s="79">
        <f t="shared" si="1"/>
        <v>88.38639108000001</v>
      </c>
      <c r="P8" s="79">
        <f t="shared" si="1"/>
        <v>68.499433080000017</v>
      </c>
      <c r="Q8" s="79">
        <f t="shared" si="1"/>
        <v>69.695039879999982</v>
      </c>
      <c r="R8" s="79">
        <f t="shared" si="1"/>
        <v>71.904879719999997</v>
      </c>
      <c r="S8" s="79">
        <f t="shared" si="1"/>
        <v>78.849442799999991</v>
      </c>
      <c r="T8" s="79">
        <f t="shared" si="1"/>
        <v>78.533865719999994</v>
      </c>
      <c r="U8" s="79">
        <f t="shared" si="1"/>
        <v>78.849442799999991</v>
      </c>
      <c r="V8" s="79">
        <f t="shared" si="1"/>
        <v>69.373831680000023</v>
      </c>
      <c r="W8" s="79">
        <f t="shared" si="1"/>
        <v>70.967189160000018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56.550144631351358</v>
      </c>
      <c r="C9" s="32">
        <f t="shared" si="2"/>
        <v>54.301021740139838</v>
      </c>
      <c r="D9" s="32">
        <f t="shared" si="2"/>
        <v>57.321147629674563</v>
      </c>
      <c r="E9" s="32">
        <f t="shared" si="2"/>
        <v>61.45561276369498</v>
      </c>
      <c r="F9" s="32">
        <f t="shared" si="2"/>
        <v>58.404083496351312</v>
      </c>
      <c r="G9" s="32">
        <f t="shared" si="2"/>
        <v>58.299549250884134</v>
      </c>
      <c r="H9" s="32">
        <f t="shared" si="2"/>
        <v>75.690887907814513</v>
      </c>
      <c r="I9" s="32">
        <f t="shared" si="2"/>
        <v>78.750461515668107</v>
      </c>
      <c r="J9" s="32">
        <f t="shared" si="2"/>
        <v>80.60663786718105</v>
      </c>
      <c r="K9" s="32">
        <f t="shared" si="2"/>
        <v>74.614397509216971</v>
      </c>
      <c r="L9" s="32">
        <f t="shared" si="2"/>
        <v>64.969384195092729</v>
      </c>
      <c r="M9" s="32">
        <f t="shared" si="2"/>
        <v>64.179613592317963</v>
      </c>
      <c r="N9" s="32">
        <f t="shared" si="2"/>
        <v>72.113007173831335</v>
      </c>
      <c r="O9" s="32">
        <f t="shared" si="2"/>
        <v>54.468119059832162</v>
      </c>
      <c r="P9" s="32">
        <f t="shared" si="2"/>
        <v>40.117754201743317</v>
      </c>
      <c r="Q9" s="32">
        <f t="shared" si="2"/>
        <v>42.234264949825466</v>
      </c>
      <c r="R9" s="32">
        <f t="shared" si="2"/>
        <v>42.990129415917153</v>
      </c>
      <c r="S9" s="32">
        <f t="shared" si="2"/>
        <v>46.106694472264429</v>
      </c>
      <c r="T9" s="32">
        <f t="shared" si="2"/>
        <v>35.222807413114275</v>
      </c>
      <c r="U9" s="32">
        <f t="shared" si="2"/>
        <v>33.344897123734413</v>
      </c>
      <c r="V9" s="32">
        <f t="shared" si="2"/>
        <v>24.878072660998406</v>
      </c>
      <c r="W9" s="32">
        <f t="shared" si="2"/>
        <v>24.287442159738788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56.550144631351358</v>
      </c>
      <c r="C11" s="130">
        <f t="shared" si="3"/>
        <v>54.301021740139838</v>
      </c>
      <c r="D11" s="130">
        <f t="shared" si="3"/>
        <v>57.321147629674563</v>
      </c>
      <c r="E11" s="130">
        <f t="shared" si="3"/>
        <v>61.45561276369498</v>
      </c>
      <c r="F11" s="130">
        <f t="shared" si="3"/>
        <v>58.404083496351312</v>
      </c>
      <c r="G11" s="130">
        <f t="shared" si="3"/>
        <v>58.299549250884134</v>
      </c>
      <c r="H11" s="130">
        <f t="shared" si="3"/>
        <v>75.690887907814513</v>
      </c>
      <c r="I11" s="130">
        <f t="shared" si="3"/>
        <v>78.750461515668107</v>
      </c>
      <c r="J11" s="130">
        <f t="shared" si="3"/>
        <v>80.60663786718105</v>
      </c>
      <c r="K11" s="130">
        <f t="shared" si="3"/>
        <v>74.614397509216971</v>
      </c>
      <c r="L11" s="130">
        <f t="shared" si="3"/>
        <v>64.969384195092729</v>
      </c>
      <c r="M11" s="130">
        <f t="shared" si="3"/>
        <v>64.179613592317963</v>
      </c>
      <c r="N11" s="130">
        <f t="shared" si="3"/>
        <v>72.113007173831335</v>
      </c>
      <c r="O11" s="130">
        <f t="shared" si="3"/>
        <v>54.468119059832162</v>
      </c>
      <c r="P11" s="130">
        <f t="shared" si="3"/>
        <v>40.117754201743317</v>
      </c>
      <c r="Q11" s="130">
        <f t="shared" si="3"/>
        <v>42.234264949825466</v>
      </c>
      <c r="R11" s="130">
        <f t="shared" si="3"/>
        <v>42.990129415917153</v>
      </c>
      <c r="S11" s="130">
        <f t="shared" si="3"/>
        <v>46.106694472264429</v>
      </c>
      <c r="T11" s="130">
        <f t="shared" si="3"/>
        <v>35.222807413114275</v>
      </c>
      <c r="U11" s="130">
        <f t="shared" si="3"/>
        <v>33.344897123734413</v>
      </c>
      <c r="V11" s="130">
        <f t="shared" si="3"/>
        <v>24.878072660998406</v>
      </c>
      <c r="W11" s="130">
        <f t="shared" si="3"/>
        <v>24.287442159738788</v>
      </c>
      <c r="DA11" s="176" t="s">
        <v>408</v>
      </c>
    </row>
    <row r="12" spans="1:105" ht="11.45" customHeight="1" x14ac:dyDescent="0.25">
      <c r="A12" s="111" t="s">
        <v>92</v>
      </c>
      <c r="B12" s="96">
        <v>56.550144631351358</v>
      </c>
      <c r="C12" s="96">
        <v>54.301021740139838</v>
      </c>
      <c r="D12" s="96">
        <v>57.321147629674563</v>
      </c>
      <c r="E12" s="96">
        <v>61.45561276369498</v>
      </c>
      <c r="F12" s="96">
        <v>58.404083496351312</v>
      </c>
      <c r="G12" s="96">
        <v>58.299549250884134</v>
      </c>
      <c r="H12" s="96">
        <v>75.690887907814513</v>
      </c>
      <c r="I12" s="96">
        <v>78.750461515668107</v>
      </c>
      <c r="J12" s="96">
        <v>80.60663786718105</v>
      </c>
      <c r="K12" s="96">
        <v>74.614397509216971</v>
      </c>
      <c r="L12" s="96">
        <v>64.969384195092729</v>
      </c>
      <c r="M12" s="96">
        <v>64.179613592317963</v>
      </c>
      <c r="N12" s="96">
        <v>72.113007173831335</v>
      </c>
      <c r="O12" s="96">
        <v>54.468119059832162</v>
      </c>
      <c r="P12" s="96">
        <v>40.117754201743317</v>
      </c>
      <c r="Q12" s="96">
        <v>42.234264949825466</v>
      </c>
      <c r="R12" s="96">
        <v>42.990129415917153</v>
      </c>
      <c r="S12" s="96">
        <v>46.106694472264429</v>
      </c>
      <c r="T12" s="96">
        <v>35.222807413114275</v>
      </c>
      <c r="U12" s="96">
        <v>33.344897123734413</v>
      </c>
      <c r="V12" s="96">
        <v>24.878072660998406</v>
      </c>
      <c r="W12" s="96">
        <v>24.287442159738788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111.06850136864863</v>
      </c>
      <c r="C15" s="32">
        <f t="shared" si="4"/>
        <v>93.430666259860104</v>
      </c>
      <c r="D15" s="32">
        <f t="shared" si="4"/>
        <v>77.15256837032544</v>
      </c>
      <c r="E15" s="32">
        <f t="shared" si="4"/>
        <v>68.283113236305027</v>
      </c>
      <c r="F15" s="32">
        <f t="shared" si="4"/>
        <v>68.178071423648674</v>
      </c>
      <c r="G15" s="32">
        <f t="shared" si="4"/>
        <v>73.017595669115835</v>
      </c>
      <c r="H15" s="32">
        <f t="shared" si="4"/>
        <v>82.457778092185492</v>
      </c>
      <c r="I15" s="32">
        <f t="shared" si="4"/>
        <v>89.815182484331871</v>
      </c>
      <c r="J15" s="32">
        <f t="shared" si="4"/>
        <v>75.648032132818997</v>
      </c>
      <c r="K15" s="32">
        <f t="shared" si="4"/>
        <v>42.813354490782991</v>
      </c>
      <c r="L15" s="32">
        <f t="shared" si="4"/>
        <v>39.200395804907274</v>
      </c>
      <c r="M15" s="32">
        <f t="shared" si="4"/>
        <v>36.517751487682041</v>
      </c>
      <c r="N15" s="32">
        <f t="shared" si="4"/>
        <v>43.105171746168693</v>
      </c>
      <c r="O15" s="32">
        <f t="shared" si="4"/>
        <v>33.918272020167841</v>
      </c>
      <c r="P15" s="32">
        <f t="shared" si="4"/>
        <v>28.381678878256693</v>
      </c>
      <c r="Q15" s="32">
        <f t="shared" si="4"/>
        <v>27.460774930174519</v>
      </c>
      <c r="R15" s="32">
        <f t="shared" si="4"/>
        <v>28.914750304082851</v>
      </c>
      <c r="S15" s="32">
        <f t="shared" si="4"/>
        <v>32.742748327735569</v>
      </c>
      <c r="T15" s="32">
        <f t="shared" si="4"/>
        <v>43.311058306885712</v>
      </c>
      <c r="U15" s="32">
        <f t="shared" si="4"/>
        <v>45.504545676265586</v>
      </c>
      <c r="V15" s="32">
        <f t="shared" si="4"/>
        <v>44.495759019001611</v>
      </c>
      <c r="W15" s="32">
        <f t="shared" si="4"/>
        <v>46.67974700026123</v>
      </c>
      <c r="DA15" s="173" t="s">
        <v>413</v>
      </c>
    </row>
    <row r="16" spans="1:105" ht="11.45" customHeight="1" x14ac:dyDescent="0.25">
      <c r="A16" s="83" t="s">
        <v>92</v>
      </c>
      <c r="B16" s="96">
        <v>111.06850136864863</v>
      </c>
      <c r="C16" s="96">
        <v>93.430666259860104</v>
      </c>
      <c r="D16" s="96">
        <v>77.15256837032544</v>
      </c>
      <c r="E16" s="96">
        <v>68.283113236305027</v>
      </c>
      <c r="F16" s="96">
        <v>68.178071423648674</v>
      </c>
      <c r="G16" s="96">
        <v>73.017595669115835</v>
      </c>
      <c r="H16" s="96">
        <v>82.457778092185492</v>
      </c>
      <c r="I16" s="96">
        <v>89.815182484331871</v>
      </c>
      <c r="J16" s="96">
        <v>75.648032132818997</v>
      </c>
      <c r="K16" s="96">
        <v>42.813354490782991</v>
      </c>
      <c r="L16" s="96">
        <v>39.200395804907274</v>
      </c>
      <c r="M16" s="96">
        <v>36.517751487682041</v>
      </c>
      <c r="N16" s="96">
        <v>43.105171746168693</v>
      </c>
      <c r="O16" s="96">
        <v>33.918272020167841</v>
      </c>
      <c r="P16" s="96">
        <v>28.381678878256693</v>
      </c>
      <c r="Q16" s="96">
        <v>27.460774930174519</v>
      </c>
      <c r="R16" s="96">
        <v>28.914750304082851</v>
      </c>
      <c r="S16" s="96">
        <v>32.742748327735569</v>
      </c>
      <c r="T16" s="96">
        <v>43.311058306885712</v>
      </c>
      <c r="U16" s="96">
        <v>45.504545676265586</v>
      </c>
      <c r="V16" s="96">
        <v>44.495759019001611</v>
      </c>
      <c r="W16" s="96">
        <v>46.67974700026123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0.94249273719631588</v>
      </c>
      <c r="C22" s="134">
        <f>IF(C4=0,0,C4/TrRail_ene!C4)</f>
        <v>0.85190377401824646</v>
      </c>
      <c r="D22" s="134">
        <f>IF(D4=0,0,D4/TrRail_ene!D4)</f>
        <v>0.79951399063442552</v>
      </c>
      <c r="E22" s="134">
        <f>IF(E4=0,0,E4/TrRail_ene!E4)</f>
        <v>0.76345858951096734</v>
      </c>
      <c r="F22" s="134">
        <f>IF(F4=0,0,F4/TrRail_ene!F4)</f>
        <v>0.69078819310230277</v>
      </c>
      <c r="G22" s="134">
        <f>IF(G4=0,0,G4/TrRail_ene!G4)</f>
        <v>0.70741661965262315</v>
      </c>
      <c r="H22" s="134">
        <f>IF(H4=0,0,H4/TrRail_ene!H4)</f>
        <v>0.78950442580645164</v>
      </c>
      <c r="I22" s="134">
        <f>IF(I4=0,0,I4/TrRail_ene!I4)</f>
        <v>0.83312160117292067</v>
      </c>
      <c r="J22" s="134">
        <f>IF(J4=0,0,J4/TrRail_ene!J4)</f>
        <v>0.77360712292203226</v>
      </c>
      <c r="K22" s="134">
        <f>IF(K4=0,0,K4/TrRail_ene!K4)</f>
        <v>0.6499546715019987</v>
      </c>
      <c r="L22" s="134">
        <f>IF(L4=0,0,L4/TrRail_ene!L4)</f>
        <v>0.57558653620296485</v>
      </c>
      <c r="M22" s="134">
        <f>IF(M4=0,0,M4/TrRail_ene!M4)</f>
        <v>0.58151856680869729</v>
      </c>
      <c r="N22" s="134">
        <f>IF(N4=0,0,N4/TrRail_ene!N4)</f>
        <v>0.67498284612694737</v>
      </c>
      <c r="O22" s="134">
        <f>IF(O4=0,0,O4/TrRail_ene!O4)</f>
        <v>0.53323449267113243</v>
      </c>
      <c r="P22" s="134">
        <f>IF(P4=0,0,P4/TrRail_ene!P4)</f>
        <v>0.44545738061723927</v>
      </c>
      <c r="Q22" s="134">
        <f>IF(Q4=0,0,Q4/TrRail_ene!Q4)</f>
        <v>0.44654574481983167</v>
      </c>
      <c r="R22" s="134">
        <f>IF(R4=0,0,R4/TrRail_ene!R4)</f>
        <v>0.45698249793223539</v>
      </c>
      <c r="S22" s="134">
        <f>IF(S4=0,0,S4/TrRail_ene!S4)</f>
        <v>0.48538015527820111</v>
      </c>
      <c r="T22" s="134">
        <f>IF(T4=0,0,T4/TrRail_ene!T4)</f>
        <v>0.48142014683957446</v>
      </c>
      <c r="U22" s="134">
        <f>IF(U4=0,0,U4/TrRail_ene!U4)</f>
        <v>0.48236740156332181</v>
      </c>
      <c r="V22" s="134">
        <f>IF(V4=0,0,V4/TrRail_ene!V4)</f>
        <v>0.46805331237837011</v>
      </c>
      <c r="W22" s="134">
        <f>IF(W4=0,0,W4/TrRail_ene!W4)</f>
        <v>0.4613085851746031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1.5512093999999998</v>
      </c>
      <c r="D23" s="129">
        <f>IF(D5=0,0,D5/SUM(TrRail_ene!D5:D7))</f>
        <v>1.5512094000000001</v>
      </c>
      <c r="E23" s="129">
        <f>IF(E5=0,0,E5/SUM(TrRail_ene!E5:E7))</f>
        <v>1.5512094000000003</v>
      </c>
      <c r="F23" s="129">
        <f>IF(F5=0,0,F5/SUM(TrRail_ene!F5:F7))</f>
        <v>1.5512094000000001</v>
      </c>
      <c r="G23" s="129">
        <f>IF(G5=0,0,G5/SUM(TrRail_ene!G5:G7))</f>
        <v>1.5512093999999998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1.5512094000000001</v>
      </c>
      <c r="P23" s="129">
        <f>IF(P5=0,0,P5/SUM(TrRail_ene!P5:P7))</f>
        <v>1.5512094000000001</v>
      </c>
      <c r="Q23" s="129">
        <f>IF(Q5=0,0,Q5/SUM(TrRail_ene!Q5:Q7))</f>
        <v>1.5524094065501435</v>
      </c>
      <c r="R23" s="129">
        <f>IF(R5=0,0,R5/SUM(TrRail_ene!R5:R7))</f>
        <v>1.552372499310555</v>
      </c>
      <c r="S23" s="129">
        <f>IF(S5=0,0,S5/SUM(TrRail_ene!S5:S7))</f>
        <v>1.5522699907982938</v>
      </c>
      <c r="T23" s="129">
        <f>IF(T5=0,0,T5/SUM(TrRail_ene!T5:T7))</f>
        <v>1.552274255555971</v>
      </c>
      <c r="U23" s="129">
        <f>IF(U5=0,0,U5/SUM(TrRail_ene!U5:U7))</f>
        <v>1.5522699907982938</v>
      </c>
      <c r="V23" s="129">
        <f>IF(V5=0,0,V5/SUM(TrRail_ene!V5:V7))</f>
        <v>1.5523306815990892</v>
      </c>
      <c r="W23" s="129">
        <f>IF(W5=0,0,W5/SUM(TrRail_ene!W5:W7))</f>
        <v>1.5523054887619152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1804.4216236001614</v>
      </c>
      <c r="C26" s="54">
        <f>IF(C8=0,0,C8/TrRail_act!C14*1000)</f>
        <v>1564.2406940039925</v>
      </c>
      <c r="D26" s="54">
        <f>IF(D8=0,0,D8/TrRail_act!D14*1000)</f>
        <v>1431.4312182470314</v>
      </c>
      <c r="E26" s="54">
        <f>IF(E8=0,0,E8/TrRail_act!E14*1000)</f>
        <v>1342.5832569345241</v>
      </c>
      <c r="F26" s="54">
        <f>IF(F8=0,0,F8/TrRail_act!F14*1000)</f>
        <v>1203.9593545369139</v>
      </c>
      <c r="G26" s="54">
        <f>IF(G8=0,0,G8/TrRail_act!G14*1000)</f>
        <v>1245.426050805806</v>
      </c>
      <c r="H26" s="54">
        <f>IF(H8=0,0,H8/TrRail_act!H14*1000)</f>
        <v>1412.440012960637</v>
      </c>
      <c r="I26" s="54">
        <f>IF(I8=0,0,I8/TrRail_act!I14*1000)</f>
        <v>1480.1352178270702</v>
      </c>
      <c r="J26" s="54">
        <f>IF(J8=0,0,J8/TrRail_act!J14*1000)</f>
        <v>1314.2632175578633</v>
      </c>
      <c r="K26" s="54">
        <f>IF(K8=0,0,K8/TrRail_act!K14*1000)</f>
        <v>1042.3281603916437</v>
      </c>
      <c r="L26" s="54">
        <f>IF(L8=0,0,L8/TrRail_act!L14*1000)</f>
        <v>902.30668628015371</v>
      </c>
      <c r="M26" s="54">
        <f>IF(M8=0,0,M8/TrRail_act!M14*1000)</f>
        <v>891.89417705404833</v>
      </c>
      <c r="N26" s="54">
        <f>IF(N8=0,0,N8/TrRail_act!N14*1000)</f>
        <v>1032.0300263475369</v>
      </c>
      <c r="O26" s="54">
        <f>IF(O8=0,0,O8/TrRail_act!O14*1000)</f>
        <v>766.9734279885032</v>
      </c>
      <c r="P26" s="54">
        <f>IF(P8=0,0,P8/TrRail_act!P14*1000)</f>
        <v>615.73474789469356</v>
      </c>
      <c r="Q26" s="54">
        <f>IF(Q8=0,0,Q8/TrRail_act!Q14*1000)</f>
        <v>605.38101745741199</v>
      </c>
      <c r="R26" s="54">
        <f>IF(R8=0,0,R8/TrRail_act!R14*1000)</f>
        <v>605.40843107020771</v>
      </c>
      <c r="S26" s="54">
        <f>IF(S8=0,0,S8/TrRail_act!S14*1000)</f>
        <v>635.89759027886157</v>
      </c>
      <c r="T26" s="54">
        <f>IF(T8=0,0,T8/TrRail_act!T14*1000)</f>
        <v>638.7596534742928</v>
      </c>
      <c r="U26" s="54">
        <f>IF(U8=0,0,U8/TrRail_act!U14*1000)</f>
        <v>629.08561086035536</v>
      </c>
      <c r="V26" s="54">
        <f>IF(V8=0,0,V8/TrRail_act!V14*1000)</f>
        <v>624.77880029850087</v>
      </c>
      <c r="W26" s="54">
        <f>IF(W8=0,0,W8/TrRail_act!W14*1000)</f>
        <v>616.24399964303495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713.67037318555424</v>
      </c>
      <c r="C27" s="28">
        <f>IF(C9=0,0,C9/TrRail_act!C15*1000)</f>
        <v>664.50386123880492</v>
      </c>
      <c r="D27" s="28">
        <f>IF(D9=0,0,D9/TrRail_act!D15*1000)</f>
        <v>710.19643701270138</v>
      </c>
      <c r="E27" s="28">
        <f>IF(E9=0,0,E9/TrRail_act!E15*1000)</f>
        <v>736.63774472587693</v>
      </c>
      <c r="F27" s="28">
        <f>IF(F9=0,0,F9/TrRail_act!F15*1000)</f>
        <v>650.87221347281695</v>
      </c>
      <c r="G27" s="28">
        <f>IF(G9=0,0,G9/TrRail_act!G15*1000)</f>
        <v>658.13810076009042</v>
      </c>
      <c r="H27" s="28">
        <f>IF(H9=0,0,H9/TrRail_act!H15*1000)</f>
        <v>802.52424798476841</v>
      </c>
      <c r="I27" s="28">
        <f>IF(I9=0,0,I9/TrRail_act!I15*1000)</f>
        <v>824.59174463623106</v>
      </c>
      <c r="J27" s="28">
        <f>IF(J9=0,0,J9/TrRail_act!J15*1000)</f>
        <v>799.90129423229564</v>
      </c>
      <c r="K27" s="28">
        <f>IF(K9=0,0,K9/TrRail_act!K15*1000)</f>
        <v>750.72507608216756</v>
      </c>
      <c r="L27" s="28">
        <f>IF(L9=0,0,L9/TrRail_act!L15*1000)</f>
        <v>650.44816038010958</v>
      </c>
      <c r="M27" s="28">
        <f>IF(M9=0,0,M9/TrRail_act!M15*1000)</f>
        <v>658.33318268162202</v>
      </c>
      <c r="N27" s="28">
        <f>IF(N9=0,0,N9/TrRail_act!N15*1000)</f>
        <v>743.29343537807347</v>
      </c>
      <c r="O27" s="28">
        <f>IF(O9=0,0,O9/TrRail_act!O15*1000)</f>
        <v>543.58564771469037</v>
      </c>
      <c r="P27" s="28">
        <f>IF(P9=0,0,P9/TrRail_act!P15*1000)</f>
        <v>415.15056751416114</v>
      </c>
      <c r="Q27" s="28">
        <f>IF(Q9=0,0,Q9/TrRail_act!Q15*1000)</f>
        <v>420.58818712304918</v>
      </c>
      <c r="R27" s="28">
        <f>IF(R9=0,0,R9/TrRail_act!R15*1000)</f>
        <v>414.22264524902994</v>
      </c>
      <c r="S27" s="28">
        <f>IF(S9=0,0,S9/TrRail_act!S15*1000)</f>
        <v>425.36811170847159</v>
      </c>
      <c r="T27" s="28">
        <f>IF(T9=0,0,T9/TrRail_act!T15*1000)</f>
        <v>344.31790190191725</v>
      </c>
      <c r="U27" s="28">
        <f>IF(U9=0,0,U9/TrRail_act!U15*1000)</f>
        <v>314.29766673142421</v>
      </c>
      <c r="V27" s="28">
        <f>IF(V9=0,0,V9/TrRail_act!V15*1000)</f>
        <v>266.91889583910091</v>
      </c>
      <c r="W27" s="28">
        <f>IF(W9=0,0,W9/TrRail_act!W15*1000)</f>
        <v>253.31896374950875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881.0195192135825</v>
      </c>
      <c r="C29" s="110">
        <f>IF(C11=0,0,C11/TrRail_act!C17*1000)</f>
        <v>814.70765898656578</v>
      </c>
      <c r="D29" s="110">
        <f>IF(D11=0,0,D11/TrRail_act!D17*1000)</f>
        <v>875.89246826466308</v>
      </c>
      <c r="E29" s="110">
        <f>IF(E11=0,0,E11/TrRail_act!E17*1000)</f>
        <v>902.2035509919217</v>
      </c>
      <c r="F29" s="110">
        <f>IF(F11=0,0,F11/TrRail_act!F17*1000)</f>
        <v>785.31392132724909</v>
      </c>
      <c r="G29" s="110">
        <f>IF(G11=0,0,G11/TrRail_act!G17*1000)</f>
        <v>803.19551216035461</v>
      </c>
      <c r="H29" s="110">
        <f>IF(H11=0,0,H11/TrRail_act!H17*1000)</f>
        <v>965.44464511672027</v>
      </c>
      <c r="I29" s="110">
        <f>IF(I11=0,0,I11/TrRail_act!I17*1000)</f>
        <v>997.31266317847098</v>
      </c>
      <c r="J29" s="110">
        <f>IF(J11=0,0,J11/TrRail_act!J17*1000)</f>
        <v>963.22005516814409</v>
      </c>
      <c r="K29" s="110">
        <f>IF(K11=0,0,K11/TrRail_act!K17*1000)</f>
        <v>904.58091174926744</v>
      </c>
      <c r="L29" s="110">
        <f>IF(L11=0,0,L11/TrRail_act!L17*1000)</f>
        <v>792.3271713304722</v>
      </c>
      <c r="M29" s="110">
        <f>IF(M11=0,0,M11/TrRail_act!M17*1000)</f>
        <v>807.51273692533368</v>
      </c>
      <c r="N29" s="110">
        <f>IF(N11=0,0,N11/TrRail_act!N17*1000)</f>
        <v>926.04603913499977</v>
      </c>
      <c r="O29" s="110">
        <f>IF(O11=0,0,O11/TrRail_act!O17*1000)</f>
        <v>674.28602210115673</v>
      </c>
      <c r="P29" s="110">
        <f>IF(P11=0,0,P11/TrRail_act!P17*1000)</f>
        <v>518.66140944797576</v>
      </c>
      <c r="Q29" s="110">
        <f>IF(Q11=0,0,Q11/TrRail_act!Q17*1000)</f>
        <v>527.18062660630301</v>
      </c>
      <c r="R29" s="110">
        <f>IF(R11=0,0,R11/TrRail_act!R17*1000)</f>
        <v>522.29893880418206</v>
      </c>
      <c r="S29" s="110">
        <f>IF(S11=0,0,S11/TrRail_act!S17*1000)</f>
        <v>542.22929740423035</v>
      </c>
      <c r="T29" s="110">
        <f>IF(T11=0,0,T11/TrRail_act!T17*1000)</f>
        <v>447.80624552714147</v>
      </c>
      <c r="U29" s="110">
        <f>IF(U11=0,0,U11/TrRail_act!U17*1000)</f>
        <v>408.62295522617723</v>
      </c>
      <c r="V29" s="110">
        <f>IF(V11=0,0,V11/TrRail_act!V17*1000)</f>
        <v>328.29019243144796</v>
      </c>
      <c r="W29" s="110">
        <f>IF(W11=0,0,W11/TrRail_act!W17*1000)</f>
        <v>310.88802558122035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12485.140710008322</v>
      </c>
      <c r="C30" s="84">
        <f>IF(C12=0,0,C12/TrRail_act!C18*1000)</f>
        <v>12245.615541798446</v>
      </c>
      <c r="D30" s="84">
        <f>IF(D12=0,0,D12/TrRail_act!D18*1000)</f>
        <v>12076.97321459412</v>
      </c>
      <c r="E30" s="84">
        <f>IF(E12=0,0,E12/TrRail_act!E18*1000)</f>
        <v>12010.524736807345</v>
      </c>
      <c r="F30" s="84">
        <f>IF(F12=0,0,F12/TrRail_act!F18*1000)</f>
        <v>11959.852492654045</v>
      </c>
      <c r="G30" s="84">
        <f>IF(G12=0,0,G12/TrRail_act!G18*1000)</f>
        <v>11873.598176965055</v>
      </c>
      <c r="H30" s="84">
        <f>IF(H12=0,0,H12/TrRail_act!H18*1000)</f>
        <v>11799.315487502721</v>
      </c>
      <c r="I30" s="84">
        <f>IF(I12=0,0,I12/TrRail_act!I18*1000)</f>
        <v>11699.638234622989</v>
      </c>
      <c r="J30" s="84">
        <f>IF(J12=0,0,J12/TrRail_act!J18*1000)</f>
        <v>11669.243341856622</v>
      </c>
      <c r="K30" s="84">
        <f>IF(K12=0,0,K12/TrRail_act!K18*1000)</f>
        <v>11305.06567054862</v>
      </c>
      <c r="L30" s="84">
        <f>IF(L12=0,0,L12/TrRail_act!L18*1000)</f>
        <v>11238.681087602812</v>
      </c>
      <c r="M30" s="84">
        <f>IF(M12=0,0,M12/TrRail_act!M18*1000)</f>
        <v>11159.103300222858</v>
      </c>
      <c r="N30" s="84">
        <f>IF(N12=0,0,N12/TrRail_act!N18*1000)</f>
        <v>11134.944618445981</v>
      </c>
      <c r="O30" s="84">
        <f>IF(O12=0,0,O12/TrRail_act!O18*1000)</f>
        <v>10751.569973109081</v>
      </c>
      <c r="P30" s="84">
        <f>IF(P12=0,0,P12/TrRail_act!P18*1000)</f>
        <v>9978.9058854557261</v>
      </c>
      <c r="Q30" s="84">
        <f>IF(Q12=0,0,Q12/TrRail_act!Q18*1000)</f>
        <v>7271.597409744445</v>
      </c>
      <c r="R30" s="84">
        <f>IF(R12=0,0,R12/TrRail_act!R18*1000)</f>
        <v>6877.9504627016022</v>
      </c>
      <c r="S30" s="84">
        <f>IF(S12=0,0,S12/TrRail_act!S18*1000)</f>
        <v>6596.4461504028313</v>
      </c>
      <c r="T30" s="84">
        <f>IF(T12=0,0,T12/TrRail_act!T18*1000)</f>
        <v>6393.2392529297967</v>
      </c>
      <c r="U30" s="84">
        <f>IF(U12=0,0,U12/TrRail_act!U18*1000)</f>
        <v>6244.9227573977842</v>
      </c>
      <c r="V30" s="84">
        <f>IF(V12=0,0,V12/TrRail_act!V18*1000)</f>
        <v>6136.2003483028802</v>
      </c>
      <c r="W30" s="84">
        <f>IF(W12=0,0,W12/TrRail_act!W18*1000)</f>
        <v>6055.6266598308648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8134.0161302977431</v>
      </c>
      <c r="C33" s="28">
        <f>IF(C15=0,0,C15/TrRail_act!C21*1000)</f>
        <v>7341.4680807834839</v>
      </c>
      <c r="D33" s="28">
        <f>IF(D15=0,0,D15/TrRail_act!D21*1000)</f>
        <v>5830.8180829801486</v>
      </c>
      <c r="E33" s="28">
        <f>IF(E15=0,0,E15/TrRail_act!E21*1000)</f>
        <v>5170.4288556595848</v>
      </c>
      <c r="F33" s="28">
        <f>IF(F15=0,0,F15/TrRail_act!F21*1000)</f>
        <v>4425.3653420902037</v>
      </c>
      <c r="G33" s="28">
        <f>IF(G15=0,0,G15/TrRail_act!G21*1000)</f>
        <v>4331.5918233095999</v>
      </c>
      <c r="H33" s="28">
        <f>IF(H15=0,0,H15/TrRail_act!H21*1000)</f>
        <v>4671.1939089869757</v>
      </c>
      <c r="I33" s="28">
        <f>IF(I15=0,0,I15/TrRail_act!I21*1000)</f>
        <v>4885.7910191581932</v>
      </c>
      <c r="J33" s="28">
        <f>IF(J15=0,0,J15/TrRail_act!J21*1000)</f>
        <v>4174.6686590426043</v>
      </c>
      <c r="K33" s="28">
        <f>IF(K15=0,0,K15/TrRail_act!K21*1000)</f>
        <v>3226.4912247054526</v>
      </c>
      <c r="L33" s="28">
        <f>IF(L15=0,0,L15/TrRail_act!L21*1000)</f>
        <v>2518.6133839332833</v>
      </c>
      <c r="M33" s="28">
        <f>IF(M15=0,0,M15/TrRail_act!M21*1000)</f>
        <v>2369.009841904031</v>
      </c>
      <c r="N33" s="28">
        <f>IF(N15=0,0,N15/TrRail_act!N21*1000)</f>
        <v>2947.5531487323506</v>
      </c>
      <c r="O33" s="28">
        <f>IF(O15=0,0,O15/TrRail_act!O21*1000)</f>
        <v>2255.3622264407659</v>
      </c>
      <c r="P33" s="28">
        <f>IF(P15=0,0,P15/TrRail_act!P21*1000)</f>
        <v>1942.0809843077993</v>
      </c>
      <c r="Q33" s="28">
        <f>IF(Q15=0,0,Q15/TrRail_act!Q21*1000)</f>
        <v>1866.9668624556373</v>
      </c>
      <c r="R33" s="28">
        <f>IF(R15=0,0,R15/TrRail_act!R21*1000)</f>
        <v>1929.4789299733302</v>
      </c>
      <c r="S33" s="28">
        <f>IF(S15=0,0,S15/TrRail_act!S21*1000)</f>
        <v>2098.2725512189104</v>
      </c>
      <c r="T33" s="28">
        <f>IF(T15=0,0,T15/TrRail_act!T21*1000)</f>
        <v>2097.377978753655</v>
      </c>
      <c r="U33" s="28">
        <f>IF(U15=0,0,U15/TrRail_act!U21*1000)</f>
        <v>2364.3146460120106</v>
      </c>
      <c r="V33" s="28">
        <f>IF(V15=0,0,V15/TrRail_act!V21*1000)</f>
        <v>2495.1618160806929</v>
      </c>
      <c r="W33" s="28">
        <f>IF(W15=0,0,W15/TrRail_act!W21*1000)</f>
        <v>2420.6540554549497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19840.19656846979</v>
      </c>
      <c r="C34" s="84">
        <f>IF(C16=0,0,C16/TrRail_act!C22*1000)</f>
        <v>19726.253338587307</v>
      </c>
      <c r="D34" s="84">
        <f>IF(D16=0,0,D16/TrRail_act!D22*1000)</f>
        <v>19677.698169097323</v>
      </c>
      <c r="E34" s="84">
        <f>IF(E16=0,0,E16/TrRail_act!E22*1000)</f>
        <v>19655.492284126998</v>
      </c>
      <c r="F34" s="84">
        <f>IF(F16=0,0,F16/TrRail_act!F22*1000)</f>
        <v>19572.566028449019</v>
      </c>
      <c r="G34" s="84">
        <f>IF(G16=0,0,G16/TrRail_act!G22*1000)</f>
        <v>19378.125864418784</v>
      </c>
      <c r="H34" s="84">
        <f>IF(H16=0,0,H16/TrRail_act!H22*1000)</f>
        <v>19256.620183805768</v>
      </c>
      <c r="I34" s="84">
        <f>IF(I16=0,0,I16/TrRail_act!I22*1000)</f>
        <v>19163.234396886754</v>
      </c>
      <c r="J34" s="84">
        <f>IF(J16=0,0,J16/TrRail_act!J22*1000)</f>
        <v>19071.366036934687</v>
      </c>
      <c r="K34" s="84">
        <f>IF(K16=0,0,K16/TrRail_act!K22*1000)</f>
        <v>18970.276527006012</v>
      </c>
      <c r="L34" s="84">
        <f>IF(L16=0,0,L16/TrRail_act!L22*1000)</f>
        <v>18895.333758548943</v>
      </c>
      <c r="M34" s="84">
        <f>IF(M16=0,0,M16/TrRail_act!M22*1000)</f>
        <v>18660.35670866022</v>
      </c>
      <c r="N34" s="84">
        <f>IF(N16=0,0,N16/TrRail_act!N22*1000)</f>
        <v>18220.109418684406</v>
      </c>
      <c r="O34" s="84">
        <f>IF(O16=0,0,O16/TrRail_act!O22*1000)</f>
        <v>17756.902012450933</v>
      </c>
      <c r="P34" s="84">
        <f>IF(P16=0,0,P16/TrRail_act!P22*1000)</f>
        <v>17559.864055381338</v>
      </c>
      <c r="Q34" s="84">
        <f>IF(Q16=0,0,Q16/TrRail_act!Q22*1000)</f>
        <v>17498.99611535254</v>
      </c>
      <c r="R34" s="84">
        <f>IF(R16=0,0,R16/TrRail_act!R22*1000)</f>
        <v>17041.761538415725</v>
      </c>
      <c r="S34" s="84">
        <f>IF(S16=0,0,S16/TrRail_act!S22*1000)</f>
        <v>16872.946702966961</v>
      </c>
      <c r="T34" s="84">
        <f>IF(T16=0,0,T16/TrRail_act!T22*1000)</f>
        <v>16748.309393947959</v>
      </c>
      <c r="U34" s="84">
        <f>IF(U16=0,0,U16/TrRail_act!U22*1000)</f>
        <v>16655.355897163692</v>
      </c>
      <c r="V34" s="84">
        <f>IF(V16=0,0,V16/TrRail_act!V22*1000)</f>
        <v>16586.662145065984</v>
      </c>
      <c r="W34" s="84">
        <f>IF(W16=0,0,W16/TrRail_act!W22*1000)</f>
        <v>16534.574598798754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6.572541217032934</v>
      </c>
      <c r="C38" s="29">
        <f>IF(C9=0,0,C9/TrRail_act!C4*1000)</f>
        <v>6.0916560175162484</v>
      </c>
      <c r="D38" s="29">
        <f>IF(D9=0,0,D9/TrRail_act!D4*1000)</f>
        <v>6.2646062983250896</v>
      </c>
      <c r="E38" s="29">
        <f>IF(E9=0,0,E9/TrRail_act!E4*1000)</f>
        <v>6.7054678411014708</v>
      </c>
      <c r="F38" s="29">
        <f>IF(F9=0,0,F9/TrRail_act!F4*1000)</f>
        <v>5.7626130731476382</v>
      </c>
      <c r="G38" s="29">
        <f>IF(G9=0,0,G9/TrRail_act!G4*1000)</f>
        <v>6.1757997087800991</v>
      </c>
      <c r="H38" s="29">
        <f>IF(H9=0,0,H9/TrRail_act!H4*1000)</f>
        <v>7.6347476203161708</v>
      </c>
      <c r="I38" s="29">
        <f>IF(I9=0,0,I9/TrRail_act!I4*1000)</f>
        <v>8.1577890329214711</v>
      </c>
      <c r="J38" s="29">
        <f>IF(J9=0,0,J9/TrRail_act!J4*1000)</f>
        <v>7.9945314690685052</v>
      </c>
      <c r="K38" s="29">
        <f>IF(K9=0,0,K9/TrRail_act!K4*1000)</f>
        <v>7.3362800540251003</v>
      </c>
      <c r="L38" s="29">
        <f>IF(L9=0,0,L9/TrRail_act!L4*1000)</f>
        <v>6.2220800111493615</v>
      </c>
      <c r="M38" s="29">
        <f>IF(M9=0,0,M9/TrRail_act!M4*1000)</f>
        <v>5.8231294537649356</v>
      </c>
      <c r="N38" s="29">
        <f>IF(N9=0,0,N9/TrRail_act!N4*1000)</f>
        <v>6.4825395594360629</v>
      </c>
      <c r="O38" s="29">
        <f>IF(O9=0,0,O9/TrRail_act!O4*1000)</f>
        <v>4.9022399994936814</v>
      </c>
      <c r="P38" s="29">
        <f>IF(P9=0,0,P9/TrRail_act!P4*1000)</f>
        <v>3.5994632757452947</v>
      </c>
      <c r="Q38" s="29">
        <f>IF(Q9=0,0,Q9/TrRail_act!Q4*1000)</f>
        <v>3.7812955571165463</v>
      </c>
      <c r="R38" s="29">
        <f>IF(R9=0,0,R9/TrRail_act!R4*1000)</f>
        <v>3.870255824171807</v>
      </c>
      <c r="S38" s="29">
        <f>IF(S9=0,0,S9/TrRail_act!S4*1000)</f>
        <v>3.9872829778095626</v>
      </c>
      <c r="T38" s="29">
        <f>IF(T9=0,0,T9/TrRail_act!T4*1000)</f>
        <v>2.9525171411257629</v>
      </c>
      <c r="U38" s="29">
        <f>IF(U9=0,0,U9/TrRail_act!U4*1000)</f>
        <v>2.7063229291907223</v>
      </c>
      <c r="V38" s="29">
        <f>IF(V9=0,0,V9/TrRail_act!V4*1000)</f>
        <v>2.981942280250355</v>
      </c>
      <c r="W38" s="29">
        <f>IF(W9=0,0,W9/TrRail_act!W4*1000)</f>
        <v>3.0685687729964002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8.2326604500438734</v>
      </c>
      <c r="C40" s="116">
        <f>IF(C11=0,0,C11/TrRail_act!C6*1000)</f>
        <v>7.5956108183158255</v>
      </c>
      <c r="D40" s="116">
        <f>IF(D11=0,0,D11/TrRail_act!D6*1000)</f>
        <v>7.7977346795911533</v>
      </c>
      <c r="E40" s="116">
        <f>IF(E11=0,0,E11/TrRail_act!E6*1000)</f>
        <v>8.3194277465405424</v>
      </c>
      <c r="F40" s="116">
        <f>IF(F11=0,0,F11/TrRail_act!F6*1000)</f>
        <v>7.0493764026978045</v>
      </c>
      <c r="G40" s="116">
        <f>IF(G11=0,0,G11/TrRail_act!G6*1000)</f>
        <v>7.7443609525616539</v>
      </c>
      <c r="H40" s="116">
        <f>IF(H11=0,0,H11/TrRail_act!H6*1000)</f>
        <v>9.5041295715487841</v>
      </c>
      <c r="I40" s="116">
        <f>IF(I11=0,0,I11/TrRail_act!I6*1000)</f>
        <v>10.273486688911721</v>
      </c>
      <c r="J40" s="116">
        <f>IF(J11=0,0,J11/TrRail_act!J6*1000)</f>
        <v>10.071144205313011</v>
      </c>
      <c r="K40" s="116">
        <f>IF(K11=0,0,K11/TrRail_act!K6*1000)</f>
        <v>9.2007451545346797</v>
      </c>
      <c r="L40" s="116">
        <f>IF(L11=0,0,L11/TrRail_act!L6*1000)</f>
        <v>7.8175145472453078</v>
      </c>
      <c r="M40" s="116">
        <f>IF(M11=0,0,M11/TrRail_act!M6*1000)</f>
        <v>7.1440397678934398</v>
      </c>
      <c r="N40" s="116">
        <f>IF(N11=0,0,N11/TrRail_act!N6*1000)</f>
        <v>8.011988697907352</v>
      </c>
      <c r="O40" s="116">
        <f>IF(O11=0,0,O11/TrRail_act!O6*1000)</f>
        <v>6.0747267116916728</v>
      </c>
      <c r="P40" s="116">
        <f>IF(P11=0,0,P11/TrRail_act!P6*1000)</f>
        <v>4.4537845843344268</v>
      </c>
      <c r="Q40" s="116">
        <f>IF(Q11=0,0,Q11/TrRail_act!Q6*1000)</f>
        <v>4.8395223377124665</v>
      </c>
      <c r="R40" s="116">
        <f>IF(R11=0,0,R11/TrRail_act!R6*1000)</f>
        <v>5.1544145641627539</v>
      </c>
      <c r="S40" s="116">
        <f>IF(S11=0,0,S11/TrRail_act!S6*1000)</f>
        <v>5.359373994218811</v>
      </c>
      <c r="T40" s="116">
        <f>IF(T11=0,0,T11/TrRail_act!T6*1000)</f>
        <v>3.9394706870723941</v>
      </c>
      <c r="U40" s="116">
        <f>IF(U11=0,0,U11/TrRail_act!U6*1000)</f>
        <v>3.5912651721846434</v>
      </c>
      <c r="V40" s="116">
        <f>IF(V11=0,0,V11/TrRail_act!V6*1000)</f>
        <v>3.8829518746680827</v>
      </c>
      <c r="W40" s="116">
        <f>IF(W11=0,0,W11/TrRail_act!W6*1000)</f>
        <v>4.0235760050610949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112.62020157593767</v>
      </c>
      <c r="C41" s="87">
        <f>IF(C12=0,0,C12/TrRail_act!C7*1000)</f>
        <v>107.05174439478751</v>
      </c>
      <c r="D41" s="87">
        <f>IF(D12=0,0,D12/TrRail_act!D7*1000)</f>
        <v>116.06741784971321</v>
      </c>
      <c r="E41" s="87">
        <f>IF(E12=0,0,E12/TrRail_act!E7*1000)</f>
        <v>116.62173352849281</v>
      </c>
      <c r="F41" s="87">
        <f>IF(F12=0,0,F12/TrRail_act!F7*1000)</f>
        <v>119.38435241358737</v>
      </c>
      <c r="G41" s="87">
        <f>IF(G12=0,0,G12/TrRail_act!G7*1000)</f>
        <v>131.10886179615818</v>
      </c>
      <c r="H41" s="87">
        <f>IF(H12=0,0,H12/TrRail_act!H7*1000)</f>
        <v>160.73671375588177</v>
      </c>
      <c r="I41" s="87">
        <f>IF(I12=0,0,I12/TrRail_act!I7*1000)</f>
        <v>170.52961546781992</v>
      </c>
      <c r="J41" s="87">
        <f>IF(J12=0,0,J12/TrRail_act!J7*1000)</f>
        <v>155.82495127528028</v>
      </c>
      <c r="K41" s="87">
        <f>IF(K12=0,0,K12/TrRail_act!K7*1000)</f>
        <v>151.09570235451142</v>
      </c>
      <c r="L41" s="87">
        <f>IF(L12=0,0,L12/TrRail_act!L7*1000)</f>
        <v>146.92831823793011</v>
      </c>
      <c r="M41" s="87">
        <f>IF(M12=0,0,M12/TrRail_act!M7*1000)</f>
        <v>130.95888027442311</v>
      </c>
      <c r="N41" s="87">
        <f>IF(N12=0,0,N12/TrRail_act!N7*1000)</f>
        <v>124.90015880676913</v>
      </c>
      <c r="O41" s="87">
        <f>IF(O12=0,0,O12/TrRail_act!O7*1000)</f>
        <v>119.97916388125384</v>
      </c>
      <c r="P41" s="87">
        <f>IF(P12=0,0,P12/TrRail_act!P7*1000)</f>
        <v>105.8806994170276</v>
      </c>
      <c r="Q41" s="87">
        <f>IF(Q12=0,0,Q12/TrRail_act!Q7*1000)</f>
        <v>113.71191771373792</v>
      </c>
      <c r="R41" s="87">
        <f>IF(R12=0,0,R12/TrRail_act!R7*1000)</f>
        <v>116.90801326965614</v>
      </c>
      <c r="S41" s="87">
        <f>IF(S12=0,0,S12/TrRail_act!S7*1000)</f>
        <v>113.02757899389178</v>
      </c>
      <c r="T41" s="87">
        <f>IF(T12=0,0,T12/TrRail_act!T7*1000)</f>
        <v>92.059507450084055</v>
      </c>
      <c r="U41" s="87">
        <f>IF(U12=0,0,U12/TrRail_act!U7*1000)</f>
        <v>83.98939520693034</v>
      </c>
      <c r="V41" s="87">
        <f>IF(V12=0,0,V12/TrRail_act!V7*1000)</f>
        <v>89.205750390050014</v>
      </c>
      <c r="W41" s="87">
        <f>IF(W12=0,0,W12/TrRail_act!W7*1000)</f>
        <v>97.379261113385837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14.473351755101463</v>
      </c>
      <c r="C44" s="29">
        <f>IF(C15=0,0,C15/TrRail_act!C10*1000)</f>
        <v>13.194558149959059</v>
      </c>
      <c r="D44" s="29">
        <f>IF(D15=0,0,D15/TrRail_act!D10*1000)</f>
        <v>10.573190128864661</v>
      </c>
      <c r="E44" s="29">
        <f>IF(E15=0,0,E15/TrRail_act!E10*1000)</f>
        <v>9.362829183642539</v>
      </c>
      <c r="F44" s="29">
        <f>IF(F15=0,0,F15/TrRail_act!F10*1000)</f>
        <v>8.8646562766413552</v>
      </c>
      <c r="G44" s="29">
        <f>IF(G15=0,0,G15/TrRail_act!G10*1000)</f>
        <v>8.9812540798420457</v>
      </c>
      <c r="H44" s="29">
        <f>IF(H15=0,0,H15/TrRail_act!H10*1000)</f>
        <v>9.6194328152339583</v>
      </c>
      <c r="I44" s="29">
        <f>IF(I15=0,0,I15/TrRail_act!I10*1000)</f>
        <v>9.7013590931445091</v>
      </c>
      <c r="J44" s="29">
        <f>IF(J15=0,0,J15/TrRail_act!J10*1000)</f>
        <v>8.4740710353779534</v>
      </c>
      <c r="K44" s="29">
        <f>IF(K15=0,0,K15/TrRail_act!K10*1000)</f>
        <v>6.716873939564322</v>
      </c>
      <c r="L44" s="29">
        <f>IF(L15=0,0,L15/TrRail_act!L10*1000)</f>
        <v>5.2434986362904326</v>
      </c>
      <c r="M44" s="29">
        <f>IF(M15=0,0,M15/TrRail_act!M10*1000)</f>
        <v>4.8093970087820423</v>
      </c>
      <c r="N44" s="29">
        <f>IF(N15=0,0,N15/TrRail_act!N10*1000)</f>
        <v>5.9210400750231722</v>
      </c>
      <c r="O44" s="29">
        <f>IF(O15=0,0,O15/TrRail_act!O10*1000)</f>
        <v>4.6591032994736041</v>
      </c>
      <c r="P44" s="29">
        <f>IF(P15=0,0,P15/TrRail_act!P10*1000)</f>
        <v>3.8985822634967984</v>
      </c>
      <c r="Q44" s="29">
        <f>IF(Q15=0,0,Q15/TrRail_act!Q10*1000)</f>
        <v>3.7720844684305659</v>
      </c>
      <c r="R44" s="29">
        <f>IF(R15=0,0,R15/TrRail_act!R10*1000)</f>
        <v>3.971806360450941</v>
      </c>
      <c r="S44" s="29">
        <f>IF(S15=0,0,S15/TrRail_act!S10*1000)</f>
        <v>4.252304977627996</v>
      </c>
      <c r="T44" s="29">
        <f>IF(T15=0,0,T15/TrRail_act!T10*1000)</f>
        <v>5.7748077742514283</v>
      </c>
      <c r="U44" s="29">
        <f>IF(U15=0,0,U15/TrRail_act!U10*1000)</f>
        <v>6.1492629292250784</v>
      </c>
      <c r="V44" s="29">
        <f>IF(V15=0,0,V15/TrRail_act!V10*1000)</f>
        <v>6.6411580625375537</v>
      </c>
      <c r="W44" s="29">
        <f>IF(W15=0,0,W15/TrRail_act!W10*1000)</f>
        <v>6.8951059597026152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34.61943537753789</v>
      </c>
      <c r="C45" s="87">
        <f>IF(C16=0,0,C16/TrRail_act!C11*1000)</f>
        <v>33.770584979499041</v>
      </c>
      <c r="D45" s="87">
        <f>IF(D16=0,0,D16/TrRail_act!D11*1000)</f>
        <v>31.980449332403147</v>
      </c>
      <c r="E45" s="87">
        <f>IF(E16=0,0,E16/TrRail_act!E11*1000)</f>
        <v>30.073071174590218</v>
      </c>
      <c r="F45" s="87">
        <f>IF(F16=0,0,F16/TrRail_act!F11*1000)</f>
        <v>34.251974421066535</v>
      </c>
      <c r="G45" s="87">
        <f>IF(G16=0,0,G16/TrRail_act!G11*1000)</f>
        <v>35.836778653367986</v>
      </c>
      <c r="H45" s="87">
        <f>IF(H16=0,0,H16/TrRail_act!H11*1000)</f>
        <v>39.697833517849006</v>
      </c>
      <c r="I45" s="87">
        <f>IF(I16=0,0,I16/TrRail_act!I11*1000)</f>
        <v>38.702338398624121</v>
      </c>
      <c r="J45" s="87">
        <f>IF(J16=0,0,J16/TrRail_act!J11*1000)</f>
        <v>36.843429519393183</v>
      </c>
      <c r="K45" s="87">
        <f>IF(K16=0,0,K16/TrRail_act!K11*1000)</f>
        <v>34.951568515365132</v>
      </c>
      <c r="L45" s="87">
        <f>IF(L16=0,0,L16/TrRail_act!L11*1000)</f>
        <v>30.748508437836584</v>
      </c>
      <c r="M45" s="87">
        <f>IF(M16=0,0,M16/TrRail_act!M11*1000)</f>
        <v>27.919648498537821</v>
      </c>
      <c r="N45" s="87">
        <f>IF(N16=0,0,N16/TrRail_act!N11*1000)</f>
        <v>29.687927469681981</v>
      </c>
      <c r="O45" s="87">
        <f>IF(O16=0,0,O16/TrRail_act!O11*1000)</f>
        <v>29.457911112131228</v>
      </c>
      <c r="P45" s="87">
        <f>IF(P16=0,0,P16/TrRail_act!P11*1000)</f>
        <v>29.436709194172956</v>
      </c>
      <c r="Q45" s="87">
        <f>IF(Q16=0,0,Q16/TrRail_act!Q11*1000)</f>
        <v>28.43470515238608</v>
      </c>
      <c r="R45" s="87">
        <f>IF(R16=0,0,R16/TrRail_act!R11*1000)</f>
        <v>29.264019120724271</v>
      </c>
      <c r="S45" s="87">
        <f>IF(S16=0,0,S16/TrRail_act!S11*1000)</f>
        <v>29.51837310783776</v>
      </c>
      <c r="T45" s="87">
        <f>IF(T16=0,0,T16/TrRail_act!T11*1000)</f>
        <v>40.41271925911466</v>
      </c>
      <c r="U45" s="87">
        <f>IF(U16=0,0,U16/TrRail_act!U11*1000)</f>
        <v>42.949670649853545</v>
      </c>
      <c r="V45" s="87">
        <f>IF(V16=0,0,V16/TrRail_act!V11*1000)</f>
        <v>47.787268859155731</v>
      </c>
      <c r="W45" s="87">
        <f>IF(W16=0,0,W16/TrRail_act!W11*1000)</f>
        <v>50.330018496257317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273.6649564319078</v>
      </c>
      <c r="C48" s="62">
        <f>IF(C8=0,0,1000000*C8/TrRail_act!C25/1000)</f>
        <v>236.2382342734287</v>
      </c>
      <c r="D48" s="62">
        <f>IF(D8=0,0,1000000*D8/TrRail_act!D25/1000)</f>
        <v>216.03113515269163</v>
      </c>
      <c r="E48" s="62">
        <f>IF(E8=0,0,1000000*E8/TrRail_act!E25/1000)</f>
        <v>202.48862809326664</v>
      </c>
      <c r="F48" s="62">
        <f>IF(F8=0,0,1000000*F8/TrRail_act!F25/1000)</f>
        <v>183.40380572935589</v>
      </c>
      <c r="G48" s="62">
        <f>IF(G8=0,0,1000000*G8/TrRail_act!G25/1000)</f>
        <v>190.22653526472914</v>
      </c>
      <c r="H48" s="62">
        <f>IF(H8=0,0,1000000*H8/TrRail_act!H25/1000)</f>
        <v>215.51067988637271</v>
      </c>
      <c r="I48" s="62">
        <f>IF(I8=0,0,1000000*I8/TrRail_act!I25/1000)</f>
        <v>226.09485642048304</v>
      </c>
      <c r="J48" s="62">
        <f>IF(J8=0,0,1000000*J8/TrRail_act!J25/1000)</f>
        <v>200.45340756631336</v>
      </c>
      <c r="K48" s="62">
        <f>IF(K8=0,0,1000000*K8/TrRail_act!K25/1000)</f>
        <v>153.62507719160322</v>
      </c>
      <c r="L48" s="62">
        <f>IF(L8=0,0,1000000*L8/TrRail_act!L25/1000)</f>
        <v>135.281353264584</v>
      </c>
      <c r="M48" s="62">
        <f>IF(M8=0,0,1000000*M8/TrRail_act!M25/1000)</f>
        <v>133.73064372253768</v>
      </c>
      <c r="N48" s="62">
        <f>IF(N8=0,0,1000000*N8/TrRail_act!N25/1000)</f>
        <v>154.09948115441429</v>
      </c>
      <c r="O48" s="62">
        <f>IF(O8=0,0,1000000*O8/TrRail_act!O25/1000)</f>
        <v>113.89032382511058</v>
      </c>
      <c r="P48" s="62">
        <f>IF(P8=0,0,1000000*P8/TrRail_act!P25/1000)</f>
        <v>90.888693300699273</v>
      </c>
      <c r="Q48" s="62">
        <f>IF(Q8=0,0,1000000*Q8/TrRail_act!Q25/1000)</f>
        <v>91.117863801574188</v>
      </c>
      <c r="R48" s="62">
        <f>IF(R8=0,0,1000000*R8/TrRail_act!R25/1000)</f>
        <v>91.628864226986508</v>
      </c>
      <c r="S48" s="62">
        <f>IF(S8=0,0,1000000*S8/TrRail_act!S25/1000)</f>
        <v>95.963089567387669</v>
      </c>
      <c r="T48" s="62">
        <f>IF(T8=0,0,1000000*T8/TrRail_act!T25/1000)</f>
        <v>96.410444262662338</v>
      </c>
      <c r="U48" s="62">
        <f>IF(U8=0,0,1000000*U8/TrRail_act!U25/1000)</f>
        <v>94.391137801604685</v>
      </c>
      <c r="V48" s="62">
        <f>IF(V8=0,0,1000000*V8/TrRail_act!V25/1000)</f>
        <v>88.242325007409264</v>
      </c>
      <c r="W48" s="62">
        <f>IF(W8=0,0,1000000*W8/TrRail_act!W25/1000)</f>
        <v>89.893042549375764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103.91011519708921</v>
      </c>
      <c r="C49" s="29">
        <f>IF(C9=0,0,1000000*C9/TrRail_act!C26/1000)</f>
        <v>96.930034276206882</v>
      </c>
      <c r="D49" s="29">
        <f>IF(D9=0,0,1000000*D9/TrRail_act!D26/1000)</f>
        <v>103.55639398244065</v>
      </c>
      <c r="E49" s="29">
        <f>IF(E9=0,0,1000000*E9/TrRail_act!E26/1000)</f>
        <v>107.3525862211591</v>
      </c>
      <c r="F49" s="29">
        <f>IF(F9=0,0,1000000*F9/TrRail_act!F26/1000)</f>
        <v>95.252240994954434</v>
      </c>
      <c r="G49" s="29">
        <f>IF(G9=0,0,1000000*G9/TrRail_act!G26/1000)</f>
        <v>96.1983428657621</v>
      </c>
      <c r="H49" s="29">
        <f>IF(H9=0,0,1000000*H9/TrRail_act!H26/1000)</f>
        <v>117.24657202178339</v>
      </c>
      <c r="I49" s="29">
        <f>IF(I9=0,0,1000000*I9/TrRail_act!I26/1000)</f>
        <v>120.4802229945788</v>
      </c>
      <c r="J49" s="29">
        <f>IF(J9=0,0,1000000*J9/TrRail_act!J26/1000)</f>
        <v>117.1437402181312</v>
      </c>
      <c r="K49" s="29">
        <f>IF(K9=0,0,1000000*K9/TrRail_act!K26/1000)</f>
        <v>109.75929146451631</v>
      </c>
      <c r="L49" s="29">
        <f>IF(L9=0,0,1000000*L9/TrRail_act!L26/1000)</f>
        <v>94.495722245726967</v>
      </c>
      <c r="M49" s="29">
        <f>IF(M9=0,0,1000000*M9/TrRail_act!M26/1000)</f>
        <v>95.298400022467234</v>
      </c>
      <c r="N49" s="29">
        <f>IF(N9=0,0,1000000*N9/TrRail_act!N26/1000)</f>
        <v>107.21572550986826</v>
      </c>
      <c r="O49" s="29">
        <f>IF(O9=0,0,1000000*O9/TrRail_act!O26/1000)</f>
        <v>77.714886144797688</v>
      </c>
      <c r="P49" s="29">
        <f>IF(P9=0,0,1000000*P9/TrRail_act!P26/1000)</f>
        <v>58.945329274939624</v>
      </c>
      <c r="Q49" s="29">
        <f>IF(Q9=0,0,1000000*Q9/TrRail_act!Q26/1000)</f>
        <v>61.089994078811237</v>
      </c>
      <c r="R49" s="29">
        <f>IF(R9=0,0,1000000*R9/TrRail_act!R26/1000)</f>
        <v>60.565551124212782</v>
      </c>
      <c r="S49" s="29">
        <f>IF(S9=0,0,1000000*S9/TrRail_act!S26/1000)</f>
        <v>62.001266482142064</v>
      </c>
      <c r="T49" s="29">
        <f>IF(T9=0,0,1000000*T9/TrRail_act!T26/1000)</f>
        <v>49.51697595695137</v>
      </c>
      <c r="U49" s="29">
        <f>IF(U9=0,0,1000000*U9/TrRail_act!U26/1000)</f>
        <v>45.342830850274908</v>
      </c>
      <c r="V49" s="29">
        <f>IF(V9=0,0,1000000*V9/TrRail_act!V26/1000)</f>
        <v>36.02921824786899</v>
      </c>
      <c r="W49" s="29">
        <f>IF(W9=0,0,1000000*W9/TrRail_act!W26/1000)</f>
        <v>35.044647990312797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132.15292747045561</v>
      </c>
      <c r="C51" s="116">
        <f>IF(C11=0,0,1000000*C11/TrRail_act!C28/1000)</f>
        <v>122.20614851796525</v>
      </c>
      <c r="D51" s="116">
        <f>IF(D11=0,0,1000000*D11/TrRail_act!D28/1000)</f>
        <v>131.3838699041205</v>
      </c>
      <c r="E51" s="116">
        <f>IF(E11=0,0,1000000*E11/TrRail_act!E28/1000)</f>
        <v>135.33053229420261</v>
      </c>
      <c r="F51" s="116">
        <f>IF(F11=0,0,1000000*F11/TrRail_act!F28/1000)</f>
        <v>117.79708791701064</v>
      </c>
      <c r="G51" s="116">
        <f>IF(G11=0,0,1000000*G11/TrRail_act!G28/1000)</f>
        <v>120.47932653396514</v>
      </c>
      <c r="H51" s="116">
        <f>IF(H11=0,0,1000000*H11/TrRail_act!H28/1000)</f>
        <v>144.81669653329695</v>
      </c>
      <c r="I51" s="116">
        <f>IF(I11=0,0,1000000*I11/TrRail_act!I28/1000)</f>
        <v>149.59689906283955</v>
      </c>
      <c r="J51" s="116">
        <f>IF(J11=0,0,1000000*J11/TrRail_act!J28/1000)</f>
        <v>144.48300799487538</v>
      </c>
      <c r="K51" s="116">
        <f>IF(K11=0,0,1000000*K11/TrRail_act!K28/1000)</f>
        <v>135.687136563038</v>
      </c>
      <c r="L51" s="116">
        <f>IF(L11=0,0,1000000*L11/TrRail_act!L28/1000)</f>
        <v>118.32055612210654</v>
      </c>
      <c r="M51" s="116">
        <f>IF(M11=0,0,1000000*M11/TrRail_act!M28/1000)</f>
        <v>121.12691039608328</v>
      </c>
      <c r="N51" s="116">
        <f>IF(N11=0,0,1000000*N11/TrRail_act!N28/1000)</f>
        <v>138.90690582112018</v>
      </c>
      <c r="O51" s="116">
        <f>IF(O11=0,0,1000000*O11/TrRail_act!O28/1000)</f>
        <v>99.958338780884802</v>
      </c>
      <c r="P51" s="116">
        <f>IF(P11=0,0,1000000*P11/TrRail_act!P28/1000)</f>
        <v>76.270670785463992</v>
      </c>
      <c r="Q51" s="116">
        <f>IF(Q11=0,0,1000000*Q11/TrRail_act!Q28/1000)</f>
        <v>79.077093814539296</v>
      </c>
      <c r="R51" s="116">
        <f>IF(R11=0,0,1000000*R11/TrRail_act!R28/1000)</f>
        <v>78.344840697721907</v>
      </c>
      <c r="S51" s="116">
        <f>IF(S11=0,0,1000000*S11/TrRail_act!S28/1000)</f>
        <v>81.334394448295242</v>
      </c>
      <c r="T51" s="116">
        <f>IF(T11=0,0,1000000*T11/TrRail_act!T28/1000)</f>
        <v>66.304950873188488</v>
      </c>
      <c r="U51" s="116">
        <f>IF(U11=0,0,1000000*U11/TrRail_act!U28/1000)</f>
        <v>60.739494495011918</v>
      </c>
      <c r="V51" s="116">
        <f>IF(V11=0,0,1000000*V11/TrRail_act!V28/1000)</f>
        <v>48.239974220403489</v>
      </c>
      <c r="W51" s="116">
        <f>IF(W11=0,0,1000000*W11/TrRail_act!W28/1000)</f>
        <v>45.946764667605791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1872.7710688889326</v>
      </c>
      <c r="C52" s="87">
        <f>IF(C12=0,0,1000000*C12/TrRail_act!C29/1000)</f>
        <v>1836.8422812752653</v>
      </c>
      <c r="D52" s="87">
        <f>IF(D12=0,0,1000000*D12/TrRail_act!D29/1000)</f>
        <v>1811.5459670799057</v>
      </c>
      <c r="E52" s="87">
        <f>IF(E12=0,0,1000000*E12/TrRail_act!E29/1000)</f>
        <v>1801.5786943946757</v>
      </c>
      <c r="F52" s="87">
        <f>IF(F12=0,0,1000000*F12/TrRail_act!F29/1000)</f>
        <v>1793.9778193331799</v>
      </c>
      <c r="G52" s="87">
        <f>IF(G12=0,0,1000000*G12/TrRail_act!G29/1000)</f>
        <v>1781.0397066438163</v>
      </c>
      <c r="H52" s="87">
        <f>IF(H12=0,0,1000000*H12/TrRail_act!H29/1000)</f>
        <v>1769.8972951992132</v>
      </c>
      <c r="I52" s="87">
        <f>IF(I12=0,0,1000000*I12/TrRail_act!I29/1000)</f>
        <v>1754.9457092211753</v>
      </c>
      <c r="J52" s="87">
        <f>IF(J12=0,0,1000000*J12/TrRail_act!J29/1000)</f>
        <v>1750.386472771833</v>
      </c>
      <c r="K52" s="87">
        <f>IF(K12=0,0,1000000*K12/TrRail_act!K29/1000)</f>
        <v>1695.7598323152813</v>
      </c>
      <c r="L52" s="87">
        <f>IF(L12=0,0,1000000*L12/TrRail_act!L29/1000)</f>
        <v>1585.3548860454734</v>
      </c>
      <c r="M52" s="87">
        <f>IF(M12=0,0,1000000*M12/TrRail_act!M29/1000)</f>
        <v>1673.8654946386548</v>
      </c>
      <c r="N52" s="87">
        <f>IF(N12=0,0,1000000*N12/TrRail_act!N29/1000)</f>
        <v>1670.241686559023</v>
      </c>
      <c r="O52" s="87">
        <f>IF(O12=0,0,1000000*O12/TrRail_act!O29/1000)</f>
        <v>1356.4266126153916</v>
      </c>
      <c r="P52" s="87">
        <f>IF(P12=0,0,1000000*P12/TrRail_act!P29/1000)</f>
        <v>1080.2928501194574</v>
      </c>
      <c r="Q52" s="87">
        <f>IF(Q12=0,0,1000000*Q12/TrRail_act!Q29/1000)</f>
        <v>1090.7395939688442</v>
      </c>
      <c r="R52" s="87">
        <f>IF(R12=0,0,1000000*R12/TrRail_act!R29/1000)</f>
        <v>1031.69255471835</v>
      </c>
      <c r="S52" s="87">
        <f>IF(S12=0,0,1000000*S12/TrRail_act!S29/1000)</f>
        <v>989.4669151262467</v>
      </c>
      <c r="T52" s="87">
        <f>IF(T12=0,0,1000000*T12/TrRail_act!T29/1000)</f>
        <v>808.27201185872025</v>
      </c>
      <c r="U52" s="87">
        <f>IF(U12=0,0,1000000*U12/TrRail_act!U29/1000)</f>
        <v>822.146982723208</v>
      </c>
      <c r="V52" s="87">
        <f>IF(V12=0,0,1000000*V12/TrRail_act!V29/1000)</f>
        <v>662.73099678756762</v>
      </c>
      <c r="W52" s="87">
        <f>IF(W12=0,0,1000000*W12/TrRail_act!W29/1000)</f>
        <v>703.59385617452233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1626.8031968769033</v>
      </c>
      <c r="C55" s="29">
        <f>IF(C15=0,0,1000000*C15/TrRail_act!C32/1000)</f>
        <v>1434.2608070828753</v>
      </c>
      <c r="D55" s="29">
        <f>IF(D15=0,0,1000000*D15/TrRail_act!D32/1000)</f>
        <v>1118.998738616767</v>
      </c>
      <c r="E55" s="29">
        <f>IF(E15=0,0,1000000*E15/TrRail_act!E32/1000)</f>
        <v>1000.398503735567</v>
      </c>
      <c r="F55" s="29">
        <f>IF(F15=0,0,1000000*F15/TrRail_act!F32/1000)</f>
        <v>885.07305595043681</v>
      </c>
      <c r="G55" s="29">
        <f>IF(G15=0,0,1000000*G15/TrRail_act!G32/1000)</f>
        <v>866.31835380325037</v>
      </c>
      <c r="H55" s="29">
        <f>IF(H15=0,0,1000000*H15/TrRail_act!H32/1000)</f>
        <v>934.23877504905136</v>
      </c>
      <c r="I55" s="29">
        <f>IF(I15=0,0,1000000*I15/TrRail_act!I32/1000)</f>
        <v>977.15819153514838</v>
      </c>
      <c r="J55" s="29">
        <f>IF(J15=0,0,1000000*J15/TrRail_act!J32/1000)</f>
        <v>827.60537257989699</v>
      </c>
      <c r="K55" s="29">
        <f>IF(K15=0,0,1000000*K15/TrRail_act!K32/1000)</f>
        <v>506.19657357170428</v>
      </c>
      <c r="L55" s="29">
        <f>IF(L15=0,0,1000000*L15/TrRail_act!L32/1000)</f>
        <v>475.2406348766134</v>
      </c>
      <c r="M55" s="29">
        <f>IF(M15=0,0,1000000*M15/TrRail_act!M32/1000)</f>
        <v>459.18706672155008</v>
      </c>
      <c r="N55" s="29">
        <f>IF(N15=0,0,1000000*N15/TrRail_act!N32/1000)</f>
        <v>574.04903002638957</v>
      </c>
      <c r="O55" s="29">
        <f>IF(O15=0,0,1000000*O15/TrRail_act!O32/1000)</f>
        <v>451.07243839931454</v>
      </c>
      <c r="P55" s="29">
        <f>IF(P15=0,0,1000000*P15/TrRail_act!P32/1000)</f>
        <v>388.41618856652894</v>
      </c>
      <c r="Q55" s="29">
        <f>IF(Q15=0,0,1000000*Q15/TrRail_act!Q32/1000)</f>
        <v>373.39336679521341</v>
      </c>
      <c r="R55" s="29">
        <f>IF(R15=0,0,1000000*R15/TrRail_act!R32/1000)</f>
        <v>385.8957766526575</v>
      </c>
      <c r="S55" s="29">
        <f>IF(S15=0,0,1000000*S15/TrRail_act!S32/1000)</f>
        <v>419.65450475761713</v>
      </c>
      <c r="T55" s="29">
        <f>IF(T15=0,0,1000000*T15/TrRail_act!T32/1000)</f>
        <v>419.47559187625814</v>
      </c>
      <c r="U55" s="29">
        <f>IF(U15=0,0,1000000*U15/TrRail_act!U32/1000)</f>
        <v>455.26029409543946</v>
      </c>
      <c r="V55" s="29">
        <f>IF(V15=0,0,1000000*V15/TrRail_act!V32/1000)</f>
        <v>465.06242484085624</v>
      </c>
      <c r="W55" s="29">
        <f>IF(W15=0,0,1000000*W15/TrRail_act!W32/1000)</f>
        <v>484.1308052219747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3968.0392355184927</v>
      </c>
      <c r="C56" s="87">
        <f>IF(C16=0,0,1000000*C16/TrRail_act!C33/1000)</f>
        <v>3708.787666567167</v>
      </c>
      <c r="D56" s="87">
        <f>IF(D16=0,0,1000000*D16/TrRail_act!D33/1000)</f>
        <v>3445.445777849493</v>
      </c>
      <c r="E56" s="87">
        <f>IF(E16=0,0,1000000*E16/TrRail_act!E33/1000)</f>
        <v>3484.9798620578954</v>
      </c>
      <c r="F56" s="87">
        <f>IF(F16=0,0,1000000*F16/TrRail_act!F33/1000)</f>
        <v>3914.5130354817561</v>
      </c>
      <c r="G56" s="87">
        <f>IF(G16=0,0,1000000*G16/TrRail_act!G33/1000)</f>
        <v>3875.6251545758078</v>
      </c>
      <c r="H56" s="87">
        <f>IF(H16=0,0,1000000*H16/TrRail_act!H33/1000)</f>
        <v>3851.3239641189248</v>
      </c>
      <c r="I56" s="87">
        <f>IF(I16=0,0,1000000*I16/TrRail_act!I33/1000)</f>
        <v>3832.6467306427785</v>
      </c>
      <c r="J56" s="87">
        <f>IF(J16=0,0,1000000*J16/TrRail_act!J33/1000)</f>
        <v>3665.9760721511448</v>
      </c>
      <c r="K56" s="87">
        <f>IF(K16=0,0,1000000*K16/TrRail_act!K33/1000)</f>
        <v>2400.377666316178</v>
      </c>
      <c r="L56" s="87">
        <f>IF(L16=0,0,1000000*L16/TrRail_act!L33/1000)</f>
        <v>2606.9268675886901</v>
      </c>
      <c r="M56" s="87">
        <f>IF(M16=0,0,1000000*M16/TrRail_act!M33/1000)</f>
        <v>2983.9793657772589</v>
      </c>
      <c r="N56" s="87">
        <f>IF(N16=0,0,1000000*N16/TrRail_act!N33/1000)</f>
        <v>3644.0216131482757</v>
      </c>
      <c r="O56" s="87">
        <f>IF(O16=0,0,1000000*O16/TrRail_act!O33/1000)</f>
        <v>3551.3800536888639</v>
      </c>
      <c r="P56" s="87">
        <f>IF(P16=0,0,1000000*P16/TrRail_act!P33/1000)</f>
        <v>3511.9724669549123</v>
      </c>
      <c r="Q56" s="87">
        <f>IF(Q16=0,0,1000000*Q16/TrRail_act!Q33/1000)</f>
        <v>3499.7991342988375</v>
      </c>
      <c r="R56" s="87">
        <f>IF(R16=0,0,1000000*R16/TrRail_act!R33/1000)</f>
        <v>3408.351943470831</v>
      </c>
      <c r="S56" s="87">
        <f>IF(S16=0,0,1000000*S16/TrRail_act!S33/1000)</f>
        <v>3374.589221816977</v>
      </c>
      <c r="T56" s="87">
        <f>IF(T16=0,0,1000000*T16/TrRail_act!T33/1000)</f>
        <v>3349.6616628088918</v>
      </c>
      <c r="U56" s="87">
        <f>IF(U16=0,0,1000000*U16/TrRail_act!U33/1000)</f>
        <v>3331.0710429102005</v>
      </c>
      <c r="V56" s="87">
        <f>IF(V16=0,0,1000000*V16/TrRail_act!V33/1000)</f>
        <v>3317.3322542154906</v>
      </c>
      <c r="W56" s="87">
        <f>IF(W16=0,0,1000000*W16/TrRail_act!W33/1000)</f>
        <v>3306.9147338628509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0.337373830303768</v>
      </c>
      <c r="C60" s="31">
        <f t="shared" ref="C60:V60" si="8">IF(C9=0,0,C9/C$8)</f>
        <v>0.36756516137648049</v>
      </c>
      <c r="D60" s="31">
        <f t="shared" si="8"/>
        <v>0.42626283659532815</v>
      </c>
      <c r="E60" s="31">
        <f t="shared" si="8"/>
        <v>0.47368749993502307</v>
      </c>
      <c r="F60" s="31">
        <f t="shared" si="8"/>
        <v>0.46139271000136417</v>
      </c>
      <c r="G60" s="31">
        <f t="shared" si="8"/>
        <v>0.4439599207430297</v>
      </c>
      <c r="H60" s="31">
        <f t="shared" si="8"/>
        <v>0.4786059207594866</v>
      </c>
      <c r="I60" s="31">
        <f t="shared" si="8"/>
        <v>0.4671797861470996</v>
      </c>
      <c r="J60" s="31">
        <f t="shared" si="8"/>
        <v>0.51586706411514638</v>
      </c>
      <c r="K60" s="31">
        <f t="shared" si="8"/>
        <v>0.63540684581287898</v>
      </c>
      <c r="L60" s="31">
        <f t="shared" si="8"/>
        <v>0.62368744750245919</v>
      </c>
      <c r="M60" s="31">
        <f t="shared" si="8"/>
        <v>0.63735146933914155</v>
      </c>
      <c r="N60" s="31">
        <f t="shared" si="8"/>
        <v>0.62588219888375329</v>
      </c>
      <c r="O60" s="31">
        <f t="shared" si="8"/>
        <v>0.61625006286920514</v>
      </c>
      <c r="P60" s="31">
        <f t="shared" si="8"/>
        <v>0.58566549236823706</v>
      </c>
      <c r="Q60" s="31">
        <f t="shared" si="8"/>
        <v>0.60598666738040297</v>
      </c>
      <c r="R60" s="31">
        <f t="shared" si="8"/>
        <v>0.59787499239720798</v>
      </c>
      <c r="S60" s="31">
        <f t="shared" si="8"/>
        <v>0.58474344059999417</v>
      </c>
      <c r="T60" s="31">
        <f t="shared" si="8"/>
        <v>0.44850469399654402</v>
      </c>
      <c r="U60" s="31">
        <f t="shared" si="8"/>
        <v>0.42289324996643368</v>
      </c>
      <c r="V60" s="31">
        <f t="shared" si="8"/>
        <v>0.35860888837383587</v>
      </c>
      <c r="W60" s="31">
        <f t="shared" ref="W60" si="9">IF(W9=0,0,W9/W$8)</f>
        <v>0.34223480522782457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0.337373830303768</v>
      </c>
      <c r="C62" s="124">
        <f t="shared" ref="C62:V62" si="12">IF(C11=0,0,C11/C$8)</f>
        <v>0.36756516137648049</v>
      </c>
      <c r="D62" s="124">
        <f t="shared" si="12"/>
        <v>0.42626283659532815</v>
      </c>
      <c r="E62" s="124">
        <f t="shared" si="12"/>
        <v>0.47368749993502307</v>
      </c>
      <c r="F62" s="124">
        <f t="shared" si="12"/>
        <v>0.46139271000136417</v>
      </c>
      <c r="G62" s="124">
        <f t="shared" si="12"/>
        <v>0.4439599207430297</v>
      </c>
      <c r="H62" s="124">
        <f t="shared" si="12"/>
        <v>0.4786059207594866</v>
      </c>
      <c r="I62" s="124">
        <f t="shared" si="12"/>
        <v>0.4671797861470996</v>
      </c>
      <c r="J62" s="124">
        <f t="shared" si="12"/>
        <v>0.51586706411514638</v>
      </c>
      <c r="K62" s="124">
        <f t="shared" si="12"/>
        <v>0.63540684581287898</v>
      </c>
      <c r="L62" s="124">
        <f t="shared" si="12"/>
        <v>0.62368744750245919</v>
      </c>
      <c r="M62" s="124">
        <f t="shared" si="12"/>
        <v>0.63735146933914155</v>
      </c>
      <c r="N62" s="124">
        <f t="shared" si="12"/>
        <v>0.62588219888375329</v>
      </c>
      <c r="O62" s="124">
        <f t="shared" si="12"/>
        <v>0.61625006286920514</v>
      </c>
      <c r="P62" s="124">
        <f t="shared" si="12"/>
        <v>0.58566549236823706</v>
      </c>
      <c r="Q62" s="124">
        <f t="shared" si="12"/>
        <v>0.60598666738040297</v>
      </c>
      <c r="R62" s="124">
        <f t="shared" si="12"/>
        <v>0.59787499239720798</v>
      </c>
      <c r="S62" s="124">
        <f t="shared" si="12"/>
        <v>0.58474344059999417</v>
      </c>
      <c r="T62" s="124">
        <f t="shared" si="12"/>
        <v>0.44850469399654402</v>
      </c>
      <c r="U62" s="124">
        <f t="shared" si="12"/>
        <v>0.42289324996643368</v>
      </c>
      <c r="V62" s="124">
        <f t="shared" si="12"/>
        <v>0.35860888837383587</v>
      </c>
      <c r="W62" s="124">
        <f t="shared" ref="W62" si="13">IF(W11=0,0,W11/W$8)</f>
        <v>0.34223480522782457</v>
      </c>
      <c r="DA62" s="176"/>
    </row>
    <row r="63" spans="1:105" ht="11.45" customHeight="1" x14ac:dyDescent="0.25">
      <c r="A63" s="111" t="s">
        <v>92</v>
      </c>
      <c r="B63" s="125">
        <f t="shared" si="5"/>
        <v>0.337373830303768</v>
      </c>
      <c r="C63" s="125">
        <f t="shared" ref="C63:V63" si="14">IF(C12=0,0,C12/C$8)</f>
        <v>0.36756516137648049</v>
      </c>
      <c r="D63" s="125">
        <f t="shared" si="14"/>
        <v>0.42626283659532815</v>
      </c>
      <c r="E63" s="125">
        <f t="shared" si="14"/>
        <v>0.47368749993502307</v>
      </c>
      <c r="F63" s="125">
        <f t="shared" si="14"/>
        <v>0.46139271000136417</v>
      </c>
      <c r="G63" s="125">
        <f t="shared" si="14"/>
        <v>0.4439599207430297</v>
      </c>
      <c r="H63" s="125">
        <f t="shared" si="14"/>
        <v>0.4786059207594866</v>
      </c>
      <c r="I63" s="125">
        <f t="shared" si="14"/>
        <v>0.4671797861470996</v>
      </c>
      <c r="J63" s="125">
        <f t="shared" si="14"/>
        <v>0.51586706411514638</v>
      </c>
      <c r="K63" s="125">
        <f t="shared" si="14"/>
        <v>0.63540684581287898</v>
      </c>
      <c r="L63" s="125">
        <f t="shared" si="14"/>
        <v>0.62368744750245919</v>
      </c>
      <c r="M63" s="125">
        <f t="shared" si="14"/>
        <v>0.63735146933914155</v>
      </c>
      <c r="N63" s="125">
        <f t="shared" si="14"/>
        <v>0.62588219888375329</v>
      </c>
      <c r="O63" s="125">
        <f t="shared" si="14"/>
        <v>0.61625006286920514</v>
      </c>
      <c r="P63" s="125">
        <f t="shared" si="14"/>
        <v>0.58566549236823706</v>
      </c>
      <c r="Q63" s="125">
        <f t="shared" si="14"/>
        <v>0.60598666738040297</v>
      </c>
      <c r="R63" s="125">
        <f t="shared" si="14"/>
        <v>0.59787499239720798</v>
      </c>
      <c r="S63" s="125">
        <f t="shared" si="14"/>
        <v>0.58474344059999417</v>
      </c>
      <c r="T63" s="125">
        <f t="shared" si="14"/>
        <v>0.44850469399654402</v>
      </c>
      <c r="U63" s="125">
        <f t="shared" si="14"/>
        <v>0.42289324996643368</v>
      </c>
      <c r="V63" s="125">
        <f t="shared" si="14"/>
        <v>0.35860888837383587</v>
      </c>
      <c r="W63" s="125">
        <f t="shared" ref="W63" si="15">IF(W12=0,0,W12/W$8)</f>
        <v>0.34223480522782457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0.662626169696232</v>
      </c>
      <c r="C66" s="31">
        <f t="shared" ref="C66:V66" si="20">IF(C15=0,0,C15/C$8)</f>
        <v>0.63243483862351957</v>
      </c>
      <c r="D66" s="31">
        <f t="shared" si="20"/>
        <v>0.57373716340467196</v>
      </c>
      <c r="E66" s="31">
        <f t="shared" si="20"/>
        <v>0.52631250006497687</v>
      </c>
      <c r="F66" s="31">
        <f t="shared" si="20"/>
        <v>0.53860728999863572</v>
      </c>
      <c r="G66" s="31">
        <f t="shared" si="20"/>
        <v>0.5560400792569703</v>
      </c>
      <c r="H66" s="31">
        <f t="shared" si="20"/>
        <v>0.52139407924051351</v>
      </c>
      <c r="I66" s="31">
        <f t="shared" si="20"/>
        <v>0.53282021385290046</v>
      </c>
      <c r="J66" s="31">
        <f t="shared" si="20"/>
        <v>0.48413293588485373</v>
      </c>
      <c r="K66" s="31">
        <f t="shared" si="20"/>
        <v>0.36459315418712096</v>
      </c>
      <c r="L66" s="31">
        <f t="shared" si="20"/>
        <v>0.37631255249754075</v>
      </c>
      <c r="M66" s="31">
        <f t="shared" si="20"/>
        <v>0.3626485306608585</v>
      </c>
      <c r="N66" s="31">
        <f t="shared" si="20"/>
        <v>0.37411780111624665</v>
      </c>
      <c r="O66" s="31">
        <f t="shared" si="20"/>
        <v>0.38374993713079475</v>
      </c>
      <c r="P66" s="31">
        <f t="shared" si="20"/>
        <v>0.41433450763176283</v>
      </c>
      <c r="Q66" s="31">
        <f t="shared" si="20"/>
        <v>0.39401333261959715</v>
      </c>
      <c r="R66" s="31">
        <f t="shared" si="20"/>
        <v>0.40212500760279213</v>
      </c>
      <c r="S66" s="31">
        <f t="shared" si="20"/>
        <v>0.41525655940000594</v>
      </c>
      <c r="T66" s="31">
        <f t="shared" si="20"/>
        <v>0.55149530600345587</v>
      </c>
      <c r="U66" s="31">
        <f t="shared" si="20"/>
        <v>0.57710675003356637</v>
      </c>
      <c r="V66" s="31">
        <f t="shared" si="20"/>
        <v>0.64139111162616402</v>
      </c>
      <c r="W66" s="31">
        <f t="shared" ref="W66" si="21">IF(W15=0,0,W15/W$8)</f>
        <v>0.65776519477217543</v>
      </c>
      <c r="DA66" s="173"/>
    </row>
    <row r="67" spans="1:105" ht="11.45" customHeight="1" x14ac:dyDescent="0.25">
      <c r="A67" s="83" t="s">
        <v>92</v>
      </c>
      <c r="B67" s="125">
        <f t="shared" si="5"/>
        <v>0.662626169696232</v>
      </c>
      <c r="C67" s="125">
        <f t="shared" ref="C67:V67" si="22">IF(C16=0,0,C16/C$8)</f>
        <v>0.63243483862351957</v>
      </c>
      <c r="D67" s="125">
        <f t="shared" si="22"/>
        <v>0.57373716340467196</v>
      </c>
      <c r="E67" s="125">
        <f t="shared" si="22"/>
        <v>0.52631250006497687</v>
      </c>
      <c r="F67" s="125">
        <f t="shared" si="22"/>
        <v>0.53860728999863572</v>
      </c>
      <c r="G67" s="125">
        <f t="shared" si="22"/>
        <v>0.5560400792569703</v>
      </c>
      <c r="H67" s="125">
        <f t="shared" si="22"/>
        <v>0.52139407924051351</v>
      </c>
      <c r="I67" s="125">
        <f t="shared" si="22"/>
        <v>0.53282021385290046</v>
      </c>
      <c r="J67" s="125">
        <f t="shared" si="22"/>
        <v>0.48413293588485373</v>
      </c>
      <c r="K67" s="125">
        <f t="shared" si="22"/>
        <v>0.36459315418712096</v>
      </c>
      <c r="L67" s="125">
        <f t="shared" si="22"/>
        <v>0.37631255249754075</v>
      </c>
      <c r="M67" s="125">
        <f t="shared" si="22"/>
        <v>0.3626485306608585</v>
      </c>
      <c r="N67" s="125">
        <f t="shared" si="22"/>
        <v>0.37411780111624665</v>
      </c>
      <c r="O67" s="125">
        <f t="shared" si="22"/>
        <v>0.38374993713079475</v>
      </c>
      <c r="P67" s="125">
        <f t="shared" si="22"/>
        <v>0.41433450763176283</v>
      </c>
      <c r="Q67" s="125">
        <f t="shared" si="22"/>
        <v>0.39401333261959715</v>
      </c>
      <c r="R67" s="125">
        <f t="shared" si="22"/>
        <v>0.40212500760279213</v>
      </c>
      <c r="S67" s="125">
        <f t="shared" si="22"/>
        <v>0.41525655940000594</v>
      </c>
      <c r="T67" s="125">
        <f t="shared" si="22"/>
        <v>0.55149530600345587</v>
      </c>
      <c r="U67" s="125">
        <f t="shared" si="22"/>
        <v>0.57710675003356637</v>
      </c>
      <c r="V67" s="125">
        <f t="shared" si="22"/>
        <v>0.64139111162616402</v>
      </c>
      <c r="W67" s="125">
        <f t="shared" ref="W67" si="23">IF(W16=0,0,W16/W$8)</f>
        <v>0.65776519477217543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20456.542164315943</v>
      </c>
      <c r="C4" s="11">
        <f t="shared" si="0"/>
        <v>19981.596743947593</v>
      </c>
      <c r="D4" s="11">
        <f t="shared" ref="D4:V4" si="1">SUM(D5:D7)</f>
        <v>13623.344014840655</v>
      </c>
      <c r="E4" s="11">
        <f t="shared" si="1"/>
        <v>14965.644114347804</v>
      </c>
      <c r="F4" s="11">
        <f t="shared" si="1"/>
        <v>17255.958469164034</v>
      </c>
      <c r="G4" s="11">
        <f t="shared" si="1"/>
        <v>17460.795888264329</v>
      </c>
      <c r="H4" s="11">
        <f t="shared" si="1"/>
        <v>18417.882381110412</v>
      </c>
      <c r="I4" s="11">
        <f t="shared" si="1"/>
        <v>20132.391658351436</v>
      </c>
      <c r="J4" s="11">
        <f t="shared" si="1"/>
        <v>22679.603899739035</v>
      </c>
      <c r="K4" s="11">
        <f t="shared" si="1"/>
        <v>22469.387510886449</v>
      </c>
      <c r="L4" s="11">
        <f t="shared" si="1"/>
        <v>24617.975005426564</v>
      </c>
      <c r="M4" s="11">
        <f t="shared" si="1"/>
        <v>26742.360610008302</v>
      </c>
      <c r="N4" s="11">
        <f t="shared" si="1"/>
        <v>27095.325729539014</v>
      </c>
      <c r="O4" s="11">
        <f t="shared" si="1"/>
        <v>27565.887411612734</v>
      </c>
      <c r="P4" s="11">
        <f t="shared" si="1"/>
        <v>29351.142277683884</v>
      </c>
      <c r="Q4" s="11">
        <f t="shared" si="1"/>
        <v>31169.156340110952</v>
      </c>
      <c r="R4" s="11">
        <f t="shared" si="1"/>
        <v>29116.029532209854</v>
      </c>
      <c r="S4" s="11">
        <f t="shared" si="1"/>
        <v>32493.434912943587</v>
      </c>
      <c r="T4" s="11">
        <f t="shared" si="1"/>
        <v>35533.993539732335</v>
      </c>
      <c r="U4" s="11">
        <f t="shared" si="1"/>
        <v>36982.533287732207</v>
      </c>
      <c r="V4" s="11">
        <f t="shared" si="1"/>
        <v>11578.778924469199</v>
      </c>
      <c r="W4" s="11">
        <f t="shared" ref="W4" si="2">SUM(W5:W7)</f>
        <v>16283.251611392425</v>
      </c>
      <c r="DA4" s="189" t="s">
        <v>189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190</v>
      </c>
    </row>
    <row r="6" spans="1:105" ht="11.45" customHeight="1" x14ac:dyDescent="0.25">
      <c r="A6" s="83" t="s">
        <v>173</v>
      </c>
      <c r="B6" s="84">
        <v>10493.046001428718</v>
      </c>
      <c r="C6" s="84">
        <v>10432.622127719755</v>
      </c>
      <c r="D6" s="84">
        <v>7456.1173694389363</v>
      </c>
      <c r="E6" s="84">
        <v>8264.310631279428</v>
      </c>
      <c r="F6" s="84">
        <v>9327.7725644234197</v>
      </c>
      <c r="G6" s="84">
        <v>9120.628554351295</v>
      </c>
      <c r="H6" s="84">
        <v>9515.3125879209729</v>
      </c>
      <c r="I6" s="84">
        <v>9456.4666341377597</v>
      </c>
      <c r="J6" s="84">
        <v>9254.0658980650023</v>
      </c>
      <c r="K6" s="84">
        <v>9052.7913721799941</v>
      </c>
      <c r="L6" s="84">
        <v>9855.4999260591285</v>
      </c>
      <c r="M6" s="84">
        <v>10929.134137867923</v>
      </c>
      <c r="N6" s="84">
        <v>11135.762627850128</v>
      </c>
      <c r="O6" s="84">
        <v>11270.541410904252</v>
      </c>
      <c r="P6" s="84">
        <v>12318.317318568385</v>
      </c>
      <c r="Q6" s="84">
        <v>13403.94266862929</v>
      </c>
      <c r="R6" s="84">
        <v>13777.337670465662</v>
      </c>
      <c r="S6" s="84">
        <v>14867.078324580225</v>
      </c>
      <c r="T6" s="84">
        <v>14950.03951464189</v>
      </c>
      <c r="U6" s="84">
        <v>15310.782444840082</v>
      </c>
      <c r="V6" s="84">
        <v>4449.9626318863729</v>
      </c>
      <c r="W6" s="84">
        <v>6633.0899434782068</v>
      </c>
      <c r="DA6" s="171" t="s">
        <v>191</v>
      </c>
    </row>
    <row r="7" spans="1:105" ht="11.45" customHeight="1" x14ac:dyDescent="0.25">
      <c r="A7" s="83" t="s">
        <v>174</v>
      </c>
      <c r="B7" s="84">
        <v>9963.4961628872225</v>
      </c>
      <c r="C7" s="84">
        <v>9548.9746162278389</v>
      </c>
      <c r="D7" s="84">
        <v>6167.226645401719</v>
      </c>
      <c r="E7" s="84">
        <v>6701.3334830683771</v>
      </c>
      <c r="F7" s="84">
        <v>7928.185904740616</v>
      </c>
      <c r="G7" s="84">
        <v>8340.1673339130357</v>
      </c>
      <c r="H7" s="84">
        <v>8902.5697931894392</v>
      </c>
      <c r="I7" s="84">
        <v>10675.925024213679</v>
      </c>
      <c r="J7" s="84">
        <v>13425.538001674031</v>
      </c>
      <c r="K7" s="84">
        <v>13416.596138706454</v>
      </c>
      <c r="L7" s="84">
        <v>14762.475079367436</v>
      </c>
      <c r="M7" s="84">
        <v>15813.226472140379</v>
      </c>
      <c r="N7" s="84">
        <v>15959.563101688887</v>
      </c>
      <c r="O7" s="84">
        <v>16295.346000708483</v>
      </c>
      <c r="P7" s="84">
        <v>17032.8249591155</v>
      </c>
      <c r="Q7" s="84">
        <v>17765.213671481662</v>
      </c>
      <c r="R7" s="84">
        <v>15338.691861744193</v>
      </c>
      <c r="S7" s="84">
        <v>17626.356588363364</v>
      </c>
      <c r="T7" s="84">
        <v>20583.954025090443</v>
      </c>
      <c r="U7" s="84">
        <v>21671.750842892128</v>
      </c>
      <c r="V7" s="84">
        <v>7128.8162925828256</v>
      </c>
      <c r="W7" s="84">
        <v>9650.1616679142171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1474.7437215442728</v>
      </c>
      <c r="C8" s="13">
        <f t="shared" si="3"/>
        <v>1423.298974625746</v>
      </c>
      <c r="D8" s="13">
        <f t="shared" ref="D8:V8" si="4">SUM(D9:D11)</f>
        <v>1164.4741052546194</v>
      </c>
      <c r="E8" s="13">
        <f t="shared" si="4"/>
        <v>1384.0834817227178</v>
      </c>
      <c r="F8" s="13">
        <f t="shared" si="4"/>
        <v>1509.5354961236526</v>
      </c>
      <c r="G8" s="13">
        <f t="shared" si="4"/>
        <v>1536.8077853415978</v>
      </c>
      <c r="H8" s="13">
        <f t="shared" si="4"/>
        <v>2294.9712166184472</v>
      </c>
      <c r="I8" s="13">
        <f t="shared" si="4"/>
        <v>2978.8273929107277</v>
      </c>
      <c r="J8" s="13">
        <f t="shared" si="4"/>
        <v>3043.1606188302299</v>
      </c>
      <c r="K8" s="13">
        <f t="shared" si="4"/>
        <v>2399.0855889384507</v>
      </c>
      <c r="L8" s="13">
        <f t="shared" si="4"/>
        <v>3100.9114627113422</v>
      </c>
      <c r="M8" s="13">
        <f t="shared" si="4"/>
        <v>3242.5740075048302</v>
      </c>
      <c r="N8" s="13">
        <f t="shared" si="4"/>
        <v>2830.5196876442633</v>
      </c>
      <c r="O8" s="13">
        <f t="shared" si="4"/>
        <v>2562.1420088653995</v>
      </c>
      <c r="P8" s="13">
        <f t="shared" si="4"/>
        <v>2774.3277945277241</v>
      </c>
      <c r="Q8" s="13">
        <f t="shared" si="4"/>
        <v>3449.3511424316216</v>
      </c>
      <c r="R8" s="13">
        <f t="shared" si="4"/>
        <v>3302.3821983164271</v>
      </c>
      <c r="S8" s="13">
        <f t="shared" si="4"/>
        <v>3718.4531083600377</v>
      </c>
      <c r="T8" s="13">
        <f t="shared" si="4"/>
        <v>4442.5005157738833</v>
      </c>
      <c r="U8" s="13">
        <f t="shared" si="4"/>
        <v>4211.8488654130597</v>
      </c>
      <c r="V8" s="13">
        <f t="shared" si="4"/>
        <v>5507.8019807423143</v>
      </c>
      <c r="W8" s="13">
        <f t="shared" ref="W8" si="5">SUM(W9:W11)</f>
        <v>6890.319993162946</v>
      </c>
      <c r="DA8" s="193" t="s">
        <v>193</v>
      </c>
    </row>
    <row r="9" spans="1:105" ht="11.45" customHeight="1" x14ac:dyDescent="0.25">
      <c r="A9" s="92" t="s">
        <v>27</v>
      </c>
      <c r="B9" s="102">
        <v>0</v>
      </c>
      <c r="C9" s="102">
        <v>0</v>
      </c>
      <c r="D9" s="102">
        <v>0</v>
      </c>
      <c r="E9" s="102">
        <v>0</v>
      </c>
      <c r="F9" s="102">
        <v>0</v>
      </c>
      <c r="G9" s="102">
        <v>0</v>
      </c>
      <c r="H9" s="102">
        <v>0</v>
      </c>
      <c r="I9" s="102">
        <v>0</v>
      </c>
      <c r="J9" s="102">
        <v>0</v>
      </c>
      <c r="K9" s="102">
        <v>0</v>
      </c>
      <c r="L9" s="102">
        <v>0</v>
      </c>
      <c r="M9" s="102">
        <v>0</v>
      </c>
      <c r="N9" s="102">
        <v>0</v>
      </c>
      <c r="O9" s="102">
        <v>0</v>
      </c>
      <c r="P9" s="102">
        <v>0</v>
      </c>
      <c r="Q9" s="102">
        <v>0</v>
      </c>
      <c r="R9" s="102">
        <v>0</v>
      </c>
      <c r="S9" s="102">
        <v>0</v>
      </c>
      <c r="T9" s="102">
        <v>0</v>
      </c>
      <c r="U9" s="102">
        <v>0</v>
      </c>
      <c r="V9" s="102">
        <v>0</v>
      </c>
      <c r="W9" s="102">
        <v>0</v>
      </c>
      <c r="DA9" s="175" t="s">
        <v>194</v>
      </c>
    </row>
    <row r="10" spans="1:105" ht="11.45" customHeight="1" x14ac:dyDescent="0.25">
      <c r="A10" s="92" t="s">
        <v>173</v>
      </c>
      <c r="B10" s="102">
        <v>248.15311668550524</v>
      </c>
      <c r="C10" s="102">
        <v>203.70313323165004</v>
      </c>
      <c r="D10" s="102">
        <v>159.2684620201521</v>
      </c>
      <c r="E10" s="102">
        <v>164.88894621434707</v>
      </c>
      <c r="F10" s="102">
        <v>170.32795448412509</v>
      </c>
      <c r="G10" s="102">
        <v>188.42278023134537</v>
      </c>
      <c r="H10" s="102">
        <v>343.02449298993997</v>
      </c>
      <c r="I10" s="102">
        <v>359.01877044924106</v>
      </c>
      <c r="J10" s="102">
        <v>255.05828534087942</v>
      </c>
      <c r="K10" s="102">
        <v>196.42178882458964</v>
      </c>
      <c r="L10" s="102">
        <v>207.56659275295692</v>
      </c>
      <c r="M10" s="102">
        <v>203.03906549556879</v>
      </c>
      <c r="N10" s="102">
        <v>212.56538318675467</v>
      </c>
      <c r="O10" s="102">
        <v>214.50023484861956</v>
      </c>
      <c r="P10" s="102">
        <v>233.79942370989625</v>
      </c>
      <c r="Q10" s="102">
        <v>252.00408553173912</v>
      </c>
      <c r="R10" s="102">
        <v>254.84368689362441</v>
      </c>
      <c r="S10" s="102">
        <v>248.24152415561898</v>
      </c>
      <c r="T10" s="102">
        <v>282.99690999597033</v>
      </c>
      <c r="U10" s="102">
        <v>279.14469672175488</v>
      </c>
      <c r="V10" s="102">
        <v>273.57547251621833</v>
      </c>
      <c r="W10" s="102">
        <v>302.27645150497176</v>
      </c>
      <c r="DA10" s="175" t="s">
        <v>195</v>
      </c>
    </row>
    <row r="11" spans="1:105" ht="11.45" customHeight="1" x14ac:dyDescent="0.25">
      <c r="A11" s="85" t="s">
        <v>174</v>
      </c>
      <c r="B11" s="86">
        <v>1226.5906048587676</v>
      </c>
      <c r="C11" s="86">
        <v>1219.5958413940959</v>
      </c>
      <c r="D11" s="86">
        <v>1005.2056432344673</v>
      </c>
      <c r="E11" s="86">
        <v>1219.1945355083708</v>
      </c>
      <c r="F11" s="86">
        <v>1339.2075416395276</v>
      </c>
      <c r="G11" s="86">
        <v>1348.3850051102525</v>
      </c>
      <c r="H11" s="86">
        <v>1951.946723628507</v>
      </c>
      <c r="I11" s="86">
        <v>2619.8086224614867</v>
      </c>
      <c r="J11" s="86">
        <v>2788.1023334893503</v>
      </c>
      <c r="K11" s="86">
        <v>2202.6638001138608</v>
      </c>
      <c r="L11" s="86">
        <v>2893.3448699583855</v>
      </c>
      <c r="M11" s="86">
        <v>3039.5349420092616</v>
      </c>
      <c r="N11" s="86">
        <v>2617.9543044575084</v>
      </c>
      <c r="O11" s="86">
        <v>2347.6417740167799</v>
      </c>
      <c r="P11" s="86">
        <v>2540.5283708178276</v>
      </c>
      <c r="Q11" s="86">
        <v>3197.3470568998823</v>
      </c>
      <c r="R11" s="86">
        <v>3047.5385114228025</v>
      </c>
      <c r="S11" s="86">
        <v>3470.2115842044186</v>
      </c>
      <c r="T11" s="86">
        <v>4159.5036057779134</v>
      </c>
      <c r="U11" s="86">
        <v>3932.7041686913049</v>
      </c>
      <c r="V11" s="86">
        <v>5234.2265082260956</v>
      </c>
      <c r="W11" s="86">
        <v>6588.0435416579739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208.54175904379349</v>
      </c>
      <c r="C13" s="54">
        <f t="shared" si="6"/>
        <v>199.84249209939409</v>
      </c>
      <c r="D13" s="54">
        <f t="shared" ref="D13:V13" si="7">SUM(D14,D18)</f>
        <v>146.99057758165554</v>
      </c>
      <c r="E13" s="54">
        <f t="shared" si="7"/>
        <v>160.22411038882126</v>
      </c>
      <c r="F13" s="54">
        <f t="shared" si="7"/>
        <v>174.29854082647009</v>
      </c>
      <c r="G13" s="54">
        <f t="shared" si="7"/>
        <v>174.68235534484015</v>
      </c>
      <c r="H13" s="54">
        <f t="shared" si="7"/>
        <v>207.8605240798413</v>
      </c>
      <c r="I13" s="54">
        <f t="shared" si="7"/>
        <v>235.94874391333786</v>
      </c>
      <c r="J13" s="54">
        <f t="shared" si="7"/>
        <v>248.66438473093686</v>
      </c>
      <c r="K13" s="54">
        <f t="shared" si="7"/>
        <v>227.77090225707337</v>
      </c>
      <c r="L13" s="54">
        <f t="shared" si="7"/>
        <v>247.93784110941453</v>
      </c>
      <c r="M13" s="54">
        <f t="shared" si="7"/>
        <v>261.04057688175385</v>
      </c>
      <c r="N13" s="54">
        <f t="shared" si="7"/>
        <v>247.12688610538328</v>
      </c>
      <c r="O13" s="54">
        <f t="shared" si="7"/>
        <v>236.69243447224557</v>
      </c>
      <c r="P13" s="54">
        <f t="shared" si="7"/>
        <v>243.29933673026494</v>
      </c>
      <c r="Q13" s="54">
        <f t="shared" si="7"/>
        <v>262.59070141676949</v>
      </c>
      <c r="R13" s="54">
        <f t="shared" si="7"/>
        <v>250.65446311837289</v>
      </c>
      <c r="S13" s="54">
        <f t="shared" si="7"/>
        <v>268.61710543874568</v>
      </c>
      <c r="T13" s="54">
        <f t="shared" si="7"/>
        <v>290.6927884715879</v>
      </c>
      <c r="U13" s="54">
        <f t="shared" si="7"/>
        <v>289.84477826146451</v>
      </c>
      <c r="V13" s="54">
        <f t="shared" si="7"/>
        <v>181.65496857387794</v>
      </c>
      <c r="W13" s="54">
        <f t="shared" ref="W13" si="8">SUM(W14,W18)</f>
        <v>235.39624020867353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183.62030618994947</v>
      </c>
      <c r="C14" s="11">
        <f t="shared" si="9"/>
        <v>177.73163285616434</v>
      </c>
      <c r="D14" s="11">
        <f t="shared" ref="D14:V14" si="10">SUM(D15:D17)</f>
        <v>127.97323952239992</v>
      </c>
      <c r="E14" s="11">
        <f t="shared" si="10"/>
        <v>136.87486875182532</v>
      </c>
      <c r="F14" s="11">
        <f t="shared" si="10"/>
        <v>147.84236907875373</v>
      </c>
      <c r="G14" s="11">
        <f t="shared" si="10"/>
        <v>145.94702468657866</v>
      </c>
      <c r="H14" s="11">
        <f t="shared" si="10"/>
        <v>159.23526460226398</v>
      </c>
      <c r="I14" s="11">
        <f t="shared" si="10"/>
        <v>174.53646775653556</v>
      </c>
      <c r="J14" s="11">
        <f t="shared" si="10"/>
        <v>188.70268165109616</v>
      </c>
      <c r="K14" s="11">
        <f t="shared" si="10"/>
        <v>185.1666697600663</v>
      </c>
      <c r="L14" s="11">
        <f t="shared" si="10"/>
        <v>195.56582794823044</v>
      </c>
      <c r="M14" s="11">
        <f t="shared" si="10"/>
        <v>208.20554158177302</v>
      </c>
      <c r="N14" s="11">
        <f t="shared" si="10"/>
        <v>202.90594429897141</v>
      </c>
      <c r="O14" s="11">
        <f t="shared" si="10"/>
        <v>197.10834464476903</v>
      </c>
      <c r="P14" s="11">
        <f t="shared" si="10"/>
        <v>205.97185234162737</v>
      </c>
      <c r="Q14" s="11">
        <f t="shared" si="10"/>
        <v>216.75280177531346</v>
      </c>
      <c r="R14" s="11">
        <f t="shared" si="10"/>
        <v>210.21470882835396</v>
      </c>
      <c r="S14" s="11">
        <f t="shared" si="10"/>
        <v>222.53339652014927</v>
      </c>
      <c r="T14" s="11">
        <f t="shared" si="10"/>
        <v>237.2535542537932</v>
      </c>
      <c r="U14" s="11">
        <f t="shared" si="10"/>
        <v>240.75235144936522</v>
      </c>
      <c r="V14" s="11">
        <f t="shared" si="10"/>
        <v>92.862356053532039</v>
      </c>
      <c r="W14" s="11">
        <f t="shared" ref="W14" si="11">SUM(W15:W17)</f>
        <v>120.33181527064482</v>
      </c>
      <c r="DA14" s="189" t="s">
        <v>198</v>
      </c>
    </row>
    <row r="15" spans="1:105" ht="11.45" customHeight="1" x14ac:dyDescent="0.25">
      <c r="A15" s="83" t="s">
        <v>27</v>
      </c>
      <c r="B15" s="84">
        <v>0</v>
      </c>
      <c r="C15" s="84">
        <v>0</v>
      </c>
      <c r="D15" s="84">
        <v>0</v>
      </c>
      <c r="E15" s="84">
        <v>0</v>
      </c>
      <c r="F15" s="84">
        <v>0</v>
      </c>
      <c r="G15" s="84">
        <v>0</v>
      </c>
      <c r="H15" s="84">
        <v>0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  <c r="N15" s="84">
        <v>0</v>
      </c>
      <c r="O15" s="84">
        <v>0</v>
      </c>
      <c r="P15" s="84">
        <v>0</v>
      </c>
      <c r="Q15" s="84">
        <v>0</v>
      </c>
      <c r="R15" s="84">
        <v>0</v>
      </c>
      <c r="S15" s="84">
        <v>0</v>
      </c>
      <c r="T15" s="84">
        <v>0</v>
      </c>
      <c r="U15" s="84">
        <v>0</v>
      </c>
      <c r="V15" s="84">
        <v>0</v>
      </c>
      <c r="W15" s="84">
        <v>0</v>
      </c>
      <c r="DA15" s="171" t="s">
        <v>199</v>
      </c>
    </row>
    <row r="16" spans="1:105" ht="11.45" customHeight="1" x14ac:dyDescent="0.25">
      <c r="A16" s="83" t="s">
        <v>173</v>
      </c>
      <c r="B16" s="84">
        <v>119.3753816385729</v>
      </c>
      <c r="C16" s="84">
        <v>116.36274603166848</v>
      </c>
      <c r="D16" s="84">
        <v>84.612868798297157</v>
      </c>
      <c r="E16" s="84">
        <v>90.514626598930931</v>
      </c>
      <c r="F16" s="84">
        <v>95.271866775027561</v>
      </c>
      <c r="G16" s="84">
        <v>92.18632959635184</v>
      </c>
      <c r="H16" s="84">
        <v>100.70026143233</v>
      </c>
      <c r="I16" s="84">
        <v>106.62310338063033</v>
      </c>
      <c r="J16" s="84">
        <v>108.64421966787789</v>
      </c>
      <c r="K16" s="84">
        <v>103.32134873510216</v>
      </c>
      <c r="L16" s="84">
        <v>106.76024976857468</v>
      </c>
      <c r="M16" s="84">
        <v>111.55649786021259</v>
      </c>
      <c r="N16" s="84">
        <v>106.5136930734032</v>
      </c>
      <c r="O16" s="84">
        <v>104.76789600694156</v>
      </c>
      <c r="P16" s="84">
        <v>112.11760251899541</v>
      </c>
      <c r="Q16" s="84">
        <v>119.8183780789426</v>
      </c>
      <c r="R16" s="84">
        <v>123.02693208946006</v>
      </c>
      <c r="S16" s="84">
        <v>125.28398182914968</v>
      </c>
      <c r="T16" s="84">
        <v>125.41219004876983</v>
      </c>
      <c r="U16" s="84">
        <v>124.99180803092548</v>
      </c>
      <c r="V16" s="84">
        <v>45.344773397282211</v>
      </c>
      <c r="W16" s="84">
        <v>56.160153102679359</v>
      </c>
      <c r="DA16" s="171" t="s">
        <v>200</v>
      </c>
    </row>
    <row r="17" spans="1:105" ht="11.45" customHeight="1" x14ac:dyDescent="0.25">
      <c r="A17" s="83" t="s">
        <v>174</v>
      </c>
      <c r="B17" s="84">
        <v>64.244924551376585</v>
      </c>
      <c r="C17" s="84">
        <v>61.368886824495853</v>
      </c>
      <c r="D17" s="84">
        <v>43.360370724102758</v>
      </c>
      <c r="E17" s="84">
        <v>46.360242152894386</v>
      </c>
      <c r="F17" s="84">
        <v>52.57050230372618</v>
      </c>
      <c r="G17" s="84">
        <v>53.760695090226811</v>
      </c>
      <c r="H17" s="84">
        <v>58.535003169933994</v>
      </c>
      <c r="I17" s="84">
        <v>67.913364375905218</v>
      </c>
      <c r="J17" s="84">
        <v>80.05846198321828</v>
      </c>
      <c r="K17" s="84">
        <v>81.845321024964136</v>
      </c>
      <c r="L17" s="84">
        <v>88.805578179655754</v>
      </c>
      <c r="M17" s="84">
        <v>96.649043721560432</v>
      </c>
      <c r="N17" s="84">
        <v>96.392251225568188</v>
      </c>
      <c r="O17" s="84">
        <v>92.340448637827492</v>
      </c>
      <c r="P17" s="84">
        <v>93.854249822631942</v>
      </c>
      <c r="Q17" s="84">
        <v>96.934423696370843</v>
      </c>
      <c r="R17" s="84">
        <v>87.187776738893902</v>
      </c>
      <c r="S17" s="84">
        <v>97.2494146909996</v>
      </c>
      <c r="T17" s="84">
        <v>111.84136420502335</v>
      </c>
      <c r="U17" s="84">
        <v>115.76054341843972</v>
      </c>
      <c r="V17" s="84">
        <v>47.517582656249829</v>
      </c>
      <c r="W17" s="84">
        <v>64.171662167965465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24.921452853844027</v>
      </c>
      <c r="C18" s="13">
        <f t="shared" si="12"/>
        <v>22.110859243229754</v>
      </c>
      <c r="D18" s="13">
        <f t="shared" ref="D18:V18" si="13">SUM(D19:D21)</f>
        <v>19.017338059255632</v>
      </c>
      <c r="E18" s="13">
        <f t="shared" si="13"/>
        <v>23.349241636995941</v>
      </c>
      <c r="F18" s="13">
        <f t="shared" si="13"/>
        <v>26.45617174771635</v>
      </c>
      <c r="G18" s="13">
        <f t="shared" si="13"/>
        <v>28.735330658261489</v>
      </c>
      <c r="H18" s="13">
        <f t="shared" si="13"/>
        <v>48.625259477577316</v>
      </c>
      <c r="I18" s="13">
        <f t="shared" si="13"/>
        <v>61.412276156802307</v>
      </c>
      <c r="J18" s="13">
        <f t="shared" si="13"/>
        <v>59.96170307984071</v>
      </c>
      <c r="K18" s="13">
        <f t="shared" si="13"/>
        <v>42.604232497007089</v>
      </c>
      <c r="L18" s="13">
        <f t="shared" si="13"/>
        <v>52.372013161184086</v>
      </c>
      <c r="M18" s="13">
        <f t="shared" si="13"/>
        <v>52.835035299980831</v>
      </c>
      <c r="N18" s="13">
        <f t="shared" si="13"/>
        <v>44.220941806411858</v>
      </c>
      <c r="O18" s="13">
        <f t="shared" si="13"/>
        <v>39.584089827476525</v>
      </c>
      <c r="P18" s="13">
        <f t="shared" si="13"/>
        <v>37.327484388637586</v>
      </c>
      <c r="Q18" s="13">
        <f t="shared" si="13"/>
        <v>45.837899641456012</v>
      </c>
      <c r="R18" s="13">
        <f t="shared" si="13"/>
        <v>40.439754290018925</v>
      </c>
      <c r="S18" s="13">
        <f t="shared" si="13"/>
        <v>46.083708918596422</v>
      </c>
      <c r="T18" s="13">
        <f t="shared" si="13"/>
        <v>53.439234217794692</v>
      </c>
      <c r="U18" s="13">
        <f t="shared" si="13"/>
        <v>49.092426812099262</v>
      </c>
      <c r="V18" s="13">
        <f t="shared" si="13"/>
        <v>88.792612520345898</v>
      </c>
      <c r="W18" s="13">
        <f t="shared" ref="W18" si="14">SUM(W19:W21)</f>
        <v>115.06442493802872</v>
      </c>
      <c r="DA18" s="193" t="s">
        <v>202</v>
      </c>
    </row>
    <row r="19" spans="1:105" ht="11.45" customHeight="1" x14ac:dyDescent="0.25">
      <c r="A19" s="92" t="s">
        <v>27</v>
      </c>
      <c r="B19" s="102">
        <v>0</v>
      </c>
      <c r="C19" s="102">
        <v>0</v>
      </c>
      <c r="D19" s="102">
        <v>0</v>
      </c>
      <c r="E19" s="102">
        <v>0</v>
      </c>
      <c r="F19" s="102">
        <v>0</v>
      </c>
      <c r="G19" s="102">
        <v>0</v>
      </c>
      <c r="H19" s="102">
        <v>0</v>
      </c>
      <c r="I19" s="102">
        <v>0</v>
      </c>
      <c r="J19" s="102">
        <v>0</v>
      </c>
      <c r="K19" s="102">
        <v>0</v>
      </c>
      <c r="L19" s="102">
        <v>0</v>
      </c>
      <c r="M19" s="102">
        <v>0</v>
      </c>
      <c r="N19" s="102">
        <v>0</v>
      </c>
      <c r="O19" s="102">
        <v>0</v>
      </c>
      <c r="P19" s="102">
        <v>0</v>
      </c>
      <c r="Q19" s="102">
        <v>0</v>
      </c>
      <c r="R19" s="102">
        <v>0</v>
      </c>
      <c r="S19" s="102">
        <v>0</v>
      </c>
      <c r="T19" s="102">
        <v>0</v>
      </c>
      <c r="U19" s="102">
        <v>0</v>
      </c>
      <c r="V19" s="102">
        <v>0</v>
      </c>
      <c r="W19" s="102">
        <v>0</v>
      </c>
      <c r="DA19" s="175" t="s">
        <v>203</v>
      </c>
    </row>
    <row r="20" spans="1:105" ht="11.45" customHeight="1" x14ac:dyDescent="0.25">
      <c r="A20" s="92" t="s">
        <v>173</v>
      </c>
      <c r="B20" s="102">
        <v>9.5712850733593005</v>
      </c>
      <c r="C20" s="102">
        <v>7.5412849448214123</v>
      </c>
      <c r="D20" s="102">
        <v>6.3022372934102604</v>
      </c>
      <c r="E20" s="102">
        <v>6.3792295786764068</v>
      </c>
      <c r="F20" s="102">
        <v>7.2526696684268197</v>
      </c>
      <c r="G20" s="102">
        <v>8.1757553745513256</v>
      </c>
      <c r="H20" s="102">
        <v>17.837197676779137</v>
      </c>
      <c r="I20" s="102">
        <v>19.390093352817352</v>
      </c>
      <c r="J20" s="102">
        <v>14.319252962093337</v>
      </c>
      <c r="K20" s="102">
        <v>10.630961826254577</v>
      </c>
      <c r="L20" s="102">
        <v>11.060987965658134</v>
      </c>
      <c r="M20" s="102">
        <v>10.271986397998683</v>
      </c>
      <c r="N20" s="102">
        <v>9.8043018064118588</v>
      </c>
      <c r="O20" s="102">
        <v>9.9581184238127136</v>
      </c>
      <c r="P20" s="102">
        <v>9.6455782794844911</v>
      </c>
      <c r="Q20" s="102">
        <v>10.615403092980776</v>
      </c>
      <c r="R20" s="102">
        <v>9.6715511105714924</v>
      </c>
      <c r="S20" s="102">
        <v>10.457475012224842</v>
      </c>
      <c r="T20" s="102">
        <v>11.894582721238054</v>
      </c>
      <c r="U20" s="102">
        <v>11.191402043482864</v>
      </c>
      <c r="V20" s="102">
        <v>13.07671709679019</v>
      </c>
      <c r="W20" s="102">
        <v>15.19096911566886</v>
      </c>
      <c r="DA20" s="175" t="s">
        <v>204</v>
      </c>
    </row>
    <row r="21" spans="1:105" ht="11.45" customHeight="1" x14ac:dyDescent="0.25">
      <c r="A21" s="85" t="s">
        <v>174</v>
      </c>
      <c r="B21" s="86">
        <v>15.350167780484727</v>
      </c>
      <c r="C21" s="86">
        <v>14.569574298408343</v>
      </c>
      <c r="D21" s="86">
        <v>12.715100765845373</v>
      </c>
      <c r="E21" s="86">
        <v>16.970012058319536</v>
      </c>
      <c r="F21" s="86">
        <v>19.203502079289532</v>
      </c>
      <c r="G21" s="86">
        <v>20.559575283710164</v>
      </c>
      <c r="H21" s="86">
        <v>30.788061800798179</v>
      </c>
      <c r="I21" s="86">
        <v>42.022182803984954</v>
      </c>
      <c r="J21" s="86">
        <v>45.642450117747373</v>
      </c>
      <c r="K21" s="86">
        <v>31.973270670752509</v>
      </c>
      <c r="L21" s="86">
        <v>41.31102519552595</v>
      </c>
      <c r="M21" s="86">
        <v>42.56304890198215</v>
      </c>
      <c r="N21" s="86">
        <v>34.416640000000001</v>
      </c>
      <c r="O21" s="86">
        <v>29.625971403663812</v>
      </c>
      <c r="P21" s="86">
        <v>27.681906109153097</v>
      </c>
      <c r="Q21" s="86">
        <v>35.222496548475235</v>
      </c>
      <c r="R21" s="86">
        <v>30.768203179447433</v>
      </c>
      <c r="S21" s="86">
        <v>35.626233906371581</v>
      </c>
      <c r="T21" s="86">
        <v>41.544651496556639</v>
      </c>
      <c r="U21" s="86">
        <v>37.901024768616402</v>
      </c>
      <c r="V21" s="86">
        <v>75.715895423555708</v>
      </c>
      <c r="W21" s="86">
        <v>99.873455822359858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155388</v>
      </c>
      <c r="C23" s="54">
        <f t="shared" si="15"/>
        <v>148642</v>
      </c>
      <c r="D23" s="54">
        <f t="shared" ref="D23:V23" si="16">SUM(D24,D28)</f>
        <v>110557</v>
      </c>
      <c r="E23" s="54">
        <f t="shared" si="16"/>
        <v>115368</v>
      </c>
      <c r="F23" s="54">
        <f t="shared" si="16"/>
        <v>123116</v>
      </c>
      <c r="G23" s="54">
        <f t="shared" si="16"/>
        <v>122723</v>
      </c>
      <c r="H23" s="54">
        <f t="shared" si="16"/>
        <v>144790</v>
      </c>
      <c r="I23" s="54">
        <f t="shared" si="16"/>
        <v>156899</v>
      </c>
      <c r="J23" s="54">
        <f t="shared" si="16"/>
        <v>154830</v>
      </c>
      <c r="K23" s="54">
        <f t="shared" si="16"/>
        <v>142395</v>
      </c>
      <c r="L23" s="54">
        <f t="shared" si="16"/>
        <v>144532</v>
      </c>
      <c r="M23" s="54">
        <f t="shared" si="16"/>
        <v>151462</v>
      </c>
      <c r="N23" s="54">
        <f t="shared" si="16"/>
        <v>146785</v>
      </c>
      <c r="O23" s="54">
        <f t="shared" si="16"/>
        <v>142614</v>
      </c>
      <c r="P23" s="54">
        <f t="shared" si="16"/>
        <v>146738</v>
      </c>
      <c r="Q23" s="54">
        <f t="shared" si="16"/>
        <v>155413</v>
      </c>
      <c r="R23" s="54">
        <f t="shared" si="16"/>
        <v>150713</v>
      </c>
      <c r="S23" s="54">
        <f t="shared" si="16"/>
        <v>154862</v>
      </c>
      <c r="T23" s="54">
        <f t="shared" si="16"/>
        <v>159324</v>
      </c>
      <c r="U23" s="54">
        <f t="shared" si="16"/>
        <v>156789</v>
      </c>
      <c r="V23" s="54">
        <f t="shared" si="16"/>
        <v>74241</v>
      </c>
      <c r="W23" s="54">
        <f t="shared" ref="W23" si="17">SUM(W24,W28)</f>
        <v>90141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140735</v>
      </c>
      <c r="C24" s="11">
        <f t="shared" si="18"/>
        <v>136569</v>
      </c>
      <c r="D24" s="11">
        <f t="shared" ref="D24:V24" si="19">SUM(D25:D27)</f>
        <v>100290</v>
      </c>
      <c r="E24" s="11">
        <f t="shared" si="19"/>
        <v>104021</v>
      </c>
      <c r="F24" s="11">
        <f t="shared" si="19"/>
        <v>110229</v>
      </c>
      <c r="G24" s="11">
        <f t="shared" si="19"/>
        <v>108489</v>
      </c>
      <c r="H24" s="11">
        <f t="shared" si="19"/>
        <v>118529</v>
      </c>
      <c r="I24" s="11">
        <f t="shared" si="19"/>
        <v>126958</v>
      </c>
      <c r="J24" s="11">
        <f t="shared" si="19"/>
        <v>130018</v>
      </c>
      <c r="K24" s="11">
        <f t="shared" si="19"/>
        <v>124242</v>
      </c>
      <c r="L24" s="11">
        <f t="shared" si="19"/>
        <v>124778</v>
      </c>
      <c r="M24" s="11">
        <f t="shared" si="19"/>
        <v>132104</v>
      </c>
      <c r="N24" s="11">
        <f t="shared" si="19"/>
        <v>129273</v>
      </c>
      <c r="O24" s="11">
        <f t="shared" si="19"/>
        <v>125778</v>
      </c>
      <c r="P24" s="11">
        <f t="shared" si="19"/>
        <v>130752</v>
      </c>
      <c r="Q24" s="11">
        <f t="shared" si="19"/>
        <v>137040</v>
      </c>
      <c r="R24" s="11">
        <f t="shared" si="19"/>
        <v>134491</v>
      </c>
      <c r="S24" s="11">
        <f t="shared" si="19"/>
        <v>137272</v>
      </c>
      <c r="T24" s="11">
        <f t="shared" si="19"/>
        <v>139520</v>
      </c>
      <c r="U24" s="11">
        <f t="shared" si="19"/>
        <v>138508</v>
      </c>
      <c r="V24" s="11">
        <f t="shared" si="19"/>
        <v>49264</v>
      </c>
      <c r="W24" s="11">
        <f t="shared" ref="W24" si="20">SUM(W25:W27)</f>
        <v>59741</v>
      </c>
      <c r="DA24" s="189" t="s">
        <v>207</v>
      </c>
    </row>
    <row r="25" spans="1:105" ht="11.45" customHeight="1" x14ac:dyDescent="0.25">
      <c r="A25" s="83" t="s">
        <v>27</v>
      </c>
      <c r="B25" s="84">
        <v>0</v>
      </c>
      <c r="C25" s="84">
        <v>0</v>
      </c>
      <c r="D25" s="84">
        <v>0</v>
      </c>
      <c r="E25" s="84">
        <v>0</v>
      </c>
      <c r="F25" s="84">
        <v>0</v>
      </c>
      <c r="G25" s="84">
        <v>0</v>
      </c>
      <c r="H25" s="84">
        <v>0</v>
      </c>
      <c r="I25" s="84">
        <v>0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84">
        <v>0</v>
      </c>
      <c r="P25" s="84">
        <v>0</v>
      </c>
      <c r="Q25" s="84">
        <v>0</v>
      </c>
      <c r="R25" s="84">
        <v>0</v>
      </c>
      <c r="S25" s="84">
        <v>0</v>
      </c>
      <c r="T25" s="84">
        <v>0</v>
      </c>
      <c r="U25" s="84">
        <v>0</v>
      </c>
      <c r="V25" s="84">
        <v>0</v>
      </c>
      <c r="W25" s="84">
        <v>0</v>
      </c>
      <c r="DA25" s="171" t="s">
        <v>208</v>
      </c>
    </row>
    <row r="26" spans="1:105" ht="11.45" customHeight="1" x14ac:dyDescent="0.25">
      <c r="A26" s="83" t="s">
        <v>173</v>
      </c>
      <c r="B26" s="84">
        <v>119983</v>
      </c>
      <c r="C26" s="84">
        <v>116746</v>
      </c>
      <c r="D26" s="84">
        <v>86284</v>
      </c>
      <c r="E26" s="84">
        <v>89046</v>
      </c>
      <c r="F26" s="84">
        <v>93248</v>
      </c>
      <c r="G26" s="84">
        <v>90275</v>
      </c>
      <c r="H26" s="84">
        <v>99256</v>
      </c>
      <c r="I26" s="84">
        <v>105122</v>
      </c>
      <c r="J26" s="84">
        <v>105537</v>
      </c>
      <c r="K26" s="84">
        <v>99271</v>
      </c>
      <c r="L26" s="84">
        <v>98214</v>
      </c>
      <c r="M26" s="84">
        <v>103481</v>
      </c>
      <c r="N26" s="84">
        <v>100152</v>
      </c>
      <c r="O26" s="84">
        <v>97281</v>
      </c>
      <c r="P26" s="84">
        <v>101775</v>
      </c>
      <c r="Q26" s="84">
        <v>107889</v>
      </c>
      <c r="R26" s="84">
        <v>108984</v>
      </c>
      <c r="S26" s="84">
        <v>109601</v>
      </c>
      <c r="T26" s="84">
        <v>108542</v>
      </c>
      <c r="U26" s="84">
        <v>106361</v>
      </c>
      <c r="V26" s="84">
        <v>38711</v>
      </c>
      <c r="W26" s="84">
        <v>45383</v>
      </c>
      <c r="DA26" s="171" t="s">
        <v>209</v>
      </c>
    </row>
    <row r="27" spans="1:105" ht="11.45" customHeight="1" x14ac:dyDescent="0.25">
      <c r="A27" s="83" t="s">
        <v>174</v>
      </c>
      <c r="B27" s="84">
        <v>20752</v>
      </c>
      <c r="C27" s="84">
        <v>19823</v>
      </c>
      <c r="D27" s="84">
        <v>14006</v>
      </c>
      <c r="E27" s="84">
        <v>14975</v>
      </c>
      <c r="F27" s="84">
        <v>16981</v>
      </c>
      <c r="G27" s="84">
        <v>18214</v>
      </c>
      <c r="H27" s="84">
        <v>19273</v>
      </c>
      <c r="I27" s="84">
        <v>21836</v>
      </c>
      <c r="J27" s="84">
        <v>24481</v>
      </c>
      <c r="K27" s="84">
        <v>24971</v>
      </c>
      <c r="L27" s="84">
        <v>26564</v>
      </c>
      <c r="M27" s="84">
        <v>28623</v>
      </c>
      <c r="N27" s="84">
        <v>29121</v>
      </c>
      <c r="O27" s="84">
        <v>28497</v>
      </c>
      <c r="P27" s="84">
        <v>28977</v>
      </c>
      <c r="Q27" s="84">
        <v>29151</v>
      </c>
      <c r="R27" s="84">
        <v>25507</v>
      </c>
      <c r="S27" s="84">
        <v>27671</v>
      </c>
      <c r="T27" s="84">
        <v>30978</v>
      </c>
      <c r="U27" s="84">
        <v>32147</v>
      </c>
      <c r="V27" s="84">
        <v>10553</v>
      </c>
      <c r="W27" s="84">
        <v>14358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14653</v>
      </c>
      <c r="C28" s="13">
        <f t="shared" si="21"/>
        <v>12073</v>
      </c>
      <c r="D28" s="13">
        <f t="shared" ref="D28:V28" si="22">SUM(D29:D31)</f>
        <v>10267</v>
      </c>
      <c r="E28" s="13">
        <f t="shared" si="22"/>
        <v>11347</v>
      </c>
      <c r="F28" s="13">
        <f t="shared" si="22"/>
        <v>12887</v>
      </c>
      <c r="G28" s="13">
        <f t="shared" si="22"/>
        <v>14234</v>
      </c>
      <c r="H28" s="13">
        <f t="shared" si="22"/>
        <v>26261</v>
      </c>
      <c r="I28" s="13">
        <f t="shared" si="22"/>
        <v>29941</v>
      </c>
      <c r="J28" s="13">
        <f t="shared" si="22"/>
        <v>24812</v>
      </c>
      <c r="K28" s="13">
        <f t="shared" si="22"/>
        <v>18153</v>
      </c>
      <c r="L28" s="13">
        <f t="shared" si="22"/>
        <v>19754</v>
      </c>
      <c r="M28" s="13">
        <f t="shared" si="22"/>
        <v>19358</v>
      </c>
      <c r="N28" s="13">
        <f t="shared" si="22"/>
        <v>17512</v>
      </c>
      <c r="O28" s="13">
        <f t="shared" si="22"/>
        <v>16836</v>
      </c>
      <c r="P28" s="13">
        <f t="shared" si="22"/>
        <v>15986</v>
      </c>
      <c r="Q28" s="13">
        <f t="shared" si="22"/>
        <v>18373</v>
      </c>
      <c r="R28" s="13">
        <f t="shared" si="22"/>
        <v>16222</v>
      </c>
      <c r="S28" s="13">
        <f t="shared" si="22"/>
        <v>17590</v>
      </c>
      <c r="T28" s="13">
        <f t="shared" si="22"/>
        <v>19804</v>
      </c>
      <c r="U28" s="13">
        <f t="shared" si="22"/>
        <v>18281</v>
      </c>
      <c r="V28" s="13">
        <f t="shared" si="22"/>
        <v>24977</v>
      </c>
      <c r="W28" s="13">
        <f t="shared" ref="W28" si="23">SUM(W29:W31)</f>
        <v>30400</v>
      </c>
      <c r="DA28" s="193" t="s">
        <v>211</v>
      </c>
    </row>
    <row r="29" spans="1:105" ht="11.45" customHeight="1" x14ac:dyDescent="0.25">
      <c r="A29" s="92" t="s">
        <v>27</v>
      </c>
      <c r="B29" s="102">
        <v>0</v>
      </c>
      <c r="C29" s="102">
        <v>0</v>
      </c>
      <c r="D29" s="102">
        <v>0</v>
      </c>
      <c r="E29" s="102">
        <v>0</v>
      </c>
      <c r="F29" s="102">
        <v>0</v>
      </c>
      <c r="G29" s="102">
        <v>0</v>
      </c>
      <c r="H29" s="102">
        <v>0</v>
      </c>
      <c r="I29" s="102">
        <v>0</v>
      </c>
      <c r="J29" s="102">
        <v>0</v>
      </c>
      <c r="K29" s="102">
        <v>0</v>
      </c>
      <c r="L29" s="102">
        <v>0</v>
      </c>
      <c r="M29" s="102">
        <v>0</v>
      </c>
      <c r="N29" s="102">
        <v>0</v>
      </c>
      <c r="O29" s="102">
        <v>0</v>
      </c>
      <c r="P29" s="102">
        <v>0</v>
      </c>
      <c r="Q29" s="102">
        <v>0</v>
      </c>
      <c r="R29" s="102">
        <v>0</v>
      </c>
      <c r="S29" s="102">
        <v>0</v>
      </c>
      <c r="T29" s="102">
        <v>0</v>
      </c>
      <c r="U29" s="102">
        <v>0</v>
      </c>
      <c r="V29" s="102">
        <v>0</v>
      </c>
      <c r="W29" s="102">
        <v>0</v>
      </c>
      <c r="DA29" s="175" t="s">
        <v>212</v>
      </c>
    </row>
    <row r="30" spans="1:105" ht="11.45" customHeight="1" x14ac:dyDescent="0.25">
      <c r="A30" s="92" t="s">
        <v>173</v>
      </c>
      <c r="B30" s="102">
        <v>11251</v>
      </c>
      <c r="C30" s="102">
        <v>8844</v>
      </c>
      <c r="D30" s="102">
        <v>7449</v>
      </c>
      <c r="E30" s="102">
        <v>7586</v>
      </c>
      <c r="F30" s="102">
        <v>8631</v>
      </c>
      <c r="G30" s="102">
        <v>9527</v>
      </c>
      <c r="H30" s="102">
        <v>19477</v>
      </c>
      <c r="I30" s="102">
        <v>20993</v>
      </c>
      <c r="J30" s="102">
        <v>15575</v>
      </c>
      <c r="K30" s="102">
        <v>11801</v>
      </c>
      <c r="L30" s="102">
        <v>11785</v>
      </c>
      <c r="M30" s="102">
        <v>11176</v>
      </c>
      <c r="N30" s="102">
        <v>10790</v>
      </c>
      <c r="O30" s="102">
        <v>11045</v>
      </c>
      <c r="P30" s="102">
        <v>10642</v>
      </c>
      <c r="Q30" s="102">
        <v>11767</v>
      </c>
      <c r="R30" s="102">
        <v>10618</v>
      </c>
      <c r="S30" s="102">
        <v>11287</v>
      </c>
      <c r="T30" s="102">
        <v>12658</v>
      </c>
      <c r="U30" s="102">
        <v>11809</v>
      </c>
      <c r="V30" s="102">
        <v>13773</v>
      </c>
      <c r="W30" s="102">
        <v>15548</v>
      </c>
      <c r="DA30" s="175" t="s">
        <v>213</v>
      </c>
    </row>
    <row r="31" spans="1:105" ht="11.45" customHeight="1" x14ac:dyDescent="0.25">
      <c r="A31" s="85" t="s">
        <v>174</v>
      </c>
      <c r="B31" s="86">
        <v>3402</v>
      </c>
      <c r="C31" s="86">
        <v>3229</v>
      </c>
      <c r="D31" s="86">
        <v>2818</v>
      </c>
      <c r="E31" s="86">
        <v>3761</v>
      </c>
      <c r="F31" s="86">
        <v>4256</v>
      </c>
      <c r="G31" s="86">
        <v>4707</v>
      </c>
      <c r="H31" s="86">
        <v>6784</v>
      </c>
      <c r="I31" s="86">
        <v>8948</v>
      </c>
      <c r="J31" s="86">
        <v>9237</v>
      </c>
      <c r="K31" s="86">
        <v>6352</v>
      </c>
      <c r="L31" s="86">
        <v>7969</v>
      </c>
      <c r="M31" s="86">
        <v>8182</v>
      </c>
      <c r="N31" s="86">
        <v>6722</v>
      </c>
      <c r="O31" s="86">
        <v>5791</v>
      </c>
      <c r="P31" s="86">
        <v>5344</v>
      </c>
      <c r="Q31" s="86">
        <v>6606</v>
      </c>
      <c r="R31" s="86">
        <v>5604</v>
      </c>
      <c r="S31" s="86">
        <v>6303</v>
      </c>
      <c r="T31" s="86">
        <v>7146</v>
      </c>
      <c r="U31" s="86">
        <v>6472</v>
      </c>
      <c r="V31" s="86">
        <v>11204</v>
      </c>
      <c r="W31" s="86">
        <v>14852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10132370</v>
      </c>
      <c r="C34" s="11">
        <f t="shared" si="24"/>
        <v>9894069</v>
      </c>
      <c r="D34" s="11">
        <f t="shared" ref="D34:V34" si="25">SUM(D35:D37)</f>
        <v>6921734</v>
      </c>
      <c r="E34" s="11">
        <f t="shared" si="25"/>
        <v>7648161</v>
      </c>
      <c r="F34" s="11">
        <f t="shared" si="25"/>
        <v>8856645</v>
      </c>
      <c r="G34" s="11">
        <f t="shared" si="25"/>
        <v>8986921</v>
      </c>
      <c r="H34" s="11">
        <f t="shared" si="25"/>
        <v>9671089</v>
      </c>
      <c r="I34" s="11">
        <f t="shared" si="25"/>
        <v>10486340</v>
      </c>
      <c r="J34" s="11">
        <f t="shared" si="25"/>
        <v>11157805</v>
      </c>
      <c r="K34" s="11">
        <f t="shared" si="25"/>
        <v>10835055</v>
      </c>
      <c r="L34" s="11">
        <f t="shared" si="25"/>
        <v>11504702</v>
      </c>
      <c r="M34" s="11">
        <f t="shared" si="25"/>
        <v>12655982</v>
      </c>
      <c r="N34" s="11">
        <f t="shared" si="25"/>
        <v>13055259</v>
      </c>
      <c r="O34" s="11">
        <f t="shared" si="25"/>
        <v>13286944</v>
      </c>
      <c r="P34" s="11">
        <f t="shared" si="25"/>
        <v>14544585</v>
      </c>
      <c r="Q34" s="11">
        <f t="shared" si="25"/>
        <v>15686142</v>
      </c>
      <c r="R34" s="11">
        <f t="shared" si="25"/>
        <v>15080135</v>
      </c>
      <c r="S34" s="11">
        <f t="shared" si="25"/>
        <v>16622373</v>
      </c>
      <c r="T34" s="11">
        <f t="shared" si="25"/>
        <v>17271189</v>
      </c>
      <c r="U34" s="11">
        <f t="shared" si="25"/>
        <v>17742666</v>
      </c>
      <c r="V34" s="11">
        <f t="shared" si="25"/>
        <v>4708630</v>
      </c>
      <c r="W34" s="11">
        <f t="shared" ref="W34" si="26">SUM(W35:W37)</f>
        <v>6762724</v>
      </c>
      <c r="DA34" s="189" t="s">
        <v>215</v>
      </c>
    </row>
    <row r="35" spans="1:105" ht="11.45" customHeight="1" x14ac:dyDescent="0.25">
      <c r="A35" s="83" t="s">
        <v>27</v>
      </c>
      <c r="B35" s="84">
        <v>0</v>
      </c>
      <c r="C35" s="84">
        <v>0</v>
      </c>
      <c r="D35" s="84">
        <v>0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  <c r="K35" s="84">
        <v>0</v>
      </c>
      <c r="L35" s="84">
        <v>0</v>
      </c>
      <c r="M35" s="84">
        <v>0</v>
      </c>
      <c r="N35" s="84">
        <v>0</v>
      </c>
      <c r="O35" s="84">
        <v>0</v>
      </c>
      <c r="P35" s="84">
        <v>0</v>
      </c>
      <c r="Q35" s="84">
        <v>0</v>
      </c>
      <c r="R35" s="84">
        <v>0</v>
      </c>
      <c r="S35" s="84">
        <v>0</v>
      </c>
      <c r="T35" s="84">
        <v>0</v>
      </c>
      <c r="U35" s="84">
        <v>0</v>
      </c>
      <c r="V35" s="84">
        <v>0</v>
      </c>
      <c r="W35" s="84">
        <v>0</v>
      </c>
      <c r="DA35" s="171" t="s">
        <v>216</v>
      </c>
    </row>
    <row r="36" spans="1:105" ht="11.45" customHeight="1" x14ac:dyDescent="0.25">
      <c r="A36" s="83" t="s">
        <v>173</v>
      </c>
      <c r="B36" s="84">
        <v>7510965</v>
      </c>
      <c r="C36" s="84">
        <v>7381725</v>
      </c>
      <c r="D36" s="84">
        <v>5299131</v>
      </c>
      <c r="E36" s="84">
        <v>5885034</v>
      </c>
      <c r="F36" s="84">
        <v>6770732</v>
      </c>
      <c r="G36" s="84">
        <v>6685392</v>
      </c>
      <c r="H36" s="84">
        <v>7283551</v>
      </c>
      <c r="I36" s="84">
        <v>7690421</v>
      </c>
      <c r="J36" s="84">
        <v>7813893</v>
      </c>
      <c r="K36" s="84">
        <v>7500901</v>
      </c>
      <c r="L36" s="84">
        <v>7907924</v>
      </c>
      <c r="M36" s="84">
        <v>8754958</v>
      </c>
      <c r="N36" s="84">
        <v>8967180</v>
      </c>
      <c r="O36" s="84">
        <v>9163781</v>
      </c>
      <c r="P36" s="84">
        <v>10257558</v>
      </c>
      <c r="Q36" s="84">
        <v>11291525</v>
      </c>
      <c r="R36" s="84">
        <v>11401532</v>
      </c>
      <c r="S36" s="84">
        <v>12464350</v>
      </c>
      <c r="T36" s="84">
        <v>12590924</v>
      </c>
      <c r="U36" s="84">
        <v>12771490</v>
      </c>
      <c r="V36" s="84">
        <v>3443198</v>
      </c>
      <c r="W36" s="84">
        <v>4946134</v>
      </c>
      <c r="DA36" s="171" t="s">
        <v>217</v>
      </c>
    </row>
    <row r="37" spans="1:105" ht="11.45" customHeight="1" x14ac:dyDescent="0.25">
      <c r="A37" s="83" t="s">
        <v>174</v>
      </c>
      <c r="B37" s="84">
        <v>2621405</v>
      </c>
      <c r="C37" s="84">
        <v>2512344</v>
      </c>
      <c r="D37" s="84">
        <v>1622603</v>
      </c>
      <c r="E37" s="84">
        <v>1763127</v>
      </c>
      <c r="F37" s="84">
        <v>2085913</v>
      </c>
      <c r="G37" s="84">
        <v>2301529</v>
      </c>
      <c r="H37" s="84">
        <v>2387538</v>
      </c>
      <c r="I37" s="84">
        <v>2795919</v>
      </c>
      <c r="J37" s="84">
        <v>3343912</v>
      </c>
      <c r="K37" s="84">
        <v>3334154</v>
      </c>
      <c r="L37" s="84">
        <v>3596778</v>
      </c>
      <c r="M37" s="84">
        <v>3901024</v>
      </c>
      <c r="N37" s="84">
        <v>4088079</v>
      </c>
      <c r="O37" s="84">
        <v>4123163</v>
      </c>
      <c r="P37" s="84">
        <v>4287027</v>
      </c>
      <c r="Q37" s="84">
        <v>4394617</v>
      </c>
      <c r="R37" s="84">
        <v>3678603</v>
      </c>
      <c r="S37" s="84">
        <v>4158023</v>
      </c>
      <c r="T37" s="84">
        <v>4680265</v>
      </c>
      <c r="U37" s="84">
        <v>4971176</v>
      </c>
      <c r="V37" s="84">
        <v>1265432</v>
      </c>
      <c r="W37" s="84">
        <v>1816590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358215.20427949756</v>
      </c>
      <c r="C38" s="13">
        <f t="shared" si="27"/>
        <v>317571.50909183058</v>
      </c>
      <c r="D38" s="13">
        <f t="shared" ref="D38:V38" si="28">SUM(D39:D41)</f>
        <v>270426.27405883715</v>
      </c>
      <c r="E38" s="13">
        <f t="shared" si="28"/>
        <v>313472.37989196129</v>
      </c>
      <c r="F38" s="13">
        <f t="shared" si="28"/>
        <v>342887.94340136531</v>
      </c>
      <c r="G38" s="13">
        <f t="shared" si="28"/>
        <v>352754.09999519738</v>
      </c>
      <c r="H38" s="13">
        <f t="shared" si="28"/>
        <v>578782.59665557824</v>
      </c>
      <c r="I38" s="13">
        <f t="shared" si="28"/>
        <v>693105.45568044926</v>
      </c>
      <c r="J38" s="13">
        <f t="shared" si="28"/>
        <v>627562.45879518602</v>
      </c>
      <c r="K38" s="13">
        <f t="shared" si="28"/>
        <v>477766.46095725067</v>
      </c>
      <c r="L38" s="13">
        <f t="shared" si="28"/>
        <v>588567.62031430914</v>
      </c>
      <c r="M38" s="13">
        <f t="shared" si="28"/>
        <v>623658.66451029037</v>
      </c>
      <c r="N38" s="13">
        <f t="shared" si="28"/>
        <v>572520.26550533681</v>
      </c>
      <c r="O38" s="13">
        <f t="shared" si="28"/>
        <v>526380.76712390792</v>
      </c>
      <c r="P38" s="13">
        <f t="shared" si="28"/>
        <v>547058.7592877727</v>
      </c>
      <c r="Q38" s="13">
        <f t="shared" si="28"/>
        <v>649451.38802184421</v>
      </c>
      <c r="R38" s="13">
        <f t="shared" si="28"/>
        <v>627610.07428804296</v>
      </c>
      <c r="S38" s="13">
        <f t="shared" si="28"/>
        <v>675238.54807979369</v>
      </c>
      <c r="T38" s="13">
        <f t="shared" si="28"/>
        <v>763135.00228369655</v>
      </c>
      <c r="U38" s="13">
        <f t="shared" si="28"/>
        <v>715041.9188941844</v>
      </c>
      <c r="V38" s="13">
        <f t="shared" si="28"/>
        <v>804088.03269486898</v>
      </c>
      <c r="W38" s="13">
        <f t="shared" ref="W38" si="29">SUM(W39:W41)</f>
        <v>1065462.1493742261</v>
      </c>
      <c r="DA38" s="193" t="s">
        <v>219</v>
      </c>
    </row>
    <row r="39" spans="1:105" ht="11.45" customHeight="1" x14ac:dyDescent="0.25">
      <c r="A39" s="92" t="s">
        <v>27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DA39" s="175" t="s">
        <v>220</v>
      </c>
    </row>
    <row r="40" spans="1:105" ht="11.45" customHeight="1" x14ac:dyDescent="0.25">
      <c r="A40" s="92" t="s">
        <v>173</v>
      </c>
      <c r="B40" s="102">
        <v>180871.92497124543</v>
      </c>
      <c r="C40" s="102">
        <v>143725.96612660456</v>
      </c>
      <c r="D40" s="102">
        <v>121388.1191875888</v>
      </c>
      <c r="E40" s="102">
        <v>130232.69498201487</v>
      </c>
      <c r="F40" s="102">
        <v>138347.01943534179</v>
      </c>
      <c r="G40" s="102">
        <v>144629.59634724303</v>
      </c>
      <c r="H40" s="102">
        <v>272391.17279515468</v>
      </c>
      <c r="I40" s="102">
        <v>288772.04841091024</v>
      </c>
      <c r="J40" s="102">
        <v>212701.9335836517</v>
      </c>
      <c r="K40" s="102">
        <v>160809.39824267733</v>
      </c>
      <c r="L40" s="102">
        <v>169948.97315185421</v>
      </c>
      <c r="M40" s="102">
        <v>173112.92673189394</v>
      </c>
      <c r="N40" s="102">
        <v>177623.06063058504</v>
      </c>
      <c r="O40" s="102">
        <v>182706.86686532476</v>
      </c>
      <c r="P40" s="102">
        <v>193660.48753265821</v>
      </c>
      <c r="Q40" s="102">
        <v>213874.2357334457</v>
      </c>
      <c r="R40" s="102">
        <v>218449.54981596538</v>
      </c>
      <c r="S40" s="102">
        <v>215898.79785903747</v>
      </c>
      <c r="T40" s="102">
        <v>240641.54738761182</v>
      </c>
      <c r="U40" s="102">
        <v>230188.59586787556</v>
      </c>
      <c r="V40" s="102">
        <v>241291.45147599478</v>
      </c>
      <c r="W40" s="102">
        <v>274427.31159761059</v>
      </c>
      <c r="DA40" s="175" t="s">
        <v>221</v>
      </c>
    </row>
    <row r="41" spans="1:105" ht="11.45" customHeight="1" x14ac:dyDescent="0.25">
      <c r="A41" s="85" t="s">
        <v>174</v>
      </c>
      <c r="B41" s="86">
        <v>177343.27930825212</v>
      </c>
      <c r="C41" s="86">
        <v>173845.54296522599</v>
      </c>
      <c r="D41" s="86">
        <v>149038.15487124835</v>
      </c>
      <c r="E41" s="86">
        <v>183239.68490994643</v>
      </c>
      <c r="F41" s="86">
        <v>204540.92396602349</v>
      </c>
      <c r="G41" s="86">
        <v>208124.50364795435</v>
      </c>
      <c r="H41" s="86">
        <v>306391.42386042356</v>
      </c>
      <c r="I41" s="86">
        <v>404333.40726953908</v>
      </c>
      <c r="J41" s="86">
        <v>414860.52521153429</v>
      </c>
      <c r="K41" s="86">
        <v>316957.06271457335</v>
      </c>
      <c r="L41" s="86">
        <v>418618.6471624549</v>
      </c>
      <c r="M41" s="86">
        <v>450545.73777839646</v>
      </c>
      <c r="N41" s="86">
        <v>394897.2048747518</v>
      </c>
      <c r="O41" s="86">
        <v>343673.90025858313</v>
      </c>
      <c r="P41" s="86">
        <v>353398.27175511455</v>
      </c>
      <c r="Q41" s="86">
        <v>435577.15228839853</v>
      </c>
      <c r="R41" s="86">
        <v>409160.52447207761</v>
      </c>
      <c r="S41" s="86">
        <v>459339.75022075622</v>
      </c>
      <c r="T41" s="86">
        <v>522493.45489608467</v>
      </c>
      <c r="U41" s="86">
        <v>484853.32302630885</v>
      </c>
      <c r="V41" s="86">
        <v>562796.5812188742</v>
      </c>
      <c r="W41" s="86">
        <v>791034.8377766154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142.5243749169569</v>
      </c>
      <c r="C43" s="54">
        <f t="shared" si="30"/>
        <v>137.12654302863098</v>
      </c>
      <c r="D43" s="54">
        <f t="shared" ref="D43:V43" si="31">SUM(D44,D48)</f>
        <v>122.87621357382596</v>
      </c>
      <c r="E43" s="54">
        <f t="shared" si="31"/>
        <v>112.13085196949046</v>
      </c>
      <c r="F43" s="54">
        <f t="shared" si="31"/>
        <v>117.83381392746422</v>
      </c>
      <c r="G43" s="54">
        <f t="shared" si="31"/>
        <v>117.93071419646648</v>
      </c>
      <c r="H43" s="54">
        <f t="shared" si="31"/>
        <v>141.83892626472718</v>
      </c>
      <c r="I43" s="54">
        <f t="shared" si="31"/>
        <v>159.1479296308647</v>
      </c>
      <c r="J43" s="54">
        <f t="shared" si="31"/>
        <v>167.55606598064844</v>
      </c>
      <c r="K43" s="54">
        <f t="shared" si="31"/>
        <v>162.62083286599773</v>
      </c>
      <c r="L43" s="54">
        <f t="shared" si="31"/>
        <v>165.17609115648887</v>
      </c>
      <c r="M43" s="54">
        <f t="shared" si="31"/>
        <v>172.04335820939986</v>
      </c>
      <c r="N43" s="54">
        <f t="shared" si="31"/>
        <v>167.44422913891586</v>
      </c>
      <c r="O43" s="54">
        <f t="shared" si="31"/>
        <v>161.71228801194621</v>
      </c>
      <c r="P43" s="54">
        <f t="shared" si="31"/>
        <v>164.84527152310682</v>
      </c>
      <c r="Q43" s="54">
        <f t="shared" si="31"/>
        <v>169.4295968480329</v>
      </c>
      <c r="R43" s="54">
        <f t="shared" si="31"/>
        <v>165.22006820130466</v>
      </c>
      <c r="S43" s="54">
        <f t="shared" si="31"/>
        <v>170.17188246901426</v>
      </c>
      <c r="T43" s="54">
        <f t="shared" si="31"/>
        <v>182.15088582215867</v>
      </c>
      <c r="U43" s="54">
        <f t="shared" si="31"/>
        <v>181.99349212524504</v>
      </c>
      <c r="V43" s="54">
        <f t="shared" si="31"/>
        <v>193.72037669639116</v>
      </c>
      <c r="W43" s="54">
        <f t="shared" ref="W43" si="32">SUM(W44,W48)</f>
        <v>200.18341610276025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123.72865558241668</v>
      </c>
      <c r="C44" s="11">
        <f t="shared" si="33"/>
        <v>119.76760083176086</v>
      </c>
      <c r="D44" s="11">
        <f t="shared" ref="D44:V44" si="34">SUM(D45:D47)</f>
        <v>107.3947352735192</v>
      </c>
      <c r="E44" s="11">
        <f t="shared" si="34"/>
        <v>95.25091210146276</v>
      </c>
      <c r="F44" s="11">
        <f t="shared" si="34"/>
        <v>99.159640286915788</v>
      </c>
      <c r="G44" s="11">
        <f t="shared" si="34"/>
        <v>97.513288595644127</v>
      </c>
      <c r="H44" s="11">
        <f t="shared" si="34"/>
        <v>106.43164624074491</v>
      </c>
      <c r="I44" s="11">
        <f t="shared" si="34"/>
        <v>116.00589878699782</v>
      </c>
      <c r="J44" s="11">
        <f t="shared" si="34"/>
        <v>123.65975703344219</v>
      </c>
      <c r="K44" s="11">
        <f t="shared" si="34"/>
        <v>120.60409585224549</v>
      </c>
      <c r="L44" s="11">
        <f t="shared" si="34"/>
        <v>125.03892607619065</v>
      </c>
      <c r="M44" s="11">
        <f t="shared" si="34"/>
        <v>133.14474481927905</v>
      </c>
      <c r="N44" s="11">
        <f t="shared" si="34"/>
        <v>130.42518768224909</v>
      </c>
      <c r="O44" s="11">
        <f t="shared" si="34"/>
        <v>126.57281848873347</v>
      </c>
      <c r="P44" s="11">
        <f t="shared" si="34"/>
        <v>131.58537393334808</v>
      </c>
      <c r="Q44" s="11">
        <f t="shared" si="34"/>
        <v>137.85168303425453</v>
      </c>
      <c r="R44" s="11">
        <f t="shared" si="34"/>
        <v>135.43187187039703</v>
      </c>
      <c r="S44" s="11">
        <f t="shared" si="34"/>
        <v>139.82598021977498</v>
      </c>
      <c r="T44" s="11">
        <f t="shared" si="34"/>
        <v>147.63727109083106</v>
      </c>
      <c r="U44" s="11">
        <f t="shared" si="34"/>
        <v>149.02184745695877</v>
      </c>
      <c r="V44" s="11">
        <f t="shared" si="34"/>
        <v>140.77327041813101</v>
      </c>
      <c r="W44" s="11">
        <f t="shared" ref="W44" si="35">SUM(W45:W47)</f>
        <v>132.52469337930322</v>
      </c>
      <c r="DA44" s="189" t="s">
        <v>224</v>
      </c>
    </row>
    <row r="45" spans="1:105" ht="11.45" customHeight="1" x14ac:dyDescent="0.25">
      <c r="A45" s="83" t="s">
        <v>27</v>
      </c>
      <c r="B45" s="84">
        <v>0</v>
      </c>
      <c r="C45" s="84">
        <v>0</v>
      </c>
      <c r="D45" s="84">
        <v>0</v>
      </c>
      <c r="E45" s="84">
        <v>0</v>
      </c>
      <c r="F45" s="84">
        <v>0</v>
      </c>
      <c r="G45" s="84">
        <v>0</v>
      </c>
      <c r="H45" s="84">
        <v>0</v>
      </c>
      <c r="I45" s="84">
        <v>0</v>
      </c>
      <c r="J45" s="84">
        <v>0</v>
      </c>
      <c r="K45" s="84">
        <v>0</v>
      </c>
      <c r="L45" s="84">
        <v>0</v>
      </c>
      <c r="M45" s="84">
        <v>0</v>
      </c>
      <c r="N45" s="84">
        <v>0</v>
      </c>
      <c r="O45" s="84">
        <v>0</v>
      </c>
      <c r="P45" s="84">
        <v>0</v>
      </c>
      <c r="Q45" s="84">
        <v>0</v>
      </c>
      <c r="R45" s="84">
        <v>0</v>
      </c>
      <c r="S45" s="84">
        <v>0</v>
      </c>
      <c r="T45" s="84">
        <v>0</v>
      </c>
      <c r="U45" s="84">
        <v>0</v>
      </c>
      <c r="V45" s="84">
        <v>0</v>
      </c>
      <c r="W45" s="84">
        <v>0</v>
      </c>
      <c r="DA45" s="171" t="s">
        <v>225</v>
      </c>
    </row>
    <row r="46" spans="1:105" ht="11.45" customHeight="1" x14ac:dyDescent="0.25">
      <c r="A46" s="83" t="s">
        <v>173</v>
      </c>
      <c r="B46" s="84">
        <v>85.012237671968919</v>
      </c>
      <c r="C46" s="84">
        <v>82.784391876536986</v>
      </c>
      <c r="D46" s="84">
        <v>74.283168109340096</v>
      </c>
      <c r="E46" s="84">
        <v>66.010986728328433</v>
      </c>
      <c r="F46" s="84">
        <v>67.47867013766205</v>
      </c>
      <c r="G46" s="84">
        <v>64.695270577626104</v>
      </c>
      <c r="H46" s="84">
        <v>70.938091912936443</v>
      </c>
      <c r="I46" s="84">
        <v>75.11451301920755</v>
      </c>
      <c r="J46" s="84">
        <v>75.938509470089372</v>
      </c>
      <c r="K46" s="84">
        <v>71.832611477245493</v>
      </c>
      <c r="L46" s="84">
        <v>72.436945878170846</v>
      </c>
      <c r="M46" s="84">
        <v>76.013008292332941</v>
      </c>
      <c r="N46" s="84">
        <v>73.21300693568719</v>
      </c>
      <c r="O46" s="84">
        <v>71.452895858172553</v>
      </c>
      <c r="P46" s="84">
        <v>75.537018033928348</v>
      </c>
      <c r="Q46" s="84">
        <v>80.354641614136199</v>
      </c>
      <c r="R46" s="84">
        <v>81.806472241323462</v>
      </c>
      <c r="S46" s="84">
        <v>82.772371972352289</v>
      </c>
      <c r="T46" s="84">
        <v>82.420428985567924</v>
      </c>
      <c r="U46" s="84">
        <v>81.486133171244475</v>
      </c>
      <c r="V46" s="84">
        <v>75.818650659779891</v>
      </c>
      <c r="W46" s="84">
        <v>70.151168148315293</v>
      </c>
      <c r="DA46" s="171" t="s">
        <v>226</v>
      </c>
    </row>
    <row r="47" spans="1:105" ht="11.45" customHeight="1" x14ac:dyDescent="0.25">
      <c r="A47" s="83" t="s">
        <v>174</v>
      </c>
      <c r="B47" s="84">
        <v>38.71641791044776</v>
      </c>
      <c r="C47" s="84">
        <v>36.98320895522388</v>
      </c>
      <c r="D47" s="84">
        <v>33.111567164179107</v>
      </c>
      <c r="E47" s="84">
        <v>29.23992537313433</v>
      </c>
      <c r="F47" s="84">
        <v>31.680970149253731</v>
      </c>
      <c r="G47" s="84">
        <v>32.818018018018016</v>
      </c>
      <c r="H47" s="84">
        <v>35.493554327808468</v>
      </c>
      <c r="I47" s="84">
        <v>40.891385767790261</v>
      </c>
      <c r="J47" s="84">
        <v>47.721247563352826</v>
      </c>
      <c r="K47" s="84">
        <v>48.771484375</v>
      </c>
      <c r="L47" s="84">
        <v>52.601980198019803</v>
      </c>
      <c r="M47" s="84">
        <v>57.131736526946106</v>
      </c>
      <c r="N47" s="84">
        <v>57.212180746561884</v>
      </c>
      <c r="O47" s="84">
        <v>55.119922630560929</v>
      </c>
      <c r="P47" s="84">
        <v>56.048355899419732</v>
      </c>
      <c r="Q47" s="84">
        <v>57.497041420118343</v>
      </c>
      <c r="R47" s="84">
        <v>53.62539962907357</v>
      </c>
      <c r="S47" s="84">
        <v>57.05360824742268</v>
      </c>
      <c r="T47" s="84">
        <v>65.216842105263154</v>
      </c>
      <c r="U47" s="84">
        <v>67.535714285714292</v>
      </c>
      <c r="V47" s="84">
        <v>64.954619758351114</v>
      </c>
      <c r="W47" s="84">
        <v>62.37352523098793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18.79571933454023</v>
      </c>
      <c r="C48" s="13">
        <f t="shared" si="36"/>
        <v>17.358942196870132</v>
      </c>
      <c r="D48" s="13">
        <f t="shared" ref="D48:V48" si="37">SUM(D49:D51)</f>
        <v>15.481478300306755</v>
      </c>
      <c r="E48" s="13">
        <f t="shared" si="37"/>
        <v>16.879939868027702</v>
      </c>
      <c r="F48" s="13">
        <f t="shared" si="37"/>
        <v>18.674173640548435</v>
      </c>
      <c r="G48" s="13">
        <f t="shared" si="37"/>
        <v>20.417425600822348</v>
      </c>
      <c r="H48" s="13">
        <f t="shared" si="37"/>
        <v>35.407280023982274</v>
      </c>
      <c r="I48" s="13">
        <f t="shared" si="37"/>
        <v>43.142030843866877</v>
      </c>
      <c r="J48" s="13">
        <f t="shared" si="37"/>
        <v>43.896308947206265</v>
      </c>
      <c r="K48" s="13">
        <f t="shared" si="37"/>
        <v>42.016737013752248</v>
      </c>
      <c r="L48" s="13">
        <f t="shared" si="37"/>
        <v>40.137165080298217</v>
      </c>
      <c r="M48" s="13">
        <f t="shared" si="37"/>
        <v>38.898613390120801</v>
      </c>
      <c r="N48" s="13">
        <f t="shared" si="37"/>
        <v>37.019041456666777</v>
      </c>
      <c r="O48" s="13">
        <f t="shared" si="37"/>
        <v>35.139469523212753</v>
      </c>
      <c r="P48" s="13">
        <f t="shared" si="37"/>
        <v>33.259897589758729</v>
      </c>
      <c r="Q48" s="13">
        <f t="shared" si="37"/>
        <v>31.577913813778366</v>
      </c>
      <c r="R48" s="13">
        <f t="shared" si="37"/>
        <v>29.788196330907621</v>
      </c>
      <c r="S48" s="13">
        <f t="shared" si="37"/>
        <v>30.345902249239288</v>
      </c>
      <c r="T48" s="13">
        <f t="shared" si="37"/>
        <v>34.513614731327621</v>
      </c>
      <c r="U48" s="13">
        <f t="shared" si="37"/>
        <v>32.971644668286281</v>
      </c>
      <c r="V48" s="13">
        <f t="shared" si="37"/>
        <v>52.947106278260151</v>
      </c>
      <c r="W48" s="13">
        <f t="shared" ref="W48" si="38">SUM(W49:W51)</f>
        <v>67.658722723457018</v>
      </c>
      <c r="DA48" s="193" t="s">
        <v>228</v>
      </c>
    </row>
    <row r="49" spans="1:105" ht="11.45" customHeight="1" x14ac:dyDescent="0.25">
      <c r="A49" s="92" t="s">
        <v>27</v>
      </c>
      <c r="B49" s="102">
        <v>0</v>
      </c>
      <c r="C49" s="102">
        <v>0</v>
      </c>
      <c r="D49" s="102">
        <v>0</v>
      </c>
      <c r="E49" s="102">
        <v>0</v>
      </c>
      <c r="F49" s="102">
        <v>0</v>
      </c>
      <c r="G49" s="102">
        <v>0</v>
      </c>
      <c r="H49" s="102">
        <v>0</v>
      </c>
      <c r="I49" s="102">
        <v>0</v>
      </c>
      <c r="J49" s="102">
        <v>0</v>
      </c>
      <c r="K49" s="102">
        <v>0</v>
      </c>
      <c r="L49" s="102">
        <v>0</v>
      </c>
      <c r="M49" s="102">
        <v>0</v>
      </c>
      <c r="N49" s="102">
        <v>0</v>
      </c>
      <c r="O49" s="102">
        <v>0</v>
      </c>
      <c r="P49" s="102">
        <v>0</v>
      </c>
      <c r="Q49" s="102">
        <v>0</v>
      </c>
      <c r="R49" s="102">
        <v>0</v>
      </c>
      <c r="S49" s="102">
        <v>0</v>
      </c>
      <c r="T49" s="102">
        <v>0</v>
      </c>
      <c r="U49" s="102">
        <v>0</v>
      </c>
      <c r="V49" s="102">
        <v>0</v>
      </c>
      <c r="W49" s="102">
        <v>0</v>
      </c>
      <c r="DA49" s="175" t="s">
        <v>229</v>
      </c>
    </row>
    <row r="50" spans="1:105" ht="11.45" customHeight="1" x14ac:dyDescent="0.25">
      <c r="A50" s="92" t="s">
        <v>173</v>
      </c>
      <c r="B50" s="102">
        <v>9.9363443345402302</v>
      </c>
      <c r="C50" s="102">
        <v>8.9500880302034656</v>
      </c>
      <c r="D50" s="102">
        <v>7.9585616336400893</v>
      </c>
      <c r="E50" s="102">
        <v>7.0856690346943667</v>
      </c>
      <c r="F50" s="102">
        <v>7.5908403072151023</v>
      </c>
      <c r="G50" s="102">
        <v>8.4403263641811286</v>
      </c>
      <c r="H50" s="102">
        <v>17.648117720317352</v>
      </c>
      <c r="I50" s="102">
        <v>19.088267403006661</v>
      </c>
      <c r="J50" s="102">
        <v>18.094632969552634</v>
      </c>
      <c r="K50" s="102">
        <v>17.100998536098615</v>
      </c>
      <c r="L50" s="102">
        <v>16.107364102644592</v>
      </c>
      <c r="M50" s="102">
        <v>15.113729669190569</v>
      </c>
      <c r="N50" s="102">
        <v>14.120095235736546</v>
      </c>
      <c r="O50" s="102">
        <v>13.126460802282523</v>
      </c>
      <c r="P50" s="102">
        <v>12.132826368828502</v>
      </c>
      <c r="Q50" s="102">
        <v>11.336780092848135</v>
      </c>
      <c r="R50" s="102">
        <v>10.433000109977392</v>
      </c>
      <c r="S50" s="102">
        <v>10.771368087748604</v>
      </c>
      <c r="T50" s="102">
        <v>11.755652947888128</v>
      </c>
      <c r="U50" s="102">
        <v>11.099620384846792</v>
      </c>
      <c r="V50" s="102">
        <v>12.644948004878852</v>
      </c>
      <c r="W50" s="102">
        <v>14.425747813062761</v>
      </c>
      <c r="DA50" s="175" t="s">
        <v>230</v>
      </c>
    </row>
    <row r="51" spans="1:105" ht="11.45" customHeight="1" x14ac:dyDescent="0.25">
      <c r="A51" s="85" t="s">
        <v>174</v>
      </c>
      <c r="B51" s="86">
        <v>8.859375</v>
      </c>
      <c r="C51" s="86">
        <v>8.4088541666666661</v>
      </c>
      <c r="D51" s="86">
        <v>7.5229166666666663</v>
      </c>
      <c r="E51" s="86">
        <v>9.7942708333333339</v>
      </c>
      <c r="F51" s="86">
        <v>11.083333333333334</v>
      </c>
      <c r="G51" s="86">
        <v>11.977099236641221</v>
      </c>
      <c r="H51" s="86">
        <v>17.759162303664922</v>
      </c>
      <c r="I51" s="86">
        <v>24.053763440860216</v>
      </c>
      <c r="J51" s="86">
        <v>25.80167597765363</v>
      </c>
      <c r="K51" s="86">
        <v>24.91573847765363</v>
      </c>
      <c r="L51" s="86">
        <v>24.029800977653629</v>
      </c>
      <c r="M51" s="86">
        <v>23.784883720930232</v>
      </c>
      <c r="N51" s="86">
        <v>22.898946220930231</v>
      </c>
      <c r="O51" s="86">
        <v>22.01300872093023</v>
      </c>
      <c r="P51" s="86">
        <v>21.12707122093023</v>
      </c>
      <c r="Q51" s="86">
        <v>20.241133720930229</v>
      </c>
      <c r="R51" s="86">
        <v>19.355196220930228</v>
      </c>
      <c r="S51" s="86">
        <v>19.574534161490682</v>
      </c>
      <c r="T51" s="86">
        <v>22.757961783439491</v>
      </c>
      <c r="U51" s="86">
        <v>21.87202428343949</v>
      </c>
      <c r="V51" s="86">
        <v>40.302158273381295</v>
      </c>
      <c r="W51" s="86">
        <v>53.232974910394262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13.391067561486006</v>
      </c>
      <c r="C53" s="54">
        <f t="shared" si="39"/>
        <v>0.64373664150657284</v>
      </c>
      <c r="D53" s="54">
        <f t="shared" ref="D53:V53" si="40">SUM(D54,D58)</f>
        <v>0</v>
      </c>
      <c r="E53" s="54">
        <f t="shared" si="40"/>
        <v>2.7099041287173096</v>
      </c>
      <c r="F53" s="54">
        <f t="shared" si="40"/>
        <v>11.20619859335546</v>
      </c>
      <c r="G53" s="54">
        <f t="shared" si="40"/>
        <v>5.1343034727913635</v>
      </c>
      <c r="H53" s="54">
        <f t="shared" si="40"/>
        <v>28.479096835881712</v>
      </c>
      <c r="I53" s="54">
        <f t="shared" si="40"/>
        <v>21.879888133758499</v>
      </c>
      <c r="J53" s="54">
        <f t="shared" si="40"/>
        <v>14.570210398853874</v>
      </c>
      <c r="K53" s="54">
        <f t="shared" si="40"/>
        <v>2.2830104434881733</v>
      </c>
      <c r="L53" s="54">
        <f t="shared" si="40"/>
        <v>9.1107636962553649</v>
      </c>
      <c r="M53" s="54">
        <f t="shared" si="40"/>
        <v>12.133449986312987</v>
      </c>
      <c r="N53" s="54">
        <f t="shared" si="40"/>
        <v>1.9386538089767731</v>
      </c>
      <c r="O53" s="54">
        <f t="shared" si="40"/>
        <v>1.5591666833202993</v>
      </c>
      <c r="P53" s="54">
        <f t="shared" si="40"/>
        <v>9.0048088056735871</v>
      </c>
      <c r="Q53" s="54">
        <f t="shared" si="40"/>
        <v>10.331192381018752</v>
      </c>
      <c r="R53" s="54">
        <f t="shared" si="40"/>
        <v>4.2113103564052556</v>
      </c>
      <c r="S53" s="54">
        <f t="shared" si="40"/>
        <v>9.5294623203551687</v>
      </c>
      <c r="T53" s="54">
        <f t="shared" si="40"/>
        <v>16.556651405789992</v>
      </c>
      <c r="U53" s="54">
        <f t="shared" si="40"/>
        <v>5.7114829961288791</v>
      </c>
      <c r="V53" s="54">
        <f t="shared" si="40"/>
        <v>20.554093016535866</v>
      </c>
      <c r="W53" s="54">
        <f t="shared" ref="W53" si="41">SUM(W54,W58)</f>
        <v>15.290247851758878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11.471396958188631</v>
      </c>
      <c r="C54" s="11">
        <f t="shared" si="42"/>
        <v>0.64312179741387987</v>
      </c>
      <c r="D54" s="11">
        <f t="shared" ref="D54:V54" si="43">SUM(D55:D57)</f>
        <v>0</v>
      </c>
      <c r="E54" s="11">
        <f t="shared" si="43"/>
        <v>0.15763997906894822</v>
      </c>
      <c r="F54" s="11">
        <f t="shared" si="43"/>
        <v>8.831313212252109</v>
      </c>
      <c r="G54" s="11">
        <f t="shared" si="43"/>
        <v>2.8124201059554483</v>
      </c>
      <c r="H54" s="11">
        <f t="shared" si="43"/>
        <v>12.910611006159792</v>
      </c>
      <c r="I54" s="11">
        <f t="shared" si="43"/>
        <v>13.5665059073119</v>
      </c>
      <c r="J54" s="11">
        <f t="shared" si="43"/>
        <v>12.542002723171461</v>
      </c>
      <c r="K54" s="11">
        <f t="shared" si="43"/>
        <v>2.2830104434881733</v>
      </c>
      <c r="L54" s="11">
        <f t="shared" si="43"/>
        <v>9.1107636962553649</v>
      </c>
      <c r="M54" s="11">
        <f t="shared" si="43"/>
        <v>12.098072104147386</v>
      </c>
      <c r="N54" s="11">
        <f t="shared" si="43"/>
        <v>1.9386538089767731</v>
      </c>
      <c r="O54" s="11">
        <f t="shared" si="43"/>
        <v>1.5591666833202993</v>
      </c>
      <c r="P54" s="11">
        <f t="shared" si="43"/>
        <v>9.0048088056735871</v>
      </c>
      <c r="Q54" s="11">
        <f t="shared" si="43"/>
        <v>10.258562461965457</v>
      </c>
      <c r="R54" s="11">
        <f t="shared" si="43"/>
        <v>4.2113103564052556</v>
      </c>
      <c r="S54" s="11">
        <f t="shared" si="43"/>
        <v>8.3863617104369368</v>
      </c>
      <c r="T54" s="11">
        <f t="shared" si="43"/>
        <v>11.803544232115096</v>
      </c>
      <c r="U54" s="11">
        <f t="shared" si="43"/>
        <v>5.7114829961288791</v>
      </c>
      <c r="V54" s="11">
        <f t="shared" si="43"/>
        <v>0</v>
      </c>
      <c r="W54" s="11">
        <f t="shared" ref="W54" si="44">SUM(W55:W57)</f>
        <v>0</v>
      </c>
      <c r="DA54" s="189" t="s">
        <v>233</v>
      </c>
    </row>
    <row r="55" spans="1:105" ht="11.45" customHeight="1" x14ac:dyDescent="0.25">
      <c r="A55" s="83" t="s">
        <v>27</v>
      </c>
      <c r="B55" s="84">
        <v>0</v>
      </c>
      <c r="C55" s="84">
        <v>0</v>
      </c>
      <c r="D55" s="84">
        <v>0</v>
      </c>
      <c r="E55" s="84">
        <v>0</v>
      </c>
      <c r="F55" s="84">
        <v>0</v>
      </c>
      <c r="G55" s="84">
        <v>0</v>
      </c>
      <c r="H55" s="84">
        <v>0</v>
      </c>
      <c r="I55" s="84">
        <v>0</v>
      </c>
      <c r="J55" s="84">
        <v>0</v>
      </c>
      <c r="K55" s="84">
        <v>0</v>
      </c>
      <c r="L55" s="84">
        <v>0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</v>
      </c>
      <c r="T55" s="84">
        <v>0</v>
      </c>
      <c r="U55" s="84">
        <v>0</v>
      </c>
      <c r="V55" s="84">
        <v>0</v>
      </c>
      <c r="W55" s="84">
        <v>0</v>
      </c>
      <c r="DA55" s="171" t="s">
        <v>234</v>
      </c>
    </row>
    <row r="56" spans="1:105" ht="11.45" customHeight="1" x14ac:dyDescent="0.25">
      <c r="A56" s="83" t="s">
        <v>173</v>
      </c>
      <c r="B56" s="84">
        <v>7.6397427293327054</v>
      </c>
      <c r="C56" s="84">
        <v>0.64312179741387987</v>
      </c>
      <c r="D56" s="84">
        <v>0</v>
      </c>
      <c r="E56" s="84">
        <v>0.15763997906894822</v>
      </c>
      <c r="F56" s="84">
        <v>5.1574948042917095</v>
      </c>
      <c r="G56" s="84">
        <v>0.44259860535016471</v>
      </c>
      <c r="H56" s="84">
        <v>9.002301064528341</v>
      </c>
      <c r="I56" s="84">
        <v>6.9359008354891065</v>
      </c>
      <c r="J56" s="84">
        <v>4.4793672957678963</v>
      </c>
      <c r="K56" s="84">
        <v>0</v>
      </c>
      <c r="L56" s="84">
        <v>4.0474942413945634</v>
      </c>
      <c r="M56" s="84">
        <v>6.3355421433800831</v>
      </c>
      <c r="N56" s="84">
        <v>0.62543595751999614</v>
      </c>
      <c r="O56" s="84">
        <v>1.5591666833202993</v>
      </c>
      <c r="P56" s="84">
        <v>6.8436019049737844</v>
      </c>
      <c r="Q56" s="84">
        <v>7.5771033094258478</v>
      </c>
      <c r="R56" s="84">
        <v>4.2113103564052556</v>
      </c>
      <c r="S56" s="84">
        <v>3.7253794602468275</v>
      </c>
      <c r="T56" s="84">
        <v>2.4075367424336229</v>
      </c>
      <c r="U56" s="84">
        <v>2.1598371838367427</v>
      </c>
      <c r="V56" s="84">
        <v>0</v>
      </c>
      <c r="W56" s="84">
        <v>0</v>
      </c>
      <c r="DA56" s="171" t="s">
        <v>235</v>
      </c>
    </row>
    <row r="57" spans="1:105" ht="11.45" customHeight="1" x14ac:dyDescent="0.25">
      <c r="A57" s="83" t="s">
        <v>174</v>
      </c>
      <c r="B57" s="84">
        <v>3.8316542288559248</v>
      </c>
      <c r="C57" s="84">
        <v>0</v>
      </c>
      <c r="D57" s="84">
        <v>0</v>
      </c>
      <c r="E57" s="84">
        <v>0</v>
      </c>
      <c r="F57" s="84">
        <v>3.6738184079604004</v>
      </c>
      <c r="G57" s="84">
        <v>2.3698215006052834</v>
      </c>
      <c r="H57" s="84">
        <v>3.9083099416314511</v>
      </c>
      <c r="I57" s="84">
        <v>6.6306050718227922</v>
      </c>
      <c r="J57" s="84">
        <v>8.0626354274035634</v>
      </c>
      <c r="K57" s="84">
        <v>2.2830104434881733</v>
      </c>
      <c r="L57" s="84">
        <v>5.0632694548608015</v>
      </c>
      <c r="M57" s="84">
        <v>5.7625299607673028</v>
      </c>
      <c r="N57" s="84">
        <v>1.3132178514567769</v>
      </c>
      <c r="O57" s="84">
        <v>0</v>
      </c>
      <c r="P57" s="84">
        <v>2.1612069006998027</v>
      </c>
      <c r="Q57" s="84">
        <v>2.6814591525396096</v>
      </c>
      <c r="R57" s="84">
        <v>0</v>
      </c>
      <c r="S57" s="84">
        <v>4.6609822501901093</v>
      </c>
      <c r="T57" s="84">
        <v>9.3960074896814731</v>
      </c>
      <c r="U57" s="84">
        <v>3.5516458122921364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1.9196706032973749</v>
      </c>
      <c r="C58" s="13">
        <f t="shared" si="45"/>
        <v>6.148440926930232E-4</v>
      </c>
      <c r="D58" s="13">
        <f t="shared" ref="D58:V58" si="46">SUM(D59:D61)</f>
        <v>0</v>
      </c>
      <c r="E58" s="13">
        <f t="shared" si="46"/>
        <v>2.5522641496483613</v>
      </c>
      <c r="F58" s="13">
        <f t="shared" si="46"/>
        <v>2.3748853811033506</v>
      </c>
      <c r="G58" s="13">
        <f t="shared" si="46"/>
        <v>2.3218833668359151</v>
      </c>
      <c r="H58" s="13">
        <f t="shared" si="46"/>
        <v>15.568485829721919</v>
      </c>
      <c r="I58" s="13">
        <f t="shared" si="46"/>
        <v>8.3133822264466009</v>
      </c>
      <c r="J58" s="13">
        <f t="shared" si="46"/>
        <v>2.0282076756824132</v>
      </c>
      <c r="K58" s="13">
        <f t="shared" si="46"/>
        <v>0</v>
      </c>
      <c r="L58" s="13">
        <f t="shared" si="46"/>
        <v>0</v>
      </c>
      <c r="M58" s="13">
        <f t="shared" si="46"/>
        <v>3.5377882165601449E-2</v>
      </c>
      <c r="N58" s="13">
        <f t="shared" si="46"/>
        <v>0</v>
      </c>
      <c r="O58" s="13">
        <f t="shared" si="46"/>
        <v>0</v>
      </c>
      <c r="P58" s="13">
        <f t="shared" si="46"/>
        <v>0</v>
      </c>
      <c r="Q58" s="13">
        <f t="shared" si="46"/>
        <v>7.2629919053295744E-2</v>
      </c>
      <c r="R58" s="13">
        <f t="shared" si="46"/>
        <v>0</v>
      </c>
      <c r="S58" s="13">
        <f t="shared" si="46"/>
        <v>1.1431006099182315</v>
      </c>
      <c r="T58" s="13">
        <f t="shared" si="46"/>
        <v>4.7531071736748984</v>
      </c>
      <c r="U58" s="13">
        <f t="shared" si="46"/>
        <v>0</v>
      </c>
      <c r="V58" s="13">
        <f t="shared" si="46"/>
        <v>20.554093016535866</v>
      </c>
      <c r="W58" s="13">
        <f t="shared" ref="W58" si="47">SUM(W59:W61)</f>
        <v>15.290247851758878</v>
      </c>
      <c r="DA58" s="193" t="s">
        <v>237</v>
      </c>
    </row>
    <row r="59" spans="1:105" ht="11.45" customHeight="1" x14ac:dyDescent="0.25">
      <c r="A59" s="92" t="s">
        <v>27</v>
      </c>
      <c r="B59" s="102">
        <v>0</v>
      </c>
      <c r="C59" s="102">
        <v>0</v>
      </c>
      <c r="D59" s="102">
        <v>0</v>
      </c>
      <c r="E59" s="102">
        <v>0</v>
      </c>
      <c r="F59" s="102">
        <v>0</v>
      </c>
      <c r="G59" s="102">
        <v>0</v>
      </c>
      <c r="H59" s="102">
        <v>0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DA59" s="175" t="s">
        <v>238</v>
      </c>
    </row>
    <row r="60" spans="1:105" ht="11.45" customHeight="1" x14ac:dyDescent="0.25">
      <c r="A60" s="92" t="s">
        <v>173</v>
      </c>
      <c r="B60" s="102">
        <v>1.3737504644083744</v>
      </c>
      <c r="C60" s="102">
        <v>6.148440926930232E-4</v>
      </c>
      <c r="D60" s="102">
        <v>0</v>
      </c>
      <c r="E60" s="102">
        <v>6.1484409269300933E-4</v>
      </c>
      <c r="F60" s="102">
        <v>0.80552774221435008</v>
      </c>
      <c r="G60" s="102">
        <v>1.1478223246390276</v>
      </c>
      <c r="H60" s="102">
        <v>9.5061276238092187</v>
      </c>
      <c r="I60" s="102">
        <v>1.7384859503623094</v>
      </c>
      <c r="J60" s="102">
        <v>0</v>
      </c>
      <c r="K60" s="102">
        <v>0</v>
      </c>
      <c r="L60" s="102">
        <v>0</v>
      </c>
      <c r="M60" s="102">
        <v>0</v>
      </c>
      <c r="N60" s="102">
        <v>0</v>
      </c>
      <c r="O60" s="102">
        <v>0</v>
      </c>
      <c r="P60" s="102">
        <v>0</v>
      </c>
      <c r="Q60" s="102">
        <v>7.2629919053295744E-2</v>
      </c>
      <c r="R60" s="102">
        <v>0</v>
      </c>
      <c r="S60" s="102">
        <v>0.64346753046877891</v>
      </c>
      <c r="T60" s="102">
        <v>1.2893844128370908</v>
      </c>
      <c r="U60" s="102">
        <v>0</v>
      </c>
      <c r="V60" s="102">
        <v>1.8436638877050591</v>
      </c>
      <c r="W60" s="102">
        <v>2.0791360758569093</v>
      </c>
      <c r="DA60" s="175" t="s">
        <v>239</v>
      </c>
    </row>
    <row r="61" spans="1:105" ht="11.45" customHeight="1" x14ac:dyDescent="0.25">
      <c r="A61" s="85" t="s">
        <v>174</v>
      </c>
      <c r="B61" s="86">
        <v>0.54592013888900048</v>
      </c>
      <c r="C61" s="86">
        <v>0</v>
      </c>
      <c r="D61" s="86">
        <v>0</v>
      </c>
      <c r="E61" s="86">
        <v>2.5516493055556682</v>
      </c>
      <c r="F61" s="86">
        <v>1.5693576388890005</v>
      </c>
      <c r="G61" s="86">
        <v>1.1740610421968878</v>
      </c>
      <c r="H61" s="86">
        <v>6.0623582059126999</v>
      </c>
      <c r="I61" s="86">
        <v>6.5748962760842922</v>
      </c>
      <c r="J61" s="86">
        <v>2.0282076756824132</v>
      </c>
      <c r="K61" s="86">
        <v>0</v>
      </c>
      <c r="L61" s="86">
        <v>0</v>
      </c>
      <c r="M61" s="86">
        <v>3.5377882165601449E-2</v>
      </c>
      <c r="N61" s="86">
        <v>0</v>
      </c>
      <c r="O61" s="86">
        <v>0</v>
      </c>
      <c r="P61" s="86">
        <v>0</v>
      </c>
      <c r="Q61" s="86">
        <v>0</v>
      </c>
      <c r="R61" s="86">
        <v>0</v>
      </c>
      <c r="S61" s="86">
        <v>0.49963307944945257</v>
      </c>
      <c r="T61" s="86">
        <v>3.4637227608378076</v>
      </c>
      <c r="U61" s="86">
        <v>0</v>
      </c>
      <c r="V61" s="86">
        <v>18.710429128830807</v>
      </c>
      <c r="W61" s="86">
        <v>13.211111775901969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71.996091945855682</v>
      </c>
      <c r="C66" s="14">
        <f t="shared" si="48"/>
        <v>72.447400215275792</v>
      </c>
      <c r="D66" s="14">
        <f t="shared" ref="D66:V66" si="49">IF(D34=0,0,D34/D24)</f>
        <v>69.017190148569156</v>
      </c>
      <c r="E66" s="14">
        <f t="shared" si="49"/>
        <v>73.525163188202384</v>
      </c>
      <c r="F66" s="14">
        <f t="shared" si="49"/>
        <v>80.347685273385409</v>
      </c>
      <c r="G66" s="14">
        <f t="shared" si="49"/>
        <v>82.837163214703793</v>
      </c>
      <c r="H66" s="14">
        <f t="shared" si="49"/>
        <v>81.59259759215044</v>
      </c>
      <c r="I66" s="14">
        <f t="shared" si="49"/>
        <v>82.59692181666378</v>
      </c>
      <c r="J66" s="14">
        <f t="shared" si="49"/>
        <v>85.817386823362924</v>
      </c>
      <c r="K66" s="14">
        <f t="shared" si="49"/>
        <v>87.20927705606799</v>
      </c>
      <c r="L66" s="14">
        <f t="shared" si="49"/>
        <v>92.201365625350618</v>
      </c>
      <c r="M66" s="14">
        <f t="shared" si="49"/>
        <v>95.803170229516141</v>
      </c>
      <c r="N66" s="14">
        <f t="shared" si="49"/>
        <v>100.98983546448214</v>
      </c>
      <c r="O66" s="14">
        <f t="shared" si="49"/>
        <v>105.63806071014008</v>
      </c>
      <c r="P66" s="14">
        <f t="shared" si="49"/>
        <v>111.23795429515418</v>
      </c>
      <c r="Q66" s="14">
        <f t="shared" si="49"/>
        <v>114.46396672504379</v>
      </c>
      <c r="R66" s="14">
        <f t="shared" si="49"/>
        <v>112.12746577837922</v>
      </c>
      <c r="S66" s="14">
        <f t="shared" si="49"/>
        <v>121.09077597762108</v>
      </c>
      <c r="T66" s="14">
        <f t="shared" si="49"/>
        <v>123.79005877293578</v>
      </c>
      <c r="U66" s="14">
        <f t="shared" si="49"/>
        <v>128.09849250584804</v>
      </c>
      <c r="V66" s="14">
        <f t="shared" si="49"/>
        <v>95.579530691783049</v>
      </c>
      <c r="W66" s="14">
        <f t="shared" ref="W66" si="50">IF(W34=0,0,W34/W24)</f>
        <v>113.20071642590516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0</v>
      </c>
      <c r="C67" s="87">
        <f t="shared" si="48"/>
        <v>0</v>
      </c>
      <c r="D67" s="87">
        <f t="shared" ref="D67:V67" si="51">IF(D35=0,0,D35/D25)</f>
        <v>0</v>
      </c>
      <c r="E67" s="87">
        <f t="shared" si="51"/>
        <v>0</v>
      </c>
      <c r="F67" s="87">
        <f t="shared" si="51"/>
        <v>0</v>
      </c>
      <c r="G67" s="87">
        <f t="shared" si="51"/>
        <v>0</v>
      </c>
      <c r="H67" s="87">
        <f t="shared" si="51"/>
        <v>0</v>
      </c>
      <c r="I67" s="87">
        <f t="shared" si="51"/>
        <v>0</v>
      </c>
      <c r="J67" s="87">
        <f t="shared" si="51"/>
        <v>0</v>
      </c>
      <c r="K67" s="87">
        <f t="shared" si="51"/>
        <v>0</v>
      </c>
      <c r="L67" s="87">
        <f t="shared" si="51"/>
        <v>0</v>
      </c>
      <c r="M67" s="87">
        <f t="shared" si="51"/>
        <v>0</v>
      </c>
      <c r="N67" s="87">
        <f t="shared" si="51"/>
        <v>0</v>
      </c>
      <c r="O67" s="87">
        <f t="shared" si="51"/>
        <v>0</v>
      </c>
      <c r="P67" s="87">
        <f t="shared" si="51"/>
        <v>0</v>
      </c>
      <c r="Q67" s="87">
        <f t="shared" si="51"/>
        <v>0</v>
      </c>
      <c r="R67" s="87">
        <f t="shared" si="51"/>
        <v>0</v>
      </c>
      <c r="S67" s="87">
        <f t="shared" si="51"/>
        <v>0</v>
      </c>
      <c r="T67" s="87">
        <f t="shared" si="51"/>
        <v>0</v>
      </c>
      <c r="U67" s="87">
        <f t="shared" si="51"/>
        <v>0</v>
      </c>
      <c r="V67" s="87">
        <f t="shared" si="51"/>
        <v>0</v>
      </c>
      <c r="W67" s="87">
        <f t="shared" ref="W67" si="52">IF(W35=0,0,W35/W25)</f>
        <v>0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62.600243367810442</v>
      </c>
      <c r="C68" s="87">
        <f t="shared" si="48"/>
        <v>63.22893289705857</v>
      </c>
      <c r="D68" s="87">
        <f t="shared" ref="D68:V68" si="53">IF(D36=0,0,D36/D26)</f>
        <v>61.414990032914559</v>
      </c>
      <c r="E68" s="87">
        <f t="shared" si="53"/>
        <v>66.089818745367566</v>
      </c>
      <c r="F68" s="87">
        <f t="shared" si="53"/>
        <v>72.609943376801652</v>
      </c>
      <c r="G68" s="87">
        <f t="shared" si="53"/>
        <v>74.055851564663527</v>
      </c>
      <c r="H68" s="87">
        <f t="shared" si="53"/>
        <v>73.38146812283388</v>
      </c>
      <c r="I68" s="87">
        <f t="shared" si="53"/>
        <v>73.157103175358159</v>
      </c>
      <c r="J68" s="87">
        <f t="shared" si="53"/>
        <v>74.039370078740163</v>
      </c>
      <c r="K68" s="87">
        <f t="shared" si="53"/>
        <v>75.55984124265899</v>
      </c>
      <c r="L68" s="87">
        <f t="shared" si="53"/>
        <v>80.517278595719546</v>
      </c>
      <c r="M68" s="87">
        <f t="shared" si="53"/>
        <v>84.60449744397522</v>
      </c>
      <c r="N68" s="87">
        <f t="shared" si="53"/>
        <v>89.535705727294513</v>
      </c>
      <c r="O68" s="87">
        <f t="shared" si="53"/>
        <v>94.199083068636213</v>
      </c>
      <c r="P68" s="87">
        <f t="shared" si="53"/>
        <v>100.78661753868828</v>
      </c>
      <c r="Q68" s="87">
        <f t="shared" si="53"/>
        <v>104.65872331748371</v>
      </c>
      <c r="R68" s="87">
        <f t="shared" si="53"/>
        <v>104.61656756955149</v>
      </c>
      <c r="S68" s="87">
        <f t="shared" si="53"/>
        <v>113.72478353299697</v>
      </c>
      <c r="T68" s="87">
        <f t="shared" si="53"/>
        <v>116.00047907722356</v>
      </c>
      <c r="U68" s="87">
        <f t="shared" si="53"/>
        <v>120.07681386974549</v>
      </c>
      <c r="V68" s="87">
        <f t="shared" si="53"/>
        <v>88.94624267004211</v>
      </c>
      <c r="W68" s="87">
        <f t="shared" ref="W68" si="54">IF(W36=0,0,W36/W26)</f>
        <v>108.98649273957209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126.32059560524287</v>
      </c>
      <c r="C69" s="87">
        <f t="shared" si="48"/>
        <v>126.73883872269586</v>
      </c>
      <c r="D69" s="87">
        <f t="shared" ref="D69:V69" si="55">IF(D37=0,0,D37/D27)</f>
        <v>115.85056404398115</v>
      </c>
      <c r="E69" s="87">
        <f t="shared" si="55"/>
        <v>117.73803005008347</v>
      </c>
      <c r="F69" s="87">
        <f t="shared" si="55"/>
        <v>122.83805429597786</v>
      </c>
      <c r="G69" s="87">
        <f t="shared" si="55"/>
        <v>126.36043702646316</v>
      </c>
      <c r="H69" s="87">
        <f t="shared" si="55"/>
        <v>123.87993566128782</v>
      </c>
      <c r="I69" s="87">
        <f t="shared" si="55"/>
        <v>128.04172009525553</v>
      </c>
      <c r="J69" s="87">
        <f t="shared" si="55"/>
        <v>136.59213267431886</v>
      </c>
      <c r="K69" s="87">
        <f t="shared" si="55"/>
        <v>133.52104441151735</v>
      </c>
      <c r="L69" s="87">
        <f t="shared" si="55"/>
        <v>135.40046679716909</v>
      </c>
      <c r="M69" s="87">
        <f t="shared" si="55"/>
        <v>136.28983684449568</v>
      </c>
      <c r="N69" s="87">
        <f t="shared" si="55"/>
        <v>140.38250746883693</v>
      </c>
      <c r="O69" s="87">
        <f t="shared" si="55"/>
        <v>144.687616240306</v>
      </c>
      <c r="P69" s="87">
        <f t="shared" si="55"/>
        <v>147.94585360803396</v>
      </c>
      <c r="Q69" s="87">
        <f t="shared" si="55"/>
        <v>150.75355905457789</v>
      </c>
      <c r="R69" s="87">
        <f t="shared" si="55"/>
        <v>144.21935155055476</v>
      </c>
      <c r="S69" s="87">
        <f t="shared" si="55"/>
        <v>150.26645224241986</v>
      </c>
      <c r="T69" s="87">
        <f t="shared" si="55"/>
        <v>151.08351087868809</v>
      </c>
      <c r="U69" s="87">
        <f t="shared" si="55"/>
        <v>154.63887765576882</v>
      </c>
      <c r="V69" s="87">
        <f t="shared" si="55"/>
        <v>119.91206292049654</v>
      </c>
      <c r="W69" s="87">
        <f t="shared" ref="W69" si="56">IF(W37=0,0,W37/W27)</f>
        <v>126.52110321771835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24.446543662014438</v>
      </c>
      <c r="C70" s="15">
        <f t="shared" si="48"/>
        <v>26.304274752905705</v>
      </c>
      <c r="D70" s="15">
        <f t="shared" ref="D70:V70" si="57">IF(D38=0,0,D38/D28)</f>
        <v>26.339366325006054</v>
      </c>
      <c r="E70" s="15">
        <f t="shared" si="57"/>
        <v>27.626013914863954</v>
      </c>
      <c r="F70" s="15">
        <f t="shared" si="57"/>
        <v>26.607274260989005</v>
      </c>
      <c r="G70" s="15">
        <f t="shared" si="57"/>
        <v>24.782499648390992</v>
      </c>
      <c r="H70" s="15">
        <f t="shared" si="57"/>
        <v>22.039625172521163</v>
      </c>
      <c r="I70" s="15">
        <f t="shared" si="57"/>
        <v>23.149041637902851</v>
      </c>
      <c r="J70" s="15">
        <f t="shared" si="57"/>
        <v>25.292699451684104</v>
      </c>
      <c r="K70" s="15">
        <f t="shared" si="57"/>
        <v>26.318870762807837</v>
      </c>
      <c r="L70" s="15">
        <f t="shared" si="57"/>
        <v>29.794857766240213</v>
      </c>
      <c r="M70" s="15">
        <f t="shared" si="57"/>
        <v>32.21710220633797</v>
      </c>
      <c r="N70" s="15">
        <f t="shared" si="57"/>
        <v>32.693025668418045</v>
      </c>
      <c r="O70" s="15">
        <f t="shared" si="57"/>
        <v>31.265191679966019</v>
      </c>
      <c r="P70" s="15">
        <f t="shared" si="57"/>
        <v>34.221115931926228</v>
      </c>
      <c r="Q70" s="15">
        <f t="shared" si="57"/>
        <v>35.348140642347154</v>
      </c>
      <c r="R70" s="15">
        <f t="shared" si="57"/>
        <v>38.688822234499014</v>
      </c>
      <c r="S70" s="15">
        <f t="shared" si="57"/>
        <v>38.387637753257174</v>
      </c>
      <c r="T70" s="15">
        <f t="shared" si="57"/>
        <v>38.534387107841674</v>
      </c>
      <c r="U70" s="15">
        <f t="shared" si="57"/>
        <v>39.113939001924642</v>
      </c>
      <c r="V70" s="15">
        <f t="shared" si="57"/>
        <v>32.193138995670779</v>
      </c>
      <c r="W70" s="15">
        <f t="shared" ref="W70" si="58">IF(W38=0,0,W38/W28)</f>
        <v>35.048097018889017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0</v>
      </c>
      <c r="C71" s="41">
        <f t="shared" si="48"/>
        <v>0</v>
      </c>
      <c r="D71" s="41">
        <f t="shared" ref="D71:V71" si="59">IF(D39=0,0,D39/D29)</f>
        <v>0</v>
      </c>
      <c r="E71" s="41">
        <f t="shared" si="59"/>
        <v>0</v>
      </c>
      <c r="F71" s="41">
        <f t="shared" si="59"/>
        <v>0</v>
      </c>
      <c r="G71" s="41">
        <f t="shared" si="59"/>
        <v>0</v>
      </c>
      <c r="H71" s="41">
        <f t="shared" si="59"/>
        <v>0</v>
      </c>
      <c r="I71" s="41">
        <f t="shared" si="59"/>
        <v>0</v>
      </c>
      <c r="J71" s="41">
        <f t="shared" si="59"/>
        <v>0</v>
      </c>
      <c r="K71" s="41">
        <f t="shared" si="59"/>
        <v>0</v>
      </c>
      <c r="L71" s="41">
        <f t="shared" si="59"/>
        <v>0</v>
      </c>
      <c r="M71" s="41">
        <f t="shared" si="59"/>
        <v>0</v>
      </c>
      <c r="N71" s="41">
        <f t="shared" si="59"/>
        <v>0</v>
      </c>
      <c r="O71" s="41">
        <f t="shared" si="59"/>
        <v>0</v>
      </c>
      <c r="P71" s="41">
        <f t="shared" si="59"/>
        <v>0</v>
      </c>
      <c r="Q71" s="41">
        <f t="shared" si="59"/>
        <v>0</v>
      </c>
      <c r="R71" s="41">
        <f t="shared" si="59"/>
        <v>0</v>
      </c>
      <c r="S71" s="41">
        <f t="shared" si="59"/>
        <v>0</v>
      </c>
      <c r="T71" s="41">
        <f t="shared" si="59"/>
        <v>0</v>
      </c>
      <c r="U71" s="41">
        <f t="shared" si="59"/>
        <v>0</v>
      </c>
      <c r="V71" s="41">
        <f t="shared" si="59"/>
        <v>0</v>
      </c>
      <c r="W71" s="41">
        <f t="shared" ref="W71" si="60">IF(W39=0,0,W39/W29)</f>
        <v>0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</v>
      </c>
      <c r="C72" s="41">
        <f t="shared" si="48"/>
        <v>16.25123995099554</v>
      </c>
      <c r="D72" s="41">
        <f t="shared" ref="D72:V72" si="61">IF(D40=0,0,D40/D30)</f>
        <v>16.295894641910163</v>
      </c>
      <c r="E72" s="41">
        <f t="shared" si="61"/>
        <v>17.167505270500246</v>
      </c>
      <c r="F72" s="41">
        <f t="shared" si="61"/>
        <v>16.029083470668727</v>
      </c>
      <c r="G72" s="41">
        <f t="shared" si="61"/>
        <v>15.181021974099195</v>
      </c>
      <c r="H72" s="41">
        <f t="shared" si="61"/>
        <v>13.985273542904691</v>
      </c>
      <c r="I72" s="41">
        <f t="shared" si="61"/>
        <v>13.755635136041073</v>
      </c>
      <c r="J72" s="41">
        <f t="shared" si="61"/>
        <v>13.656624949191121</v>
      </c>
      <c r="K72" s="41">
        <f t="shared" si="61"/>
        <v>13.626760295117137</v>
      </c>
      <c r="L72" s="41">
        <f t="shared" si="61"/>
        <v>14.42078686057312</v>
      </c>
      <c r="M72" s="41">
        <f t="shared" si="61"/>
        <v>15.48970353721313</v>
      </c>
      <c r="N72" s="41">
        <f t="shared" si="61"/>
        <v>16.461822115902226</v>
      </c>
      <c r="O72" s="41">
        <f t="shared" si="61"/>
        <v>16.542043174769105</v>
      </c>
      <c r="P72" s="41">
        <f t="shared" si="61"/>
        <v>18.197753010022385</v>
      </c>
      <c r="Q72" s="41">
        <f t="shared" si="61"/>
        <v>18.175765763019097</v>
      </c>
      <c r="R72" s="41">
        <f t="shared" si="61"/>
        <v>20.573511943488924</v>
      </c>
      <c r="S72" s="41">
        <f t="shared" si="61"/>
        <v>19.128094078057718</v>
      </c>
      <c r="T72" s="41">
        <f t="shared" si="61"/>
        <v>19.011024442061291</v>
      </c>
      <c r="U72" s="41">
        <f t="shared" si="61"/>
        <v>19.492640855946782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52.129123841343954</v>
      </c>
      <c r="C73" s="40">
        <f t="shared" si="48"/>
        <v>53.838817889509443</v>
      </c>
      <c r="D73" s="40">
        <f t="shared" ref="D73:V73" si="63">IF(D41=0,0,D41/D31)</f>
        <v>52.887918691003669</v>
      </c>
      <c r="E73" s="40">
        <f t="shared" si="63"/>
        <v>48.721001039602882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49.898781913503363</v>
      </c>
      <c r="L73" s="40">
        <f t="shared" si="63"/>
        <v>52.530888086642605</v>
      </c>
      <c r="M73" s="40">
        <f t="shared" si="63"/>
        <v>55.065477606746086</v>
      </c>
      <c r="N73" s="40">
        <f t="shared" si="63"/>
        <v>58.746980790650369</v>
      </c>
      <c r="O73" s="40">
        <f t="shared" si="63"/>
        <v>59.346209680294102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53.261166023203302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1342.0711962557823</v>
      </c>
      <c r="C75" s="62">
        <f t="shared" si="65"/>
        <v>1344.4550806595314</v>
      </c>
      <c r="D75" s="62">
        <f t="shared" ref="D75:V75" si="66">IF(D13=0,0,D13*1000000/D23)</f>
        <v>1329.5456423533158</v>
      </c>
      <c r="E75" s="62">
        <f t="shared" si="66"/>
        <v>1388.8089451912253</v>
      </c>
      <c r="F75" s="62">
        <f t="shared" si="66"/>
        <v>1415.7261511620754</v>
      </c>
      <c r="G75" s="62">
        <f t="shared" si="66"/>
        <v>1423.387265181263</v>
      </c>
      <c r="H75" s="62">
        <f t="shared" si="66"/>
        <v>1435.6000005514281</v>
      </c>
      <c r="I75" s="62">
        <f t="shared" si="66"/>
        <v>1503.8256707393791</v>
      </c>
      <c r="J75" s="62">
        <f t="shared" si="66"/>
        <v>1606.047824910785</v>
      </c>
      <c r="K75" s="62">
        <f t="shared" si="66"/>
        <v>1599.5709277507874</v>
      </c>
      <c r="L75" s="62">
        <f t="shared" si="66"/>
        <v>1715.4529177581057</v>
      </c>
      <c r="M75" s="62">
        <f t="shared" si="66"/>
        <v>1723.472401538035</v>
      </c>
      <c r="N75" s="62">
        <f t="shared" si="66"/>
        <v>1683.5976844049683</v>
      </c>
      <c r="O75" s="62">
        <f t="shared" si="66"/>
        <v>1659.6718027139382</v>
      </c>
      <c r="P75" s="62">
        <f t="shared" si="66"/>
        <v>1658.0526975307346</v>
      </c>
      <c r="Q75" s="62">
        <f t="shared" si="66"/>
        <v>1689.6315071246904</v>
      </c>
      <c r="R75" s="62">
        <f t="shared" si="66"/>
        <v>1663.1243696188974</v>
      </c>
      <c r="S75" s="62">
        <f t="shared" si="66"/>
        <v>1734.5578995411765</v>
      </c>
      <c r="T75" s="62">
        <f t="shared" si="66"/>
        <v>1824.5386035474121</v>
      </c>
      <c r="U75" s="62">
        <f t="shared" si="66"/>
        <v>1848.62954838327</v>
      </c>
      <c r="V75" s="62">
        <f t="shared" si="66"/>
        <v>2446.8281485146745</v>
      </c>
      <c r="W75" s="62">
        <f t="shared" ref="W75" si="67">IF(W13=0,0,W13*1000000/W23)</f>
        <v>2611.4225514324617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1304.7238156105409</v>
      </c>
      <c r="C76" s="14">
        <f t="shared" si="65"/>
        <v>1301.405391092886</v>
      </c>
      <c r="D76" s="14">
        <f t="shared" ref="D76:V76" si="68">IF(D14=0,0,D14*1000000/D24)</f>
        <v>1276.0319027061514</v>
      </c>
      <c r="E76" s="14">
        <f t="shared" si="68"/>
        <v>1315.83880900804</v>
      </c>
      <c r="F76" s="14">
        <f t="shared" si="68"/>
        <v>1341.2293414505596</v>
      </c>
      <c r="G76" s="14">
        <f t="shared" si="68"/>
        <v>1345.2702549251874</v>
      </c>
      <c r="H76" s="14">
        <f t="shared" si="68"/>
        <v>1343.4287356027976</v>
      </c>
      <c r="I76" s="14">
        <f t="shared" si="68"/>
        <v>1374.7575399465616</v>
      </c>
      <c r="J76" s="14">
        <f t="shared" si="68"/>
        <v>1451.3581323439537</v>
      </c>
      <c r="K76" s="14">
        <f t="shared" si="68"/>
        <v>1490.3709676282281</v>
      </c>
      <c r="L76" s="14">
        <f t="shared" si="68"/>
        <v>1567.3101664414435</v>
      </c>
      <c r="M76" s="14">
        <f t="shared" si="68"/>
        <v>1576.0729545038228</v>
      </c>
      <c r="N76" s="14">
        <f t="shared" si="68"/>
        <v>1569.5926009218585</v>
      </c>
      <c r="O76" s="14">
        <f t="shared" si="68"/>
        <v>1567.113045562571</v>
      </c>
      <c r="P76" s="14">
        <f t="shared" si="68"/>
        <v>1575.2864380019223</v>
      </c>
      <c r="Q76" s="14">
        <f t="shared" si="68"/>
        <v>1581.6754361888022</v>
      </c>
      <c r="R76" s="14">
        <f t="shared" si="68"/>
        <v>1563.0392281145503</v>
      </c>
      <c r="S76" s="14">
        <f t="shared" si="68"/>
        <v>1621.1128017377853</v>
      </c>
      <c r="T76" s="14">
        <f t="shared" si="68"/>
        <v>1700.4985253282198</v>
      </c>
      <c r="U76" s="14">
        <f t="shared" si="68"/>
        <v>1738.1837254841976</v>
      </c>
      <c r="V76" s="14">
        <f t="shared" si="68"/>
        <v>1884.9942362279155</v>
      </c>
      <c r="W76" s="14">
        <f t="shared" ref="W76" si="69">IF(W14=0,0,W14*1000000/W24)</f>
        <v>2014.2249923945838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0</v>
      </c>
      <c r="C77" s="39">
        <f t="shared" si="65"/>
        <v>0</v>
      </c>
      <c r="D77" s="39">
        <f t="shared" ref="D77:V77" si="70">IF(D15=0,0,D15*1000000/D25)</f>
        <v>0</v>
      </c>
      <c r="E77" s="39">
        <f t="shared" si="70"/>
        <v>0</v>
      </c>
      <c r="F77" s="39">
        <f t="shared" si="70"/>
        <v>0</v>
      </c>
      <c r="G77" s="39">
        <f t="shared" si="70"/>
        <v>0</v>
      </c>
      <c r="H77" s="39">
        <f t="shared" si="70"/>
        <v>0</v>
      </c>
      <c r="I77" s="39">
        <f t="shared" si="70"/>
        <v>0</v>
      </c>
      <c r="J77" s="39">
        <f t="shared" si="70"/>
        <v>0</v>
      </c>
      <c r="K77" s="39">
        <f t="shared" si="70"/>
        <v>0</v>
      </c>
      <c r="L77" s="39">
        <f t="shared" si="70"/>
        <v>0</v>
      </c>
      <c r="M77" s="39">
        <f t="shared" si="70"/>
        <v>0</v>
      </c>
      <c r="N77" s="39">
        <f t="shared" si="70"/>
        <v>0</v>
      </c>
      <c r="O77" s="39">
        <f t="shared" si="70"/>
        <v>0</v>
      </c>
      <c r="P77" s="39">
        <f t="shared" si="70"/>
        <v>0</v>
      </c>
      <c r="Q77" s="39">
        <f t="shared" si="70"/>
        <v>0</v>
      </c>
      <c r="R77" s="39">
        <f t="shared" si="70"/>
        <v>0</v>
      </c>
      <c r="S77" s="39">
        <f t="shared" si="70"/>
        <v>0</v>
      </c>
      <c r="T77" s="39">
        <f t="shared" si="70"/>
        <v>0</v>
      </c>
      <c r="U77" s="39">
        <f t="shared" si="70"/>
        <v>0</v>
      </c>
      <c r="V77" s="39">
        <f t="shared" si="70"/>
        <v>0</v>
      </c>
      <c r="W77" s="39">
        <f t="shared" ref="W77" si="71">IF(W15=0,0,W15*1000000/W25)</f>
        <v>0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994.93579622590619</v>
      </c>
      <c r="C78" s="39">
        <f t="shared" si="65"/>
        <v>996.71719829089204</v>
      </c>
      <c r="D78" s="39">
        <f t="shared" ref="D78:V78" si="72">IF(D16=0,0,D16*1000000/D26)</f>
        <v>980.63220062001244</v>
      </c>
      <c r="E78" s="39">
        <f t="shared" si="72"/>
        <v>1016.492898040686</v>
      </c>
      <c r="F78" s="39">
        <f t="shared" si="72"/>
        <v>1021.7041306518913</v>
      </c>
      <c r="G78" s="39">
        <f t="shared" si="72"/>
        <v>1021.1723023688934</v>
      </c>
      <c r="H78" s="39">
        <f t="shared" si="72"/>
        <v>1014.5508728170589</v>
      </c>
      <c r="I78" s="39">
        <f t="shared" si="72"/>
        <v>1014.279631101295</v>
      </c>
      <c r="J78" s="39">
        <f t="shared" si="72"/>
        <v>1029.4419934987529</v>
      </c>
      <c r="K78" s="39">
        <f t="shared" si="72"/>
        <v>1040.8009261023074</v>
      </c>
      <c r="L78" s="39">
        <f t="shared" si="72"/>
        <v>1087.0166144192751</v>
      </c>
      <c r="M78" s="39">
        <f t="shared" si="72"/>
        <v>1078.0384598159333</v>
      </c>
      <c r="N78" s="39">
        <f t="shared" si="72"/>
        <v>1063.5203797568017</v>
      </c>
      <c r="O78" s="39">
        <f t="shared" si="72"/>
        <v>1076.9615444633748</v>
      </c>
      <c r="P78" s="39">
        <f t="shared" si="72"/>
        <v>1101.6222305968599</v>
      </c>
      <c r="Q78" s="39">
        <f t="shared" si="72"/>
        <v>1110.5708466937556</v>
      </c>
      <c r="R78" s="39">
        <f t="shared" si="72"/>
        <v>1128.8531535772229</v>
      </c>
      <c r="S78" s="39">
        <f t="shared" si="72"/>
        <v>1143.0915943207606</v>
      </c>
      <c r="T78" s="39">
        <f t="shared" si="72"/>
        <v>1155.4254578759358</v>
      </c>
      <c r="U78" s="39">
        <f t="shared" si="72"/>
        <v>1175.1657847418271</v>
      </c>
      <c r="V78" s="39">
        <f t="shared" si="72"/>
        <v>1171.3666244034566</v>
      </c>
      <c r="W78" s="39">
        <f t="shared" ref="W78" si="73">IF(W16=0,0,W16*1000000/W26)</f>
        <v>1237.471147845655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3095.84254777258</v>
      </c>
      <c r="C79" s="39">
        <f t="shared" si="65"/>
        <v>3095.84254777258</v>
      </c>
      <c r="D79" s="39">
        <f t="shared" ref="D79:V79" si="74">IF(D17=0,0,D17*1000000/D27)</f>
        <v>3095.84254777258</v>
      </c>
      <c r="E79" s="39">
        <f t="shared" si="74"/>
        <v>3095.84254777258</v>
      </c>
      <c r="F79" s="39">
        <f t="shared" si="74"/>
        <v>3095.84254777258</v>
      </c>
      <c r="G79" s="39">
        <f t="shared" si="74"/>
        <v>2951.6138734065453</v>
      </c>
      <c r="H79" s="39">
        <f t="shared" si="74"/>
        <v>3037.1505821581486</v>
      </c>
      <c r="I79" s="39">
        <f t="shared" si="74"/>
        <v>3110.1559065719553</v>
      </c>
      <c r="J79" s="39">
        <f t="shared" si="74"/>
        <v>3270.2284213560838</v>
      </c>
      <c r="K79" s="39">
        <f t="shared" si="74"/>
        <v>3277.6148742526989</v>
      </c>
      <c r="L79" s="39">
        <f t="shared" si="74"/>
        <v>3343.0800398906699</v>
      </c>
      <c r="M79" s="39">
        <f t="shared" si="74"/>
        <v>3376.6217280355113</v>
      </c>
      <c r="N79" s="39">
        <f t="shared" si="74"/>
        <v>3310.0597927807489</v>
      </c>
      <c r="O79" s="39">
        <f t="shared" si="74"/>
        <v>3240.3568318709858</v>
      </c>
      <c r="P79" s="39">
        <f t="shared" si="74"/>
        <v>3238.9222425589928</v>
      </c>
      <c r="Q79" s="39">
        <f t="shared" si="74"/>
        <v>3325.2520907128687</v>
      </c>
      <c r="R79" s="39">
        <f t="shared" si="74"/>
        <v>3418.1901728503508</v>
      </c>
      <c r="S79" s="39">
        <f t="shared" si="74"/>
        <v>3514.4886231433484</v>
      </c>
      <c r="T79" s="39">
        <f t="shared" si="74"/>
        <v>3610.3481246375927</v>
      </c>
      <c r="U79" s="39">
        <f t="shared" si="74"/>
        <v>3600.975002906639</v>
      </c>
      <c r="V79" s="39">
        <f t="shared" si="74"/>
        <v>4502.7558662228585</v>
      </c>
      <c r="W79" s="39">
        <f t="shared" ref="W79" si="75">IF(W17=0,0,W17*1000000/W27)</f>
        <v>4469.4011817777873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1700.7747801708883</v>
      </c>
      <c r="C80" s="15">
        <f t="shared" si="65"/>
        <v>1831.4304019903714</v>
      </c>
      <c r="D80" s="15">
        <f t="shared" ref="D80:V80" si="76">IF(D18=0,0,D18*1000000/D28)</f>
        <v>1852.2779837591929</v>
      </c>
      <c r="E80" s="15">
        <f t="shared" si="76"/>
        <v>2057.7458039125709</v>
      </c>
      <c r="F80" s="15">
        <f t="shared" si="76"/>
        <v>2052.9348760546559</v>
      </c>
      <c r="G80" s="15">
        <f t="shared" si="76"/>
        <v>2018.7811337825972</v>
      </c>
      <c r="H80" s="15">
        <f t="shared" si="76"/>
        <v>1851.6149224164089</v>
      </c>
      <c r="I80" s="15">
        <f t="shared" si="76"/>
        <v>2051.1097210113994</v>
      </c>
      <c r="J80" s="15">
        <f t="shared" si="76"/>
        <v>2416.6412655102658</v>
      </c>
      <c r="K80" s="15">
        <f t="shared" si="76"/>
        <v>2346.9527073765817</v>
      </c>
      <c r="L80" s="15">
        <f t="shared" si="76"/>
        <v>2651.210547797109</v>
      </c>
      <c r="M80" s="15">
        <f t="shared" si="76"/>
        <v>2729.3643609867154</v>
      </c>
      <c r="N80" s="15">
        <f t="shared" si="76"/>
        <v>2525.1794087718054</v>
      </c>
      <c r="O80" s="15">
        <f t="shared" si="76"/>
        <v>2351.1576281466218</v>
      </c>
      <c r="P80" s="15">
        <f t="shared" si="76"/>
        <v>2335.01090883508</v>
      </c>
      <c r="Q80" s="15">
        <f t="shared" si="76"/>
        <v>2494.8511207454426</v>
      </c>
      <c r="R80" s="15">
        <f t="shared" si="76"/>
        <v>2492.8957150794554</v>
      </c>
      <c r="S80" s="15">
        <f t="shared" si="76"/>
        <v>2619.8811210117351</v>
      </c>
      <c r="T80" s="15">
        <f t="shared" si="76"/>
        <v>2698.4060905773931</v>
      </c>
      <c r="U80" s="15">
        <f t="shared" si="76"/>
        <v>2685.4344298506244</v>
      </c>
      <c r="V80" s="15">
        <f t="shared" si="76"/>
        <v>3554.9750778854905</v>
      </c>
      <c r="W80" s="15">
        <f t="shared" ref="W80" si="77">IF(W18=0,0,W18*1000000/W28)</f>
        <v>3785.0139782246292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0</v>
      </c>
      <c r="C81" s="41">
        <f t="shared" si="65"/>
        <v>0</v>
      </c>
      <c r="D81" s="41">
        <f t="shared" ref="D81:V81" si="78">IF(D19=0,0,D19*1000000/D29)</f>
        <v>0</v>
      </c>
      <c r="E81" s="41">
        <f t="shared" si="78"/>
        <v>0</v>
      </c>
      <c r="F81" s="41">
        <f t="shared" si="78"/>
        <v>0</v>
      </c>
      <c r="G81" s="41">
        <f t="shared" si="78"/>
        <v>0</v>
      </c>
      <c r="H81" s="41">
        <f t="shared" si="78"/>
        <v>0</v>
      </c>
      <c r="I81" s="41">
        <f t="shared" si="78"/>
        <v>0</v>
      </c>
      <c r="J81" s="41">
        <f t="shared" si="78"/>
        <v>0</v>
      </c>
      <c r="K81" s="41">
        <f t="shared" si="78"/>
        <v>0</v>
      </c>
      <c r="L81" s="41">
        <f t="shared" si="78"/>
        <v>0</v>
      </c>
      <c r="M81" s="41">
        <f t="shared" si="78"/>
        <v>0</v>
      </c>
      <c r="N81" s="41">
        <f t="shared" si="78"/>
        <v>0</v>
      </c>
      <c r="O81" s="41">
        <f t="shared" si="78"/>
        <v>0</v>
      </c>
      <c r="P81" s="41">
        <f t="shared" si="78"/>
        <v>0</v>
      </c>
      <c r="Q81" s="41">
        <f t="shared" si="78"/>
        <v>0</v>
      </c>
      <c r="R81" s="41">
        <f t="shared" si="78"/>
        <v>0</v>
      </c>
      <c r="S81" s="41">
        <f t="shared" si="78"/>
        <v>0</v>
      </c>
      <c r="T81" s="41">
        <f t="shared" si="78"/>
        <v>0</v>
      </c>
      <c r="U81" s="41">
        <f t="shared" si="78"/>
        <v>0</v>
      </c>
      <c r="V81" s="41">
        <f t="shared" si="78"/>
        <v>0</v>
      </c>
      <c r="W81" s="41">
        <f t="shared" ref="W81" si="79">IF(W19=0,0,W19*1000000/W29)</f>
        <v>0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850.70527716285676</v>
      </c>
      <c r="C82" s="41">
        <f t="shared" si="65"/>
        <v>852.70069480115478</v>
      </c>
      <c r="D82" s="41">
        <f t="shared" ref="D82:V82" si="80">IF(D20=0,0,D20*1000000/D30)</f>
        <v>846.05145568670423</v>
      </c>
      <c r="E82" s="41">
        <f t="shared" si="80"/>
        <v>840.92137868130862</v>
      </c>
      <c r="F82" s="41">
        <f t="shared" si="80"/>
        <v>840.30467714364738</v>
      </c>
      <c r="G82" s="41">
        <f t="shared" si="80"/>
        <v>858.16682844036177</v>
      </c>
      <c r="H82" s="41">
        <f t="shared" si="80"/>
        <v>915.80827010212738</v>
      </c>
      <c r="I82" s="41">
        <f t="shared" si="80"/>
        <v>923.64566059245237</v>
      </c>
      <c r="J82" s="41">
        <f t="shared" si="80"/>
        <v>919.37418697228486</v>
      </c>
      <c r="K82" s="41">
        <f t="shared" si="80"/>
        <v>900.85262488387229</v>
      </c>
      <c r="L82" s="41">
        <f t="shared" si="80"/>
        <v>938.56495253781361</v>
      </c>
      <c r="M82" s="41">
        <f t="shared" si="80"/>
        <v>919.1111666068972</v>
      </c>
      <c r="N82" s="41">
        <f t="shared" si="80"/>
        <v>908.64706268877285</v>
      </c>
      <c r="O82" s="41">
        <f t="shared" si="80"/>
        <v>901.59514928136832</v>
      </c>
      <c r="P82" s="41">
        <f t="shared" si="80"/>
        <v>906.36894187976804</v>
      </c>
      <c r="Q82" s="41">
        <f t="shared" si="80"/>
        <v>902.13334690072031</v>
      </c>
      <c r="R82" s="41">
        <f t="shared" si="80"/>
        <v>910.86373239513023</v>
      </c>
      <c r="S82" s="41">
        <f t="shared" si="80"/>
        <v>926.50615860944822</v>
      </c>
      <c r="T82" s="41">
        <f t="shared" si="80"/>
        <v>939.68894937889513</v>
      </c>
      <c r="U82" s="41">
        <f t="shared" si="80"/>
        <v>947.70107913310733</v>
      </c>
      <c r="V82" s="41">
        <f t="shared" si="80"/>
        <v>949.44580678067166</v>
      </c>
      <c r="W82" s="41">
        <f t="shared" ref="W82" si="81">IF(W20=0,0,W20*1000000/W30)</f>
        <v>977.03686105408156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4512.1010524646463</v>
      </c>
      <c r="C83" s="40">
        <f t="shared" si="65"/>
        <v>4512.1010524646463</v>
      </c>
      <c r="D83" s="40">
        <f t="shared" ref="D83:V83" si="82">IF(D21=0,0,D21*1000000/D31)</f>
        <v>4512.1010524646463</v>
      </c>
      <c r="E83" s="40">
        <f t="shared" si="82"/>
        <v>4512.1010524646463</v>
      </c>
      <c r="F83" s="40">
        <f t="shared" si="82"/>
        <v>4512.1010524646463</v>
      </c>
      <c r="G83" s="40">
        <f t="shared" si="82"/>
        <v>4367.8723780986111</v>
      </c>
      <c r="H83" s="40">
        <f t="shared" si="82"/>
        <v>4538.3345814855802</v>
      </c>
      <c r="I83" s="40">
        <f t="shared" si="82"/>
        <v>4696.2654005347513</v>
      </c>
      <c r="J83" s="40">
        <f t="shared" si="82"/>
        <v>4941.2634099542465</v>
      </c>
      <c r="K83" s="40">
        <f t="shared" si="82"/>
        <v>5033.5753574862265</v>
      </c>
      <c r="L83" s="40">
        <f t="shared" si="82"/>
        <v>5183.9660177595624</v>
      </c>
      <c r="M83" s="40">
        <f t="shared" si="82"/>
        <v>5202.0348205795835</v>
      </c>
      <c r="N83" s="40">
        <f t="shared" si="82"/>
        <v>5120</v>
      </c>
      <c r="O83" s="40">
        <f t="shared" si="82"/>
        <v>5115.864514533554</v>
      </c>
      <c r="P83" s="40">
        <f t="shared" si="82"/>
        <v>5179.9974006648754</v>
      </c>
      <c r="Q83" s="40">
        <f t="shared" si="82"/>
        <v>5331.8947242620698</v>
      </c>
      <c r="R83" s="40">
        <f t="shared" si="82"/>
        <v>5490.400281842868</v>
      </c>
      <c r="S83" s="40">
        <f t="shared" si="82"/>
        <v>5652.2662075791814</v>
      </c>
      <c r="T83" s="40">
        <f t="shared" si="82"/>
        <v>5813.6931845167419</v>
      </c>
      <c r="U83" s="40">
        <f t="shared" si="82"/>
        <v>5856.1533944092089</v>
      </c>
      <c r="V83" s="40">
        <f t="shared" si="82"/>
        <v>6757.9342577254283</v>
      </c>
      <c r="W83" s="40">
        <f t="shared" ref="W83" si="83">IF(W21=0,0,W21*1000000/W31)</f>
        <v>6724.5795732803572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145355.04433379005</v>
      </c>
      <c r="C86" s="11">
        <f t="shared" si="84"/>
        <v>146311.36454061751</v>
      </c>
      <c r="D86" s="11">
        <f t="shared" ref="D86:V86" si="85">IF(D4=0,0,D4*1000000/D24)</f>
        <v>135839.50558221812</v>
      </c>
      <c r="E86" s="11">
        <f t="shared" si="85"/>
        <v>143871.37322605826</v>
      </c>
      <c r="F86" s="11">
        <f t="shared" si="85"/>
        <v>156546.44847693466</v>
      </c>
      <c r="G86" s="11">
        <f t="shared" si="85"/>
        <v>160945.31139806181</v>
      </c>
      <c r="H86" s="11">
        <f t="shared" si="85"/>
        <v>155387.14054037756</v>
      </c>
      <c r="I86" s="11">
        <f t="shared" si="85"/>
        <v>158575.21115921356</v>
      </c>
      <c r="J86" s="11">
        <f t="shared" si="85"/>
        <v>174434.33908950328</v>
      </c>
      <c r="K86" s="11">
        <f t="shared" si="85"/>
        <v>180851.78531323103</v>
      </c>
      <c r="L86" s="11">
        <f t="shared" si="85"/>
        <v>197294.19453290294</v>
      </c>
      <c r="M86" s="11">
        <f t="shared" si="85"/>
        <v>202434.14741422137</v>
      </c>
      <c r="N86" s="11">
        <f t="shared" si="85"/>
        <v>209597.71746257157</v>
      </c>
      <c r="O86" s="11">
        <f t="shared" si="85"/>
        <v>219163.02860287754</v>
      </c>
      <c r="P86" s="11">
        <f t="shared" si="85"/>
        <v>224479.49000920739</v>
      </c>
      <c r="Q86" s="11">
        <f t="shared" si="85"/>
        <v>227445.68257524047</v>
      </c>
      <c r="R86" s="11">
        <f t="shared" si="85"/>
        <v>216490.54235755443</v>
      </c>
      <c r="S86" s="11">
        <f t="shared" si="85"/>
        <v>236708.39583413652</v>
      </c>
      <c r="T86" s="11">
        <f t="shared" si="85"/>
        <v>254687.45369647603</v>
      </c>
      <c r="U86" s="11">
        <f t="shared" si="85"/>
        <v>267006.47823759069</v>
      </c>
      <c r="V86" s="11">
        <f t="shared" si="85"/>
        <v>235035.29807707859</v>
      </c>
      <c r="W86" s="11">
        <f t="shared" ref="W86" si="86">IF(W4=0,0,W4*1000000/W24)</f>
        <v>272564.09520082397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0</v>
      </c>
      <c r="C87" s="36">
        <f t="shared" si="84"/>
        <v>0</v>
      </c>
      <c r="D87" s="36">
        <f t="shared" ref="D87:V87" si="87">IF(D5=0,0,D5*1000000/D25)</f>
        <v>0</v>
      </c>
      <c r="E87" s="36">
        <f t="shared" si="87"/>
        <v>0</v>
      </c>
      <c r="F87" s="36">
        <f t="shared" si="87"/>
        <v>0</v>
      </c>
      <c r="G87" s="36">
        <f t="shared" si="87"/>
        <v>0</v>
      </c>
      <c r="H87" s="36">
        <f t="shared" si="87"/>
        <v>0</v>
      </c>
      <c r="I87" s="36">
        <f t="shared" si="87"/>
        <v>0</v>
      </c>
      <c r="J87" s="36">
        <f t="shared" si="87"/>
        <v>0</v>
      </c>
      <c r="K87" s="36">
        <f t="shared" si="87"/>
        <v>0</v>
      </c>
      <c r="L87" s="36">
        <f t="shared" si="87"/>
        <v>0</v>
      </c>
      <c r="M87" s="36">
        <f t="shared" si="87"/>
        <v>0</v>
      </c>
      <c r="N87" s="36">
        <f t="shared" si="87"/>
        <v>0</v>
      </c>
      <c r="O87" s="36">
        <f t="shared" si="87"/>
        <v>0</v>
      </c>
      <c r="P87" s="36">
        <f t="shared" si="87"/>
        <v>0</v>
      </c>
      <c r="Q87" s="36">
        <f t="shared" si="87"/>
        <v>0</v>
      </c>
      <c r="R87" s="36">
        <f t="shared" si="87"/>
        <v>0</v>
      </c>
      <c r="S87" s="36">
        <f t="shared" si="87"/>
        <v>0</v>
      </c>
      <c r="T87" s="36">
        <f t="shared" si="87"/>
        <v>0</v>
      </c>
      <c r="U87" s="36">
        <f t="shared" si="87"/>
        <v>0</v>
      </c>
      <c r="V87" s="36">
        <f t="shared" si="87"/>
        <v>0</v>
      </c>
      <c r="W87" s="36">
        <f t="shared" ref="W87" si="88">IF(W5=0,0,W5*1000000/W25)</f>
        <v>0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87454.439390819694</v>
      </c>
      <c r="C88" s="36">
        <f t="shared" si="84"/>
        <v>89361.70941805077</v>
      </c>
      <c r="D88" s="36">
        <f t="shared" ref="D88:V88" si="89">IF(D6=0,0,D6*1000000/D26)</f>
        <v>86413.673096274346</v>
      </c>
      <c r="E88" s="36">
        <f t="shared" si="89"/>
        <v>92809.453892139209</v>
      </c>
      <c r="F88" s="36">
        <f t="shared" si="89"/>
        <v>100031.87805018252</v>
      </c>
      <c r="G88" s="36">
        <f t="shared" si="89"/>
        <v>101031.60957464742</v>
      </c>
      <c r="H88" s="36">
        <f t="shared" si="89"/>
        <v>95866.371684542726</v>
      </c>
      <c r="I88" s="36">
        <f t="shared" si="89"/>
        <v>89957.065449075933</v>
      </c>
      <c r="J88" s="36">
        <f t="shared" si="89"/>
        <v>87685.512171702838</v>
      </c>
      <c r="K88" s="36">
        <f t="shared" si="89"/>
        <v>91192.708567255235</v>
      </c>
      <c r="L88" s="36">
        <f t="shared" si="89"/>
        <v>100347.2002571846</v>
      </c>
      <c r="M88" s="36">
        <f t="shared" si="89"/>
        <v>105614.88715675265</v>
      </c>
      <c r="N88" s="36">
        <f t="shared" si="89"/>
        <v>111188.61957674463</v>
      </c>
      <c r="O88" s="36">
        <f t="shared" si="89"/>
        <v>115855.525857097</v>
      </c>
      <c r="P88" s="36">
        <f t="shared" si="89"/>
        <v>121034.80539001114</v>
      </c>
      <c r="Q88" s="36">
        <f t="shared" si="89"/>
        <v>124238.26959772813</v>
      </c>
      <c r="R88" s="36">
        <f t="shared" si="89"/>
        <v>126416.14980607852</v>
      </c>
      <c r="S88" s="36">
        <f t="shared" si="89"/>
        <v>135647.28720157867</v>
      </c>
      <c r="T88" s="36">
        <f t="shared" si="89"/>
        <v>137735.06582375383</v>
      </c>
      <c r="U88" s="36">
        <f t="shared" si="89"/>
        <v>143951.09527778116</v>
      </c>
      <c r="V88" s="36">
        <f t="shared" si="89"/>
        <v>114953.44041451713</v>
      </c>
      <c r="W88" s="36">
        <f t="shared" ref="W88" si="90">IF(W6=0,0,W6*1000000/W26)</f>
        <v>146158.03149809854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480122.2129378962</v>
      </c>
      <c r="C89" s="36">
        <f t="shared" si="84"/>
        <v>481711.88095786906</v>
      </c>
      <c r="D89" s="36">
        <f t="shared" ref="D89:V89" si="91">IF(D7=0,0,D7*1000000/D27)</f>
        <v>440327.47718133079</v>
      </c>
      <c r="E89" s="36">
        <f t="shared" si="91"/>
        <v>447501.40120656946</v>
      </c>
      <c r="F89" s="36">
        <f t="shared" si="91"/>
        <v>466885.6901678709</v>
      </c>
      <c r="G89" s="36">
        <f t="shared" si="91"/>
        <v>457898.72262616863</v>
      </c>
      <c r="H89" s="36">
        <f t="shared" si="91"/>
        <v>461919.2545628309</v>
      </c>
      <c r="I89" s="36">
        <f t="shared" si="91"/>
        <v>488913.9505501776</v>
      </c>
      <c r="J89" s="36">
        <f t="shared" si="91"/>
        <v>548406.43771390186</v>
      </c>
      <c r="K89" s="36">
        <f t="shared" si="91"/>
        <v>537287.0985826141</v>
      </c>
      <c r="L89" s="36">
        <f t="shared" si="91"/>
        <v>555732.3851591415</v>
      </c>
      <c r="M89" s="36">
        <f t="shared" si="91"/>
        <v>552465.72588968242</v>
      </c>
      <c r="N89" s="36">
        <f t="shared" si="91"/>
        <v>548043.09953946935</v>
      </c>
      <c r="O89" s="36">
        <f t="shared" si="91"/>
        <v>571826.71862681978</v>
      </c>
      <c r="P89" s="36">
        <f t="shared" si="91"/>
        <v>587804.9818516582</v>
      </c>
      <c r="Q89" s="36">
        <f t="shared" si="91"/>
        <v>609420.38597240788</v>
      </c>
      <c r="R89" s="36">
        <f t="shared" si="91"/>
        <v>601352.25082307577</v>
      </c>
      <c r="S89" s="36">
        <f t="shared" si="91"/>
        <v>636997.45539963734</v>
      </c>
      <c r="T89" s="36">
        <f t="shared" si="91"/>
        <v>664470.07634742209</v>
      </c>
      <c r="U89" s="36">
        <f t="shared" si="91"/>
        <v>674145.35859931342</v>
      </c>
      <c r="V89" s="36">
        <f t="shared" si="91"/>
        <v>675525.09168793948</v>
      </c>
      <c r="W89" s="36">
        <f t="shared" ref="W89" si="92">IF(W7=0,0,W7*1000000/W27)</f>
        <v>672110.43793802871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100644.49065340018</v>
      </c>
      <c r="C90" s="13">
        <f t="shared" si="84"/>
        <v>117891.07716605201</v>
      </c>
      <c r="D90" s="13">
        <f t="shared" ref="D90:V90" si="93">IF(D8=0,0,D8*1000000/D28)</f>
        <v>113419.12002090381</v>
      </c>
      <c r="E90" s="13">
        <f t="shared" si="93"/>
        <v>121977.92206950892</v>
      </c>
      <c r="F90" s="13">
        <f t="shared" si="93"/>
        <v>117136.29984664024</v>
      </c>
      <c r="G90" s="13">
        <f t="shared" si="93"/>
        <v>107967.38691454248</v>
      </c>
      <c r="H90" s="13">
        <f t="shared" si="93"/>
        <v>87390.853989507144</v>
      </c>
      <c r="I90" s="13">
        <f t="shared" si="93"/>
        <v>99489.909919866652</v>
      </c>
      <c r="J90" s="13">
        <f t="shared" si="93"/>
        <v>122648.7433028466</v>
      </c>
      <c r="K90" s="13">
        <f t="shared" si="93"/>
        <v>132159.1796914257</v>
      </c>
      <c r="L90" s="13">
        <f t="shared" si="93"/>
        <v>156976.38264206451</v>
      </c>
      <c r="M90" s="13">
        <f t="shared" si="93"/>
        <v>167505.63113466423</v>
      </c>
      <c r="N90" s="13">
        <f t="shared" si="93"/>
        <v>161633.14799247734</v>
      </c>
      <c r="O90" s="13">
        <f t="shared" si="93"/>
        <v>152182.34787748868</v>
      </c>
      <c r="P90" s="13">
        <f t="shared" si="93"/>
        <v>173547.34108142901</v>
      </c>
      <c r="Q90" s="13">
        <f t="shared" si="93"/>
        <v>187740.22437444192</v>
      </c>
      <c r="R90" s="13">
        <f t="shared" si="93"/>
        <v>203574.29406462997</v>
      </c>
      <c r="S90" s="13">
        <f t="shared" si="93"/>
        <v>211395.85607504478</v>
      </c>
      <c r="T90" s="13">
        <f t="shared" si="93"/>
        <v>224323.39506028494</v>
      </c>
      <c r="U90" s="13">
        <f t="shared" si="93"/>
        <v>230394.88350818117</v>
      </c>
      <c r="V90" s="13">
        <f t="shared" si="93"/>
        <v>220514.9529864401</v>
      </c>
      <c r="W90" s="13">
        <f t="shared" ref="W90" si="94">IF(W8=0,0,W8*1000000/W28)</f>
        <v>226655.26293299164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0</v>
      </c>
      <c r="C91" s="34">
        <f t="shared" si="84"/>
        <v>0</v>
      </c>
      <c r="D91" s="34">
        <f t="shared" ref="D91:V91" si="95">IF(D9=0,0,D9*1000000/D29)</f>
        <v>0</v>
      </c>
      <c r="E91" s="34">
        <f t="shared" si="95"/>
        <v>0</v>
      </c>
      <c r="F91" s="34">
        <f t="shared" si="95"/>
        <v>0</v>
      </c>
      <c r="G91" s="34">
        <f t="shared" si="95"/>
        <v>0</v>
      </c>
      <c r="H91" s="34">
        <f t="shared" si="95"/>
        <v>0</v>
      </c>
      <c r="I91" s="34">
        <f t="shared" si="95"/>
        <v>0</v>
      </c>
      <c r="J91" s="34">
        <f t="shared" si="95"/>
        <v>0</v>
      </c>
      <c r="K91" s="34">
        <f t="shared" si="95"/>
        <v>0</v>
      </c>
      <c r="L91" s="34">
        <f t="shared" si="95"/>
        <v>0</v>
      </c>
      <c r="M91" s="34">
        <f t="shared" si="95"/>
        <v>0</v>
      </c>
      <c r="N91" s="34">
        <f t="shared" si="95"/>
        <v>0</v>
      </c>
      <c r="O91" s="34">
        <f t="shared" si="95"/>
        <v>0</v>
      </c>
      <c r="P91" s="34">
        <f t="shared" si="95"/>
        <v>0</v>
      </c>
      <c r="Q91" s="34">
        <f t="shared" si="95"/>
        <v>0</v>
      </c>
      <c r="R91" s="34">
        <f t="shared" si="95"/>
        <v>0</v>
      </c>
      <c r="S91" s="34">
        <f t="shared" si="95"/>
        <v>0</v>
      </c>
      <c r="T91" s="34">
        <f t="shared" si="95"/>
        <v>0</v>
      </c>
      <c r="U91" s="34">
        <f t="shared" si="95"/>
        <v>0</v>
      </c>
      <c r="V91" s="34">
        <f t="shared" si="95"/>
        <v>0</v>
      </c>
      <c r="W91" s="34">
        <f t="shared" ref="W91" si="96">IF(W9=0,0,W9*1000000/W29)</f>
        <v>0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22056.094274776042</v>
      </c>
      <c r="C92" s="34">
        <f t="shared" si="84"/>
        <v>23032.918728137727</v>
      </c>
      <c r="D92" s="34">
        <f t="shared" ref="D92:V92" si="97">IF(D10=0,0,D10*1000000/D30)</f>
        <v>21381.187007672452</v>
      </c>
      <c r="E92" s="34">
        <f t="shared" si="97"/>
        <v>21735.953890633675</v>
      </c>
      <c r="F92" s="34">
        <f t="shared" si="97"/>
        <v>19734.440329524397</v>
      </c>
      <c r="G92" s="34">
        <f t="shared" si="97"/>
        <v>19777.76637255646</v>
      </c>
      <c r="H92" s="34">
        <f t="shared" si="97"/>
        <v>17611.772500381987</v>
      </c>
      <c r="I92" s="34">
        <f t="shared" si="97"/>
        <v>17101.832537000002</v>
      </c>
      <c r="J92" s="34">
        <f t="shared" si="97"/>
        <v>16376.133890265131</v>
      </c>
      <c r="K92" s="34">
        <f t="shared" si="97"/>
        <v>16644.50375600285</v>
      </c>
      <c r="L92" s="34">
        <f t="shared" si="97"/>
        <v>17612.778341362489</v>
      </c>
      <c r="M92" s="34">
        <f t="shared" si="97"/>
        <v>18167.418172473943</v>
      </c>
      <c r="N92" s="34">
        <f t="shared" si="97"/>
        <v>19700.220869949459</v>
      </c>
      <c r="O92" s="34">
        <f t="shared" si="97"/>
        <v>19420.573548992263</v>
      </c>
      <c r="P92" s="34">
        <f t="shared" si="97"/>
        <v>21969.500442576231</v>
      </c>
      <c r="Q92" s="34">
        <f t="shared" si="97"/>
        <v>21416.171116830043</v>
      </c>
      <c r="R92" s="34">
        <f t="shared" si="97"/>
        <v>24001.100668075382</v>
      </c>
      <c r="S92" s="34">
        <f t="shared" si="97"/>
        <v>21993.57882126508</v>
      </c>
      <c r="T92" s="34">
        <f t="shared" si="97"/>
        <v>22357.158318531387</v>
      </c>
      <c r="U92" s="34">
        <f t="shared" si="97"/>
        <v>23638.301018016336</v>
      </c>
      <c r="V92" s="34">
        <f t="shared" si="97"/>
        <v>19863.172331098402</v>
      </c>
      <c r="W92" s="34">
        <f t="shared" ref="W92" si="98">IF(W10=0,0,W10*1000000/W30)</f>
        <v>19441.50061133083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360549.85445583996</v>
      </c>
      <c r="C93" s="35">
        <f t="shared" si="84"/>
        <v>377700.78705298726</v>
      </c>
      <c r="D93" s="35">
        <f t="shared" ref="D93:V93" si="99">IF(D11=0,0,D11*1000000/D31)</f>
        <v>356708.88688235177</v>
      </c>
      <c r="E93" s="35">
        <f t="shared" si="99"/>
        <v>324167.65102588962</v>
      </c>
      <c r="F93" s="35">
        <f t="shared" si="99"/>
        <v>314663.42613710702</v>
      </c>
      <c r="G93" s="35">
        <f t="shared" si="99"/>
        <v>286463.77843854949</v>
      </c>
      <c r="H93" s="35">
        <f t="shared" si="99"/>
        <v>287727.99581788131</v>
      </c>
      <c r="I93" s="35">
        <f t="shared" si="99"/>
        <v>292781.47322993819</v>
      </c>
      <c r="J93" s="35">
        <f t="shared" si="99"/>
        <v>301840.67700436834</v>
      </c>
      <c r="K93" s="35">
        <f t="shared" si="99"/>
        <v>346766.97105067078</v>
      </c>
      <c r="L93" s="35">
        <f t="shared" si="99"/>
        <v>363075.02446459851</v>
      </c>
      <c r="M93" s="35">
        <f t="shared" si="99"/>
        <v>371490.45979091438</v>
      </c>
      <c r="N93" s="35">
        <f t="shared" si="99"/>
        <v>389460.62250186084</v>
      </c>
      <c r="O93" s="35">
        <f t="shared" si="99"/>
        <v>405394.88413344498</v>
      </c>
      <c r="P93" s="35">
        <f t="shared" si="99"/>
        <v>475398.27298237797</v>
      </c>
      <c r="Q93" s="35">
        <f t="shared" si="99"/>
        <v>484006.51784739364</v>
      </c>
      <c r="R93" s="35">
        <f t="shared" si="99"/>
        <v>543814.86642091407</v>
      </c>
      <c r="S93" s="35">
        <f t="shared" si="99"/>
        <v>550565.06174907484</v>
      </c>
      <c r="T93" s="35">
        <f t="shared" si="99"/>
        <v>582074.39207639429</v>
      </c>
      <c r="U93" s="35">
        <f t="shared" si="99"/>
        <v>607648.97538493585</v>
      </c>
      <c r="V93" s="35">
        <f t="shared" si="99"/>
        <v>467174.80437576713</v>
      </c>
      <c r="W93" s="35">
        <f t="shared" ref="W93" si="100">IF(W11=0,0,W11*1000000/W31)</f>
        <v>443579.55438041838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1090.2556148065073</v>
      </c>
      <c r="C95" s="62">
        <f t="shared" si="101"/>
        <v>1083.9768633922661</v>
      </c>
      <c r="D95" s="62">
        <f t="shared" ref="D95:V95" si="102">IF(D23=0,0,D23/D43)</f>
        <v>899.74289396194331</v>
      </c>
      <c r="E95" s="62">
        <f t="shared" si="102"/>
        <v>1028.8693787093523</v>
      </c>
      <c r="F95" s="62">
        <f t="shared" si="102"/>
        <v>1044.8274217431965</v>
      </c>
      <c r="G95" s="62">
        <f t="shared" si="102"/>
        <v>1040.6364519725523</v>
      </c>
      <c r="H95" s="62">
        <f t="shared" si="102"/>
        <v>1020.8058098928707</v>
      </c>
      <c r="I95" s="62">
        <f t="shared" si="102"/>
        <v>985.86893567462062</v>
      </c>
      <c r="J95" s="62">
        <f t="shared" si="102"/>
        <v>924.04890920440801</v>
      </c>
      <c r="K95" s="62">
        <f t="shared" si="102"/>
        <v>875.62581921675348</v>
      </c>
      <c r="L95" s="62">
        <f t="shared" si="102"/>
        <v>875.01767954461081</v>
      </c>
      <c r="M95" s="62">
        <f t="shared" si="102"/>
        <v>880.37109700945518</v>
      </c>
      <c r="N95" s="62">
        <f t="shared" si="102"/>
        <v>876.62023800308782</v>
      </c>
      <c r="O95" s="62">
        <f t="shared" si="102"/>
        <v>881.89958693469623</v>
      </c>
      <c r="P95" s="62">
        <f t="shared" si="102"/>
        <v>890.15595439406536</v>
      </c>
      <c r="Q95" s="62">
        <f t="shared" si="102"/>
        <v>917.27185150180776</v>
      </c>
      <c r="R95" s="62">
        <f t="shared" si="102"/>
        <v>912.19548351941603</v>
      </c>
      <c r="S95" s="62">
        <f t="shared" si="102"/>
        <v>910.03283123578331</v>
      </c>
      <c r="T95" s="62">
        <f t="shared" si="102"/>
        <v>874.68144489593374</v>
      </c>
      <c r="U95" s="62">
        <f t="shared" si="102"/>
        <v>861.5088274260944</v>
      </c>
      <c r="V95" s="62">
        <f t="shared" si="102"/>
        <v>383.23794980202024</v>
      </c>
      <c r="W95" s="62">
        <f t="shared" ref="W95" si="103">IF(W23=0,0,W23/W43)</f>
        <v>450.29204593914949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1137.4487125680862</v>
      </c>
      <c r="C96" s="11">
        <f t="shared" si="104"/>
        <v>1140.2833408330546</v>
      </c>
      <c r="D96" s="11">
        <f t="shared" ref="D96:V96" si="105">IF(D24=0,0,D24/D44)</f>
        <v>933.84465955966607</v>
      </c>
      <c r="E96" s="11">
        <f t="shared" si="105"/>
        <v>1092.073531948914</v>
      </c>
      <c r="F96" s="11">
        <f t="shared" si="105"/>
        <v>1111.6317050067478</v>
      </c>
      <c r="G96" s="11">
        <f t="shared" si="105"/>
        <v>1112.5560583836791</v>
      </c>
      <c r="H96" s="11">
        <f t="shared" si="105"/>
        <v>1113.663127336124</v>
      </c>
      <c r="I96" s="11">
        <f t="shared" si="105"/>
        <v>1094.409864735514</v>
      </c>
      <c r="J96" s="11">
        <f t="shared" si="105"/>
        <v>1051.4172364485426</v>
      </c>
      <c r="K96" s="11">
        <f t="shared" si="105"/>
        <v>1030.1640182453784</v>
      </c>
      <c r="L96" s="11">
        <f t="shared" si="105"/>
        <v>997.91324122512333</v>
      </c>
      <c r="M96" s="11">
        <f t="shared" si="105"/>
        <v>992.18335788850186</v>
      </c>
      <c r="N96" s="11">
        <f t="shared" si="105"/>
        <v>991.16591125744719</v>
      </c>
      <c r="O96" s="11">
        <f t="shared" si="105"/>
        <v>993.72046464459333</v>
      </c>
      <c r="P96" s="11">
        <f t="shared" si="105"/>
        <v>993.66666743850874</v>
      </c>
      <c r="Q96" s="11">
        <f t="shared" si="105"/>
        <v>994.11191059558666</v>
      </c>
      <c r="R96" s="11">
        <f t="shared" si="105"/>
        <v>993.05280317400172</v>
      </c>
      <c r="S96" s="11">
        <f t="shared" si="105"/>
        <v>981.73458025639661</v>
      </c>
      <c r="T96" s="11">
        <f t="shared" si="105"/>
        <v>945.01882193530207</v>
      </c>
      <c r="U96" s="11">
        <f t="shared" si="105"/>
        <v>929.44761029086408</v>
      </c>
      <c r="V96" s="11">
        <f t="shared" si="105"/>
        <v>349.9527989487911</v>
      </c>
      <c r="W96" s="11">
        <f t="shared" ref="W96" si="106">IF(W24=0,0,W24/W44)</f>
        <v>450.79145989052279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0</v>
      </c>
      <c r="C97" s="36">
        <f t="shared" si="104"/>
        <v>0</v>
      </c>
      <c r="D97" s="36">
        <f t="shared" ref="D97:V97" si="107">IF(D25=0,0,D25/D45)</f>
        <v>0</v>
      </c>
      <c r="E97" s="36">
        <f t="shared" si="107"/>
        <v>0</v>
      </c>
      <c r="F97" s="36">
        <f t="shared" si="107"/>
        <v>0</v>
      </c>
      <c r="G97" s="36">
        <f t="shared" si="107"/>
        <v>0</v>
      </c>
      <c r="H97" s="36">
        <f t="shared" si="107"/>
        <v>0</v>
      </c>
      <c r="I97" s="36">
        <f t="shared" si="107"/>
        <v>0</v>
      </c>
      <c r="J97" s="36">
        <f t="shared" si="107"/>
        <v>0</v>
      </c>
      <c r="K97" s="36">
        <f t="shared" si="107"/>
        <v>0</v>
      </c>
      <c r="L97" s="36">
        <f t="shared" si="107"/>
        <v>0</v>
      </c>
      <c r="M97" s="36">
        <f t="shared" si="107"/>
        <v>0</v>
      </c>
      <c r="N97" s="36">
        <f t="shared" si="107"/>
        <v>0</v>
      </c>
      <c r="O97" s="36">
        <f t="shared" si="107"/>
        <v>0</v>
      </c>
      <c r="P97" s="36">
        <f t="shared" si="107"/>
        <v>0</v>
      </c>
      <c r="Q97" s="36">
        <f t="shared" si="107"/>
        <v>0</v>
      </c>
      <c r="R97" s="36">
        <f t="shared" si="107"/>
        <v>0</v>
      </c>
      <c r="S97" s="36">
        <f t="shared" si="107"/>
        <v>0</v>
      </c>
      <c r="T97" s="36">
        <f t="shared" si="107"/>
        <v>0</v>
      </c>
      <c r="U97" s="36">
        <f t="shared" si="107"/>
        <v>0</v>
      </c>
      <c r="V97" s="36">
        <f t="shared" si="107"/>
        <v>0</v>
      </c>
      <c r="W97" s="36">
        <f t="shared" ref="W97" si="108">IF(W25=0,0,W25/W45)</f>
        <v>0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1411.3615084803489</v>
      </c>
      <c r="C98" s="36">
        <f t="shared" si="104"/>
        <v>1410.2416814767776</v>
      </c>
      <c r="D98" s="36">
        <f t="shared" ref="D98:V98" si="109">IF(D26=0,0,D26/D46)</f>
        <v>1161.5551974438604</v>
      </c>
      <c r="E98" s="36">
        <f t="shared" si="109"/>
        <v>1348.9572632276099</v>
      </c>
      <c r="F98" s="36">
        <f t="shared" si="109"/>
        <v>1381.8885258077314</v>
      </c>
      <c r="G98" s="36">
        <f t="shared" si="109"/>
        <v>1395.3879347591794</v>
      </c>
      <c r="H98" s="36">
        <f t="shared" si="109"/>
        <v>1399.1918491664339</v>
      </c>
      <c r="I98" s="36">
        <f t="shared" si="109"/>
        <v>1399.4898691963726</v>
      </c>
      <c r="J98" s="36">
        <f t="shared" si="109"/>
        <v>1389.7691795171311</v>
      </c>
      <c r="K98" s="36">
        <f t="shared" si="109"/>
        <v>1381.9767645708691</v>
      </c>
      <c r="L98" s="36">
        <f t="shared" si="109"/>
        <v>1355.8550655239203</v>
      </c>
      <c r="M98" s="36">
        <f t="shared" si="109"/>
        <v>1361.3590926704269</v>
      </c>
      <c r="N98" s="36">
        <f t="shared" si="109"/>
        <v>1367.9536491101499</v>
      </c>
      <c r="O98" s="36">
        <f t="shared" si="109"/>
        <v>1361.4703621403094</v>
      </c>
      <c r="P98" s="36">
        <f t="shared" si="109"/>
        <v>1347.3526311865601</v>
      </c>
      <c r="Q98" s="36">
        <f t="shared" si="109"/>
        <v>1342.6604590943741</v>
      </c>
      <c r="R98" s="36">
        <f t="shared" si="109"/>
        <v>1332.2173296815038</v>
      </c>
      <c r="S98" s="36">
        <f t="shared" si="109"/>
        <v>1324.1253982259809</v>
      </c>
      <c r="T98" s="36">
        <f t="shared" si="109"/>
        <v>1316.9307820395602</v>
      </c>
      <c r="U98" s="36">
        <f t="shared" si="109"/>
        <v>1305.2650292839467</v>
      </c>
      <c r="V98" s="36">
        <f t="shared" si="109"/>
        <v>510.57358134355883</v>
      </c>
      <c r="W98" s="36">
        <f t="shared" ref="W98" si="110">IF(W26=0,0,W26/W46)</f>
        <v>646.9314937714247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536</v>
      </c>
      <c r="C99" s="36">
        <f t="shared" si="104"/>
        <v>536</v>
      </c>
      <c r="D99" s="36">
        <f t="shared" ref="D99:V99" si="111">IF(D27=0,0,D27/D47)</f>
        <v>422.99417392578232</v>
      </c>
      <c r="E99" s="36">
        <f t="shared" si="111"/>
        <v>512.14220997154268</v>
      </c>
      <c r="F99" s="36">
        <f t="shared" si="111"/>
        <v>536</v>
      </c>
      <c r="G99" s="36">
        <f t="shared" si="111"/>
        <v>555</v>
      </c>
      <c r="H99" s="36">
        <f t="shared" si="111"/>
        <v>543</v>
      </c>
      <c r="I99" s="36">
        <f t="shared" si="111"/>
        <v>534</v>
      </c>
      <c r="J99" s="36">
        <f t="shared" si="111"/>
        <v>513</v>
      </c>
      <c r="K99" s="36">
        <f t="shared" si="111"/>
        <v>512</v>
      </c>
      <c r="L99" s="36">
        <f t="shared" si="111"/>
        <v>505</v>
      </c>
      <c r="M99" s="36">
        <f t="shared" si="111"/>
        <v>501</v>
      </c>
      <c r="N99" s="36">
        <f t="shared" si="111"/>
        <v>509</v>
      </c>
      <c r="O99" s="36">
        <f t="shared" si="111"/>
        <v>517</v>
      </c>
      <c r="P99" s="36">
        <f t="shared" si="111"/>
        <v>517</v>
      </c>
      <c r="Q99" s="36">
        <f t="shared" si="111"/>
        <v>507</v>
      </c>
      <c r="R99" s="36">
        <f t="shared" si="111"/>
        <v>475.65146696214293</v>
      </c>
      <c r="S99" s="36">
        <f t="shared" si="111"/>
        <v>485</v>
      </c>
      <c r="T99" s="36">
        <f t="shared" si="111"/>
        <v>475</v>
      </c>
      <c r="U99" s="36">
        <f t="shared" si="111"/>
        <v>475.99999999999994</v>
      </c>
      <c r="V99" s="36">
        <f t="shared" si="111"/>
        <v>162.4672739100011</v>
      </c>
      <c r="W99" s="36">
        <f t="shared" ref="W99" si="112">IF(W27=0,0,W27/W47)</f>
        <v>230.19381936210925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779.5924028867945</v>
      </c>
      <c r="C100" s="13">
        <f t="shared" si="104"/>
        <v>695.49168740113657</v>
      </c>
      <c r="D100" s="13">
        <f t="shared" ref="D100:V100" si="113">IF(D28=0,0,D28/D48)</f>
        <v>663.17956210916668</v>
      </c>
      <c r="E100" s="13">
        <f t="shared" si="113"/>
        <v>672.21803446660113</v>
      </c>
      <c r="F100" s="13">
        <f t="shared" si="113"/>
        <v>690.09747087376479</v>
      </c>
      <c r="G100" s="13">
        <f t="shared" si="113"/>
        <v>697.14959556050496</v>
      </c>
      <c r="H100" s="13">
        <f t="shared" si="113"/>
        <v>741.68363066049528</v>
      </c>
      <c r="I100" s="13">
        <f t="shared" si="113"/>
        <v>694.00998085504932</v>
      </c>
      <c r="J100" s="13">
        <f t="shared" si="113"/>
        <v>565.24114658116684</v>
      </c>
      <c r="K100" s="13">
        <f t="shared" si="113"/>
        <v>432.0421167892797</v>
      </c>
      <c r="L100" s="13">
        <f t="shared" si="113"/>
        <v>492.16231292071183</v>
      </c>
      <c r="M100" s="13">
        <f t="shared" si="113"/>
        <v>497.65270051801923</v>
      </c>
      <c r="N100" s="13">
        <f t="shared" si="113"/>
        <v>473.05384772047512</v>
      </c>
      <c r="O100" s="13">
        <f t="shared" si="113"/>
        <v>479.11935576825715</v>
      </c>
      <c r="P100" s="13">
        <f t="shared" si="113"/>
        <v>480.63888221118134</v>
      </c>
      <c r="Q100" s="13">
        <f t="shared" si="113"/>
        <v>581.83070953798483</v>
      </c>
      <c r="R100" s="13">
        <f t="shared" si="113"/>
        <v>544.57812147452466</v>
      </c>
      <c r="S100" s="13">
        <f t="shared" si="113"/>
        <v>579.64992622491388</v>
      </c>
      <c r="T100" s="13">
        <f t="shared" si="113"/>
        <v>573.80254586964872</v>
      </c>
      <c r="U100" s="13">
        <f t="shared" si="113"/>
        <v>554.44610615931902</v>
      </c>
      <c r="V100" s="13">
        <f t="shared" si="113"/>
        <v>471.7349399367543</v>
      </c>
      <c r="W100" s="13">
        <f t="shared" ref="W100" si="114">IF(W28=0,0,W28/W48)</f>
        <v>449.31383236799468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0</v>
      </c>
      <c r="C101" s="34">
        <f t="shared" si="104"/>
        <v>0</v>
      </c>
      <c r="D101" s="34">
        <f t="shared" ref="D101:V101" si="115">IF(D29=0,0,D29/D49)</f>
        <v>0</v>
      </c>
      <c r="E101" s="34">
        <f t="shared" si="115"/>
        <v>0</v>
      </c>
      <c r="F101" s="34">
        <f t="shared" si="115"/>
        <v>0</v>
      </c>
      <c r="G101" s="34">
        <f t="shared" si="115"/>
        <v>0</v>
      </c>
      <c r="H101" s="34">
        <f t="shared" si="115"/>
        <v>0</v>
      </c>
      <c r="I101" s="34">
        <f t="shared" si="115"/>
        <v>0</v>
      </c>
      <c r="J101" s="34">
        <f t="shared" si="115"/>
        <v>0</v>
      </c>
      <c r="K101" s="34">
        <f t="shared" si="115"/>
        <v>0</v>
      </c>
      <c r="L101" s="34">
        <f t="shared" si="115"/>
        <v>0</v>
      </c>
      <c r="M101" s="34">
        <f t="shared" si="115"/>
        <v>0</v>
      </c>
      <c r="N101" s="34">
        <f t="shared" si="115"/>
        <v>0</v>
      </c>
      <c r="O101" s="34">
        <f t="shared" si="115"/>
        <v>0</v>
      </c>
      <c r="P101" s="34">
        <f t="shared" si="115"/>
        <v>0</v>
      </c>
      <c r="Q101" s="34">
        <f t="shared" si="115"/>
        <v>0</v>
      </c>
      <c r="R101" s="34">
        <f t="shared" si="115"/>
        <v>0</v>
      </c>
      <c r="S101" s="34">
        <f t="shared" si="115"/>
        <v>0</v>
      </c>
      <c r="T101" s="34">
        <f t="shared" si="115"/>
        <v>0</v>
      </c>
      <c r="U101" s="34">
        <f t="shared" si="115"/>
        <v>0</v>
      </c>
      <c r="V101" s="34">
        <f t="shared" si="115"/>
        <v>0</v>
      </c>
      <c r="W101" s="34">
        <f t="shared" ref="W101" si="116">IF(W29=0,0,W29/W49)</f>
        <v>0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1132.3077805274752</v>
      </c>
      <c r="C102" s="34">
        <f t="shared" si="104"/>
        <v>988.14670539044369</v>
      </c>
      <c r="D102" s="34">
        <f t="shared" ref="D102:V102" si="117">IF(D30=0,0,D30/D50)</f>
        <v>935.97314978548127</v>
      </c>
      <c r="E102" s="34">
        <f t="shared" si="117"/>
        <v>1070.6116758849173</v>
      </c>
      <c r="F102" s="34">
        <f t="shared" si="117"/>
        <v>1137.0282670544689</v>
      </c>
      <c r="G102" s="34">
        <f t="shared" si="117"/>
        <v>1128.747821936184</v>
      </c>
      <c r="H102" s="34">
        <f t="shared" si="117"/>
        <v>1103.6304442584917</v>
      </c>
      <c r="I102" s="34">
        <f t="shared" si="117"/>
        <v>1099.7855151952301</v>
      </c>
      <c r="J102" s="34">
        <f t="shared" si="117"/>
        <v>860.7524687683715</v>
      </c>
      <c r="K102" s="34">
        <f t="shared" si="117"/>
        <v>690.07666278019894</v>
      </c>
      <c r="L102" s="34">
        <f t="shared" si="117"/>
        <v>731.65292129114266</v>
      </c>
      <c r="M102" s="34">
        <f t="shared" si="117"/>
        <v>739.46009652285534</v>
      </c>
      <c r="N102" s="34">
        <f t="shared" si="117"/>
        <v>764.1591518937912</v>
      </c>
      <c r="O102" s="34">
        <f t="shared" si="117"/>
        <v>841.43015900214448</v>
      </c>
      <c r="P102" s="34">
        <f t="shared" si="117"/>
        <v>877.1245607982396</v>
      </c>
      <c r="Q102" s="34">
        <f t="shared" si="117"/>
        <v>1037.949038759539</v>
      </c>
      <c r="R102" s="34">
        <f t="shared" si="117"/>
        <v>1017.7321851885813</v>
      </c>
      <c r="S102" s="34">
        <f t="shared" si="117"/>
        <v>1047.8706054839847</v>
      </c>
      <c r="T102" s="34">
        <f t="shared" si="117"/>
        <v>1076.7585651015647</v>
      </c>
      <c r="U102" s="34">
        <f t="shared" si="117"/>
        <v>1063.9102591401822</v>
      </c>
      <c r="V102" s="34">
        <f t="shared" si="117"/>
        <v>1089.2096981882335</v>
      </c>
      <c r="W102" s="34">
        <f t="shared" ref="W102" si="118">IF(W30=0,0,W30/W50)</f>
        <v>1077.7950787356078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384</v>
      </c>
      <c r="C103" s="35">
        <f t="shared" si="104"/>
        <v>384</v>
      </c>
      <c r="D103" s="35">
        <f t="shared" ref="D103:V103" si="119">IF(D31=0,0,D31/D51)</f>
        <v>374.58875657712548</v>
      </c>
      <c r="E103" s="35">
        <f t="shared" si="119"/>
        <v>384</v>
      </c>
      <c r="F103" s="35">
        <f t="shared" si="119"/>
        <v>384</v>
      </c>
      <c r="G103" s="35">
        <f t="shared" si="119"/>
        <v>393</v>
      </c>
      <c r="H103" s="35">
        <f t="shared" si="119"/>
        <v>382</v>
      </c>
      <c r="I103" s="35">
        <f t="shared" si="119"/>
        <v>372</v>
      </c>
      <c r="J103" s="35">
        <f t="shared" si="119"/>
        <v>358</v>
      </c>
      <c r="K103" s="35">
        <f t="shared" si="119"/>
        <v>254.93926281562824</v>
      </c>
      <c r="L103" s="35">
        <f t="shared" si="119"/>
        <v>331.62987939062521</v>
      </c>
      <c r="M103" s="35">
        <f t="shared" si="119"/>
        <v>344</v>
      </c>
      <c r="N103" s="35">
        <f t="shared" si="119"/>
        <v>293.5506260919517</v>
      </c>
      <c r="O103" s="35">
        <f t="shared" si="119"/>
        <v>263.07171697496528</v>
      </c>
      <c r="P103" s="35">
        <f t="shared" si="119"/>
        <v>252.94561390533821</v>
      </c>
      <c r="Q103" s="35">
        <f t="shared" si="119"/>
        <v>326.36511823293296</v>
      </c>
      <c r="R103" s="35">
        <f t="shared" si="119"/>
        <v>289.53465188536677</v>
      </c>
      <c r="S103" s="35">
        <f t="shared" si="119"/>
        <v>322</v>
      </c>
      <c r="T103" s="35">
        <f t="shared" si="119"/>
        <v>314</v>
      </c>
      <c r="U103" s="35">
        <f t="shared" si="119"/>
        <v>295.90310965868423</v>
      </c>
      <c r="V103" s="35">
        <f t="shared" si="119"/>
        <v>278</v>
      </c>
      <c r="W103" s="35">
        <f t="shared" ref="W103" si="120">IF(W31=0,0,W31/W51)</f>
        <v>279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</v>
      </c>
      <c r="C107" s="43">
        <f t="shared" si="124"/>
        <v>0</v>
      </c>
      <c r="D107" s="43">
        <f t="shared" ref="D107:V107" si="125">IF(D5=0,0,D5/D$4)</f>
        <v>0</v>
      </c>
      <c r="E107" s="43">
        <f t="shared" si="125"/>
        <v>0</v>
      </c>
      <c r="F107" s="43">
        <f t="shared" si="125"/>
        <v>0</v>
      </c>
      <c r="G107" s="43">
        <f t="shared" si="125"/>
        <v>0</v>
      </c>
      <c r="H107" s="43">
        <f t="shared" si="125"/>
        <v>0</v>
      </c>
      <c r="I107" s="43">
        <f t="shared" si="125"/>
        <v>0</v>
      </c>
      <c r="J107" s="43">
        <f t="shared" si="125"/>
        <v>0</v>
      </c>
      <c r="K107" s="43">
        <f t="shared" si="125"/>
        <v>0</v>
      </c>
      <c r="L107" s="43">
        <f t="shared" si="125"/>
        <v>0</v>
      </c>
      <c r="M107" s="43">
        <f t="shared" si="125"/>
        <v>0</v>
      </c>
      <c r="N107" s="43">
        <f t="shared" si="125"/>
        <v>0</v>
      </c>
      <c r="O107" s="43">
        <f t="shared" si="125"/>
        <v>0</v>
      </c>
      <c r="P107" s="43">
        <f t="shared" si="125"/>
        <v>0</v>
      </c>
      <c r="Q107" s="43">
        <f t="shared" si="125"/>
        <v>0</v>
      </c>
      <c r="R107" s="43">
        <f t="shared" si="125"/>
        <v>0</v>
      </c>
      <c r="S107" s="43">
        <f t="shared" si="125"/>
        <v>0</v>
      </c>
      <c r="T107" s="43">
        <f t="shared" si="125"/>
        <v>0</v>
      </c>
      <c r="U107" s="43">
        <f t="shared" si="125"/>
        <v>0</v>
      </c>
      <c r="V107" s="43">
        <f t="shared" si="125"/>
        <v>0</v>
      </c>
      <c r="W107" s="43">
        <f t="shared" ref="W107" si="126">IF(W5=0,0,W5/W$4)</f>
        <v>0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0.51294328812484336</v>
      </c>
      <c r="C108" s="43">
        <f t="shared" si="127"/>
        <v>0.52211153399839205</v>
      </c>
      <c r="D108" s="43">
        <f t="shared" ref="D108:V108" si="128">IF(D6=0,0,D6/D$4)</f>
        <v>0.54730449156364103</v>
      </c>
      <c r="E108" s="43">
        <f t="shared" si="128"/>
        <v>0.55221883990654974</v>
      </c>
      <c r="F108" s="43">
        <f t="shared" si="128"/>
        <v>0.54055372126050927</v>
      </c>
      <c r="G108" s="43">
        <f t="shared" si="128"/>
        <v>0.52234895893155764</v>
      </c>
      <c r="H108" s="43">
        <f t="shared" si="128"/>
        <v>0.51663445292060206</v>
      </c>
      <c r="I108" s="43">
        <f t="shared" si="128"/>
        <v>0.46971402079866514</v>
      </c>
      <c r="J108" s="43">
        <f t="shared" si="128"/>
        <v>0.408034723136037</v>
      </c>
      <c r="K108" s="43">
        <f t="shared" si="128"/>
        <v>0.40289444328617791</v>
      </c>
      <c r="L108" s="43">
        <f t="shared" si="128"/>
        <v>0.4003375551354923</v>
      </c>
      <c r="M108" s="43">
        <f t="shared" si="128"/>
        <v>0.40868247561427712</v>
      </c>
      <c r="N108" s="43">
        <f t="shared" si="128"/>
        <v>0.41098463768272941</v>
      </c>
      <c r="O108" s="43">
        <f t="shared" si="128"/>
        <v>0.40885828352314496</v>
      </c>
      <c r="P108" s="43">
        <f t="shared" si="128"/>
        <v>0.4196878336804693</v>
      </c>
      <c r="Q108" s="43">
        <f t="shared" si="128"/>
        <v>0.43003867420627068</v>
      </c>
      <c r="R108" s="43">
        <f t="shared" si="128"/>
        <v>0.47318737794328602</v>
      </c>
      <c r="S108" s="43">
        <f t="shared" si="128"/>
        <v>0.45754098833847828</v>
      </c>
      <c r="T108" s="43">
        <f t="shared" si="128"/>
        <v>0.42072500232560417</v>
      </c>
      <c r="U108" s="43">
        <f t="shared" si="128"/>
        <v>0.41400036946411545</v>
      </c>
      <c r="V108" s="43">
        <f t="shared" si="128"/>
        <v>0.38432054544908506</v>
      </c>
      <c r="W108" s="43">
        <f t="shared" ref="W108" si="129">IF(W6=0,0,W6/W$4)</f>
        <v>0.40735659570828148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0.48705671187515659</v>
      </c>
      <c r="C109" s="43">
        <f t="shared" si="130"/>
        <v>0.47788846600160789</v>
      </c>
      <c r="D109" s="43">
        <f t="shared" ref="D109:V109" si="131">IF(D7=0,0,D7/D$4)</f>
        <v>0.45269550843635903</v>
      </c>
      <c r="E109" s="43">
        <f t="shared" si="131"/>
        <v>0.44778116009345037</v>
      </c>
      <c r="F109" s="43">
        <f t="shared" si="131"/>
        <v>0.45944627873949084</v>
      </c>
      <c r="G109" s="43">
        <f t="shared" si="131"/>
        <v>0.47765104106844242</v>
      </c>
      <c r="H109" s="43">
        <f t="shared" si="131"/>
        <v>0.48336554707939794</v>
      </c>
      <c r="I109" s="43">
        <f t="shared" si="131"/>
        <v>0.53028597920133491</v>
      </c>
      <c r="J109" s="43">
        <f t="shared" si="131"/>
        <v>0.59196527686396294</v>
      </c>
      <c r="K109" s="43">
        <f t="shared" si="131"/>
        <v>0.59710555671382215</v>
      </c>
      <c r="L109" s="43">
        <f t="shared" si="131"/>
        <v>0.5996624448645077</v>
      </c>
      <c r="M109" s="43">
        <f t="shared" si="131"/>
        <v>0.59131752438572294</v>
      </c>
      <c r="N109" s="43">
        <f t="shared" si="131"/>
        <v>0.58901536231727059</v>
      </c>
      <c r="O109" s="43">
        <f t="shared" si="131"/>
        <v>0.59114171647685509</v>
      </c>
      <c r="P109" s="43">
        <f t="shared" si="131"/>
        <v>0.58031216631953075</v>
      </c>
      <c r="Q109" s="43">
        <f t="shared" si="131"/>
        <v>0.56996132579372927</v>
      </c>
      <c r="R109" s="43">
        <f t="shared" si="131"/>
        <v>0.52681262205671398</v>
      </c>
      <c r="S109" s="43">
        <f t="shared" si="131"/>
        <v>0.54245901166152177</v>
      </c>
      <c r="T109" s="43">
        <f t="shared" si="131"/>
        <v>0.57927499767439572</v>
      </c>
      <c r="U109" s="43">
        <f t="shared" si="131"/>
        <v>0.58599963053588466</v>
      </c>
      <c r="V109" s="43">
        <f t="shared" si="131"/>
        <v>0.61567945455091488</v>
      </c>
      <c r="W109" s="43">
        <f t="shared" ref="W109" si="132">IF(W7=0,0,W7/W$4)</f>
        <v>0.59264340429171847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0</v>
      </c>
      <c r="C111" s="44">
        <f t="shared" si="136"/>
        <v>0</v>
      </c>
      <c r="D111" s="44">
        <f t="shared" ref="D111:V111" si="137">IF(D9=0,0,D9/D$8)</f>
        <v>0</v>
      </c>
      <c r="E111" s="44">
        <f t="shared" si="137"/>
        <v>0</v>
      </c>
      <c r="F111" s="44">
        <f t="shared" si="137"/>
        <v>0</v>
      </c>
      <c r="G111" s="44">
        <f t="shared" si="137"/>
        <v>0</v>
      </c>
      <c r="H111" s="44">
        <f t="shared" si="137"/>
        <v>0</v>
      </c>
      <c r="I111" s="44">
        <f t="shared" si="137"/>
        <v>0</v>
      </c>
      <c r="J111" s="44">
        <f t="shared" si="137"/>
        <v>0</v>
      </c>
      <c r="K111" s="44">
        <f t="shared" si="137"/>
        <v>0</v>
      </c>
      <c r="L111" s="44">
        <f t="shared" si="137"/>
        <v>0</v>
      </c>
      <c r="M111" s="44">
        <f t="shared" si="137"/>
        <v>0</v>
      </c>
      <c r="N111" s="44">
        <f t="shared" si="137"/>
        <v>0</v>
      </c>
      <c r="O111" s="44">
        <f t="shared" si="137"/>
        <v>0</v>
      </c>
      <c r="P111" s="44">
        <f t="shared" si="137"/>
        <v>0</v>
      </c>
      <c r="Q111" s="44">
        <f t="shared" si="137"/>
        <v>0</v>
      </c>
      <c r="R111" s="44">
        <f t="shared" si="137"/>
        <v>0</v>
      </c>
      <c r="S111" s="44">
        <f t="shared" si="137"/>
        <v>0</v>
      </c>
      <c r="T111" s="44">
        <f t="shared" si="137"/>
        <v>0</v>
      </c>
      <c r="U111" s="44">
        <f t="shared" si="137"/>
        <v>0</v>
      </c>
      <c r="V111" s="44">
        <f t="shared" si="137"/>
        <v>0</v>
      </c>
      <c r="W111" s="44">
        <f t="shared" ref="W111" si="138">IF(W9=0,0,W9/W$8)</f>
        <v>0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0.16826863749970913</v>
      </c>
      <c r="C112" s="44">
        <f t="shared" si="139"/>
        <v>0.14312041030256023</v>
      </c>
      <c r="D112" s="44">
        <f t="shared" ref="D112:V112" si="140">IF(D10=0,0,D10/D$8)</f>
        <v>0.13677286708348665</v>
      </c>
      <c r="E112" s="44">
        <f t="shared" si="140"/>
        <v>0.11913222604832757</v>
      </c>
      <c r="F112" s="44">
        <f t="shared" si="140"/>
        <v>0.11283467988762869</v>
      </c>
      <c r="G112" s="44">
        <f t="shared" si="140"/>
        <v>0.1226066018330739</v>
      </c>
      <c r="H112" s="44">
        <f t="shared" si="140"/>
        <v>0.14946788461049787</v>
      </c>
      <c r="I112" s="44">
        <f t="shared" si="140"/>
        <v>0.12052352254570545</v>
      </c>
      <c r="J112" s="44">
        <f t="shared" si="140"/>
        <v>8.3813612650824224E-2</v>
      </c>
      <c r="K112" s="44">
        <f t="shared" si="140"/>
        <v>8.1873606231573637E-2</v>
      </c>
      <c r="L112" s="44">
        <f t="shared" si="140"/>
        <v>6.6937284488434584E-2</v>
      </c>
      <c r="M112" s="44">
        <f t="shared" si="140"/>
        <v>6.2616632658388557E-2</v>
      </c>
      <c r="N112" s="44">
        <f t="shared" si="140"/>
        <v>7.5097652249034516E-2</v>
      </c>
      <c r="O112" s="44">
        <f t="shared" si="140"/>
        <v>8.371910460326408E-2</v>
      </c>
      <c r="P112" s="44">
        <f t="shared" si="140"/>
        <v>8.4272458420759935E-2</v>
      </c>
      <c r="Q112" s="44">
        <f t="shared" si="140"/>
        <v>7.3058402907072176E-2</v>
      </c>
      <c r="R112" s="44">
        <f t="shared" si="140"/>
        <v>7.7169652568847169E-2</v>
      </c>
      <c r="S112" s="44">
        <f t="shared" si="140"/>
        <v>6.6759353129264495E-2</v>
      </c>
      <c r="T112" s="44">
        <f t="shared" si="140"/>
        <v>6.3702167054599038E-2</v>
      </c>
      <c r="U112" s="44">
        <f t="shared" si="140"/>
        <v>6.6276047797925661E-2</v>
      </c>
      <c r="V112" s="44">
        <f t="shared" si="140"/>
        <v>4.967053526484029E-2</v>
      </c>
      <c r="W112" s="44">
        <f t="shared" ref="W112" si="141">IF(W10=0,0,W10/W$8)</f>
        <v>4.3869726196303138E-2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0.83173136250029089</v>
      </c>
      <c r="C113" s="45">
        <f t="shared" si="142"/>
        <v>0.85687958969743971</v>
      </c>
      <c r="D113" s="45">
        <f t="shared" ref="D113:V113" si="143">IF(D11=0,0,D11/D$8)</f>
        <v>0.86322713291651332</v>
      </c>
      <c r="E113" s="45">
        <f t="shared" si="143"/>
        <v>0.88086777395167248</v>
      </c>
      <c r="F113" s="45">
        <f t="shared" si="143"/>
        <v>0.88716532011237137</v>
      </c>
      <c r="G113" s="45">
        <f t="shared" si="143"/>
        <v>0.87739339816692619</v>
      </c>
      <c r="H113" s="45">
        <f t="shared" si="143"/>
        <v>0.85053211538950202</v>
      </c>
      <c r="I113" s="45">
        <f t="shared" si="143"/>
        <v>0.87947647745429458</v>
      </c>
      <c r="J113" s="45">
        <f t="shared" si="143"/>
        <v>0.91618638734917568</v>
      </c>
      <c r="K113" s="45">
        <f t="shared" si="143"/>
        <v>0.91812639376842631</v>
      </c>
      <c r="L113" s="45">
        <f t="shared" si="143"/>
        <v>0.9330627155115655</v>
      </c>
      <c r="M113" s="45">
        <f t="shared" si="143"/>
        <v>0.93738336734161154</v>
      </c>
      <c r="N113" s="45">
        <f t="shared" si="143"/>
        <v>0.92490234775096547</v>
      </c>
      <c r="O113" s="45">
        <f t="shared" si="143"/>
        <v>0.91628089539673585</v>
      </c>
      <c r="P113" s="45">
        <f t="shared" si="143"/>
        <v>0.91572754157923997</v>
      </c>
      <c r="Q113" s="45">
        <f t="shared" si="143"/>
        <v>0.92694159709292778</v>
      </c>
      <c r="R113" s="45">
        <f t="shared" si="143"/>
        <v>0.92283034743115278</v>
      </c>
      <c r="S113" s="45">
        <f t="shared" si="143"/>
        <v>0.93324064687073549</v>
      </c>
      <c r="T113" s="45">
        <f t="shared" si="143"/>
        <v>0.93629783294540103</v>
      </c>
      <c r="U113" s="45">
        <f t="shared" si="143"/>
        <v>0.93372395220207438</v>
      </c>
      <c r="V113" s="45">
        <f t="shared" si="143"/>
        <v>0.95032946473515967</v>
      </c>
      <c r="W113" s="45">
        <f t="shared" ref="W113" si="144">IF(W11=0,0,W11/W$8)</f>
        <v>0.95613027380369686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</v>
      </c>
      <c r="C117" s="43">
        <f t="shared" si="148"/>
        <v>0</v>
      </c>
      <c r="D117" s="43">
        <f t="shared" ref="D117:V117" si="149">IF(D15=0,0,D15/D$14)</f>
        <v>0</v>
      </c>
      <c r="E117" s="43">
        <f t="shared" si="149"/>
        <v>0</v>
      </c>
      <c r="F117" s="43">
        <f t="shared" si="149"/>
        <v>0</v>
      </c>
      <c r="G117" s="43">
        <f t="shared" si="149"/>
        <v>0</v>
      </c>
      <c r="H117" s="43">
        <f t="shared" si="149"/>
        <v>0</v>
      </c>
      <c r="I117" s="43">
        <f t="shared" si="149"/>
        <v>0</v>
      </c>
      <c r="J117" s="43">
        <f t="shared" si="149"/>
        <v>0</v>
      </c>
      <c r="K117" s="43">
        <f t="shared" si="149"/>
        <v>0</v>
      </c>
      <c r="L117" s="43">
        <f t="shared" si="149"/>
        <v>0</v>
      </c>
      <c r="M117" s="43">
        <f t="shared" si="149"/>
        <v>0</v>
      </c>
      <c r="N117" s="43">
        <f t="shared" si="149"/>
        <v>0</v>
      </c>
      <c r="O117" s="43">
        <f t="shared" si="149"/>
        <v>0</v>
      </c>
      <c r="P117" s="43">
        <f t="shared" si="149"/>
        <v>0</v>
      </c>
      <c r="Q117" s="43">
        <f t="shared" si="149"/>
        <v>0</v>
      </c>
      <c r="R117" s="43">
        <f t="shared" si="149"/>
        <v>0</v>
      </c>
      <c r="S117" s="43">
        <f t="shared" si="149"/>
        <v>0</v>
      </c>
      <c r="T117" s="43">
        <f t="shared" si="149"/>
        <v>0</v>
      </c>
      <c r="U117" s="43">
        <f t="shared" si="149"/>
        <v>0</v>
      </c>
      <c r="V117" s="43">
        <f t="shared" si="149"/>
        <v>0</v>
      </c>
      <c r="W117" s="43">
        <f t="shared" ref="W117" si="150">IF(W15=0,0,W15/W$14)</f>
        <v>0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0.65012080698244124</v>
      </c>
      <c r="C118" s="43">
        <f t="shared" si="151"/>
        <v>0.65471038645011037</v>
      </c>
      <c r="D118" s="43">
        <f t="shared" ref="D118:V118" si="152">IF(D16=0,0,D16/D$14)</f>
        <v>0.66117626711705502</v>
      </c>
      <c r="E118" s="43">
        <f t="shared" si="152"/>
        <v>0.66129470971802384</v>
      </c>
      <c r="F118" s="43">
        <f t="shared" si="152"/>
        <v>0.64441517927974667</v>
      </c>
      <c r="G118" s="43">
        <f t="shared" si="152"/>
        <v>0.63164240445683661</v>
      </c>
      <c r="H118" s="43">
        <f t="shared" si="152"/>
        <v>0.6323992470126385</v>
      </c>
      <c r="I118" s="43">
        <f t="shared" si="152"/>
        <v>0.61089298271671821</v>
      </c>
      <c r="J118" s="43">
        <f t="shared" si="152"/>
        <v>0.57574284963664046</v>
      </c>
      <c r="K118" s="43">
        <f t="shared" si="152"/>
        <v>0.55799107295596462</v>
      </c>
      <c r="L118" s="43">
        <f t="shared" si="152"/>
        <v>0.545904419440987</v>
      </c>
      <c r="M118" s="43">
        <f t="shared" si="152"/>
        <v>0.53579984957508264</v>
      </c>
      <c r="N118" s="43">
        <f t="shared" si="152"/>
        <v>0.52494121570169872</v>
      </c>
      <c r="O118" s="43">
        <f t="shared" si="152"/>
        <v>0.53152440702475323</v>
      </c>
      <c r="P118" s="43">
        <f t="shared" si="152"/>
        <v>0.54433458380048849</v>
      </c>
      <c r="Q118" s="43">
        <f t="shared" si="152"/>
        <v>0.55278813974984575</v>
      </c>
      <c r="R118" s="43">
        <f t="shared" si="152"/>
        <v>0.58524416666730439</v>
      </c>
      <c r="S118" s="43">
        <f t="shared" si="152"/>
        <v>0.56298957274849237</v>
      </c>
      <c r="T118" s="43">
        <f t="shared" si="152"/>
        <v>0.52859983675782907</v>
      </c>
      <c r="U118" s="43">
        <f t="shared" si="152"/>
        <v>0.51917170186897899</v>
      </c>
      <c r="V118" s="43">
        <f t="shared" si="152"/>
        <v>0.48830091464772302</v>
      </c>
      <c r="W118" s="43">
        <f t="shared" ref="W118" si="153">IF(W16=0,0,W16/W$14)</f>
        <v>0.46671076120946492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0.34987919301755882</v>
      </c>
      <c r="C119" s="43">
        <f t="shared" si="154"/>
        <v>0.34528961354988963</v>
      </c>
      <c r="D119" s="43">
        <f t="shared" ref="D119:V119" si="155">IF(D17=0,0,D17/D$14)</f>
        <v>0.33882373288294487</v>
      </c>
      <c r="E119" s="43">
        <f t="shared" si="155"/>
        <v>0.33870529028197621</v>
      </c>
      <c r="F119" s="43">
        <f t="shared" si="155"/>
        <v>0.35558482072025338</v>
      </c>
      <c r="G119" s="43">
        <f t="shared" si="155"/>
        <v>0.36835759554316333</v>
      </c>
      <c r="H119" s="43">
        <f t="shared" si="155"/>
        <v>0.3676007529873615</v>
      </c>
      <c r="I119" s="43">
        <f t="shared" si="155"/>
        <v>0.38910701728328168</v>
      </c>
      <c r="J119" s="43">
        <f t="shared" si="155"/>
        <v>0.42425715036335959</v>
      </c>
      <c r="K119" s="43">
        <f t="shared" si="155"/>
        <v>0.44200892704403538</v>
      </c>
      <c r="L119" s="43">
        <f t="shared" si="155"/>
        <v>0.454095580559013</v>
      </c>
      <c r="M119" s="43">
        <f t="shared" si="155"/>
        <v>0.46420015042491741</v>
      </c>
      <c r="N119" s="43">
        <f t="shared" si="155"/>
        <v>0.47505878429830128</v>
      </c>
      <c r="O119" s="43">
        <f t="shared" si="155"/>
        <v>0.46847559297524682</v>
      </c>
      <c r="P119" s="43">
        <f t="shared" si="155"/>
        <v>0.4556654161995114</v>
      </c>
      <c r="Q119" s="43">
        <f t="shared" si="155"/>
        <v>0.44721186025015414</v>
      </c>
      <c r="R119" s="43">
        <f t="shared" si="155"/>
        <v>0.41475583333269556</v>
      </c>
      <c r="S119" s="43">
        <f t="shared" si="155"/>
        <v>0.43701042725150768</v>
      </c>
      <c r="T119" s="43">
        <f t="shared" si="155"/>
        <v>0.47140016324217088</v>
      </c>
      <c r="U119" s="43">
        <f t="shared" si="155"/>
        <v>0.48082829813102101</v>
      </c>
      <c r="V119" s="43">
        <f t="shared" si="155"/>
        <v>0.51169908535227704</v>
      </c>
      <c r="W119" s="43">
        <f t="shared" ref="W119" si="156">IF(W17=0,0,W17/W$14)</f>
        <v>0.53328923879053514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</v>
      </c>
      <c r="C121" s="44">
        <f t="shared" si="160"/>
        <v>0</v>
      </c>
      <c r="D121" s="44">
        <f t="shared" ref="D121:V121" si="161">IF(D19=0,0,D19/D$18)</f>
        <v>0</v>
      </c>
      <c r="E121" s="44">
        <f t="shared" si="161"/>
        <v>0</v>
      </c>
      <c r="F121" s="44">
        <f t="shared" si="161"/>
        <v>0</v>
      </c>
      <c r="G121" s="44">
        <f t="shared" si="161"/>
        <v>0</v>
      </c>
      <c r="H121" s="44">
        <f t="shared" si="161"/>
        <v>0</v>
      </c>
      <c r="I121" s="44">
        <f t="shared" si="161"/>
        <v>0</v>
      </c>
      <c r="J121" s="44">
        <f t="shared" si="161"/>
        <v>0</v>
      </c>
      <c r="K121" s="44">
        <f t="shared" si="161"/>
        <v>0</v>
      </c>
      <c r="L121" s="44">
        <f t="shared" si="161"/>
        <v>0</v>
      </c>
      <c r="M121" s="44">
        <f t="shared" si="161"/>
        <v>0</v>
      </c>
      <c r="N121" s="44">
        <f t="shared" si="161"/>
        <v>0</v>
      </c>
      <c r="O121" s="44">
        <f t="shared" si="161"/>
        <v>0</v>
      </c>
      <c r="P121" s="44">
        <f t="shared" si="161"/>
        <v>0</v>
      </c>
      <c r="Q121" s="44">
        <f t="shared" si="161"/>
        <v>0</v>
      </c>
      <c r="R121" s="44">
        <f t="shared" si="161"/>
        <v>0</v>
      </c>
      <c r="S121" s="44">
        <f t="shared" si="161"/>
        <v>0</v>
      </c>
      <c r="T121" s="44">
        <f t="shared" si="161"/>
        <v>0</v>
      </c>
      <c r="U121" s="44">
        <f t="shared" si="161"/>
        <v>0</v>
      </c>
      <c r="V121" s="44">
        <f t="shared" si="161"/>
        <v>0</v>
      </c>
      <c r="W121" s="44">
        <f t="shared" ref="W121" si="162">IF(W19=0,0,W19/W$18)</f>
        <v>0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0.38405806954721627</v>
      </c>
      <c r="C122" s="44">
        <f t="shared" si="163"/>
        <v>0.34106702330577765</v>
      </c>
      <c r="D122" s="44">
        <f t="shared" ref="D122:V122" si="164">IF(D20=0,0,D20/D$18)</f>
        <v>0.33139429260674036</v>
      </c>
      <c r="E122" s="44">
        <f t="shared" si="164"/>
        <v>0.27320928353273677</v>
      </c>
      <c r="F122" s="44">
        <f t="shared" si="164"/>
        <v>0.27413904542152273</v>
      </c>
      <c r="G122" s="44">
        <f t="shared" si="164"/>
        <v>0.28451927252143078</v>
      </c>
      <c r="H122" s="44">
        <f t="shared" si="164"/>
        <v>0.36682987131419725</v>
      </c>
      <c r="I122" s="44">
        <f t="shared" si="164"/>
        <v>0.31573643848192745</v>
      </c>
      <c r="J122" s="44">
        <f t="shared" si="164"/>
        <v>0.23880664201660259</v>
      </c>
      <c r="K122" s="44">
        <f t="shared" si="164"/>
        <v>0.2495283027807482</v>
      </c>
      <c r="L122" s="44">
        <f t="shared" si="164"/>
        <v>0.21120035870334022</v>
      </c>
      <c r="M122" s="44">
        <f t="shared" si="164"/>
        <v>0.19441619258277301</v>
      </c>
      <c r="N122" s="44">
        <f t="shared" si="164"/>
        <v>0.22171173670005995</v>
      </c>
      <c r="O122" s="44">
        <f t="shared" si="164"/>
        <v>0.25156871023722466</v>
      </c>
      <c r="P122" s="44">
        <f t="shared" si="164"/>
        <v>0.25840418762376033</v>
      </c>
      <c r="Q122" s="44">
        <f t="shared" si="164"/>
        <v>0.23158572220835694</v>
      </c>
      <c r="R122" s="44">
        <f t="shared" si="164"/>
        <v>0.23915949244425952</v>
      </c>
      <c r="S122" s="44">
        <f t="shared" si="164"/>
        <v>0.22692346726469487</v>
      </c>
      <c r="T122" s="44">
        <f t="shared" si="164"/>
        <v>0.22258145902242898</v>
      </c>
      <c r="U122" s="44">
        <f t="shared" si="164"/>
        <v>0.22796595667021791</v>
      </c>
      <c r="V122" s="44">
        <f t="shared" si="164"/>
        <v>0.14727257961684365</v>
      </c>
      <c r="W122" s="44">
        <f t="shared" ref="W122" si="165">IF(W20=0,0,W20/W$18)</f>
        <v>0.13202142298847272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0.61594193045278378</v>
      </c>
      <c r="C123" s="45">
        <f t="shared" si="166"/>
        <v>0.65893297669422235</v>
      </c>
      <c r="D123" s="45">
        <f t="shared" ref="D123:V123" si="167">IF(D21=0,0,D21/D$18)</f>
        <v>0.66860570739325975</v>
      </c>
      <c r="E123" s="45">
        <f t="shared" si="167"/>
        <v>0.72679071646726334</v>
      </c>
      <c r="F123" s="45">
        <f t="shared" si="167"/>
        <v>0.72586095457847732</v>
      </c>
      <c r="G123" s="45">
        <f t="shared" si="167"/>
        <v>0.71548072747856917</v>
      </c>
      <c r="H123" s="45">
        <f t="shared" si="167"/>
        <v>0.63317012868580269</v>
      </c>
      <c r="I123" s="45">
        <f t="shared" si="167"/>
        <v>0.68426356151807255</v>
      </c>
      <c r="J123" s="45">
        <f t="shared" si="167"/>
        <v>0.76119335798339738</v>
      </c>
      <c r="K123" s="45">
        <f t="shared" si="167"/>
        <v>0.75047169721925167</v>
      </c>
      <c r="L123" s="45">
        <f t="shared" si="167"/>
        <v>0.78879964129665969</v>
      </c>
      <c r="M123" s="45">
        <f t="shared" si="167"/>
        <v>0.80558380741722702</v>
      </c>
      <c r="N123" s="45">
        <f t="shared" si="167"/>
        <v>0.77828826329994005</v>
      </c>
      <c r="O123" s="45">
        <f t="shared" si="167"/>
        <v>0.7484312897627754</v>
      </c>
      <c r="P123" s="45">
        <f t="shared" si="167"/>
        <v>0.74159581237623973</v>
      </c>
      <c r="Q123" s="45">
        <f t="shared" si="167"/>
        <v>0.76841427779164306</v>
      </c>
      <c r="R123" s="45">
        <f t="shared" si="167"/>
        <v>0.76084050755574051</v>
      </c>
      <c r="S123" s="45">
        <f t="shared" si="167"/>
        <v>0.77307653273530519</v>
      </c>
      <c r="T123" s="45">
        <f t="shared" si="167"/>
        <v>0.77741854097757102</v>
      </c>
      <c r="U123" s="45">
        <f t="shared" si="167"/>
        <v>0.7720340433297822</v>
      </c>
      <c r="V123" s="45">
        <f t="shared" si="167"/>
        <v>0.8527274203831563</v>
      </c>
      <c r="W123" s="45">
        <f t="shared" ref="W123" si="168">IF(W21=0,0,W21/W$18)</f>
        <v>0.86797857701152725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1509.9503009458297</v>
      </c>
      <c r="C3" s="79">
        <f t="shared" si="0"/>
        <v>1376.024677558039</v>
      </c>
      <c r="D3" s="79">
        <f t="shared" ref="D3" si="1">SUM(D4:D5)</f>
        <v>1140.6300945829755</v>
      </c>
      <c r="E3" s="79">
        <f t="shared" ref="E3" si="2">SUM(E4:E5)</f>
        <v>1244.8743766122097</v>
      </c>
      <c r="F3" s="79">
        <f t="shared" ref="F3" si="3">SUM(F4:F5)</f>
        <v>1218.682545141874</v>
      </c>
      <c r="G3" s="79">
        <f t="shared" ref="G3" si="4">SUM(G4:G5)</f>
        <v>1159.0116938950989</v>
      </c>
      <c r="H3" s="79">
        <f t="shared" ref="H3" si="5">SUM(H4:H5)</f>
        <v>1209.336457437661</v>
      </c>
      <c r="I3" s="79">
        <f t="shared" ref="I3" si="6">SUM(I4:I5)</f>
        <v>1313.4780739466903</v>
      </c>
      <c r="J3" s="79">
        <f t="shared" ref="J3" si="7">SUM(J4:J5)</f>
        <v>1420.2899398108339</v>
      </c>
      <c r="K3" s="79">
        <f t="shared" ref="K3" si="8">SUM(K4:K5)</f>
        <v>1293.9644024075674</v>
      </c>
      <c r="L3" s="79">
        <f t="shared" ref="L3" si="9">SUM(L4:L5)</f>
        <v>1375.3057609630266</v>
      </c>
      <c r="M3" s="79">
        <f t="shared" ref="M3" si="10">SUM(M4:M5)</f>
        <v>1461.0633705932928</v>
      </c>
      <c r="N3" s="79">
        <f t="shared" ref="N3" si="11">SUM(N4:N5)</f>
        <v>1345.0080825451423</v>
      </c>
      <c r="O3" s="79">
        <f t="shared" ref="O3" si="12">SUM(O4:O5)</f>
        <v>1273.0128116938949</v>
      </c>
      <c r="P3" s="79">
        <f t="shared" ref="P3" si="13">SUM(P4:P5)</f>
        <v>1330.424161650903</v>
      </c>
      <c r="Q3" s="79">
        <f t="shared" ref="Q3" si="14">SUM(Q4:Q5)</f>
        <v>1445.8631986242469</v>
      </c>
      <c r="R3" s="79">
        <f t="shared" ref="R3" si="15">SUM(R4:R5)</f>
        <v>1439.0847807394666</v>
      </c>
      <c r="S3" s="79">
        <f t="shared" ref="S3" si="16">SUM(S4:S5)</f>
        <v>1581.329406706793</v>
      </c>
      <c r="T3" s="79">
        <f t="shared" ref="T3" si="17">SUM(T4:T5)</f>
        <v>1685.8818572656919</v>
      </c>
      <c r="U3" s="79">
        <f t="shared" ref="U3" si="18">SUM(U4:U5)</f>
        <v>1704.3685296646595</v>
      </c>
      <c r="V3" s="79">
        <f t="shared" ref="V3:W3" si="19">SUM(V4:V5)</f>
        <v>1198.2459157351677</v>
      </c>
      <c r="W3" s="79">
        <f t="shared" si="19"/>
        <v>1512.0270851246778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1509.9503009458297</v>
      </c>
      <c r="C5" s="96">
        <f t="shared" si="23"/>
        <v>1376.024677558039</v>
      </c>
      <c r="D5" s="96">
        <f t="shared" ref="D5:V5" si="24">SUM(D8:D9,D12:D13)</f>
        <v>1140.6300945829755</v>
      </c>
      <c r="E5" s="96">
        <f t="shared" si="24"/>
        <v>1244.8743766122097</v>
      </c>
      <c r="F5" s="96">
        <f t="shared" si="24"/>
        <v>1218.682545141874</v>
      </c>
      <c r="G5" s="96">
        <f t="shared" si="24"/>
        <v>1159.0116938950989</v>
      </c>
      <c r="H5" s="96">
        <f t="shared" si="24"/>
        <v>1209.336457437661</v>
      </c>
      <c r="I5" s="96">
        <f t="shared" si="24"/>
        <v>1313.4780739466903</v>
      </c>
      <c r="J5" s="96">
        <f t="shared" si="24"/>
        <v>1420.2899398108339</v>
      </c>
      <c r="K5" s="96">
        <f t="shared" si="24"/>
        <v>1293.9644024075674</v>
      </c>
      <c r="L5" s="96">
        <f t="shared" si="24"/>
        <v>1375.3057609630266</v>
      </c>
      <c r="M5" s="96">
        <f t="shared" si="24"/>
        <v>1461.0633705932928</v>
      </c>
      <c r="N5" s="96">
        <f t="shared" si="24"/>
        <v>1345.0080825451423</v>
      </c>
      <c r="O5" s="96">
        <f t="shared" si="24"/>
        <v>1273.0128116938949</v>
      </c>
      <c r="P5" s="96">
        <f t="shared" si="24"/>
        <v>1330.424161650903</v>
      </c>
      <c r="Q5" s="96">
        <f t="shared" si="24"/>
        <v>1445.8631986242469</v>
      </c>
      <c r="R5" s="96">
        <f t="shared" si="24"/>
        <v>1439.0847807394666</v>
      </c>
      <c r="S5" s="96">
        <f t="shared" si="24"/>
        <v>1581.329406706793</v>
      </c>
      <c r="T5" s="96">
        <f t="shared" si="24"/>
        <v>1685.8818572656919</v>
      </c>
      <c r="U5" s="96">
        <f t="shared" si="24"/>
        <v>1704.3685296646595</v>
      </c>
      <c r="V5" s="96">
        <f t="shared" si="24"/>
        <v>1198.2459157351677</v>
      </c>
      <c r="W5" s="96">
        <f t="shared" ref="W5" si="25">SUM(W8:W9,W12:W13)</f>
        <v>1512.0270851246778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1304.3359840155351</v>
      </c>
      <c r="C6" s="21">
        <f t="shared" si="26"/>
        <v>1199.2542433572078</v>
      </c>
      <c r="D6" s="21">
        <f t="shared" ref="D6:V6" si="27">SUM(D7:D9)</f>
        <v>968.92908670195015</v>
      </c>
      <c r="E6" s="21">
        <f t="shared" si="27"/>
        <v>1030.0413272301478</v>
      </c>
      <c r="F6" s="21">
        <f t="shared" si="27"/>
        <v>1001.3924526711598</v>
      </c>
      <c r="G6" s="21">
        <f t="shared" si="27"/>
        <v>940.63228929383035</v>
      </c>
      <c r="H6" s="21">
        <f t="shared" si="27"/>
        <v>891.02106654143086</v>
      </c>
      <c r="I6" s="21">
        <f t="shared" si="27"/>
        <v>936.16580363780713</v>
      </c>
      <c r="J6" s="21">
        <f t="shared" si="27"/>
        <v>1051.7975769907123</v>
      </c>
      <c r="K6" s="21">
        <f t="shared" si="27"/>
        <v>1032.1014104296883</v>
      </c>
      <c r="L6" s="21">
        <f t="shared" si="27"/>
        <v>1063.3453569907238</v>
      </c>
      <c r="M6" s="21">
        <f t="shared" si="27"/>
        <v>1148.1008826892191</v>
      </c>
      <c r="N6" s="21">
        <f t="shared" si="27"/>
        <v>1089.0485279790696</v>
      </c>
      <c r="O6" s="21">
        <f t="shared" si="27"/>
        <v>1041.2411826165999</v>
      </c>
      <c r="P6" s="21">
        <f t="shared" si="27"/>
        <v>1102.7140333289562</v>
      </c>
      <c r="Q6" s="21">
        <f t="shared" si="27"/>
        <v>1162.5919797960632</v>
      </c>
      <c r="R6" s="21">
        <f t="shared" si="27"/>
        <v>1173.7993179033369</v>
      </c>
      <c r="S6" s="21">
        <f t="shared" si="27"/>
        <v>1284.9249149233538</v>
      </c>
      <c r="T6" s="21">
        <f t="shared" si="27"/>
        <v>1360.4445730495827</v>
      </c>
      <c r="U6" s="21">
        <f t="shared" si="27"/>
        <v>1395.6947588012927</v>
      </c>
      <c r="V6" s="21">
        <f t="shared" si="27"/>
        <v>655.42244105385225</v>
      </c>
      <c r="W6" s="21">
        <f t="shared" ref="W6" si="28">SUM(W7:W9)</f>
        <v>853.28543120226686</v>
      </c>
      <c r="DA6" s="189" t="s">
        <v>279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280</v>
      </c>
    </row>
    <row r="8" spans="1:105" ht="11.45" customHeight="1" x14ac:dyDescent="0.25">
      <c r="A8" s="83" t="s">
        <v>173</v>
      </c>
      <c r="B8" s="96">
        <v>706.64362625365231</v>
      </c>
      <c r="C8" s="96">
        <v>655.69979322716688</v>
      </c>
      <c r="D8" s="96">
        <v>536.97898294928041</v>
      </c>
      <c r="E8" s="96">
        <v>570.28274335307242</v>
      </c>
      <c r="F8" s="96">
        <v>535.8339847455926</v>
      </c>
      <c r="G8" s="96">
        <v>503.77810512530215</v>
      </c>
      <c r="H8" s="96">
        <v>482.44841490042444</v>
      </c>
      <c r="I8" s="96">
        <v>513.67300893381707</v>
      </c>
      <c r="J8" s="96">
        <v>567.25886131793277</v>
      </c>
      <c r="K8" s="96">
        <v>539.98953181283207</v>
      </c>
      <c r="L8" s="96">
        <v>553.75711326073838</v>
      </c>
      <c r="M8" s="96">
        <v>596.27781126471336</v>
      </c>
      <c r="N8" s="96">
        <v>558.30860165051126</v>
      </c>
      <c r="O8" s="96">
        <v>530.93737520172658</v>
      </c>
      <c r="P8" s="96">
        <v>565.29295920446566</v>
      </c>
      <c r="Q8" s="96">
        <v>600.18982665711565</v>
      </c>
      <c r="R8" s="96">
        <v>621.71227226969336</v>
      </c>
      <c r="S8" s="96">
        <v>693.68621899374909</v>
      </c>
      <c r="T8" s="96">
        <v>729.22485349274234</v>
      </c>
      <c r="U8" s="96">
        <v>730.03950312983204</v>
      </c>
      <c r="V8" s="96">
        <v>318.21540668149606</v>
      </c>
      <c r="W8" s="96">
        <v>449.06681129221158</v>
      </c>
      <c r="DA8" s="171" t="s">
        <v>281</v>
      </c>
    </row>
    <row r="9" spans="1:105" ht="11.45" customHeight="1" x14ac:dyDescent="0.25">
      <c r="A9" s="83" t="s">
        <v>174</v>
      </c>
      <c r="B9" s="96">
        <v>597.69235776188282</v>
      </c>
      <c r="C9" s="96">
        <v>543.55445013004089</v>
      </c>
      <c r="D9" s="96">
        <v>431.95010375266975</v>
      </c>
      <c r="E9" s="96">
        <v>459.75858387707541</v>
      </c>
      <c r="F9" s="96">
        <v>465.5584679255673</v>
      </c>
      <c r="G9" s="96">
        <v>436.85418416852815</v>
      </c>
      <c r="H9" s="96">
        <v>408.57265164100642</v>
      </c>
      <c r="I9" s="96">
        <v>422.49279470399006</v>
      </c>
      <c r="J9" s="96">
        <v>484.53871567277957</v>
      </c>
      <c r="K9" s="96">
        <v>492.11187861685607</v>
      </c>
      <c r="L9" s="96">
        <v>509.58824372998549</v>
      </c>
      <c r="M9" s="96">
        <v>551.82307142450577</v>
      </c>
      <c r="N9" s="96">
        <v>530.73992632855823</v>
      </c>
      <c r="O9" s="96">
        <v>510.30380741487323</v>
      </c>
      <c r="P9" s="96">
        <v>537.42107412449059</v>
      </c>
      <c r="Q9" s="96">
        <v>562.40215313894771</v>
      </c>
      <c r="R9" s="96">
        <v>552.08704563364358</v>
      </c>
      <c r="S9" s="96">
        <v>591.23869592960466</v>
      </c>
      <c r="T9" s="96">
        <v>631.21971955684035</v>
      </c>
      <c r="U9" s="96">
        <v>665.65525567146062</v>
      </c>
      <c r="V9" s="96">
        <v>337.20703437235613</v>
      </c>
      <c r="W9" s="96">
        <v>404.21861991005528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205.61431693029459</v>
      </c>
      <c r="C10" s="22">
        <f t="shared" si="29"/>
        <v>176.7704342008312</v>
      </c>
      <c r="D10" s="22">
        <f t="shared" ref="D10:V10" si="30">SUM(D11:D13)</f>
        <v>171.70100788102536</v>
      </c>
      <c r="E10" s="22">
        <f t="shared" si="30"/>
        <v>214.83304938206183</v>
      </c>
      <c r="F10" s="22">
        <f t="shared" si="30"/>
        <v>217.29009247071423</v>
      </c>
      <c r="G10" s="22">
        <f t="shared" si="30"/>
        <v>218.37940460126848</v>
      </c>
      <c r="H10" s="22">
        <f t="shared" si="30"/>
        <v>318.31539089623027</v>
      </c>
      <c r="I10" s="22">
        <f t="shared" si="30"/>
        <v>377.31227030888311</v>
      </c>
      <c r="J10" s="22">
        <f t="shared" si="30"/>
        <v>368.49236282012146</v>
      </c>
      <c r="K10" s="22">
        <f t="shared" si="30"/>
        <v>261.86299197787889</v>
      </c>
      <c r="L10" s="22">
        <f t="shared" si="30"/>
        <v>311.9604039723028</v>
      </c>
      <c r="M10" s="22">
        <f t="shared" si="30"/>
        <v>312.96248790407378</v>
      </c>
      <c r="N10" s="22">
        <f t="shared" si="30"/>
        <v>255.95955456607282</v>
      </c>
      <c r="O10" s="22">
        <f t="shared" si="30"/>
        <v>231.77162907729493</v>
      </c>
      <c r="P10" s="22">
        <f t="shared" si="30"/>
        <v>227.71012832194674</v>
      </c>
      <c r="Q10" s="22">
        <f t="shared" si="30"/>
        <v>283.27121882818363</v>
      </c>
      <c r="R10" s="22">
        <f t="shared" si="30"/>
        <v>265.28546283612974</v>
      </c>
      <c r="S10" s="22">
        <f t="shared" si="30"/>
        <v>296.40449178343914</v>
      </c>
      <c r="T10" s="22">
        <f t="shared" si="30"/>
        <v>325.43728421610911</v>
      </c>
      <c r="U10" s="22">
        <f t="shared" si="30"/>
        <v>308.67377086336683</v>
      </c>
      <c r="V10" s="22">
        <f t="shared" si="30"/>
        <v>542.8234746813157</v>
      </c>
      <c r="W10" s="22">
        <f t="shared" ref="W10" si="31">SUM(W11:W13)</f>
        <v>658.74165392241105</v>
      </c>
      <c r="DA10" s="193" t="s">
        <v>283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284</v>
      </c>
    </row>
    <row r="12" spans="1:105" ht="11.45" customHeight="1" x14ac:dyDescent="0.25">
      <c r="A12" s="92" t="s">
        <v>173</v>
      </c>
      <c r="B12" s="97">
        <v>58.794111834437459</v>
      </c>
      <c r="C12" s="97">
        <v>44.099589959874855</v>
      </c>
      <c r="D12" s="97">
        <v>41.476050966786268</v>
      </c>
      <c r="E12" s="97">
        <v>41.811529857528434</v>
      </c>
      <c r="F12" s="97">
        <v>42.447852955516161</v>
      </c>
      <c r="G12" s="97">
        <v>46.461536170540278</v>
      </c>
      <c r="H12" s="97">
        <v>89.70616172964381</v>
      </c>
      <c r="I12" s="97">
        <v>98.090783455886125</v>
      </c>
      <c r="J12" s="97">
        <v>78.884706866528177</v>
      </c>
      <c r="K12" s="97">
        <v>56.47300008585276</v>
      </c>
      <c r="L12" s="97">
        <v>57.761814274200098</v>
      </c>
      <c r="M12" s="97">
        <v>55.730585061639466</v>
      </c>
      <c r="N12" s="97">
        <v>52.596320950670631</v>
      </c>
      <c r="O12" s="97">
        <v>51.817463023297414</v>
      </c>
      <c r="P12" s="97">
        <v>50.58204714061209</v>
      </c>
      <c r="Q12" s="97">
        <v>56.601781069248318</v>
      </c>
      <c r="R12" s="97">
        <v>51.362578438529852</v>
      </c>
      <c r="S12" s="97">
        <v>62.817755956677637</v>
      </c>
      <c r="T12" s="97">
        <v>75.916767259514728</v>
      </c>
      <c r="U12" s="97">
        <v>74.004329475035519</v>
      </c>
      <c r="V12" s="97">
        <v>111.8012124893167</v>
      </c>
      <c r="W12" s="97">
        <v>153.65722821580187</v>
      </c>
      <c r="DA12" s="175" t="s">
        <v>285</v>
      </c>
    </row>
    <row r="13" spans="1:105" ht="11.45" customHeight="1" x14ac:dyDescent="0.25">
      <c r="A13" s="85" t="s">
        <v>174</v>
      </c>
      <c r="B13" s="98">
        <v>146.82020509585715</v>
      </c>
      <c r="C13" s="98">
        <v>132.67084424095634</v>
      </c>
      <c r="D13" s="98">
        <v>130.2249569142391</v>
      </c>
      <c r="E13" s="98">
        <v>173.0215195245334</v>
      </c>
      <c r="F13" s="98">
        <v>174.84223951519806</v>
      </c>
      <c r="G13" s="98">
        <v>171.91786843072819</v>
      </c>
      <c r="H13" s="98">
        <v>228.60922916658646</v>
      </c>
      <c r="I13" s="98">
        <v>279.22148685299697</v>
      </c>
      <c r="J13" s="98">
        <v>289.60765595359328</v>
      </c>
      <c r="K13" s="98">
        <v>205.38999189202616</v>
      </c>
      <c r="L13" s="98">
        <v>254.19858969810272</v>
      </c>
      <c r="M13" s="98">
        <v>257.23190284243429</v>
      </c>
      <c r="N13" s="98">
        <v>203.36323361540218</v>
      </c>
      <c r="O13" s="98">
        <v>179.95416605399751</v>
      </c>
      <c r="P13" s="98">
        <v>177.12808118133464</v>
      </c>
      <c r="Q13" s="98">
        <v>226.66943775893532</v>
      </c>
      <c r="R13" s="98">
        <v>213.92288439759989</v>
      </c>
      <c r="S13" s="98">
        <v>233.5867358267615</v>
      </c>
      <c r="T13" s="98">
        <v>249.52051695659441</v>
      </c>
      <c r="U13" s="98">
        <v>234.66944138833131</v>
      </c>
      <c r="V13" s="98">
        <v>431.02226219199895</v>
      </c>
      <c r="W13" s="98">
        <v>505.08442570660918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724.0517716304206</v>
      </c>
      <c r="C17" s="62">
        <f>IF(C3=0,0,C3/TrAvia_act!C13*100)</f>
        <v>688.55460272866105</v>
      </c>
      <c r="D17" s="62">
        <f>IF(D3=0,0,D3/TrAvia_act!D13*100)</f>
        <v>775.98857923348032</v>
      </c>
      <c r="E17" s="62">
        <f>IF(E3=0,0,E3/TrAvia_act!E13*100)</f>
        <v>776.95820784476882</v>
      </c>
      <c r="F17" s="62">
        <f>IF(F3=0,0,F3/TrAvia_act!F13*100)</f>
        <v>699.19262626253555</v>
      </c>
      <c r="G17" s="62">
        <f>IF(G3=0,0,G3/TrAvia_act!G13*100)</f>
        <v>663.4967175746491</v>
      </c>
      <c r="H17" s="62">
        <f>IF(H3=0,0,H3/TrAvia_act!H13*100)</f>
        <v>581.80188989283158</v>
      </c>
      <c r="I17" s="62">
        <f>IF(I3=0,0,I3/TrAvia_act!I13*100)</f>
        <v>556.679409333546</v>
      </c>
      <c r="J17" s="62">
        <f>IF(J3=0,0,J3/TrAvia_act!J13*100)</f>
        <v>571.16741561025503</v>
      </c>
      <c r="K17" s="62">
        <f>IF(K3=0,0,K3/TrAvia_act!K13*100)</f>
        <v>568.09908095597564</v>
      </c>
      <c r="L17" s="62">
        <f>IF(L3=0,0,L3/TrAvia_act!L13*100)</f>
        <v>554.69780442111164</v>
      </c>
      <c r="M17" s="62">
        <f>IF(M3=0,0,M3/TrAvia_act!M13*100)</f>
        <v>559.7073788475135</v>
      </c>
      <c r="N17" s="62">
        <f>IF(N3=0,0,N3/TrAvia_act!N13*100)</f>
        <v>544.25809499804302</v>
      </c>
      <c r="O17" s="62">
        <f>IF(O3=0,0,O3/TrAvia_act!O13*100)</f>
        <v>537.83417899787912</v>
      </c>
      <c r="P17" s="62">
        <f>IF(P3=0,0,P3/TrAvia_act!P13*100)</f>
        <v>546.82605367144288</v>
      </c>
      <c r="Q17" s="62">
        <f>IF(Q3=0,0,Q3/TrAvia_act!Q13*100)</f>
        <v>550.6147745610582</v>
      </c>
      <c r="R17" s="62">
        <f>IF(R3=0,0,R3/TrAvia_act!R13*100)</f>
        <v>574.1309222408903</v>
      </c>
      <c r="S17" s="62">
        <f>IF(S3=0,0,S3/TrAvia_act!S13*100)</f>
        <v>588.69274319814031</v>
      </c>
      <c r="T17" s="62">
        <f>IF(T3=0,0,T3/TrAvia_act!T13*100)</f>
        <v>579.9531065527168</v>
      </c>
      <c r="U17" s="62">
        <f>IF(U3=0,0,U3/TrAvia_act!U13*100)</f>
        <v>588.02802654846346</v>
      </c>
      <c r="V17" s="62">
        <f>IF(V3=0,0,V3/TrAvia_act!V13*100)</f>
        <v>659.62738324322163</v>
      </c>
      <c r="W17" s="62">
        <f>IF(W3=0,0,W3/TrAvia_act!W13*100)</f>
        <v>642.33272535886692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710.3440850742511</v>
      </c>
      <c r="C18" s="14">
        <f>IF(C6=0,0,C6/TrAvia_act!C14*100)</f>
        <v>674.75565496421621</v>
      </c>
      <c r="D18" s="14">
        <f>IF(D6=0,0,D6/TrAvia_act!D14*100)</f>
        <v>757.13414016713443</v>
      </c>
      <c r="E18" s="14">
        <f>IF(E6=0,0,E6/TrAvia_act!E14*100)</f>
        <v>752.54233054116548</v>
      </c>
      <c r="F18" s="14">
        <f>IF(F6=0,0,F6/TrAvia_act!F14*100)</f>
        <v>677.33793696023019</v>
      </c>
      <c r="G18" s="14">
        <f>IF(G6=0,0,G6/TrAvia_act!G14*100)</f>
        <v>644.50254557353185</v>
      </c>
      <c r="H18" s="14">
        <f>IF(H6=0,0,H6/TrAvia_act!H14*100)</f>
        <v>559.56265012465235</v>
      </c>
      <c r="I18" s="14">
        <f>IF(I6=0,0,I6/TrAvia_act!I14*100)</f>
        <v>536.37260778285236</v>
      </c>
      <c r="J18" s="14">
        <f>IF(J6=0,0,J6/TrAvia_act!J14*100)</f>
        <v>557.38348166956348</v>
      </c>
      <c r="K18" s="14">
        <f>IF(K6=0,0,K6/TrAvia_act!K14*100)</f>
        <v>557.39049137031839</v>
      </c>
      <c r="L18" s="14">
        <f>IF(L6=0,0,L6/TrAvia_act!L14*100)</f>
        <v>543.72758684211908</v>
      </c>
      <c r="M18" s="14">
        <f>IF(M6=0,0,M6/TrAvia_act!M14*100)</f>
        <v>551.42666903431143</v>
      </c>
      <c r="N18" s="14">
        <f>IF(N6=0,0,N6/TrAvia_act!N14*100)</f>
        <v>536.72578777406989</v>
      </c>
      <c r="O18" s="14">
        <f>IF(O6=0,0,O6/TrAvia_act!O14*100)</f>
        <v>528.25829596059816</v>
      </c>
      <c r="P18" s="14">
        <f>IF(P6=0,0,P6/TrAvia_act!P14*100)</f>
        <v>535.37122708397146</v>
      </c>
      <c r="Q18" s="14">
        <f>IF(Q6=0,0,Q6/TrAvia_act!Q14*100)</f>
        <v>536.36768257381482</v>
      </c>
      <c r="R18" s="14">
        <f>IF(R6=0,0,R6/TrAvia_act!R14*100)</f>
        <v>558.38115441378363</v>
      </c>
      <c r="S18" s="14">
        <f>IF(S6=0,0,S6/TrAvia_act!S14*100)</f>
        <v>577.40767678752002</v>
      </c>
      <c r="T18" s="14">
        <f>IF(T6=0,0,T6/TrAvia_act!T14*100)</f>
        <v>573.4137797549273</v>
      </c>
      <c r="U18" s="14">
        <f>IF(U6=0,0,U6/TrAvia_act!U14*100)</f>
        <v>579.72217110196482</v>
      </c>
      <c r="V18" s="14">
        <f>IF(V6=0,0,V6/TrAvia_act!V14*100)</f>
        <v>705.79992680351893</v>
      </c>
      <c r="W18" s="14">
        <f>IF(W6=0,0,W6/TrAvia_act!W14*100)</f>
        <v>709.11041214087584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0</v>
      </c>
      <c r="C19" s="87">
        <f>IF(C7=0,0,C7/TrAvia_act!C15*100)</f>
        <v>0</v>
      </c>
      <c r="D19" s="87">
        <f>IF(D7=0,0,D7/TrAvia_act!D15*100)</f>
        <v>0</v>
      </c>
      <c r="E19" s="87">
        <f>IF(E7=0,0,E7/TrAvia_act!E15*100)</f>
        <v>0</v>
      </c>
      <c r="F19" s="87">
        <f>IF(F7=0,0,F7/TrAvia_act!F15*100)</f>
        <v>0</v>
      </c>
      <c r="G19" s="87">
        <f>IF(G7=0,0,G7/TrAvia_act!G15*100)</f>
        <v>0</v>
      </c>
      <c r="H19" s="87">
        <f>IF(H7=0,0,H7/TrAvia_act!H15*100)</f>
        <v>0</v>
      </c>
      <c r="I19" s="87">
        <f>IF(I7=0,0,I7/TrAvia_act!I15*100)</f>
        <v>0</v>
      </c>
      <c r="J19" s="87">
        <f>IF(J7=0,0,J7/TrAvia_act!J15*100)</f>
        <v>0</v>
      </c>
      <c r="K19" s="87">
        <f>IF(K7=0,0,K7/TrAvia_act!K15*100)</f>
        <v>0</v>
      </c>
      <c r="L19" s="87">
        <f>IF(L7=0,0,L7/TrAvia_act!L15*100)</f>
        <v>0</v>
      </c>
      <c r="M19" s="87">
        <f>IF(M7=0,0,M7/TrAvia_act!M15*100)</f>
        <v>0</v>
      </c>
      <c r="N19" s="87">
        <f>IF(N7=0,0,N7/TrAvia_act!N15*100)</f>
        <v>0</v>
      </c>
      <c r="O19" s="87">
        <f>IF(O7=0,0,O7/TrAvia_act!O15*100)</f>
        <v>0</v>
      </c>
      <c r="P19" s="87">
        <f>IF(P7=0,0,P7/TrAvia_act!P15*100)</f>
        <v>0</v>
      </c>
      <c r="Q19" s="87">
        <f>IF(Q7=0,0,Q7/TrAvia_act!Q15*100)</f>
        <v>0</v>
      </c>
      <c r="R19" s="87">
        <f>IF(R7=0,0,R7/TrAvia_act!R15*100)</f>
        <v>0</v>
      </c>
      <c r="S19" s="87">
        <f>IF(S7=0,0,S7/TrAvia_act!S15*100)</f>
        <v>0</v>
      </c>
      <c r="T19" s="87">
        <f>IF(T7=0,0,T7/TrAvia_act!T15*100)</f>
        <v>0</v>
      </c>
      <c r="U19" s="87">
        <f>IF(U7=0,0,U7/TrAvia_act!U15*100)</f>
        <v>0</v>
      </c>
      <c r="V19" s="87">
        <f>IF(V7=0,0,V7/TrAvia_act!V15*100)</f>
        <v>0</v>
      </c>
      <c r="W19" s="87">
        <f>IF(W7=0,0,W7/TrAvia_act!W15*100)</f>
        <v>0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591.95088346868965</v>
      </c>
      <c r="C20" s="87">
        <f>IF(C8=0,0,C8/TrAvia_act!C16*100)</f>
        <v>563.49632127856125</v>
      </c>
      <c r="D20" s="87">
        <f>IF(D8=0,0,D8/TrAvia_act!D16*100)</f>
        <v>634.63039437812699</v>
      </c>
      <c r="E20" s="87">
        <f>IF(E8=0,0,E8/TrAvia_act!E16*100)</f>
        <v>630.04484996661085</v>
      </c>
      <c r="F20" s="87">
        <f>IF(F8=0,0,F8/TrAvia_act!F16*100)</f>
        <v>562.42624699576493</v>
      </c>
      <c r="G20" s="87">
        <f>IF(G8=0,0,G8/TrAvia_act!G16*100)</f>
        <v>546.47810291520557</v>
      </c>
      <c r="H20" s="87">
        <f>IF(H8=0,0,H8/TrAvia_act!H16*100)</f>
        <v>479.09350784022246</v>
      </c>
      <c r="I20" s="87">
        <f>IF(I8=0,0,I8/TrAvia_act!I16*100)</f>
        <v>481.76520158119257</v>
      </c>
      <c r="J20" s="87">
        <f>IF(J8=0,0,J8/TrAvia_act!J16*100)</f>
        <v>522.12521112676404</v>
      </c>
      <c r="K20" s="87">
        <f>IF(K8=0,0,K8/TrAvia_act!K16*100)</f>
        <v>522.63112940702183</v>
      </c>
      <c r="L20" s="87">
        <f>IF(L8=0,0,L8/TrAvia_act!L16*100)</f>
        <v>518.69222342690614</v>
      </c>
      <c r="M20" s="87">
        <f>IF(M8=0,0,M8/TrAvia_act!M16*100)</f>
        <v>534.50746724936403</v>
      </c>
      <c r="N20" s="87">
        <f>IF(N8=0,0,N8/TrAvia_act!N16*100)</f>
        <v>524.16603493952334</v>
      </c>
      <c r="O20" s="87">
        <f>IF(O8=0,0,O8/TrAvia_act!O16*100)</f>
        <v>506.77487611906275</v>
      </c>
      <c r="P20" s="87">
        <f>IF(P8=0,0,P8/TrAvia_act!P16*100)</f>
        <v>504.19643883188769</v>
      </c>
      <c r="Q20" s="87">
        <f>IF(Q8=0,0,Q8/TrAvia_act!Q16*100)</f>
        <v>500.91633377116761</v>
      </c>
      <c r="R20" s="87">
        <f>IF(R8=0,0,R8/TrAvia_act!R16*100)</f>
        <v>505.34648122218482</v>
      </c>
      <c r="S20" s="87">
        <f>IF(S8=0,0,S8/TrAvia_act!S16*100)</f>
        <v>553.69106957322924</v>
      </c>
      <c r="T20" s="87">
        <f>IF(T8=0,0,T8/TrAvia_act!T16*100)</f>
        <v>581.46249834977289</v>
      </c>
      <c r="U20" s="87">
        <f>IF(U8=0,0,U8/TrAvia_act!U16*100)</f>
        <v>584.0698799630178</v>
      </c>
      <c r="V20" s="87">
        <f>IF(V8=0,0,V8/TrAvia_act!V16*100)</f>
        <v>701.76865565849016</v>
      </c>
      <c r="W20" s="87">
        <f>IF(W8=0,0,W8/TrAvia_act!W16*100)</f>
        <v>799.61821056856581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930.33397102662786</v>
      </c>
      <c r="C21" s="87">
        <f>IF(C9=0,0,C9/TrAvia_act!C17*100)</f>
        <v>885.7166526166759</v>
      </c>
      <c r="D21" s="87">
        <f>IF(D9=0,0,D9/TrAvia_act!D17*100)</f>
        <v>996.1863714245444</v>
      </c>
      <c r="E21" s="87">
        <f>IF(E9=0,0,E9/TrAvia_act!E17*100)</f>
        <v>991.70876278171374</v>
      </c>
      <c r="F21" s="87">
        <f>IF(F9=0,0,F9/TrAvia_act!F17*100)</f>
        <v>885.58877607028046</v>
      </c>
      <c r="G21" s="87">
        <f>IF(G9=0,0,G9/TrAvia_act!G17*100)</f>
        <v>812.59028261326205</v>
      </c>
      <c r="H21" s="87">
        <f>IF(H9=0,0,H9/TrAvia_act!H17*100)</f>
        <v>697.99714617742814</v>
      </c>
      <c r="I21" s="87">
        <f>IF(I9=0,0,I9/TrAvia_act!I17*100)</f>
        <v>622.10552898758328</v>
      </c>
      <c r="J21" s="87">
        <f>IF(J9=0,0,J9/TrAvia_act!J17*100)</f>
        <v>605.23110695574906</v>
      </c>
      <c r="K21" s="87">
        <f>IF(K9=0,0,K9/TrAvia_act!K17*100)</f>
        <v>601.27063154502628</v>
      </c>
      <c r="L21" s="87">
        <f>IF(L9=0,0,L9/TrAvia_act!L17*100)</f>
        <v>573.82458869765662</v>
      </c>
      <c r="M21" s="87">
        <f>IF(M9=0,0,M9/TrAvia_act!M17*100)</f>
        <v>570.9555420064703</v>
      </c>
      <c r="N21" s="87">
        <f>IF(N9=0,0,N9/TrAvia_act!N17*100)</f>
        <v>550.60434794345656</v>
      </c>
      <c r="O21" s="87">
        <f>IF(O9=0,0,O9/TrAvia_act!O17*100)</f>
        <v>552.63301721259563</v>
      </c>
      <c r="P21" s="87">
        <f>IF(P9=0,0,P9/TrAvia_act!P17*100)</f>
        <v>572.61240182530048</v>
      </c>
      <c r="Q21" s="87">
        <f>IF(Q9=0,0,Q9/TrAvia_act!Q17*100)</f>
        <v>580.18826717386639</v>
      </c>
      <c r="R21" s="87">
        <f>IF(R9=0,0,R9/TrAvia_act!R17*100)</f>
        <v>633.21610698597055</v>
      </c>
      <c r="S21" s="87">
        <f>IF(S9=0,0,S9/TrAvia_act!S17*100)</f>
        <v>607.96118702432011</v>
      </c>
      <c r="T21" s="87">
        <f>IF(T9=0,0,T9/TrAvia_act!T17*100)</f>
        <v>564.38843002640078</v>
      </c>
      <c r="U21" s="87">
        <f>IF(U9=0,0,U9/TrAvia_act!U17*100)</f>
        <v>575.02775644834014</v>
      </c>
      <c r="V21" s="87">
        <f>IF(V9=0,0,V9/TrAvia_act!V17*100)</f>
        <v>709.64686232413885</v>
      </c>
      <c r="W21" s="87">
        <f>IF(W9=0,0,W9/TrAvia_act!W17*100)</f>
        <v>629.90205684876503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825.04947900170066</v>
      </c>
      <c r="C22" s="15">
        <f>IF(C10=0,0,C10/TrAvia_act!C18*100)</f>
        <v>799.47338208919905</v>
      </c>
      <c r="D22" s="15">
        <f>IF(D10=0,0,D10/TrAvia_act!D18*100)</f>
        <v>902.86562370625484</v>
      </c>
      <c r="E22" s="15">
        <f>IF(E10=0,0,E10/TrAvia_act!E18*100)</f>
        <v>920.08576861728739</v>
      </c>
      <c r="F22" s="15">
        <f>IF(F10=0,0,F10/TrAvia_act!F18*100)</f>
        <v>821.32099285857691</v>
      </c>
      <c r="G22" s="15">
        <f>IF(G10=0,0,G10/TrAvia_act!G18*100)</f>
        <v>759.96830243010891</v>
      </c>
      <c r="H22" s="15">
        <f>IF(H10=0,0,H10/TrAvia_act!H18*100)</f>
        <v>654.62970134486545</v>
      </c>
      <c r="I22" s="15">
        <f>IF(I10=0,0,I10/TrAvia_act!I18*100)</f>
        <v>614.39225822782055</v>
      </c>
      <c r="J22" s="15">
        <f>IF(J10=0,0,J10/TrAvia_act!J18*100)</f>
        <v>614.54619180756663</v>
      </c>
      <c r="K22" s="15">
        <f>IF(K10=0,0,K10/TrAvia_act!K18*100)</f>
        <v>614.64079184215916</v>
      </c>
      <c r="L22" s="15">
        <f>IF(L10=0,0,L10/TrAvia_act!L18*100)</f>
        <v>595.6624256779852</v>
      </c>
      <c r="M22" s="15">
        <f>IF(M10=0,0,M10/TrAvia_act!M18*100)</f>
        <v>592.3389397341565</v>
      </c>
      <c r="N22" s="15">
        <f>IF(N10=0,0,N10/TrAvia_act!N18*100)</f>
        <v>578.81977205867588</v>
      </c>
      <c r="O22" s="15">
        <f>IF(O10=0,0,O10/TrAvia_act!O18*100)</f>
        <v>585.51713601967219</v>
      </c>
      <c r="P22" s="15">
        <f>IF(P10=0,0,P10/TrAvia_act!P18*100)</f>
        <v>610.0334165333179</v>
      </c>
      <c r="Q22" s="15">
        <f>IF(Q10=0,0,Q10/TrAvia_act!Q18*100)</f>
        <v>617.98472670853312</v>
      </c>
      <c r="R22" s="15">
        <f>IF(R10=0,0,R10/TrAvia_act!R18*100)</f>
        <v>656.00166839195106</v>
      </c>
      <c r="S22" s="15">
        <f>IF(S10=0,0,S10/TrAvia_act!S18*100)</f>
        <v>643.18714517318142</v>
      </c>
      <c r="T22" s="15">
        <f>IF(T10=0,0,T10/TrAvia_act!T18*100)</f>
        <v>608.98568061392984</v>
      </c>
      <c r="U22" s="15">
        <f>IF(U10=0,0,U10/TrAvia_act!U18*100)</f>
        <v>628.76046451077355</v>
      </c>
      <c r="V22" s="15">
        <f>IF(V10=0,0,V10/TrAvia_act!V18*100)</f>
        <v>611.33855539719968</v>
      </c>
      <c r="W22" s="15">
        <f>IF(W10=0,0,W10/TrAvia_act!W18*100)</f>
        <v>572.49810641055694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0</v>
      </c>
      <c r="C23" s="101">
        <f>IF(C11=0,0,C11/TrAvia_act!C19*100)</f>
        <v>0</v>
      </c>
      <c r="D23" s="101">
        <f>IF(D11=0,0,D11/TrAvia_act!D19*100)</f>
        <v>0</v>
      </c>
      <c r="E23" s="101">
        <f>IF(E11=0,0,E11/TrAvia_act!E19*100)</f>
        <v>0</v>
      </c>
      <c r="F23" s="101">
        <f>IF(F11=0,0,F11/TrAvia_act!F19*100)</f>
        <v>0</v>
      </c>
      <c r="G23" s="101">
        <f>IF(G11=0,0,G11/TrAvia_act!G19*100)</f>
        <v>0</v>
      </c>
      <c r="H23" s="101">
        <f>IF(H11=0,0,H11/TrAvia_act!H19*100)</f>
        <v>0</v>
      </c>
      <c r="I23" s="101">
        <f>IF(I11=0,0,I11/TrAvia_act!I19*100)</f>
        <v>0</v>
      </c>
      <c r="J23" s="101">
        <f>IF(J11=0,0,J11/TrAvia_act!J19*100)</f>
        <v>0</v>
      </c>
      <c r="K23" s="101">
        <f>IF(K11=0,0,K11/TrAvia_act!K19*100)</f>
        <v>0</v>
      </c>
      <c r="L23" s="101">
        <f>IF(L11=0,0,L11/TrAvia_act!L19*100)</f>
        <v>0</v>
      </c>
      <c r="M23" s="101">
        <f>IF(M11=0,0,M11/TrAvia_act!M19*100)</f>
        <v>0</v>
      </c>
      <c r="N23" s="101">
        <f>IF(N11=0,0,N11/TrAvia_act!N19*100)</f>
        <v>0</v>
      </c>
      <c r="O23" s="101">
        <f>IF(O11=0,0,O11/TrAvia_act!O19*100)</f>
        <v>0</v>
      </c>
      <c r="P23" s="101">
        <f>IF(P11=0,0,P11/TrAvia_act!P19*100)</f>
        <v>0</v>
      </c>
      <c r="Q23" s="101">
        <f>IF(Q11=0,0,Q11/TrAvia_act!Q19*100)</f>
        <v>0</v>
      </c>
      <c r="R23" s="101">
        <f>IF(R11=0,0,R11/TrAvia_act!R19*100)</f>
        <v>0</v>
      </c>
      <c r="S23" s="101">
        <f>IF(S11=0,0,S11/TrAvia_act!S19*100)</f>
        <v>0</v>
      </c>
      <c r="T23" s="101">
        <f>IF(T11=0,0,T11/TrAvia_act!T19*100)</f>
        <v>0</v>
      </c>
      <c r="U23" s="101">
        <f>IF(U11=0,0,U11/TrAvia_act!U19*100)</f>
        <v>0</v>
      </c>
      <c r="V23" s="101">
        <f>IF(V11=0,0,V11/TrAvia_act!V19*100)</f>
        <v>0</v>
      </c>
      <c r="W23" s="101">
        <f>IF(W11=0,0,W11/TrAvia_act!W19*100)</f>
        <v>0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614.27604949396914</v>
      </c>
      <c r="C24" s="101">
        <f>IF(C12=0,0,C12/TrAvia_act!C20*100)</f>
        <v>584.7755426634285</v>
      </c>
      <c r="D24" s="101">
        <f>IF(D12=0,0,D12/TrAvia_act!D20*100)</f>
        <v>658.11630117695529</v>
      </c>
      <c r="E24" s="101">
        <f>IF(E12=0,0,E12/TrAvia_act!E20*100)</f>
        <v>655.43227974252795</v>
      </c>
      <c r="F24" s="101">
        <f>IF(F12=0,0,F12/TrAvia_act!F20*100)</f>
        <v>585.27211214796091</v>
      </c>
      <c r="G24" s="101">
        <f>IF(G12=0,0,G12/TrAvia_act!G20*100)</f>
        <v>568.28432410246887</v>
      </c>
      <c r="H24" s="101">
        <f>IF(H12=0,0,H12/TrAvia_act!H20*100)</f>
        <v>502.91622795897644</v>
      </c>
      <c r="I24" s="101">
        <f>IF(I12=0,0,I12/TrAvia_act!I20*100)</f>
        <v>505.88092419696204</v>
      </c>
      <c r="J24" s="101">
        <f>IF(J12=0,0,J12/TrAvia_act!J20*100)</f>
        <v>550.89959703453678</v>
      </c>
      <c r="K24" s="101">
        <f>IF(K12=0,0,K12/TrAvia_act!K20*100)</f>
        <v>531.21251876180349</v>
      </c>
      <c r="L24" s="101">
        <f>IF(L12=0,0,L12/TrAvia_act!L20*100)</f>
        <v>522.21207050886835</v>
      </c>
      <c r="M24" s="101">
        <f>IF(M12=0,0,M12/TrAvia_act!M20*100)</f>
        <v>542.5492490186474</v>
      </c>
      <c r="N24" s="101">
        <f>IF(N12=0,0,N12/TrAvia_act!N20*100)</f>
        <v>536.46166743126435</v>
      </c>
      <c r="O24" s="101">
        <f>IF(O12=0,0,O12/TrAvia_act!O20*100)</f>
        <v>520.35395461241978</v>
      </c>
      <c r="P24" s="101">
        <f>IF(P12=0,0,P12/TrAvia_act!P20*100)</f>
        <v>524.40657962619787</v>
      </c>
      <c r="Q24" s="101">
        <f>IF(Q12=0,0,Q12/TrAvia_act!Q20*100)</f>
        <v>533.20425586735485</v>
      </c>
      <c r="R24" s="101">
        <f>IF(R12=0,0,R12/TrAvia_act!R20*100)</f>
        <v>531.06867607190713</v>
      </c>
      <c r="S24" s="101">
        <f>IF(S12=0,0,S12/TrAvia_act!S20*100)</f>
        <v>600.69716526449599</v>
      </c>
      <c r="T24" s="101">
        <f>IF(T12=0,0,T12/TrAvia_act!T20*100)</f>
        <v>638.24657862073275</v>
      </c>
      <c r="U24" s="101">
        <f>IF(U12=0,0,U12/TrAvia_act!U20*100)</f>
        <v>661.26057474747563</v>
      </c>
      <c r="V24" s="101">
        <f>IF(V12=0,0,V12/TrAvia_act!V20*100)</f>
        <v>854.96391534507859</v>
      </c>
      <c r="W24" s="101">
        <f>IF(W12=0,0,W12/TrAvia_act!W20*100)</f>
        <v>1011.5037891645159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956.47296625979209</v>
      </c>
      <c r="C25" s="88">
        <f>IF(C13=0,0,C13/TrAvia_act!C21*100)</f>
        <v>910.60206375041446</v>
      </c>
      <c r="D25" s="88">
        <f>IF(D13=0,0,D13/TrAvia_act!D21*100)</f>
        <v>1024.1755791982589</v>
      </c>
      <c r="E25" s="88">
        <f>IF(E13=0,0,E13/TrAvia_act!E21*100)</f>
        <v>1019.5721660651957</v>
      </c>
      <c r="F25" s="88">
        <f>IF(F13=0,0,F13/TrAvia_act!F21*100)</f>
        <v>910.4705943389398</v>
      </c>
      <c r="G25" s="88">
        <f>IF(G13=0,0,G13/TrAvia_act!G21*100)</f>
        <v>836.19367646637511</v>
      </c>
      <c r="H25" s="88">
        <f>IF(H13=0,0,H13/TrAvia_act!H21*100)</f>
        <v>742.52556281623345</v>
      </c>
      <c r="I25" s="88">
        <f>IF(I13=0,0,I13/TrAvia_act!I21*100)</f>
        <v>664.46212029356661</v>
      </c>
      <c r="J25" s="88">
        <f>IF(J13=0,0,J13/TrAvia_act!J21*100)</f>
        <v>634.51382475408286</v>
      </c>
      <c r="K25" s="88">
        <f>IF(K13=0,0,K13/TrAvia_act!K21*100)</f>
        <v>642.38029949155714</v>
      </c>
      <c r="L25" s="88">
        <f>IF(L13=0,0,L13/TrAvia_act!L21*100)</f>
        <v>615.32868887899883</v>
      </c>
      <c r="M25" s="88">
        <f>IF(M13=0,0,M13/TrAvia_act!M21*100)</f>
        <v>604.35497333569788</v>
      </c>
      <c r="N25" s="88">
        <f>IF(N13=0,0,N13/TrAvia_act!N21*100)</f>
        <v>590.88636663951559</v>
      </c>
      <c r="O25" s="88">
        <f>IF(O13=0,0,O13/TrAvia_act!O21*100)</f>
        <v>607.42030565702487</v>
      </c>
      <c r="P25" s="88">
        <f>IF(P13=0,0,P13/TrAvia_act!P21*100)</f>
        <v>639.86952517972293</v>
      </c>
      <c r="Q25" s="88">
        <f>IF(Q13=0,0,Q13/TrAvia_act!Q21*100)</f>
        <v>643.53597833980837</v>
      </c>
      <c r="R25" s="88">
        <f>IF(R13=0,0,R13/TrAvia_act!R21*100)</f>
        <v>695.27259408016471</v>
      </c>
      <c r="S25" s="88">
        <f>IF(S13=0,0,S13/TrAvia_act!S21*100)</f>
        <v>655.65935608193945</v>
      </c>
      <c r="T25" s="88">
        <f>IF(T13=0,0,T13/TrAvia_act!T21*100)</f>
        <v>600.6080397070499</v>
      </c>
      <c r="U25" s="88">
        <f>IF(U13=0,0,U13/TrAvia_act!U21*100)</f>
        <v>619.16384272186531</v>
      </c>
      <c r="V25" s="88">
        <f>IF(V13=0,0,V13/TrAvia_act!V21*100)</f>
        <v>569.2625832143367</v>
      </c>
      <c r="W25" s="88">
        <f>IF(W13=0,0,W13/TrAvia_act!W21*100)</f>
        <v>505.72439047766477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63.761312813208363</v>
      </c>
      <c r="C28" s="14">
        <f>IF(C6=0,0,C6/TrAvia_act!C4*1000)</f>
        <v>60.01793844230496</v>
      </c>
      <c r="D28" s="14">
        <f>IF(D6=0,0,D6/TrAvia_act!D4*1000)</f>
        <v>71.122705676847232</v>
      </c>
      <c r="E28" s="14">
        <f>IF(E6=0,0,E6/TrAvia_act!E4*1000)</f>
        <v>68.827062795287944</v>
      </c>
      <c r="F28" s="14">
        <f>IF(F6=0,0,F6/TrAvia_act!F4*1000)</f>
        <v>58.031691166887256</v>
      </c>
      <c r="G28" s="14">
        <f>IF(G6=0,0,G6/TrAvia_act!G4*1000)</f>
        <v>53.871100453447482</v>
      </c>
      <c r="H28" s="14">
        <f>IF(H6=0,0,H6/TrAvia_act!H4*1000)</f>
        <v>48.378040868328711</v>
      </c>
      <c r="I28" s="14">
        <f>IF(I6=0,0,I6/TrAvia_act!I4*1000)</f>
        <v>46.500476422504988</v>
      </c>
      <c r="J28" s="14">
        <f>IF(J6=0,0,J6/TrAvia_act!J4*1000)</f>
        <v>46.376364492098332</v>
      </c>
      <c r="K28" s="14">
        <f>IF(K6=0,0,K6/TrAvia_act!K4*1000)</f>
        <v>45.933669083308729</v>
      </c>
      <c r="L28" s="14">
        <f>IF(L6=0,0,L6/TrAvia_act!L4*1000)</f>
        <v>43.193859639402895</v>
      </c>
      <c r="M28" s="14">
        <f>IF(M6=0,0,M6/TrAvia_act!M4*1000)</f>
        <v>42.931919864230068</v>
      </c>
      <c r="N28" s="14">
        <f>IF(N6=0,0,N6/TrAvia_act!N4*1000)</f>
        <v>40.193225165468355</v>
      </c>
      <c r="O28" s="14">
        <f>IF(O6=0,0,O6/TrAvia_act!O4*1000)</f>
        <v>37.772815620583081</v>
      </c>
      <c r="P28" s="14">
        <f>IF(P6=0,0,P6/TrAvia_act!P4*1000)</f>
        <v>37.569714421893771</v>
      </c>
      <c r="Q28" s="14">
        <f>IF(Q6=0,0,Q6/TrAvia_act!Q4*1000)</f>
        <v>37.299436889151451</v>
      </c>
      <c r="R28" s="14">
        <f>IF(R6=0,0,R6/TrAvia_act!R4*1000)</f>
        <v>40.314539336649986</v>
      </c>
      <c r="S28" s="14">
        <f>IF(S6=0,0,S6/TrAvia_act!S4*1000)</f>
        <v>39.544139250464738</v>
      </c>
      <c r="T28" s="14">
        <f>IF(T6=0,0,T6/TrAvia_act!T4*1000)</f>
        <v>38.28572129187792</v>
      </c>
      <c r="U28" s="14">
        <f>IF(U6=0,0,U6/TrAvia_act!U4*1000)</f>
        <v>37.739295681625748</v>
      </c>
      <c r="V28" s="14">
        <f>IF(V6=0,0,V6/TrAvia_act!V4*1000)</f>
        <v>56.605488828252973</v>
      </c>
      <c r="W28" s="14">
        <f>IF(W6=0,0,W6/TrAvia_act!W4*1000)</f>
        <v>52.402643622191135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0</v>
      </c>
      <c r="C29" s="87">
        <f>IF(C7=0,0,C7/TrAvia_act!C5*1000)</f>
        <v>0</v>
      </c>
      <c r="D29" s="87">
        <f>IF(D7=0,0,D7/TrAvia_act!D5*1000)</f>
        <v>0</v>
      </c>
      <c r="E29" s="87">
        <f>IF(E7=0,0,E7/TrAvia_act!E5*1000)</f>
        <v>0</v>
      </c>
      <c r="F29" s="87">
        <f>IF(F7=0,0,F7/TrAvia_act!F5*1000)</f>
        <v>0</v>
      </c>
      <c r="G29" s="87">
        <f>IF(G7=0,0,G7/TrAvia_act!G5*1000)</f>
        <v>0</v>
      </c>
      <c r="H29" s="87">
        <f>IF(H7=0,0,H7/TrAvia_act!H5*1000)</f>
        <v>0</v>
      </c>
      <c r="I29" s="87">
        <f>IF(I7=0,0,I7/TrAvia_act!I5*1000)</f>
        <v>0</v>
      </c>
      <c r="J29" s="87">
        <f>IF(J7=0,0,J7/TrAvia_act!J5*1000)</f>
        <v>0</v>
      </c>
      <c r="K29" s="87">
        <f>IF(K7=0,0,K7/TrAvia_act!K5*1000)</f>
        <v>0</v>
      </c>
      <c r="L29" s="87">
        <f>IF(L7=0,0,L7/TrAvia_act!L5*1000)</f>
        <v>0</v>
      </c>
      <c r="M29" s="87">
        <f>IF(M7=0,0,M7/TrAvia_act!M5*1000)</f>
        <v>0</v>
      </c>
      <c r="N29" s="87">
        <f>IF(N7=0,0,N7/TrAvia_act!N5*1000)</f>
        <v>0</v>
      </c>
      <c r="O29" s="87">
        <f>IF(O7=0,0,O7/TrAvia_act!O5*1000)</f>
        <v>0</v>
      </c>
      <c r="P29" s="87">
        <f>IF(P7=0,0,P7/TrAvia_act!P5*1000)</f>
        <v>0</v>
      </c>
      <c r="Q29" s="87">
        <f>IF(Q7=0,0,Q7/TrAvia_act!Q5*1000)</f>
        <v>0</v>
      </c>
      <c r="R29" s="87">
        <f>IF(R7=0,0,R7/TrAvia_act!R5*1000)</f>
        <v>0</v>
      </c>
      <c r="S29" s="87">
        <f>IF(S7=0,0,S7/TrAvia_act!S5*1000)</f>
        <v>0</v>
      </c>
      <c r="T29" s="87">
        <f>IF(T7=0,0,T7/TrAvia_act!T5*1000)</f>
        <v>0</v>
      </c>
      <c r="U29" s="87">
        <f>IF(U7=0,0,U7/TrAvia_act!U5*1000)</f>
        <v>0</v>
      </c>
      <c r="V29" s="87">
        <f>IF(V7=0,0,V7/TrAvia_act!V5*1000)</f>
        <v>0</v>
      </c>
      <c r="W29" s="87">
        <f>IF(W7=0,0,W7/TrAvia_act!W5*1000)</f>
        <v>0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67.343993932499359</v>
      </c>
      <c r="C30" s="87">
        <f>IF(C8=0,0,C8/TrAvia_act!C6*1000)</f>
        <v>62.850909886303178</v>
      </c>
      <c r="D30" s="87">
        <f>IF(D8=0,0,D8/TrAvia_act!D6*1000)</f>
        <v>72.018579690046835</v>
      </c>
      <c r="E30" s="87">
        <f>IF(E8=0,0,E8/TrAvia_act!E6*1000)</f>
        <v>69.005482586124046</v>
      </c>
      <c r="F30" s="87">
        <f>IF(F8=0,0,F8/TrAvia_act!F6*1000)</f>
        <v>57.445009625265691</v>
      </c>
      <c r="G30" s="87">
        <f>IF(G8=0,0,G8/TrAvia_act!G6*1000)</f>
        <v>55.235020494827438</v>
      </c>
      <c r="H30" s="87">
        <f>IF(H8=0,0,H8/TrAvia_act!H6*1000)</f>
        <v>50.702319071772706</v>
      </c>
      <c r="I30" s="87">
        <f>IF(I8=0,0,I8/TrAvia_act!I6*1000)</f>
        <v>54.319761154706782</v>
      </c>
      <c r="J30" s="87">
        <f>IF(J8=0,0,J8/TrAvia_act!J6*1000)</f>
        <v>61.298338218722314</v>
      </c>
      <c r="K30" s="87">
        <f>IF(K8=0,0,K8/TrAvia_act!K6*1000)</f>
        <v>59.648953523027863</v>
      </c>
      <c r="L30" s="87">
        <f>IF(L8=0,0,L8/TrAvia_act!L6*1000)</f>
        <v>56.1876228923241</v>
      </c>
      <c r="M30" s="87">
        <f>IF(M8=0,0,M8/TrAvia_act!M6*1000)</f>
        <v>54.558559145019004</v>
      </c>
      <c r="N30" s="87">
        <f>IF(N8=0,0,N8/TrAvia_act!N6*1000)</f>
        <v>50.1365393919409</v>
      </c>
      <c r="O30" s="87">
        <f>IF(O8=0,0,O8/TrAvia_act!O6*1000)</f>
        <v>47.108417940600837</v>
      </c>
      <c r="P30" s="87">
        <f>IF(P8=0,0,P8/TrAvia_act!P6*1000)</f>
        <v>45.890436541389825</v>
      </c>
      <c r="Q30" s="87">
        <f>IF(Q8=0,0,Q8/TrAvia_act!Q6*1000)</f>
        <v>44.777110846781326</v>
      </c>
      <c r="R30" s="87">
        <f>IF(R8=0,0,R8/TrAvia_act!R6*1000)</f>
        <v>45.12571928918107</v>
      </c>
      <c r="S30" s="87">
        <f>IF(S8=0,0,S8/TrAvia_act!S6*1000)</f>
        <v>46.659216010643803</v>
      </c>
      <c r="T30" s="87">
        <f>IF(T8=0,0,T8/TrAvia_act!T6*1000)</f>
        <v>48.777453248772233</v>
      </c>
      <c r="U30" s="87">
        <f>IF(U8=0,0,U8/TrAvia_act!U6*1000)</f>
        <v>47.681397456983923</v>
      </c>
      <c r="V30" s="87">
        <f>IF(V8=0,0,V8/TrAvia_act!V6*1000)</f>
        <v>71.509680643453436</v>
      </c>
      <c r="W30" s="87">
        <f>IF(W8=0,0,W8/TrAvia_act!W6*1000)</f>
        <v>67.70099834598858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59.988215781947318</v>
      </c>
      <c r="C31" s="87">
        <f>IF(C9=0,0,C9/TrAvia_act!C7*1000)</f>
        <v>56.922808152228903</v>
      </c>
      <c r="D31" s="87">
        <f>IF(D9=0,0,D9/TrAvia_act!D7*1000)</f>
        <v>70.039602659119325</v>
      </c>
      <c r="E31" s="87">
        <f>IF(E9=0,0,E9/TrAvia_act!E7*1000)</f>
        <v>68.60702948729589</v>
      </c>
      <c r="F31" s="87">
        <f>IF(F9=0,0,F9/TrAvia_act!F7*1000)</f>
        <v>58.721941377180514</v>
      </c>
      <c r="G31" s="87">
        <f>IF(G9=0,0,G9/TrAvia_act!G7*1000)</f>
        <v>52.379546677939985</v>
      </c>
      <c r="H31" s="87">
        <f>IF(H9=0,0,H9/TrAvia_act!H7*1000)</f>
        <v>45.893788100776121</v>
      </c>
      <c r="I31" s="87">
        <f>IF(I9=0,0,I9/TrAvia_act!I7*1000)</f>
        <v>39.574350114463101</v>
      </c>
      <c r="J31" s="87">
        <f>IF(J9=0,0,J9/TrAvia_act!J7*1000)</f>
        <v>36.090822998107221</v>
      </c>
      <c r="K31" s="87">
        <f>IF(K9=0,0,K9/TrAvia_act!K7*1000)</f>
        <v>36.679339046148144</v>
      </c>
      <c r="L31" s="87">
        <f>IF(L9=0,0,L9/TrAvia_act!L7*1000)</f>
        <v>34.519160302746542</v>
      </c>
      <c r="M31" s="87">
        <f>IF(M9=0,0,M9/TrAvia_act!M7*1000)</f>
        <v>34.896298512938102</v>
      </c>
      <c r="N31" s="87">
        <f>IF(N9=0,0,N9/TrAvia_act!N7*1000)</f>
        <v>33.255291698580002</v>
      </c>
      <c r="O31" s="87">
        <f>IF(O9=0,0,O9/TrAvia_act!O7*1000)</f>
        <v>31.315923417194483</v>
      </c>
      <c r="P31" s="87">
        <f>IF(P9=0,0,P9/TrAvia_act!P7*1000)</f>
        <v>31.552081079590831</v>
      </c>
      <c r="Q31" s="87">
        <f>IF(Q9=0,0,Q9/TrAvia_act!Q7*1000)</f>
        <v>31.657494446113351</v>
      </c>
      <c r="R31" s="87">
        <f>IF(R9=0,0,R9/TrAvia_act!R7*1000)</f>
        <v>35.993098408254006</v>
      </c>
      <c r="S31" s="87">
        <f>IF(S9=0,0,S9/TrAvia_act!S7*1000)</f>
        <v>33.54287614491647</v>
      </c>
      <c r="T31" s="87">
        <f>IF(T9=0,0,T9/TrAvia_act!T7*1000)</f>
        <v>30.665620355905691</v>
      </c>
      <c r="U31" s="87">
        <f>IF(U9=0,0,U9/TrAvia_act!U7*1000)</f>
        <v>30.715342774890814</v>
      </c>
      <c r="V31" s="87">
        <f>IF(V9=0,0,V9/TrAvia_act!V7*1000)</f>
        <v>47.301967189588417</v>
      </c>
      <c r="W31" s="87">
        <f>IF(W9=0,0,W9/TrAvia_act!W7*1000)</f>
        <v>41.88723814379609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139.42376151633061</v>
      </c>
      <c r="C32" s="15">
        <f>IF(C10=0,0,C10/TrAvia_act!C8*1000)</f>
        <v>124.19768253350473</v>
      </c>
      <c r="D32" s="15">
        <f>IF(D10=0,0,D10/TrAvia_act!D8*1000)</f>
        <v>147.44939978161375</v>
      </c>
      <c r="E32" s="15">
        <f>IF(E10=0,0,E10/TrAvia_act!E8*1000)</f>
        <v>155.2168292006975</v>
      </c>
      <c r="F32" s="15">
        <f>IF(F10=0,0,F10/TrAvia_act!F8*1000)</f>
        <v>143.94500363104748</v>
      </c>
      <c r="G32" s="15">
        <f>IF(G10=0,0,G10/TrAvia_act!G8*1000)</f>
        <v>142.09936121108836</v>
      </c>
      <c r="H32" s="15">
        <f>IF(H10=0,0,H10/TrAvia_act!H8*1000)</f>
        <v>138.7012562908113</v>
      </c>
      <c r="I32" s="15">
        <f>IF(I10=0,0,I10/TrAvia_act!I8*1000)</f>
        <v>126.66469739295525</v>
      </c>
      <c r="J32" s="15">
        <f>IF(J10=0,0,J10/TrAvia_act!J8*1000)</f>
        <v>121.08869986684022</v>
      </c>
      <c r="K32" s="15">
        <f>IF(K10=0,0,K10/TrAvia_act!K8*1000)</f>
        <v>109.15116708851902</v>
      </c>
      <c r="L32" s="15">
        <f>IF(L10=0,0,L10/TrAvia_act!L8*1000)</f>
        <v>100.60280911714072</v>
      </c>
      <c r="M32" s="15">
        <f>IF(M10=0,0,M10/TrAvia_act!M8*1000)</f>
        <v>96.516683097974777</v>
      </c>
      <c r="N32" s="15">
        <f>IF(N10=0,0,N10/TrAvia_act!N8*1000)</f>
        <v>90.428466434408904</v>
      </c>
      <c r="O32" s="15">
        <f>IF(O10=0,0,O10/TrAvia_act!O8*1000)</f>
        <v>90.46010263105245</v>
      </c>
      <c r="P32" s="15">
        <f>IF(P10=0,0,P10/TrAvia_act!P8*1000)</f>
        <v>82.077586062864654</v>
      </c>
      <c r="Q32" s="15">
        <f>IF(Q10=0,0,Q10/TrAvia_act!Q8*1000)</f>
        <v>82.123044923890077</v>
      </c>
      <c r="R32" s="15">
        <f>IF(R10=0,0,R10/TrAvia_act!R8*1000)</f>
        <v>80.331544595708451</v>
      </c>
      <c r="S32" s="15">
        <f>IF(S10=0,0,S10/TrAvia_act!S8*1000)</f>
        <v>79.71177345682959</v>
      </c>
      <c r="T32" s="15">
        <f>IF(T10=0,0,T10/TrAvia_act!T8*1000)</f>
        <v>73.255429697888957</v>
      </c>
      <c r="U32" s="15">
        <f>IF(U10=0,0,U10/TrAvia_act!U8*1000)</f>
        <v>73.287000727433494</v>
      </c>
      <c r="V32" s="15">
        <f>IF(V10=0,0,V10/TrAvia_act!V8*1000)</f>
        <v>98.555372284491</v>
      </c>
      <c r="W32" s="15">
        <f>IF(W10=0,0,W10/TrAvia_act!W8*1000)</f>
        <v>95.603927622528445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0</v>
      </c>
      <c r="C33" s="101">
        <f>IF(C11=0,0,C11/TrAvia_act!C9*1000)</f>
        <v>0</v>
      </c>
      <c r="D33" s="101">
        <f>IF(D11=0,0,D11/TrAvia_act!D9*1000)</f>
        <v>0</v>
      </c>
      <c r="E33" s="101">
        <f>IF(E11=0,0,E11/TrAvia_act!E9*1000)</f>
        <v>0</v>
      </c>
      <c r="F33" s="101">
        <f>IF(F11=0,0,F11/TrAvia_act!F9*1000)</f>
        <v>0</v>
      </c>
      <c r="G33" s="101">
        <f>IF(G11=0,0,G11/TrAvia_act!G9*1000)</f>
        <v>0</v>
      </c>
      <c r="H33" s="101">
        <f>IF(H11=0,0,H11/TrAvia_act!H9*1000)</f>
        <v>0</v>
      </c>
      <c r="I33" s="101">
        <f>IF(I11=0,0,I11/TrAvia_act!I9*1000)</f>
        <v>0</v>
      </c>
      <c r="J33" s="101">
        <f>IF(J11=0,0,J11/TrAvia_act!J9*1000)</f>
        <v>0</v>
      </c>
      <c r="K33" s="101">
        <f>IF(K11=0,0,K11/TrAvia_act!K9*1000)</f>
        <v>0</v>
      </c>
      <c r="L33" s="101">
        <f>IF(L11=0,0,L11/TrAvia_act!L9*1000)</f>
        <v>0</v>
      </c>
      <c r="M33" s="101">
        <f>IF(M11=0,0,M11/TrAvia_act!M9*1000)</f>
        <v>0</v>
      </c>
      <c r="N33" s="101">
        <f>IF(N11=0,0,N11/TrAvia_act!N9*1000)</f>
        <v>0</v>
      </c>
      <c r="O33" s="101">
        <f>IF(O11=0,0,O11/TrAvia_act!O9*1000)</f>
        <v>0</v>
      </c>
      <c r="P33" s="101">
        <f>IF(P11=0,0,P11/TrAvia_act!P9*1000)</f>
        <v>0</v>
      </c>
      <c r="Q33" s="101">
        <f>IF(Q11=0,0,Q11/TrAvia_act!Q9*1000)</f>
        <v>0</v>
      </c>
      <c r="R33" s="101">
        <f>IF(R11=0,0,R11/TrAvia_act!R9*1000)</f>
        <v>0</v>
      </c>
      <c r="S33" s="101">
        <f>IF(S11=0,0,S11/TrAvia_act!S9*1000)</f>
        <v>0</v>
      </c>
      <c r="T33" s="101">
        <f>IF(T11=0,0,T11/TrAvia_act!T9*1000)</f>
        <v>0</v>
      </c>
      <c r="U33" s="101">
        <f>IF(U11=0,0,U11/TrAvia_act!U9*1000)</f>
        <v>0</v>
      </c>
      <c r="V33" s="101">
        <f>IF(V11=0,0,V11/TrAvia_act!V9*1000)</f>
        <v>0</v>
      </c>
      <c r="W33" s="101">
        <f>IF(W11=0,0,W11/TrAvia_act!W9*1000)</f>
        <v>0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236.92675159486183</v>
      </c>
      <c r="C34" s="101">
        <f>IF(C12=0,0,C12/TrAvia_act!C10*1000)</f>
        <v>216.48950244533083</v>
      </c>
      <c r="D34" s="101">
        <f>IF(D12=0,0,D12/TrAvia_act!D10*1000)</f>
        <v>260.41596961951166</v>
      </c>
      <c r="E34" s="101">
        <f>IF(E12=0,0,E12/TrAvia_act!E10*1000)</f>
        <v>253.57387998086674</v>
      </c>
      <c r="F34" s="101">
        <f>IF(F12=0,0,F12/TrAvia_act!F10*1000)</f>
        <v>249.21248590155756</v>
      </c>
      <c r="G34" s="101">
        <f>IF(G12=0,0,G12/TrAvia_act!G10*1000)</f>
        <v>246.5813109937919</v>
      </c>
      <c r="H34" s="101">
        <f>IF(H12=0,0,H12/TrAvia_act!H10*1000)</f>
        <v>261.51532489044348</v>
      </c>
      <c r="I34" s="101">
        <f>IF(I12=0,0,I12/TrAvia_act!I10*1000)</f>
        <v>273.21909473742807</v>
      </c>
      <c r="J34" s="101">
        <f>IF(J12=0,0,J12/TrAvia_act!J10*1000)</f>
        <v>309.28109926364715</v>
      </c>
      <c r="K34" s="101">
        <f>IF(K12=0,0,K12/TrAvia_act!K10*1000)</f>
        <v>287.50883709894725</v>
      </c>
      <c r="L34" s="101">
        <f>IF(L12=0,0,L12/TrAvia_act!L10*1000)</f>
        <v>278.28088088793493</v>
      </c>
      <c r="M34" s="101">
        <f>IF(M12=0,0,M12/TrAvia_act!M10*1000)</f>
        <v>274.48208021256755</v>
      </c>
      <c r="N34" s="101">
        <f>IF(N12=0,0,N12/TrAvia_act!N10*1000)</f>
        <v>247.43596611147547</v>
      </c>
      <c r="O34" s="101">
        <f>IF(O12=0,0,O12/TrAvia_act!O10*1000)</f>
        <v>241.57298969796858</v>
      </c>
      <c r="P34" s="101">
        <f>IF(P12=0,0,P12/TrAvia_act!P10*1000)</f>
        <v>216.34804029019108</v>
      </c>
      <c r="Q34" s="101">
        <f>IF(Q12=0,0,Q12/TrAvia_act!Q10*1000)</f>
        <v>224.60660092004542</v>
      </c>
      <c r="R34" s="101">
        <f>IF(R12=0,0,R12/TrAvia_act!R10*1000)</f>
        <v>201.54542207658992</v>
      </c>
      <c r="S34" s="101">
        <f>IF(S12=0,0,S12/TrAvia_act!S10*1000)</f>
        <v>253.05095982772852</v>
      </c>
      <c r="T34" s="101">
        <f>IF(T12=0,0,T12/TrAvia_act!T10*1000)</f>
        <v>268.26005718788849</v>
      </c>
      <c r="U34" s="101">
        <f>IF(U12=0,0,U12/TrAvia_act!U10*1000)</f>
        <v>265.11099922059907</v>
      </c>
      <c r="V34" s="101">
        <f>IF(V12=0,0,V12/TrAvia_act!V10*1000)</f>
        <v>408.66679845609627</v>
      </c>
      <c r="W34" s="101">
        <f>IF(W12=0,0,W12/TrAvia_act!W10*1000)</f>
        <v>508.33343930952748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119.69780667997399</v>
      </c>
      <c r="C35" s="88">
        <f>IF(C13=0,0,C13/TrAvia_act!C11*1000)</f>
        <v>108.78263088311527</v>
      </c>
      <c r="D35" s="88">
        <f>IF(D13=0,0,D13/TrAvia_act!D11*1000)</f>
        <v>129.55056290294198</v>
      </c>
      <c r="E35" s="88">
        <f>IF(E13=0,0,E13/TrAvia_act!E11*1000)</f>
        <v>141.91461205359502</v>
      </c>
      <c r="F35" s="88">
        <f>IF(F13=0,0,F13/TrAvia_act!F11*1000)</f>
        <v>130.55649261140442</v>
      </c>
      <c r="G35" s="88">
        <f>IF(G13=0,0,G13/TrAvia_act!G11*1000)</f>
        <v>127.49909542094848</v>
      </c>
      <c r="H35" s="88">
        <f>IF(H13=0,0,H13/TrAvia_act!H11*1000)</f>
        <v>117.11858033790024</v>
      </c>
      <c r="I35" s="88">
        <f>IF(I13=0,0,I13/TrAvia_act!I11*1000)</f>
        <v>106.58087177018662</v>
      </c>
      <c r="J35" s="88">
        <f>IF(J13=0,0,J13/TrAvia_act!J11*1000)</f>
        <v>103.87267801291394</v>
      </c>
      <c r="K35" s="88">
        <f>IF(K13=0,0,K13/TrAvia_act!K11*1000)</f>
        <v>93.246183045006276</v>
      </c>
      <c r="L35" s="88">
        <f>IF(L13=0,0,L13/TrAvia_act!L11*1000)</f>
        <v>87.856305115041053</v>
      </c>
      <c r="M35" s="88">
        <f>IF(M13=0,0,M13/TrAvia_act!M11*1000)</f>
        <v>84.628703979429517</v>
      </c>
      <c r="N35" s="88">
        <f>IF(N13=0,0,N13/TrAvia_act!N11*1000)</f>
        <v>77.680207507496206</v>
      </c>
      <c r="O35" s="88">
        <f>IF(O13=0,0,O13/TrAvia_act!O11*1000)</f>
        <v>76.653162354535297</v>
      </c>
      <c r="P35" s="88">
        <f>IF(P13=0,0,P13/TrAvia_act!P11*1000)</f>
        <v>69.720961677084091</v>
      </c>
      <c r="Q35" s="88">
        <f>IF(Q13=0,0,Q13/TrAvia_act!Q11*1000)</f>
        <v>70.892972744320062</v>
      </c>
      <c r="R35" s="88">
        <f>IF(R13=0,0,R13/TrAvia_act!R11*1000)</f>
        <v>70.195301419743444</v>
      </c>
      <c r="S35" s="88">
        <f>IF(S13=0,0,S13/TrAvia_act!S11*1000)</f>
        <v>67.311957832771071</v>
      </c>
      <c r="T35" s="88">
        <f>IF(T13=0,0,T13/TrAvia_act!T11*1000)</f>
        <v>59.988051605482113</v>
      </c>
      <c r="U35" s="88">
        <f>IF(U13=0,0,U13/TrAvia_act!U11*1000)</f>
        <v>59.671267230462135</v>
      </c>
      <c r="V35" s="88">
        <f>IF(V13=0,0,V13/TrAvia_act!V11*1000)</f>
        <v>82.346887647029718</v>
      </c>
      <c r="W35" s="88">
        <f>IF(W13=0,0,W13/TrAvia_act!W11*1000)</f>
        <v>76.66683174038306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9717.2902730315709</v>
      </c>
      <c r="C37" s="62">
        <f>IF(C3=0,0,C3/TrAvia_act!C23*1000000)</f>
        <v>9257.3073395005376</v>
      </c>
      <c r="D37" s="62">
        <f>IF(D3=0,0,D3/TrAvia_act!D23*1000000)</f>
        <v>10317.122340358146</v>
      </c>
      <c r="E37" s="62">
        <f>IF(E3=0,0,E3/TrAvia_act!E23*1000000)</f>
        <v>10790.46509094558</v>
      </c>
      <c r="F37" s="62">
        <f>IF(F3=0,0,F3/TrAvia_act!F23*1000000)</f>
        <v>9898.6528569956299</v>
      </c>
      <c r="G37" s="62">
        <f>IF(G3=0,0,G3/TrAvia_act!G23*1000000)</f>
        <v>9444.1277828532457</v>
      </c>
      <c r="H37" s="62">
        <f>IF(H3=0,0,H3/TrAvia_act!H23*1000000)</f>
        <v>8352.3479345097112</v>
      </c>
      <c r="I37" s="62">
        <f>IF(I3=0,0,I3/TrAvia_act!I23*1000000)</f>
        <v>8371.4878612782122</v>
      </c>
      <c r="J37" s="62">
        <f>IF(J3=0,0,J3/TrAvia_act!J23*1000000)</f>
        <v>9173.2218550076468</v>
      </c>
      <c r="K37" s="62">
        <f>IF(K3=0,0,K3/TrAvia_act!K23*1000000)</f>
        <v>9087.1477397911949</v>
      </c>
      <c r="L37" s="62">
        <f>IF(L3=0,0,L3/TrAvia_act!L23*1000000)</f>
        <v>9515.5796706821093</v>
      </c>
      <c r="M37" s="62">
        <f>IF(M3=0,0,M3/TrAvia_act!M23*1000000)</f>
        <v>9646.4022038088297</v>
      </c>
      <c r="N37" s="62">
        <f>IF(N3=0,0,N3/TrAvia_act!N23*1000000)</f>
        <v>9163.1166845736425</v>
      </c>
      <c r="O37" s="62">
        <f>IF(O3=0,0,O3/TrAvia_act!O23*1000000)</f>
        <v>8926.2822141858087</v>
      </c>
      <c r="P37" s="62">
        <f>IF(P3=0,0,P3/TrAvia_act!P23*1000000)</f>
        <v>9066.664133700222</v>
      </c>
      <c r="Q37" s="62">
        <f>IF(Q3=0,0,Q3/TrAvia_act!Q23*1000000)</f>
        <v>9303.3607138672232</v>
      </c>
      <c r="R37" s="62">
        <f>IF(R3=0,0,R3/TrAvia_act!R23*1000000)</f>
        <v>9548.5112813059695</v>
      </c>
      <c r="S37" s="62">
        <f>IF(S3=0,0,S3/TrAvia_act!S23*1000000)</f>
        <v>10211.216481168996</v>
      </c>
      <c r="T37" s="62">
        <f>IF(T3=0,0,T3/TrAvia_act!T23*1000000)</f>
        <v>10581.468311526774</v>
      </c>
      <c r="U37" s="62">
        <f>IF(U3=0,0,U3/TrAvia_act!U23*1000000)</f>
        <v>10870.459851549915</v>
      </c>
      <c r="V37" s="62">
        <f>IF(V3=0,0,V3/TrAvia_act!V23*1000000)</f>
        <v>16139.948488505917</v>
      </c>
      <c r="W37" s="62">
        <f>IF(W3=0,0,W3/TrAvia_act!W23*1000000)</f>
        <v>16774.021645252193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9268.0284507445558</v>
      </c>
      <c r="C38" s="14">
        <f>IF(C6=0,0,C6/TrAvia_act!C24*1000000)</f>
        <v>8781.3064704084209</v>
      </c>
      <c r="D38" s="14">
        <f>IF(D6=0,0,D6/TrAvia_act!D24*1000000)</f>
        <v>9661.2731748125443</v>
      </c>
      <c r="E38" s="14">
        <f>IF(E6=0,0,E6/TrAvia_act!E24*1000000)</f>
        <v>9902.2440394742207</v>
      </c>
      <c r="F38" s="14">
        <f>IF(F6=0,0,F6/TrAvia_act!F24*1000000)</f>
        <v>9084.6551512865026</v>
      </c>
      <c r="G38" s="14">
        <f>IF(G6=0,0,G6/TrAvia_act!G24*1000000)</f>
        <v>8670.3010378363724</v>
      </c>
      <c r="H38" s="14">
        <f>IF(H6=0,0,H6/TrAvia_act!H24*1000000)</f>
        <v>7517.3254354751234</v>
      </c>
      <c r="I38" s="14">
        <f>IF(I6=0,0,I6/TrAvia_act!I24*1000000)</f>
        <v>7373.822867702761</v>
      </c>
      <c r="J38" s="14">
        <f>IF(J6=0,0,J6/TrAvia_act!J24*1000000)</f>
        <v>8089.6304895530793</v>
      </c>
      <c r="K38" s="14">
        <f>IF(K6=0,0,K6/TrAvia_act!K24*1000000)</f>
        <v>8307.1860597035484</v>
      </c>
      <c r="L38" s="14">
        <f>IF(L6=0,0,L6/TrAvia_act!L24*1000000)</f>
        <v>8521.8977463232604</v>
      </c>
      <c r="M38" s="14">
        <f>IF(M6=0,0,M6/TrAvia_act!M24*1000000)</f>
        <v>8690.8865945710895</v>
      </c>
      <c r="N38" s="14">
        <f>IF(N6=0,0,N6/TrAvia_act!N24*1000000)</f>
        <v>8424.4082521413566</v>
      </c>
      <c r="O38" s="14">
        <f>IF(O6=0,0,O6/TrAvia_act!O24*1000000)</f>
        <v>8278.4046702650685</v>
      </c>
      <c r="P38" s="14">
        <f>IF(P6=0,0,P6/TrAvia_act!P24*1000000)</f>
        <v>8433.6303332182761</v>
      </c>
      <c r="Q38" s="14">
        <f>IF(Q6=0,0,Q6/TrAvia_act!Q24*1000000)</f>
        <v>8483.595882925154</v>
      </c>
      <c r="R38" s="14">
        <f>IF(R6=0,0,R6/TrAvia_act!R24*1000000)</f>
        <v>8727.7164858863198</v>
      </c>
      <c r="S38" s="14">
        <f>IF(S6=0,0,S6/TrAvia_act!S24*1000000)</f>
        <v>9360.4297666192215</v>
      </c>
      <c r="T38" s="14">
        <f>IF(T6=0,0,T6/TrAvia_act!T24*1000000)</f>
        <v>9750.8928687613425</v>
      </c>
      <c r="U38" s="14">
        <f>IF(U6=0,0,U6/TrAvia_act!U24*1000000)</f>
        <v>10076.636431118006</v>
      </c>
      <c r="V38" s="14">
        <f>IF(V6=0,0,V6/TrAvia_act!V24*1000000)</f>
        <v>13304.287939547179</v>
      </c>
      <c r="W38" s="14">
        <f>IF(W6=0,0,W6/TrAvia_act!W24*1000000)</f>
        <v>14283.079145013757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0</v>
      </c>
      <c r="C39" s="87">
        <f>IF(C7=0,0,C7/TrAvia_act!C25*1000000)</f>
        <v>0</v>
      </c>
      <c r="D39" s="87">
        <f>IF(D7=0,0,D7/TrAvia_act!D25*1000000)</f>
        <v>0</v>
      </c>
      <c r="E39" s="87">
        <f>IF(E7=0,0,E7/TrAvia_act!E25*1000000)</f>
        <v>0</v>
      </c>
      <c r="F39" s="87">
        <f>IF(F7=0,0,F7/TrAvia_act!F25*1000000)</f>
        <v>0</v>
      </c>
      <c r="G39" s="87">
        <f>IF(G7=0,0,G7/TrAvia_act!G25*1000000)</f>
        <v>0</v>
      </c>
      <c r="H39" s="87">
        <f>IF(H7=0,0,H7/TrAvia_act!H25*1000000)</f>
        <v>0</v>
      </c>
      <c r="I39" s="87">
        <f>IF(I7=0,0,I7/TrAvia_act!I25*1000000)</f>
        <v>0</v>
      </c>
      <c r="J39" s="87">
        <f>IF(J7=0,0,J7/TrAvia_act!J25*1000000)</f>
        <v>0</v>
      </c>
      <c r="K39" s="87">
        <f>IF(K7=0,0,K7/TrAvia_act!K25*1000000)</f>
        <v>0</v>
      </c>
      <c r="L39" s="87">
        <f>IF(L7=0,0,L7/TrAvia_act!L25*1000000)</f>
        <v>0</v>
      </c>
      <c r="M39" s="87">
        <f>IF(M7=0,0,M7/TrAvia_act!M25*1000000)</f>
        <v>0</v>
      </c>
      <c r="N39" s="87">
        <f>IF(N7=0,0,N7/TrAvia_act!N25*1000000)</f>
        <v>0</v>
      </c>
      <c r="O39" s="87">
        <f>IF(O7=0,0,O7/TrAvia_act!O25*1000000)</f>
        <v>0</v>
      </c>
      <c r="P39" s="87">
        <f>IF(P7=0,0,P7/TrAvia_act!P25*1000000)</f>
        <v>0</v>
      </c>
      <c r="Q39" s="87">
        <f>IF(Q7=0,0,Q7/TrAvia_act!Q25*1000000)</f>
        <v>0</v>
      </c>
      <c r="R39" s="87">
        <f>IF(R7=0,0,R7/TrAvia_act!R25*1000000)</f>
        <v>0</v>
      </c>
      <c r="S39" s="87">
        <f>IF(S7=0,0,S7/TrAvia_act!S25*1000000)</f>
        <v>0</v>
      </c>
      <c r="T39" s="87">
        <f>IF(T7=0,0,T7/TrAvia_act!T25*1000000)</f>
        <v>0</v>
      </c>
      <c r="U39" s="87">
        <f>IF(U7=0,0,U7/TrAvia_act!U25*1000000)</f>
        <v>0</v>
      </c>
      <c r="V39" s="87">
        <f>IF(V7=0,0,V7/TrAvia_act!V25*1000000)</f>
        <v>0</v>
      </c>
      <c r="W39" s="87">
        <f>IF(W7=0,0,W7/TrAvia_act!W25*1000000)</f>
        <v>0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5889.5312357054945</v>
      </c>
      <c r="C40" s="87">
        <f>IF(C8=0,0,C8/TrAvia_act!C26*1000000)</f>
        <v>5616.4647459199196</v>
      </c>
      <c r="D40" s="87">
        <f>IF(D8=0,0,D8/TrAvia_act!D26*1000000)</f>
        <v>6223.3900021936906</v>
      </c>
      <c r="E40" s="87">
        <f>IF(E8=0,0,E8/TrAvia_act!E26*1000000)</f>
        <v>6404.3611543816951</v>
      </c>
      <c r="F40" s="87">
        <f>IF(F8=0,0,F8/TrAvia_act!F26*1000000)</f>
        <v>5746.3321974261389</v>
      </c>
      <c r="G40" s="87">
        <f>IF(G8=0,0,G8/TrAvia_act!G26*1000000)</f>
        <v>5580.483025481054</v>
      </c>
      <c r="H40" s="87">
        <f>IF(H8=0,0,H8/TrAvia_act!H26*1000000)</f>
        <v>4860.6473654028414</v>
      </c>
      <c r="I40" s="87">
        <f>IF(I8=0,0,I8/TrAvia_act!I26*1000000)</f>
        <v>4886.4463093721306</v>
      </c>
      <c r="J40" s="87">
        <f>IF(J8=0,0,J8/TrAvia_act!J26*1000000)</f>
        <v>5374.9761819829328</v>
      </c>
      <c r="K40" s="87">
        <f>IF(K8=0,0,K8/TrAvia_act!K26*1000000)</f>
        <v>5439.5496349672321</v>
      </c>
      <c r="L40" s="87">
        <f>IF(L8=0,0,L8/TrAvia_act!L26*1000000)</f>
        <v>5638.2706463512168</v>
      </c>
      <c r="M40" s="87">
        <f>IF(M8=0,0,M8/TrAvia_act!M26*1000000)</f>
        <v>5762.1960675361988</v>
      </c>
      <c r="N40" s="87">
        <f>IF(N8=0,0,N8/TrAvia_act!N26*1000000)</f>
        <v>5574.612605344988</v>
      </c>
      <c r="O40" s="87">
        <f>IF(O8=0,0,O8/TrAvia_act!O26*1000000)</f>
        <v>5457.7705328042121</v>
      </c>
      <c r="P40" s="87">
        <f>IF(P8=0,0,P8/TrAvia_act!P26*1000000)</f>
        <v>5554.340056049773</v>
      </c>
      <c r="Q40" s="87">
        <f>IF(Q8=0,0,Q8/TrAvia_act!Q26*1000000)</f>
        <v>5563.0307691897751</v>
      </c>
      <c r="R40" s="87">
        <f>IF(R8=0,0,R8/TrAvia_act!R26*1000000)</f>
        <v>5704.6196897681621</v>
      </c>
      <c r="S40" s="87">
        <f>IF(S8=0,0,S8/TrAvia_act!S26*1000000)</f>
        <v>6329.1960747962985</v>
      </c>
      <c r="T40" s="87">
        <f>IF(T8=0,0,T8/TrAvia_act!T26*1000000)</f>
        <v>6718.3657339347201</v>
      </c>
      <c r="U40" s="87">
        <f>IF(U8=0,0,U8/TrAvia_act!U26*1000000)</f>
        <v>6863.789388308046</v>
      </c>
      <c r="V40" s="87">
        <f>IF(V8=0,0,V8/TrAvia_act!V26*1000000)</f>
        <v>8220.2838129083739</v>
      </c>
      <c r="W40" s="87">
        <f>IF(W8=0,0,W8/TrAvia_act!W26*1000000)</f>
        <v>9895.0446487057179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28801.674911424576</v>
      </c>
      <c r="C41" s="87">
        <f>IF(C9=0,0,C9/TrAvia_act!C27*1000000)</f>
        <v>27420.392984414109</v>
      </c>
      <c r="D41" s="87">
        <f>IF(D9=0,0,D9/TrAvia_act!D27*1000000)</f>
        <v>30840.361541672835</v>
      </c>
      <c r="E41" s="87">
        <f>IF(E9=0,0,E9/TrAvia_act!E27*1000000)</f>
        <v>30701.741828185339</v>
      </c>
      <c r="F41" s="87">
        <f>IF(F9=0,0,F9/TrAvia_act!F27*1000000)</f>
        <v>27416.434127882181</v>
      </c>
      <c r="G41" s="87">
        <f>IF(G9=0,0,G9/TrAvia_act!G27*1000000)</f>
        <v>23984.527515566493</v>
      </c>
      <c r="H41" s="87">
        <f>IF(H9=0,0,H9/TrAvia_act!H27*1000000)</f>
        <v>21199.224388575021</v>
      </c>
      <c r="I41" s="87">
        <f>IF(I9=0,0,I9/TrAvia_act!I27*1000000)</f>
        <v>19348.451854918028</v>
      </c>
      <c r="J41" s="87">
        <f>IF(J9=0,0,J9/TrAvia_act!J27*1000000)</f>
        <v>19792.439674554946</v>
      </c>
      <c r="K41" s="87">
        <f>IF(K9=0,0,K9/TrAvia_act!K27*1000000)</f>
        <v>19707.335654032922</v>
      </c>
      <c r="L41" s="87">
        <f>IF(L9=0,0,L9/TrAvia_act!L27*1000000)</f>
        <v>19183.415288736091</v>
      </c>
      <c r="M41" s="87">
        <f>IF(M9=0,0,M9/TrAvia_act!M27*1000000)</f>
        <v>19279.008888813394</v>
      </c>
      <c r="N41" s="87">
        <f>IF(N9=0,0,N9/TrAvia_act!N27*1000000)</f>
        <v>18225.333138578972</v>
      </c>
      <c r="O41" s="87">
        <f>IF(O9=0,0,O9/TrAvia_act!O27*1000000)</f>
        <v>17907.281728423102</v>
      </c>
      <c r="P41" s="87">
        <f>IF(P9=0,0,P9/TrAvia_act!P27*1000000)</f>
        <v>18546.470446370935</v>
      </c>
      <c r="Q41" s="87">
        <f>IF(Q9=0,0,Q9/TrAvia_act!Q27*1000000)</f>
        <v>19292.722484269758</v>
      </c>
      <c r="R41" s="87">
        <f>IF(R9=0,0,R9/TrAvia_act!R27*1000000)</f>
        <v>21644.530741900013</v>
      </c>
      <c r="S41" s="87">
        <f>IF(S9=0,0,S9/TrAvia_act!S27*1000000)</f>
        <v>21366.726751096987</v>
      </c>
      <c r="T41" s="87">
        <f>IF(T9=0,0,T9/TrAvia_act!T27*1000000)</f>
        <v>20376.387099129719</v>
      </c>
      <c r="U41" s="87">
        <f>IF(U9=0,0,U9/TrAvia_act!U27*1000000)</f>
        <v>20706.605769479596</v>
      </c>
      <c r="V41" s="87">
        <f>IF(V9=0,0,V9/TrAvia_act!V27*1000000)</f>
        <v>31953.665722766618</v>
      </c>
      <c r="W41" s="87">
        <f>IF(W9=0,0,W9/TrAvia_act!W27*1000000)</f>
        <v>28152.849972841293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14032.233462792234</v>
      </c>
      <c r="C42" s="15">
        <f>IF(C10=0,0,C10/TrAvia_act!C28*1000000)</f>
        <v>14641.798575402237</v>
      </c>
      <c r="D42" s="15">
        <f>IF(D10=0,0,D10/TrAvia_act!D28*1000000)</f>
        <v>16723.58117084108</v>
      </c>
      <c r="E42" s="15">
        <f>IF(E10=0,0,E10/TrAvia_act!E28*1000000)</f>
        <v>18933.026296118958</v>
      </c>
      <c r="F42" s="15">
        <f>IF(F10=0,0,F10/TrAvia_act!F28*1000000)</f>
        <v>16861.185106752095</v>
      </c>
      <c r="G42" s="15">
        <f>IF(G10=0,0,G10/TrAvia_act!G28*1000000)</f>
        <v>15342.096712186909</v>
      </c>
      <c r="H42" s="15">
        <f>IF(H10=0,0,H10/TrAvia_act!H28*1000000)</f>
        <v>12121.221236671499</v>
      </c>
      <c r="I42" s="15">
        <f>IF(I10=0,0,I10/TrAvia_act!I28*1000000)</f>
        <v>12601.859333652286</v>
      </c>
      <c r="J42" s="15">
        <f>IF(J10=0,0,J10/TrAvia_act!J28*1000000)</f>
        <v>14851.376866843522</v>
      </c>
      <c r="K42" s="15">
        <f>IF(K10=0,0,K10/TrAvia_act!K28*1000000)</f>
        <v>14425.328704780415</v>
      </c>
      <c r="L42" s="15">
        <f>IF(L10=0,0,L10/TrAvia_act!L28*1000000)</f>
        <v>15792.265058838857</v>
      </c>
      <c r="M42" s="15">
        <f>IF(M10=0,0,M10/TrAvia_act!M28*1000000)</f>
        <v>16167.087917350644</v>
      </c>
      <c r="N42" s="15">
        <f>IF(N10=0,0,N10/TrAvia_act!N28*1000000)</f>
        <v>14616.237697925584</v>
      </c>
      <c r="O42" s="15">
        <f>IF(O10=0,0,O10/TrAvia_act!O28*1000000)</f>
        <v>13766.430807632154</v>
      </c>
      <c r="P42" s="15">
        <f>IF(P10=0,0,P10/TrAvia_act!P28*1000000)</f>
        <v>14244.346823592314</v>
      </c>
      <c r="Q42" s="15">
        <f>IF(Q10=0,0,Q10/TrAvia_act!Q28*1000000)</f>
        <v>15417.798880323498</v>
      </c>
      <c r="R42" s="15">
        <f>IF(R10=0,0,R10/TrAvia_act!R28*1000000)</f>
        <v>16353.437482192683</v>
      </c>
      <c r="S42" s="15">
        <f>IF(S10=0,0,S10/TrAvia_act!S28*1000000)</f>
        <v>16850.738589166522</v>
      </c>
      <c r="T42" s="15">
        <f>IF(T10=0,0,T10/TrAvia_act!T28*1000000)</f>
        <v>16432.906696430473</v>
      </c>
      <c r="U42" s="15">
        <f>IF(U10=0,0,U10/TrAvia_act!U28*1000000)</f>
        <v>16884.949995261028</v>
      </c>
      <c r="V42" s="15">
        <f>IF(V10=0,0,V10/TrAvia_act!V28*1000000)</f>
        <v>21732.933285875635</v>
      </c>
      <c r="W42" s="15">
        <f>IF(W10=0,0,W10/TrAvia_act!W28*1000000)</f>
        <v>21669.133352710887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0</v>
      </c>
      <c r="C43" s="101">
        <f>IF(C11=0,0,C11/TrAvia_act!C29*1000000)</f>
        <v>0</v>
      </c>
      <c r="D43" s="101">
        <f>IF(D11=0,0,D11/TrAvia_act!D29*1000000)</f>
        <v>0</v>
      </c>
      <c r="E43" s="101">
        <f>IF(E11=0,0,E11/TrAvia_act!E29*1000000)</f>
        <v>0</v>
      </c>
      <c r="F43" s="101">
        <f>IF(F11=0,0,F11/TrAvia_act!F29*1000000)</f>
        <v>0</v>
      </c>
      <c r="G43" s="101">
        <f>IF(G11=0,0,G11/TrAvia_act!G29*1000000)</f>
        <v>0</v>
      </c>
      <c r="H43" s="101">
        <f>IF(H11=0,0,H11/TrAvia_act!H29*1000000)</f>
        <v>0</v>
      </c>
      <c r="I43" s="101">
        <f>IF(I11=0,0,I11/TrAvia_act!I29*1000000)</f>
        <v>0</v>
      </c>
      <c r="J43" s="101">
        <f>IF(J11=0,0,J11/TrAvia_act!J29*1000000)</f>
        <v>0</v>
      </c>
      <c r="K43" s="101">
        <f>IF(K11=0,0,K11/TrAvia_act!K29*1000000)</f>
        <v>0</v>
      </c>
      <c r="L43" s="101">
        <f>IF(L11=0,0,L11/TrAvia_act!L29*1000000)</f>
        <v>0</v>
      </c>
      <c r="M43" s="101">
        <f>IF(M11=0,0,M11/TrAvia_act!M29*1000000)</f>
        <v>0</v>
      </c>
      <c r="N43" s="101">
        <f>IF(N11=0,0,N11/TrAvia_act!N29*1000000)</f>
        <v>0</v>
      </c>
      <c r="O43" s="101">
        <f>IF(O11=0,0,O11/TrAvia_act!O29*1000000)</f>
        <v>0</v>
      </c>
      <c r="P43" s="101">
        <f>IF(P11=0,0,P11/TrAvia_act!P29*1000000)</f>
        <v>0</v>
      </c>
      <c r="Q43" s="101">
        <f>IF(Q11=0,0,Q11/TrAvia_act!Q29*1000000)</f>
        <v>0</v>
      </c>
      <c r="R43" s="101">
        <f>IF(R11=0,0,R11/TrAvia_act!R29*1000000)</f>
        <v>0</v>
      </c>
      <c r="S43" s="101">
        <f>IF(S11=0,0,S11/TrAvia_act!S29*1000000)</f>
        <v>0</v>
      </c>
      <c r="T43" s="101">
        <f>IF(T11=0,0,T11/TrAvia_act!T29*1000000)</f>
        <v>0</v>
      </c>
      <c r="U43" s="101">
        <f>IF(U11=0,0,U11/TrAvia_act!U29*1000000)</f>
        <v>0</v>
      </c>
      <c r="V43" s="101">
        <f>IF(V11=0,0,V11/TrAvia_act!V29*1000000)</f>
        <v>0</v>
      </c>
      <c r="W43" s="101">
        <f>IF(W11=0,0,W11/TrAvia_act!W29*1000000)</f>
        <v>0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5225.6787693927172</v>
      </c>
      <c r="C44" s="101">
        <f>IF(C12=0,0,C12/TrAvia_act!C30*1000000)</f>
        <v>4986.3851153182786</v>
      </c>
      <c r="D44" s="101">
        <f>IF(D12=0,0,D12/TrAvia_act!D30*1000000)</f>
        <v>5568.0025462191252</v>
      </c>
      <c r="E44" s="101">
        <f>IF(E12=0,0,E12/TrAvia_act!E30*1000000)</f>
        <v>5511.6701631331971</v>
      </c>
      <c r="F44" s="101">
        <f>IF(F12=0,0,F12/TrAvia_act!F30*1000000)</f>
        <v>4918.068932396729</v>
      </c>
      <c r="G44" s="101">
        <f>IF(G12=0,0,G12/TrAvia_act!G30*1000000)</f>
        <v>4876.8275606739035</v>
      </c>
      <c r="H44" s="101">
        <f>IF(H12=0,0,H12/TrAvia_act!H30*1000000)</f>
        <v>4605.7484073339738</v>
      </c>
      <c r="I44" s="101">
        <f>IF(I12=0,0,I12/TrAvia_act!I30*1000000)</f>
        <v>4672.547204110233</v>
      </c>
      <c r="J44" s="101">
        <f>IF(J12=0,0,J12/TrAvia_act!J30*1000000)</f>
        <v>5064.8286912698677</v>
      </c>
      <c r="K44" s="101">
        <f>IF(K12=0,0,K12/TrAvia_act!K30*1000000)</f>
        <v>4785.4419189774389</v>
      </c>
      <c r="L44" s="101">
        <f>IF(L12=0,0,L12/TrAvia_act!L30*1000000)</f>
        <v>4901.2994717182946</v>
      </c>
      <c r="M44" s="101">
        <f>IF(M12=0,0,M12/TrAvia_act!M30*1000000)</f>
        <v>4986.6307320722499</v>
      </c>
      <c r="N44" s="101">
        <f>IF(N12=0,0,N12/TrAvia_act!N30*1000000)</f>
        <v>4874.5431835653962</v>
      </c>
      <c r="O44" s="101">
        <f>IF(O12=0,0,O12/TrAvia_act!O30*1000000)</f>
        <v>4691.4860138793492</v>
      </c>
      <c r="P44" s="101">
        <f>IF(P12=0,0,P12/TrAvia_act!P30*1000000)</f>
        <v>4753.0583669058533</v>
      </c>
      <c r="Q44" s="101">
        <f>IF(Q12=0,0,Q12/TrAvia_act!Q30*1000000)</f>
        <v>4810.2133992732488</v>
      </c>
      <c r="R44" s="101">
        <f>IF(R12=0,0,R12/TrAvia_act!R30*1000000)</f>
        <v>4837.3119644499766</v>
      </c>
      <c r="S44" s="101">
        <f>IF(S12=0,0,S12/TrAvia_act!S30*1000000)</f>
        <v>5565.4962307679316</v>
      </c>
      <c r="T44" s="101">
        <f>IF(T12=0,0,T12/TrAvia_act!T30*1000000)</f>
        <v>5997.5325690879072</v>
      </c>
      <c r="U44" s="101">
        <f>IF(U12=0,0,U12/TrAvia_act!U30*1000000)</f>
        <v>6266.7736027636138</v>
      </c>
      <c r="V44" s="101">
        <f>IF(V12=0,0,V12/TrAvia_act!V30*1000000)</f>
        <v>8117.4190437316993</v>
      </c>
      <c r="W44" s="101">
        <f>IF(W12=0,0,W12/TrAvia_act!W30*1000000)</f>
        <v>9882.7648710960821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43157.026777147898</v>
      </c>
      <c r="C45" s="88">
        <f>IF(C13=0,0,C13/TrAvia_act!C31*1000000)</f>
        <v>41087.285302247241</v>
      </c>
      <c r="D45" s="88">
        <f>IF(D13=0,0,D13/TrAvia_act!D31*1000000)</f>
        <v>46211.837088090528</v>
      </c>
      <c r="E45" s="88">
        <f>IF(E13=0,0,E13/TrAvia_act!E31*1000000)</f>
        <v>46004.126435664293</v>
      </c>
      <c r="F45" s="88">
        <f>IF(F13=0,0,F13/TrAvia_act!F31*1000000)</f>
        <v>41081.353269548417</v>
      </c>
      <c r="G45" s="88">
        <f>IF(G13=0,0,G13/TrAvia_act!G31*1000000)</f>
        <v>36523.872621782066</v>
      </c>
      <c r="H45" s="88">
        <f>IF(H13=0,0,H13/TrAvia_act!H31*1000000)</f>
        <v>33698.294393659562</v>
      </c>
      <c r="I45" s="88">
        <f>IF(I13=0,0,I13/TrAvia_act!I31*1000000)</f>
        <v>31204.904655006369</v>
      </c>
      <c r="J45" s="88">
        <f>IF(J13=0,0,J13/TrAvia_act!J31*1000000)</f>
        <v>31352.999453674707</v>
      </c>
      <c r="K45" s="88">
        <f>IF(K13=0,0,K13/TrAvia_act!K31*1000000)</f>
        <v>32334.696456553236</v>
      </c>
      <c r="L45" s="88">
        <f>IF(L13=0,0,L13/TrAvia_act!L31*1000000)</f>
        <v>31898.430129012766</v>
      </c>
      <c r="M45" s="88">
        <f>IF(M13=0,0,M13/TrAvia_act!M31*1000000)</f>
        <v>31438.756152827464</v>
      </c>
      <c r="N45" s="88">
        <f>IF(N13=0,0,N13/TrAvia_act!N31*1000000)</f>
        <v>30253.381971943199</v>
      </c>
      <c r="O45" s="88">
        <f>IF(O13=0,0,O13/TrAvia_act!O31*1000000)</f>
        <v>31074.799871178988</v>
      </c>
      <c r="P45" s="88">
        <f>IF(P13=0,0,P13/TrAvia_act!P31*1000000)</f>
        <v>33145.224771956331</v>
      </c>
      <c r="Q45" s="88">
        <f>IF(Q13=0,0,Q13/TrAvia_act!Q31*1000000)</f>
        <v>34312.660877828537</v>
      </c>
      <c r="R45" s="88">
        <f>IF(R13=0,0,R13/TrAvia_act!R31*1000000)</f>
        <v>38173.248464953584</v>
      </c>
      <c r="S45" s="88">
        <f>IF(S13=0,0,S13/TrAvia_act!S31*1000000)</f>
        <v>37059.612220650721</v>
      </c>
      <c r="T45" s="88">
        <f>IF(T13=0,0,T13/TrAvia_act!T31*1000000)</f>
        <v>34917.508670108371</v>
      </c>
      <c r="U45" s="88">
        <f>IF(U13=0,0,U13/TrAvia_act!U31*1000000)</f>
        <v>36259.184392511015</v>
      </c>
      <c r="V45" s="88">
        <f>IF(V13=0,0,V13/TrAvia_act!V31*1000000)</f>
        <v>38470.391127454386</v>
      </c>
      <c r="W45" s="88">
        <f>IF(W13=0,0,W13/TrAvia_act!W31*1000000)</f>
        <v>34007.839059157632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0.86382709629482624</v>
      </c>
      <c r="C48" s="16">
        <f t="shared" si="35"/>
        <v>0.87153541859835193</v>
      </c>
      <c r="D48" s="16">
        <f t="shared" ref="D48:V48" si="36">IF(D6=0,0,D6/D$3)</f>
        <v>0.84946828187643009</v>
      </c>
      <c r="E48" s="16">
        <f t="shared" si="36"/>
        <v>0.82742592070478083</v>
      </c>
      <c r="F48" s="16">
        <f t="shared" si="36"/>
        <v>0.82170082493023799</v>
      </c>
      <c r="G48" s="16">
        <f t="shared" si="36"/>
        <v>0.81158136216265486</v>
      </c>
      <c r="H48" s="16">
        <f t="shared" si="36"/>
        <v>0.73678508661627884</v>
      </c>
      <c r="I48" s="16">
        <f t="shared" si="36"/>
        <v>0.71273805189975559</v>
      </c>
      <c r="J48" s="16">
        <f t="shared" si="36"/>
        <v>0.74055131104484173</v>
      </c>
      <c r="K48" s="16">
        <f t="shared" si="36"/>
        <v>0.79762736015716251</v>
      </c>
      <c r="L48" s="16">
        <f t="shared" si="36"/>
        <v>0.77317014672151185</v>
      </c>
      <c r="M48" s="16">
        <f t="shared" si="36"/>
        <v>0.7857981425015198</v>
      </c>
      <c r="N48" s="16">
        <f t="shared" si="36"/>
        <v>0.8096966420590398</v>
      </c>
      <c r="O48" s="16">
        <f t="shared" si="36"/>
        <v>0.81793456676300424</v>
      </c>
      <c r="P48" s="16">
        <f t="shared" si="36"/>
        <v>0.82884396203434496</v>
      </c>
      <c r="Q48" s="16">
        <f t="shared" si="36"/>
        <v>0.80408159008561875</v>
      </c>
      <c r="R48" s="16">
        <f t="shared" si="36"/>
        <v>0.81565682134459505</v>
      </c>
      <c r="S48" s="16">
        <f t="shared" si="36"/>
        <v>0.81255993183563302</v>
      </c>
      <c r="T48" s="16">
        <f t="shared" si="36"/>
        <v>0.80696317312297827</v>
      </c>
      <c r="U48" s="16">
        <f t="shared" si="36"/>
        <v>0.81889258954804833</v>
      </c>
      <c r="V48" s="16">
        <f t="shared" si="36"/>
        <v>0.54698491557279927</v>
      </c>
      <c r="W48" s="16">
        <f t="shared" ref="W48" si="37">IF(W6=0,0,W6/W$3)</f>
        <v>0.56433210727300376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0</v>
      </c>
      <c r="C49" s="103">
        <f t="shared" si="38"/>
        <v>0</v>
      </c>
      <c r="D49" s="103">
        <f t="shared" ref="D49:V49" si="39">IF(D7=0,0,D7/D$3)</f>
        <v>0</v>
      </c>
      <c r="E49" s="103">
        <f t="shared" si="39"/>
        <v>0</v>
      </c>
      <c r="F49" s="103">
        <f t="shared" si="39"/>
        <v>0</v>
      </c>
      <c r="G49" s="103">
        <f t="shared" si="39"/>
        <v>0</v>
      </c>
      <c r="H49" s="103">
        <f t="shared" si="39"/>
        <v>0</v>
      </c>
      <c r="I49" s="103">
        <f t="shared" si="39"/>
        <v>0</v>
      </c>
      <c r="J49" s="103">
        <f t="shared" si="39"/>
        <v>0</v>
      </c>
      <c r="K49" s="103">
        <f t="shared" si="39"/>
        <v>0</v>
      </c>
      <c r="L49" s="103">
        <f t="shared" si="39"/>
        <v>0</v>
      </c>
      <c r="M49" s="103">
        <f t="shared" si="39"/>
        <v>0</v>
      </c>
      <c r="N49" s="103">
        <f t="shared" si="39"/>
        <v>0</v>
      </c>
      <c r="O49" s="103">
        <f t="shared" si="39"/>
        <v>0</v>
      </c>
      <c r="P49" s="103">
        <f t="shared" si="39"/>
        <v>0</v>
      </c>
      <c r="Q49" s="103">
        <f t="shared" si="39"/>
        <v>0</v>
      </c>
      <c r="R49" s="103">
        <f t="shared" si="39"/>
        <v>0</v>
      </c>
      <c r="S49" s="103">
        <f t="shared" si="39"/>
        <v>0</v>
      </c>
      <c r="T49" s="103">
        <f t="shared" si="39"/>
        <v>0</v>
      </c>
      <c r="U49" s="103">
        <f t="shared" si="39"/>
        <v>0</v>
      </c>
      <c r="V49" s="103">
        <f t="shared" si="39"/>
        <v>0</v>
      </c>
      <c r="W49" s="103">
        <f t="shared" ref="W49" si="40">IF(W7=0,0,W7/W$3)</f>
        <v>0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0.46799131455585807</v>
      </c>
      <c r="C50" s="103">
        <f t="shared" si="41"/>
        <v>0.47651746652596666</v>
      </c>
      <c r="D50" s="103">
        <f t="shared" ref="D50:V50" si="42">IF(D8=0,0,D8/D$3)</f>
        <v>0.47077399193610148</v>
      </c>
      <c r="E50" s="103">
        <f t="shared" si="42"/>
        <v>0.45810465221802932</v>
      </c>
      <c r="F50" s="103">
        <f t="shared" si="42"/>
        <v>0.43968298953786444</v>
      </c>
      <c r="G50" s="103">
        <f t="shared" si="42"/>
        <v>0.43466179657968029</v>
      </c>
      <c r="H50" s="103">
        <f t="shared" si="42"/>
        <v>0.39893646795585319</v>
      </c>
      <c r="I50" s="103">
        <f t="shared" si="42"/>
        <v>0.39107848019902719</v>
      </c>
      <c r="J50" s="103">
        <f t="shared" si="42"/>
        <v>0.39939652138455972</v>
      </c>
      <c r="K50" s="103">
        <f t="shared" si="42"/>
        <v>0.41731405501428043</v>
      </c>
      <c r="L50" s="103">
        <f t="shared" si="42"/>
        <v>0.40264290965594629</v>
      </c>
      <c r="M50" s="103">
        <f t="shared" si="42"/>
        <v>0.40811221694140709</v>
      </c>
      <c r="N50" s="103">
        <f t="shared" si="42"/>
        <v>0.4150968376294295</v>
      </c>
      <c r="O50" s="103">
        <f t="shared" si="42"/>
        <v>0.417071509669452</v>
      </c>
      <c r="P50" s="103">
        <f t="shared" si="42"/>
        <v>0.42489679269128899</v>
      </c>
      <c r="Q50" s="103">
        <f t="shared" si="42"/>
        <v>0.41510830846805019</v>
      </c>
      <c r="R50" s="103">
        <f t="shared" si="42"/>
        <v>0.43201921150901867</v>
      </c>
      <c r="S50" s="103">
        <f t="shared" si="42"/>
        <v>0.43867281292035765</v>
      </c>
      <c r="T50" s="103">
        <f t="shared" si="42"/>
        <v>0.43254801654693759</v>
      </c>
      <c r="U50" s="103">
        <f t="shared" si="42"/>
        <v>0.42833430119333987</v>
      </c>
      <c r="V50" s="103">
        <f t="shared" si="42"/>
        <v>0.2655676956647578</v>
      </c>
      <c r="W50" s="103">
        <f t="shared" ref="W50" si="43">IF(W8=0,0,W8/W$3)</f>
        <v>0.29699653908989515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0.39583578173896822</v>
      </c>
      <c r="C51" s="103">
        <f t="shared" si="44"/>
        <v>0.39501795207238533</v>
      </c>
      <c r="D51" s="103">
        <f t="shared" ref="D51:V51" si="45">IF(D9=0,0,D9/D$3)</f>
        <v>0.37869428994032861</v>
      </c>
      <c r="E51" s="103">
        <f t="shared" si="45"/>
        <v>0.36932126848675156</v>
      </c>
      <c r="F51" s="103">
        <f t="shared" si="45"/>
        <v>0.38201783539237355</v>
      </c>
      <c r="G51" s="103">
        <f t="shared" si="45"/>
        <v>0.37691956558297451</v>
      </c>
      <c r="H51" s="103">
        <f t="shared" si="45"/>
        <v>0.33784861866042565</v>
      </c>
      <c r="I51" s="103">
        <f t="shared" si="45"/>
        <v>0.3216595717007284</v>
      </c>
      <c r="J51" s="103">
        <f t="shared" si="45"/>
        <v>0.34115478966028195</v>
      </c>
      <c r="K51" s="103">
        <f t="shared" si="45"/>
        <v>0.38031330514288197</v>
      </c>
      <c r="L51" s="103">
        <f t="shared" si="45"/>
        <v>0.37052723706556562</v>
      </c>
      <c r="M51" s="103">
        <f t="shared" si="45"/>
        <v>0.37768592556011271</v>
      </c>
      <c r="N51" s="103">
        <f t="shared" si="45"/>
        <v>0.39459980442961023</v>
      </c>
      <c r="O51" s="103">
        <f t="shared" si="45"/>
        <v>0.40086305709355219</v>
      </c>
      <c r="P51" s="103">
        <f t="shared" si="45"/>
        <v>0.40394716934305597</v>
      </c>
      <c r="Q51" s="103">
        <f t="shared" si="45"/>
        <v>0.38897328161756861</v>
      </c>
      <c r="R51" s="103">
        <f t="shared" si="45"/>
        <v>0.38363760983557643</v>
      </c>
      <c r="S51" s="103">
        <f t="shared" si="45"/>
        <v>0.37388711891527543</v>
      </c>
      <c r="T51" s="103">
        <f t="shared" si="45"/>
        <v>0.37441515657604069</v>
      </c>
      <c r="U51" s="103">
        <f t="shared" si="45"/>
        <v>0.39055828835470852</v>
      </c>
      <c r="V51" s="103">
        <f t="shared" si="45"/>
        <v>0.28141721990804142</v>
      </c>
      <c r="W51" s="103">
        <f t="shared" ref="W51" si="46">IF(W9=0,0,W9/W$3)</f>
        <v>0.26733556818310861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0.13617290370517376</v>
      </c>
      <c r="C52" s="17">
        <f t="shared" si="47"/>
        <v>0.12846458140164804</v>
      </c>
      <c r="D52" s="17">
        <f t="shared" ref="D52:V52" si="48">IF(D10=0,0,D10/D$3)</f>
        <v>0.15053171812356991</v>
      </c>
      <c r="E52" s="17">
        <f t="shared" si="48"/>
        <v>0.17257407929521901</v>
      </c>
      <c r="F52" s="17">
        <f t="shared" si="48"/>
        <v>0.17829917506976209</v>
      </c>
      <c r="G52" s="17">
        <f t="shared" si="48"/>
        <v>0.18841863783734505</v>
      </c>
      <c r="H52" s="17">
        <f t="shared" si="48"/>
        <v>0.26321491338372127</v>
      </c>
      <c r="I52" s="17">
        <f t="shared" si="48"/>
        <v>0.28726194810024441</v>
      </c>
      <c r="J52" s="17">
        <f t="shared" si="48"/>
        <v>0.25944868895515827</v>
      </c>
      <c r="K52" s="17">
        <f t="shared" si="48"/>
        <v>0.20237263984283735</v>
      </c>
      <c r="L52" s="17">
        <f t="shared" si="48"/>
        <v>0.22682985327848815</v>
      </c>
      <c r="M52" s="17">
        <f t="shared" si="48"/>
        <v>0.21420185749848028</v>
      </c>
      <c r="N52" s="17">
        <f t="shared" si="48"/>
        <v>0.19030335794096026</v>
      </c>
      <c r="O52" s="17">
        <f t="shared" si="48"/>
        <v>0.18206543323699564</v>
      </c>
      <c r="P52" s="17">
        <f t="shared" si="48"/>
        <v>0.17115603796565504</v>
      </c>
      <c r="Q52" s="17">
        <f t="shared" si="48"/>
        <v>0.19591840991438125</v>
      </c>
      <c r="R52" s="17">
        <f t="shared" si="48"/>
        <v>0.18434317865540495</v>
      </c>
      <c r="S52" s="17">
        <f t="shared" si="48"/>
        <v>0.1874400681643669</v>
      </c>
      <c r="T52" s="17">
        <f t="shared" si="48"/>
        <v>0.19303682687702164</v>
      </c>
      <c r="U52" s="17">
        <f t="shared" si="48"/>
        <v>0.18110741045195167</v>
      </c>
      <c r="V52" s="17">
        <f t="shared" si="48"/>
        <v>0.45301508442720095</v>
      </c>
      <c r="W52" s="17">
        <f t="shared" ref="W52" si="49">IF(W10=0,0,W10/W$3)</f>
        <v>0.4356678927269963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0</v>
      </c>
      <c r="C53" s="104">
        <f t="shared" si="50"/>
        <v>0</v>
      </c>
      <c r="D53" s="104">
        <f t="shared" ref="D53:V53" si="51">IF(D11=0,0,D11/D$3)</f>
        <v>0</v>
      </c>
      <c r="E53" s="104">
        <f t="shared" si="51"/>
        <v>0</v>
      </c>
      <c r="F53" s="104">
        <f t="shared" si="51"/>
        <v>0</v>
      </c>
      <c r="G53" s="104">
        <f t="shared" si="51"/>
        <v>0</v>
      </c>
      <c r="H53" s="104">
        <f t="shared" si="51"/>
        <v>0</v>
      </c>
      <c r="I53" s="104">
        <f t="shared" si="51"/>
        <v>0</v>
      </c>
      <c r="J53" s="104">
        <f t="shared" si="51"/>
        <v>0</v>
      </c>
      <c r="K53" s="104">
        <f t="shared" si="51"/>
        <v>0</v>
      </c>
      <c r="L53" s="104">
        <f t="shared" si="51"/>
        <v>0</v>
      </c>
      <c r="M53" s="104">
        <f t="shared" si="51"/>
        <v>0</v>
      </c>
      <c r="N53" s="104">
        <f t="shared" si="51"/>
        <v>0</v>
      </c>
      <c r="O53" s="104">
        <f t="shared" si="51"/>
        <v>0</v>
      </c>
      <c r="P53" s="104">
        <f t="shared" si="51"/>
        <v>0</v>
      </c>
      <c r="Q53" s="104">
        <f t="shared" si="51"/>
        <v>0</v>
      </c>
      <c r="R53" s="104">
        <f t="shared" si="51"/>
        <v>0</v>
      </c>
      <c r="S53" s="104">
        <f t="shared" si="51"/>
        <v>0</v>
      </c>
      <c r="T53" s="104">
        <f t="shared" si="51"/>
        <v>0</v>
      </c>
      <c r="U53" s="104">
        <f t="shared" si="51"/>
        <v>0</v>
      </c>
      <c r="V53" s="104">
        <f t="shared" si="51"/>
        <v>0</v>
      </c>
      <c r="W53" s="104">
        <f t="shared" ref="W53" si="52">IF(W11=0,0,W11/W$3)</f>
        <v>0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3.8937779473674695E-2</v>
      </c>
      <c r="C54" s="104">
        <f t="shared" si="53"/>
        <v>3.2048545843041239E-2</v>
      </c>
      <c r="D54" s="104">
        <f t="shared" ref="D54:V54" si="54">IF(D12=0,0,D12/D$3)</f>
        <v>3.6362402819075434E-2</v>
      </c>
      <c r="E54" s="104">
        <f t="shared" si="54"/>
        <v>3.3586947119366349E-2</v>
      </c>
      <c r="F54" s="104">
        <f t="shared" si="54"/>
        <v>3.4830935361082532E-2</v>
      </c>
      <c r="G54" s="104">
        <f t="shared" si="54"/>
        <v>4.0087202239001279E-2</v>
      </c>
      <c r="H54" s="104">
        <f t="shared" si="54"/>
        <v>7.4178001645392386E-2</v>
      </c>
      <c r="I54" s="104">
        <f t="shared" si="54"/>
        <v>7.468018340127032E-2</v>
      </c>
      <c r="J54" s="104">
        <f t="shared" si="54"/>
        <v>5.5541269888199518E-2</v>
      </c>
      <c r="K54" s="104">
        <f t="shared" si="54"/>
        <v>4.3643395429409301E-2</v>
      </c>
      <c r="L54" s="104">
        <f t="shared" si="54"/>
        <v>4.1999252757985758E-2</v>
      </c>
      <c r="M54" s="104">
        <f t="shared" si="54"/>
        <v>3.8143852062357153E-2</v>
      </c>
      <c r="N54" s="104">
        <f t="shared" si="54"/>
        <v>3.9104836345030175E-2</v>
      </c>
      <c r="O54" s="104">
        <f t="shared" si="54"/>
        <v>4.0704588789132544E-2</v>
      </c>
      <c r="P54" s="104">
        <f t="shared" si="54"/>
        <v>3.8019489271636196E-2</v>
      </c>
      <c r="Q54" s="104">
        <f t="shared" si="54"/>
        <v>3.9147397293952481E-2</v>
      </c>
      <c r="R54" s="104">
        <f t="shared" si="54"/>
        <v>3.5691141429580991E-2</v>
      </c>
      <c r="S54" s="104">
        <f t="shared" si="54"/>
        <v>3.9724649203545216E-2</v>
      </c>
      <c r="T54" s="104">
        <f t="shared" si="54"/>
        <v>4.5030894028744738E-2</v>
      </c>
      <c r="U54" s="104">
        <f t="shared" si="54"/>
        <v>4.3420380150762425E-2</v>
      </c>
      <c r="V54" s="104">
        <f t="shared" si="54"/>
        <v>9.33040630651535E-2</v>
      </c>
      <c r="W54" s="104">
        <f t="shared" ref="W54" si="55">IF(W12=0,0,W12/W$3)</f>
        <v>0.10162333051271479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9.7235124231499062E-2</v>
      </c>
      <c r="C55" s="105">
        <f t="shared" si="56"/>
        <v>9.6416035558606797E-2</v>
      </c>
      <c r="D55" s="105">
        <f t="shared" ref="D55:V55" si="57">IF(D13=0,0,D13/D$3)</f>
        <v>0.11416931530449449</v>
      </c>
      <c r="E55" s="105">
        <f t="shared" si="57"/>
        <v>0.13898713217585268</v>
      </c>
      <c r="F55" s="105">
        <f t="shared" si="57"/>
        <v>0.14346823970867956</v>
      </c>
      <c r="G55" s="105">
        <f t="shared" si="57"/>
        <v>0.14833143559834377</v>
      </c>
      <c r="H55" s="105">
        <f t="shared" si="57"/>
        <v>0.1890369117383289</v>
      </c>
      <c r="I55" s="105">
        <f t="shared" si="57"/>
        <v>0.21258176469897405</v>
      </c>
      <c r="J55" s="105">
        <f t="shared" si="57"/>
        <v>0.20390741906695872</v>
      </c>
      <c r="K55" s="105">
        <f t="shared" si="57"/>
        <v>0.15872924441342806</v>
      </c>
      <c r="L55" s="105">
        <f t="shared" si="57"/>
        <v>0.1848306005205024</v>
      </c>
      <c r="M55" s="105">
        <f t="shared" si="57"/>
        <v>0.1760580054361231</v>
      </c>
      <c r="N55" s="105">
        <f t="shared" si="57"/>
        <v>0.15119852159593006</v>
      </c>
      <c r="O55" s="105">
        <f t="shared" si="57"/>
        <v>0.14136084444786309</v>
      </c>
      <c r="P55" s="105">
        <f t="shared" si="57"/>
        <v>0.13313654869401884</v>
      </c>
      <c r="Q55" s="105">
        <f t="shared" si="57"/>
        <v>0.15677101262042875</v>
      </c>
      <c r="R55" s="105">
        <f t="shared" si="57"/>
        <v>0.14865203722582396</v>
      </c>
      <c r="S55" s="105">
        <f t="shared" si="57"/>
        <v>0.14771541896082169</v>
      </c>
      <c r="T55" s="105">
        <f t="shared" si="57"/>
        <v>0.14800593284827693</v>
      </c>
      <c r="U55" s="105">
        <f t="shared" si="57"/>
        <v>0.13768703030118923</v>
      </c>
      <c r="V55" s="105">
        <f t="shared" si="57"/>
        <v>0.35971102136204736</v>
      </c>
      <c r="W55" s="105">
        <f t="shared" ref="W55" si="58">IF(W13=0,0,W13/W$3)</f>
        <v>0.33404456221428153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459.64474413119149</v>
      </c>
      <c r="C57" s="62">
        <v>458.87760225662981</v>
      </c>
      <c r="D57" s="62">
        <v>461.66752720768199</v>
      </c>
      <c r="E57" s="62">
        <v>464.64320006228769</v>
      </c>
      <c r="F57" s="62">
        <v>469.16521077804344</v>
      </c>
      <c r="G57" s="62">
        <v>461.42905564065478</v>
      </c>
      <c r="H57" s="62">
        <v>471.97476677057944</v>
      </c>
      <c r="I57" s="62">
        <v>486.78197933994556</v>
      </c>
      <c r="J57" s="62">
        <v>506.30211723671914</v>
      </c>
      <c r="K57" s="62">
        <v>496.91550500290731</v>
      </c>
      <c r="L57" s="62">
        <v>506.75996346915281</v>
      </c>
      <c r="M57" s="62">
        <v>513.19740983886118</v>
      </c>
      <c r="N57" s="62">
        <v>504.94323737589792</v>
      </c>
      <c r="O57" s="62">
        <v>489.09089250866447</v>
      </c>
      <c r="P57" s="62">
        <v>479.88522548380763</v>
      </c>
      <c r="Q57" s="62">
        <v>487.79185685801804</v>
      </c>
      <c r="R57" s="62">
        <v>481.84477928373144</v>
      </c>
      <c r="S57" s="62">
        <v>494.05773965499316</v>
      </c>
      <c r="T57" s="62">
        <v>510.19872375914662</v>
      </c>
      <c r="U57" s="62">
        <v>506.89097665260664</v>
      </c>
      <c r="V57" s="62">
        <v>669.2594031174317</v>
      </c>
      <c r="W57" s="62">
        <v>676.21145285018827</v>
      </c>
      <c r="DA57" s="172" t="s">
        <v>313</v>
      </c>
    </row>
    <row r="58" spans="1:105" ht="11.45" customHeight="1" x14ac:dyDescent="0.25">
      <c r="A58" s="10" t="s">
        <v>33</v>
      </c>
      <c r="B58" s="14">
        <v>444.03550489507342</v>
      </c>
      <c r="C58" s="14">
        <v>442.66600667675397</v>
      </c>
      <c r="D58" s="14">
        <v>442.16774204160419</v>
      </c>
      <c r="E58" s="14">
        <v>439.36472386435577</v>
      </c>
      <c r="F58" s="14">
        <v>443.51509763825703</v>
      </c>
      <c r="G58" s="14">
        <v>436.84565917783704</v>
      </c>
      <c r="H58" s="14">
        <v>439.67159697347353</v>
      </c>
      <c r="I58" s="14">
        <v>446.81784498121698</v>
      </c>
      <c r="J58" s="14">
        <v>464.44706959764409</v>
      </c>
      <c r="K58" s="14">
        <v>464.86169344016764</v>
      </c>
      <c r="L58" s="14">
        <v>467.21950238959607</v>
      </c>
      <c r="M58" s="14">
        <v>475.18644056511522</v>
      </c>
      <c r="N58" s="14">
        <v>473.43197134069197</v>
      </c>
      <c r="O58" s="14">
        <v>460.53065520735976</v>
      </c>
      <c r="P58" s="14">
        <v>452.64383495321255</v>
      </c>
      <c r="Q58" s="14">
        <v>454.4461992957439</v>
      </c>
      <c r="R58" s="14">
        <v>450.01179893567382</v>
      </c>
      <c r="S58" s="14">
        <v>461.03005570825405</v>
      </c>
      <c r="T58" s="14">
        <v>476.53376780711551</v>
      </c>
      <c r="U58" s="14">
        <v>475.81905072857342</v>
      </c>
      <c r="V58" s="14">
        <v>616.64725054245719</v>
      </c>
      <c r="W58" s="14">
        <v>625.340958435321</v>
      </c>
      <c r="DA58" s="189" t="s">
        <v>314</v>
      </c>
    </row>
    <row r="59" spans="1:105" ht="11.45" customHeight="1" x14ac:dyDescent="0.25">
      <c r="A59" s="83" t="s">
        <v>27</v>
      </c>
      <c r="B59" s="87">
        <v>0</v>
      </c>
      <c r="C59" s="87">
        <v>0</v>
      </c>
      <c r="D59" s="87">
        <v>0</v>
      </c>
      <c r="E59" s="87">
        <v>0</v>
      </c>
      <c r="F59" s="87">
        <v>0</v>
      </c>
      <c r="G59" s="87">
        <v>0</v>
      </c>
      <c r="H59" s="87">
        <v>0</v>
      </c>
      <c r="I59" s="87">
        <v>0</v>
      </c>
      <c r="J59" s="87">
        <v>0</v>
      </c>
      <c r="K59" s="87">
        <v>0</v>
      </c>
      <c r="L59" s="87">
        <v>0</v>
      </c>
      <c r="M59" s="87">
        <v>0</v>
      </c>
      <c r="N59" s="87">
        <v>0</v>
      </c>
      <c r="O59" s="87">
        <v>0</v>
      </c>
      <c r="P59" s="87">
        <v>0</v>
      </c>
      <c r="Q59" s="87">
        <v>0</v>
      </c>
      <c r="R59" s="87">
        <v>0</v>
      </c>
      <c r="S59" s="87">
        <v>0</v>
      </c>
      <c r="T59" s="87">
        <v>0</v>
      </c>
      <c r="U59" s="87">
        <v>0</v>
      </c>
      <c r="V59" s="87">
        <v>0</v>
      </c>
      <c r="W59" s="87">
        <v>0</v>
      </c>
      <c r="DA59" s="171" t="s">
        <v>315</v>
      </c>
    </row>
    <row r="60" spans="1:105" ht="11.45" customHeight="1" x14ac:dyDescent="0.25">
      <c r="A60" s="83" t="s">
        <v>173</v>
      </c>
      <c r="B60" s="87">
        <v>350.81548308498481</v>
      </c>
      <c r="C60" s="87">
        <v>350.59145402806644</v>
      </c>
      <c r="D60" s="87">
        <v>352.44560416792086</v>
      </c>
      <c r="E60" s="87">
        <v>348.25435029611015</v>
      </c>
      <c r="F60" s="87">
        <v>347.64891350206278</v>
      </c>
      <c r="G60" s="87">
        <v>347.73379829055909</v>
      </c>
      <c r="H60" s="87">
        <v>348.70564945612642</v>
      </c>
      <c r="I60" s="87">
        <v>348.86200750707093</v>
      </c>
      <c r="J60" s="87">
        <v>347.36513271551672</v>
      </c>
      <c r="K60" s="87">
        <v>346.25796120556436</v>
      </c>
      <c r="L60" s="87">
        <v>341.71571877685403</v>
      </c>
      <c r="M60" s="87">
        <v>343.09730555107785</v>
      </c>
      <c r="N60" s="87">
        <v>344.91956717167051</v>
      </c>
      <c r="O60" s="87">
        <v>343.57878247957257</v>
      </c>
      <c r="P60" s="87">
        <v>341.64325506016775</v>
      </c>
      <c r="Q60" s="87">
        <v>340.7968664038118</v>
      </c>
      <c r="R60" s="87">
        <v>339.11820462084268</v>
      </c>
      <c r="S60" s="87">
        <v>338.11561210749704</v>
      </c>
      <c r="T60" s="87">
        <v>337.1824331253618</v>
      </c>
      <c r="U60" s="87">
        <v>335.12074722547288</v>
      </c>
      <c r="V60" s="87">
        <v>335.40113064890318</v>
      </c>
      <c r="W60" s="87">
        <v>331.17840980843903</v>
      </c>
      <c r="DA60" s="171" t="s">
        <v>316</v>
      </c>
    </row>
    <row r="61" spans="1:105" ht="11.45" customHeight="1" x14ac:dyDescent="0.25">
      <c r="A61" s="83" t="s">
        <v>174</v>
      </c>
      <c r="B61" s="87">
        <v>617.25036595442805</v>
      </c>
      <c r="C61" s="87">
        <v>617.25036595442816</v>
      </c>
      <c r="D61" s="87">
        <v>617.25036595442816</v>
      </c>
      <c r="E61" s="87">
        <v>617.25036595442805</v>
      </c>
      <c r="F61" s="87">
        <v>617.25036595442816</v>
      </c>
      <c r="G61" s="87">
        <v>589.65051716770802</v>
      </c>
      <c r="H61" s="87">
        <v>596.16419457089819</v>
      </c>
      <c r="I61" s="87">
        <v>600.60724242487561</v>
      </c>
      <c r="J61" s="87">
        <v>623.33440461076077</v>
      </c>
      <c r="K61" s="87">
        <v>614.58677761154456</v>
      </c>
      <c r="L61" s="87">
        <v>618.09758415030922</v>
      </c>
      <c r="M61" s="87">
        <v>627.64942147160525</v>
      </c>
      <c r="N61" s="87">
        <v>615.43851854490799</v>
      </c>
      <c r="O61" s="87">
        <v>593.22225266557768</v>
      </c>
      <c r="P61" s="87">
        <v>585.24431835535449</v>
      </c>
      <c r="Q61" s="87">
        <v>594.92548640141376</v>
      </c>
      <c r="R61" s="87">
        <v>606.48899341425317</v>
      </c>
      <c r="S61" s="87">
        <v>619.37765057601496</v>
      </c>
      <c r="T61" s="87">
        <v>632.79398684933722</v>
      </c>
      <c r="U61" s="87">
        <v>627.73726761330079</v>
      </c>
      <c r="V61" s="87">
        <v>885.03299035787916</v>
      </c>
      <c r="W61" s="87">
        <v>882.77879329643747</v>
      </c>
      <c r="DA61" s="171" t="s">
        <v>317</v>
      </c>
    </row>
    <row r="62" spans="1:105" ht="11.45" customHeight="1" x14ac:dyDescent="0.25">
      <c r="A62" s="12" t="s">
        <v>34</v>
      </c>
      <c r="B62" s="15">
        <v>574.65301851781419</v>
      </c>
      <c r="C62" s="15">
        <v>589.18974082706336</v>
      </c>
      <c r="D62" s="15">
        <v>592.8872946597985</v>
      </c>
      <c r="E62" s="15">
        <v>612.82737519009447</v>
      </c>
      <c r="F62" s="15">
        <v>612.50316344503983</v>
      </c>
      <c r="G62" s="15">
        <v>586.28836605221909</v>
      </c>
      <c r="H62" s="15">
        <v>577.75937019271623</v>
      </c>
      <c r="I62" s="15">
        <v>600.36185757325677</v>
      </c>
      <c r="J62" s="15">
        <v>638.02218728895264</v>
      </c>
      <c r="K62" s="15">
        <v>636.22789704297406</v>
      </c>
      <c r="L62" s="15">
        <v>654.41063682935703</v>
      </c>
      <c r="M62" s="15">
        <v>662.98617024669738</v>
      </c>
      <c r="N62" s="15">
        <v>649.53136530225765</v>
      </c>
      <c r="O62" s="15">
        <v>631.30613913066406</v>
      </c>
      <c r="P62" s="15">
        <v>630.2023379237844</v>
      </c>
      <c r="Q62" s="15">
        <v>645.47283177612439</v>
      </c>
      <c r="R62" s="15">
        <v>647.3195902090107</v>
      </c>
      <c r="S62" s="15">
        <v>653.54496106863189</v>
      </c>
      <c r="T62" s="15">
        <v>659.66064196075786</v>
      </c>
      <c r="U62" s="15">
        <v>659.26965735836018</v>
      </c>
      <c r="V62" s="15">
        <v>724.28299468075625</v>
      </c>
      <c r="W62" s="15">
        <v>729.4106839761688</v>
      </c>
      <c r="DA62" s="193" t="s">
        <v>318</v>
      </c>
    </row>
    <row r="63" spans="1:105" ht="11.45" customHeight="1" x14ac:dyDescent="0.25">
      <c r="A63" s="92" t="s">
        <v>27</v>
      </c>
      <c r="B63" s="101">
        <v>0</v>
      </c>
      <c r="C63" s="101">
        <v>0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0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DA63" s="175" t="s">
        <v>319</v>
      </c>
    </row>
    <row r="64" spans="1:105" ht="11.45" customHeight="1" x14ac:dyDescent="0.25">
      <c r="A64" s="92" t="s">
        <v>173</v>
      </c>
      <c r="B64" s="101">
        <v>365.4405994614624</v>
      </c>
      <c r="C64" s="101">
        <v>365.24788970420718</v>
      </c>
      <c r="D64" s="101">
        <v>366.485766289102</v>
      </c>
      <c r="E64" s="101">
        <v>367.35551658513043</v>
      </c>
      <c r="F64" s="101">
        <v>367.31835715975336</v>
      </c>
      <c r="G64" s="101">
        <v>365.22209586629884</v>
      </c>
      <c r="H64" s="101">
        <v>358.71708750040386</v>
      </c>
      <c r="I64" s="101">
        <v>356.73398351279667</v>
      </c>
      <c r="J64" s="101">
        <v>357.26454042409841</v>
      </c>
      <c r="K64" s="101">
        <v>355.51621356709205</v>
      </c>
      <c r="L64" s="101">
        <v>348.01126471060644</v>
      </c>
      <c r="M64" s="101">
        <v>351.39749149842345</v>
      </c>
      <c r="N64" s="101">
        <v>353.54725733881867</v>
      </c>
      <c r="O64" s="101">
        <v>354.10361023905602</v>
      </c>
      <c r="P64" s="101">
        <v>353.40612314703526</v>
      </c>
      <c r="Q64" s="101">
        <v>354.38082400988691</v>
      </c>
      <c r="R64" s="101">
        <v>352.73544699238778</v>
      </c>
      <c r="S64" s="101">
        <v>351.54959038738684</v>
      </c>
      <c r="T64" s="101">
        <v>350.32465219548618</v>
      </c>
      <c r="U64" s="101">
        <v>348.54214490704243</v>
      </c>
      <c r="V64" s="101">
        <v>350.50658129379445</v>
      </c>
      <c r="W64" s="101">
        <v>347.50449422124802</v>
      </c>
      <c r="DA64" s="175" t="s">
        <v>320</v>
      </c>
    </row>
    <row r="65" spans="1:105" ht="11.45" customHeight="1" x14ac:dyDescent="0.25">
      <c r="A65" s="85" t="s">
        <v>174</v>
      </c>
      <c r="B65" s="88">
        <v>705.10316944197677</v>
      </c>
      <c r="C65" s="88">
        <v>705.10316944197677</v>
      </c>
      <c r="D65" s="88">
        <v>705.10316944197689</v>
      </c>
      <c r="E65" s="88">
        <v>705.10316944197677</v>
      </c>
      <c r="F65" s="88">
        <v>705.10316944197677</v>
      </c>
      <c r="G65" s="88">
        <v>674.19795181280563</v>
      </c>
      <c r="H65" s="88">
        <v>704.66247053190091</v>
      </c>
      <c r="I65" s="88">
        <v>712.77789372768473</v>
      </c>
      <c r="J65" s="88">
        <v>726.10334323322377</v>
      </c>
      <c r="K65" s="88">
        <v>729.56320896480327</v>
      </c>
      <c r="L65" s="88">
        <v>736.44877922960302</v>
      </c>
      <c r="M65" s="88">
        <v>738.183665549333</v>
      </c>
      <c r="N65" s="88">
        <v>733.84864683744365</v>
      </c>
      <c r="O65" s="88">
        <v>724.48166989964398</v>
      </c>
      <c r="P65" s="88">
        <v>726.65016007037195</v>
      </c>
      <c r="Q65" s="88">
        <v>733.20253019006236</v>
      </c>
      <c r="R65" s="88">
        <v>739.91796460438707</v>
      </c>
      <c r="S65" s="88">
        <v>742.19056562527533</v>
      </c>
      <c r="T65" s="88">
        <v>748.22613442190016</v>
      </c>
      <c r="U65" s="88">
        <v>751.02117434355557</v>
      </c>
      <c r="V65" s="88">
        <v>788.8370541417446</v>
      </c>
      <c r="W65" s="88">
        <v>787.49944325539775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1.5752421427095928</v>
      </c>
      <c r="C67" s="59">
        <f t="shared" ref="C67:W67" si="60">IF(C3=0,0,C17/C57)</f>
        <v>1.5005190912403328</v>
      </c>
      <c r="D67" s="59">
        <f t="shared" si="60"/>
        <v>1.6808385548078637</v>
      </c>
      <c r="E67" s="59">
        <f t="shared" si="60"/>
        <v>1.6721609349724988</v>
      </c>
      <c r="F67" s="59">
        <f t="shared" si="60"/>
        <v>1.4902908617265644</v>
      </c>
      <c r="G67" s="59">
        <f t="shared" si="60"/>
        <v>1.4379170740634022</v>
      </c>
      <c r="H67" s="59">
        <f t="shared" si="60"/>
        <v>1.2326970229229175</v>
      </c>
      <c r="I67" s="59">
        <f t="shared" si="60"/>
        <v>1.1435908331865083</v>
      </c>
      <c r="J67" s="59">
        <f t="shared" si="60"/>
        <v>1.1281157952243135</v>
      </c>
      <c r="K67" s="59">
        <f t="shared" si="60"/>
        <v>1.1432508650593463</v>
      </c>
      <c r="L67" s="59">
        <f t="shared" si="60"/>
        <v>1.0945967408786366</v>
      </c>
      <c r="M67" s="59">
        <f t="shared" si="60"/>
        <v>1.0906278327150092</v>
      </c>
      <c r="N67" s="59">
        <f t="shared" si="60"/>
        <v>1.0778599547673073</v>
      </c>
      <c r="O67" s="59">
        <f t="shared" si="60"/>
        <v>1.0996609980594785</v>
      </c>
      <c r="P67" s="59">
        <f t="shared" si="60"/>
        <v>1.1394934134930852</v>
      </c>
      <c r="Q67" s="59">
        <f t="shared" si="60"/>
        <v>1.1287904191506954</v>
      </c>
      <c r="R67" s="59">
        <f t="shared" si="60"/>
        <v>1.1915267051234704</v>
      </c>
      <c r="S67" s="59">
        <f t="shared" si="60"/>
        <v>1.1915464447722892</v>
      </c>
      <c r="T67" s="59">
        <f t="shared" si="60"/>
        <v>1.1367200260314638</v>
      </c>
      <c r="U67" s="59">
        <f t="shared" si="60"/>
        <v>1.1600680494091009</v>
      </c>
      <c r="V67" s="59">
        <f t="shared" si="60"/>
        <v>0.98560794240716854</v>
      </c>
      <c r="W67" s="59">
        <f t="shared" si="60"/>
        <v>0.94989921074462036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1.5997461402148618</v>
      </c>
      <c r="C68" s="23">
        <f t="shared" ref="C68:W68" si="62">IF(C6=0,0,C18/C58)</f>
        <v>1.5242996859637792</v>
      </c>
      <c r="D68" s="23">
        <f t="shared" si="62"/>
        <v>1.7123233293121927</v>
      </c>
      <c r="E68" s="23">
        <f t="shared" si="62"/>
        <v>1.7127964300873104</v>
      </c>
      <c r="F68" s="23">
        <f t="shared" si="62"/>
        <v>1.527203787575875</v>
      </c>
      <c r="G68" s="23">
        <f t="shared" si="62"/>
        <v>1.4753552702950381</v>
      </c>
      <c r="H68" s="23">
        <f t="shared" si="62"/>
        <v>1.272683188944798</v>
      </c>
      <c r="I68" s="23">
        <f t="shared" si="62"/>
        <v>1.2004279010060577</v>
      </c>
      <c r="J68" s="23">
        <f t="shared" si="62"/>
        <v>1.2001011916221827</v>
      </c>
      <c r="K68" s="23">
        <f t="shared" si="62"/>
        <v>1.1990458651161373</v>
      </c>
      <c r="L68" s="23">
        <f t="shared" si="62"/>
        <v>1.1637519068900637</v>
      </c>
      <c r="M68" s="23">
        <f t="shared" si="62"/>
        <v>1.1604427693233998</v>
      </c>
      <c r="N68" s="23">
        <f t="shared" si="62"/>
        <v>1.1336914705066048</v>
      </c>
      <c r="O68" s="23">
        <f t="shared" si="62"/>
        <v>1.1470643484585041</v>
      </c>
      <c r="P68" s="23">
        <f t="shared" si="62"/>
        <v>1.1827648710587431</v>
      </c>
      <c r="Q68" s="23">
        <f t="shared" si="62"/>
        <v>1.1802666265116197</v>
      </c>
      <c r="R68" s="23">
        <f t="shared" si="62"/>
        <v>1.2408144758302226</v>
      </c>
      <c r="S68" s="23">
        <f t="shared" si="62"/>
        <v>1.2524295751184416</v>
      </c>
      <c r="T68" s="23">
        <f t="shared" si="62"/>
        <v>1.2033014625461453</v>
      </c>
      <c r="U68" s="23">
        <f t="shared" si="62"/>
        <v>1.218366877522653</v>
      </c>
      <c r="V68" s="23">
        <f t="shared" si="62"/>
        <v>1.1445764595279315</v>
      </c>
      <c r="W68" s="23">
        <f t="shared" si="62"/>
        <v>1.1339580473269433</v>
      </c>
      <c r="DA68" s="189"/>
    </row>
    <row r="69" spans="1:105" ht="11.45" customHeight="1" x14ac:dyDescent="0.25">
      <c r="A69" s="83" t="s">
        <v>27</v>
      </c>
      <c r="B69" s="91">
        <f t="shared" si="61"/>
        <v>0</v>
      </c>
      <c r="C69" s="91">
        <f t="shared" ref="C69:W69" si="63">IF(C7=0,0,C19/C59)</f>
        <v>0</v>
      </c>
      <c r="D69" s="91">
        <f t="shared" si="63"/>
        <v>0</v>
      </c>
      <c r="E69" s="91">
        <f t="shared" si="63"/>
        <v>0</v>
      </c>
      <c r="F69" s="91">
        <f t="shared" si="63"/>
        <v>0</v>
      </c>
      <c r="G69" s="91">
        <f t="shared" si="63"/>
        <v>0</v>
      </c>
      <c r="H69" s="91">
        <f t="shared" si="63"/>
        <v>0</v>
      </c>
      <c r="I69" s="91">
        <f t="shared" si="63"/>
        <v>0</v>
      </c>
      <c r="J69" s="91">
        <f t="shared" si="63"/>
        <v>0</v>
      </c>
      <c r="K69" s="91">
        <f t="shared" si="63"/>
        <v>0</v>
      </c>
      <c r="L69" s="91">
        <f t="shared" si="63"/>
        <v>0</v>
      </c>
      <c r="M69" s="91">
        <f t="shared" si="63"/>
        <v>0</v>
      </c>
      <c r="N69" s="91">
        <f t="shared" si="63"/>
        <v>0</v>
      </c>
      <c r="O69" s="91">
        <f t="shared" si="63"/>
        <v>0</v>
      </c>
      <c r="P69" s="91">
        <f t="shared" si="63"/>
        <v>0</v>
      </c>
      <c r="Q69" s="91">
        <f t="shared" si="63"/>
        <v>0</v>
      </c>
      <c r="R69" s="91">
        <f t="shared" si="63"/>
        <v>0</v>
      </c>
      <c r="S69" s="91">
        <f t="shared" si="63"/>
        <v>0</v>
      </c>
      <c r="T69" s="91">
        <f t="shared" si="63"/>
        <v>0</v>
      </c>
      <c r="U69" s="91">
        <f t="shared" si="63"/>
        <v>0</v>
      </c>
      <c r="V69" s="91">
        <f t="shared" si="63"/>
        <v>0</v>
      </c>
      <c r="W69" s="91">
        <f t="shared" si="63"/>
        <v>0</v>
      </c>
      <c r="DA69" s="171"/>
    </row>
    <row r="70" spans="1:105" ht="11.45" customHeight="1" x14ac:dyDescent="0.25">
      <c r="A70" s="83" t="s">
        <v>173</v>
      </c>
      <c r="B70" s="91">
        <f t="shared" si="61"/>
        <v>1.6873567787351333</v>
      </c>
      <c r="C70" s="91">
        <f t="shared" ref="C70:W70" si="64">IF(C8=0,0,C20/C60)</f>
        <v>1.6072734084198492</v>
      </c>
      <c r="D70" s="91">
        <f t="shared" si="64"/>
        <v>1.800647779042126</v>
      </c>
      <c r="E70" s="91">
        <f t="shared" si="64"/>
        <v>1.8091514131292337</v>
      </c>
      <c r="F70" s="91">
        <f t="shared" si="64"/>
        <v>1.6177995246127175</v>
      </c>
      <c r="G70" s="91">
        <f t="shared" si="64"/>
        <v>1.5715415228593337</v>
      </c>
      <c r="H70" s="91">
        <f t="shared" si="64"/>
        <v>1.3739195467221739</v>
      </c>
      <c r="I70" s="91">
        <f t="shared" si="64"/>
        <v>1.3809620744426516</v>
      </c>
      <c r="J70" s="91">
        <f t="shared" si="64"/>
        <v>1.5031019580032847</v>
      </c>
      <c r="K70" s="91">
        <f t="shared" si="64"/>
        <v>1.5093692794452438</v>
      </c>
      <c r="L70" s="91">
        <f t="shared" si="64"/>
        <v>1.5179056593695084</v>
      </c>
      <c r="M70" s="91">
        <f t="shared" si="64"/>
        <v>1.5578888513590801</v>
      </c>
      <c r="N70" s="91">
        <f t="shared" si="64"/>
        <v>1.5196761356210324</v>
      </c>
      <c r="O70" s="91">
        <f t="shared" si="64"/>
        <v>1.4749888583390418</v>
      </c>
      <c r="P70" s="91">
        <f t="shared" si="64"/>
        <v>1.4757980184420507</v>
      </c>
      <c r="Q70" s="91">
        <f t="shared" si="64"/>
        <v>1.4698384379439378</v>
      </c>
      <c r="R70" s="91">
        <f t="shared" si="64"/>
        <v>1.4901779802331661</v>
      </c>
      <c r="S70" s="91">
        <f t="shared" si="64"/>
        <v>1.6375791289909274</v>
      </c>
      <c r="T70" s="91">
        <f t="shared" si="64"/>
        <v>1.7244744720540932</v>
      </c>
      <c r="U70" s="91">
        <f t="shared" si="64"/>
        <v>1.7428639820083991</v>
      </c>
      <c r="V70" s="91">
        <f t="shared" si="64"/>
        <v>2.0923264459507722</v>
      </c>
      <c r="W70" s="91">
        <f t="shared" si="64"/>
        <v>2.4144635848426317</v>
      </c>
      <c r="DA70" s="171"/>
    </row>
    <row r="71" spans="1:105" ht="11.45" customHeight="1" x14ac:dyDescent="0.25">
      <c r="A71" s="83" t="s">
        <v>174</v>
      </c>
      <c r="B71" s="91">
        <f t="shared" si="61"/>
        <v>1.50722303677875</v>
      </c>
      <c r="C71" s="91">
        <f t="shared" ref="C71:W71" si="65">IF(C9=0,0,C21/C61)</f>
        <v>1.4349390481885411</v>
      </c>
      <c r="D71" s="91">
        <f t="shared" si="65"/>
        <v>1.6139097299427008</v>
      </c>
      <c r="E71" s="91">
        <f t="shared" si="65"/>
        <v>1.606655609265256</v>
      </c>
      <c r="F71" s="91">
        <f t="shared" si="65"/>
        <v>1.4347318769117812</v>
      </c>
      <c r="G71" s="91">
        <f t="shared" si="65"/>
        <v>1.3780879672868083</v>
      </c>
      <c r="H71" s="91">
        <f t="shared" si="65"/>
        <v>1.1708135988942214</v>
      </c>
      <c r="I71" s="91">
        <f t="shared" si="65"/>
        <v>1.0357942512912617</v>
      </c>
      <c r="J71" s="91">
        <f t="shared" si="65"/>
        <v>0.97095732640280574</v>
      </c>
      <c r="K71" s="91">
        <f t="shared" si="65"/>
        <v>0.9783331718943441</v>
      </c>
      <c r="L71" s="91">
        <f t="shared" si="65"/>
        <v>0.92837215904424852</v>
      </c>
      <c r="M71" s="91">
        <f t="shared" si="65"/>
        <v>0.90967269700940878</v>
      </c>
      <c r="N71" s="91">
        <f t="shared" si="65"/>
        <v>0.89465370033266689</v>
      </c>
      <c r="O71" s="91">
        <f t="shared" si="65"/>
        <v>0.93157836667353788</v>
      </c>
      <c r="P71" s="91">
        <f t="shared" si="65"/>
        <v>0.97841599459597994</v>
      </c>
      <c r="Q71" s="91">
        <f t="shared" si="65"/>
        <v>0.97522846211096137</v>
      </c>
      <c r="R71" s="91">
        <f t="shared" si="65"/>
        <v>1.0440685879907829</v>
      </c>
      <c r="S71" s="91">
        <f t="shared" si="65"/>
        <v>0.98156784711059941</v>
      </c>
      <c r="T71" s="91">
        <f t="shared" si="65"/>
        <v>0.89189916743121134</v>
      </c>
      <c r="U71" s="91">
        <f t="shared" si="65"/>
        <v>0.91603252844081451</v>
      </c>
      <c r="V71" s="91">
        <f t="shared" si="65"/>
        <v>0.80183097133721559</v>
      </c>
      <c r="W71" s="91">
        <f t="shared" si="65"/>
        <v>0.71354461800856117</v>
      </c>
      <c r="DA71" s="171"/>
    </row>
    <row r="72" spans="1:105" ht="11.45" customHeight="1" x14ac:dyDescent="0.25">
      <c r="A72" s="12" t="s">
        <v>34</v>
      </c>
      <c r="B72" s="24">
        <f t="shared" si="61"/>
        <v>1.4357350477854041</v>
      </c>
      <c r="C72" s="24">
        <f t="shared" ref="C72:W72" si="66">IF(C10=0,0,C22/C62)</f>
        <v>1.3569030936739568</v>
      </c>
      <c r="D72" s="24">
        <f t="shared" si="66"/>
        <v>1.5228284225998188</v>
      </c>
      <c r="E72" s="24">
        <f t="shared" si="66"/>
        <v>1.5013783748349747</v>
      </c>
      <c r="F72" s="24">
        <f t="shared" si="66"/>
        <v>1.3409253076164307</v>
      </c>
      <c r="G72" s="24">
        <f t="shared" si="66"/>
        <v>1.2962363683717044</v>
      </c>
      <c r="H72" s="24">
        <f t="shared" si="66"/>
        <v>1.1330490427641329</v>
      </c>
      <c r="I72" s="24">
        <f t="shared" si="66"/>
        <v>1.0233699067946731</v>
      </c>
      <c r="J72" s="24">
        <f t="shared" si="66"/>
        <v>0.96320504843077814</v>
      </c>
      <c r="K72" s="24">
        <f t="shared" si="66"/>
        <v>0.96607016872232998</v>
      </c>
      <c r="L72" s="24">
        <f t="shared" si="66"/>
        <v>0.91022729789966583</v>
      </c>
      <c r="M72" s="24">
        <f t="shared" si="66"/>
        <v>0.89344086847806636</v>
      </c>
      <c r="N72" s="24">
        <f t="shared" si="66"/>
        <v>0.89113444396841968</v>
      </c>
      <c r="O72" s="24">
        <f t="shared" si="66"/>
        <v>0.92746941575121489</v>
      </c>
      <c r="P72" s="24">
        <f t="shared" si="66"/>
        <v>0.96799611779144856</v>
      </c>
      <c r="Q72" s="24">
        <f t="shared" si="66"/>
        <v>0.95741400146625344</v>
      </c>
      <c r="R72" s="24">
        <f t="shared" si="66"/>
        <v>1.0134123519730602</v>
      </c>
      <c r="S72" s="24">
        <f t="shared" si="66"/>
        <v>0.98415133386000853</v>
      </c>
      <c r="T72" s="24">
        <f t="shared" si="66"/>
        <v>0.92318025644791679</v>
      </c>
      <c r="U72" s="24">
        <f t="shared" si="66"/>
        <v>0.95372274075249497</v>
      </c>
      <c r="V72" s="24">
        <f t="shared" si="66"/>
        <v>0.84406034642116745</v>
      </c>
      <c r="W72" s="24">
        <f t="shared" si="66"/>
        <v>0.78487759911844335</v>
      </c>
      <c r="DA72" s="193"/>
    </row>
    <row r="73" spans="1:105" ht="11.45" customHeight="1" x14ac:dyDescent="0.25">
      <c r="A73" s="92" t="s">
        <v>27</v>
      </c>
      <c r="B73" s="93">
        <f t="shared" si="61"/>
        <v>0</v>
      </c>
      <c r="C73" s="93">
        <f t="shared" ref="C73:W73" si="67">IF(C11=0,0,C23/C63)</f>
        <v>0</v>
      </c>
      <c r="D73" s="93">
        <f t="shared" si="67"/>
        <v>0</v>
      </c>
      <c r="E73" s="93">
        <f t="shared" si="67"/>
        <v>0</v>
      </c>
      <c r="F73" s="93">
        <f t="shared" si="67"/>
        <v>0</v>
      </c>
      <c r="G73" s="93">
        <f t="shared" si="67"/>
        <v>0</v>
      </c>
      <c r="H73" s="93">
        <f t="shared" si="67"/>
        <v>0</v>
      </c>
      <c r="I73" s="93">
        <f t="shared" si="67"/>
        <v>0</v>
      </c>
      <c r="J73" s="93">
        <f t="shared" si="67"/>
        <v>0</v>
      </c>
      <c r="K73" s="93">
        <f t="shared" si="67"/>
        <v>0</v>
      </c>
      <c r="L73" s="93">
        <f t="shared" si="67"/>
        <v>0</v>
      </c>
      <c r="M73" s="93">
        <f t="shared" si="67"/>
        <v>0</v>
      </c>
      <c r="N73" s="93">
        <f t="shared" si="67"/>
        <v>0</v>
      </c>
      <c r="O73" s="93">
        <f t="shared" si="67"/>
        <v>0</v>
      </c>
      <c r="P73" s="93">
        <f t="shared" si="67"/>
        <v>0</v>
      </c>
      <c r="Q73" s="93">
        <f t="shared" si="67"/>
        <v>0</v>
      </c>
      <c r="R73" s="93">
        <f t="shared" si="67"/>
        <v>0</v>
      </c>
      <c r="S73" s="93">
        <f t="shared" si="67"/>
        <v>0</v>
      </c>
      <c r="T73" s="93">
        <f t="shared" si="67"/>
        <v>0</v>
      </c>
      <c r="U73" s="93">
        <f t="shared" si="67"/>
        <v>0</v>
      </c>
      <c r="V73" s="93">
        <f t="shared" si="67"/>
        <v>0</v>
      </c>
      <c r="W73" s="93">
        <f t="shared" si="67"/>
        <v>0</v>
      </c>
      <c r="DA73" s="175"/>
    </row>
    <row r="74" spans="1:105" ht="11.45" customHeight="1" x14ac:dyDescent="0.25">
      <c r="A74" s="92" t="s">
        <v>173</v>
      </c>
      <c r="B74" s="93">
        <f t="shared" si="61"/>
        <v>1.6809190068076925</v>
      </c>
      <c r="C74" s="93">
        <f t="shared" ref="C74:W74" si="68">IF(C12=0,0,C24/C64)</f>
        <v>1.601037430050599</v>
      </c>
      <c r="D74" s="93">
        <f t="shared" si="68"/>
        <v>1.7957485984811774</v>
      </c>
      <c r="E74" s="93">
        <f t="shared" si="68"/>
        <v>1.7841906549690782</v>
      </c>
      <c r="F74" s="93">
        <f t="shared" si="68"/>
        <v>1.5933647222902489</v>
      </c>
      <c r="G74" s="93">
        <f t="shared" si="68"/>
        <v>1.5559965580792994</v>
      </c>
      <c r="H74" s="93">
        <f t="shared" si="68"/>
        <v>1.4019857026142091</v>
      </c>
      <c r="I74" s="93">
        <f t="shared" si="68"/>
        <v>1.4180900827431688</v>
      </c>
      <c r="J74" s="93">
        <f t="shared" si="68"/>
        <v>1.5419934941782349</v>
      </c>
      <c r="K74" s="93">
        <f t="shared" si="68"/>
        <v>1.4942005413251132</v>
      </c>
      <c r="L74" s="93">
        <f t="shared" si="68"/>
        <v>1.5005608250730649</v>
      </c>
      <c r="M74" s="93">
        <f t="shared" si="68"/>
        <v>1.5439758738889049</v>
      </c>
      <c r="N74" s="93">
        <f t="shared" si="68"/>
        <v>1.5173690540530806</v>
      </c>
      <c r="O74" s="93">
        <f t="shared" si="68"/>
        <v>1.4694963269680528</v>
      </c>
      <c r="P74" s="93">
        <f t="shared" si="68"/>
        <v>1.4838638758050537</v>
      </c>
      <c r="Q74" s="93">
        <f t="shared" si="68"/>
        <v>1.5046080931638641</v>
      </c>
      <c r="R74" s="93">
        <f t="shared" si="68"/>
        <v>1.5055721805111577</v>
      </c>
      <c r="S74" s="93">
        <f t="shared" si="68"/>
        <v>1.7087124596065189</v>
      </c>
      <c r="T74" s="93">
        <f t="shared" si="68"/>
        <v>1.8218717256146222</v>
      </c>
      <c r="U74" s="93">
        <f t="shared" si="68"/>
        <v>1.8972184122061808</v>
      </c>
      <c r="V74" s="93">
        <f t="shared" si="68"/>
        <v>2.4392235723198823</v>
      </c>
      <c r="W74" s="93">
        <f t="shared" si="68"/>
        <v>2.910764626026721</v>
      </c>
      <c r="DA74" s="175"/>
    </row>
    <row r="75" spans="1:105" ht="11.45" customHeight="1" x14ac:dyDescent="0.25">
      <c r="A75" s="85" t="s">
        <v>174</v>
      </c>
      <c r="B75" s="94">
        <f t="shared" si="61"/>
        <v>1.3565007331008752</v>
      </c>
      <c r="C75" s="94">
        <f t="shared" ref="C75:W75" si="69">IF(C13=0,0,C25/C65)</f>
        <v>1.2914451433696872</v>
      </c>
      <c r="D75" s="94">
        <f t="shared" si="69"/>
        <v>1.4525187569484306</v>
      </c>
      <c r="E75" s="94">
        <f t="shared" si="69"/>
        <v>1.44599004833873</v>
      </c>
      <c r="F75" s="94">
        <f t="shared" si="69"/>
        <v>1.2912586892206033</v>
      </c>
      <c r="G75" s="94">
        <f t="shared" si="69"/>
        <v>1.2402791705581278</v>
      </c>
      <c r="H75" s="94">
        <f t="shared" si="69"/>
        <v>1.0537322390047994</v>
      </c>
      <c r="I75" s="94">
        <f t="shared" si="69"/>
        <v>0.93221482616213536</v>
      </c>
      <c r="J75" s="94">
        <f t="shared" si="69"/>
        <v>0.87386159376252526</v>
      </c>
      <c r="K75" s="94">
        <f t="shared" si="69"/>
        <v>0.88049985470490999</v>
      </c>
      <c r="L75" s="94">
        <f t="shared" si="69"/>
        <v>0.83553494313982357</v>
      </c>
      <c r="M75" s="94">
        <f t="shared" si="69"/>
        <v>0.81870542730846796</v>
      </c>
      <c r="N75" s="94">
        <f t="shared" si="69"/>
        <v>0.8051883302994004</v>
      </c>
      <c r="O75" s="94">
        <f t="shared" si="69"/>
        <v>0.83842053000618422</v>
      </c>
      <c r="P75" s="94">
        <f t="shared" si="69"/>
        <v>0.88057439513638203</v>
      </c>
      <c r="Q75" s="94">
        <f t="shared" si="69"/>
        <v>0.8777056158998654</v>
      </c>
      <c r="R75" s="94">
        <f t="shared" si="69"/>
        <v>0.93966172919170443</v>
      </c>
      <c r="S75" s="94">
        <f t="shared" si="69"/>
        <v>0.88341106239953926</v>
      </c>
      <c r="T75" s="94">
        <f t="shared" si="69"/>
        <v>0.8027092506880904</v>
      </c>
      <c r="U75" s="94">
        <f t="shared" si="69"/>
        <v>0.82442927559673307</v>
      </c>
      <c r="V75" s="94">
        <f t="shared" si="69"/>
        <v>0.7216478742034943</v>
      </c>
      <c r="W75" s="94">
        <f t="shared" si="69"/>
        <v>0.64219015620770525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4545.4172824800007</v>
      </c>
      <c r="C3" s="79">
        <f t="shared" si="0"/>
        <v>4142.2597462799986</v>
      </c>
      <c r="D3" s="79">
        <f t="shared" ref="D3" si="1">SUM(D4:D5)</f>
        <v>3433.6409090400025</v>
      </c>
      <c r="E3" s="79">
        <f t="shared" ref="E3" si="2">SUM(E4:E5)</f>
        <v>3747.4484302800001</v>
      </c>
      <c r="F3" s="79">
        <f t="shared" ref="F3" si="3">SUM(F4:F5)</f>
        <v>3668.611277519999</v>
      </c>
      <c r="G3" s="79">
        <f t="shared" ref="G3" si="4">SUM(G4:G5)</f>
        <v>3488.98356504</v>
      </c>
      <c r="H3" s="79">
        <f t="shared" ref="H3" si="5">SUM(H4:H5)</f>
        <v>3640.47666372</v>
      </c>
      <c r="I3" s="79">
        <f t="shared" ref="I3" si="6">SUM(I4:I5)</f>
        <v>3953.9751300000016</v>
      </c>
      <c r="J3" s="79">
        <f t="shared" ref="J3" si="7">SUM(J4:J5)</f>
        <v>4275.5118724800004</v>
      </c>
      <c r="K3" s="79">
        <f t="shared" ref="K3" si="8">SUM(K4:K5)</f>
        <v>3895.2329450400016</v>
      </c>
      <c r="L3" s="79">
        <f t="shared" ref="L3" si="9">SUM(L4:L5)</f>
        <v>4140.0955850400023</v>
      </c>
      <c r="M3" s="79">
        <f t="shared" ref="M3" si="10">SUM(M4:M5)</f>
        <v>4398.2525062800005</v>
      </c>
      <c r="N3" s="79">
        <f t="shared" ref="N3" si="11">SUM(N4:N5)</f>
        <v>4048.8902049600015</v>
      </c>
      <c r="O3" s="79">
        <f t="shared" ref="O3" si="12">SUM(O4:O5)</f>
        <v>3832.1621787599997</v>
      </c>
      <c r="P3" s="79">
        <f t="shared" ref="P3" si="13">SUM(P4:P5)</f>
        <v>4004.988093720001</v>
      </c>
      <c r="Q3" s="79">
        <f t="shared" ref="Q3" si="14">SUM(Q4:Q5)</f>
        <v>4352.4952887599993</v>
      </c>
      <c r="R3" s="79">
        <f t="shared" ref="R3" si="15">SUM(R4:R5)</f>
        <v>4332.0901550400013</v>
      </c>
      <c r="S3" s="79">
        <f t="shared" ref="S3" si="16">SUM(S4:S5)</f>
        <v>4760.2904612400016</v>
      </c>
      <c r="T3" s="79">
        <f t="shared" ref="T3" si="17">SUM(T4:T5)</f>
        <v>5075.0256650400006</v>
      </c>
      <c r="U3" s="79">
        <f t="shared" ref="U3" si="18">SUM(U4:U5)</f>
        <v>5130.6762650399996</v>
      </c>
      <c r="V3" s="79">
        <f t="shared" ref="V3:W3" si="19">SUM(V4:V5)</f>
        <v>3607.0907040000011</v>
      </c>
      <c r="W3" s="79">
        <f t="shared" si="19"/>
        <v>4551.6690450000024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0</v>
      </c>
      <c r="C4" s="96">
        <f t="shared" si="20"/>
        <v>0</v>
      </c>
      <c r="D4" s="96">
        <f t="shared" ref="D4:V4" si="21">SUM(D7,D11)</f>
        <v>0</v>
      </c>
      <c r="E4" s="96">
        <f t="shared" si="21"/>
        <v>0</v>
      </c>
      <c r="F4" s="96">
        <f t="shared" si="21"/>
        <v>0</v>
      </c>
      <c r="G4" s="96">
        <f t="shared" si="21"/>
        <v>0</v>
      </c>
      <c r="H4" s="96">
        <f t="shared" si="21"/>
        <v>0</v>
      </c>
      <c r="I4" s="96">
        <f t="shared" si="21"/>
        <v>0</v>
      </c>
      <c r="J4" s="96">
        <f t="shared" si="21"/>
        <v>0</v>
      </c>
      <c r="K4" s="96">
        <f t="shared" si="21"/>
        <v>0</v>
      </c>
      <c r="L4" s="96">
        <f t="shared" si="21"/>
        <v>0</v>
      </c>
      <c r="M4" s="96">
        <f t="shared" si="21"/>
        <v>0</v>
      </c>
      <c r="N4" s="96">
        <f t="shared" si="21"/>
        <v>0</v>
      </c>
      <c r="O4" s="96">
        <f t="shared" si="21"/>
        <v>0</v>
      </c>
      <c r="P4" s="96">
        <f t="shared" si="21"/>
        <v>0</v>
      </c>
      <c r="Q4" s="96">
        <f t="shared" si="21"/>
        <v>0</v>
      </c>
      <c r="R4" s="96">
        <f t="shared" si="21"/>
        <v>0</v>
      </c>
      <c r="S4" s="96">
        <f t="shared" si="21"/>
        <v>0</v>
      </c>
      <c r="T4" s="96">
        <f t="shared" si="21"/>
        <v>0</v>
      </c>
      <c r="U4" s="96">
        <f t="shared" si="21"/>
        <v>0</v>
      </c>
      <c r="V4" s="96">
        <f t="shared" si="21"/>
        <v>0</v>
      </c>
      <c r="W4" s="96">
        <f t="shared" ref="W4" si="22">SUM(W7,W11)</f>
        <v>0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4545.4172824800007</v>
      </c>
      <c r="C5" s="96">
        <f t="shared" si="23"/>
        <v>4142.2597462799986</v>
      </c>
      <c r="D5" s="96">
        <f t="shared" ref="D5:V5" si="24">SUM(D8:D9,D12:D13)</f>
        <v>3433.6409090400025</v>
      </c>
      <c r="E5" s="96">
        <f t="shared" si="24"/>
        <v>3747.4484302800001</v>
      </c>
      <c r="F5" s="96">
        <f t="shared" si="24"/>
        <v>3668.611277519999</v>
      </c>
      <c r="G5" s="96">
        <f t="shared" si="24"/>
        <v>3488.98356504</v>
      </c>
      <c r="H5" s="96">
        <f t="shared" si="24"/>
        <v>3640.47666372</v>
      </c>
      <c r="I5" s="96">
        <f t="shared" si="24"/>
        <v>3953.9751300000016</v>
      </c>
      <c r="J5" s="96">
        <f t="shared" si="24"/>
        <v>4275.5118724800004</v>
      </c>
      <c r="K5" s="96">
        <f t="shared" si="24"/>
        <v>3895.2329450400016</v>
      </c>
      <c r="L5" s="96">
        <f t="shared" si="24"/>
        <v>4140.0955850400023</v>
      </c>
      <c r="M5" s="96">
        <f t="shared" si="24"/>
        <v>4398.2525062800005</v>
      </c>
      <c r="N5" s="96">
        <f t="shared" si="24"/>
        <v>4048.8902049600015</v>
      </c>
      <c r="O5" s="96">
        <f t="shared" si="24"/>
        <v>3832.1621787599997</v>
      </c>
      <c r="P5" s="96">
        <f t="shared" si="24"/>
        <v>4004.988093720001</v>
      </c>
      <c r="Q5" s="96">
        <f t="shared" si="24"/>
        <v>4352.4952887599993</v>
      </c>
      <c r="R5" s="96">
        <f t="shared" si="24"/>
        <v>4332.0901550400013</v>
      </c>
      <c r="S5" s="96">
        <f t="shared" si="24"/>
        <v>4760.2904612400016</v>
      </c>
      <c r="T5" s="96">
        <f t="shared" si="24"/>
        <v>5075.0256650400006</v>
      </c>
      <c r="U5" s="96">
        <f t="shared" si="24"/>
        <v>5130.6762650399996</v>
      </c>
      <c r="V5" s="96">
        <f t="shared" si="24"/>
        <v>3607.0907040000011</v>
      </c>
      <c r="W5" s="96">
        <f t="shared" ref="W5" si="25">SUM(W8:W9,W12:W13)</f>
        <v>4551.6690450000024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3926.4546125730194</v>
      </c>
      <c r="C6" s="21">
        <f t="shared" si="26"/>
        <v>3610.1260819172421</v>
      </c>
      <c r="D6" s="21">
        <f t="shared" ref="D6:V6" si="27">SUM(D7:D9)</f>
        <v>2916.7690435828345</v>
      </c>
      <c r="E6" s="21">
        <f t="shared" si="27"/>
        <v>3100.7359677181153</v>
      </c>
      <c r="F6" s="21">
        <f t="shared" si="27"/>
        <v>3014.5009130865574</v>
      </c>
      <c r="G6" s="21">
        <f t="shared" si="27"/>
        <v>2831.5940342782792</v>
      </c>
      <c r="H6" s="21">
        <f t="shared" si="27"/>
        <v>2682.2489140034818</v>
      </c>
      <c r="I6" s="21">
        <f t="shared" si="27"/>
        <v>2818.1485314162842</v>
      </c>
      <c r="J6" s="21">
        <f t="shared" si="27"/>
        <v>3166.2359225528508</v>
      </c>
      <c r="K6" s="21">
        <f t="shared" si="27"/>
        <v>3106.9443711494664</v>
      </c>
      <c r="L6" s="21">
        <f t="shared" si="27"/>
        <v>3200.9983109264622</v>
      </c>
      <c r="M6" s="21">
        <f t="shared" si="27"/>
        <v>3456.1386496874784</v>
      </c>
      <c r="N6" s="21">
        <f t="shared" si="27"/>
        <v>3278.3728030218504</v>
      </c>
      <c r="O6" s="21">
        <f t="shared" si="27"/>
        <v>3134.457911449631</v>
      </c>
      <c r="P6" s="21">
        <f t="shared" si="27"/>
        <v>3319.5101994992642</v>
      </c>
      <c r="Q6" s="21">
        <f t="shared" si="27"/>
        <v>3499.7613326263045</v>
      </c>
      <c r="R6" s="21">
        <f t="shared" si="27"/>
        <v>3533.4988856381415</v>
      </c>
      <c r="S6" s="21">
        <f t="shared" si="27"/>
        <v>3868.0212927029902</v>
      </c>
      <c r="T6" s="21">
        <f t="shared" si="27"/>
        <v>4095.3588143412317</v>
      </c>
      <c r="U6" s="21">
        <f t="shared" si="27"/>
        <v>4201.4727728113139</v>
      </c>
      <c r="V6" s="21">
        <f t="shared" si="27"/>
        <v>1973.0242041908696</v>
      </c>
      <c r="W6" s="21">
        <f t="shared" ref="W6" si="28">SUM(W7:W9)</f>
        <v>2568.6529837741518</v>
      </c>
      <c r="DA6" s="189" t="s">
        <v>326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DA7" s="171" t="s">
        <v>327</v>
      </c>
    </row>
    <row r="8" spans="1:105" ht="11.45" customHeight="1" x14ac:dyDescent="0.25">
      <c r="A8" s="83" t="s">
        <v>173</v>
      </c>
      <c r="B8" s="96">
        <v>2127.2158092327318</v>
      </c>
      <c r="C8" s="96">
        <v>1973.8591199898383</v>
      </c>
      <c r="D8" s="96">
        <v>1616.4688376238664</v>
      </c>
      <c r="E8" s="96">
        <v>1716.7235598584195</v>
      </c>
      <c r="F8" s="96">
        <v>1613.0259739523171</v>
      </c>
      <c r="G8" s="96">
        <v>1516.5278646172644</v>
      </c>
      <c r="H8" s="96">
        <v>1452.318901900165</v>
      </c>
      <c r="I8" s="96">
        <v>1546.3145845851516</v>
      </c>
      <c r="J8" s="96">
        <v>1707.6245690068977</v>
      </c>
      <c r="K8" s="96">
        <v>1625.535455519861</v>
      </c>
      <c r="L8" s="96">
        <v>1666.980132614244</v>
      </c>
      <c r="M8" s="96">
        <v>1794.9805810060311</v>
      </c>
      <c r="N8" s="96">
        <v>1680.6815199876692</v>
      </c>
      <c r="O8" s="96">
        <v>1598.2856651936097</v>
      </c>
      <c r="P8" s="96">
        <v>1701.7065957884281</v>
      </c>
      <c r="Q8" s="96">
        <v>1806.7569569323207</v>
      </c>
      <c r="R8" s="96">
        <v>1871.5461729663639</v>
      </c>
      <c r="S8" s="96">
        <v>2088.2100069500984</v>
      </c>
      <c r="T8" s="96">
        <v>2195.1922853378551</v>
      </c>
      <c r="U8" s="96">
        <v>2197.6446326351634</v>
      </c>
      <c r="V8" s="96">
        <v>957.92676631504924</v>
      </c>
      <c r="W8" s="96">
        <v>1351.8299534476089</v>
      </c>
      <c r="DA8" s="171" t="s">
        <v>328</v>
      </c>
    </row>
    <row r="9" spans="1:105" ht="11.45" customHeight="1" x14ac:dyDescent="0.25">
      <c r="A9" s="83" t="s">
        <v>174</v>
      </c>
      <c r="B9" s="96">
        <v>1799.2388033402876</v>
      </c>
      <c r="C9" s="96">
        <v>1636.2669619274036</v>
      </c>
      <c r="D9" s="96">
        <v>1300.3002059589683</v>
      </c>
      <c r="E9" s="96">
        <v>1384.0124078596957</v>
      </c>
      <c r="F9" s="96">
        <v>1401.4749391342402</v>
      </c>
      <c r="G9" s="96">
        <v>1315.0661696610148</v>
      </c>
      <c r="H9" s="96">
        <v>1229.9300121033168</v>
      </c>
      <c r="I9" s="96">
        <v>1271.8339468311326</v>
      </c>
      <c r="J9" s="96">
        <v>1458.6113535459529</v>
      </c>
      <c r="K9" s="96">
        <v>1481.4089156296054</v>
      </c>
      <c r="L9" s="96">
        <v>1534.0181783122184</v>
      </c>
      <c r="M9" s="96">
        <v>1661.1580686814475</v>
      </c>
      <c r="N9" s="96">
        <v>1597.6912830341812</v>
      </c>
      <c r="O9" s="96">
        <v>1536.1722462560213</v>
      </c>
      <c r="P9" s="96">
        <v>1617.8036037108361</v>
      </c>
      <c r="Q9" s="96">
        <v>1693.0043756939835</v>
      </c>
      <c r="R9" s="96">
        <v>1661.9527126717778</v>
      </c>
      <c r="S9" s="96">
        <v>1779.8112857528918</v>
      </c>
      <c r="T9" s="96">
        <v>1900.1665290033766</v>
      </c>
      <c r="U9" s="96">
        <v>2003.828140176151</v>
      </c>
      <c r="V9" s="96">
        <v>1015.0974378758202</v>
      </c>
      <c r="W9" s="96">
        <v>1216.8230303265429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618.96266990698177</v>
      </c>
      <c r="C10" s="22">
        <f t="shared" si="29"/>
        <v>532.13366436275692</v>
      </c>
      <c r="D10" s="22">
        <f t="shared" ref="D10:V10" si="30">SUM(D11:D13)</f>
        <v>516.87186545716804</v>
      </c>
      <c r="E10" s="22">
        <f t="shared" si="30"/>
        <v>646.71246256188488</v>
      </c>
      <c r="F10" s="22">
        <f t="shared" si="30"/>
        <v>654.11036443344176</v>
      </c>
      <c r="G10" s="22">
        <f t="shared" si="30"/>
        <v>657.38953076172095</v>
      </c>
      <c r="H10" s="22">
        <f t="shared" si="30"/>
        <v>958.22774971651847</v>
      </c>
      <c r="I10" s="22">
        <f t="shared" si="30"/>
        <v>1135.8265985837174</v>
      </c>
      <c r="J10" s="22">
        <f t="shared" si="30"/>
        <v>1109.2759499271499</v>
      </c>
      <c r="K10" s="22">
        <f t="shared" si="30"/>
        <v>788.28857389053519</v>
      </c>
      <c r="L10" s="22">
        <f t="shared" si="30"/>
        <v>939.09727411354038</v>
      </c>
      <c r="M10" s="22">
        <f t="shared" si="30"/>
        <v>942.11385659252232</v>
      </c>
      <c r="N10" s="22">
        <f t="shared" si="30"/>
        <v>770.51740193815101</v>
      </c>
      <c r="O10" s="22">
        <f t="shared" si="30"/>
        <v>697.70426731036855</v>
      </c>
      <c r="P10" s="22">
        <f t="shared" si="30"/>
        <v>685.47789422073686</v>
      </c>
      <c r="Q10" s="22">
        <f t="shared" si="30"/>
        <v>852.73395613369451</v>
      </c>
      <c r="R10" s="22">
        <f t="shared" si="30"/>
        <v>798.59126940185979</v>
      </c>
      <c r="S10" s="22">
        <f t="shared" si="30"/>
        <v>892.26916853701152</v>
      </c>
      <c r="T10" s="22">
        <f t="shared" si="30"/>
        <v>979.66685069876814</v>
      </c>
      <c r="U10" s="22">
        <f t="shared" si="30"/>
        <v>929.20349222868549</v>
      </c>
      <c r="V10" s="22">
        <f t="shared" si="30"/>
        <v>1634.066499809132</v>
      </c>
      <c r="W10" s="22">
        <f t="shared" ref="W10" si="31">SUM(W11:W13)</f>
        <v>1983.0160612258508</v>
      </c>
      <c r="DA10" s="193" t="s">
        <v>330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331</v>
      </c>
    </row>
    <row r="12" spans="1:105" ht="11.45" customHeight="1" x14ac:dyDescent="0.25">
      <c r="A12" s="92" t="s">
        <v>173</v>
      </c>
      <c r="B12" s="97">
        <v>176.98845576103599</v>
      </c>
      <c r="C12" s="97">
        <v>132.7534013724389</v>
      </c>
      <c r="D12" s="97">
        <v>124.85543387056893</v>
      </c>
      <c r="E12" s="97">
        <v>125.86535226036681</v>
      </c>
      <c r="F12" s="97">
        <v>127.78116227223749</v>
      </c>
      <c r="G12" s="97">
        <v>139.86358978031021</v>
      </c>
      <c r="H12" s="97">
        <v>270.04328395143472</v>
      </c>
      <c r="I12" s="97">
        <v>295.28358787246179</v>
      </c>
      <c r="J12" s="97">
        <v>237.46735881961303</v>
      </c>
      <c r="K12" s="97">
        <v>170.0011917100434</v>
      </c>
      <c r="L12" s="97">
        <v>173.88092091831601</v>
      </c>
      <c r="M12" s="97">
        <v>167.76629293243593</v>
      </c>
      <c r="N12" s="97">
        <v>158.33118884395654</v>
      </c>
      <c r="O12" s="97">
        <v>155.98658565969203</v>
      </c>
      <c r="P12" s="97">
        <v>152.2676018622183</v>
      </c>
      <c r="Q12" s="97">
        <v>170.38886228914407</v>
      </c>
      <c r="R12" s="97">
        <v>154.61724240922811</v>
      </c>
      <c r="S12" s="97">
        <v>189.10086867974152</v>
      </c>
      <c r="T12" s="97">
        <v>228.532942915576</v>
      </c>
      <c r="U12" s="97">
        <v>222.77591385853069</v>
      </c>
      <c r="V12" s="97">
        <v>336.55621852774505</v>
      </c>
      <c r="W12" s="97">
        <v>462.55576774452811</v>
      </c>
      <c r="DA12" s="175" t="s">
        <v>332</v>
      </c>
    </row>
    <row r="13" spans="1:105" ht="11.45" customHeight="1" x14ac:dyDescent="0.25">
      <c r="A13" s="85" t="s">
        <v>174</v>
      </c>
      <c r="B13" s="98">
        <v>441.97421414594572</v>
      </c>
      <c r="C13" s="98">
        <v>399.38026299031799</v>
      </c>
      <c r="D13" s="98">
        <v>392.01643158659914</v>
      </c>
      <c r="E13" s="98">
        <v>520.84711030151811</v>
      </c>
      <c r="F13" s="98">
        <v>526.32920216120431</v>
      </c>
      <c r="G13" s="98">
        <v>517.52594098141071</v>
      </c>
      <c r="H13" s="98">
        <v>688.1844657650837</v>
      </c>
      <c r="I13" s="98">
        <v>840.54301071125576</v>
      </c>
      <c r="J13" s="98">
        <v>871.80859110753681</v>
      </c>
      <c r="K13" s="98">
        <v>618.28738218049182</v>
      </c>
      <c r="L13" s="98">
        <v>765.21635319522431</v>
      </c>
      <c r="M13" s="98">
        <v>774.34756366008639</v>
      </c>
      <c r="N13" s="98">
        <v>612.1862130941945</v>
      </c>
      <c r="O13" s="98">
        <v>541.71768165067647</v>
      </c>
      <c r="P13" s="98">
        <v>533.21029235851859</v>
      </c>
      <c r="Q13" s="98">
        <v>682.34509384455043</v>
      </c>
      <c r="R13" s="98">
        <v>643.97402699263171</v>
      </c>
      <c r="S13" s="98">
        <v>703.16829985726997</v>
      </c>
      <c r="T13" s="98">
        <v>751.13390778319217</v>
      </c>
      <c r="U13" s="98">
        <v>706.42757837015483</v>
      </c>
      <c r="V13" s="98">
        <v>1297.5102812813868</v>
      </c>
      <c r="W13" s="98">
        <v>1520.4602934813227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0</v>
      </c>
      <c r="C18" s="97">
        <f>IF(C4=0,0,C4/TrAvia_ene!C4)</f>
        <v>0</v>
      </c>
      <c r="D18" s="97">
        <f>IF(D4=0,0,D4/TrAvia_ene!D4)</f>
        <v>0</v>
      </c>
      <c r="E18" s="97">
        <f>IF(E4=0,0,E4/TrAvia_ene!E4)</f>
        <v>0</v>
      </c>
      <c r="F18" s="97">
        <f>IF(F4=0,0,F4/TrAvia_ene!F4)</f>
        <v>0</v>
      </c>
      <c r="G18" s="97">
        <f>IF(G4=0,0,G4/TrAvia_ene!G4)</f>
        <v>0</v>
      </c>
      <c r="H18" s="97">
        <f>IF(H4=0,0,H4/TrAvia_ene!H4)</f>
        <v>0</v>
      </c>
      <c r="I18" s="97">
        <f>IF(I4=0,0,I4/TrAvia_ene!I4)</f>
        <v>0</v>
      </c>
      <c r="J18" s="97">
        <f>IF(J4=0,0,J4/TrAvia_ene!J4)</f>
        <v>0</v>
      </c>
      <c r="K18" s="97">
        <f>IF(K4=0,0,K4/TrAvia_ene!K4)</f>
        <v>0</v>
      </c>
      <c r="L18" s="97">
        <f>IF(L4=0,0,L4/TrAvia_ene!L4)</f>
        <v>0</v>
      </c>
      <c r="M18" s="97">
        <f>IF(M4=0,0,M4/TrAvia_ene!M4)</f>
        <v>0</v>
      </c>
      <c r="N18" s="97">
        <f>IF(N4=0,0,N4/TrAvia_ene!N4)</f>
        <v>0</v>
      </c>
      <c r="O18" s="97">
        <f>IF(O4=0,0,O4/TrAvia_ene!O4)</f>
        <v>0</v>
      </c>
      <c r="P18" s="97">
        <f>IF(P4=0,0,P4/TrAvia_ene!P4)</f>
        <v>0</v>
      </c>
      <c r="Q18" s="97">
        <f>IF(Q4=0,0,Q4/TrAvia_ene!Q4)</f>
        <v>0</v>
      </c>
      <c r="R18" s="97">
        <f>IF(R4=0,0,R4/TrAvia_ene!R4)</f>
        <v>0</v>
      </c>
      <c r="S18" s="97">
        <f>IF(S4=0,0,S4/TrAvia_ene!S4)</f>
        <v>0</v>
      </c>
      <c r="T18" s="97">
        <f>IF(T4=0,0,T4/TrAvia_ene!T4)</f>
        <v>0</v>
      </c>
      <c r="U18" s="97">
        <f>IF(U4=0,0,U4/TrAvia_ene!U4)</f>
        <v>0</v>
      </c>
      <c r="V18" s="97">
        <f>IF(V4=0,0,V4/TrAvia_ene!V4)</f>
        <v>0</v>
      </c>
      <c r="W18" s="97">
        <f>IF(W4=0,0,W4/TrAvia_ene!W4)</f>
        <v>0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3.0103092000000005</v>
      </c>
      <c r="C19" s="98">
        <f>IF(C5=0,0,C5/TrAvia_ene!C5)</f>
        <v>3.0103092</v>
      </c>
      <c r="D19" s="98">
        <f>IF(D5=0,0,D5/TrAvia_ene!D5)</f>
        <v>3.0103018720502654</v>
      </c>
      <c r="E19" s="98">
        <f>IF(E5=0,0,E5/TrAvia_ene!E5)</f>
        <v>3.010302485683956</v>
      </c>
      <c r="F19" s="98">
        <f>IF(F5=0,0,F5/TrAvia_ene!F5)</f>
        <v>3.0103092000000005</v>
      </c>
      <c r="G19" s="98">
        <f>IF(G5=0,0,G5/TrAvia_ene!G5)</f>
        <v>3.0103092</v>
      </c>
      <c r="H19" s="98">
        <f>IF(H5=0,0,H5/TrAvia_ene!H5)</f>
        <v>3.0103092000000005</v>
      </c>
      <c r="I19" s="98">
        <f>IF(I5=0,0,I5/TrAvia_ene!I5)</f>
        <v>3.0103091999999996</v>
      </c>
      <c r="J19" s="98">
        <f>IF(J5=0,0,J5/TrAvia_ene!J5)</f>
        <v>3.0103092000000009</v>
      </c>
      <c r="K19" s="98">
        <f>IF(K5=0,0,K5/TrAvia_ene!K5)</f>
        <v>3.0103091999999996</v>
      </c>
      <c r="L19" s="98">
        <f>IF(L5=0,0,L5/TrAvia_ene!L5)</f>
        <v>3.0103092000000018</v>
      </c>
      <c r="M19" s="98">
        <f>IF(M5=0,0,M5/TrAvia_ene!M5)</f>
        <v>3.0103092000000014</v>
      </c>
      <c r="N19" s="98">
        <f>IF(N5=0,0,N5/TrAvia_ene!N5)</f>
        <v>3.0103092</v>
      </c>
      <c r="O19" s="98">
        <f>IF(O5=0,0,O5/TrAvia_ene!O5)</f>
        <v>3.0103092</v>
      </c>
      <c r="P19" s="98">
        <f>IF(P5=0,0,P5/TrAvia_ene!P5)</f>
        <v>3.0103092000000005</v>
      </c>
      <c r="Q19" s="98">
        <f>IF(Q5=0,0,Q5/TrAvia_ene!Q5)</f>
        <v>3.0103092000000009</v>
      </c>
      <c r="R19" s="98">
        <f>IF(R5=0,0,R5/TrAvia_ene!R5)</f>
        <v>3.0103092000000014</v>
      </c>
      <c r="S19" s="98">
        <f>IF(S5=0,0,S5/TrAvia_ene!S5)</f>
        <v>3.0103092000000005</v>
      </c>
      <c r="T19" s="98">
        <f>IF(T5=0,0,T5/TrAvia_ene!T5)</f>
        <v>3.0103092000000009</v>
      </c>
      <c r="U19" s="98">
        <f>IF(U5=0,0,U5/TrAvia_ene!U5)</f>
        <v>3.0103092000000014</v>
      </c>
      <c r="V19" s="98">
        <f>IF(V5=0,0,V5/TrAvia_ene!V5)</f>
        <v>3.0103092000000009</v>
      </c>
      <c r="W19" s="98">
        <f>IF(W5=0,0,W5/TrAvia_ene!W5)</f>
        <v>3.0103092000000009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21796.197094153544</v>
      </c>
      <c r="C21" s="54">
        <f>IF(C3=0,0,C3/TrAvia_act!C13*1000)</f>
        <v>20727.622552964338</v>
      </c>
      <c r="D21" s="54">
        <f>IF(D3=0,0,D3/TrAvia_act!D13*1000)</f>
        <v>23359.598727561715</v>
      </c>
      <c r="E21" s="54">
        <f>IF(E3=0,0,E3/TrAvia_act!E13*1000)</f>
        <v>23388.792243476593</v>
      </c>
      <c r="F21" s="54">
        <f>IF(F3=0,0,F3/TrAvia_act!F13*1000)</f>
        <v>21047.859954102725</v>
      </c>
      <c r="G21" s="54">
        <f>IF(G3=0,0,G3/TrAvia_act!G13*1000)</f>
        <v>19973.302730847678</v>
      </c>
      <c r="H21" s="54">
        <f>IF(H3=0,0,H3/TrAvia_act!H13*1000)</f>
        <v>17514.035817217784</v>
      </c>
      <c r="I21" s="54">
        <f>IF(I3=0,0,I3/TrAvia_act!I13*1000)</f>
        <v>16757.771473673391</v>
      </c>
      <c r="J21" s="54">
        <f>IF(J3=0,0,J3/TrAvia_act!J13*1000)</f>
        <v>17193.905259517749</v>
      </c>
      <c r="K21" s="54">
        <f>IF(K3=0,0,K3/TrAvia_act!K13*1000)</f>
        <v>17101.538899133178</v>
      </c>
      <c r="L21" s="54">
        <f>IF(L3=0,0,L3/TrAvia_act!L13*1000)</f>
        <v>16698.119038686738</v>
      </c>
      <c r="M21" s="54">
        <f>IF(M3=0,0,M3/TrAvia_act!M13*1000)</f>
        <v>16848.922718525562</v>
      </c>
      <c r="N21" s="54">
        <f>IF(N3=0,0,N3/TrAvia_act!N13*1000)</f>
        <v>16383.851505470826</v>
      </c>
      <c r="O21" s="54">
        <f>IF(O3=0,0,O3/TrAvia_act!O13*1000)</f>
        <v>16190.471771117625</v>
      </c>
      <c r="P21" s="54">
        <f>IF(P3=0,0,P3/TrAvia_act!P13*1000)</f>
        <v>16461.155001668383</v>
      </c>
      <c r="Q21" s="54">
        <f>IF(Q3=0,0,Q3/TrAvia_act!Q13*1000)</f>
        <v>16575.207215170802</v>
      </c>
      <c r="R21" s="54">
        <f>IF(R3=0,0,R3/TrAvia_act!R13*1000)</f>
        <v>17283.115972262374</v>
      </c>
      <c r="S21" s="54">
        <f>IF(S3=0,0,S3/TrAvia_act!S13*1000)</f>
        <v>17721.471808225997</v>
      </c>
      <c r="T21" s="54">
        <f>IF(T3=0,0,T3/TrAvia_act!T13*1000)</f>
        <v>17458.38172224224</v>
      </c>
      <c r="U21" s="54">
        <f>IF(U3=0,0,U3/TrAvia_act!U13*1000)</f>
        <v>17701.461781766844</v>
      </c>
      <c r="V21" s="54">
        <f>IF(V3=0,0,V3/TrAvia_act!V13*1000)</f>
        <v>19856.823803489966</v>
      </c>
      <c r="W21" s="54">
        <f>IF(W3=0,0,W3/TrAvia_act!W13*1000)</f>
        <v>19336.201126088712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21383.553344646014</v>
      </c>
      <c r="C22" s="11">
        <f>IF(C6=0,0,C6/TrAvia_act!C14*1000)</f>
        <v>20312.231558908061</v>
      </c>
      <c r="D22" s="11">
        <f>IF(D6=0,0,D6/TrAvia_act!D14*1000)</f>
        <v>22792.023195382928</v>
      </c>
      <c r="E22" s="11">
        <f>IF(E6=0,0,E6/TrAvia_act!E14*1000)</f>
        <v>22653.800482104682</v>
      </c>
      <c r="F22" s="11">
        <f>IF(F6=0,0,F6/TrAvia_act!F14*1000)</f>
        <v>20389.966231404014</v>
      </c>
      <c r="G22" s="11">
        <f>IF(G6=0,0,G6/TrAvia_act!G14*1000)</f>
        <v>19401.519423634225</v>
      </c>
      <c r="H22" s="11">
        <f>IF(H6=0,0,H6/TrAvia_act!H14*1000)</f>
        <v>16844.565936466224</v>
      </c>
      <c r="I22" s="11">
        <f>IF(I6=0,0,I6/TrAvia_act!I14*1000)</f>
        <v>16146.473958367122</v>
      </c>
      <c r="J22" s="11">
        <f>IF(J6=0,0,J6/TrAvia_act!J14*1000)</f>
        <v>16778.966227979188</v>
      </c>
      <c r="K22" s="11">
        <f>IF(K6=0,0,K6/TrAvia_act!K14*1000)</f>
        <v>16779.177241645899</v>
      </c>
      <c r="L22" s="11">
        <f>IF(L6=0,0,L6/TrAvia_act!L14*1000)</f>
        <v>16367.881569646312</v>
      </c>
      <c r="M22" s="11">
        <f>IF(M6=0,0,M6/TrAvia_act!M14*1000)</f>
        <v>16599.647749193435</v>
      </c>
      <c r="N22" s="11">
        <f>IF(N6=0,0,N6/TrAvia_act!N14*1000)</f>
        <v>16157.1057681353</v>
      </c>
      <c r="O22" s="11">
        <f>IF(O6=0,0,O6/TrAvia_act!O14*1000)</f>
        <v>15902.208083065118</v>
      </c>
      <c r="P22" s="11">
        <f>IF(P6=0,0,P6/TrAvia_act!P14*1000)</f>
        <v>16116.329303061686</v>
      </c>
      <c r="Q22" s="11">
        <f>IF(Q6=0,0,Q6/TrAvia_act!Q14*1000)</f>
        <v>16146.325694346349</v>
      </c>
      <c r="R22" s="11">
        <f>IF(R6=0,0,R6/TrAvia_act!R14*1000)</f>
        <v>16808.999262384343</v>
      </c>
      <c r="S22" s="11">
        <f>IF(S6=0,0,S6/TrAvia_act!S14*1000)</f>
        <v>17381.75641584098</v>
      </c>
      <c r="T22" s="11">
        <f>IF(T6=0,0,T6/TrAvia_act!T14*1000)</f>
        <v>17261.527766030318</v>
      </c>
      <c r="U22" s="11">
        <f>IF(U6=0,0,U6/TrAvia_act!U14*1000)</f>
        <v>17451.429851122197</v>
      </c>
      <c r="V22" s="11">
        <f>IF(V6=0,0,V6/TrAvia_act!V14*1000)</f>
        <v>21246.760130159601</v>
      </c>
      <c r="W22" s="11">
        <f>IF(W6=0,0,W6/TrAvia_act!W14*1000)</f>
        <v>21346.415974834708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0</v>
      </c>
      <c r="C23" s="84">
        <f>IF(C7=0,0,C7/TrAvia_act!C15*1000)</f>
        <v>0</v>
      </c>
      <c r="D23" s="84">
        <f>IF(D7=0,0,D7/TrAvia_act!D15*1000)</f>
        <v>0</v>
      </c>
      <c r="E23" s="84">
        <f>IF(E7=0,0,E7/TrAvia_act!E15*1000)</f>
        <v>0</v>
      </c>
      <c r="F23" s="84">
        <f>IF(F7=0,0,F7/TrAvia_act!F15*1000)</f>
        <v>0</v>
      </c>
      <c r="G23" s="84">
        <f>IF(G7=0,0,G7/TrAvia_act!G15*1000)</f>
        <v>0</v>
      </c>
      <c r="H23" s="84">
        <f>IF(H7=0,0,H7/TrAvia_act!H15*1000)</f>
        <v>0</v>
      </c>
      <c r="I23" s="84">
        <f>IF(I7=0,0,I7/TrAvia_act!I15*1000)</f>
        <v>0</v>
      </c>
      <c r="J23" s="84">
        <f>IF(J7=0,0,J7/TrAvia_act!J15*1000)</f>
        <v>0</v>
      </c>
      <c r="K23" s="84">
        <f>IF(K7=0,0,K7/TrAvia_act!K15*1000)</f>
        <v>0</v>
      </c>
      <c r="L23" s="84">
        <f>IF(L7=0,0,L7/TrAvia_act!L15*1000)</f>
        <v>0</v>
      </c>
      <c r="M23" s="84">
        <f>IF(M7=0,0,M7/TrAvia_act!M15*1000)</f>
        <v>0</v>
      </c>
      <c r="N23" s="84">
        <f>IF(N7=0,0,N7/TrAvia_act!N15*1000)</f>
        <v>0</v>
      </c>
      <c r="O23" s="84">
        <f>IF(O7=0,0,O7/TrAvia_act!O15*1000)</f>
        <v>0</v>
      </c>
      <c r="P23" s="84">
        <f>IF(P7=0,0,P7/TrAvia_act!P15*1000)</f>
        <v>0</v>
      </c>
      <c r="Q23" s="84">
        <f>IF(Q7=0,0,Q7/TrAvia_act!Q15*1000)</f>
        <v>0</v>
      </c>
      <c r="R23" s="84">
        <f>IF(R7=0,0,R7/TrAvia_act!R15*1000)</f>
        <v>0</v>
      </c>
      <c r="S23" s="84">
        <f>IF(S7=0,0,S7/TrAvia_act!S15*1000)</f>
        <v>0</v>
      </c>
      <c r="T23" s="84">
        <f>IF(T7=0,0,T7/TrAvia_act!T15*1000)</f>
        <v>0</v>
      </c>
      <c r="U23" s="84">
        <f>IF(U7=0,0,U7/TrAvia_act!U15*1000)</f>
        <v>0</v>
      </c>
      <c r="V23" s="84">
        <f>IF(V7=0,0,V7/TrAvia_act!V15*1000)</f>
        <v>0</v>
      </c>
      <c r="W23" s="84">
        <f>IF(W7=0,0,W7/TrAvia_act!W15*1000)</f>
        <v>0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17819.551904539254</v>
      </c>
      <c r="C24" s="84">
        <f>IF(C8=0,0,C8/TrAvia_act!C16*1000)</f>
        <v>16962.981601110088</v>
      </c>
      <c r="D24" s="84">
        <f>IF(D8=0,0,D8/TrAvia_act!D16*1000)</f>
        <v>19104.290642564738</v>
      </c>
      <c r="E24" s="84">
        <f>IF(E8=0,0,E8/TrAvia_act!E16*1000)</f>
        <v>18966.25577946864</v>
      </c>
      <c r="F24" s="84">
        <f>IF(F8=0,0,F8/TrAvia_act!F16*1000)</f>
        <v>16930.769056528236</v>
      </c>
      <c r="G24" s="84">
        <f>IF(G8=0,0,G8/TrAvia_act!G16*1000)</f>
        <v>16450.680608041901</v>
      </c>
      <c r="H24" s="84">
        <f>IF(H8=0,0,H8/TrAvia_act!H16*1000)</f>
        <v>14422.195943116942</v>
      </c>
      <c r="I24" s="84">
        <f>IF(I8=0,0,I8/TrAvia_act!I16*1000)</f>
        <v>14502.622185597185</v>
      </c>
      <c r="J24" s="84">
        <f>IF(J8=0,0,J8/TrAvia_act!J16*1000)</f>
        <v>15717.583266068408</v>
      </c>
      <c r="K24" s="84">
        <f>IF(K8=0,0,K8/TrAvia_act!K16*1000)</f>
        <v>15732.812970603483</v>
      </c>
      <c r="L24" s="84">
        <f>IF(L8=0,0,L8/TrAvia_act!L16*1000)</f>
        <v>15614.23972150472</v>
      </c>
      <c r="M24" s="84">
        <f>IF(M8=0,0,M8/TrAvia_act!M16*1000)</f>
        <v>16090.327461294602</v>
      </c>
      <c r="N24" s="84">
        <f>IF(N8=0,0,N8/TrAvia_act!N16*1000)</f>
        <v>15779.018373059684</v>
      </c>
      <c r="O24" s="84">
        <f>IF(O8=0,0,O8/TrAvia_act!O16*1000)</f>
        <v>15255.490719100751</v>
      </c>
      <c r="P24" s="84">
        <f>IF(P8=0,0,P8/TrAvia_act!P16*1000)</f>
        <v>15177.87178422869</v>
      </c>
      <c r="Q24" s="84">
        <f>IF(Q8=0,0,Q8/TrAvia_act!Q16*1000)</f>
        <v>15079.130479816167</v>
      </c>
      <c r="R24" s="84">
        <f>IF(R8=0,0,R8/TrAvia_act!R16*1000)</f>
        <v>15212.491616107711</v>
      </c>
      <c r="S24" s="84">
        <f>IF(S8=0,0,S8/TrAvia_act!S16*1000)</f>
        <v>16667.81320694133</v>
      </c>
      <c r="T24" s="84">
        <f>IF(T8=0,0,T8/TrAvia_act!T16*1000)</f>
        <v>17503.819082373066</v>
      </c>
      <c r="U24" s="84">
        <f>IF(U8=0,0,U8/TrAvia_act!U16*1000)</f>
        <v>17582.30933095569</v>
      </c>
      <c r="V24" s="84">
        <f>IF(V8=0,0,V8/TrAvia_act!V16*1000)</f>
        <v>21125.406404003854</v>
      </c>
      <c r="W24" s="84">
        <f>IF(W8=0,0,W8/TrAvia_act!W16*1000)</f>
        <v>24070.980557620918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28005.92912053992</v>
      </c>
      <c r="C25" s="84">
        <f>IF(C9=0,0,C9/TrAvia_act!C17*1000)</f>
        <v>26662.809879651839</v>
      </c>
      <c r="D25" s="84">
        <f>IF(D9=0,0,D9/TrAvia_act!D17*1000)</f>
        <v>29988.216988102675</v>
      </c>
      <c r="E25" s="84">
        <f>IF(E9=0,0,E9/TrAvia_act!E17*1000)</f>
        <v>29853.433536763532</v>
      </c>
      <c r="F25" s="84">
        <f>IF(F9=0,0,F9/TrAvia_act!F17*1000)</f>
        <v>26658.960400211054</v>
      </c>
      <c r="G25" s="84">
        <f>IF(G9=0,0,G9/TrAvia_act!G17*1000)</f>
        <v>24461.480035813034</v>
      </c>
      <c r="H25" s="84">
        <f>IF(H9=0,0,H9/TrAvia_act!H17*1000)</f>
        <v>21011.872307116573</v>
      </c>
      <c r="I25" s="84">
        <f>IF(I9=0,0,I9/TrAvia_act!I17*1000)</f>
        <v>18727.299972821886</v>
      </c>
      <c r="J25" s="84">
        <f>IF(J9=0,0,J9/TrAvia_act!J17*1000)</f>
        <v>18219.32769395076</v>
      </c>
      <c r="K25" s="84">
        <f>IF(K9=0,0,K9/TrAvia_act!K17*1000)</f>
        <v>18100.105138298033</v>
      </c>
      <c r="L25" s="84">
        <f>IF(L9=0,0,L9/TrAvia_act!L17*1000)</f>
        <v>17273.894385427724</v>
      </c>
      <c r="M25" s="84">
        <f>IF(M9=0,0,M9/TrAvia_act!M17*1000)</f>
        <v>17187.527208930645</v>
      </c>
      <c r="N25" s="84">
        <f>IF(N9=0,0,N9/TrAvia_act!N17*1000)</f>
        <v>16574.893341741885</v>
      </c>
      <c r="O25" s="84">
        <f>IF(O9=0,0,O9/TrAvia_act!O17*1000)</f>
        <v>16635.96255938835</v>
      </c>
      <c r="P25" s="84">
        <f>IF(P9=0,0,P9/TrAvia_act!P17*1000)</f>
        <v>17237.403812487992</v>
      </c>
      <c r="Q25" s="84">
        <f>IF(Q9=0,0,Q9/TrAvia_act!Q17*1000)</f>
        <v>17465.460784055485</v>
      </c>
      <c r="R25" s="84">
        <f>IF(R9=0,0,R9/TrAvia_act!R17*1000)</f>
        <v>19061.762724480523</v>
      </c>
      <c r="S25" s="84">
        <f>IF(S9=0,0,S9/TrAvia_act!S17*1000)</f>
        <v>18301.511545422316</v>
      </c>
      <c r="T25" s="84">
        <f>IF(T9=0,0,T9/TrAvia_act!T17*1000)</f>
        <v>16989.836832820311</v>
      </c>
      <c r="U25" s="84">
        <f>IF(U9=0,0,U9/TrAvia_act!U17*1000)</f>
        <v>17310.113454917984</v>
      </c>
      <c r="V25" s="84">
        <f>IF(V9=0,0,V9/TrAvia_act!V17*1000)</f>
        <v>21362.564784054892</v>
      </c>
      <c r="W25" s="84">
        <f>IF(W9=0,0,W9/TrAvia_act!W17*1000)</f>
        <v>18961.999568307612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24836.540370940271</v>
      </c>
      <c r="C26" s="13">
        <f>IF(C10=0,0,C10/TrAvia_act!C18*1000)</f>
        <v>24066.620772582315</v>
      </c>
      <c r="D26" s="13">
        <f>IF(D10=0,0,D10/TrAvia_act!D18*1000)</f>
        <v>27178.980772527699</v>
      </c>
      <c r="E26" s="13">
        <f>IF(E10=0,0,E10/TrAvia_act!E18*1000)</f>
        <v>27697.364763110541</v>
      </c>
      <c r="F26" s="13">
        <f>IF(F10=0,0,F10/TrAvia_act!F18*1000)</f>
        <v>24724.301409553082</v>
      </c>
      <c r="G26" s="13">
        <f>IF(G10=0,0,G10/TrAvia_act!G18*1000)</f>
        <v>22877.395725137398</v>
      </c>
      <c r="H26" s="13">
        <f>IF(H10=0,0,H10/TrAvia_act!H18*1000)</f>
        <v>19706.378125517014</v>
      </c>
      <c r="I26" s="13">
        <f>IF(I10=0,0,I10/TrAvia_act!I18*1000)</f>
        <v>18495.106673519836</v>
      </c>
      <c r="J26" s="13">
        <f>IF(J10=0,0,J10/TrAvia_act!J18*1000)</f>
        <v>18499.740550232829</v>
      </c>
      <c r="K26" s="13">
        <f>IF(K10=0,0,K10/TrAvia_act!K18*1000)</f>
        <v>18502.588303777371</v>
      </c>
      <c r="L26" s="13">
        <f>IF(L10=0,0,L10/TrAvia_act!L18*1000)</f>
        <v>17931.280801127567</v>
      </c>
      <c r="M26" s="13">
        <f>IF(M10=0,0,M10/TrAvia_act!M18*1000)</f>
        <v>17831.233597999777</v>
      </c>
      <c r="N26" s="13">
        <f>IF(N10=0,0,N10/TrAvia_act!N18*1000)</f>
        <v>17424.264849701347</v>
      </c>
      <c r="O26" s="13">
        <f>IF(O10=0,0,O10/TrAvia_act!O18*1000)</f>
        <v>17625.876213176707</v>
      </c>
      <c r="P26" s="13">
        <f>IF(P10=0,0,P10/TrAvia_act!P18*1000)</f>
        <v>18363.892060976792</v>
      </c>
      <c r="Q26" s="13">
        <f>IF(Q10=0,0,Q10/TrAvia_act!Q18*1000)</f>
        <v>18603.25108270183</v>
      </c>
      <c r="R26" s="13">
        <f>IF(R10=0,0,R10/TrAvia_act!R18*1000)</f>
        <v>19747.678575756403</v>
      </c>
      <c r="S26" s="13">
        <f>IF(S10=0,0,S10/TrAvia_act!S18*1000)</f>
        <v>19361.921804365644</v>
      </c>
      <c r="T26" s="13">
        <f>IF(T10=0,0,T10/TrAvia_act!T18*1000)</f>
        <v>18332.351970203748</v>
      </c>
      <c r="U26" s="13">
        <f>IF(U10=0,0,U10/TrAvia_act!U18*1000)</f>
        <v>18927.634109130558</v>
      </c>
      <c r="V26" s="13">
        <f>IF(V10=0,0,V10/TrAvia_act!V18*1000)</f>
        <v>18403.180776269004</v>
      </c>
      <c r="W26" s="13">
        <f>IF(W10=0,0,W10/TrAvia_act!W18*1000)</f>
        <v>17233.963167102789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0</v>
      </c>
      <c r="C27" s="102">
        <f>IF(C11=0,0,C11/TrAvia_act!C19*1000)</f>
        <v>0</v>
      </c>
      <c r="D27" s="102">
        <f>IF(D11=0,0,D11/TrAvia_act!D19*1000)</f>
        <v>0</v>
      </c>
      <c r="E27" s="102">
        <f>IF(E11=0,0,E11/TrAvia_act!E19*1000)</f>
        <v>0</v>
      </c>
      <c r="F27" s="102">
        <f>IF(F11=0,0,F11/TrAvia_act!F19*1000)</f>
        <v>0</v>
      </c>
      <c r="G27" s="102">
        <f>IF(G11=0,0,G11/TrAvia_act!G19*1000)</f>
        <v>0</v>
      </c>
      <c r="H27" s="102">
        <f>IF(H11=0,0,H11/TrAvia_act!H19*1000)</f>
        <v>0</v>
      </c>
      <c r="I27" s="102">
        <f>IF(I11=0,0,I11/TrAvia_act!I19*1000)</f>
        <v>0</v>
      </c>
      <c r="J27" s="102">
        <f>IF(J11=0,0,J11/TrAvia_act!J19*1000)</f>
        <v>0</v>
      </c>
      <c r="K27" s="102">
        <f>IF(K11=0,0,K11/TrAvia_act!K19*1000)</f>
        <v>0</v>
      </c>
      <c r="L27" s="102">
        <f>IF(L11=0,0,L11/TrAvia_act!L19*1000)</f>
        <v>0</v>
      </c>
      <c r="M27" s="102">
        <f>IF(M11=0,0,M11/TrAvia_act!M19*1000)</f>
        <v>0</v>
      </c>
      <c r="N27" s="102">
        <f>IF(N11=0,0,N11/TrAvia_act!N19*1000)</f>
        <v>0</v>
      </c>
      <c r="O27" s="102">
        <f>IF(O11=0,0,O11/TrAvia_act!O19*1000)</f>
        <v>0</v>
      </c>
      <c r="P27" s="102">
        <f>IF(P11=0,0,P11/TrAvia_act!P19*1000)</f>
        <v>0</v>
      </c>
      <c r="Q27" s="102">
        <f>IF(Q11=0,0,Q11/TrAvia_act!Q19*1000)</f>
        <v>0</v>
      </c>
      <c r="R27" s="102">
        <f>IF(R11=0,0,R11/TrAvia_act!R19*1000)</f>
        <v>0</v>
      </c>
      <c r="S27" s="102">
        <f>IF(S11=0,0,S11/TrAvia_act!S19*1000)</f>
        <v>0</v>
      </c>
      <c r="T27" s="102">
        <f>IF(T11=0,0,T11/TrAvia_act!T19*1000)</f>
        <v>0</v>
      </c>
      <c r="U27" s="102">
        <f>IF(U11=0,0,U11/TrAvia_act!U19*1000)</f>
        <v>0</v>
      </c>
      <c r="V27" s="102">
        <f>IF(V11=0,0,V11/TrAvia_act!V19*1000)</f>
        <v>0</v>
      </c>
      <c r="W27" s="102">
        <f>IF(W11=0,0,W11/TrAvia_act!W19*1000)</f>
        <v>0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18491.608431313511</v>
      </c>
      <c r="C28" s="102">
        <f>IF(C12=0,0,C12/TrAvia_act!C20*1000)</f>
        <v>17603.551960147117</v>
      </c>
      <c r="D28" s="102">
        <f>IF(D12=0,0,D12/TrAvia_act!D20*1000)</f>
        <v>19811.287334597851</v>
      </c>
      <c r="E28" s="102">
        <f>IF(E12=0,0,E12/TrAvia_act!E20*1000)</f>
        <v>19730.494209064342</v>
      </c>
      <c r="F28" s="102">
        <f>IF(F12=0,0,F12/TrAvia_act!F20*1000)</f>
        <v>17618.500237024386</v>
      </c>
      <c r="G28" s="102">
        <f>IF(G12=0,0,G12/TrAvia_act!G20*1000)</f>
        <v>17107.115290614445</v>
      </c>
      <c r="H28" s="102">
        <f>IF(H12=0,0,H12/TrAvia_act!H20*1000)</f>
        <v>15139.333478542043</v>
      </c>
      <c r="I28" s="102">
        <f>IF(I12=0,0,I12/TrAvia_act!I20*1000)</f>
        <v>15228.580002146175</v>
      </c>
      <c r="J28" s="102">
        <f>IF(J12=0,0,J12/TrAvia_act!J20*1000)</f>
        <v>16583.781252293596</v>
      </c>
      <c r="K28" s="102">
        <f>IF(K12=0,0,K12/TrAvia_act!K20*1000)</f>
        <v>15991.139323838301</v>
      </c>
      <c r="L28" s="102">
        <f>IF(L12=0,0,L12/TrAvia_act!L20*1000)</f>
        <v>15720.198002038962</v>
      </c>
      <c r="M28" s="102">
        <f>IF(M12=0,0,M12/TrAvia_act!M20*1000)</f>
        <v>16332.409957739263</v>
      </c>
      <c r="N28" s="102">
        <f>IF(N12=0,0,N12/TrAvia_act!N20*1000)</f>
        <v>16149.154929156755</v>
      </c>
      <c r="O28" s="102">
        <f>IF(O12=0,0,O12/TrAvia_act!O20*1000)</f>
        <v>15664.262968261497</v>
      </c>
      <c r="P28" s="102">
        <f>IF(P12=0,0,P12/TrAvia_act!P20*1000)</f>
        <v>15786.259511892766</v>
      </c>
      <c r="Q28" s="102">
        <f>IF(Q12=0,0,Q12/TrAvia_act!Q20*1000)</f>
        <v>16051.096769166526</v>
      </c>
      <c r="R28" s="102">
        <f>IF(R12=0,0,R12/TrAvia_act!R20*1000)</f>
        <v>15986.809214110825</v>
      </c>
      <c r="S28" s="102">
        <f>IF(S12=0,0,S12/TrAvia_act!S20*1000)</f>
        <v>18082.84203009633</v>
      </c>
      <c r="T28" s="102">
        <f>IF(T12=0,0,T12/TrAvia_act!T20*1000)</f>
        <v>19213.195474905151</v>
      </c>
      <c r="U28" s="102">
        <f>IF(U12=0,0,U12/TrAvia_act!U20*1000)</f>
        <v>19905.987917596147</v>
      </c>
      <c r="V28" s="102">
        <f>IF(V12=0,0,V12/TrAvia_act!V20*1000)</f>
        <v>25737.057400313119</v>
      </c>
      <c r="W28" s="102">
        <f>IF(W12=0,0,W12/TrAvia_act!W20*1000)</f>
        <v>30449.391623568037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28792.793698831421</v>
      </c>
      <c r="C29" s="86">
        <f>IF(C13=0,0,C13/TrAvia_act!C21*1000)</f>
        <v>27411.937700468599</v>
      </c>
      <c r="D29" s="86">
        <f>IF(D13=0,0,D13/TrAvia_act!D21*1000)</f>
        <v>30830.776633686837</v>
      </c>
      <c r="E29" s="86">
        <f>IF(E13=0,0,E13/TrAvia_act!E21*1000)</f>
        <v>30692.206258402344</v>
      </c>
      <c r="F29" s="86">
        <f>IF(F13=0,0,F13/TrAvia_act!F21*1000)</f>
        <v>27407.980064679788</v>
      </c>
      <c r="G29" s="86">
        <f>IF(G13=0,0,G13/TrAvia_act!G21*1000)</f>
        <v>25172.015172485531</v>
      </c>
      <c r="H29" s="86">
        <f>IF(H13=0,0,H13/TrAvia_act!H21*1000)</f>
        <v>22352.315329808862</v>
      </c>
      <c r="I29" s="86">
        <f>IF(I13=0,0,I13/TrAvia_act!I21*1000)</f>
        <v>20002.364337712301</v>
      </c>
      <c r="J29" s="86">
        <f>IF(J13=0,0,J13/TrAvia_act!J21*1000)</f>
        <v>19100.828041844041</v>
      </c>
      <c r="K29" s="86">
        <f>IF(K13=0,0,K13/TrAvia_act!K21*1000)</f>
        <v>19337.633254581899</v>
      </c>
      <c r="L29" s="86">
        <f>IF(L13=0,0,L13/TrAvia_act!L21*1000)</f>
        <v>18523.296131563893</v>
      </c>
      <c r="M29" s="86">
        <f>IF(M13=0,0,M13/TrAvia_act!M21*1000)</f>
        <v>18192.953362982069</v>
      </c>
      <c r="N29" s="86">
        <f>IF(N13=0,0,N13/TrAvia_act!N21*1000)</f>
        <v>17787.506656495068</v>
      </c>
      <c r="O29" s="86">
        <f>IF(O13=0,0,O13/TrAvia_act!O21*1000)</f>
        <v>18285.229343861542</v>
      </c>
      <c r="P29" s="86">
        <f>IF(P13=0,0,P13/TrAvia_act!P21*1000)</f>
        <v>19262.051184481519</v>
      </c>
      <c r="Q29" s="86">
        <f>IF(Q13=0,0,Q13/TrAvia_act!Q21*1000)</f>
        <v>19372.422761273261</v>
      </c>
      <c r="R29" s="86">
        <f>IF(R13=0,0,R13/TrAvia_act!R21*1000)</f>
        <v>20929.854864673864</v>
      </c>
      <c r="S29" s="86">
        <f>IF(S13=0,0,S13/TrAvia_act!S21*1000)</f>
        <v>19737.373916795386</v>
      </c>
      <c r="T29" s="86">
        <f>IF(T13=0,0,T13/TrAvia_act!T21*1000)</f>
        <v>18080.159075240979</v>
      </c>
      <c r="U29" s="86">
        <f>IF(U13=0,0,U13/TrAvia_act!U21*1000)</f>
        <v>18638.746120529853</v>
      </c>
      <c r="V29" s="86">
        <f>IF(V13=0,0,V13/TrAvia_act!V21*1000)</f>
        <v>17136.563914658836</v>
      </c>
      <c r="W29" s="86">
        <f>IF(W13=0,0,W13/TrAvia_act!W21*1000)</f>
        <v>15223.867853193073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191.94126656567906</v>
      </c>
      <c r="C32" s="14">
        <f>IF(C6=0,0,C6/TrAvia_act!C4*1000)</f>
        <v>180.6725522579043</v>
      </c>
      <c r="D32" s="14">
        <f>IF(D6=0,0,D6/TrAvia_act!D4*1000)</f>
        <v>214.10081404429323</v>
      </c>
      <c r="E32" s="14">
        <f>IF(E6=0,0,E6/TrAvia_act!E4*1000)</f>
        <v>207.19027821498108</v>
      </c>
      <c r="F32" s="14">
        <f>IF(F6=0,0,F6/TrAvia_act!F4*1000)</f>
        <v>174.69333381123948</v>
      </c>
      <c r="G32" s="14">
        <f>IF(G6=0,0,G6/TrAvia_act!G4*1000)</f>
        <v>162.16866930913713</v>
      </c>
      <c r="H32" s="14">
        <f>IF(H6=0,0,H6/TrAvia_act!H4*1000)</f>
        <v>145.63286150390593</v>
      </c>
      <c r="I32" s="14">
        <f>IF(I6=0,0,I6/TrAvia_act!I4*1000)</f>
        <v>139.98081197904986</v>
      </c>
      <c r="J32" s="14">
        <f>IF(J6=0,0,J6/TrAvia_act!J4*1000)</f>
        <v>139.607196693117</v>
      </c>
      <c r="K32" s="14">
        <f>IF(K6=0,0,K6/TrAvia_act!K4*1000)</f>
        <v>138.27454663123984</v>
      </c>
      <c r="L32" s="14">
        <f>IF(L6=0,0,L6/TrAvia_act!L4*1000)</f>
        <v>130.0268730560033</v>
      </c>
      <c r="M32" s="14">
        <f>IF(M6=0,0,M6/TrAvia_act!M4*1000)</f>
        <v>129.23835334095457</v>
      </c>
      <c r="N32" s="14">
        <f>IF(N6=0,0,N6/TrAvia_act!N4*1000)</f>
        <v>120.99403549328089</v>
      </c>
      <c r="O32" s="14">
        <f>IF(O6=0,0,O6/TrAvia_act!O4*1000)</f>
        <v>113.70785437254494</v>
      </c>
      <c r="P32" s="14">
        <f>IF(P6=0,0,P6/TrAvia_act!P4*1000)</f>
        <v>113.09645696559953</v>
      </c>
      <c r="Q32" s="14">
        <f>IF(Q6=0,0,Q6/TrAvia_act!Q4*1000)</f>
        <v>112.28283802223203</v>
      </c>
      <c r="R32" s="14">
        <f>IF(R6=0,0,R6/TrAvia_act!R4*1000)</f>
        <v>121.3592286588794</v>
      </c>
      <c r="S32" s="14">
        <f>IF(S6=0,0,S6/TrAvia_act!S4*1000)</f>
        <v>119.04008619175514</v>
      </c>
      <c r="T32" s="14">
        <f>IF(T6=0,0,T6/TrAvia_act!T4*1000)</f>
        <v>115.25185903357601</v>
      </c>
      <c r="U32" s="14">
        <f>IF(U6=0,0,U6/TrAvia_act!U4*1000)</f>
        <v>113.60694899191832</v>
      </c>
      <c r="V32" s="14">
        <f>IF(V6=0,0,V6/TrAvia_act!V4*1000)</f>
        <v>170.40002379018719</v>
      </c>
      <c r="W32" s="14">
        <f>IF(W6=0,0,W6/TrAvia_act!W4*1000)</f>
        <v>157.74816020020336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0</v>
      </c>
      <c r="C33" s="87">
        <f>IF(C7=0,0,C7/TrAvia_act!C5*1000)</f>
        <v>0</v>
      </c>
      <c r="D33" s="87">
        <f>IF(D7=0,0,D7/TrAvia_act!D5*1000)</f>
        <v>0</v>
      </c>
      <c r="E33" s="87">
        <f>IF(E7=0,0,E7/TrAvia_act!E5*1000)</f>
        <v>0</v>
      </c>
      <c r="F33" s="87">
        <f>IF(F7=0,0,F7/TrAvia_act!F5*1000)</f>
        <v>0</v>
      </c>
      <c r="G33" s="87">
        <f>IF(G7=0,0,G7/TrAvia_act!G5*1000)</f>
        <v>0</v>
      </c>
      <c r="H33" s="87">
        <f>IF(H7=0,0,H7/TrAvia_act!H5*1000)</f>
        <v>0</v>
      </c>
      <c r="I33" s="87">
        <f>IF(I7=0,0,I7/TrAvia_act!I5*1000)</f>
        <v>0</v>
      </c>
      <c r="J33" s="87">
        <f>IF(J7=0,0,J7/TrAvia_act!J5*1000)</f>
        <v>0</v>
      </c>
      <c r="K33" s="87">
        <f>IF(K7=0,0,K7/TrAvia_act!K5*1000)</f>
        <v>0</v>
      </c>
      <c r="L33" s="87">
        <f>IF(L7=0,0,L7/TrAvia_act!L5*1000)</f>
        <v>0</v>
      </c>
      <c r="M33" s="87">
        <f>IF(M7=0,0,M7/TrAvia_act!M5*1000)</f>
        <v>0</v>
      </c>
      <c r="N33" s="87">
        <f>IF(N7=0,0,N7/TrAvia_act!N5*1000)</f>
        <v>0</v>
      </c>
      <c r="O33" s="87">
        <f>IF(O7=0,0,O7/TrAvia_act!O5*1000)</f>
        <v>0</v>
      </c>
      <c r="P33" s="87">
        <f>IF(P7=0,0,P7/TrAvia_act!P5*1000)</f>
        <v>0</v>
      </c>
      <c r="Q33" s="87">
        <f>IF(Q7=0,0,Q7/TrAvia_act!Q5*1000)</f>
        <v>0</v>
      </c>
      <c r="R33" s="87">
        <f>IF(R7=0,0,R7/TrAvia_act!R5*1000)</f>
        <v>0</v>
      </c>
      <c r="S33" s="87">
        <f>IF(S7=0,0,S7/TrAvia_act!S5*1000)</f>
        <v>0</v>
      </c>
      <c r="T33" s="87">
        <f>IF(T7=0,0,T7/TrAvia_act!T5*1000)</f>
        <v>0</v>
      </c>
      <c r="U33" s="87">
        <f>IF(U7=0,0,U7/TrAvia_act!U5*1000)</f>
        <v>0</v>
      </c>
      <c r="V33" s="87">
        <f>IF(V7=0,0,V7/TrAvia_act!V5*1000)</f>
        <v>0</v>
      </c>
      <c r="W33" s="87">
        <f>IF(W7=0,0,W7/TrAvia_act!W5*1000)</f>
        <v>0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202.72624449974708</v>
      </c>
      <c r="C34" s="87">
        <f>IF(C8=0,0,C8/TrAvia_act!C6*1000)</f>
        <v>189.20067225910944</v>
      </c>
      <c r="D34" s="87">
        <f>IF(D8=0,0,D8/TrAvia_act!D6*1000)</f>
        <v>216.79766526334922</v>
      </c>
      <c r="E34" s="87">
        <f>IF(E8=0,0,E8/TrAvia_act!E6*1000)</f>
        <v>207.72737575483018</v>
      </c>
      <c r="F34" s="87">
        <f>IF(F8=0,0,F8/TrAvia_act!F6*1000)</f>
        <v>172.92724096902586</v>
      </c>
      <c r="G34" s="87">
        <f>IF(G8=0,0,G8/TrAvia_act!G6*1000)</f>
        <v>166.2744903577676</v>
      </c>
      <c r="H34" s="87">
        <f>IF(H8=0,0,H8/TrAvia_act!H6*1000)</f>
        <v>152.62965756309285</v>
      </c>
      <c r="I34" s="87">
        <f>IF(I8=0,0,I8/TrAvia_act!I6*1000)</f>
        <v>163.51927674581643</v>
      </c>
      <c r="J34" s="87">
        <f>IF(J8=0,0,J8/TrAvia_act!J6*1000)</f>
        <v>184.52695148453145</v>
      </c>
      <c r="K34" s="87">
        <f>IF(K8=0,0,K8/TrAvia_act!K6*1000)</f>
        <v>179.56179356074318</v>
      </c>
      <c r="L34" s="87">
        <f>IF(L8=0,0,L8/TrAvia_act!L6*1000)</f>
        <v>169.14211811889399</v>
      </c>
      <c r="M34" s="87">
        <f>IF(M8=0,0,M8/TrAvia_act!M6*1000)</f>
        <v>164.23813253299494</v>
      </c>
      <c r="N34" s="87">
        <f>IF(N8=0,0,N8/TrAvia_act!N6*1000)</f>
        <v>150.92648578772207</v>
      </c>
      <c r="O34" s="87">
        <f>IF(O8=0,0,O8/TrAvia_act!O6*1000)</f>
        <v>141.81090392403578</v>
      </c>
      <c r="P34" s="87">
        <f>IF(P8=0,0,P8/TrAvia_act!P6*1000)</f>
        <v>138.14440331256199</v>
      </c>
      <c r="Q34" s="87">
        <f>IF(Q8=0,0,Q8/TrAvia_act!Q6*1000)</f>
        <v>134.79294873148564</v>
      </c>
      <c r="R34" s="87">
        <f>IF(R8=0,0,R8/TrAvia_act!R6*1000)</f>
        <v>135.84236793283932</v>
      </c>
      <c r="S34" s="87">
        <f>IF(S8=0,0,S8/TrAvia_act!S6*1000)</f>
        <v>140.45866722162839</v>
      </c>
      <c r="T34" s="87">
        <f>IF(T8=0,0,T8/TrAvia_act!T6*1000)</f>
        <v>146.83521626734898</v>
      </c>
      <c r="U34" s="87">
        <f>IF(U8=0,0,U8/TrAvia_act!U6*1000)</f>
        <v>143.53574943361539</v>
      </c>
      <c r="V34" s="87">
        <f>IF(V8=0,0,V8/TrAvia_act!V6*1000)</f>
        <v>215.26624953004983</v>
      </c>
      <c r="W34" s="87">
        <f>IF(W8=0,0,W8/TrAvia_act!W6*1000)</f>
        <v>203.80093817011431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180.58307785998124</v>
      </c>
      <c r="C35" s="87">
        <f>IF(C9=0,0,C9/TrAvia_act!C7*1000)</f>
        <v>171.35525307048971</v>
      </c>
      <c r="D35" s="87">
        <f>IF(D9=0,0,D9/TrAvia_act!D7*1000)</f>
        <v>210.84034700240363</v>
      </c>
      <c r="E35" s="87">
        <f>IF(E9=0,0,E9/TrAvia_act!E7*1000)</f>
        <v>206.5279114009993</v>
      </c>
      <c r="F35" s="87">
        <f>IF(F9=0,0,F9/TrAvia_act!F7*1000)</f>
        <v>176.77120036958718</v>
      </c>
      <c r="G35" s="87">
        <f>IF(G9=0,0,G9/TrAvia_act!G7*1000)</f>
        <v>157.6786312564322</v>
      </c>
      <c r="H35" s="87">
        <f>IF(H9=0,0,H9/TrAvia_act!H7*1000)</f>
        <v>138.15449254261688</v>
      </c>
      <c r="I35" s="87">
        <f>IF(I9=0,0,I9/TrAvia_act!I7*1000)</f>
        <v>119.13103023358933</v>
      </c>
      <c r="J35" s="87">
        <f>IF(J9=0,0,J9/TrAvia_act!J7*1000)</f>
        <v>108.64453650677378</v>
      </c>
      <c r="K35" s="87">
        <f>IF(K9=0,0,K9/TrAvia_act!K7*1000)</f>
        <v>110.416151780539</v>
      </c>
      <c r="L35" s="87">
        <f>IF(L9=0,0,L9/TrAvia_act!L7*1000)</f>
        <v>103.91334583563275</v>
      </c>
      <c r="M35" s="87">
        <f>IF(M9=0,0,M9/TrAvia_act!M7*1000)</f>
        <v>105.04864845944394</v>
      </c>
      <c r="N35" s="87">
        <f>IF(N9=0,0,N9/TrAvia_act!N7*1000)</f>
        <v>100.10871054891902</v>
      </c>
      <c r="O35" s="87">
        <f>IF(O9=0,0,O9/TrAvia_act!O7*1000)</f>
        <v>94.270612369275995</v>
      </c>
      <c r="P35" s="87">
        <f>IF(P9=0,0,P9/TrAvia_act!P7*1000)</f>
        <v>94.981519953038216</v>
      </c>
      <c r="Q35" s="87">
        <f>IF(Q9=0,0,Q9/TrAvia_act!Q7*1000)</f>
        <v>95.298846780083949</v>
      </c>
      <c r="R35" s="87">
        <f>IF(R9=0,0,R9/TrAvia_act!R7*1000)</f>
        <v>108.35035527487243</v>
      </c>
      <c r="S35" s="87">
        <f>IF(S9=0,0,S9/TrAvia_act!S7*1000)</f>
        <v>100.97442865350259</v>
      </c>
      <c r="T35" s="87">
        <f>IF(T9=0,0,T9/TrAvia_act!T7*1000)</f>
        <v>92.312999081090183</v>
      </c>
      <c r="U35" s="87">
        <f>IF(U9=0,0,U9/TrAvia_act!U7*1000)</f>
        <v>92.462678936407386</v>
      </c>
      <c r="V35" s="87">
        <f>IF(V9=0,0,V9/TrAvia_act!V7*1000)</f>
        <v>142.39354700891619</v>
      </c>
      <c r="W35" s="87">
        <f>IF(W9=0,0,W9/TrAvia_act!W7*1000)</f>
        <v>126.09353834686033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419.70863199121618</v>
      </c>
      <c r="C36" s="15">
        <f>IF(C10=0,0,C10/TrAvia_act!C8*1000)</f>
        <v>373.87342634928865</v>
      </c>
      <c r="D36" s="15">
        <f>IF(D10=0,0,D10/TrAvia_act!D8*1000)</f>
        <v>443.8672041952799</v>
      </c>
      <c r="E36" s="15">
        <f>IF(E10=0,0,E10/TrAvia_act!E8*1000)</f>
        <v>467.24960676284184</v>
      </c>
      <c r="F36" s="15">
        <f>IF(F10=0,0,F10/TrAvia_act!F8*1000)</f>
        <v>433.3189687245756</v>
      </c>
      <c r="G36" s="15">
        <f>IF(G10=0,0,G10/TrAvia_act!G8*1000)</f>
        <v>427.76301436786258</v>
      </c>
      <c r="H36" s="15">
        <f>IF(H10=0,0,H10/TrAvia_act!H8*1000)</f>
        <v>417.53366786378729</v>
      </c>
      <c r="I36" s="15">
        <f>IF(I10=0,0,I10/TrAvia_act!I8*1000)</f>
        <v>381.2999038772291</v>
      </c>
      <c r="J36" s="15">
        <f>IF(J10=0,0,J10/TrAvia_act!J8*1000)</f>
        <v>364.514427225188</v>
      </c>
      <c r="K36" s="15">
        <f>IF(K10=0,0,K10/TrAvia_act!K8*1000)</f>
        <v>328.5787624773061</v>
      </c>
      <c r="L36" s="15">
        <f>IF(L10=0,0,L10/TrAvia_act!L8*1000)</f>
        <v>302.84556183117286</v>
      </c>
      <c r="M36" s="15">
        <f>IF(M10=0,0,M10/TrAvia_act!M8*1000)</f>
        <v>290.54505908331805</v>
      </c>
      <c r="N36" s="15">
        <f>IF(N10=0,0,N10/TrAvia_act!N8*1000)</f>
        <v>272.21764444939231</v>
      </c>
      <c r="O36" s="15">
        <f>IF(O10=0,0,O10/TrAvia_act!O8*1000)</f>
        <v>272.31287918320146</v>
      </c>
      <c r="P36" s="15">
        <f>IF(P10=0,0,P10/TrAvia_act!P8*1000)</f>
        <v>247.07891243883324</v>
      </c>
      <c r="Q36" s="15">
        <f>IF(Q10=0,0,Q10/TrAvia_act!Q8*1000)</f>
        <v>247.21575766639964</v>
      </c>
      <c r="R36" s="15">
        <f>IF(R10=0,0,R10/TrAvia_act!R8*1000)</f>
        <v>241.82278774667151</v>
      </c>
      <c r="S36" s="15">
        <f>IF(S10=0,0,S10/TrAvia_act!S8*1000)</f>
        <v>239.95708498540998</v>
      </c>
      <c r="T36" s="15">
        <f>IF(T10=0,0,T10/TrAvia_act!T8*1000)</f>
        <v>220.52149396950836</v>
      </c>
      <c r="U36" s="15">
        <f>IF(U10=0,0,U10/TrAvia_act!U8*1000)</f>
        <v>220.61653253019983</v>
      </c>
      <c r="V36" s="15">
        <f>IF(V10=0,0,V10/TrAvia_act!V8*1000)</f>
        <v>296.68214389742832</v>
      </c>
      <c r="W36" s="15">
        <f>IF(W10=0,0,W10/TrAvia_act!W8*1000)</f>
        <v>287.79738287823164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0</v>
      </c>
      <c r="C37" s="101">
        <f>IF(C11=0,0,C11/TrAvia_act!C9*1000)</f>
        <v>0</v>
      </c>
      <c r="D37" s="101">
        <f>IF(D11=0,0,D11/TrAvia_act!D9*1000)</f>
        <v>0</v>
      </c>
      <c r="E37" s="101">
        <f>IF(E11=0,0,E11/TrAvia_act!E9*1000)</f>
        <v>0</v>
      </c>
      <c r="F37" s="101">
        <f>IF(F11=0,0,F11/TrAvia_act!F9*1000)</f>
        <v>0</v>
      </c>
      <c r="G37" s="101">
        <f>IF(G11=0,0,G11/TrAvia_act!G9*1000)</f>
        <v>0</v>
      </c>
      <c r="H37" s="101">
        <f>IF(H11=0,0,H11/TrAvia_act!H9*1000)</f>
        <v>0</v>
      </c>
      <c r="I37" s="101">
        <f>IF(I11=0,0,I11/TrAvia_act!I9*1000)</f>
        <v>0</v>
      </c>
      <c r="J37" s="101">
        <f>IF(J11=0,0,J11/TrAvia_act!J9*1000)</f>
        <v>0</v>
      </c>
      <c r="K37" s="101">
        <f>IF(K11=0,0,K11/TrAvia_act!K9*1000)</f>
        <v>0</v>
      </c>
      <c r="L37" s="101">
        <f>IF(L11=0,0,L11/TrAvia_act!L9*1000)</f>
        <v>0</v>
      </c>
      <c r="M37" s="101">
        <f>IF(M11=0,0,M11/TrAvia_act!M9*1000)</f>
        <v>0</v>
      </c>
      <c r="N37" s="101">
        <f>IF(N11=0,0,N11/TrAvia_act!N9*1000)</f>
        <v>0</v>
      </c>
      <c r="O37" s="101">
        <f>IF(O11=0,0,O11/TrAvia_act!O9*1000)</f>
        <v>0</v>
      </c>
      <c r="P37" s="101">
        <f>IF(P11=0,0,P11/TrAvia_act!P9*1000)</f>
        <v>0</v>
      </c>
      <c r="Q37" s="101">
        <f>IF(Q11=0,0,Q11/TrAvia_act!Q9*1000)</f>
        <v>0</v>
      </c>
      <c r="R37" s="101">
        <f>IF(R11=0,0,R11/TrAvia_act!R9*1000)</f>
        <v>0</v>
      </c>
      <c r="S37" s="101">
        <f>IF(S11=0,0,S11/TrAvia_act!S9*1000)</f>
        <v>0</v>
      </c>
      <c r="T37" s="101">
        <f>IF(T11=0,0,T11/TrAvia_act!T9*1000)</f>
        <v>0</v>
      </c>
      <c r="U37" s="101">
        <f>IF(U11=0,0,U11/TrAvia_act!U9*1000)</f>
        <v>0</v>
      </c>
      <c r="V37" s="101">
        <f>IF(V11=0,0,V11/TrAvia_act!V9*1000)</f>
        <v>0</v>
      </c>
      <c r="W37" s="101">
        <f>IF(W11=0,0,W11/TrAvia_act!W9*1000)</f>
        <v>0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713.2227800521274</v>
      </c>
      <c r="C38" s="101">
        <f>IF(C12=0,0,C12/TrAvia_act!C10*1000)</f>
        <v>651.70034091460195</v>
      </c>
      <c r="D38" s="101">
        <f>IF(D12=0,0,D12/TrAvia_act!D10*1000)</f>
        <v>783.93068085740094</v>
      </c>
      <c r="E38" s="101">
        <f>IF(E12=0,0,E12/TrAvia_act!E10*1000)</f>
        <v>763.33408121092839</v>
      </c>
      <c r="F38" s="101">
        <f>IF(F12=0,0,F12/TrAvia_act!F10*1000)</f>
        <v>750.20663906432901</v>
      </c>
      <c r="G38" s="101">
        <f>IF(G12=0,0,G12/TrAvia_act!G10*1000)</f>
        <v>742.28598903267311</v>
      </c>
      <c r="H38" s="101">
        <f>IF(H12=0,0,H12/TrAvia_act!H10*1000)</f>
        <v>787.24198845869125</v>
      </c>
      <c r="I38" s="101">
        <f>IF(I12=0,0,I12/TrAvia_act!I10*1000)</f>
        <v>822.47395450375132</v>
      </c>
      <c r="J38" s="101">
        <f>IF(J12=0,0,J12/TrAvia_act!J10*1000)</f>
        <v>931.03173849947063</v>
      </c>
      <c r="K38" s="101">
        <f>IF(K12=0,0,K12/TrAvia_act!K10*1000)</f>
        <v>865.49049740026237</v>
      </c>
      <c r="L38" s="101">
        <f>IF(L12=0,0,L12/TrAvia_act!L10*1000)</f>
        <v>837.71149592105519</v>
      </c>
      <c r="M38" s="101">
        <f>IF(M12=0,0,M12/TrAvia_act!M10*1000)</f>
        <v>826.27593129903039</v>
      </c>
      <c r="N38" s="101">
        <f>IF(N12=0,0,N12/TrAvia_act!N10*1000)</f>
        <v>744.85876519626277</v>
      </c>
      <c r="O38" s="101">
        <f>IF(O12=0,0,O12/TrAvia_act!O10*1000)</f>
        <v>727.20939335930018</v>
      </c>
      <c r="P38" s="101">
        <f>IF(P12=0,0,P12/TrAvia_act!P10*1000)</f>
        <v>651.27449608753307</v>
      </c>
      <c r="Q38" s="101">
        <f>IF(Q12=0,0,Q12/TrAvia_act!Q10*1000)</f>
        <v>676.13531713034126</v>
      </c>
      <c r="R38" s="101">
        <f>IF(R12=0,0,R12/TrAvia_act!R10*1000)</f>
        <v>606.71403829504186</v>
      </c>
      <c r="S38" s="101">
        <f>IF(S12=0,0,S12/TrAvia_act!S10*1000)</f>
        <v>761.76163243824169</v>
      </c>
      <c r="T38" s="101">
        <f>IF(T12=0,0,T12/TrAvia_act!T10*1000)</f>
        <v>807.54571814522694</v>
      </c>
      <c r="U38" s="101">
        <f>IF(U12=0,0,U12/TrAvia_act!U10*1000)</f>
        <v>798.06607997496246</v>
      </c>
      <c r="V38" s="101">
        <f>IF(V12=0,0,V12/TrAvia_act!V10*1000)</f>
        <v>1230.2134231269326</v>
      </c>
      <c r="W38" s="101">
        <f>IF(W12=0,0,W12/TrAvia_act!W10*1000)</f>
        <v>1530.2408290211124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360.32740866854721</v>
      </c>
      <c r="C39" s="88">
        <f>IF(C13=0,0,C13/TrAvia_act!C11*1000)</f>
        <v>327.46935454764616</v>
      </c>
      <c r="D39" s="88">
        <f>IF(D13=0,0,D13/TrAvia_act!D11*1000)</f>
        <v>389.98630203189191</v>
      </c>
      <c r="E39" s="88">
        <f>IF(E13=0,0,E13/TrAvia_act!E11*1000)</f>
        <v>427.20590941981141</v>
      </c>
      <c r="F39" s="88">
        <f>IF(F13=0,0,F13/TrAvia_act!F11*1000)</f>
        <v>393.0154108278428</v>
      </c>
      <c r="G39" s="88">
        <f>IF(G13=0,0,G13/TrAvia_act!G11*1000)</f>
        <v>383.81169993735915</v>
      </c>
      <c r="H39" s="88">
        <f>IF(H13=0,0,H13/TrAvia_act!H11*1000)</f>
        <v>352.56313988212031</v>
      </c>
      <c r="I39" s="88">
        <f>IF(I13=0,0,I13/TrAvia_act!I11*1000)</f>
        <v>320.84137883381305</v>
      </c>
      <c r="J39" s="88">
        <f>IF(J13=0,0,J13/TrAvia_act!J11*1000)</f>
        <v>312.68887825091264</v>
      </c>
      <c r="K39" s="88">
        <f>IF(K13=0,0,K13/TrAvia_act!K11*1000)</f>
        <v>280.69984268526645</v>
      </c>
      <c r="L39" s="88">
        <f>IF(L13=0,0,L13/TrAvia_act!L11*1000)</f>
        <v>264.47464356581537</v>
      </c>
      <c r="M39" s="88">
        <f>IF(M13=0,0,M13/TrAvia_act!M11*1000)</f>
        <v>254.75856617335342</v>
      </c>
      <c r="N39" s="88">
        <f>IF(N13=0,0,N13/TrAvia_act!N11*1000)</f>
        <v>233.84144331772495</v>
      </c>
      <c r="O39" s="88">
        <f>IF(O13=0,0,O13/TrAvia_act!O11*1000)</f>
        <v>230.74971984495133</v>
      </c>
      <c r="P39" s="88">
        <f>IF(P13=0,0,P13/TrAvia_act!P11*1000)</f>
        <v>209.88165236937371</v>
      </c>
      <c r="Q39" s="88">
        <f>IF(Q13=0,0,Q13/TrAvia_act!Q11*1000)</f>
        <v>213.40976806757595</v>
      </c>
      <c r="R39" s="88">
        <f>IF(R13=0,0,R13/TrAvia_act!R11*1000)</f>
        <v>211.30956166062685</v>
      </c>
      <c r="S39" s="88">
        <f>IF(S13=0,0,S13/TrAvia_act!S11*1000)</f>
        <v>202.62980593400286</v>
      </c>
      <c r="T39" s="88">
        <f>IF(T13=0,0,T13/TrAvia_act!T11*1000)</f>
        <v>180.5825836380576</v>
      </c>
      <c r="U39" s="88">
        <f>IF(U13=0,0,U13/TrAvia_act!U11*1000)</f>
        <v>179.62896471951879</v>
      </c>
      <c r="V39" s="88">
        <f>IF(V13=0,0,V13/TrAvia_act!V11*1000)</f>
        <v>247.88959347521993</v>
      </c>
      <c r="W39" s="88">
        <f>IF(W13=0,0,W13/TrAvia_act!W11*1000)</f>
        <v>230.79086892292722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29252.048307977457</v>
      </c>
      <c r="C41" s="54">
        <f>IF(C3=0,0,C3/TrAvia_act!C23*1000000)</f>
        <v>27867.357451325995</v>
      </c>
      <c r="D41" s="54">
        <f>IF(D3=0,0,D3/TrAvia_act!D23*1000000)</f>
        <v>31057.652695351742</v>
      </c>
      <c r="E41" s="54">
        <f>IF(E3=0,0,E3/TrAvia_act!E23*1000000)</f>
        <v>32482.56388495944</v>
      </c>
      <c r="F41" s="54">
        <f>IF(F3=0,0,F3/TrAvia_act!F23*1000000)</f>
        <v>29798.005763020232</v>
      </c>
      <c r="G41" s="54">
        <f>IF(G3=0,0,G3/TrAvia_act!G23*1000000)</f>
        <v>28429.74475069873</v>
      </c>
      <c r="H41" s="54">
        <f>IF(H3=0,0,H3/TrAvia_act!H23*1000000)</f>
        <v>25143.149828855585</v>
      </c>
      <c r="I41" s="54">
        <f>IF(I3=0,0,I3/TrAvia_act!I23*1000000)</f>
        <v>25200.766926494125</v>
      </c>
      <c r="J41" s="54">
        <f>IF(J3=0,0,J3/TrAvia_act!J23*1000000)</f>
        <v>27614.234143770591</v>
      </c>
      <c r="K41" s="54">
        <f>IF(K3=0,0,K3/TrAvia_act!K23*1000000)</f>
        <v>27355.124442852637</v>
      </c>
      <c r="L41" s="54">
        <f>IF(L3=0,0,L3/TrAvia_act!L23*1000000)</f>
        <v>28644.837025987341</v>
      </c>
      <c r="M41" s="54">
        <f>IF(M3=0,0,M3/TrAvia_act!M23*1000000)</f>
        <v>29038.653301026003</v>
      </c>
      <c r="N41" s="54">
        <f>IF(N3=0,0,N3/TrAvia_act!N23*1000000)</f>
        <v>27583.814456245538</v>
      </c>
      <c r="O41" s="54">
        <f>IF(O3=0,0,O3/TrAvia_act!O23*1000000)</f>
        <v>26870.869471159913</v>
      </c>
      <c r="P41" s="54">
        <f>IF(P3=0,0,P3/TrAvia_act!P23*1000000)</f>
        <v>27293.46245498781</v>
      </c>
      <c r="Q41" s="54">
        <f>IF(Q3=0,0,Q3/TrAvia_act!Q23*1000000)</f>
        <v>28005.992347873082</v>
      </c>
      <c r="R41" s="54">
        <f>IF(R3=0,0,R3/TrAvia_act!R23*1000000)</f>
        <v>28743.971356419162</v>
      </c>
      <c r="S41" s="54">
        <f>IF(S3=0,0,S3/TrAvia_act!S23*1000000)</f>
        <v>30738.918916454659</v>
      </c>
      <c r="T41" s="54">
        <f>IF(T3=0,0,T3/TrAvia_act!T23*1000000)</f>
        <v>31853.491407697526</v>
      </c>
      <c r="U41" s="54">
        <f>IF(U3=0,0,U3/TrAvia_act!U23*1000000)</f>
        <v>32723.445299351351</v>
      </c>
      <c r="V41" s="54">
        <f>IF(V3=0,0,V3/TrAvia_act!V23*1000000)</f>
        <v>48586.235422475467</v>
      </c>
      <c r="W41" s="54">
        <f>IF(W3=0,0,W3/TrAvia_act!W23*1000000)</f>
        <v>50494.991679701823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27899.631311138091</v>
      </c>
      <c r="C42" s="11">
        <f>IF(C6=0,0,C6/TrAvia_act!C24*1000000)</f>
        <v>26434.447655890006</v>
      </c>
      <c r="D42" s="11">
        <f>IF(D6=0,0,D6/TrAvia_act!D24*1000000)</f>
        <v>29083.348724527215</v>
      </c>
      <c r="E42" s="11">
        <f>IF(E6=0,0,E6/TrAvia_act!E24*1000000)</f>
        <v>29808.749845878385</v>
      </c>
      <c r="F42" s="11">
        <f>IF(F6=0,0,F6/TrAvia_act!F24*1000000)</f>
        <v>27347.620980745152</v>
      </c>
      <c r="G42" s="11">
        <f>IF(G6=0,0,G6/TrAvia_act!G24*1000000)</f>
        <v>26100.286980968387</v>
      </c>
      <c r="H42" s="11">
        <f>IF(H6=0,0,H6/TrAvia_act!H24*1000000)</f>
        <v>22629.473917804771</v>
      </c>
      <c r="I42" s="11">
        <f>IF(I6=0,0,I6/TrAvia_act!I24*1000000)</f>
        <v>22197.486817816003</v>
      </c>
      <c r="J42" s="11">
        <f>IF(J6=0,0,J6/TrAvia_act!J24*1000000)</f>
        <v>24352.289087302146</v>
      </c>
      <c r="K42" s="11">
        <f>IF(K6=0,0,K6/TrAvia_act!K24*1000000)</f>
        <v>25007.198621637341</v>
      </c>
      <c r="L42" s="11">
        <f>IF(L6=0,0,L6/TrAvia_act!L24*1000000)</f>
        <v>25653.547187216194</v>
      </c>
      <c r="M42" s="11">
        <f>IF(M6=0,0,M6/TrAvia_act!M24*1000000)</f>
        <v>26162.255871794026</v>
      </c>
      <c r="N42" s="11">
        <f>IF(N6=0,0,N6/TrAvia_act!N24*1000000)</f>
        <v>25360.073665977045</v>
      </c>
      <c r="O42" s="11">
        <f>IF(O6=0,0,O6/TrAvia_act!O24*1000000)</f>
        <v>24920.557740221906</v>
      </c>
      <c r="P42" s="11">
        <f>IF(P6=0,0,P6/TrAvia_act!P24*1000000)</f>
        <v>25387.834981486048</v>
      </c>
      <c r="Q42" s="11">
        <f>IF(Q6=0,0,Q6/TrAvia_act!Q24*1000000)</f>
        <v>25538.246735451725</v>
      </c>
      <c r="R42" s="11">
        <f>IF(R6=0,0,R6/TrAvia_act!R24*1000000)</f>
        <v>26273.12523245527</v>
      </c>
      <c r="S42" s="11">
        <f>IF(S6=0,0,S6/TrAvia_act!S24*1000000)</f>
        <v>28177.787842407703</v>
      </c>
      <c r="T42" s="11">
        <f>IF(T6=0,0,T6/TrAvia_act!T24*1000000)</f>
        <v>29353.202511046671</v>
      </c>
      <c r="U42" s="11">
        <f>IF(U6=0,0,U6/TrAvia_act!U24*1000000)</f>
        <v>30333.791353649711</v>
      </c>
      <c r="V42" s="11">
        <f>IF(V6=0,0,V6/TrAvia_act!V24*1000000)</f>
        <v>40050.02038386793</v>
      </c>
      <c r="W42" s="11">
        <f>IF(W6=0,0,W6/TrAvia_act!W24*1000000)</f>
        <v>42996.484554563067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0</v>
      </c>
      <c r="C43" s="84">
        <f>IF(C7=0,0,C7/TrAvia_act!C25*1000000)</f>
        <v>0</v>
      </c>
      <c r="D43" s="84">
        <f>IF(D7=0,0,D7/TrAvia_act!D25*1000000)</f>
        <v>0</v>
      </c>
      <c r="E43" s="84">
        <f>IF(E7=0,0,E7/TrAvia_act!E25*1000000)</f>
        <v>0</v>
      </c>
      <c r="F43" s="84">
        <f>IF(F7=0,0,F7/TrAvia_act!F25*1000000)</f>
        <v>0</v>
      </c>
      <c r="G43" s="84">
        <f>IF(G7=0,0,G7/TrAvia_act!G25*1000000)</f>
        <v>0</v>
      </c>
      <c r="H43" s="84">
        <f>IF(H7=0,0,H7/TrAvia_act!H25*1000000)</f>
        <v>0</v>
      </c>
      <c r="I43" s="84">
        <f>IF(I7=0,0,I7/TrAvia_act!I25*1000000)</f>
        <v>0</v>
      </c>
      <c r="J43" s="84">
        <f>IF(J7=0,0,J7/TrAvia_act!J25*1000000)</f>
        <v>0</v>
      </c>
      <c r="K43" s="84">
        <f>IF(K7=0,0,K7/TrAvia_act!K25*1000000)</f>
        <v>0</v>
      </c>
      <c r="L43" s="84">
        <f>IF(L7=0,0,L7/TrAvia_act!L25*1000000)</f>
        <v>0</v>
      </c>
      <c r="M43" s="84">
        <f>IF(M7=0,0,M7/TrAvia_act!M25*1000000)</f>
        <v>0</v>
      </c>
      <c r="N43" s="84">
        <f>IF(N7=0,0,N7/TrAvia_act!N25*1000000)</f>
        <v>0</v>
      </c>
      <c r="O43" s="84">
        <f>IF(O7=0,0,O7/TrAvia_act!O25*1000000)</f>
        <v>0</v>
      </c>
      <c r="P43" s="84">
        <f>IF(P7=0,0,P7/TrAvia_act!P25*1000000)</f>
        <v>0</v>
      </c>
      <c r="Q43" s="84">
        <f>IF(Q7=0,0,Q7/TrAvia_act!Q25*1000000)</f>
        <v>0</v>
      </c>
      <c r="R43" s="84">
        <f>IF(R7=0,0,R7/TrAvia_act!R25*1000000)</f>
        <v>0</v>
      </c>
      <c r="S43" s="84">
        <f>IF(S7=0,0,S7/TrAvia_act!S25*1000000)</f>
        <v>0</v>
      </c>
      <c r="T43" s="84">
        <f>IF(T7=0,0,T7/TrAvia_act!T25*1000000)</f>
        <v>0</v>
      </c>
      <c r="U43" s="84">
        <f>IF(U7=0,0,U7/TrAvia_act!U25*1000000)</f>
        <v>0</v>
      </c>
      <c r="V43" s="84">
        <f>IF(V7=0,0,V7/TrAvia_act!V25*1000000)</f>
        <v>0</v>
      </c>
      <c r="W43" s="84">
        <f>IF(W7=0,0,W7/TrAvia_act!W25*1000000)</f>
        <v>0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17729.310062531626</v>
      </c>
      <c r="C44" s="84">
        <f>IF(C8=0,0,C8/TrAvia_act!C26*1000000)</f>
        <v>16907.295496118397</v>
      </c>
      <c r="D44" s="84">
        <f>IF(D8=0,0,D8/TrAvia_act!D26*1000000)</f>
        <v>18734.282574102574</v>
      </c>
      <c r="E44" s="84">
        <f>IF(E8=0,0,E8/TrAvia_act!E26*1000000)</f>
        <v>19279.064302252988</v>
      </c>
      <c r="F44" s="84">
        <f>IF(F8=0,0,F8/TrAvia_act!F26*1000000)</f>
        <v>17298.236680168124</v>
      </c>
      <c r="G44" s="84">
        <f>IF(G8=0,0,G8/TrAvia_act!G26*1000000)</f>
        <v>16798.979392049456</v>
      </c>
      <c r="H44" s="84">
        <f>IF(H8=0,0,H8/TrAvia_act!H26*1000000)</f>
        <v>14632.051482027937</v>
      </c>
      <c r="I44" s="84">
        <f>IF(I8=0,0,I8/TrAvia_act!I26*1000000)</f>
        <v>14709.714280408969</v>
      </c>
      <c r="J44" s="84">
        <f>IF(J8=0,0,J8/TrAvia_act!J26*1000000)</f>
        <v>16180.340250404102</v>
      </c>
      <c r="K44" s="84">
        <f>IF(K8=0,0,K8/TrAvia_act!K26*1000000)</f>
        <v>16374.726309998498</v>
      </c>
      <c r="L44" s="84">
        <f>IF(L8=0,0,L8/TrAvia_act!L26*1000000)</f>
        <v>16972.937998801026</v>
      </c>
      <c r="M44" s="84">
        <f>IF(M8=0,0,M8/TrAvia_act!M26*1000000)</f>
        <v>17345.991834308046</v>
      </c>
      <c r="N44" s="84">
        <f>IF(N8=0,0,N8/TrAvia_act!N26*1000000)</f>
        <v>16781.307612305987</v>
      </c>
      <c r="O44" s="84">
        <f>IF(O8=0,0,O8/TrAvia_act!O26*1000000)</f>
        <v>16429.576846389424</v>
      </c>
      <c r="P44" s="84">
        <f>IF(P8=0,0,P8/TrAvia_act!P26*1000000)</f>
        <v>16720.280970655149</v>
      </c>
      <c r="Q44" s="84">
        <f>IF(Q8=0,0,Q8/TrAvia_act!Q26*1000000)</f>
        <v>16746.442704375058</v>
      </c>
      <c r="R44" s="84">
        <f>IF(R8=0,0,R8/TrAvia_act!R26*1000000)</f>
        <v>17172.669134610256</v>
      </c>
      <c r="S44" s="84">
        <f>IF(S8=0,0,S8/TrAvia_act!S26*1000000)</f>
        <v>19052.837172563191</v>
      </c>
      <c r="T44" s="84">
        <f>IF(T8=0,0,T8/TrAvia_act!T26*1000000)</f>
        <v>20224.358177828446</v>
      </c>
      <c r="U44" s="84">
        <f>IF(U8=0,0,U8/TrAvia_act!U26*1000000)</f>
        <v>20662.128342486092</v>
      </c>
      <c r="V44" s="84">
        <f>IF(V8=0,0,V8/TrAvia_act!V26*1000000)</f>
        <v>24745.595988609162</v>
      </c>
      <c r="W44" s="84">
        <f>IF(W8=0,0,W8/TrAvia_act!W26*1000000)</f>
        <v>29787.143940409598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86701.946961270602</v>
      </c>
      <c r="C45" s="84">
        <f>IF(C9=0,0,C9/TrAvia_act!C27*1000000)</f>
        <v>82543.861268597262</v>
      </c>
      <c r="D45" s="84">
        <f>IF(D9=0,0,D9/TrAvia_act!D27*1000000)</f>
        <v>92838.798083604765</v>
      </c>
      <c r="E45" s="84">
        <f>IF(E9=0,0,E9/TrAvia_act!E27*1000000)</f>
        <v>92421.529740213402</v>
      </c>
      <c r="F45" s="84">
        <f>IF(F9=0,0,F9/TrAvia_act!F27*1000000)</f>
        <v>82531.943886357709</v>
      </c>
      <c r="G45" s="84">
        <f>IF(G9=0,0,G9/TrAvia_act!G27*1000000)</f>
        <v>72200.843837762965</v>
      </c>
      <c r="H45" s="84">
        <f>IF(H9=0,0,H9/TrAvia_act!H27*1000000)</f>
        <v>63816.220209791776</v>
      </c>
      <c r="I45" s="84">
        <f>IF(I9=0,0,I9/TrAvia_act!I27*1000000)</f>
        <v>58244.822624616805</v>
      </c>
      <c r="J45" s="84">
        <f>IF(J9=0,0,J9/TrAvia_act!J27*1000000)</f>
        <v>59581.363242757761</v>
      </c>
      <c r="K45" s="84">
        <f>IF(K9=0,0,K9/TrAvia_act!K27*1000000)</f>
        <v>59325.173826823331</v>
      </c>
      <c r="L45" s="84">
        <f>IF(L9=0,0,L9/TrAvia_act!L27*1000000)</f>
        <v>57748.011531102937</v>
      </c>
      <c r="M45" s="84">
        <f>IF(M9=0,0,M9/TrAvia_act!M27*1000000)</f>
        <v>58035.777824876757</v>
      </c>
      <c r="N45" s="84">
        <f>IF(N9=0,0,N9/TrAvia_act!N27*1000000)</f>
        <v>54863.888020129154</v>
      </c>
      <c r="O45" s="84">
        <f>IF(O9=0,0,O9/TrAvia_act!O27*1000000)</f>
        <v>53906.454934063979</v>
      </c>
      <c r="P45" s="84">
        <f>IF(P9=0,0,P9/TrAvia_act!P27*1000000)</f>
        <v>55830.610612238539</v>
      </c>
      <c r="Q45" s="84">
        <f>IF(Q9=0,0,Q9/TrAvia_act!Q27*1000000)</f>
        <v>58077.059987444118</v>
      </c>
      <c r="R45" s="84">
        <f>IF(R9=0,0,R9/TrAvia_act!R27*1000000)</f>
        <v>65156.730022024465</v>
      </c>
      <c r="S45" s="84">
        <f>IF(S9=0,0,S9/TrAvia_act!S27*1000000)</f>
        <v>64320.454112713378</v>
      </c>
      <c r="T45" s="84">
        <f>IF(T9=0,0,T9/TrAvia_act!T27*1000000)</f>
        <v>61339.225547271504</v>
      </c>
      <c r="U45" s="84">
        <f>IF(U9=0,0,U9/TrAvia_act!U27*1000000)</f>
        <v>62333.285848637541</v>
      </c>
      <c r="V45" s="84">
        <f>IF(V9=0,0,V9/TrAvia_act!V27*1000000)</f>
        <v>96190.41389896904</v>
      </c>
      <c r="W45" s="84">
        <f>IF(W9=0,0,W9/TrAvia_act!W27*1000000)</f>
        <v>84748.783279463925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42241.361489591334</v>
      </c>
      <c r="C46" s="13">
        <f>IF(C10=0,0,C10/TrAvia_act!C28*1000000)</f>
        <v>44076.340956080254</v>
      </c>
      <c r="D46" s="13">
        <f>IF(D10=0,0,D10/TrAvia_act!D28*1000000)</f>
        <v>50343.02770596747</v>
      </c>
      <c r="E46" s="13">
        <f>IF(E10=0,0,E10/TrAvia_act!E28*1000000)</f>
        <v>56994.136120726609</v>
      </c>
      <c r="F46" s="13">
        <f>IF(F10=0,0,F10/TrAvia_act!F28*1000000)</f>
        <v>50757.380649758808</v>
      </c>
      <c r="G46" s="13">
        <f>IF(G10=0,0,G10/TrAvia_act!G28*1000000)</f>
        <v>46184.454879986013</v>
      </c>
      <c r="H46" s="13">
        <f>IF(H10=0,0,H10/TrAvia_act!H28*1000000)</f>
        <v>36488.623803987604</v>
      </c>
      <c r="I46" s="13">
        <f>IF(I10=0,0,I10/TrAvia_act!I28*1000000)</f>
        <v>37935.493089199343</v>
      </c>
      <c r="J46" s="13">
        <f>IF(J10=0,0,J10/TrAvia_act!J28*1000000)</f>
        <v>44707.236414926243</v>
      </c>
      <c r="K46" s="13">
        <f>IF(K10=0,0,K10/TrAvia_act!K28*1000000)</f>
        <v>43424.69971302458</v>
      </c>
      <c r="L46" s="13">
        <f>IF(L10=0,0,L10/TrAvia_act!L28*1000000)</f>
        <v>47539.600795461192</v>
      </c>
      <c r="M46" s="13">
        <f>IF(M10=0,0,M10/TrAvia_act!M28*1000000)</f>
        <v>48667.933494809506</v>
      </c>
      <c r="N46" s="13">
        <f>IF(N10=0,0,N10/TrAvia_act!N28*1000000)</f>
        <v>43999.394811452206</v>
      </c>
      <c r="O46" s="13">
        <f>IF(O10=0,0,O10/TrAvia_act!O28*1000000)</f>
        <v>41441.213311378509</v>
      </c>
      <c r="P46" s="13">
        <f>IF(P10=0,0,P10/TrAvia_act!P28*1000000)</f>
        <v>42879.888291050724</v>
      </c>
      <c r="Q46" s="13">
        <f>IF(Q10=0,0,Q10/TrAvia_act!Q28*1000000)</f>
        <v>46412.341813187537</v>
      </c>
      <c r="R46" s="13">
        <f>IF(R10=0,0,R10/TrAvia_act!R28*1000000)</f>
        <v>49228.903304269494</v>
      </c>
      <c r="S46" s="13">
        <f>IF(S10=0,0,S10/TrAvia_act!S28*1000000)</f>
        <v>50725.933401763017</v>
      </c>
      <c r="T46" s="13">
        <f>IF(T10=0,0,T10/TrAvia_act!T28*1000000)</f>
        <v>49468.130211006268</v>
      </c>
      <c r="U46" s="13">
        <f>IF(U10=0,0,U10/TrAvia_act!U28*1000000)</f>
        <v>50828.920312274247</v>
      </c>
      <c r="V46" s="13">
        <f>IF(V10=0,0,V10/TrAvia_act!V28*1000000)</f>
        <v>65422.849013457657</v>
      </c>
      <c r="W46" s="13">
        <f>IF(W10=0,0,W10/TrAvia_act!W28*1000000)</f>
        <v>65230.79148769247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0</v>
      </c>
      <c r="C47" s="102">
        <f>IF(C11=0,0,C11/TrAvia_act!C29*1000000)</f>
        <v>0</v>
      </c>
      <c r="D47" s="102">
        <f>IF(D11=0,0,D11/TrAvia_act!D29*1000000)</f>
        <v>0</v>
      </c>
      <c r="E47" s="102">
        <f>IF(E11=0,0,E11/TrAvia_act!E29*1000000)</f>
        <v>0</v>
      </c>
      <c r="F47" s="102">
        <f>IF(F11=0,0,F11/TrAvia_act!F29*1000000)</f>
        <v>0</v>
      </c>
      <c r="G47" s="102">
        <f>IF(G11=0,0,G11/TrAvia_act!G29*1000000)</f>
        <v>0</v>
      </c>
      <c r="H47" s="102">
        <f>IF(H11=0,0,H11/TrAvia_act!H29*1000000)</f>
        <v>0</v>
      </c>
      <c r="I47" s="102">
        <f>IF(I11=0,0,I11/TrAvia_act!I29*1000000)</f>
        <v>0</v>
      </c>
      <c r="J47" s="102">
        <f>IF(J11=0,0,J11/TrAvia_act!J29*1000000)</f>
        <v>0</v>
      </c>
      <c r="K47" s="102">
        <f>IF(K11=0,0,K11/TrAvia_act!K29*1000000)</f>
        <v>0</v>
      </c>
      <c r="L47" s="102">
        <f>IF(L11=0,0,L11/TrAvia_act!L29*1000000)</f>
        <v>0</v>
      </c>
      <c r="M47" s="102">
        <f>IF(M11=0,0,M11/TrAvia_act!M29*1000000)</f>
        <v>0</v>
      </c>
      <c r="N47" s="102">
        <f>IF(N11=0,0,N11/TrAvia_act!N29*1000000)</f>
        <v>0</v>
      </c>
      <c r="O47" s="102">
        <f>IF(O11=0,0,O11/TrAvia_act!O29*1000000)</f>
        <v>0</v>
      </c>
      <c r="P47" s="102">
        <f>IF(P11=0,0,P11/TrAvia_act!P29*1000000)</f>
        <v>0</v>
      </c>
      <c r="Q47" s="102">
        <f>IF(Q11=0,0,Q11/TrAvia_act!Q29*1000000)</f>
        <v>0</v>
      </c>
      <c r="R47" s="102">
        <f>IF(R11=0,0,R11/TrAvia_act!R29*1000000)</f>
        <v>0</v>
      </c>
      <c r="S47" s="102">
        <f>IF(S11=0,0,S11/TrAvia_act!S29*1000000)</f>
        <v>0</v>
      </c>
      <c r="T47" s="102">
        <f>IF(T11=0,0,T11/TrAvia_act!T29*1000000)</f>
        <v>0</v>
      </c>
      <c r="U47" s="102">
        <f>IF(U11=0,0,U11/TrAvia_act!U29*1000000)</f>
        <v>0</v>
      </c>
      <c r="V47" s="102">
        <f>IF(V11=0,0,V11/TrAvia_act!V29*1000000)</f>
        <v>0</v>
      </c>
      <c r="W47" s="102">
        <f>IF(W11=0,0,W11/TrAvia_act!W29*1000000)</f>
        <v>0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15730.908875747577</v>
      </c>
      <c r="C48" s="102">
        <f>IF(C12=0,0,C12/TrAvia_act!C30*1000000)</f>
        <v>15010.560987385674</v>
      </c>
      <c r="D48" s="102">
        <f>IF(D12=0,0,D12/TrAvia_act!D30*1000000)</f>
        <v>16761.368488464079</v>
      </c>
      <c r="E48" s="102">
        <f>IF(E12=0,0,E12/TrAvia_act!E30*1000000)</f>
        <v>16591.794392349962</v>
      </c>
      <c r="F48" s="102">
        <f>IF(F12=0,0,F12/TrAvia_act!F30*1000000)</f>
        <v>14804.90815342805</v>
      </c>
      <c r="G48" s="102">
        <f>IF(G12=0,0,G12/TrAvia_act!G30*1000000)</f>
        <v>14680.758872710214</v>
      </c>
      <c r="H48" s="102">
        <f>IF(H12=0,0,H12/TrAvia_act!H30*1000000)</f>
        <v>13864.72680348281</v>
      </c>
      <c r="I48" s="102">
        <f>IF(I12=0,0,I12/TrAvia_act!I30*1000000)</f>
        <v>14065.811835967312</v>
      </c>
      <c r="J48" s="102">
        <f>IF(J12=0,0,J12/TrAvia_act!J30*1000000)</f>
        <v>15246.700405753647</v>
      </c>
      <c r="K48" s="102">
        <f>IF(K12=0,0,K12/TrAvia_act!K30*1000000)</f>
        <v>14405.659834763444</v>
      </c>
      <c r="L48" s="102">
        <f>IF(L12=0,0,L12/TrAvia_act!L30*1000000)</f>
        <v>14754.426891668732</v>
      </c>
      <c r="M48" s="102">
        <f>IF(M12=0,0,M12/TrAvia_act!M30*1000000)</f>
        <v>15011.300369759836</v>
      </c>
      <c r="N48" s="102">
        <f>IF(N12=0,0,N12/TrAvia_act!N30*1000000)</f>
        <v>14673.882191284201</v>
      </c>
      <c r="O48" s="102">
        <f>IF(O12=0,0,O12/TrAvia_act!O30*1000000)</f>
        <v>14122.823509252334</v>
      </c>
      <c r="P48" s="102">
        <f>IF(P12=0,0,P12/TrAvia_act!P30*1000000)</f>
        <v>14308.175330033668</v>
      </c>
      <c r="Q48" s="102">
        <f>IF(Q12=0,0,Q12/TrAvia_act!Q30*1000000)</f>
        <v>14480.229649795536</v>
      </c>
      <c r="R48" s="102">
        <f>IF(R12=0,0,R12/TrAvia_act!R30*1000000)</f>
        <v>14561.804709853843</v>
      </c>
      <c r="S48" s="102">
        <f>IF(S12=0,0,S12/TrAvia_act!S30*1000000)</f>
        <v>16753.864506046029</v>
      </c>
      <c r="T48" s="102">
        <f>IF(T12=0,0,T12/TrAvia_act!T30*1000000)</f>
        <v>18054.427470024966</v>
      </c>
      <c r="U48" s="102">
        <f>IF(U12=0,0,U12/TrAvia_act!U30*1000000)</f>
        <v>18864.926230716461</v>
      </c>
      <c r="V48" s="102">
        <f>IF(V12=0,0,V12/TrAvia_act!V30*1000000)</f>
        <v>24435.941227600742</v>
      </c>
      <c r="W48" s="102">
        <f>IF(W12=0,0,W12/TrAvia_act!W30*1000000)</f>
        <v>29750.178012897359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129915.99475189469</v>
      </c>
      <c r="C49" s="86">
        <f>IF(C13=0,0,C13/TrAvia_act!C31*1000000)</f>
        <v>123685.43294837968</v>
      </c>
      <c r="D49" s="86">
        <f>IF(D13=0,0,D13/TrAvia_act!D31*1000000)</f>
        <v>139111.57969716081</v>
      </c>
      <c r="E49" s="86">
        <f>IF(E13=0,0,E13/TrAvia_act!E31*1000000)</f>
        <v>138486.33616099923</v>
      </c>
      <c r="F49" s="86">
        <f>IF(F13=0,0,F13/TrAvia_act!F31*1000000)</f>
        <v>123667.57569577169</v>
      </c>
      <c r="G49" s="86">
        <f>IF(G13=0,0,G13/TrAvia_act!G31*1000000)</f>
        <v>109948.14977297869</v>
      </c>
      <c r="H49" s="86">
        <f>IF(H13=0,0,H13/TrAvia_act!H31*1000000)</f>
        <v>101442.28563754182</v>
      </c>
      <c r="I49" s="86">
        <f>IF(I13=0,0,I13/TrAvia_act!I31*1000000)</f>
        <v>93936.411568088486</v>
      </c>
      <c r="J49" s="86">
        <f>IF(J13=0,0,J13/TrAvia_act!J31*1000000)</f>
        <v>94382.222702991974</v>
      </c>
      <c r="K49" s="86">
        <f>IF(K13=0,0,K13/TrAvia_act!K31*1000000)</f>
        <v>97337.434222369629</v>
      </c>
      <c r="L49" s="86">
        <f>IF(L13=0,0,L13/TrAvia_act!L31*1000000)</f>
        <v>96024.137682924367</v>
      </c>
      <c r="M49" s="86">
        <f>IF(M13=0,0,M13/TrAvia_act!M31*1000000)</f>
        <v>94640.376883413148</v>
      </c>
      <c r="N49" s="86">
        <f>IF(N13=0,0,N13/TrAvia_act!N31*1000000)</f>
        <v>91072.034081254766</v>
      </c>
      <c r="O49" s="86">
        <f>IF(O13=0,0,O13/TrAvia_act!O31*1000000)</f>
        <v>93544.755940368923</v>
      </c>
      <c r="P49" s="86">
        <f>IF(P13=0,0,P13/TrAvia_act!P31*1000000)</f>
        <v>99777.375067088054</v>
      </c>
      <c r="Q49" s="86">
        <f>IF(Q13=0,0,Q13/TrAvia_act!Q31*1000000)</f>
        <v>103291.71871700733</v>
      </c>
      <c r="R49" s="86">
        <f>IF(R13=0,0,R13/TrAvia_act!R31*1000000)</f>
        <v>114913.2810479357</v>
      </c>
      <c r="S49" s="86">
        <f>IF(S13=0,0,S13/TrAvia_act!S31*1000000)</f>
        <v>111560.89161625733</v>
      </c>
      <c r="T49" s="86">
        <f>IF(T13=0,0,T13/TrAvia_act!T31*1000000)</f>
        <v>105112.49759070699</v>
      </c>
      <c r="U49" s="86">
        <f>IF(U13=0,0,U13/TrAvia_act!U31*1000000)</f>
        <v>109151.35636127238</v>
      </c>
      <c r="V49" s="86">
        <f>IF(V13=0,0,V13/TrAvia_act!V31*1000000)</f>
        <v>115807.77233857434</v>
      </c>
      <c r="W49" s="86">
        <f>IF(W13=0,0,W13/TrAvia_act!W31*1000000)</f>
        <v>102374.11079190161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0.86382709629482635</v>
      </c>
      <c r="C52" s="16">
        <f t="shared" si="35"/>
        <v>0.87153541859835204</v>
      </c>
      <c r="D52" s="16">
        <f t="shared" ref="D52:V52" si="36">IF(D6=0,0,D6/D$3)</f>
        <v>0.84946828187643009</v>
      </c>
      <c r="E52" s="16">
        <f t="shared" si="36"/>
        <v>0.82742592070478094</v>
      </c>
      <c r="F52" s="16">
        <f t="shared" si="36"/>
        <v>0.82170082493023799</v>
      </c>
      <c r="G52" s="16">
        <f t="shared" si="36"/>
        <v>0.81158136216265497</v>
      </c>
      <c r="H52" s="16">
        <f t="shared" si="36"/>
        <v>0.73678508661627873</v>
      </c>
      <c r="I52" s="16">
        <f t="shared" si="36"/>
        <v>0.71273805189975559</v>
      </c>
      <c r="J52" s="16">
        <f t="shared" si="36"/>
        <v>0.74055131104484184</v>
      </c>
      <c r="K52" s="16">
        <f t="shared" si="36"/>
        <v>0.79762736015716262</v>
      </c>
      <c r="L52" s="16">
        <f t="shared" si="36"/>
        <v>0.77317014672151185</v>
      </c>
      <c r="M52" s="16">
        <f t="shared" si="36"/>
        <v>0.7857981425015198</v>
      </c>
      <c r="N52" s="16">
        <f t="shared" si="36"/>
        <v>0.80969664205903968</v>
      </c>
      <c r="O52" s="16">
        <f t="shared" si="36"/>
        <v>0.81793456676300424</v>
      </c>
      <c r="P52" s="16">
        <f t="shared" si="36"/>
        <v>0.82884396203434496</v>
      </c>
      <c r="Q52" s="16">
        <f t="shared" si="36"/>
        <v>0.80408159008561875</v>
      </c>
      <c r="R52" s="16">
        <f t="shared" si="36"/>
        <v>0.81565682134459505</v>
      </c>
      <c r="S52" s="16">
        <f t="shared" si="36"/>
        <v>0.81255993183563313</v>
      </c>
      <c r="T52" s="16">
        <f t="shared" si="36"/>
        <v>0.80696317312297816</v>
      </c>
      <c r="U52" s="16">
        <f t="shared" si="36"/>
        <v>0.81889258954804833</v>
      </c>
      <c r="V52" s="16">
        <f t="shared" si="36"/>
        <v>0.54698491557279927</v>
      </c>
      <c r="W52" s="16">
        <f t="shared" ref="W52" si="37">IF(W6=0,0,W6/W$3)</f>
        <v>0.56433210727300376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0</v>
      </c>
      <c r="C53" s="103">
        <f t="shared" si="38"/>
        <v>0</v>
      </c>
      <c r="D53" s="103">
        <f t="shared" ref="D53:V53" si="39">IF(D7=0,0,D7/D$3)</f>
        <v>0</v>
      </c>
      <c r="E53" s="103">
        <f t="shared" si="39"/>
        <v>0</v>
      </c>
      <c r="F53" s="103">
        <f t="shared" si="39"/>
        <v>0</v>
      </c>
      <c r="G53" s="103">
        <f t="shared" si="39"/>
        <v>0</v>
      </c>
      <c r="H53" s="103">
        <f t="shared" si="39"/>
        <v>0</v>
      </c>
      <c r="I53" s="103">
        <f t="shared" si="39"/>
        <v>0</v>
      </c>
      <c r="J53" s="103">
        <f t="shared" si="39"/>
        <v>0</v>
      </c>
      <c r="K53" s="103">
        <f t="shared" si="39"/>
        <v>0</v>
      </c>
      <c r="L53" s="103">
        <f t="shared" si="39"/>
        <v>0</v>
      </c>
      <c r="M53" s="103">
        <f t="shared" si="39"/>
        <v>0</v>
      </c>
      <c r="N53" s="103">
        <f t="shared" si="39"/>
        <v>0</v>
      </c>
      <c r="O53" s="103">
        <f t="shared" si="39"/>
        <v>0</v>
      </c>
      <c r="P53" s="103">
        <f t="shared" si="39"/>
        <v>0</v>
      </c>
      <c r="Q53" s="103">
        <f t="shared" si="39"/>
        <v>0</v>
      </c>
      <c r="R53" s="103">
        <f t="shared" si="39"/>
        <v>0</v>
      </c>
      <c r="S53" s="103">
        <f t="shared" si="39"/>
        <v>0</v>
      </c>
      <c r="T53" s="103">
        <f t="shared" si="39"/>
        <v>0</v>
      </c>
      <c r="U53" s="103">
        <f t="shared" si="39"/>
        <v>0</v>
      </c>
      <c r="V53" s="103">
        <f t="shared" si="39"/>
        <v>0</v>
      </c>
      <c r="W53" s="103">
        <f t="shared" ref="W53" si="40">IF(W7=0,0,W7/W$3)</f>
        <v>0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0.46799131455585813</v>
      </c>
      <c r="C54" s="103">
        <f t="shared" si="41"/>
        <v>0.47651746652596666</v>
      </c>
      <c r="D54" s="103">
        <f t="shared" ref="D54:V54" si="42">IF(D8=0,0,D8/D$3)</f>
        <v>0.47077399193610153</v>
      </c>
      <c r="E54" s="103">
        <f t="shared" si="42"/>
        <v>0.45810465221802937</v>
      </c>
      <c r="F54" s="103">
        <f t="shared" si="42"/>
        <v>0.43968298953786444</v>
      </c>
      <c r="G54" s="103">
        <f t="shared" si="42"/>
        <v>0.43466179657968035</v>
      </c>
      <c r="H54" s="103">
        <f t="shared" si="42"/>
        <v>0.39893646795585314</v>
      </c>
      <c r="I54" s="103">
        <f t="shared" si="42"/>
        <v>0.39107848019902719</v>
      </c>
      <c r="J54" s="103">
        <f t="shared" si="42"/>
        <v>0.39939652138455978</v>
      </c>
      <c r="K54" s="103">
        <f t="shared" si="42"/>
        <v>0.41731405501428048</v>
      </c>
      <c r="L54" s="103">
        <f t="shared" si="42"/>
        <v>0.40264290965594635</v>
      </c>
      <c r="M54" s="103">
        <f t="shared" si="42"/>
        <v>0.40811221694140709</v>
      </c>
      <c r="N54" s="103">
        <f t="shared" si="42"/>
        <v>0.41509683762942945</v>
      </c>
      <c r="O54" s="103">
        <f t="shared" si="42"/>
        <v>0.41707150966945206</v>
      </c>
      <c r="P54" s="103">
        <f t="shared" si="42"/>
        <v>0.42489679269128905</v>
      </c>
      <c r="Q54" s="103">
        <f t="shared" si="42"/>
        <v>0.41510830846805014</v>
      </c>
      <c r="R54" s="103">
        <f t="shared" si="42"/>
        <v>0.43201921150901867</v>
      </c>
      <c r="S54" s="103">
        <f t="shared" si="42"/>
        <v>0.4386728129203577</v>
      </c>
      <c r="T54" s="103">
        <f t="shared" si="42"/>
        <v>0.43254801654693759</v>
      </c>
      <c r="U54" s="103">
        <f t="shared" si="42"/>
        <v>0.42833430119333987</v>
      </c>
      <c r="V54" s="103">
        <f t="shared" si="42"/>
        <v>0.2655676956647578</v>
      </c>
      <c r="W54" s="103">
        <f t="shared" ref="W54" si="43">IF(W8=0,0,W8/W$3)</f>
        <v>0.29699653908989515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0.39583578173896822</v>
      </c>
      <c r="C55" s="103">
        <f t="shared" si="44"/>
        <v>0.39501795207238538</v>
      </c>
      <c r="D55" s="103">
        <f t="shared" ref="D55:V55" si="45">IF(D9=0,0,D9/D$3)</f>
        <v>0.37869428994032861</v>
      </c>
      <c r="E55" s="103">
        <f t="shared" si="45"/>
        <v>0.36932126848675156</v>
      </c>
      <c r="F55" s="103">
        <f t="shared" si="45"/>
        <v>0.38201783539237355</v>
      </c>
      <c r="G55" s="103">
        <f t="shared" si="45"/>
        <v>0.37691956558297457</v>
      </c>
      <c r="H55" s="103">
        <f t="shared" si="45"/>
        <v>0.33784861866042565</v>
      </c>
      <c r="I55" s="103">
        <f t="shared" si="45"/>
        <v>0.32165957170072845</v>
      </c>
      <c r="J55" s="103">
        <f t="shared" si="45"/>
        <v>0.34115478966028195</v>
      </c>
      <c r="K55" s="103">
        <f t="shared" si="45"/>
        <v>0.38031330514288209</v>
      </c>
      <c r="L55" s="103">
        <f t="shared" si="45"/>
        <v>0.37052723706556562</v>
      </c>
      <c r="M55" s="103">
        <f t="shared" si="45"/>
        <v>0.37768592556011271</v>
      </c>
      <c r="N55" s="103">
        <f t="shared" si="45"/>
        <v>0.39459980442961023</v>
      </c>
      <c r="O55" s="103">
        <f t="shared" si="45"/>
        <v>0.40086305709355224</v>
      </c>
      <c r="P55" s="103">
        <f t="shared" si="45"/>
        <v>0.40394716934305597</v>
      </c>
      <c r="Q55" s="103">
        <f t="shared" si="45"/>
        <v>0.38897328161756856</v>
      </c>
      <c r="R55" s="103">
        <f t="shared" si="45"/>
        <v>0.38363760983557643</v>
      </c>
      <c r="S55" s="103">
        <f t="shared" si="45"/>
        <v>0.37388711891527543</v>
      </c>
      <c r="T55" s="103">
        <f t="shared" si="45"/>
        <v>0.37441515657604063</v>
      </c>
      <c r="U55" s="103">
        <f t="shared" si="45"/>
        <v>0.39055828835470852</v>
      </c>
      <c r="V55" s="103">
        <f t="shared" si="45"/>
        <v>0.28141721990804142</v>
      </c>
      <c r="W55" s="103">
        <f t="shared" ref="W55" si="46">IF(W9=0,0,W9/W$3)</f>
        <v>0.26733556818310861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0.13617290370517376</v>
      </c>
      <c r="C56" s="17">
        <f t="shared" si="47"/>
        <v>0.12846458140164807</v>
      </c>
      <c r="D56" s="17">
        <f t="shared" ref="D56:V56" si="48">IF(D10=0,0,D10/D$3)</f>
        <v>0.15053171812356991</v>
      </c>
      <c r="E56" s="17">
        <f t="shared" si="48"/>
        <v>0.17257407929521904</v>
      </c>
      <c r="F56" s="17">
        <f t="shared" si="48"/>
        <v>0.17829917506976206</v>
      </c>
      <c r="G56" s="17">
        <f t="shared" si="48"/>
        <v>0.18841863783734511</v>
      </c>
      <c r="H56" s="17">
        <f t="shared" si="48"/>
        <v>0.26321491338372127</v>
      </c>
      <c r="I56" s="17">
        <f t="shared" si="48"/>
        <v>0.28726194810024436</v>
      </c>
      <c r="J56" s="17">
        <f t="shared" si="48"/>
        <v>0.25944868895515827</v>
      </c>
      <c r="K56" s="17">
        <f t="shared" si="48"/>
        <v>0.20237263984283743</v>
      </c>
      <c r="L56" s="17">
        <f t="shared" si="48"/>
        <v>0.22682985327848817</v>
      </c>
      <c r="M56" s="17">
        <f t="shared" si="48"/>
        <v>0.21420185749848025</v>
      </c>
      <c r="N56" s="17">
        <f t="shared" si="48"/>
        <v>0.19030335794096023</v>
      </c>
      <c r="O56" s="17">
        <f t="shared" si="48"/>
        <v>0.18206543323699564</v>
      </c>
      <c r="P56" s="17">
        <f t="shared" si="48"/>
        <v>0.17115603796565504</v>
      </c>
      <c r="Q56" s="17">
        <f t="shared" si="48"/>
        <v>0.1959184099143812</v>
      </c>
      <c r="R56" s="17">
        <f t="shared" si="48"/>
        <v>0.18434317865540492</v>
      </c>
      <c r="S56" s="17">
        <f t="shared" si="48"/>
        <v>0.18744006816436692</v>
      </c>
      <c r="T56" s="17">
        <f t="shared" si="48"/>
        <v>0.19303682687702162</v>
      </c>
      <c r="U56" s="17">
        <f t="shared" si="48"/>
        <v>0.18110741045195164</v>
      </c>
      <c r="V56" s="17">
        <f t="shared" si="48"/>
        <v>0.4530150844272009</v>
      </c>
      <c r="W56" s="17">
        <f t="shared" ref="W56" si="49">IF(W10=0,0,W10/W$3)</f>
        <v>0.4356678927269963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0</v>
      </c>
      <c r="C57" s="104">
        <f t="shared" si="50"/>
        <v>0</v>
      </c>
      <c r="D57" s="104">
        <f t="shared" ref="D57:V57" si="51">IF(D11=0,0,D11/D$3)</f>
        <v>0</v>
      </c>
      <c r="E57" s="104">
        <f t="shared" si="51"/>
        <v>0</v>
      </c>
      <c r="F57" s="104">
        <f t="shared" si="51"/>
        <v>0</v>
      </c>
      <c r="G57" s="104">
        <f t="shared" si="51"/>
        <v>0</v>
      </c>
      <c r="H57" s="104">
        <f t="shared" si="51"/>
        <v>0</v>
      </c>
      <c r="I57" s="104">
        <f t="shared" si="51"/>
        <v>0</v>
      </c>
      <c r="J57" s="104">
        <f t="shared" si="51"/>
        <v>0</v>
      </c>
      <c r="K57" s="104">
        <f t="shared" si="51"/>
        <v>0</v>
      </c>
      <c r="L57" s="104">
        <f t="shared" si="51"/>
        <v>0</v>
      </c>
      <c r="M57" s="104">
        <f t="shared" si="51"/>
        <v>0</v>
      </c>
      <c r="N57" s="104">
        <f t="shared" si="51"/>
        <v>0</v>
      </c>
      <c r="O57" s="104">
        <f t="shared" si="51"/>
        <v>0</v>
      </c>
      <c r="P57" s="104">
        <f t="shared" si="51"/>
        <v>0</v>
      </c>
      <c r="Q57" s="104">
        <f t="shared" si="51"/>
        <v>0</v>
      </c>
      <c r="R57" s="104">
        <f t="shared" si="51"/>
        <v>0</v>
      </c>
      <c r="S57" s="104">
        <f t="shared" si="51"/>
        <v>0</v>
      </c>
      <c r="T57" s="104">
        <f t="shared" si="51"/>
        <v>0</v>
      </c>
      <c r="U57" s="104">
        <f t="shared" si="51"/>
        <v>0</v>
      </c>
      <c r="V57" s="104">
        <f t="shared" si="51"/>
        <v>0</v>
      </c>
      <c r="W57" s="104">
        <f t="shared" ref="W57" si="52">IF(W11=0,0,W11/W$3)</f>
        <v>0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3.8937779473674695E-2</v>
      </c>
      <c r="C58" s="104">
        <f t="shared" si="53"/>
        <v>3.2048545843041239E-2</v>
      </c>
      <c r="D58" s="104">
        <f t="shared" ref="D58:V58" si="54">IF(D12=0,0,D12/D$3)</f>
        <v>3.6362402819075434E-2</v>
      </c>
      <c r="E58" s="104">
        <f t="shared" si="54"/>
        <v>3.3586947119366349E-2</v>
      </c>
      <c r="F58" s="104">
        <f t="shared" si="54"/>
        <v>3.4830935361082532E-2</v>
      </c>
      <c r="G58" s="104">
        <f t="shared" si="54"/>
        <v>4.0087202239001293E-2</v>
      </c>
      <c r="H58" s="104">
        <f t="shared" si="54"/>
        <v>7.4178001645392372E-2</v>
      </c>
      <c r="I58" s="104">
        <f t="shared" si="54"/>
        <v>7.468018340127032E-2</v>
      </c>
      <c r="J58" s="104">
        <f t="shared" si="54"/>
        <v>5.5541269888199525E-2</v>
      </c>
      <c r="K58" s="104">
        <f t="shared" si="54"/>
        <v>4.3643395429409315E-2</v>
      </c>
      <c r="L58" s="104">
        <f t="shared" si="54"/>
        <v>4.1999252757985765E-2</v>
      </c>
      <c r="M58" s="104">
        <f t="shared" si="54"/>
        <v>3.814385206235716E-2</v>
      </c>
      <c r="N58" s="104">
        <f t="shared" si="54"/>
        <v>3.9104836345030175E-2</v>
      </c>
      <c r="O58" s="104">
        <f t="shared" si="54"/>
        <v>4.0704588789132544E-2</v>
      </c>
      <c r="P58" s="104">
        <f t="shared" si="54"/>
        <v>3.8019489271636203E-2</v>
      </c>
      <c r="Q58" s="104">
        <f t="shared" si="54"/>
        <v>3.9147397293952467E-2</v>
      </c>
      <c r="R58" s="104">
        <f t="shared" si="54"/>
        <v>3.5691141429580985E-2</v>
      </c>
      <c r="S58" s="104">
        <f t="shared" si="54"/>
        <v>3.9724649203545216E-2</v>
      </c>
      <c r="T58" s="104">
        <f t="shared" si="54"/>
        <v>4.5030894028744724E-2</v>
      </c>
      <c r="U58" s="104">
        <f t="shared" si="54"/>
        <v>4.3420380150762425E-2</v>
      </c>
      <c r="V58" s="104">
        <f t="shared" si="54"/>
        <v>9.33040630651535E-2</v>
      </c>
      <c r="W58" s="104">
        <f t="shared" ref="W58" si="55">IF(W12=0,0,W12/W$3)</f>
        <v>0.10162333051271479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9.7235124231499062E-2</v>
      </c>
      <c r="C59" s="105">
        <f t="shared" si="56"/>
        <v>9.6416035558606811E-2</v>
      </c>
      <c r="D59" s="105">
        <f t="shared" ref="D59:V59" si="57">IF(D13=0,0,D13/D$3)</f>
        <v>0.11416931530449449</v>
      </c>
      <c r="E59" s="105">
        <f t="shared" si="57"/>
        <v>0.13898713217585271</v>
      </c>
      <c r="F59" s="105">
        <f t="shared" si="57"/>
        <v>0.14346823970867953</v>
      </c>
      <c r="G59" s="105">
        <f t="shared" si="57"/>
        <v>0.1483314355983438</v>
      </c>
      <c r="H59" s="105">
        <f t="shared" si="57"/>
        <v>0.1890369117383289</v>
      </c>
      <c r="I59" s="105">
        <f t="shared" si="57"/>
        <v>0.21258176469897408</v>
      </c>
      <c r="J59" s="105">
        <f t="shared" si="57"/>
        <v>0.20390741906695872</v>
      </c>
      <c r="K59" s="105">
        <f t="shared" si="57"/>
        <v>0.15872924441342812</v>
      </c>
      <c r="L59" s="105">
        <f t="shared" si="57"/>
        <v>0.1848306005205024</v>
      </c>
      <c r="M59" s="105">
        <f t="shared" si="57"/>
        <v>0.1760580054361231</v>
      </c>
      <c r="N59" s="105">
        <f t="shared" si="57"/>
        <v>0.15119852159593006</v>
      </c>
      <c r="O59" s="105">
        <f t="shared" si="57"/>
        <v>0.14136084444786309</v>
      </c>
      <c r="P59" s="105">
        <f t="shared" si="57"/>
        <v>0.13313654869401884</v>
      </c>
      <c r="Q59" s="105">
        <f t="shared" si="57"/>
        <v>0.15677101262042872</v>
      </c>
      <c r="R59" s="105">
        <f t="shared" si="57"/>
        <v>0.14865203722582396</v>
      </c>
      <c r="S59" s="105">
        <f t="shared" si="57"/>
        <v>0.14771541896082169</v>
      </c>
      <c r="T59" s="105">
        <f t="shared" si="57"/>
        <v>0.1480059328482769</v>
      </c>
      <c r="U59" s="105">
        <f t="shared" si="57"/>
        <v>0.13768703030118923</v>
      </c>
      <c r="V59" s="105">
        <f t="shared" si="57"/>
        <v>0.35971102136204736</v>
      </c>
      <c r="W59" s="105">
        <f t="shared" ref="W59" si="58">IF(W13=0,0,W13/W$3)</f>
        <v>0.33404456221428153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17552065</v>
      </c>
      <c r="C4" s="11">
        <f t="shared" si="0"/>
        <v>16945756</v>
      </c>
      <c r="D4" s="11">
        <f t="shared" ref="D4" si="1">SUM(D5:D7)</f>
        <v>11435858</v>
      </c>
      <c r="E4" s="11">
        <f t="shared" ref="E4" si="2">SUM(E5:E7)</f>
        <v>12150850</v>
      </c>
      <c r="F4" s="11">
        <f t="shared" ref="F4" si="3">SUM(F5:F7)</f>
        <v>13157390</v>
      </c>
      <c r="G4" s="11">
        <f t="shared" ref="G4" si="4">SUM(G5:G7)</f>
        <v>13406410</v>
      </c>
      <c r="H4" s="11">
        <f t="shared" ref="H4" si="5">SUM(H5:H7)</f>
        <v>13700990</v>
      </c>
      <c r="I4" s="11">
        <f t="shared" ref="I4" si="6">SUM(I5:I7)</f>
        <v>15301391</v>
      </c>
      <c r="J4" s="11">
        <f t="shared" ref="J4" si="7">SUM(J5:J7)</f>
        <v>16536029</v>
      </c>
      <c r="K4" s="11">
        <f t="shared" ref="K4" si="8">SUM(K5:K7)</f>
        <v>16147957</v>
      </c>
      <c r="L4" s="11">
        <f t="shared" ref="L4" si="9">SUM(L5:L7)</f>
        <v>17008659</v>
      </c>
      <c r="M4" s="11">
        <f t="shared" ref="M4" si="10">SUM(M5:M7)</f>
        <v>18044836</v>
      </c>
      <c r="N4" s="11">
        <f t="shared" ref="N4" si="11">SUM(N5:N7)</f>
        <v>18295729</v>
      </c>
      <c r="O4" s="11">
        <f t="shared" ref="O4" si="12">SUM(O5:O7)</f>
        <v>18369619</v>
      </c>
      <c r="P4" s="11">
        <f t="shared" ref="P4" si="13">SUM(P5:P7)</f>
        <v>19458025</v>
      </c>
      <c r="Q4" s="11">
        <f t="shared" ref="Q4" si="14">SUM(Q5:Q7)</f>
        <v>20660663</v>
      </c>
      <c r="R4" s="11">
        <f t="shared" ref="R4" si="15">SUM(R5:R7)</f>
        <v>20323104</v>
      </c>
      <c r="S4" s="11">
        <f t="shared" ref="S4" si="16">SUM(S5:S7)</f>
        <v>21897418</v>
      </c>
      <c r="T4" s="11">
        <f t="shared" ref="T4" si="17">SUM(T5:T7)</f>
        <v>22276062</v>
      </c>
      <c r="U4" s="11">
        <f t="shared" ref="U4" si="18">SUM(U5:U7)</f>
        <v>23044834</v>
      </c>
      <c r="V4" s="11">
        <f t="shared" ref="V4:W4" si="19">SUM(V5:V7)</f>
        <v>8556570</v>
      </c>
      <c r="W4" s="11">
        <f t="shared" si="19"/>
        <v>11073088</v>
      </c>
      <c r="DA4" s="189" t="s">
        <v>361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DA5" s="171" t="s">
        <v>362</v>
      </c>
    </row>
    <row r="6" spans="1:105" ht="11.45" customHeight="1" x14ac:dyDescent="0.25">
      <c r="A6" s="83" t="s">
        <v>173</v>
      </c>
      <c r="B6" s="84">
        <v>13386423</v>
      </c>
      <c r="C6" s="84">
        <v>13031490</v>
      </c>
      <c r="D6" s="84">
        <v>9040960</v>
      </c>
      <c r="E6" s="84">
        <v>9621642</v>
      </c>
      <c r="F6" s="84">
        <v>10283016</v>
      </c>
      <c r="G6" s="84">
        <v>10312429</v>
      </c>
      <c r="H6" s="84">
        <v>10549559</v>
      </c>
      <c r="I6" s="84">
        <v>11570061</v>
      </c>
      <c r="J6" s="84">
        <v>12046074</v>
      </c>
      <c r="K6" s="84">
        <v>11640646</v>
      </c>
      <c r="L6" s="84">
        <v>12098954</v>
      </c>
      <c r="M6" s="84">
        <v>12806018</v>
      </c>
      <c r="N6" s="84">
        <v>12876920</v>
      </c>
      <c r="O6" s="84">
        <v>12923668</v>
      </c>
      <c r="P6" s="84">
        <v>13869979</v>
      </c>
      <c r="Q6" s="84">
        <v>14934767</v>
      </c>
      <c r="R6" s="84">
        <v>15334966</v>
      </c>
      <c r="S6" s="84">
        <v>16159113</v>
      </c>
      <c r="T6" s="84">
        <v>16010586</v>
      </c>
      <c r="U6" s="84">
        <v>16158350</v>
      </c>
      <c r="V6" s="84">
        <v>5876117</v>
      </c>
      <c r="W6" s="84">
        <v>7567081</v>
      </c>
      <c r="DA6" s="171" t="s">
        <v>363</v>
      </c>
    </row>
    <row r="7" spans="1:105" ht="11.45" customHeight="1" x14ac:dyDescent="0.25">
      <c r="A7" s="85" t="s">
        <v>174</v>
      </c>
      <c r="B7" s="86">
        <v>4165642</v>
      </c>
      <c r="C7" s="86">
        <v>3914266</v>
      </c>
      <c r="D7" s="86">
        <v>2394898</v>
      </c>
      <c r="E7" s="86">
        <v>2529208</v>
      </c>
      <c r="F7" s="86">
        <v>2874374</v>
      </c>
      <c r="G7" s="86">
        <v>3093981</v>
      </c>
      <c r="H7" s="86">
        <v>3151431</v>
      </c>
      <c r="I7" s="86">
        <v>3731330</v>
      </c>
      <c r="J7" s="86">
        <v>4489955</v>
      </c>
      <c r="K7" s="86">
        <v>4507311</v>
      </c>
      <c r="L7" s="86">
        <v>4909705</v>
      </c>
      <c r="M7" s="86">
        <v>5238818</v>
      </c>
      <c r="N7" s="86">
        <v>5418809</v>
      </c>
      <c r="O7" s="86">
        <v>5445951</v>
      </c>
      <c r="P7" s="86">
        <v>5588046</v>
      </c>
      <c r="Q7" s="86">
        <v>5725896</v>
      </c>
      <c r="R7" s="86">
        <v>4988138</v>
      </c>
      <c r="S7" s="86">
        <v>5738305</v>
      </c>
      <c r="T7" s="86">
        <v>6265476</v>
      </c>
      <c r="U7" s="86">
        <v>6886484</v>
      </c>
      <c r="V7" s="86">
        <v>2680453</v>
      </c>
      <c r="W7" s="86">
        <v>3506007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124.71712793548159</v>
      </c>
      <c r="C12" s="14">
        <f>IF(C4=0,0,C4/TrAvia_act!C24)</f>
        <v>124.08200982653457</v>
      </c>
      <c r="D12" s="14">
        <f>IF(D4=0,0,D4/TrAvia_act!D24)</f>
        <v>114.02789909263137</v>
      </c>
      <c r="E12" s="14">
        <f>IF(E4=0,0,E4/TrAvia_act!E24)</f>
        <v>116.81150921448554</v>
      </c>
      <c r="F12" s="14">
        <f>IF(F4=0,0,F4/TrAvia_act!F24)</f>
        <v>119.36414192272451</v>
      </c>
      <c r="G12" s="14">
        <f>IF(G4=0,0,G4/TrAvia_act!G24)</f>
        <v>123.57391071905907</v>
      </c>
      <c r="H12" s="14">
        <f>IF(H4=0,0,H4/TrAvia_act!H24)</f>
        <v>115.59188046807111</v>
      </c>
      <c r="I12" s="14">
        <f>IF(I4=0,0,I4/TrAvia_act!I24)</f>
        <v>120.52325178405457</v>
      </c>
      <c r="J12" s="14">
        <f>IF(J4=0,0,J4/TrAvia_act!J24)</f>
        <v>127.18261317663708</v>
      </c>
      <c r="K12" s="14">
        <f>IF(K4=0,0,K4/TrAvia_act!K24)</f>
        <v>129.97180502567571</v>
      </c>
      <c r="L12" s="14">
        <f>IF(L4=0,0,L4/TrAvia_act!L24)</f>
        <v>136.31136097709532</v>
      </c>
      <c r="M12" s="14">
        <f>IF(M4=0,0,M4/TrAvia_act!M24)</f>
        <v>136.59568218978987</v>
      </c>
      <c r="N12" s="14">
        <f>IF(N4=0,0,N4/TrAvia_act!N24)</f>
        <v>141.527844174731</v>
      </c>
      <c r="O12" s="14">
        <f>IF(O4=0,0,O4/TrAvia_act!O24)</f>
        <v>146.04794956192657</v>
      </c>
      <c r="P12" s="14">
        <f>IF(P4=0,0,P4/TrAvia_act!P24)</f>
        <v>148.81627049681839</v>
      </c>
      <c r="Q12" s="14">
        <f>IF(Q4=0,0,Q4/TrAvia_act!Q24)</f>
        <v>150.76374051371863</v>
      </c>
      <c r="R12" s="14">
        <f>IF(R4=0,0,R4/TrAvia_act!R24)</f>
        <v>151.11125651530585</v>
      </c>
      <c r="S12" s="14">
        <f>IF(S4=0,0,S4/TrAvia_act!S24)</f>
        <v>159.51845970044874</v>
      </c>
      <c r="T12" s="14">
        <f>IF(T4=0,0,T4/TrAvia_act!T24)</f>
        <v>159.66214162844037</v>
      </c>
      <c r="U12" s="14">
        <f>IF(U4=0,0,U4/TrAvia_act!U24)</f>
        <v>166.37908279666158</v>
      </c>
      <c r="V12" s="14">
        <f>IF(V4=0,0,V4/TrAvia_act!V24)</f>
        <v>173.68808866515101</v>
      </c>
      <c r="W12" s="14">
        <f>IF(W4=0,0,W4/TrAvia_act!W24)</f>
        <v>185.35156760014061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0</v>
      </c>
      <c r="C13" s="87">
        <f>IF(C5=0,0,C5/TrAvia_act!C25)</f>
        <v>0</v>
      </c>
      <c r="D13" s="87">
        <f>IF(D5=0,0,D5/TrAvia_act!D25)</f>
        <v>0</v>
      </c>
      <c r="E13" s="87">
        <f>IF(E5=0,0,E5/TrAvia_act!E25)</f>
        <v>0</v>
      </c>
      <c r="F13" s="87">
        <f>IF(F5=0,0,F5/TrAvia_act!F25)</f>
        <v>0</v>
      </c>
      <c r="G13" s="87">
        <f>IF(G5=0,0,G5/TrAvia_act!G25)</f>
        <v>0</v>
      </c>
      <c r="H13" s="87">
        <f>IF(H5=0,0,H5/TrAvia_act!H25)</f>
        <v>0</v>
      </c>
      <c r="I13" s="87">
        <f>IF(I5=0,0,I5/TrAvia_act!I25)</f>
        <v>0</v>
      </c>
      <c r="J13" s="87">
        <f>IF(J5=0,0,J5/TrAvia_act!J25)</f>
        <v>0</v>
      </c>
      <c r="K13" s="87">
        <f>IF(K5=0,0,K5/TrAvia_act!K25)</f>
        <v>0</v>
      </c>
      <c r="L13" s="87">
        <f>IF(L5=0,0,L5/TrAvia_act!L25)</f>
        <v>0</v>
      </c>
      <c r="M13" s="87">
        <f>IF(M5=0,0,M5/TrAvia_act!M25)</f>
        <v>0</v>
      </c>
      <c r="N13" s="87">
        <f>IF(N5=0,0,N5/TrAvia_act!N25)</f>
        <v>0</v>
      </c>
      <c r="O13" s="87">
        <f>IF(O5=0,0,O5/TrAvia_act!O25)</f>
        <v>0</v>
      </c>
      <c r="P13" s="87">
        <f>IF(P5=0,0,P5/TrAvia_act!P25)</f>
        <v>0</v>
      </c>
      <c r="Q13" s="87">
        <f>IF(Q5=0,0,Q5/TrAvia_act!Q25)</f>
        <v>0</v>
      </c>
      <c r="R13" s="87">
        <f>IF(R5=0,0,R5/TrAvia_act!R25)</f>
        <v>0</v>
      </c>
      <c r="S13" s="87">
        <f>IF(S5=0,0,S5/TrAvia_act!S25)</f>
        <v>0</v>
      </c>
      <c r="T13" s="87">
        <f>IF(T5=0,0,T5/TrAvia_act!T25)</f>
        <v>0</v>
      </c>
      <c r="U13" s="87">
        <f>IF(U5=0,0,U5/TrAvia_act!U25)</f>
        <v>0</v>
      </c>
      <c r="V13" s="87">
        <f>IF(V5=0,0,V5/TrAvia_act!V25)</f>
        <v>0</v>
      </c>
      <c r="W13" s="87">
        <f>IF(W5=0,0,W5/TrAvia_act!W25)</f>
        <v>0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111.56933065517615</v>
      </c>
      <c r="C14" s="87">
        <f>IF(C6=0,0,C6/TrAvia_act!C26)</f>
        <v>111.62258235828209</v>
      </c>
      <c r="D14" s="87">
        <f>IF(D6=0,0,D6/TrAvia_act!D26)</f>
        <v>104.78141949840062</v>
      </c>
      <c r="E14" s="87">
        <f>IF(E6=0,0,E6/TrAvia_act!E26)</f>
        <v>108.0524897244121</v>
      </c>
      <c r="F14" s="87">
        <f>IF(F6=0,0,F6/TrAvia_act!F26)</f>
        <v>110.27599519560741</v>
      </c>
      <c r="G14" s="87">
        <f>IF(G6=0,0,G6/TrAvia_act!G26)</f>
        <v>114.23349764608142</v>
      </c>
      <c r="H14" s="87">
        <f>IF(H6=0,0,H6/TrAvia_act!H26)</f>
        <v>106.2863605222858</v>
      </c>
      <c r="I14" s="87">
        <f>IF(I6=0,0,I6/TrAvia_act!I26)</f>
        <v>110.06317421662449</v>
      </c>
      <c r="J14" s="87">
        <f>IF(J6=0,0,J6/TrAvia_act!J26)</f>
        <v>114.14076579777708</v>
      </c>
      <c r="K14" s="87">
        <f>IF(K6=0,0,K6/TrAvia_act!K26)</f>
        <v>117.26129483937908</v>
      </c>
      <c r="L14" s="87">
        <f>IF(L6=0,0,L6/TrAvia_act!L26)</f>
        <v>123.18970818824201</v>
      </c>
      <c r="M14" s="87">
        <f>IF(M6=0,0,M6/TrAvia_act!M26)</f>
        <v>123.75236033668017</v>
      </c>
      <c r="N14" s="87">
        <f>IF(N6=0,0,N6/TrAvia_act!N26)</f>
        <v>128.57376787283329</v>
      </c>
      <c r="O14" s="87">
        <f>IF(O6=0,0,O6/TrAvia_act!O26)</f>
        <v>132.84883995847082</v>
      </c>
      <c r="P14" s="87">
        <f>IF(P6=0,0,P6/TrAvia_act!P26)</f>
        <v>136.28080569884548</v>
      </c>
      <c r="Q14" s="87">
        <f>IF(Q6=0,0,Q6/TrAvia_act!Q26)</f>
        <v>138.42715198027602</v>
      </c>
      <c r="R14" s="87">
        <f>IF(R6=0,0,R6/TrAvia_act!R26)</f>
        <v>140.70841591426264</v>
      </c>
      <c r="S14" s="87">
        <f>IF(S6=0,0,S6/TrAvia_act!S26)</f>
        <v>147.43581719144899</v>
      </c>
      <c r="T14" s="87">
        <f>IF(T6=0,0,T6/TrAvia_act!T26)</f>
        <v>147.50590554808278</v>
      </c>
      <c r="U14" s="87">
        <f>IF(U6=0,0,U6/TrAvia_act!U26)</f>
        <v>151.91987664651518</v>
      </c>
      <c r="V14" s="87">
        <f>IF(V6=0,0,V6/TrAvia_act!V26)</f>
        <v>151.79450285448581</v>
      </c>
      <c r="W14" s="87">
        <f>IF(W6=0,0,W6/TrAvia_act!W26)</f>
        <v>166.73822797082607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200.7344834232845</v>
      </c>
      <c r="C15" s="88">
        <f>IF(C7=0,0,C7/TrAvia_act!C27)</f>
        <v>197.46082833072694</v>
      </c>
      <c r="D15" s="88">
        <f>IF(D7=0,0,D7/TrAvia_act!D27)</f>
        <v>170.99086105954592</v>
      </c>
      <c r="E15" s="88">
        <f>IF(E7=0,0,E7/TrAvia_act!E27)</f>
        <v>168.89535893155258</v>
      </c>
      <c r="F15" s="88">
        <f>IF(F7=0,0,F7/TrAvia_act!F27)</f>
        <v>169.2700076556151</v>
      </c>
      <c r="G15" s="88">
        <f>IF(G7=0,0,G7/TrAvia_act!G27)</f>
        <v>169.86828813000989</v>
      </c>
      <c r="H15" s="88">
        <f>IF(H7=0,0,H7/TrAvia_act!H27)</f>
        <v>163.51533233020288</v>
      </c>
      <c r="I15" s="88">
        <f>IF(I7=0,0,I7/TrAvia_act!I27)</f>
        <v>170.87973987909874</v>
      </c>
      <c r="J15" s="88">
        <f>IF(J7=0,0,J7/TrAvia_act!J27)</f>
        <v>183.40570238143866</v>
      </c>
      <c r="K15" s="88">
        <f>IF(K7=0,0,K7/TrAvia_act!K27)</f>
        <v>180.50182211365183</v>
      </c>
      <c r="L15" s="88">
        <f>IF(L7=0,0,L7/TrAvia_act!L27)</f>
        <v>184.825515735582</v>
      </c>
      <c r="M15" s="88">
        <f>IF(M7=0,0,M7/TrAvia_act!M27)</f>
        <v>183.02826398350976</v>
      </c>
      <c r="N15" s="88">
        <f>IF(N7=0,0,N7/TrAvia_act!N27)</f>
        <v>186.07908382267092</v>
      </c>
      <c r="O15" s="88">
        <f>IF(O7=0,0,O7/TrAvia_act!O27)</f>
        <v>191.10611643330876</v>
      </c>
      <c r="P15" s="88">
        <f>IF(P7=0,0,P7/TrAvia_act!P27)</f>
        <v>192.84418676881666</v>
      </c>
      <c r="Q15" s="88">
        <f>IF(Q7=0,0,Q7/TrAvia_act!Q27)</f>
        <v>196.42194092827003</v>
      </c>
      <c r="R15" s="88">
        <f>IF(R7=0,0,R7/TrAvia_act!R27)</f>
        <v>195.5595718822284</v>
      </c>
      <c r="S15" s="88">
        <f>IF(S7=0,0,S7/TrAvia_act!S27)</f>
        <v>207.37613385855227</v>
      </c>
      <c r="T15" s="88">
        <f>IF(T7=0,0,T7/TrAvia_act!T27)</f>
        <v>202.25566531086577</v>
      </c>
      <c r="U15" s="88">
        <f>IF(U7=0,0,U7/TrAvia_act!U27)</f>
        <v>214.21855849690485</v>
      </c>
      <c r="V15" s="88">
        <f>IF(V7=0,0,V7/TrAvia_act!V27)</f>
        <v>253.99914716194448</v>
      </c>
      <c r="W15" s="88">
        <f>IF(W7=0,0,W7/TrAvia_act!W27)</f>
        <v>244.18491433347262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0.57727509555143508</v>
      </c>
      <c r="C18" s="25">
        <f>IF(TrAvia_act!C34=0,0,(TrAvia_act!C34/TrAvia_act!C24)/TrAvia_png!C12)</f>
        <v>0.58386707562648721</v>
      </c>
      <c r="D18" s="25">
        <f>IF(TrAvia_act!D34=0,0,(TrAvia_act!D34/TrAvia_act!D24)/TrAvia_png!D12)</f>
        <v>0.60526582264312834</v>
      </c>
      <c r="E18" s="25">
        <f>IF(TrAvia_act!E34=0,0,(TrAvia_act!E34/TrAvia_act!E24)/TrAvia_png!E12)</f>
        <v>0.62943423711098401</v>
      </c>
      <c r="F18" s="25">
        <f>IF(TrAvia_act!F34=0,0,(TrAvia_act!F34/TrAvia_act!F24)/TrAvia_png!F12)</f>
        <v>0.67313084129907219</v>
      </c>
      <c r="G18" s="25">
        <f>IF(TrAvia_act!G34=0,0,(TrAvia_act!G34/TrAvia_act!G24)/TrAvia_png!G12)</f>
        <v>0.67034508119623371</v>
      </c>
      <c r="H18" s="25">
        <f>IF(TrAvia_act!H34=0,0,(TrAvia_act!H34/TrAvia_act!H24)/TrAvia_png!H12)</f>
        <v>0.70586789713736009</v>
      </c>
      <c r="I18" s="25">
        <f>IF(TrAvia_act!I34=0,0,(TrAvia_act!I34/TrAvia_act!I24)/TrAvia_png!I12)</f>
        <v>0.68531939351134807</v>
      </c>
      <c r="J18" s="25">
        <f>IF(TrAvia_act!J34=0,0,(TrAvia_act!J34/TrAvia_act!J24)/TrAvia_png!J12)</f>
        <v>0.67475722254720294</v>
      </c>
      <c r="K18" s="25">
        <f>IF(TrAvia_act!K34=0,0,(TrAvia_act!K34/TrAvia_act!K24)/TrAvia_png!K12)</f>
        <v>0.67098611917284634</v>
      </c>
      <c r="L18" s="25">
        <f>IF(TrAvia_act!L34=0,0,(TrAvia_act!L34/TrAvia_act!L24)/TrAvia_png!L12)</f>
        <v>0.6764026487920064</v>
      </c>
      <c r="M18" s="25">
        <f>IF(TrAvia_act!M34=0,0,(TrAvia_act!M34/TrAvia_act!M24)/TrAvia_png!M12)</f>
        <v>0.70136309357425031</v>
      </c>
      <c r="N18" s="25">
        <f>IF(TrAvia_act!N34=0,0,(TrAvia_act!N34/TrAvia_act!N24)/TrAvia_png!N12)</f>
        <v>0.71356866949658027</v>
      </c>
      <c r="O18" s="25">
        <f>IF(TrAvia_act!O34=0,0,(TrAvia_act!O34/TrAvia_act!O24)/TrAvia_png!O12)</f>
        <v>0.72331081009355713</v>
      </c>
      <c r="P18" s="25">
        <f>IF(TrAvia_act!P34=0,0,(TrAvia_act!P34/TrAvia_act!P24)/TrAvia_png!P12)</f>
        <v>0.74748516357646788</v>
      </c>
      <c r="Q18" s="25">
        <f>IF(TrAvia_act!Q34=0,0,(TrAvia_act!Q34/TrAvia_act!Q24)/TrAvia_png!Q12)</f>
        <v>0.75922742653515041</v>
      </c>
      <c r="R18" s="25">
        <f>IF(TrAvia_act!R34=0,0,(TrAvia_act!R34/TrAvia_act!R24)/TrAvia_png!R12)</f>
        <v>0.74201928012571305</v>
      </c>
      <c r="S18" s="25">
        <f>IF(TrAvia_act!S34=0,0,(TrAvia_act!S34/TrAvia_act!S24)/TrAvia_png!S12)</f>
        <v>0.75910196352830273</v>
      </c>
      <c r="T18" s="25">
        <f>IF(TrAvia_act!T34=0,0,(TrAvia_act!T34/TrAvia_act!T24)/TrAvia_png!T12)</f>
        <v>0.77532505520948902</v>
      </c>
      <c r="U18" s="25">
        <f>IF(TrAvia_act!U34=0,0,(TrAvia_act!U34/TrAvia_act!U24)/TrAvia_png!U12)</f>
        <v>0.76991945353132074</v>
      </c>
      <c r="V18" s="25">
        <f>IF(TrAvia_act!V34=0,0,(TrAvia_act!V34/TrAvia_act!V24)/TrAvia_png!V12)</f>
        <v>0.55029410149160241</v>
      </c>
      <c r="W18" s="25">
        <f>IF(TrAvia_act!W34=0,0,(TrAvia_act!W34/TrAvia_act!W24)/TrAvia_png!W12)</f>
        <v>0.61073514452337052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</v>
      </c>
      <c r="C19" s="89">
        <f>IF(TrAvia_act!C35=0,0,(TrAvia_act!C35/TrAvia_act!C25)/TrAvia_png!C13)</f>
        <v>0</v>
      </c>
      <c r="D19" s="89">
        <f>IF(TrAvia_act!D35=0,0,(TrAvia_act!D35/TrAvia_act!D25)/TrAvia_png!D13)</f>
        <v>0</v>
      </c>
      <c r="E19" s="89">
        <f>IF(TrAvia_act!E35=0,0,(TrAvia_act!E35/TrAvia_act!E25)/TrAvia_png!E13)</f>
        <v>0</v>
      </c>
      <c r="F19" s="89">
        <f>IF(TrAvia_act!F35=0,0,(TrAvia_act!F35/TrAvia_act!F25)/TrAvia_png!F13)</f>
        <v>0</v>
      </c>
      <c r="G19" s="89">
        <f>IF(TrAvia_act!G35=0,0,(TrAvia_act!G35/TrAvia_act!G25)/TrAvia_png!G13)</f>
        <v>0</v>
      </c>
      <c r="H19" s="89">
        <f>IF(TrAvia_act!H35=0,0,(TrAvia_act!H35/TrAvia_act!H25)/TrAvia_png!H13)</f>
        <v>0</v>
      </c>
      <c r="I19" s="89">
        <f>IF(TrAvia_act!I35=0,0,(TrAvia_act!I35/TrAvia_act!I25)/TrAvia_png!I13)</f>
        <v>0</v>
      </c>
      <c r="J19" s="89">
        <f>IF(TrAvia_act!J35=0,0,(TrAvia_act!J35/TrAvia_act!J25)/TrAvia_png!J13)</f>
        <v>0</v>
      </c>
      <c r="K19" s="89">
        <f>IF(TrAvia_act!K35=0,0,(TrAvia_act!K35/TrAvia_act!K25)/TrAvia_png!K13)</f>
        <v>0</v>
      </c>
      <c r="L19" s="89">
        <f>IF(TrAvia_act!L35=0,0,(TrAvia_act!L35/TrAvia_act!L25)/TrAvia_png!L13)</f>
        <v>0</v>
      </c>
      <c r="M19" s="89">
        <f>IF(TrAvia_act!M35=0,0,(TrAvia_act!M35/TrAvia_act!M25)/TrAvia_png!M13)</f>
        <v>0</v>
      </c>
      <c r="N19" s="89">
        <f>IF(TrAvia_act!N35=0,0,(TrAvia_act!N35/TrAvia_act!N25)/TrAvia_png!N13)</f>
        <v>0</v>
      </c>
      <c r="O19" s="89">
        <f>IF(TrAvia_act!O35=0,0,(TrAvia_act!O35/TrAvia_act!O25)/TrAvia_png!O13)</f>
        <v>0</v>
      </c>
      <c r="P19" s="89">
        <f>IF(TrAvia_act!P35=0,0,(TrAvia_act!P35/TrAvia_act!P25)/TrAvia_png!P13)</f>
        <v>0</v>
      </c>
      <c r="Q19" s="89">
        <f>IF(TrAvia_act!Q35=0,0,(TrAvia_act!Q35/TrAvia_act!Q25)/TrAvia_png!Q13)</f>
        <v>0</v>
      </c>
      <c r="R19" s="89">
        <f>IF(TrAvia_act!R35=0,0,(TrAvia_act!R35/TrAvia_act!R25)/TrAvia_png!R13)</f>
        <v>0</v>
      </c>
      <c r="S19" s="89">
        <f>IF(TrAvia_act!S35=0,0,(TrAvia_act!S35/TrAvia_act!S25)/TrAvia_png!S13)</f>
        <v>0</v>
      </c>
      <c r="T19" s="89">
        <f>IF(TrAvia_act!T35=0,0,(TrAvia_act!T35/TrAvia_act!T25)/TrAvia_png!T13)</f>
        <v>0</v>
      </c>
      <c r="U19" s="89">
        <f>IF(TrAvia_act!U35=0,0,(TrAvia_act!U35/TrAvia_act!U25)/TrAvia_png!U13)</f>
        <v>0</v>
      </c>
      <c r="V19" s="89">
        <f>IF(TrAvia_act!V35=0,0,(TrAvia_act!V35/TrAvia_act!V25)/TrAvia_png!V13)</f>
        <v>0</v>
      </c>
      <c r="W19" s="89">
        <f>IF(TrAvia_act!W35=0,0,(TrAvia_act!W35/TrAvia_act!W25)/TrAvia_png!W13)</f>
        <v>0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0.56108827578509957</v>
      </c>
      <c r="C20" s="89">
        <f>IF(TrAvia_act!C36=0,0,(TrAvia_act!C36/TrAvia_act!C26)/TrAvia_png!C14)</f>
        <v>0.56645287683910273</v>
      </c>
      <c r="D20" s="89">
        <f>IF(TrAvia_act!D36=0,0,(TrAvia_act!D36/TrAvia_act!D26)/TrAvia_png!D14)</f>
        <v>0.58612481417902529</v>
      </c>
      <c r="E20" s="89">
        <f>IF(TrAvia_act!E36=0,0,(TrAvia_act!E36/TrAvia_act!E26)/TrAvia_png!E14)</f>
        <v>0.61164549668341439</v>
      </c>
      <c r="F20" s="89">
        <f>IF(TrAvia_act!F36=0,0,(TrAvia_act!F36/TrAvia_act!F26)/TrAvia_png!F14)</f>
        <v>0.65843834143601454</v>
      </c>
      <c r="G20" s="89">
        <f>IF(TrAvia_act!G36=0,0,(TrAvia_act!G36/TrAvia_act!G26)/TrAvia_png!G14)</f>
        <v>0.64828489970694581</v>
      </c>
      <c r="H20" s="89">
        <f>IF(TrAvia_act!H36=0,0,(TrAvia_act!H36/TrAvia_act!H26)/TrAvia_png!H14)</f>
        <v>0.6904128409538256</v>
      </c>
      <c r="I20" s="89">
        <f>IF(TrAvia_act!I36=0,0,(TrAvia_act!I36/TrAvia_act!I26)/TrAvia_png!I14)</f>
        <v>0.66468283961510666</v>
      </c>
      <c r="J20" s="89">
        <f>IF(TrAvia_act!J36=0,0,(TrAvia_act!J36/TrAvia_act!J26)/TrAvia_png!J14)</f>
        <v>0.64866719231510628</v>
      </c>
      <c r="K20" s="89">
        <f>IF(TrAvia_act!K36=0,0,(TrAvia_act!K36/TrAvia_act!K26)/TrAvia_png!K14)</f>
        <v>0.64437154089214643</v>
      </c>
      <c r="L20" s="89">
        <f>IF(TrAvia_act!L36=0,0,(TrAvia_act!L36/TrAvia_act!L26)/TrAvia_png!L14)</f>
        <v>0.65360393964635277</v>
      </c>
      <c r="M20" s="89">
        <f>IF(TrAvia_act!M36=0,0,(TrAvia_act!M36/TrAvia_act!M26)/TrAvia_png!M14)</f>
        <v>0.68365966688474111</v>
      </c>
      <c r="N20" s="89">
        <f>IF(TrAvia_act!N36=0,0,(TrAvia_act!N36/TrAvia_act!N26)/TrAvia_png!N14)</f>
        <v>0.69637615206120718</v>
      </c>
      <c r="O20" s="89">
        <f>IF(TrAvia_act!O36=0,0,(TrAvia_act!O36/TrAvia_act!O26)/TrAvia_png!O14)</f>
        <v>0.70906966969439322</v>
      </c>
      <c r="P20" s="89">
        <f>IF(TrAvia_act!P36=0,0,(TrAvia_act!P36/TrAvia_act!P26)/TrAvia_png!P14)</f>
        <v>0.73955108367503652</v>
      </c>
      <c r="Q20" s="89">
        <f>IF(TrAvia_act!Q36=0,0,(TrAvia_act!Q36/TrAvia_act!Q26)/TrAvia_png!Q14)</f>
        <v>0.75605632146788759</v>
      </c>
      <c r="R20" s="89">
        <f>IF(TrAvia_act!R36=0,0,(TrAvia_act!R36/TrAvia_act!R26)/TrAvia_png!R14)</f>
        <v>0.74349900743177388</v>
      </c>
      <c r="S20" s="89">
        <f>IF(TrAvia_act!S36=0,0,(TrAvia_act!S36/TrAvia_act!S26)/TrAvia_png!S14)</f>
        <v>0.77135112552279328</v>
      </c>
      <c r="T20" s="89">
        <f>IF(TrAvia_act!T36=0,0,(TrAvia_act!T36/TrAvia_act!T26)/TrAvia_png!T14)</f>
        <v>0.78641243986947129</v>
      </c>
      <c r="U20" s="89">
        <f>IF(TrAvia_act!U36=0,0,(TrAvia_act!U36/TrAvia_act!U26)/TrAvia_png!U14)</f>
        <v>0.79039567777650566</v>
      </c>
      <c r="V20" s="89">
        <f>IF(TrAvia_act!V36=0,0,(TrAvia_act!V36/TrAvia_act!V26)/TrAvia_png!V14)</f>
        <v>0.58596484719415898</v>
      </c>
      <c r="W20" s="89">
        <f>IF(TrAvia_act!W36=0,0,(TrAvia_act!W36/TrAvia_act!W26)/TrAvia_png!W14)</f>
        <v>0.65363830518002919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0.62929195547769112</v>
      </c>
      <c r="C21" s="90">
        <f>IF(TrAvia_act!C37=0,0,(TrAvia_act!C37/TrAvia_act!C27)/TrAvia_png!C15)</f>
        <v>0.6418429406688253</v>
      </c>
      <c r="D21" s="90">
        <f>IF(TrAvia_act!D37=0,0,(TrAvia_act!D37/TrAvia_act!D27)/TrAvia_png!D15)</f>
        <v>0.67752488832509772</v>
      </c>
      <c r="E21" s="90">
        <f>IF(TrAvia_act!E37=0,0,(TrAvia_act!E37/TrAvia_act!E27)/TrAvia_png!E15)</f>
        <v>0.6971063668943005</v>
      </c>
      <c r="F21" s="90">
        <f>IF(TrAvia_act!F37=0,0,(TrAvia_act!F37/TrAvia_act!F27)/TrAvia_png!F15)</f>
        <v>0.72569296827761454</v>
      </c>
      <c r="G21" s="90">
        <f>IF(TrAvia_act!G37=0,0,(TrAvia_act!G37/TrAvia_act!G27)/TrAvia_png!G15)</f>
        <v>0.7438730231375047</v>
      </c>
      <c r="H21" s="90">
        <f>IF(TrAvia_act!H37=0,0,(TrAvia_act!H37/TrAvia_act!H27)/TrAvia_png!H15)</f>
        <v>0.75760440257140327</v>
      </c>
      <c r="I21" s="90">
        <f>IF(TrAvia_act!I37=0,0,(TrAvia_act!I37/TrAvia_act!I27)/TrAvia_png!I15)</f>
        <v>0.74930895953989585</v>
      </c>
      <c r="J21" s="90">
        <f>IF(TrAvia_act!J37=0,0,(TrAvia_act!J37/TrAvia_act!J27)/TrAvia_png!J15)</f>
        <v>0.74475401201125624</v>
      </c>
      <c r="K21" s="90">
        <f>IF(TrAvia_act!K37=0,0,(TrAvia_act!K37/TrAvia_act!K27)/TrAvia_png!K15)</f>
        <v>0.73972131055522905</v>
      </c>
      <c r="L21" s="90">
        <f>IF(TrAvia_act!L37=0,0,(TrAvia_act!L37/TrAvia_act!L27)/TrAvia_png!L15)</f>
        <v>0.73258535899814747</v>
      </c>
      <c r="M21" s="90">
        <f>IF(TrAvia_act!M37=0,0,(TrAvia_act!M37/TrAvia_act!M27)/TrAvia_png!M15)</f>
        <v>0.74463819892197058</v>
      </c>
      <c r="N21" s="90">
        <f>IF(TrAvia_act!N37=0,0,(TrAvia_act!N37/TrAvia_act!N27)/TrAvia_png!N15)</f>
        <v>0.75442389646876284</v>
      </c>
      <c r="O21" s="90">
        <f>IF(TrAvia_act!O37=0,0,(TrAvia_act!O37/TrAvia_act!O27)/TrAvia_png!O15)</f>
        <v>0.75710615097344802</v>
      </c>
      <c r="P21" s="90">
        <f>IF(TrAvia_act!P37=0,0,(TrAvia_act!P37/TrAvia_act!P27)/TrAvia_png!P15)</f>
        <v>0.76717818715164476</v>
      </c>
      <c r="Q21" s="90">
        <f>IF(TrAvia_act!Q37=0,0,(TrAvia_act!Q37/TrAvia_act!Q27)/TrAvia_png!Q15)</f>
        <v>0.76749857140262423</v>
      </c>
      <c r="R21" s="90">
        <f>IF(TrAvia_act!R37=0,0,(TrAvia_act!R37/TrAvia_act!R27)/TrAvia_png!R15)</f>
        <v>0.73747017424137029</v>
      </c>
      <c r="S21" s="90">
        <f>IF(TrAvia_act!S37=0,0,(TrAvia_act!S37/TrAvia_act!S27)/TrAvia_png!S15)</f>
        <v>0.72460822490264987</v>
      </c>
      <c r="T21" s="90">
        <f>IF(TrAvia_act!T37=0,0,(TrAvia_act!T37/TrAvia_act!T27)/TrAvia_png!T15)</f>
        <v>0.74699272649037352</v>
      </c>
      <c r="U21" s="90">
        <f>IF(TrAvia_act!U37=0,0,(TrAvia_act!U37/TrAvia_act!U27)/TrAvia_png!U15)</f>
        <v>0.72187432657942718</v>
      </c>
      <c r="V21" s="90">
        <f>IF(TrAvia_act!V37=0,0,(TrAvia_act!V37/TrAvia_act!V27)/TrAvia_png!V15)</f>
        <v>0.47209632103230309</v>
      </c>
      <c r="W21" s="90">
        <f>IF(TrAvia_act!W37=0,0,(TrAvia_act!W37/TrAvia_act!W27)/TrAvia_png!W15)</f>
        <v>0.5181364441086399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5.6956417841960323E-2</v>
      </c>
      <c r="C24" s="23">
        <f>IF(TrAvia_ene!C6=0,0,TrAvia_ene!C6/(C12*TrAvia_act!C14))</f>
        <v>5.4379813472357354E-2</v>
      </c>
      <c r="D24" s="23">
        <f>IF(TrAvia_ene!D6=0,0,TrAvia_ene!D6/(D12*TrAvia_act!D14))</f>
        <v>6.6399025693884894E-2</v>
      </c>
      <c r="E24" s="23">
        <f>IF(TrAvia_ene!E6=0,0,TrAvia_ene!E6/(E12*TrAvia_act!E14))</f>
        <v>6.4423645889153905E-2</v>
      </c>
      <c r="F24" s="23">
        <f>IF(TrAvia_ene!F6=0,0,TrAvia_ene!F6/(F12*TrAvia_act!F14))</f>
        <v>5.674551218227112E-2</v>
      </c>
      <c r="G24" s="23">
        <f>IF(TrAvia_ene!G6=0,0,TrAvia_ene!G6/(G12*TrAvia_act!G14))</f>
        <v>5.2155227735633101E-2</v>
      </c>
      <c r="H24" s="23">
        <f>IF(TrAvia_ene!H6=0,0,TrAvia_ene!H6/(H12*TrAvia_act!H14))</f>
        <v>4.840847366257834E-2</v>
      </c>
      <c r="I24" s="23">
        <f>IF(TrAvia_ene!I6=0,0,TrAvia_ene!I6/(I12*TrAvia_act!I14))</f>
        <v>4.4503662143458321E-2</v>
      </c>
      <c r="J24" s="23">
        <f>IF(TrAvia_ene!J6=0,0,TrAvia_ene!J6/(J12*TrAvia_act!J14))</f>
        <v>4.3825446556554362E-2</v>
      </c>
      <c r="K24" s="23">
        <f>IF(TrAvia_ene!K6=0,0,TrAvia_ene!K6/(K12*TrAvia_act!K14))</f>
        <v>4.2885492839020496E-2</v>
      </c>
      <c r="L24" s="23">
        <f>IF(TrAvia_ene!L6=0,0,TrAvia_ene!L6/(L12*TrAvia_act!L14))</f>
        <v>3.9888647794623866E-2</v>
      </c>
      <c r="M24" s="23">
        <f>IF(TrAvia_ene!M6=0,0,TrAvia_ene!M6/(M12*TrAvia_act!M14))</f>
        <v>4.0369260594060631E-2</v>
      </c>
      <c r="N24" s="23">
        <f>IF(TrAvia_ene!N6=0,0,TrAvia_ene!N6/(N12*TrAvia_act!N14))</f>
        <v>3.7923688508349311E-2</v>
      </c>
      <c r="O24" s="23">
        <f>IF(TrAvia_ene!O6=0,0,TrAvia_ene!O6/(O12*TrAvia_act!O14))</f>
        <v>3.6170195990092184E-2</v>
      </c>
      <c r="P24" s="23">
        <f>IF(TrAvia_ene!P6=0,0,TrAvia_ene!P6/(P12*TrAvia_act!P14))</f>
        <v>3.5975315420595587E-2</v>
      </c>
      <c r="Q24" s="23">
        <f>IF(TrAvia_ene!Q6=0,0,TrAvia_ene!Q6/(Q12*TrAvia_act!Q14))</f>
        <v>3.5576703041870231E-2</v>
      </c>
      <c r="R24" s="23">
        <f>IF(TrAvia_ene!R6=0,0,TrAvia_ene!R6/(R12*TrAvia_act!R14))</f>
        <v>3.6951658485959715E-2</v>
      </c>
      <c r="S24" s="23">
        <f>IF(TrAvia_ene!S6=0,0,TrAvia_ene!S6/(S12*TrAvia_act!S14))</f>
        <v>3.6196919019391441E-2</v>
      </c>
      <c r="T24" s="23">
        <f>IF(TrAvia_ene!T6=0,0,TrAvia_ene!T6/(T12*TrAvia_act!T14))</f>
        <v>3.5914198187905678E-2</v>
      </c>
      <c r="U24" s="23">
        <f>IF(TrAvia_ene!U6=0,0,TrAvia_ene!U6/(U12*TrAvia_act!U14))</f>
        <v>3.4843452756045425E-2</v>
      </c>
      <c r="V24" s="23">
        <f>IF(TrAvia_ene!V6=0,0,TrAvia_ene!V6/(V12*TrAvia_act!V14))</f>
        <v>4.0636058133163823E-2</v>
      </c>
      <c r="W24" s="23">
        <f>IF(TrAvia_ene!W6=0,0,TrAvia_ene!W6/(W12*TrAvia_act!W14))</f>
        <v>3.8257589149212991E-2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</v>
      </c>
      <c r="C25" s="91">
        <f>IF(TrAvia_ene!C7=0,0,TrAvia_ene!C7/(C13*TrAvia_act!C15))</f>
        <v>0</v>
      </c>
      <c r="D25" s="91">
        <f>IF(TrAvia_ene!D7=0,0,TrAvia_ene!D7/(D13*TrAvia_act!D15))</f>
        <v>0</v>
      </c>
      <c r="E25" s="91">
        <f>IF(TrAvia_ene!E7=0,0,TrAvia_ene!E7/(E13*TrAvia_act!E15))</f>
        <v>0</v>
      </c>
      <c r="F25" s="91">
        <f>IF(TrAvia_ene!F7=0,0,TrAvia_ene!F7/(F13*TrAvia_act!F15))</f>
        <v>0</v>
      </c>
      <c r="G25" s="91">
        <f>IF(TrAvia_ene!G7=0,0,TrAvia_ene!G7/(G13*TrAvia_act!G15))</f>
        <v>0</v>
      </c>
      <c r="H25" s="91">
        <f>IF(TrAvia_ene!H7=0,0,TrAvia_ene!H7/(H13*TrAvia_act!H15))</f>
        <v>0</v>
      </c>
      <c r="I25" s="91">
        <f>IF(TrAvia_ene!I7=0,0,TrAvia_ene!I7/(I13*TrAvia_act!I15))</f>
        <v>0</v>
      </c>
      <c r="J25" s="91">
        <f>IF(TrAvia_ene!J7=0,0,TrAvia_ene!J7/(J13*TrAvia_act!J15))</f>
        <v>0</v>
      </c>
      <c r="K25" s="91">
        <f>IF(TrAvia_ene!K7=0,0,TrAvia_ene!K7/(K13*TrAvia_act!K15))</f>
        <v>0</v>
      </c>
      <c r="L25" s="91">
        <f>IF(TrAvia_ene!L7=0,0,TrAvia_ene!L7/(L13*TrAvia_act!L15))</f>
        <v>0</v>
      </c>
      <c r="M25" s="91">
        <f>IF(TrAvia_ene!M7=0,0,TrAvia_ene!M7/(M13*TrAvia_act!M15))</f>
        <v>0</v>
      </c>
      <c r="N25" s="91">
        <f>IF(TrAvia_ene!N7=0,0,TrAvia_ene!N7/(N13*TrAvia_act!N15))</f>
        <v>0</v>
      </c>
      <c r="O25" s="91">
        <f>IF(TrAvia_ene!O7=0,0,TrAvia_ene!O7/(O13*TrAvia_act!O15))</f>
        <v>0</v>
      </c>
      <c r="P25" s="91">
        <f>IF(TrAvia_ene!P7=0,0,TrAvia_ene!P7/(P13*TrAvia_act!P15))</f>
        <v>0</v>
      </c>
      <c r="Q25" s="91">
        <f>IF(TrAvia_ene!Q7=0,0,TrAvia_ene!Q7/(Q13*TrAvia_act!Q15))</f>
        <v>0</v>
      </c>
      <c r="R25" s="91">
        <f>IF(TrAvia_ene!R7=0,0,TrAvia_ene!R7/(R13*TrAvia_act!R15))</f>
        <v>0</v>
      </c>
      <c r="S25" s="91">
        <f>IF(TrAvia_ene!S7=0,0,TrAvia_ene!S7/(S13*TrAvia_act!S15))</f>
        <v>0</v>
      </c>
      <c r="T25" s="91">
        <f>IF(TrAvia_ene!T7=0,0,TrAvia_ene!T7/(T13*TrAvia_act!T15))</f>
        <v>0</v>
      </c>
      <c r="U25" s="91">
        <f>IF(TrAvia_ene!U7=0,0,TrAvia_ene!U7/(U13*TrAvia_act!U15))</f>
        <v>0</v>
      </c>
      <c r="V25" s="91">
        <f>IF(TrAvia_ene!V7=0,0,TrAvia_ene!V7/(V13*TrAvia_act!V15))</f>
        <v>0</v>
      </c>
      <c r="W25" s="91">
        <f>IF(TrAvia_ene!W7=0,0,TrAvia_ene!W7/(W13*TrAvia_act!W15))</f>
        <v>0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5.3056774652365163E-2</v>
      </c>
      <c r="C26" s="93">
        <f>IF(TrAvia_ene!C8=0,0,TrAvia_ene!C8/(C14*TrAvia_act!C16))</f>
        <v>5.048228677149498E-2</v>
      </c>
      <c r="D26" s="93">
        <f>IF(TrAvia_ene!D8=0,0,TrAvia_ene!D8/(D14*TrAvia_act!D16))</f>
        <v>6.0567073572410798E-2</v>
      </c>
      <c r="E26" s="93">
        <f>IF(TrAvia_ene!E8=0,0,TrAvia_ene!E8/(E14*TrAvia_act!E16))</f>
        <v>5.8309146931601524E-2</v>
      </c>
      <c r="F26" s="93">
        <f>IF(TrAvia_ene!F8=0,0,TrAvia_ene!F8/(F14*TrAvia_act!F16))</f>
        <v>5.100169316070411E-2</v>
      </c>
      <c r="G26" s="93">
        <f>IF(TrAvia_ene!G8=0,0,TrAvia_ene!G8/(G14*TrAvia_act!G16))</f>
        <v>4.7838691292488106E-2</v>
      </c>
      <c r="H26" s="93">
        <f>IF(TrAvia_ene!H8=0,0,TrAvia_ene!H8/(H14*TrAvia_act!H16))</f>
        <v>4.5075728013075356E-2</v>
      </c>
      <c r="I26" s="93">
        <f>IF(TrAvia_ene!I8=0,0,TrAvia_ene!I8/(I14*TrAvia_act!I16))</f>
        <v>4.3771697937131128E-2</v>
      </c>
      <c r="J26" s="93">
        <f>IF(TrAvia_ene!J8=0,0,TrAvia_ene!J8/(J14*TrAvia_act!J16))</f>
        <v>4.5743973021156355E-2</v>
      </c>
      <c r="K26" s="93">
        <f>IF(TrAvia_ene!K8=0,0,TrAvia_ene!K8/(K14*TrAvia_act!K16))</f>
        <v>4.4569790067805912E-2</v>
      </c>
      <c r="L26" s="93">
        <f>IF(TrAvia_ene!L8=0,0,TrAvia_ene!L8/(L14*TrAvia_act!L16))</f>
        <v>4.2105158868816391E-2</v>
      </c>
      <c r="M26" s="93">
        <f>IF(TrAvia_ene!M8=0,0,TrAvia_ene!M8/(M14*TrAvia_act!M16))</f>
        <v>4.3191698792264269E-2</v>
      </c>
      <c r="N26" s="93">
        <f>IF(TrAvia_ene!N8=0,0,TrAvia_ene!N8/(N14*TrAvia_act!N16))</f>
        <v>4.0767727633054446E-2</v>
      </c>
      <c r="O26" s="93">
        <f>IF(TrAvia_ene!O8=0,0,TrAvia_ene!O8/(O14*TrAvia_act!O16))</f>
        <v>3.8146729491765452E-2</v>
      </c>
      <c r="P26" s="93">
        <f>IF(TrAvia_ene!P8=0,0,TrAvia_ene!P8/(P14*TrAvia_act!P16))</f>
        <v>3.6996878338543537E-2</v>
      </c>
      <c r="Q26" s="93">
        <f>IF(TrAvia_ene!Q8=0,0,TrAvia_ene!Q8/(Q14*TrAvia_act!Q16))</f>
        <v>3.6186277518917773E-2</v>
      </c>
      <c r="R26" s="93">
        <f>IF(TrAvia_ene!R8=0,0,TrAvia_ene!R8/(R14*TrAvia_act!R16))</f>
        <v>3.5914446050626131E-2</v>
      </c>
      <c r="S26" s="93">
        <f>IF(TrAvia_ene!S8=0,0,TrAvia_ene!S8/(S14*TrAvia_act!S16))</f>
        <v>3.7554719071706162E-2</v>
      </c>
      <c r="T26" s="93">
        <f>IF(TrAvia_ene!T8=0,0,TrAvia_ene!T8/(T14*TrAvia_act!T16))</f>
        <v>3.9419608061741801E-2</v>
      </c>
      <c r="U26" s="93">
        <f>IF(TrAvia_ene!U8=0,0,TrAvia_ene!U8/(U14*TrAvia_act!U16))</f>
        <v>3.8445915890388892E-2</v>
      </c>
      <c r="V26" s="93">
        <f>IF(TrAvia_ene!V8=0,0,TrAvia_ene!V8/(V14*TrAvia_act!V16))</f>
        <v>4.6231493398099142E-2</v>
      </c>
      <c r="W26" s="93">
        <f>IF(TrAvia_ene!W8=0,0,TrAvia_ene!W8/(W14*TrAvia_act!W16))</f>
        <v>4.795650165530569E-2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4.63464948902104E-2</v>
      </c>
      <c r="C27" s="94">
        <f>IF(TrAvia_ene!C9=0,0,TrAvia_ene!C9/(C15*TrAvia_act!C17))</f>
        <v>4.4855309283580537E-2</v>
      </c>
      <c r="D27" s="94">
        <f>IF(TrAvia_ene!D9=0,0,TrAvia_ene!D9/(D15*TrAvia_act!D17))</f>
        <v>5.8259626581892709E-2</v>
      </c>
      <c r="E27" s="94">
        <f>IF(TrAvia_ene!E9=0,0,TrAvia_ene!E9/(E15*TrAvia_act!E17))</f>
        <v>5.8717348366192752E-2</v>
      </c>
      <c r="F27" s="94">
        <f>IF(TrAvia_ene!F9=0,0,TrAvia_ene!F9/(F15*TrAvia_act!F17))</f>
        <v>5.2318115201603663E-2</v>
      </c>
      <c r="G27" s="94">
        <f>IF(TrAvia_ene!G9=0,0,TrAvia_ene!G9/(G15*TrAvia_act!G17))</f>
        <v>4.7836490940047639E-2</v>
      </c>
      <c r="H27" s="94">
        <f>IF(TrAvia_ene!H9=0,0,TrAvia_ene!H9/(H15*TrAvia_act!H17))</f>
        <v>4.2686953952910833E-2</v>
      </c>
      <c r="I27" s="94">
        <f>IF(TrAvia_ene!I9=0,0,TrAvia_ene!I9/(I15*TrAvia_act!I17))</f>
        <v>3.6406043772523114E-2</v>
      </c>
      <c r="J27" s="94">
        <f>IF(TrAvia_ene!J9=0,0,TrAvia_ene!J9/(J15*TrAvia_act!J17))</f>
        <v>3.2999579571251152E-2</v>
      </c>
      <c r="K27" s="94">
        <f>IF(TrAvia_ene!K9=0,0,TrAvia_ene!K9/(K15*TrAvia_act!K17))</f>
        <v>3.3311056060500048E-2</v>
      </c>
      <c r="L27" s="94">
        <f>IF(TrAvia_ene!L9=0,0,TrAvia_ene!L9/(L15*TrAvia_act!L17))</f>
        <v>3.1046827404425621E-2</v>
      </c>
      <c r="M27" s="94">
        <f>IF(TrAvia_ene!M9=0,0,TrAvia_ene!M9/(M15*TrAvia_act!M17))</f>
        <v>3.1194938398034059E-2</v>
      </c>
      <c r="N27" s="94">
        <f>IF(TrAvia_ene!N9=0,0,TrAvia_ene!N9/(N15*TrAvia_act!N17))</f>
        <v>2.9589803250975256E-2</v>
      </c>
      <c r="O27" s="94">
        <f>IF(TrAvia_ene!O9=0,0,TrAvia_ene!O9/(O15*TrAvia_act!O17))</f>
        <v>2.8917599683705088E-2</v>
      </c>
      <c r="P27" s="94">
        <f>IF(TrAvia_ene!P9=0,0,TrAvia_ene!P9/(P15*TrAvia_act!P17))</f>
        <v>2.9693008195873352E-2</v>
      </c>
      <c r="Q27" s="94">
        <f>IF(TrAvia_ene!Q9=0,0,TrAvia_ene!Q9/(Q15*TrAvia_act!Q17))</f>
        <v>2.9537854296315162E-2</v>
      </c>
      <c r="R27" s="94">
        <f>IF(TrAvia_ene!R9=0,0,TrAvia_ene!R9/(R15*TrAvia_act!R17))</f>
        <v>3.2379704091769615E-2</v>
      </c>
      <c r="S27" s="94">
        <f>IF(TrAvia_ene!S9=0,0,TrAvia_ene!S9/(S15*TrAvia_act!S17))</f>
        <v>2.9316834860032646E-2</v>
      </c>
      <c r="T27" s="94">
        <f>IF(TrAvia_ene!T9=0,0,TrAvia_ene!T9/(T15*TrAvia_act!T17))</f>
        <v>2.7904703146828504E-2</v>
      </c>
      <c r="U27" s="94">
        <f>IF(TrAvia_ene!U9=0,0,TrAvia_ene!U9/(U15*TrAvia_act!U17))</f>
        <v>2.6843041073710168E-2</v>
      </c>
      <c r="V27" s="94">
        <f>IF(TrAvia_ene!V9=0,0,TrAvia_ene!V9/(V15*TrAvia_act!V17))</f>
        <v>2.793894665605641E-2</v>
      </c>
      <c r="W27" s="94">
        <f>IF(TrAvia_ene!W9=0,0,TrAvia_ene!W9/(W15*TrAvia_act!W17))</f>
        <v>2.5796108599425414E-2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7496.8</v>
      </c>
      <c r="C3" s="54">
        <f t="shared" si="0"/>
        <v>7905.8530000000001</v>
      </c>
      <c r="D3" s="54">
        <f t="shared" si="0"/>
        <v>8287.6280000000006</v>
      </c>
      <c r="E3" s="54">
        <f t="shared" si="0"/>
        <v>8433.4050000000007</v>
      </c>
      <c r="F3" s="54">
        <f t="shared" si="0"/>
        <v>8543.0679999999993</v>
      </c>
      <c r="G3" s="54">
        <f t="shared" si="0"/>
        <v>8841.0779999999995</v>
      </c>
      <c r="H3" s="54">
        <f t="shared" si="0"/>
        <v>9238.4709999999995</v>
      </c>
      <c r="I3" s="54">
        <f t="shared" si="0"/>
        <v>9393.0869999999995</v>
      </c>
      <c r="J3" s="54">
        <f t="shared" si="0"/>
        <v>9126.3639999999996</v>
      </c>
      <c r="K3" s="54">
        <f t="shared" si="0"/>
        <v>7324.13</v>
      </c>
      <c r="L3" s="54">
        <f t="shared" si="0"/>
        <v>9327.8539999999994</v>
      </c>
      <c r="M3" s="54">
        <f t="shared" si="0"/>
        <v>9454.6830000000009</v>
      </c>
      <c r="N3" s="54">
        <f t="shared" si="0"/>
        <v>10625.572</v>
      </c>
      <c r="O3" s="54">
        <f t="shared" si="0"/>
        <v>10560.071</v>
      </c>
      <c r="P3" s="54">
        <f t="shared" si="0"/>
        <v>10641.514999999999</v>
      </c>
      <c r="Q3" s="54">
        <f t="shared" si="0"/>
        <v>10612.959000000001</v>
      </c>
      <c r="R3" s="54">
        <f t="shared" ref="R3:V3" si="1">SUM(R4:R5)</f>
        <v>10548.573</v>
      </c>
      <c r="S3" s="54">
        <f t="shared" si="1"/>
        <v>11263.18</v>
      </c>
      <c r="T3" s="54">
        <f t="shared" si="1"/>
        <v>8150.3459999999995</v>
      </c>
      <c r="U3" s="54">
        <f t="shared" si="1"/>
        <v>7959.7380000000003</v>
      </c>
      <c r="V3" s="54">
        <f t="shared" si="1"/>
        <v>7595.2389999999996</v>
      </c>
      <c r="W3" s="54">
        <f t="shared" ref="W3" si="2">SUM(W4:W5)</f>
        <v>8442.1880000000001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281.8</v>
      </c>
      <c r="C4" s="56">
        <v>250.85300000000001</v>
      </c>
      <c r="D4" s="56">
        <v>214.62799999999999</v>
      </c>
      <c r="E4" s="56">
        <v>203.405</v>
      </c>
      <c r="F4" s="56">
        <v>151.06800000000001</v>
      </c>
      <c r="G4" s="56">
        <v>275.07799999999997</v>
      </c>
      <c r="H4" s="56">
        <v>330.471</v>
      </c>
      <c r="I4" s="56">
        <v>387.08699999999999</v>
      </c>
      <c r="J4" s="56">
        <v>380.36399999999998</v>
      </c>
      <c r="K4" s="56">
        <v>237.13</v>
      </c>
      <c r="L4" s="56">
        <v>257.85399999999998</v>
      </c>
      <c r="M4" s="56">
        <v>203.68299999999999</v>
      </c>
      <c r="N4" s="56">
        <v>205.572</v>
      </c>
      <c r="O4" s="56">
        <v>195.071</v>
      </c>
      <c r="P4" s="56">
        <v>190.51499999999999</v>
      </c>
      <c r="Q4" s="56">
        <v>186.959</v>
      </c>
      <c r="R4" s="56">
        <v>217.57300000000001</v>
      </c>
      <c r="S4" s="56">
        <v>165.18</v>
      </c>
      <c r="T4" s="56">
        <v>164.346</v>
      </c>
      <c r="U4" s="56">
        <v>192.738</v>
      </c>
      <c r="V4" s="56">
        <v>207.239</v>
      </c>
      <c r="W4" s="56">
        <v>262.18799999999999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7215</v>
      </c>
      <c r="C5" s="58">
        <v>7655</v>
      </c>
      <c r="D5" s="58">
        <v>8073</v>
      </c>
      <c r="E5" s="58">
        <v>8230</v>
      </c>
      <c r="F5" s="58">
        <v>8392</v>
      </c>
      <c r="G5" s="58">
        <v>8566</v>
      </c>
      <c r="H5" s="58">
        <v>8908</v>
      </c>
      <c r="I5" s="58">
        <v>9006</v>
      </c>
      <c r="J5" s="58">
        <v>8746</v>
      </c>
      <c r="K5" s="58">
        <v>7087</v>
      </c>
      <c r="L5" s="58">
        <v>9070</v>
      </c>
      <c r="M5" s="58">
        <v>9251</v>
      </c>
      <c r="N5" s="58">
        <v>10420</v>
      </c>
      <c r="O5" s="58">
        <v>10365</v>
      </c>
      <c r="P5" s="58">
        <v>10451</v>
      </c>
      <c r="Q5" s="58">
        <v>10426</v>
      </c>
      <c r="R5" s="58">
        <v>10331</v>
      </c>
      <c r="S5" s="58">
        <v>11098</v>
      </c>
      <c r="T5" s="58">
        <v>7986</v>
      </c>
      <c r="U5" s="58">
        <v>7767</v>
      </c>
      <c r="V5" s="58">
        <v>7388</v>
      </c>
      <c r="W5" s="58">
        <v>8180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20.295999999999999</v>
      </c>
      <c r="C7" s="59">
        <f t="shared" si="3"/>
        <v>20.425000000000001</v>
      </c>
      <c r="D7" s="59">
        <f t="shared" si="3"/>
        <v>19.904</v>
      </c>
      <c r="E7" s="59">
        <f t="shared" si="3"/>
        <v>21.2</v>
      </c>
      <c r="F7" s="59">
        <f t="shared" si="3"/>
        <v>20.186</v>
      </c>
      <c r="G7" s="59">
        <f t="shared" si="3"/>
        <v>19.733000000000001</v>
      </c>
      <c r="H7" s="59">
        <f t="shared" si="3"/>
        <v>16.320999999999998</v>
      </c>
      <c r="I7" s="59">
        <f t="shared" si="3"/>
        <v>16.776</v>
      </c>
      <c r="J7" s="59">
        <f t="shared" si="3"/>
        <v>15.713000000000001</v>
      </c>
      <c r="K7" s="59">
        <f t="shared" si="3"/>
        <v>14.200999999999999</v>
      </c>
      <c r="L7" s="59">
        <f t="shared" si="3"/>
        <v>19.303000000000001</v>
      </c>
      <c r="M7" s="59">
        <f t="shared" si="3"/>
        <v>18</v>
      </c>
      <c r="N7" s="59">
        <f t="shared" si="3"/>
        <v>19.181999999999999</v>
      </c>
      <c r="O7" s="59">
        <f t="shared" si="3"/>
        <v>17.018000000000001</v>
      </c>
      <c r="P7" s="59">
        <f t="shared" si="3"/>
        <v>16.701000000000001</v>
      </c>
      <c r="Q7" s="59">
        <f t="shared" si="3"/>
        <v>16.670999999999999</v>
      </c>
      <c r="R7" s="59">
        <f t="shared" ref="R7:V7" si="4">SUM(R8:R9)</f>
        <v>16.544</v>
      </c>
      <c r="S7" s="59">
        <f t="shared" si="4"/>
        <v>17.286000000000001</v>
      </c>
      <c r="T7" s="59">
        <f t="shared" si="4"/>
        <v>13.241</v>
      </c>
      <c r="U7" s="59">
        <f t="shared" si="4"/>
        <v>12.644</v>
      </c>
      <c r="V7" s="59">
        <f t="shared" si="4"/>
        <v>11.737</v>
      </c>
      <c r="W7" s="59">
        <f t="shared" ref="W7" si="5">SUM(W8:W9)</f>
        <v>12.388999999999999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0.11799999999999999</v>
      </c>
      <c r="C8" s="60">
        <v>0.1</v>
      </c>
      <c r="D8" s="60">
        <v>0.08</v>
      </c>
      <c r="E8" s="60">
        <v>7.4999999999999997E-2</v>
      </c>
      <c r="F8" s="60">
        <v>5.2999999999999999E-2</v>
      </c>
      <c r="G8" s="60">
        <v>9.8000000000000004E-2</v>
      </c>
      <c r="H8" s="60">
        <v>0.115</v>
      </c>
      <c r="I8" s="60">
        <v>0.13</v>
      </c>
      <c r="J8" s="60">
        <v>0.127</v>
      </c>
      <c r="K8" s="60">
        <v>7.8E-2</v>
      </c>
      <c r="L8" s="60">
        <v>8.5000000000000006E-2</v>
      </c>
      <c r="M8" s="60">
        <v>7.1999999999999995E-2</v>
      </c>
      <c r="N8" s="60">
        <v>7.1999999999999995E-2</v>
      </c>
      <c r="O8" s="60">
        <v>6.7000000000000004E-2</v>
      </c>
      <c r="P8" s="60">
        <v>6.5000000000000002E-2</v>
      </c>
      <c r="Q8" s="60">
        <v>5.8999999999999997E-2</v>
      </c>
      <c r="R8" s="60">
        <v>6.7000000000000004E-2</v>
      </c>
      <c r="S8" s="60">
        <v>0.05</v>
      </c>
      <c r="T8" s="60">
        <v>5.0999999999999997E-2</v>
      </c>
      <c r="U8" s="60">
        <v>6.2E-2</v>
      </c>
      <c r="V8" s="60">
        <v>6.2E-2</v>
      </c>
      <c r="W8" s="60">
        <v>7.8E-2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20.178000000000001</v>
      </c>
      <c r="C9" s="61">
        <v>20.324999999999999</v>
      </c>
      <c r="D9" s="61">
        <v>19.824000000000002</v>
      </c>
      <c r="E9" s="61">
        <v>21.125</v>
      </c>
      <c r="F9" s="61">
        <v>20.132999999999999</v>
      </c>
      <c r="G9" s="61">
        <v>19.635000000000002</v>
      </c>
      <c r="H9" s="61">
        <v>16.206</v>
      </c>
      <c r="I9" s="61">
        <v>16.646000000000001</v>
      </c>
      <c r="J9" s="61">
        <v>15.586</v>
      </c>
      <c r="K9" s="61">
        <v>14.122999999999999</v>
      </c>
      <c r="L9" s="61">
        <v>19.218</v>
      </c>
      <c r="M9" s="61">
        <v>17.928000000000001</v>
      </c>
      <c r="N9" s="61">
        <v>19.11</v>
      </c>
      <c r="O9" s="61">
        <v>16.951000000000001</v>
      </c>
      <c r="P9" s="61">
        <v>16.635999999999999</v>
      </c>
      <c r="Q9" s="61">
        <v>16.611999999999998</v>
      </c>
      <c r="R9" s="61">
        <v>16.477</v>
      </c>
      <c r="S9" s="61">
        <v>17.236000000000001</v>
      </c>
      <c r="T9" s="61">
        <v>13.19</v>
      </c>
      <c r="U9" s="61">
        <v>12.582000000000001</v>
      </c>
      <c r="V9" s="61">
        <v>11.675000000000001</v>
      </c>
      <c r="W9" s="61">
        <v>12.311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369.37327552227043</v>
      </c>
      <c r="C13" s="62">
        <f t="shared" si="6"/>
        <v>387.06746634026928</v>
      </c>
      <c r="D13" s="62">
        <f t="shared" si="6"/>
        <v>416.38002411575565</v>
      </c>
      <c r="E13" s="62">
        <f t="shared" si="6"/>
        <v>397.80212264150947</v>
      </c>
      <c r="F13" s="62">
        <f t="shared" ref="F13:V13" si="7">IF(F3=0,0,F3/F7)</f>
        <v>423.21747745962546</v>
      </c>
      <c r="G13" s="62">
        <f t="shared" si="7"/>
        <v>448.03516951299849</v>
      </c>
      <c r="H13" s="62">
        <f t="shared" si="7"/>
        <v>566.04809754304279</v>
      </c>
      <c r="I13" s="62">
        <f t="shared" si="7"/>
        <v>559.91219599427757</v>
      </c>
      <c r="J13" s="62">
        <f t="shared" si="7"/>
        <v>580.81613950232281</v>
      </c>
      <c r="K13" s="62">
        <f t="shared" si="7"/>
        <v>515.74748257164993</v>
      </c>
      <c r="L13" s="62">
        <f t="shared" si="7"/>
        <v>483.23338341190481</v>
      </c>
      <c r="M13" s="62">
        <f t="shared" si="7"/>
        <v>525.26016666666669</v>
      </c>
      <c r="N13" s="62">
        <f t="shared" si="7"/>
        <v>553.93452194765928</v>
      </c>
      <c r="O13" s="62">
        <f t="shared" si="7"/>
        <v>620.52362204724409</v>
      </c>
      <c r="P13" s="62">
        <f t="shared" si="7"/>
        <v>637.17831267588758</v>
      </c>
      <c r="Q13" s="62">
        <f t="shared" si="7"/>
        <v>636.61202087457264</v>
      </c>
      <c r="R13" s="62">
        <f t="shared" si="7"/>
        <v>637.60716876208903</v>
      </c>
      <c r="S13" s="62">
        <f t="shared" si="7"/>
        <v>651.57815573296307</v>
      </c>
      <c r="T13" s="62">
        <f t="shared" si="7"/>
        <v>615.53855448984211</v>
      </c>
      <c r="U13" s="62">
        <f t="shared" si="7"/>
        <v>629.52689022461243</v>
      </c>
      <c r="V13" s="62">
        <f t="shared" si="7"/>
        <v>647.11928090653487</v>
      </c>
      <c r="W13" s="62">
        <f t="shared" ref="W13" si="8">IF(W3=0,0,W3/W7)</f>
        <v>681.42610380175972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2388.1355932203392</v>
      </c>
      <c r="C14" s="63">
        <f t="shared" si="6"/>
        <v>2508.5299999999997</v>
      </c>
      <c r="D14" s="63">
        <f t="shared" si="6"/>
        <v>2682.85</v>
      </c>
      <c r="E14" s="63">
        <f t="shared" si="6"/>
        <v>2712.0666666666666</v>
      </c>
      <c r="F14" s="63">
        <f t="shared" ref="F14:V14" si="9">IF(F4=0,0,F4/F8)</f>
        <v>2850.3396226415098</v>
      </c>
      <c r="G14" s="63">
        <f t="shared" si="9"/>
        <v>2806.9183673469383</v>
      </c>
      <c r="H14" s="63">
        <f t="shared" si="9"/>
        <v>2873.6608695652171</v>
      </c>
      <c r="I14" s="63">
        <f t="shared" si="9"/>
        <v>2977.5923076923077</v>
      </c>
      <c r="J14" s="63">
        <f t="shared" si="9"/>
        <v>2994.9921259842517</v>
      </c>
      <c r="K14" s="63">
        <f t="shared" si="9"/>
        <v>3040.1282051282051</v>
      </c>
      <c r="L14" s="63">
        <f t="shared" si="9"/>
        <v>3033.5764705882348</v>
      </c>
      <c r="M14" s="63">
        <f t="shared" si="9"/>
        <v>2828.9305555555557</v>
      </c>
      <c r="N14" s="63">
        <f t="shared" si="9"/>
        <v>2855.166666666667</v>
      </c>
      <c r="O14" s="63">
        <f t="shared" si="9"/>
        <v>2911.5074626865671</v>
      </c>
      <c r="P14" s="63">
        <f t="shared" si="9"/>
        <v>2930.9999999999995</v>
      </c>
      <c r="Q14" s="63">
        <f t="shared" si="9"/>
        <v>3168.7966101694919</v>
      </c>
      <c r="R14" s="63">
        <f t="shared" si="9"/>
        <v>3247.3582089552237</v>
      </c>
      <c r="S14" s="63">
        <f t="shared" si="9"/>
        <v>3303.6</v>
      </c>
      <c r="T14" s="63">
        <f t="shared" si="9"/>
        <v>3222.4705882352946</v>
      </c>
      <c r="U14" s="63">
        <f t="shared" si="9"/>
        <v>3108.6774193548385</v>
      </c>
      <c r="V14" s="63">
        <f t="shared" si="9"/>
        <v>3342.5645161290322</v>
      </c>
      <c r="W14" s="63">
        <f t="shared" ref="W14" si="10">IF(W4=0,0,W4/W8)</f>
        <v>3361.3846153846152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357.56764793339278</v>
      </c>
      <c r="C15" s="64">
        <f t="shared" si="6"/>
        <v>376.62976629766297</v>
      </c>
      <c r="D15" s="64">
        <f t="shared" si="6"/>
        <v>407.2336561743341</v>
      </c>
      <c r="E15" s="64">
        <f t="shared" si="6"/>
        <v>389.58579881656806</v>
      </c>
      <c r="F15" s="64">
        <f t="shared" ref="F15:V15" si="11">IF(F5=0,0,F5/F9)</f>
        <v>416.82809318035066</v>
      </c>
      <c r="G15" s="64">
        <f t="shared" si="11"/>
        <v>436.26177743824798</v>
      </c>
      <c r="H15" s="64">
        <f t="shared" si="11"/>
        <v>549.67296063186473</v>
      </c>
      <c r="I15" s="64">
        <f t="shared" si="11"/>
        <v>541.03087828907849</v>
      </c>
      <c r="J15" s="64">
        <f t="shared" si="11"/>
        <v>561.14461696394198</v>
      </c>
      <c r="K15" s="64">
        <f t="shared" si="11"/>
        <v>501.80556538978971</v>
      </c>
      <c r="L15" s="64">
        <f t="shared" si="11"/>
        <v>471.95337704235612</v>
      </c>
      <c r="M15" s="64">
        <f t="shared" si="11"/>
        <v>516.0084783578759</v>
      </c>
      <c r="N15" s="64">
        <f t="shared" si="11"/>
        <v>545.26425954997387</v>
      </c>
      <c r="O15" s="64">
        <f t="shared" si="11"/>
        <v>611.46834994985545</v>
      </c>
      <c r="P15" s="64">
        <f t="shared" si="11"/>
        <v>628.21591728780959</v>
      </c>
      <c r="Q15" s="64">
        <f t="shared" si="11"/>
        <v>627.61858897182765</v>
      </c>
      <c r="R15" s="64">
        <f t="shared" si="11"/>
        <v>626.9952054378831</v>
      </c>
      <c r="S15" s="64">
        <f t="shared" si="11"/>
        <v>643.88489208633086</v>
      </c>
      <c r="T15" s="64">
        <f t="shared" si="11"/>
        <v>605.45868081880212</v>
      </c>
      <c r="U15" s="64">
        <f t="shared" si="11"/>
        <v>617.310443490701</v>
      </c>
      <c r="V15" s="64">
        <f t="shared" si="11"/>
        <v>632.80513918629549</v>
      </c>
      <c r="W15" s="64">
        <f t="shared" ref="W15" si="12">IF(W5=0,0,W5/W9)</f>
        <v>664.44643002193163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3.7589371465158471E-2</v>
      </c>
      <c r="C18" s="66">
        <f t="shared" si="16"/>
        <v>3.173003596196388E-2</v>
      </c>
      <c r="D18" s="66">
        <f t="shared" si="16"/>
        <v>2.5897397904442617E-2</v>
      </c>
      <c r="E18" s="66">
        <f t="shared" si="16"/>
        <v>2.4118964996937772E-2</v>
      </c>
      <c r="F18" s="66">
        <f t="shared" ref="F18:V18" si="17">IF(F4=0,0,F4/F$3)</f>
        <v>1.7683108691163411E-2</v>
      </c>
      <c r="G18" s="66">
        <f t="shared" si="17"/>
        <v>3.111362664145707E-2</v>
      </c>
      <c r="H18" s="66">
        <f t="shared" si="17"/>
        <v>3.5771179018692596E-2</v>
      </c>
      <c r="I18" s="66">
        <f t="shared" si="17"/>
        <v>4.120977480566293E-2</v>
      </c>
      <c r="J18" s="66">
        <f t="shared" si="17"/>
        <v>4.1677496098117495E-2</v>
      </c>
      <c r="K18" s="66">
        <f t="shared" si="17"/>
        <v>3.2376541650680692E-2</v>
      </c>
      <c r="L18" s="66">
        <f t="shared" si="17"/>
        <v>2.7643442961264187E-2</v>
      </c>
      <c r="M18" s="66">
        <f t="shared" si="17"/>
        <v>2.1543080820372294E-2</v>
      </c>
      <c r="N18" s="66">
        <f t="shared" si="17"/>
        <v>1.9346911394511279E-2</v>
      </c>
      <c r="O18" s="66">
        <f t="shared" si="17"/>
        <v>1.8472508376127395E-2</v>
      </c>
      <c r="P18" s="66">
        <f t="shared" si="17"/>
        <v>1.7902995954993249E-2</v>
      </c>
      <c r="Q18" s="66">
        <f t="shared" si="17"/>
        <v>1.7616104990135172E-2</v>
      </c>
      <c r="R18" s="66">
        <f t="shared" si="17"/>
        <v>2.0625823037864931E-2</v>
      </c>
      <c r="S18" s="66">
        <f t="shared" si="17"/>
        <v>1.4665485235963557E-2</v>
      </c>
      <c r="T18" s="66">
        <f t="shared" si="17"/>
        <v>2.0164297319402148E-2</v>
      </c>
      <c r="U18" s="66">
        <f t="shared" si="17"/>
        <v>2.421411358012035E-2</v>
      </c>
      <c r="V18" s="66">
        <f t="shared" si="17"/>
        <v>2.7285382329640978E-2</v>
      </c>
      <c r="W18" s="66">
        <f t="shared" ref="W18" si="18">IF(W4=0,0,W4/W$3)</f>
        <v>3.1056877671996878E-2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0.96241062853484149</v>
      </c>
      <c r="C19" s="67">
        <f t="shared" si="19"/>
        <v>0.96826996403803611</v>
      </c>
      <c r="D19" s="67">
        <f t="shared" si="19"/>
        <v>0.97410260209555732</v>
      </c>
      <c r="E19" s="67">
        <f t="shared" si="19"/>
        <v>0.97588103500306211</v>
      </c>
      <c r="F19" s="67">
        <f t="shared" ref="F19:V19" si="20">IF(F5=0,0,F5/F$3)</f>
        <v>0.9823168913088367</v>
      </c>
      <c r="G19" s="67">
        <f t="shared" si="20"/>
        <v>0.968886373358543</v>
      </c>
      <c r="H19" s="67">
        <f t="shared" si="20"/>
        <v>0.96422882098130747</v>
      </c>
      <c r="I19" s="67">
        <f t="shared" si="20"/>
        <v>0.9587902251943371</v>
      </c>
      <c r="J19" s="67">
        <f t="shared" si="20"/>
        <v>0.95832250390188256</v>
      </c>
      <c r="K19" s="67">
        <f t="shared" si="20"/>
        <v>0.96762345834931929</v>
      </c>
      <c r="L19" s="67">
        <f t="shared" si="20"/>
        <v>0.97235655703873591</v>
      </c>
      <c r="M19" s="67">
        <f t="shared" si="20"/>
        <v>0.97845691917962763</v>
      </c>
      <c r="N19" s="67">
        <f t="shared" si="20"/>
        <v>0.98065308860548872</v>
      </c>
      <c r="O19" s="67">
        <f t="shared" si="20"/>
        <v>0.98152749162387265</v>
      </c>
      <c r="P19" s="67">
        <f t="shared" si="20"/>
        <v>0.98209700404500677</v>
      </c>
      <c r="Q19" s="67">
        <f t="shared" si="20"/>
        <v>0.98238389500986478</v>
      </c>
      <c r="R19" s="67">
        <f t="shared" si="20"/>
        <v>0.97937417696213502</v>
      </c>
      <c r="S19" s="67">
        <f t="shared" si="20"/>
        <v>0.98533451476403644</v>
      </c>
      <c r="T19" s="67">
        <f t="shared" si="20"/>
        <v>0.97983570268059794</v>
      </c>
      <c r="U19" s="67">
        <f t="shared" si="20"/>
        <v>0.97578588641987962</v>
      </c>
      <c r="V19" s="67">
        <f t="shared" si="20"/>
        <v>0.97271461767035905</v>
      </c>
      <c r="W19" s="67">
        <f t="shared" ref="W19" si="21">IF(W5=0,0,W5/W$3)</f>
        <v>0.96894312232800306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5.8139534883720929E-3</v>
      </c>
      <c r="C22" s="66">
        <f t="shared" si="25"/>
        <v>4.8959608323133419E-3</v>
      </c>
      <c r="D22" s="66">
        <f t="shared" si="25"/>
        <v>4.0192926045016075E-3</v>
      </c>
      <c r="E22" s="66">
        <f t="shared" si="25"/>
        <v>3.5377358490566039E-3</v>
      </c>
      <c r="F22" s="66">
        <f t="shared" ref="F22:V22" si="26">IF(F8=0,0,F8/F$7)</f>
        <v>2.6255820865946694E-3</v>
      </c>
      <c r="G22" s="66">
        <f t="shared" si="26"/>
        <v>4.9663001064207167E-3</v>
      </c>
      <c r="H22" s="66">
        <f t="shared" si="26"/>
        <v>7.0461368788677179E-3</v>
      </c>
      <c r="I22" s="66">
        <f t="shared" si="26"/>
        <v>7.7491654744873632E-3</v>
      </c>
      <c r="J22" s="66">
        <f t="shared" si="26"/>
        <v>8.082479475593457E-3</v>
      </c>
      <c r="K22" s="66">
        <f t="shared" si="26"/>
        <v>5.4925709457080496E-3</v>
      </c>
      <c r="L22" s="66">
        <f t="shared" si="26"/>
        <v>4.4034606019789672E-3</v>
      </c>
      <c r="M22" s="66">
        <f t="shared" si="26"/>
        <v>4.0000000000000001E-3</v>
      </c>
      <c r="N22" s="66">
        <f t="shared" si="26"/>
        <v>3.753518923991242E-3</v>
      </c>
      <c r="O22" s="66">
        <f t="shared" si="26"/>
        <v>3.937007874015748E-3</v>
      </c>
      <c r="P22" s="66">
        <f t="shared" si="26"/>
        <v>3.8919825160170052E-3</v>
      </c>
      <c r="Q22" s="66">
        <f t="shared" si="26"/>
        <v>3.5390798392417972E-3</v>
      </c>
      <c r="R22" s="66">
        <f t="shared" si="26"/>
        <v>4.0498065764023213E-3</v>
      </c>
      <c r="S22" s="66">
        <f t="shared" si="26"/>
        <v>2.8925141733194492E-3</v>
      </c>
      <c r="T22" s="66">
        <f t="shared" si="26"/>
        <v>3.8516728343780679E-3</v>
      </c>
      <c r="U22" s="66">
        <f t="shared" si="26"/>
        <v>4.9035115469788044E-3</v>
      </c>
      <c r="V22" s="66">
        <f t="shared" si="26"/>
        <v>5.2824401465451139E-3</v>
      </c>
      <c r="W22" s="66">
        <f t="shared" ref="W22" si="27">IF(W8=0,0,W8/W$7)</f>
        <v>6.2959076600209865E-3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0.99418604651162801</v>
      </c>
      <c r="C23" s="67">
        <f t="shared" si="28"/>
        <v>0.99510403916768664</v>
      </c>
      <c r="D23" s="67">
        <f t="shared" si="28"/>
        <v>0.99598070739549849</v>
      </c>
      <c r="E23" s="67">
        <f t="shared" si="28"/>
        <v>0.99646226415094341</v>
      </c>
      <c r="F23" s="67">
        <f t="shared" ref="F23:V23" si="29">IF(F9=0,0,F9/F$7)</f>
        <v>0.99737441791340531</v>
      </c>
      <c r="G23" s="67">
        <f t="shared" si="29"/>
        <v>0.99503369989357937</v>
      </c>
      <c r="H23" s="67">
        <f t="shared" si="29"/>
        <v>0.99295386312113243</v>
      </c>
      <c r="I23" s="67">
        <f t="shared" si="29"/>
        <v>0.99225083452551266</v>
      </c>
      <c r="J23" s="67">
        <f t="shared" si="29"/>
        <v>0.99191752052440652</v>
      </c>
      <c r="K23" s="67">
        <f t="shared" si="29"/>
        <v>0.99450742905429201</v>
      </c>
      <c r="L23" s="67">
        <f t="shared" si="29"/>
        <v>0.99559653939802095</v>
      </c>
      <c r="M23" s="67">
        <f t="shared" si="29"/>
        <v>0.996</v>
      </c>
      <c r="N23" s="67">
        <f t="shared" si="29"/>
        <v>0.99624648107600877</v>
      </c>
      <c r="O23" s="67">
        <f t="shared" si="29"/>
        <v>0.99606299212598426</v>
      </c>
      <c r="P23" s="67">
        <f t="shared" si="29"/>
        <v>0.99610801748398292</v>
      </c>
      <c r="Q23" s="67">
        <f t="shared" si="29"/>
        <v>0.99646092016075816</v>
      </c>
      <c r="R23" s="67">
        <f t="shared" si="29"/>
        <v>0.9959501934235977</v>
      </c>
      <c r="S23" s="67">
        <f t="shared" si="29"/>
        <v>0.99710748582668052</v>
      </c>
      <c r="T23" s="67">
        <f t="shared" si="29"/>
        <v>0.99614832716562196</v>
      </c>
      <c r="U23" s="67">
        <f t="shared" si="29"/>
        <v>0.99509648845302123</v>
      </c>
      <c r="V23" s="67">
        <f t="shared" si="29"/>
        <v>0.99471755985345489</v>
      </c>
      <c r="W23" s="67">
        <f t="shared" ref="W23" si="30">IF(W9=0,0,W9/W$7)</f>
        <v>0.99370409233997903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288.54204643164235</v>
      </c>
      <c r="C3" s="62">
        <f t="shared" ref="C3:V3" si="0">SUM(C4,C10)</f>
        <v>275.93147033533961</v>
      </c>
      <c r="D3" s="62">
        <f t="shared" si="0"/>
        <v>248.89561478933788</v>
      </c>
      <c r="E3" s="62">
        <f t="shared" si="0"/>
        <v>277.2570937231298</v>
      </c>
      <c r="F3" s="62">
        <f t="shared" si="0"/>
        <v>246.95563198624245</v>
      </c>
      <c r="G3" s="62">
        <f t="shared" si="0"/>
        <v>230.12089423903689</v>
      </c>
      <c r="H3" s="62">
        <f t="shared" si="0"/>
        <v>150.74901117798794</v>
      </c>
      <c r="I3" s="62">
        <f t="shared" si="0"/>
        <v>157.31539122957872</v>
      </c>
      <c r="J3" s="62">
        <f t="shared" si="0"/>
        <v>155.87179707652624</v>
      </c>
      <c r="K3" s="62">
        <f t="shared" si="0"/>
        <v>131.97042132416161</v>
      </c>
      <c r="L3" s="62">
        <f t="shared" si="0"/>
        <v>156.7368873602752</v>
      </c>
      <c r="M3" s="62">
        <f t="shared" si="0"/>
        <v>150.2775580395529</v>
      </c>
      <c r="N3" s="62">
        <f t="shared" si="0"/>
        <v>145.58753224419604</v>
      </c>
      <c r="O3" s="62">
        <f t="shared" si="0"/>
        <v>148.6304385210662</v>
      </c>
      <c r="P3" s="62">
        <f t="shared" si="0"/>
        <v>141.69243336199489</v>
      </c>
      <c r="Q3" s="62">
        <f t="shared" si="0"/>
        <v>137.72424763542566</v>
      </c>
      <c r="R3" s="62">
        <f t="shared" si="0"/>
        <v>133.55262252794495</v>
      </c>
      <c r="S3" s="62">
        <f t="shared" si="0"/>
        <v>135.76380051590709</v>
      </c>
      <c r="T3" s="62">
        <f t="shared" si="0"/>
        <v>133.35296646603607</v>
      </c>
      <c r="U3" s="62">
        <f t="shared" si="0"/>
        <v>125.52355975924331</v>
      </c>
      <c r="V3" s="62">
        <f t="shared" si="0"/>
        <v>124.86956147893379</v>
      </c>
      <c r="W3" s="62">
        <f t="shared" ref="W3" si="1">SUM(W4,W10)</f>
        <v>124.86956147893379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16.767268479576607</v>
      </c>
      <c r="C4" s="71">
        <f t="shared" ref="C4:V4" si="2">SUM(C5:C9)</f>
        <v>13.583205230683582</v>
      </c>
      <c r="D4" s="71">
        <f t="shared" si="2"/>
        <v>10.650109486832735</v>
      </c>
      <c r="E4" s="71">
        <f t="shared" si="2"/>
        <v>10.333919438663772</v>
      </c>
      <c r="F4" s="71">
        <f t="shared" si="2"/>
        <v>6.8504456469907069</v>
      </c>
      <c r="G4" s="71">
        <f t="shared" si="2"/>
        <v>12.045283863766137</v>
      </c>
      <c r="H4" s="71">
        <f t="shared" si="2"/>
        <v>10.615596453399817</v>
      </c>
      <c r="I4" s="71">
        <f t="shared" si="2"/>
        <v>12.160169289761759</v>
      </c>
      <c r="J4" s="71">
        <f t="shared" si="2"/>
        <v>13.130465620419205</v>
      </c>
      <c r="K4" s="71">
        <f t="shared" si="2"/>
        <v>7.5780583429792463</v>
      </c>
      <c r="L4" s="71">
        <f t="shared" si="2"/>
        <v>7.6426183622715529</v>
      </c>
      <c r="M4" s="71">
        <f t="shared" si="2"/>
        <v>6.6476359373267329</v>
      </c>
      <c r="N4" s="71">
        <f t="shared" si="2"/>
        <v>5.8567313461884929</v>
      </c>
      <c r="O4" s="71">
        <f t="shared" si="2"/>
        <v>5.9918977862387282</v>
      </c>
      <c r="P4" s="71">
        <f t="shared" si="2"/>
        <v>5.7547458501875068</v>
      </c>
      <c r="Q4" s="71">
        <f t="shared" si="2"/>
        <v>5.0412002221863688</v>
      </c>
      <c r="R4" s="71">
        <f t="shared" si="2"/>
        <v>5.8154757139400246</v>
      </c>
      <c r="S4" s="71">
        <f t="shared" si="2"/>
        <v>4.568421007451863</v>
      </c>
      <c r="T4" s="71">
        <f t="shared" si="2"/>
        <v>5.8043804311510492</v>
      </c>
      <c r="U4" s="71">
        <f t="shared" si="2"/>
        <v>6.7035699591466047</v>
      </c>
      <c r="V4" s="71">
        <f t="shared" si="2"/>
        <v>6.7829444300248989</v>
      </c>
      <c r="W4" s="71">
        <f t="shared" ref="W4" si="3">SUM(W5:W9)</f>
        <v>8.0612721463602828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8.6797370108483687</v>
      </c>
      <c r="C5" s="73">
        <v>7.4880635555744108</v>
      </c>
      <c r="D5" s="73">
        <v>6.6438347968496032</v>
      </c>
      <c r="E5" s="73">
        <v>5.9540073042304327</v>
      </c>
      <c r="F5" s="73">
        <v>4.5977818105610879</v>
      </c>
      <c r="G5" s="73">
        <v>8.4947212816090119</v>
      </c>
      <c r="H5" s="73">
        <v>9.7157649986940235</v>
      </c>
      <c r="I5" s="73">
        <v>11.388445200161026</v>
      </c>
      <c r="J5" s="73">
        <v>12.462479550089839</v>
      </c>
      <c r="K5" s="73">
        <v>7.0637452100989684</v>
      </c>
      <c r="L5" s="73">
        <v>7.1988949461186689</v>
      </c>
      <c r="M5" s="73">
        <v>6.3327825919434515</v>
      </c>
      <c r="N5" s="73">
        <v>5.6117195244039788</v>
      </c>
      <c r="O5" s="73">
        <v>5.7877657808991696</v>
      </c>
      <c r="P5" s="73">
        <v>5.6325186624826982</v>
      </c>
      <c r="Q5" s="73">
        <v>4.9310432810628964</v>
      </c>
      <c r="R5" s="73">
        <v>5.6844305026219013</v>
      </c>
      <c r="S5" s="73">
        <v>4.4886134686591816</v>
      </c>
      <c r="T5" s="73">
        <v>5.7219384269293609</v>
      </c>
      <c r="U5" s="73">
        <v>6.6130066800902911</v>
      </c>
      <c r="V5" s="73">
        <v>6.6946682031883853</v>
      </c>
      <c r="W5" s="73">
        <v>7.956359199494174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8.0875314687282369</v>
      </c>
      <c r="C6" s="73">
        <v>6.0951416751091712</v>
      </c>
      <c r="D6" s="73">
        <v>4.0062746899831314</v>
      </c>
      <c r="E6" s="73">
        <v>4.3799121344333392</v>
      </c>
      <c r="F6" s="73">
        <v>2.2526638364296194</v>
      </c>
      <c r="G6" s="73">
        <v>3.5505625821571254</v>
      </c>
      <c r="H6" s="73">
        <v>0.8998314547057944</v>
      </c>
      <c r="I6" s="73">
        <v>0.77172408960073291</v>
      </c>
      <c r="J6" s="73">
        <v>0.66798607032936586</v>
      </c>
      <c r="K6" s="73">
        <v>0.51431313288027813</v>
      </c>
      <c r="L6" s="73">
        <v>0.44372341615288391</v>
      </c>
      <c r="M6" s="73">
        <v>0.31485334538328169</v>
      </c>
      <c r="N6" s="73">
        <v>0.24501182178451394</v>
      </c>
      <c r="O6" s="73">
        <v>0.20413200533955875</v>
      </c>
      <c r="P6" s="73">
        <v>0.12222718770480863</v>
      </c>
      <c r="Q6" s="73">
        <v>0.11015694112347268</v>
      </c>
      <c r="R6" s="73">
        <v>0.13104521131812319</v>
      </c>
      <c r="S6" s="73">
        <v>7.9807538792681265E-2</v>
      </c>
      <c r="T6" s="73">
        <v>8.2442004221688611E-2</v>
      </c>
      <c r="U6" s="73">
        <v>9.0563279056313312E-2</v>
      </c>
      <c r="V6" s="73">
        <v>8.8276226836513594E-2</v>
      </c>
      <c r="W6" s="73">
        <v>0.10491294686610854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271.77477795206573</v>
      </c>
      <c r="C10" s="71">
        <f t="shared" ref="C10:V10" si="4">SUM(C11:C15)</f>
        <v>262.34826510465604</v>
      </c>
      <c r="D10" s="71">
        <f t="shared" si="4"/>
        <v>238.24550530250514</v>
      </c>
      <c r="E10" s="71">
        <f t="shared" si="4"/>
        <v>266.92317428446603</v>
      </c>
      <c r="F10" s="71">
        <f t="shared" si="4"/>
        <v>240.10518633925176</v>
      </c>
      <c r="G10" s="71">
        <f t="shared" si="4"/>
        <v>218.07561037527074</v>
      </c>
      <c r="H10" s="71">
        <f t="shared" si="4"/>
        <v>140.13341472458814</v>
      </c>
      <c r="I10" s="71">
        <f t="shared" si="4"/>
        <v>145.15522193981695</v>
      </c>
      <c r="J10" s="71">
        <f t="shared" si="4"/>
        <v>142.74133145610702</v>
      </c>
      <c r="K10" s="71">
        <f t="shared" si="4"/>
        <v>124.39236298118236</v>
      </c>
      <c r="L10" s="71">
        <f t="shared" si="4"/>
        <v>149.09426899800366</v>
      </c>
      <c r="M10" s="71">
        <f t="shared" si="4"/>
        <v>143.62992210222617</v>
      </c>
      <c r="N10" s="71">
        <f t="shared" si="4"/>
        <v>139.73080089800754</v>
      </c>
      <c r="O10" s="71">
        <f t="shared" si="4"/>
        <v>142.63854073482747</v>
      </c>
      <c r="P10" s="71">
        <f t="shared" si="4"/>
        <v>135.93768751180738</v>
      </c>
      <c r="Q10" s="71">
        <f t="shared" si="4"/>
        <v>132.68304741323928</v>
      </c>
      <c r="R10" s="71">
        <f t="shared" si="4"/>
        <v>127.73714681400492</v>
      </c>
      <c r="S10" s="71">
        <f t="shared" si="4"/>
        <v>131.19537950845523</v>
      </c>
      <c r="T10" s="71">
        <f t="shared" si="4"/>
        <v>127.54858603488502</v>
      </c>
      <c r="U10" s="71">
        <f t="shared" si="4"/>
        <v>118.81998980009671</v>
      </c>
      <c r="V10" s="71">
        <f t="shared" si="4"/>
        <v>118.08661704890889</v>
      </c>
      <c r="W10" s="71">
        <f t="shared" ref="W10" si="5">SUM(W11:W15)</f>
        <v>116.80828933257351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140.68681500978795</v>
      </c>
      <c r="C11" s="73">
        <v>144.62569396807129</v>
      </c>
      <c r="D11" s="73">
        <v>148.62417896067399</v>
      </c>
      <c r="E11" s="73">
        <v>153.79087661666378</v>
      </c>
      <c r="F11" s="73">
        <v>161.15028353767622</v>
      </c>
      <c r="G11" s="73">
        <v>153.79392876138317</v>
      </c>
      <c r="H11" s="73">
        <v>128.25500026355877</v>
      </c>
      <c r="I11" s="73">
        <v>135.9431971042242</v>
      </c>
      <c r="J11" s="73">
        <v>135.47965286607524</v>
      </c>
      <c r="K11" s="73">
        <v>115.95001231354672</v>
      </c>
      <c r="L11" s="73">
        <v>140.43799241415655</v>
      </c>
      <c r="M11" s="73">
        <v>136.82714862043835</v>
      </c>
      <c r="N11" s="73">
        <v>133.88527101729852</v>
      </c>
      <c r="O11" s="73">
        <v>137.77913017782825</v>
      </c>
      <c r="P11" s="73">
        <v>133.05045640200572</v>
      </c>
      <c r="Q11" s="73">
        <v>129.7837460568563</v>
      </c>
      <c r="R11" s="73">
        <v>124.85873372781658</v>
      </c>
      <c r="S11" s="73">
        <v>128.90347595524449</v>
      </c>
      <c r="T11" s="73">
        <v>125.73696097117893</v>
      </c>
      <c r="U11" s="73">
        <v>117.21476632076953</v>
      </c>
      <c r="V11" s="73">
        <v>116.54978579509192</v>
      </c>
      <c r="W11" s="73">
        <v>115.28809479878613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131.08796294227781</v>
      </c>
      <c r="C12" s="73">
        <v>117.72257113658475</v>
      </c>
      <c r="D12" s="73">
        <v>89.621326341831136</v>
      </c>
      <c r="E12" s="73">
        <v>113.13229766780225</v>
      </c>
      <c r="F12" s="73">
        <v>78.954902801575528</v>
      </c>
      <c r="G12" s="73">
        <v>64.281681613887585</v>
      </c>
      <c r="H12" s="73">
        <v>11.878414461029374</v>
      </c>
      <c r="I12" s="73">
        <v>9.2120248355927501</v>
      </c>
      <c r="J12" s="73">
        <v>7.2616785900317744</v>
      </c>
      <c r="K12" s="73">
        <v>8.4423506676356332</v>
      </c>
      <c r="L12" s="73">
        <v>8.6562765838471112</v>
      </c>
      <c r="M12" s="73">
        <v>6.8027734817878267</v>
      </c>
      <c r="N12" s="73">
        <v>5.8455298807090248</v>
      </c>
      <c r="O12" s="73">
        <v>4.859410556999209</v>
      </c>
      <c r="P12" s="73">
        <v>2.8872311098016472</v>
      </c>
      <c r="Q12" s="73">
        <v>2.8993013563829826</v>
      </c>
      <c r="R12" s="73">
        <v>2.8784130861883321</v>
      </c>
      <c r="S12" s="73">
        <v>2.2919035532107555</v>
      </c>
      <c r="T12" s="73">
        <v>1.8116250637060902</v>
      </c>
      <c r="U12" s="73">
        <v>1.605223479327178</v>
      </c>
      <c r="V12" s="73">
        <v>1.5368312538169695</v>
      </c>
      <c r="W12" s="73">
        <v>1.5201945337873746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1421.6695232146351</v>
      </c>
      <c r="C19" s="62">
        <f>IF(C3=0,0,C3/TrNavi_act!C7*100)</f>
        <v>1350.9496711644533</v>
      </c>
      <c r="D19" s="62">
        <f>IF(D3=0,0,D3/TrNavi_act!D7*100)</f>
        <v>1250.4803797695834</v>
      </c>
      <c r="E19" s="62">
        <f>IF(E3=0,0,E3/TrNavi_act!E7*100)</f>
        <v>1307.8164798260839</v>
      </c>
      <c r="F19" s="62">
        <f>IF(F3=0,0,F3/TrNavi_act!F7*100)</f>
        <v>1223.4005349561203</v>
      </c>
      <c r="G19" s="62">
        <f>IF(G3=0,0,G3/TrNavi_act!G7*100)</f>
        <v>1166.1728791315911</v>
      </c>
      <c r="H19" s="62">
        <f>IF(H3=0,0,H3/TrNavi_act!H7*100)</f>
        <v>923.65058009918482</v>
      </c>
      <c r="I19" s="62">
        <f>IF(I3=0,0,I3/TrNavi_act!I7*100)</f>
        <v>937.74076793978725</v>
      </c>
      <c r="J19" s="62">
        <f>IF(J3=0,0,J3/TrNavi_act!J7*100)</f>
        <v>991.99259897235561</v>
      </c>
      <c r="K19" s="62">
        <f>IF(K3=0,0,K3/TrNavi_act!K7*100)</f>
        <v>929.30372033069239</v>
      </c>
      <c r="L19" s="62">
        <f>IF(L3=0,0,L3/TrNavi_act!L7*100)</f>
        <v>811.98200984445532</v>
      </c>
      <c r="M19" s="62">
        <f>IF(M3=0,0,M3/TrNavi_act!M7*100)</f>
        <v>834.87532244196052</v>
      </c>
      <c r="N19" s="62">
        <f>IF(N3=0,0,N3/TrNavi_act!N7*100)</f>
        <v>758.97994079968748</v>
      </c>
      <c r="O19" s="62">
        <f>IF(O3=0,0,O3/TrNavi_act!O7*100)</f>
        <v>873.3719504117181</v>
      </c>
      <c r="P19" s="62">
        <f>IF(P3=0,0,P3/TrNavi_act!P7*100)</f>
        <v>848.40688199505951</v>
      </c>
      <c r="Q19" s="62">
        <f>IF(Q3=0,0,Q3/TrNavi_act!Q7*100)</f>
        <v>826.13069183267737</v>
      </c>
      <c r="R19" s="62">
        <f>IF(R3=0,0,R3/TrNavi_act!R7*100)</f>
        <v>807.25714777529583</v>
      </c>
      <c r="S19" s="62">
        <f>IF(S3=0,0,S3/TrNavi_act!S7*100)</f>
        <v>785.39743443195118</v>
      </c>
      <c r="T19" s="62">
        <f>IF(T3=0,0,T3/TrNavi_act!T7*100)</f>
        <v>1007.1215653352169</v>
      </c>
      <c r="U19" s="62">
        <f>IF(U3=0,0,U3/TrNavi_act!U7*100)</f>
        <v>992.75197531827996</v>
      </c>
      <c r="V19" s="62">
        <f>IF(V3=0,0,V3/TrNavi_act!V7*100)</f>
        <v>1063.8967494158114</v>
      </c>
      <c r="W19" s="62">
        <f>IF(W3=0,0,W3/TrNavi_act!W7*100)</f>
        <v>1007.906703357283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14209.549558963226</v>
      </c>
      <c r="C20" s="63">
        <f>IF(C4=0,0,C4/TrNavi_act!C8*100)</f>
        <v>13583.205230683581</v>
      </c>
      <c r="D20" s="63">
        <f>IF(D4=0,0,D4/TrNavi_act!D8*100)</f>
        <v>13312.636858540918</v>
      </c>
      <c r="E20" s="63">
        <f>IF(E4=0,0,E4/TrNavi_act!E8*100)</f>
        <v>13778.559251551695</v>
      </c>
      <c r="F20" s="63">
        <f>IF(F4=0,0,F4/TrNavi_act!F8*100)</f>
        <v>12925.369145265486</v>
      </c>
      <c r="G20" s="63">
        <f>IF(G4=0,0,G4/TrNavi_act!G8*100)</f>
        <v>12291.105983434834</v>
      </c>
      <c r="H20" s="63">
        <f>IF(H4=0,0,H4/TrNavi_act!H8*100)</f>
        <v>9230.9534377389718</v>
      </c>
      <c r="I20" s="63">
        <f>IF(I4=0,0,I4/TrNavi_act!I8*100)</f>
        <v>9353.9763767398144</v>
      </c>
      <c r="J20" s="63">
        <f>IF(J4=0,0,J4/TrNavi_act!J8*100)</f>
        <v>10338.949307416697</v>
      </c>
      <c r="K20" s="63">
        <f>IF(K4=0,0,K4/TrNavi_act!K8*100)</f>
        <v>9715.4594140759564</v>
      </c>
      <c r="L20" s="63">
        <f>IF(L4=0,0,L4/TrNavi_act!L8*100)</f>
        <v>8991.3157203194733</v>
      </c>
      <c r="M20" s="63">
        <f>IF(M4=0,0,M4/TrNavi_act!M8*100)</f>
        <v>9232.827690731574</v>
      </c>
      <c r="N20" s="63">
        <f>IF(N4=0,0,N4/TrNavi_act!N8*100)</f>
        <v>8134.3490919284632</v>
      </c>
      <c r="O20" s="63">
        <f>IF(O4=0,0,O4/TrNavi_act!O8*100)</f>
        <v>8943.1310242369073</v>
      </c>
      <c r="P20" s="63">
        <f>IF(P4=0,0,P4/TrNavi_act!P8*100)</f>
        <v>8853.4551541346264</v>
      </c>
      <c r="Q20" s="63">
        <f>IF(Q4=0,0,Q4/TrNavi_act!Q8*100)</f>
        <v>8544.4071562480822</v>
      </c>
      <c r="R20" s="63">
        <f>IF(R4=0,0,R4/TrNavi_act!R8*100)</f>
        <v>8679.8144984179471</v>
      </c>
      <c r="S20" s="63">
        <f>IF(S4=0,0,S4/TrNavi_act!S8*100)</f>
        <v>9136.8420149037247</v>
      </c>
      <c r="T20" s="63">
        <f>IF(T4=0,0,T4/TrNavi_act!T8*100)</f>
        <v>11381.138100296175</v>
      </c>
      <c r="U20" s="63">
        <f>IF(U4=0,0,U4/TrNavi_act!U8*100)</f>
        <v>10812.209611526781</v>
      </c>
      <c r="V20" s="63">
        <f>IF(V4=0,0,V4/TrNavi_act!V8*100)</f>
        <v>10940.232951653063</v>
      </c>
      <c r="W20" s="63">
        <f>IF(W4=0,0,W4/TrNavi_act!W8*100)</f>
        <v>10334.964290205491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1346.8865990289707</v>
      </c>
      <c r="C21" s="64">
        <f>IF(C10=0,0,C10/TrNavi_act!C9*100)</f>
        <v>1290.7663719786274</v>
      </c>
      <c r="D21" s="64">
        <f>IF(D10=0,0,D10/TrNavi_act!D9*100)</f>
        <v>1201.803396400853</v>
      </c>
      <c r="E21" s="64">
        <f>IF(E10=0,0,E10/TrNavi_act!E9*100)</f>
        <v>1263.5416534175906</v>
      </c>
      <c r="F21" s="64">
        <f>IF(F10=0,0,F10/TrNavi_act!F9*100)</f>
        <v>1192.5951737905518</v>
      </c>
      <c r="G21" s="64">
        <f>IF(G10=0,0,G10/TrNavi_act!G9*100)</f>
        <v>1110.6473663115391</v>
      </c>
      <c r="H21" s="64">
        <f>IF(H10=0,0,H10/TrNavi_act!H9*100)</f>
        <v>864.7008189842536</v>
      </c>
      <c r="I21" s="64">
        <f>IF(I10=0,0,I10/TrNavi_act!I9*100)</f>
        <v>872.01262729674966</v>
      </c>
      <c r="J21" s="64">
        <f>IF(J10=0,0,J10/TrNavi_act!J9*100)</f>
        <v>915.83043408255503</v>
      </c>
      <c r="K21" s="64">
        <f>IF(K10=0,0,K10/TrNavi_act!K9*100)</f>
        <v>880.77860922737636</v>
      </c>
      <c r="L21" s="64">
        <f>IF(L10=0,0,L10/TrNavi_act!L9*100)</f>
        <v>775.80533353108365</v>
      </c>
      <c r="M21" s="64">
        <f>IF(M10=0,0,M10/TrNavi_act!M9*100)</f>
        <v>801.14860610344806</v>
      </c>
      <c r="N21" s="64">
        <f>IF(N10=0,0,N10/TrNavi_act!N9*100)</f>
        <v>731.19205074833883</v>
      </c>
      <c r="O21" s="64">
        <f>IF(O10=0,0,O10/TrNavi_act!O9*100)</f>
        <v>841.47566948750784</v>
      </c>
      <c r="P21" s="64">
        <f>IF(P10=0,0,P10/TrNavi_act!P9*100)</f>
        <v>817.12964361509603</v>
      </c>
      <c r="Q21" s="64">
        <f>IF(Q10=0,0,Q10/TrNavi_act!Q9*100)</f>
        <v>798.71807978111781</v>
      </c>
      <c r="R21" s="64">
        <f>IF(R10=0,0,R10/TrNavi_act!R9*100)</f>
        <v>775.24517092920382</v>
      </c>
      <c r="S21" s="64">
        <f>IF(S10=0,0,S10/TrNavi_act!S9*100)</f>
        <v>761.17068640319815</v>
      </c>
      <c r="T21" s="64">
        <f>IF(T10=0,0,T10/TrNavi_act!T9*100)</f>
        <v>967.00975007494333</v>
      </c>
      <c r="U21" s="64">
        <f>IF(U10=0,0,U10/TrNavi_act!U9*100)</f>
        <v>944.36488475676924</v>
      </c>
      <c r="V21" s="64">
        <f>IF(V10=0,0,V10/TrNavi_act!V9*100)</f>
        <v>1011.4485400334808</v>
      </c>
      <c r="W21" s="64">
        <f>IF(W10=0,0,W10/TrNavi_act!W9*100)</f>
        <v>948.81235750608005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38.488694700624578</v>
      </c>
      <c r="C23" s="62">
        <f>IF(C3=0,0,C3/TrNavi_act!C3*1000)</f>
        <v>34.902175683678863</v>
      </c>
      <c r="D23" s="62">
        <f>IF(D3=0,0,D3/TrNavi_act!D3*1000)</f>
        <v>30.03218952266413</v>
      </c>
      <c r="E23" s="62">
        <f>IF(E3=0,0,E3/TrNavi_act!E3*1000)</f>
        <v>32.876055842584314</v>
      </c>
      <c r="F23" s="62">
        <f>IF(F3=0,0,F3/TrNavi_act!F3*1000)</f>
        <v>28.907136404186701</v>
      </c>
      <c r="G23" s="62">
        <f>IF(G3=0,0,G3/TrNavi_act!G3*1000)</f>
        <v>26.028601290367181</v>
      </c>
      <c r="H23" s="62">
        <f>IF(H3=0,0,H3/TrNavi_act!H3*1000)</f>
        <v>16.317528211972299</v>
      </c>
      <c r="I23" s="62">
        <f>IF(I3=0,0,I3/TrNavi_act!I3*1000)</f>
        <v>16.747996822511993</v>
      </c>
      <c r="J23" s="62">
        <f>IF(J3=0,0,J3/TrNavi_act!J3*1000)</f>
        <v>17.079287772931941</v>
      </c>
      <c r="K23" s="62">
        <f>IF(K3=0,0,K3/TrNavi_act!K3*1000)</f>
        <v>18.018579861930579</v>
      </c>
      <c r="L23" s="62">
        <f>IF(L3=0,0,L3/TrNavi_act!L3*1000)</f>
        <v>16.803102552878208</v>
      </c>
      <c r="M23" s="62">
        <f>IF(M3=0,0,M3/TrNavi_act!M3*1000)</f>
        <v>15.894510481160806</v>
      </c>
      <c r="N23" s="62">
        <f>IF(N3=0,0,N3/TrNavi_act!N3*1000)</f>
        <v>13.701618345270829</v>
      </c>
      <c r="O23" s="62">
        <f>IF(O3=0,0,O3/TrNavi_act!O3*1000)</f>
        <v>14.074757501257917</v>
      </c>
      <c r="P23" s="62">
        <f>IF(P3=0,0,P3/TrNavi_act!P3*1000)</f>
        <v>13.315062128089364</v>
      </c>
      <c r="Q23" s="62">
        <f>IF(Q3=0,0,Q3/TrNavi_act!Q3*1000)</f>
        <v>12.976988569863092</v>
      </c>
      <c r="R23" s="62">
        <f>IF(R3=0,0,R3/TrNavi_act!R3*1000)</f>
        <v>12.660728851944709</v>
      </c>
      <c r="S23" s="62">
        <f>IF(S3=0,0,S3/TrNavi_act!S3*1000)</f>
        <v>12.053771715972495</v>
      </c>
      <c r="T23" s="62">
        <f>IF(T3=0,0,T3/TrNavi_act!T3*1000)</f>
        <v>16.361632557198931</v>
      </c>
      <c r="U23" s="62">
        <f>IF(U3=0,0,U3/TrNavi_act!U3*1000)</f>
        <v>15.769810483616837</v>
      </c>
      <c r="V23" s="62">
        <f>IF(V3=0,0,V3/TrNavi_act!V3*1000)</f>
        <v>16.440504568576948</v>
      </c>
      <c r="W23" s="62">
        <f>IF(W3=0,0,W3/TrNavi_act!W3*1000)</f>
        <v>14.791137259550936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59.500597869327919</v>
      </c>
      <c r="C24" s="63">
        <f>IF(C4=0,0,C4/TrNavi_act!C4*1000)</f>
        <v>54.148067715688398</v>
      </c>
      <c r="D24" s="63">
        <f>IF(D4=0,0,D4/TrNavi_act!D4*1000)</f>
        <v>49.621249263063227</v>
      </c>
      <c r="E24" s="63">
        <f>IF(E4=0,0,E4/TrNavi_act!E4*1000)</f>
        <v>50.80464806009573</v>
      </c>
      <c r="F24" s="63">
        <f>IF(F4=0,0,F4/TrNavi_act!F4*1000)</f>
        <v>45.346768653789724</v>
      </c>
      <c r="G24" s="63">
        <f>IF(G4=0,0,G4/TrNavi_act!G4*1000)</f>
        <v>43.788612189146853</v>
      </c>
      <c r="H24" s="63">
        <f>IF(H4=0,0,H4/TrNavi_act!H4*1000)</f>
        <v>32.122626352690006</v>
      </c>
      <c r="I24" s="63">
        <f>IF(I4=0,0,I4/TrNavi_act!I4*1000)</f>
        <v>31.414563882955925</v>
      </c>
      <c r="J24" s="63">
        <f>IF(J4=0,0,J4/TrNavi_act!J4*1000)</f>
        <v>34.520789613157937</v>
      </c>
      <c r="K24" s="63">
        <f>IF(K4=0,0,K4/TrNavi_act!K4*1000)</f>
        <v>31.957400341497266</v>
      </c>
      <c r="L24" s="63">
        <f>IF(L4=0,0,L4/TrNavi_act!L4*1000)</f>
        <v>29.63932443270825</v>
      </c>
      <c r="M24" s="63">
        <f>IF(M4=0,0,M4/TrNavi_act!M4*1000)</f>
        <v>32.637166269775747</v>
      </c>
      <c r="N24" s="63">
        <f>IF(N4=0,0,N4/TrNavi_act!N4*1000)</f>
        <v>28.489927354836713</v>
      </c>
      <c r="O24" s="63">
        <f>IF(O4=0,0,O4/TrNavi_act!O4*1000)</f>
        <v>30.716496999752543</v>
      </c>
      <c r="P24" s="63">
        <f>IF(P4=0,0,P4/TrNavi_act!P4*1000)</f>
        <v>30.206261187767403</v>
      </c>
      <c r="Q24" s="63">
        <f>IF(Q4=0,0,Q4/TrNavi_act!Q4*1000)</f>
        <v>26.964201895529868</v>
      </c>
      <c r="R24" s="63">
        <f>IF(R4=0,0,R4/TrNavi_act!R4*1000)</f>
        <v>26.728848312704354</v>
      </c>
      <c r="S24" s="63">
        <f>IF(S4=0,0,S4/TrNavi_act!S4*1000)</f>
        <v>27.657228523137565</v>
      </c>
      <c r="T24" s="63">
        <f>IF(T4=0,0,T4/TrNavi_act!T4*1000)</f>
        <v>35.318051130852282</v>
      </c>
      <c r="U24" s="63">
        <f>IF(U4=0,0,U4/TrNavi_act!U4*1000)</f>
        <v>34.780738407302159</v>
      </c>
      <c r="V24" s="63">
        <f>IF(V4=0,0,V4/TrNavi_act!V4*1000)</f>
        <v>32.730057711265246</v>
      </c>
      <c r="W24" s="63">
        <f>IF(W4=0,0,W4/TrNavi_act!W4*1000)</f>
        <v>30.74615217462387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37.668021892178203</v>
      </c>
      <c r="C25" s="64">
        <f>IF(C10=0,0,C10/TrNavi_act!C5*1000)</f>
        <v>34.271491195905426</v>
      </c>
      <c r="D25" s="64">
        <f>IF(D10=0,0,D10/TrNavi_act!D5*1000)</f>
        <v>29.511396668215674</v>
      </c>
      <c r="E25" s="64">
        <f>IF(E10=0,0,E10/TrNavi_act!E5*1000)</f>
        <v>32.432949487784448</v>
      </c>
      <c r="F25" s="64">
        <f>IF(F10=0,0,F10/TrNavi_act!F5*1000)</f>
        <v>28.611199516116752</v>
      </c>
      <c r="G25" s="64">
        <f>IF(G10=0,0,G10/TrNavi_act!G5*1000)</f>
        <v>25.458278119924206</v>
      </c>
      <c r="H25" s="64">
        <f>IF(H10=0,0,H10/TrNavi_act!H5*1000)</f>
        <v>15.731187104242046</v>
      </c>
      <c r="I25" s="64">
        <f>IF(I10=0,0,I10/TrNavi_act!I5*1000)</f>
        <v>16.117612918034304</v>
      </c>
      <c r="J25" s="64">
        <f>IF(J10=0,0,J10/TrNavi_act!J5*1000)</f>
        <v>16.320755940556488</v>
      </c>
      <c r="K25" s="64">
        <f>IF(K10=0,0,K10/TrNavi_act!K5*1000)</f>
        <v>17.552188934835947</v>
      </c>
      <c r="L25" s="64">
        <f>IF(L10=0,0,L10/TrNavi_act!L5*1000)</f>
        <v>16.438177397795332</v>
      </c>
      <c r="M25" s="64">
        <f>IF(M10=0,0,M10/TrNavi_act!M5*1000)</f>
        <v>15.525880672600385</v>
      </c>
      <c r="N25" s="64">
        <f>IF(N10=0,0,N10/TrNavi_act!N5*1000)</f>
        <v>13.409865729175388</v>
      </c>
      <c r="O25" s="64">
        <f>IF(O10=0,0,O10/TrNavi_act!O5*1000)</f>
        <v>13.76155723442619</v>
      </c>
      <c r="P25" s="64">
        <f>IF(P10=0,0,P10/TrNavi_act!P5*1000)</f>
        <v>13.007146446446024</v>
      </c>
      <c r="Q25" s="64">
        <f>IF(Q10=0,0,Q10/TrNavi_act!Q5*1000)</f>
        <v>12.726169903437491</v>
      </c>
      <c r="R25" s="64">
        <f>IF(R10=0,0,R10/TrNavi_act!R5*1000)</f>
        <v>12.364451341980923</v>
      </c>
      <c r="S25" s="64">
        <f>IF(S10=0,0,S10/TrNavi_act!S5*1000)</f>
        <v>11.821533565368105</v>
      </c>
      <c r="T25" s="64">
        <f>IF(T10=0,0,T10/TrNavi_act!T5*1000)</f>
        <v>15.971523420346236</v>
      </c>
      <c r="U25" s="64">
        <f>IF(U10=0,0,U10/TrNavi_act!U5*1000)</f>
        <v>15.298054564194246</v>
      </c>
      <c r="V25" s="64">
        <f>IF(V10=0,0,V10/TrNavi_act!V5*1000)</f>
        <v>15.983570255672563</v>
      </c>
      <c r="W25" s="64">
        <f>IF(W10=0,0,W10/TrNavi_act!W5*1000)</f>
        <v>14.27974197219725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5.8110312472428143E-2</v>
      </c>
      <c r="C28" s="77">
        <f t="shared" si="8"/>
        <v>4.922673450105531E-2</v>
      </c>
      <c r="D28" s="77">
        <f t="shared" si="8"/>
        <v>4.2789462143986962E-2</v>
      </c>
      <c r="E28" s="77">
        <f t="shared" si="8"/>
        <v>3.727197490204983E-2</v>
      </c>
      <c r="F28" s="77">
        <f t="shared" si="8"/>
        <v>2.7739580554989471E-2</v>
      </c>
      <c r="G28" s="77">
        <f t="shared" si="8"/>
        <v>5.2343286356492956E-2</v>
      </c>
      <c r="H28" s="77">
        <f t="shared" si="8"/>
        <v>7.041901217425621E-2</v>
      </c>
      <c r="I28" s="77">
        <f t="shared" si="8"/>
        <v>7.7298026561277641E-2</v>
      </c>
      <c r="J28" s="77">
        <f t="shared" si="8"/>
        <v>8.4238880071246761E-2</v>
      </c>
      <c r="K28" s="77">
        <f t="shared" si="8"/>
        <v>5.7422400163178303E-2</v>
      </c>
      <c r="L28" s="77">
        <f t="shared" si="8"/>
        <v>4.8760814961855407E-2</v>
      </c>
      <c r="M28" s="77">
        <f t="shared" si="8"/>
        <v>4.4235719717890823E-2</v>
      </c>
      <c r="N28" s="77">
        <f t="shared" si="8"/>
        <v>4.0228247954398416E-2</v>
      </c>
      <c r="O28" s="77">
        <f t="shared" si="8"/>
        <v>4.0314069216646119E-2</v>
      </c>
      <c r="P28" s="77">
        <f t="shared" si="8"/>
        <v>4.0614348371626315E-2</v>
      </c>
      <c r="Q28" s="77">
        <f t="shared" si="8"/>
        <v>3.6603577864742408E-2</v>
      </c>
      <c r="R28" s="77">
        <f t="shared" si="8"/>
        <v>4.3544451646564834E-2</v>
      </c>
      <c r="S28" s="77">
        <f t="shared" si="8"/>
        <v>3.3649772546818127E-2</v>
      </c>
      <c r="T28" s="77">
        <f t="shared" si="8"/>
        <v>4.3526444030244943E-2</v>
      </c>
      <c r="U28" s="77">
        <f t="shared" si="8"/>
        <v>5.3404874527173907E-2</v>
      </c>
      <c r="V28" s="77">
        <f t="shared" ref="V28:W28" si="9">IF(V4=0,0,V4/V$3)</f>
        <v>5.4320239053367865E-2</v>
      </c>
      <c r="W28" s="77">
        <f t="shared" si="9"/>
        <v>6.4557543494859357E-2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0.94188968752757185</v>
      </c>
      <c r="C29" s="78">
        <f t="shared" si="10"/>
        <v>0.9507732654989447</v>
      </c>
      <c r="D29" s="78">
        <f t="shared" si="10"/>
        <v>0.95721053785601296</v>
      </c>
      <c r="E29" s="78">
        <f t="shared" si="10"/>
        <v>0.96272802509795019</v>
      </c>
      <c r="F29" s="78">
        <f t="shared" si="10"/>
        <v>0.97226041944501063</v>
      </c>
      <c r="G29" s="78">
        <f t="shared" si="10"/>
        <v>0.94765671364350701</v>
      </c>
      <c r="H29" s="78">
        <f t="shared" si="10"/>
        <v>0.92958098782574394</v>
      </c>
      <c r="I29" s="78">
        <f t="shared" si="10"/>
        <v>0.92270197343872229</v>
      </c>
      <c r="J29" s="78">
        <f t="shared" si="10"/>
        <v>0.9157611199287532</v>
      </c>
      <c r="K29" s="78">
        <f t="shared" si="10"/>
        <v>0.94257759983682166</v>
      </c>
      <c r="L29" s="78">
        <f t="shared" si="10"/>
        <v>0.95123918503814464</v>
      </c>
      <c r="M29" s="78">
        <f t="shared" si="10"/>
        <v>0.95576428028210925</v>
      </c>
      <c r="N29" s="78">
        <f t="shared" si="10"/>
        <v>0.95977175204560161</v>
      </c>
      <c r="O29" s="78">
        <f t="shared" si="10"/>
        <v>0.95968593078335396</v>
      </c>
      <c r="P29" s="78">
        <f t="shared" si="10"/>
        <v>0.95938565162837375</v>
      </c>
      <c r="Q29" s="78">
        <f t="shared" si="10"/>
        <v>0.96339642213525756</v>
      </c>
      <c r="R29" s="78">
        <f t="shared" si="10"/>
        <v>0.95645554835343516</v>
      </c>
      <c r="S29" s="78">
        <f t="shared" si="10"/>
        <v>0.96635022745318189</v>
      </c>
      <c r="T29" s="78">
        <f t="shared" si="10"/>
        <v>0.95647355596975514</v>
      </c>
      <c r="U29" s="78">
        <f t="shared" si="10"/>
        <v>0.94659512547282609</v>
      </c>
      <c r="V29" s="78">
        <f t="shared" ref="V29:W29" si="11">IF(V10=0,0,V10/V$3)</f>
        <v>0.94567976094663209</v>
      </c>
      <c r="W29" s="78">
        <f t="shared" si="11"/>
        <v>0.93544245650514068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912.27886812000008</v>
      </c>
      <c r="C3" s="54">
        <f t="shared" ref="C3:V3" si="1">SUM(C4:C5)</f>
        <v>871.27017228</v>
      </c>
      <c r="D3" s="54">
        <f t="shared" si="1"/>
        <v>785.11443587999997</v>
      </c>
      <c r="E3" s="54">
        <f t="shared" si="1"/>
        <v>876.40362396</v>
      </c>
      <c r="F3" s="54">
        <f t="shared" si="1"/>
        <v>777.37979016000008</v>
      </c>
      <c r="G3" s="54">
        <f t="shared" si="1"/>
        <v>723.30338987999994</v>
      </c>
      <c r="H3" s="54">
        <f t="shared" si="1"/>
        <v>468.26956943999994</v>
      </c>
      <c r="I3" s="54">
        <f t="shared" si="1"/>
        <v>488.01861936000006</v>
      </c>
      <c r="J3" s="54">
        <f t="shared" si="1"/>
        <v>483.72918659999993</v>
      </c>
      <c r="K3" s="54">
        <f t="shared" si="1"/>
        <v>409.48251263999975</v>
      </c>
      <c r="L3" s="54">
        <f t="shared" si="1"/>
        <v>485.86526424000022</v>
      </c>
      <c r="M3" s="54">
        <f t="shared" si="1"/>
        <v>465.78831732000009</v>
      </c>
      <c r="N3" s="54">
        <f t="shared" si="1"/>
        <v>451.33249752</v>
      </c>
      <c r="O3" s="54">
        <f t="shared" si="1"/>
        <v>460.86746363999998</v>
      </c>
      <c r="P3" s="54">
        <f t="shared" si="1"/>
        <v>439.53206688000006</v>
      </c>
      <c r="Q3" s="54">
        <f t="shared" si="1"/>
        <v>427.22109288000013</v>
      </c>
      <c r="R3" s="54">
        <f t="shared" si="1"/>
        <v>414.27896471999998</v>
      </c>
      <c r="S3" s="54">
        <f t="shared" si="1"/>
        <v>421.26370092000002</v>
      </c>
      <c r="T3" s="54">
        <f t="shared" si="1"/>
        <v>413.71829063999996</v>
      </c>
      <c r="U3" s="54">
        <f t="shared" si="1"/>
        <v>389.42445779999991</v>
      </c>
      <c r="V3" s="54">
        <f t="shared" si="1"/>
        <v>387.38130048000005</v>
      </c>
      <c r="W3" s="54">
        <f t="shared" ref="W3" si="2">SUM(W4:W5)</f>
        <v>387.38130048000005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53.012810088446273</v>
      </c>
      <c r="C4" s="56">
        <v>42.889785449516282</v>
      </c>
      <c r="D4" s="56">
        <v>33.59462443278494</v>
      </c>
      <c r="E4" s="56">
        <v>32.665293876302641</v>
      </c>
      <c r="F4" s="56">
        <v>21.564189310964132</v>
      </c>
      <c r="G4" s="56">
        <v>37.8600764591109</v>
      </c>
      <c r="H4" s="56">
        <v>32.975080511229066</v>
      </c>
      <c r="I4" s="56">
        <v>37.722876201687328</v>
      </c>
      <c r="J4" s="56">
        <v>40.748804936959147</v>
      </c>
      <c r="K4" s="56">
        <v>23.513468700637787</v>
      </c>
      <c r="L4" s="56">
        <v>23.691186245999631</v>
      </c>
      <c r="M4" s="56">
        <v>20.604481452835515</v>
      </c>
      <c r="N4" s="56">
        <v>18.156315620112469</v>
      </c>
      <c r="O4" s="56">
        <v>18.579442828883099</v>
      </c>
      <c r="P4" s="56">
        <v>17.85130848476528</v>
      </c>
      <c r="Q4" s="56">
        <v>15.637820538693436</v>
      </c>
      <c r="R4" s="56">
        <v>18.039550347438979</v>
      </c>
      <c r="S4" s="56">
        <v>14.175427718188814</v>
      </c>
      <c r="T4" s="56">
        <v>18.007686021830562</v>
      </c>
      <c r="U4" s="56">
        <v>20.797164306621724</v>
      </c>
      <c r="V4" s="56">
        <v>21.04264484687813</v>
      </c>
      <c r="W4" s="56">
        <v>25.008385154832784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859.26605803155383</v>
      </c>
      <c r="C5" s="58">
        <v>828.38038683048376</v>
      </c>
      <c r="D5" s="58">
        <v>751.51981144721503</v>
      </c>
      <c r="E5" s="58">
        <v>843.73833008369741</v>
      </c>
      <c r="F5" s="58">
        <v>755.81560084903595</v>
      </c>
      <c r="G5" s="58">
        <v>685.44331342088901</v>
      </c>
      <c r="H5" s="58">
        <v>435.29448892877087</v>
      </c>
      <c r="I5" s="58">
        <v>450.29574315831275</v>
      </c>
      <c r="J5" s="58">
        <v>442.98038166304082</v>
      </c>
      <c r="K5" s="58">
        <v>385.969043939362</v>
      </c>
      <c r="L5" s="58">
        <v>462.17407799400058</v>
      </c>
      <c r="M5" s="58">
        <v>445.18383586716459</v>
      </c>
      <c r="N5" s="58">
        <v>433.17618189988752</v>
      </c>
      <c r="O5" s="58">
        <v>442.28802081111689</v>
      </c>
      <c r="P5" s="58">
        <v>421.68075839523476</v>
      </c>
      <c r="Q5" s="58">
        <v>411.58327234130667</v>
      </c>
      <c r="R5" s="58">
        <v>396.23941437256099</v>
      </c>
      <c r="S5" s="58">
        <v>407.08827320181121</v>
      </c>
      <c r="T5" s="58">
        <v>395.71060461816938</v>
      </c>
      <c r="U5" s="58">
        <v>368.6272934933782</v>
      </c>
      <c r="V5" s="58">
        <v>366.3386556331219</v>
      </c>
      <c r="W5" s="58">
        <v>362.37291532516724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3.1616843347512802</v>
      </c>
      <c r="C9" s="79">
        <f>IF(C3=0,0,C3/TrNavi_ene!C3)</f>
        <v>3.1575599956798879</v>
      </c>
      <c r="D9" s="79">
        <f>IF(D3=0,0,D3/TrNavi_ene!D3)</f>
        <v>3.1543924007842041</v>
      </c>
      <c r="E9" s="79">
        <f>IF(E3=0,0,E3/TrNavi_ene!E3)</f>
        <v>3.1609781816265472</v>
      </c>
      <c r="F9" s="79">
        <f>IF(F3=0,0,F3/TrNavi_ene!F3)</f>
        <v>3.1478520409014474</v>
      </c>
      <c r="G9" s="79">
        <f>IF(G3=0,0,G3/TrNavi_ene!G3)</f>
        <v>3.143145224912399</v>
      </c>
      <c r="H9" s="79">
        <f>IF(H3=0,0,H3/TrNavi_ene!H3)</f>
        <v>3.1062861758152329</v>
      </c>
      <c r="I9" s="79">
        <f>IF(I3=0,0,I3/TrNavi_ene!I3)</f>
        <v>3.1021670260337624</v>
      </c>
      <c r="J9" s="79">
        <f>IF(J3=0,0,J3/TrNavi_ene!J3)</f>
        <v>3.1033785179400355</v>
      </c>
      <c r="K9" s="79">
        <f>IF(K3=0,0,K3/TrNavi_ene!K3)</f>
        <v>3.102835533381981</v>
      </c>
      <c r="L9" s="79">
        <f>IF(L3=0,0,L3/TrNavi_ene!L3)</f>
        <v>3.099878225367529</v>
      </c>
      <c r="M9" s="79">
        <f>IF(M3=0,0,M3/TrNavi_ene!M3)</f>
        <v>3.0995201372476724</v>
      </c>
      <c r="N9" s="79">
        <f>IF(N3=0,0,N3/TrNavi_ene!N3)</f>
        <v>3.1000765694892993</v>
      </c>
      <c r="O9" s="79">
        <f>IF(O3=0,0,O3/TrNavi_ene!O3)</f>
        <v>3.1007609761891319</v>
      </c>
      <c r="P9" s="79">
        <f>IF(P3=0,0,P3/TrNavi_ene!P3)</f>
        <v>3.1020150931919312</v>
      </c>
      <c r="Q9" s="79">
        <f>IF(Q3=0,0,Q3/TrNavi_ene!Q3)</f>
        <v>3.102003461372401</v>
      </c>
      <c r="R9" s="79">
        <f>IF(R3=0,0,R3/TrNavi_ene!R3)</f>
        <v>3.1019904879315643</v>
      </c>
      <c r="S9" s="79">
        <f>IF(S3=0,0,S3/TrNavi_ene!S3)</f>
        <v>3.1029162362808314</v>
      </c>
      <c r="T9" s="79">
        <f>IF(T3=0,0,T3/TrNavi_ene!T3)</f>
        <v>3.1024303515990455</v>
      </c>
      <c r="U9" s="79">
        <f>IF(U3=0,0,U3/TrNavi_ene!U3)</f>
        <v>3.1024013224841918</v>
      </c>
      <c r="V9" s="79">
        <f>IF(V3=0,0,V3/TrNavi_ene!V3)</f>
        <v>3.1022876663609771</v>
      </c>
      <c r="W9" s="79">
        <f>IF(W3=0,0,W3/TrNavi_ene!W3)</f>
        <v>3.1022876663609771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3.1616843347512802</v>
      </c>
      <c r="C10" s="80">
        <f>IF(C4=0,0,C4/TrNavi_ene!C4)</f>
        <v>3.1575599956798879</v>
      </c>
      <c r="D10" s="80">
        <f>IF(D4=0,0,D4/TrNavi_ene!D4)</f>
        <v>3.1543924007842041</v>
      </c>
      <c r="E10" s="80">
        <f>IF(E4=0,0,E4/TrNavi_ene!E4)</f>
        <v>3.1609781816265476</v>
      </c>
      <c r="F10" s="80">
        <f>IF(F4=0,0,F4/TrNavi_ene!F4)</f>
        <v>3.147852040901447</v>
      </c>
      <c r="G10" s="80">
        <f>IF(G4=0,0,G4/TrNavi_ene!G4)</f>
        <v>3.1431452249123986</v>
      </c>
      <c r="H10" s="80">
        <f>IF(H4=0,0,H4/TrNavi_ene!H4)</f>
        <v>3.1062861758152329</v>
      </c>
      <c r="I10" s="80">
        <f>IF(I4=0,0,I4/TrNavi_ene!I4)</f>
        <v>3.1021670260337624</v>
      </c>
      <c r="J10" s="80">
        <f>IF(J4=0,0,J4/TrNavi_ene!J4)</f>
        <v>3.1033785179400359</v>
      </c>
      <c r="K10" s="80">
        <f>IF(K4=0,0,K4/TrNavi_ene!K4)</f>
        <v>3.1028355333819819</v>
      </c>
      <c r="L10" s="80">
        <f>IF(L4=0,0,L4/TrNavi_ene!L4)</f>
        <v>3.099878225367529</v>
      </c>
      <c r="M10" s="80">
        <f>IF(M4=0,0,M4/TrNavi_ene!M4)</f>
        <v>3.0995201372476724</v>
      </c>
      <c r="N10" s="80">
        <f>IF(N4=0,0,N4/TrNavi_ene!N4)</f>
        <v>3.1000765694892993</v>
      </c>
      <c r="O10" s="80">
        <f>IF(O4=0,0,O4/TrNavi_ene!O4)</f>
        <v>3.1007609761891324</v>
      </c>
      <c r="P10" s="80">
        <f>IF(P4=0,0,P4/TrNavi_ene!P4)</f>
        <v>3.1020150931919312</v>
      </c>
      <c r="Q10" s="80">
        <f>IF(Q4=0,0,Q4/TrNavi_ene!Q4)</f>
        <v>3.1020034613724015</v>
      </c>
      <c r="R10" s="80">
        <f>IF(R4=0,0,R4/TrNavi_ene!R4)</f>
        <v>3.1019904879315643</v>
      </c>
      <c r="S10" s="80">
        <f>IF(S4=0,0,S4/TrNavi_ene!S4)</f>
        <v>3.1029162362808305</v>
      </c>
      <c r="T10" s="80">
        <f>IF(T4=0,0,T4/TrNavi_ene!T4)</f>
        <v>3.1024303515990441</v>
      </c>
      <c r="U10" s="80">
        <f>IF(U4=0,0,U4/TrNavi_ene!U4)</f>
        <v>3.1024013224841913</v>
      </c>
      <c r="V10" s="80">
        <f>IF(V4=0,0,V4/TrNavi_ene!V4)</f>
        <v>3.1022876663609766</v>
      </c>
      <c r="W10" s="80">
        <f>IF(W4=0,0,W4/TrNavi_ene!W4)</f>
        <v>3.1022876663609766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3.1616843347512802</v>
      </c>
      <c r="C11" s="81">
        <f>IF(C5=0,0,C5/TrNavi_ene!C10)</f>
        <v>3.1575599956798879</v>
      </c>
      <c r="D11" s="81">
        <f>IF(D5=0,0,D5/TrNavi_ene!D10)</f>
        <v>3.1543924007842041</v>
      </c>
      <c r="E11" s="81">
        <f>IF(E5=0,0,E5/TrNavi_ene!E10)</f>
        <v>3.1609781816265472</v>
      </c>
      <c r="F11" s="81">
        <f>IF(F5=0,0,F5/TrNavi_ene!F10)</f>
        <v>3.1478520409014474</v>
      </c>
      <c r="G11" s="81">
        <f>IF(G5=0,0,G5/TrNavi_ene!G10)</f>
        <v>3.143145224912399</v>
      </c>
      <c r="H11" s="81">
        <f>IF(H5=0,0,H5/TrNavi_ene!H10)</f>
        <v>3.1062861758152325</v>
      </c>
      <c r="I11" s="81">
        <f>IF(I5=0,0,I5/TrNavi_ene!I10)</f>
        <v>3.1021670260337628</v>
      </c>
      <c r="J11" s="81">
        <f>IF(J5=0,0,J5/TrNavi_ene!J10)</f>
        <v>3.1033785179400359</v>
      </c>
      <c r="K11" s="81">
        <f>IF(K5=0,0,K5/TrNavi_ene!K10)</f>
        <v>3.1028355333819815</v>
      </c>
      <c r="L11" s="81">
        <f>IF(L5=0,0,L5/TrNavi_ene!L10)</f>
        <v>3.099878225367529</v>
      </c>
      <c r="M11" s="81">
        <f>IF(M5=0,0,M5/TrNavi_ene!M10)</f>
        <v>3.0995201372476724</v>
      </c>
      <c r="N11" s="81">
        <f>IF(N5=0,0,N5/TrNavi_ene!N10)</f>
        <v>3.1000765694892993</v>
      </c>
      <c r="O11" s="81">
        <f>IF(O5=0,0,O5/TrNavi_ene!O10)</f>
        <v>3.1007609761891319</v>
      </c>
      <c r="P11" s="81">
        <f>IF(P5=0,0,P5/TrNavi_ene!P10)</f>
        <v>3.1020150931919308</v>
      </c>
      <c r="Q11" s="81">
        <f>IF(Q5=0,0,Q5/TrNavi_ene!Q10)</f>
        <v>3.102003461372401</v>
      </c>
      <c r="R11" s="81">
        <f>IF(R5=0,0,R5/TrNavi_ene!R10)</f>
        <v>3.1019904879315643</v>
      </c>
      <c r="S11" s="81">
        <f>IF(S5=0,0,S5/TrNavi_ene!S10)</f>
        <v>3.1029162362808314</v>
      </c>
      <c r="T11" s="81">
        <f>IF(T5=0,0,T5/TrNavi_ene!T10)</f>
        <v>3.102430351599045</v>
      </c>
      <c r="U11" s="81">
        <f>IF(U5=0,0,U5/TrNavi_ene!U10)</f>
        <v>3.1024013224841918</v>
      </c>
      <c r="V11" s="81">
        <f>IF(V5=0,0,V5/TrNavi_ene!V10)</f>
        <v>3.1022876663609766</v>
      </c>
      <c r="W11" s="81">
        <f>IF(W5=0,0,W5/TrNavi_ene!W10)</f>
        <v>3.1022876663609766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44948.702607410334</v>
      </c>
      <c r="C13" s="54">
        <f>IF(C3=0,0,C3/TrNavi_act!C7*1000)</f>
        <v>42657.046378457773</v>
      </c>
      <c r="D13" s="54">
        <f>IF(D3=0,0,D3/TrNavi_act!D7*1000)</f>
        <v>39445.058072749198</v>
      </c>
      <c r="E13" s="54">
        <f>IF(E3=0,0,E3/TrNavi_act!E7*1000)</f>
        <v>41339.793583018865</v>
      </c>
      <c r="F13" s="54">
        <f>IF(F3=0,0,F3/TrNavi_act!F7*1000)</f>
        <v>38510.838708015464</v>
      </c>
      <c r="G13" s="54">
        <f>IF(G3=0,0,G3/TrNavi_act!G7*1000)</f>
        <v>36654.507164648043</v>
      </c>
      <c r="H13" s="54">
        <f>IF(H3=0,0,H3/TrNavi_act!H7*1000)</f>
        <v>28691.230282458182</v>
      </c>
      <c r="I13" s="54">
        <f>IF(I3=0,0,I3/TrNavi_act!I7*1000)</f>
        <v>29090.284892703869</v>
      </c>
      <c r="J13" s="54">
        <f>IF(J3=0,0,J3/TrNavi_act!J7*1000)</f>
        <v>30785.285216063126</v>
      </c>
      <c r="K13" s="54">
        <f>IF(K3=0,0,K3/TrNavi_act!K7*1000)</f>
        <v>28834.766047461431</v>
      </c>
      <c r="L13" s="54">
        <f>IF(L3=0,0,L3/TrNavi_act!L7*1000)</f>
        <v>25170.453517069895</v>
      </c>
      <c r="M13" s="54">
        <f>IF(M3=0,0,M3/TrNavi_act!M7*1000)</f>
        <v>25877.128740000004</v>
      </c>
      <c r="N13" s="54">
        <f>IF(N3=0,0,N3/TrNavi_act!N7*1000)</f>
        <v>23528.959311854866</v>
      </c>
      <c r="O13" s="54">
        <f>IF(O3=0,0,O3/TrNavi_act!O7*1000)</f>
        <v>27081.176615348453</v>
      </c>
      <c r="P13" s="54">
        <f>IF(P3=0,0,P3/TrNavi_act!P7*1000)</f>
        <v>26317.709531165801</v>
      </c>
      <c r="Q13" s="54">
        <f>IF(Q3=0,0,Q3/TrNavi_act!Q7*1000)</f>
        <v>25626.602656109419</v>
      </c>
      <c r="R13" s="54">
        <f>IF(R3=0,0,R3/TrNavi_act!R7*1000)</f>
        <v>25041.039937137328</v>
      </c>
      <c r="S13" s="54">
        <f>IF(S3=0,0,S3/TrNavi_act!S7*1000)</f>
        <v>24370.224512322111</v>
      </c>
      <c r="T13" s="54">
        <f>IF(T3=0,0,T3/TrNavi_act!T7*1000)</f>
        <v>31245.245120459178</v>
      </c>
      <c r="U13" s="54">
        <f>IF(U3=0,0,U3/TrNavi_act!U7*1000)</f>
        <v>30799.15041126225</v>
      </c>
      <c r="V13" s="54">
        <f>IF(V3=0,0,V3/TrNavi_act!V7*1000)</f>
        <v>33005.13763994207</v>
      </c>
      <c r="W13" s="54">
        <f>IF(W3=0,0,W3/TrNavi_act!W7*1000)</f>
        <v>31268.16534667851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449261.10244445992</v>
      </c>
      <c r="C14" s="56">
        <f>IF(C4=0,0,C4/TrNavi_act!C8*1000)</f>
        <v>428897.85449516278</v>
      </c>
      <c r="D14" s="56">
        <f>IF(D4=0,0,D4/TrNavi_act!D8*1000)</f>
        <v>419932.80540981173</v>
      </c>
      <c r="E14" s="56">
        <f>IF(E4=0,0,E4/TrNavi_act!E8*1000)</f>
        <v>435537.25168403523</v>
      </c>
      <c r="F14" s="56">
        <f>IF(F4=0,0,F4/TrNavi_act!F8*1000)</f>
        <v>406871.49643328553</v>
      </c>
      <c r="G14" s="56">
        <f>IF(G4=0,0,G4/TrNavi_act!G8*1000)</f>
        <v>386327.31080725405</v>
      </c>
      <c r="H14" s="56">
        <f>IF(H4=0,0,H4/TrNavi_act!H8*1000)</f>
        <v>286739.83053242665</v>
      </c>
      <c r="I14" s="56">
        <f>IF(I4=0,0,I4/TrNavi_act!I8*1000)</f>
        <v>290175.97078221018</v>
      </c>
      <c r="J14" s="56">
        <f>IF(J4=0,0,J4/TrNavi_act!J8*1000)</f>
        <v>320856.73178707989</v>
      </c>
      <c r="K14" s="56">
        <f>IF(K4=0,0,K4/TrNavi_act!K8*1000)</f>
        <v>301454.72693125368</v>
      </c>
      <c r="L14" s="56">
        <f>IF(L4=0,0,L4/TrNavi_act!L8*1000)</f>
        <v>278719.83818823093</v>
      </c>
      <c r="M14" s="56">
        <f>IF(M4=0,0,M4/TrNavi_act!M8*1000)</f>
        <v>286173.35351160436</v>
      </c>
      <c r="N14" s="56">
        <f>IF(N4=0,0,N4/TrNavi_act!N8*1000)</f>
        <v>252171.05027933989</v>
      </c>
      <c r="O14" s="56">
        <f>IF(O4=0,0,O4/TrNavi_act!O8*1000)</f>
        <v>277305.1168490015</v>
      </c>
      <c r="P14" s="56">
        <f>IF(P4=0,0,P4/TrNavi_act!P8*1000)</f>
        <v>274635.51515023503</v>
      </c>
      <c r="Q14" s="56">
        <f>IF(Q4=0,0,Q4/TrNavi_act!Q8*1000)</f>
        <v>265047.80574056675</v>
      </c>
      <c r="R14" s="56">
        <f>IF(R4=0,0,R4/TrNavi_act!R8*1000)</f>
        <v>269247.02011102956</v>
      </c>
      <c r="S14" s="56">
        <f>IF(S4=0,0,S4/TrNavi_act!S8*1000)</f>
        <v>283508.55436377629</v>
      </c>
      <c r="T14" s="56">
        <f>IF(T4=0,0,T4/TrNavi_act!T8*1000)</f>
        <v>353091.88278099144</v>
      </c>
      <c r="U14" s="56">
        <f>IF(U4=0,0,U4/TrNavi_act!U8*1000)</f>
        <v>335438.1339777697</v>
      </c>
      <c r="V14" s="56">
        <f>IF(V4=0,0,V4/TrNavi_act!V8*1000)</f>
        <v>339397.49753029243</v>
      </c>
      <c r="W14" s="56">
        <f>IF(W4=0,0,W4/TrNavi_act!W8*1000)</f>
        <v>320620.32249785622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42584.302608363258</v>
      </c>
      <c r="C15" s="58">
        <f>IF(C5=0,0,C5/TrNavi_act!C9*1000)</f>
        <v>40756.722599285793</v>
      </c>
      <c r="D15" s="58">
        <f>IF(D5=0,0,D5/TrNavi_act!D9*1000)</f>
        <v>37909.595008434975</v>
      </c>
      <c r="E15" s="58">
        <f>IF(E5=0,0,E5/TrNavi_act!E9*1000)</f>
        <v>39940.275980293372</v>
      </c>
      <c r="F15" s="58">
        <f>IF(F5=0,0,F5/TrNavi_act!F9*1000)</f>
        <v>37541.131517858041</v>
      </c>
      <c r="G15" s="58">
        <f>IF(G5=0,0,G5/TrNavi_act!G9*1000)</f>
        <v>34909.259659836462</v>
      </c>
      <c r="H15" s="58">
        <f>IF(H5=0,0,H5/TrNavi_act!H9*1000)</f>
        <v>26860.082002268966</v>
      </c>
      <c r="I15" s="58">
        <f>IF(I5=0,0,I5/TrNavi_act!I9*1000)</f>
        <v>27051.288186850456</v>
      </c>
      <c r="J15" s="58">
        <f>IF(J5=0,0,J5/TrNavi_act!J9*1000)</f>
        <v>28421.684952074989</v>
      </c>
      <c r="K15" s="58">
        <f>IF(K5=0,0,K5/TrNavi_act!K9*1000)</f>
        <v>27329.11165753466</v>
      </c>
      <c r="L15" s="58">
        <f>IF(L5=0,0,L5/TrNavi_act!L9*1000)</f>
        <v>24049.020605369995</v>
      </c>
      <c r="M15" s="58">
        <f>IF(M5=0,0,M5/TrNavi_act!M9*1000)</f>
        <v>24831.762375455408</v>
      </c>
      <c r="N15" s="58">
        <f>IF(N5=0,0,N5/TrNavi_act!N9*1000)</f>
        <v>22667.513443217558</v>
      </c>
      <c r="O15" s="58">
        <f>IF(O5=0,0,O5/TrNavi_act!O9*1000)</f>
        <v>26092.149183594884</v>
      </c>
      <c r="P15" s="58">
        <f>IF(P5=0,0,P5/TrNavi_act!P9*1000)</f>
        <v>25347.484875885715</v>
      </c>
      <c r="Q15" s="58">
        <f>IF(Q5=0,0,Q5/TrNavi_act!Q9*1000)</f>
        <v>24776.262481417452</v>
      </c>
      <c r="R15" s="58">
        <f>IF(R5=0,0,R5/TrNavi_act!R9*1000)</f>
        <v>24048.031460372702</v>
      </c>
      <c r="S15" s="58">
        <f>IF(S5=0,0,S5/TrNavi_act!S9*1000)</f>
        <v>23618.488814215085</v>
      </c>
      <c r="T15" s="58">
        <f>IF(T5=0,0,T5/TrNavi_act!T9*1000)</f>
        <v>30000.80398924711</v>
      </c>
      <c r="U15" s="58">
        <f>IF(U5=0,0,U5/TrNavi_act!U9*1000)</f>
        <v>29297.98867377032</v>
      </c>
      <c r="V15" s="58">
        <f>IF(V5=0,0,V5/TrNavi_act!V9*1000)</f>
        <v>31378.04330904684</v>
      </c>
      <c r="W15" s="58">
        <f>IF(W5=0,0,W5/TrNavi_act!W9*1000)</f>
        <v>29434.888743819934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121.68910309998934</v>
      </c>
      <c r="C17" s="62">
        <f>IF(C3=0,0,C3/TrNavi_act!C3*1000)</f>
        <v>110.20571370097572</v>
      </c>
      <c r="D17" s="62">
        <f>IF(D3=0,0,D3/TrNavi_act!D3*1000)</f>
        <v>94.733310409202716</v>
      </c>
      <c r="E17" s="62">
        <f>IF(E3=0,0,E3/TrNavi_act!E3*1000)</f>
        <v>103.92049521634499</v>
      </c>
      <c r="F17" s="62">
        <f>IF(F3=0,0,F3/TrNavi_act!F3*1000)</f>
        <v>90.995388326535647</v>
      </c>
      <c r="G17" s="62">
        <f>IF(G3=0,0,G3/TrNavi_act!G3*1000)</f>
        <v>81.811673856966308</v>
      </c>
      <c r="H17" s="62">
        <f>IF(H3=0,0,H3/TrNavi_act!H3*1000)</f>
        <v>50.686912308324608</v>
      </c>
      <c r="I17" s="62">
        <f>IF(I3=0,0,I3/TrNavi_act!I3*1000)</f>
        <v>51.955083494914945</v>
      </c>
      <c r="J17" s="62">
        <f>IF(J3=0,0,J3/TrNavi_act!J3*1000)</f>
        <v>53.003494776232898</v>
      </c>
      <c r="K17" s="62">
        <f>IF(K3=0,0,K3/TrNavi_act!K3*1000)</f>
        <v>55.908689856679189</v>
      </c>
      <c r="L17" s="62">
        <f>IF(L3=0,0,L3/TrNavi_act!L3*1000)</f>
        <v>52.0875717222847</v>
      </c>
      <c r="M17" s="62">
        <f>IF(M3=0,0,M3/TrNavi_act!M3*1000)</f>
        <v>49.265355308052108</v>
      </c>
      <c r="N17" s="62">
        <f>IF(N3=0,0,N3/TrNavi_act!N3*1000)</f>
        <v>42.476065996258839</v>
      </c>
      <c r="O17" s="62">
        <f>IF(O3=0,0,O3/TrNavi_act!O3*1000)</f>
        <v>43.642458809225808</v>
      </c>
      <c r="P17" s="62">
        <f>IF(P3=0,0,P3/TrNavi_act!P3*1000)</f>
        <v>41.303523688121487</v>
      </c>
      <c r="Q17" s="62">
        <f>IF(Q3=0,0,Q3/TrNavi_act!Q3*1000)</f>
        <v>40.254663461905409</v>
      </c>
      <c r="R17" s="62">
        <f>IF(R3=0,0,R3/TrNavi_act!R3*1000)</f>
        <v>39.273460469013202</v>
      </c>
      <c r="S17" s="62">
        <f>IF(S3=0,0,S3/TrNavi_act!S3*1000)</f>
        <v>37.401843965913713</v>
      </c>
      <c r="T17" s="62">
        <f>IF(T3=0,0,T3/TrNavi_act!T3*1000)</f>
        <v>50.760825447165061</v>
      </c>
      <c r="U17" s="62">
        <f>IF(U3=0,0,U3/TrNavi_act!U3*1000)</f>
        <v>48.924280899697941</v>
      </c>
      <c r="V17" s="62">
        <f>IF(V3=0,0,V3/TrNavi_act!V3*1000)</f>
        <v>51.00317455184755</v>
      </c>
      <c r="W17" s="62">
        <f>IF(W3=0,0,W3/TrNavi_act!W3*1000)</f>
        <v>45.886362691757164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188.12210819178947</v>
      </c>
      <c r="C18" s="63">
        <f>IF(C4=0,0,C4/TrNavi_act!C4*1000)</f>
        <v>170.97577246242332</v>
      </c>
      <c r="D18" s="63">
        <f>IF(D4=0,0,D4/TrNavi_act!D4*1000)</f>
        <v>156.52489159282544</v>
      </c>
      <c r="E18" s="63">
        <f>IF(E4=0,0,E4/TrNavi_act!E4*1000)</f>
        <v>160.5923840431781</v>
      </c>
      <c r="F18" s="63">
        <f>IF(F4=0,0,F4/TrNavi_act!F4*1000)</f>
        <v>142.74491825511777</v>
      </c>
      <c r="G18" s="63">
        <f>IF(G4=0,0,G4/TrNavi_act!G4*1000)</f>
        <v>137.6339673078578</v>
      </c>
      <c r="H18" s="63">
        <f>IF(H4=0,0,H4/TrNavi_act!H4*1000)</f>
        <v>99.782070170239052</v>
      </c>
      <c r="I18" s="63">
        <f>IF(I4=0,0,I4/TrNavi_act!I4*1000)</f>
        <v>97.453224214937038</v>
      </c>
      <c r="J18" s="63">
        <f>IF(J4=0,0,J4/TrNavi_act!J4*1000)</f>
        <v>107.13107690780187</v>
      </c>
      <c r="K18" s="63">
        <f>IF(K4=0,0,K4/TrNavi_act!K4*1000)</f>
        <v>99.158557334111194</v>
      </c>
      <c r="L18" s="63">
        <f>IF(L4=0,0,L4/TrNavi_act!L4*1000)</f>
        <v>91.878296423556094</v>
      </c>
      <c r="M18" s="63">
        <f>IF(M4=0,0,M4/TrNavi_act!M4*1000)</f>
        <v>101.15955407587042</v>
      </c>
      <c r="N18" s="63">
        <f>IF(N4=0,0,N4/TrNavi_act!N4*1000)</f>
        <v>88.320956259181543</v>
      </c>
      <c r="O18" s="63">
        <f>IF(O4=0,0,O4/TrNavi_act!O4*1000)</f>
        <v>95.244515222063242</v>
      </c>
      <c r="P18" s="63">
        <f>IF(P4=0,0,P4/TrNavi_act!P4*1000)</f>
        <v>93.700278113352127</v>
      </c>
      <c r="Q18" s="63">
        <f>IF(Q4=0,0,Q4/TrNavi_act!Q4*1000)</f>
        <v>83.643047613077925</v>
      </c>
      <c r="R18" s="63">
        <f>IF(R4=0,0,R4/TrNavi_act!R4*1000)</f>
        <v>82.912633219374541</v>
      </c>
      <c r="S18" s="63">
        <f>IF(S4=0,0,S4/TrNavi_act!S4*1000)</f>
        <v>85.818063434972842</v>
      </c>
      <c r="T18" s="63">
        <f>IF(T4=0,0,T4/TrNavi_act!T4*1000)</f>
        <v>109.57179378768308</v>
      </c>
      <c r="U18" s="63">
        <f>IF(U4=0,0,U4/TrNavi_act!U4*1000)</f>
        <v>107.90380883179094</v>
      </c>
      <c r="V18" s="63">
        <f>IF(V4=0,0,V4/TrNavi_act!V4*1000)</f>
        <v>101.53805435694116</v>
      </c>
      <c r="W18" s="63">
        <f>IF(W4=0,0,W4/TrNavi_act!W4*1000)</f>
        <v>95.383408679393355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119.09439473756809</v>
      </c>
      <c r="C19" s="64">
        <f>IF(C5=0,0,C5/TrNavi_act!C5*1000)</f>
        <v>108.21428959248645</v>
      </c>
      <c r="D19" s="64">
        <f>IF(D5=0,0,D5/TrNavi_act!D5*1000)</f>
        <v>93.090525386747814</v>
      </c>
      <c r="E19" s="64">
        <f>IF(E5=0,0,E5/TrNavi_act!E5*1000)</f>
        <v>102.51984569668255</v>
      </c>
      <c r="F19" s="64">
        <f>IF(F5=0,0,F5/TrNavi_act!F5*1000)</f>
        <v>90.063822789446604</v>
      </c>
      <c r="G19" s="64">
        <f>IF(G5=0,0,G5/TrNavi_act!G5*1000)</f>
        <v>80.019065307131569</v>
      </c>
      <c r="H19" s="64">
        <f>IF(H5=0,0,H5/TrNavi_act!H5*1000)</f>
        <v>48.865569031069924</v>
      </c>
      <c r="I19" s="64">
        <f>IF(I5=0,0,I5/TrNavi_act!I5*1000)</f>
        <v>49.999527332701838</v>
      </c>
      <c r="J19" s="64">
        <f>IF(J5=0,0,J5/TrNavi_act!J5*1000)</f>
        <v>50.64948338246522</v>
      </c>
      <c r="K19" s="64">
        <f>IF(K5=0,0,K5/TrNavi_act!K5*1000)</f>
        <v>54.461555515643006</v>
      </c>
      <c r="L19" s="64">
        <f>IF(L5=0,0,L5/TrNavi_act!L5*1000)</f>
        <v>50.956348180154414</v>
      </c>
      <c r="M19" s="64">
        <f>IF(M5=0,0,M5/TrNavi_act!M5*1000)</f>
        <v>48.122779793229334</v>
      </c>
      <c r="N19" s="64">
        <f>IF(N5=0,0,N5/TrNavi_act!N5*1000)</f>
        <v>41.57161054701416</v>
      </c>
      <c r="O19" s="64">
        <f>IF(O5=0,0,O5/TrNavi_act!O5*1000)</f>
        <v>42.671299644101971</v>
      </c>
      <c r="P19" s="64">
        <f>IF(P5=0,0,P5/TrNavi_act!P5*1000)</f>
        <v>40.348364596233353</v>
      </c>
      <c r="Q19" s="64">
        <f>IF(Q5=0,0,Q5/TrNavi_act!Q5*1000)</f>
        <v>39.476623090476373</v>
      </c>
      <c r="R19" s="64">
        <f>IF(R5=0,0,R5/TrNavi_act!R5*1000)</f>
        <v>38.354410451317491</v>
      </c>
      <c r="S19" s="64">
        <f>IF(S5=0,0,S5/TrNavi_act!S5*1000)</f>
        <v>36.681228437719518</v>
      </c>
      <c r="T19" s="64">
        <f>IF(T5=0,0,T5/TrNavi_act!T5*1000)</f>
        <v>49.550539020557153</v>
      </c>
      <c r="U19" s="64">
        <f>IF(U5=0,0,U5/TrNavi_act!U5*1000)</f>
        <v>47.460704711391557</v>
      </c>
      <c r="V19" s="64">
        <f>IF(V5=0,0,V5/TrNavi_act!V5*1000)</f>
        <v>49.585632868587155</v>
      </c>
      <c r="W19" s="64">
        <f>IF(W5=0,0,W5/TrNavi_act!W5*1000)</f>
        <v>44.299867399164704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5.8110312472428143E-2</v>
      </c>
      <c r="C22" s="77">
        <f t="shared" si="5"/>
        <v>4.922673450105531E-2</v>
      </c>
      <c r="D22" s="77">
        <f t="shared" si="5"/>
        <v>4.2789462143986962E-2</v>
      </c>
      <c r="E22" s="77">
        <f t="shared" si="5"/>
        <v>3.7271974902049837E-2</v>
      </c>
      <c r="F22" s="77">
        <f t="shared" si="5"/>
        <v>2.7739580554989467E-2</v>
      </c>
      <c r="G22" s="77">
        <f t="shared" si="5"/>
        <v>5.2343286356492949E-2</v>
      </c>
      <c r="H22" s="77">
        <f t="shared" si="5"/>
        <v>7.041901217425621E-2</v>
      </c>
      <c r="I22" s="77">
        <f t="shared" si="5"/>
        <v>7.7298026561277641E-2</v>
      </c>
      <c r="J22" s="77">
        <f t="shared" si="5"/>
        <v>8.4238880071246774E-2</v>
      </c>
      <c r="K22" s="77">
        <f t="shared" si="5"/>
        <v>5.742240016317831E-2</v>
      </c>
      <c r="L22" s="77">
        <f t="shared" si="5"/>
        <v>4.87608149618554E-2</v>
      </c>
      <c r="M22" s="77">
        <f t="shared" si="5"/>
        <v>4.4235719717890823E-2</v>
      </c>
      <c r="N22" s="77">
        <f t="shared" si="5"/>
        <v>4.0228247954398416E-2</v>
      </c>
      <c r="O22" s="77">
        <f t="shared" si="5"/>
        <v>4.0314069216646119E-2</v>
      </c>
      <c r="P22" s="77">
        <f t="shared" si="5"/>
        <v>4.0614348371626315E-2</v>
      </c>
      <c r="Q22" s="77">
        <f t="shared" si="5"/>
        <v>3.6603577864742415E-2</v>
      </c>
      <c r="R22" s="77">
        <f t="shared" si="5"/>
        <v>4.3544451646564834E-2</v>
      </c>
      <c r="S22" s="77">
        <f t="shared" si="5"/>
        <v>3.3649772546818113E-2</v>
      </c>
      <c r="T22" s="77">
        <f t="shared" si="5"/>
        <v>4.3526444030244929E-2</v>
      </c>
      <c r="U22" s="77">
        <f t="shared" si="5"/>
        <v>5.34048745271739E-2</v>
      </c>
      <c r="V22" s="77">
        <f t="shared" ref="V22:W22" si="6">IF(V4=0,0,V4/V$3)</f>
        <v>5.4320239053367865E-2</v>
      </c>
      <c r="W22" s="77">
        <f t="shared" si="6"/>
        <v>6.4557543494859357E-2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0.94188968752757185</v>
      </c>
      <c r="C23" s="78">
        <f t="shared" si="7"/>
        <v>0.9507732654989447</v>
      </c>
      <c r="D23" s="78">
        <f t="shared" si="7"/>
        <v>0.95721053785601307</v>
      </c>
      <c r="E23" s="78">
        <f t="shared" si="7"/>
        <v>0.96272802509795019</v>
      </c>
      <c r="F23" s="78">
        <f t="shared" si="7"/>
        <v>0.97226041944501052</v>
      </c>
      <c r="G23" s="78">
        <f t="shared" si="7"/>
        <v>0.94765671364350701</v>
      </c>
      <c r="H23" s="78">
        <f t="shared" si="7"/>
        <v>0.92958098782574383</v>
      </c>
      <c r="I23" s="78">
        <f t="shared" si="7"/>
        <v>0.9227019734387224</v>
      </c>
      <c r="J23" s="78">
        <f t="shared" si="7"/>
        <v>0.91576111992875331</v>
      </c>
      <c r="K23" s="78">
        <f t="shared" si="7"/>
        <v>0.94257759983682177</v>
      </c>
      <c r="L23" s="78">
        <f t="shared" si="7"/>
        <v>0.95123918503814464</v>
      </c>
      <c r="M23" s="78">
        <f t="shared" si="7"/>
        <v>0.95576428028210925</v>
      </c>
      <c r="N23" s="78">
        <f t="shared" si="7"/>
        <v>0.95977175204560161</v>
      </c>
      <c r="O23" s="78">
        <f t="shared" si="7"/>
        <v>0.95968593078335385</v>
      </c>
      <c r="P23" s="78">
        <f t="shared" si="7"/>
        <v>0.95938565162837364</v>
      </c>
      <c r="Q23" s="78">
        <f t="shared" si="7"/>
        <v>0.96339642213525756</v>
      </c>
      <c r="R23" s="78">
        <f t="shared" si="7"/>
        <v>0.95645554835343516</v>
      </c>
      <c r="S23" s="78">
        <f t="shared" si="7"/>
        <v>0.96635022745318189</v>
      </c>
      <c r="T23" s="78">
        <f t="shared" si="7"/>
        <v>0.95647355596975503</v>
      </c>
      <c r="U23" s="78">
        <f t="shared" si="7"/>
        <v>0.94659512547282609</v>
      </c>
      <c r="V23" s="78">
        <f t="shared" ref="V23:W23" si="8">IF(V5=0,0,V5/V$3)</f>
        <v>0.94567976094663209</v>
      </c>
      <c r="W23" s="78">
        <f t="shared" si="8"/>
        <v>0.93544245650514057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536916.56472699996</v>
      </c>
      <c r="C3" s="54">
        <f t="shared" si="0"/>
        <v>520691.82786900003</v>
      </c>
      <c r="D3" s="54">
        <f t="shared" si="0"/>
        <v>531595.50188899995</v>
      </c>
      <c r="E3" s="54">
        <f t="shared" si="0"/>
        <v>574420.27238299989</v>
      </c>
      <c r="F3" s="54">
        <f t="shared" si="0"/>
        <v>613771.14148300001</v>
      </c>
      <c r="G3" s="54">
        <f t="shared" si="0"/>
        <v>664874.12805900001</v>
      </c>
      <c r="H3" s="54">
        <f t="shared" si="0"/>
        <v>708968.74720900005</v>
      </c>
      <c r="I3" s="54">
        <f t="shared" si="0"/>
        <v>781322.25958099996</v>
      </c>
      <c r="J3" s="54">
        <f t="shared" si="0"/>
        <v>813581.504128</v>
      </c>
      <c r="K3" s="54">
        <f t="shared" si="0"/>
        <v>669504.83432400005</v>
      </c>
      <c r="L3" s="54">
        <f t="shared" si="0"/>
        <v>739239.87724000006</v>
      </c>
      <c r="M3" s="54">
        <f t="shared" si="0"/>
        <v>790637.17215100012</v>
      </c>
      <c r="N3" s="54">
        <f t="shared" si="0"/>
        <v>738084.92249000003</v>
      </c>
      <c r="O3" s="54">
        <f t="shared" si="0"/>
        <v>750287.93105100002</v>
      </c>
      <c r="P3" s="54">
        <f t="shared" si="0"/>
        <v>776085.00841999997</v>
      </c>
      <c r="Q3" s="54">
        <f t="shared" si="0"/>
        <v>795870.21277400001</v>
      </c>
      <c r="R3" s="54">
        <f t="shared" ref="R3:W3" si="1">SUM(R4:R5)</f>
        <v>807296.094836</v>
      </c>
      <c r="S3" s="54">
        <f t="shared" si="1"/>
        <v>886372.32640699996</v>
      </c>
      <c r="T3" s="54">
        <f t="shared" si="1"/>
        <v>924557.71506299998</v>
      </c>
      <c r="U3" s="54">
        <f t="shared" si="1"/>
        <v>957033.14185300004</v>
      </c>
      <c r="V3" s="54">
        <f t="shared" si="1"/>
        <v>927838.81251600001</v>
      </c>
      <c r="W3" s="54">
        <f t="shared" si="1"/>
        <v>996096.745704</v>
      </c>
      <c r="DA3" s="172" t="s">
        <v>387</v>
      </c>
    </row>
    <row r="4" spans="1:105" ht="11.45" customHeight="1" x14ac:dyDescent="0.25">
      <c r="A4" s="55" t="s">
        <v>170</v>
      </c>
      <c r="B4" s="56">
        <v>49184.657199000001</v>
      </c>
      <c r="C4" s="56">
        <v>49571.621654000002</v>
      </c>
      <c r="D4" s="56">
        <v>46311.462051999995</v>
      </c>
      <c r="E4" s="56">
        <v>49835.065215000002</v>
      </c>
      <c r="F4" s="56">
        <v>45353.962316000005</v>
      </c>
      <c r="G4" s="56">
        <v>42186.861394</v>
      </c>
      <c r="H4" s="56">
        <v>43542.823435999999</v>
      </c>
      <c r="I4" s="56">
        <v>45916.212125000005</v>
      </c>
      <c r="J4" s="56">
        <v>47033.962696000002</v>
      </c>
      <c r="K4" s="56">
        <v>38142.209949999997</v>
      </c>
      <c r="L4" s="56">
        <v>46971.507127999997</v>
      </c>
      <c r="M4" s="56">
        <v>45203.572231000006</v>
      </c>
      <c r="N4" s="56">
        <v>46983.007283999999</v>
      </c>
      <c r="O4" s="56">
        <v>50501.311792</v>
      </c>
      <c r="P4" s="56">
        <v>54921.373045</v>
      </c>
      <c r="Q4" s="56">
        <v>59328.814479000001</v>
      </c>
      <c r="R4" s="56">
        <v>73280.599928000011</v>
      </c>
      <c r="S4" s="56">
        <v>70035.566493000006</v>
      </c>
      <c r="T4" s="56">
        <v>67540.769266000003</v>
      </c>
      <c r="U4" s="56">
        <v>72979.931723000002</v>
      </c>
      <c r="V4" s="56">
        <v>71565.373140000011</v>
      </c>
      <c r="W4" s="56">
        <v>75784.535545999999</v>
      </c>
      <c r="DA4" s="181" t="s">
        <v>388</v>
      </c>
    </row>
    <row r="5" spans="1:105" ht="11.45" customHeight="1" x14ac:dyDescent="0.25">
      <c r="A5" s="57" t="s">
        <v>171</v>
      </c>
      <c r="B5" s="58">
        <v>487731.90752800001</v>
      </c>
      <c r="C5" s="58">
        <v>471120.20621500001</v>
      </c>
      <c r="D5" s="58">
        <v>485284.03983699996</v>
      </c>
      <c r="E5" s="58">
        <v>524585.20716799994</v>
      </c>
      <c r="F5" s="58">
        <v>568417.17916699999</v>
      </c>
      <c r="G5" s="58">
        <v>622687.266665</v>
      </c>
      <c r="H5" s="58">
        <v>665425.92377300002</v>
      </c>
      <c r="I5" s="58">
        <v>735406.047456</v>
      </c>
      <c r="J5" s="58">
        <v>766547.541432</v>
      </c>
      <c r="K5" s="58">
        <v>631362.62437400001</v>
      </c>
      <c r="L5" s="58">
        <v>692268.37011200003</v>
      </c>
      <c r="M5" s="58">
        <v>745433.59992000007</v>
      </c>
      <c r="N5" s="58">
        <v>691101.91520599998</v>
      </c>
      <c r="O5" s="58">
        <v>699786.61925900006</v>
      </c>
      <c r="P5" s="58">
        <v>721163.63537499995</v>
      </c>
      <c r="Q5" s="58">
        <v>736541.39829499996</v>
      </c>
      <c r="R5" s="58">
        <v>734015.49490799999</v>
      </c>
      <c r="S5" s="58">
        <v>816336.75991399994</v>
      </c>
      <c r="T5" s="58">
        <v>857016.94579699996</v>
      </c>
      <c r="U5" s="58">
        <v>884053.21013000002</v>
      </c>
      <c r="V5" s="58">
        <v>856273.43937599997</v>
      </c>
      <c r="W5" s="58">
        <v>920312.210158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26.396663000000004</v>
      </c>
      <c r="C7" s="59">
        <f t="shared" si="2"/>
        <v>24.680864</v>
      </c>
      <c r="D7" s="59">
        <f t="shared" si="2"/>
        <v>23.901266</v>
      </c>
      <c r="E7" s="59">
        <f t="shared" si="2"/>
        <v>25.973268999999998</v>
      </c>
      <c r="F7" s="59">
        <f t="shared" si="2"/>
        <v>25.981777999999998</v>
      </c>
      <c r="G7" s="59">
        <f t="shared" si="2"/>
        <v>27.447468999999998</v>
      </c>
      <c r="H7" s="59">
        <f t="shared" si="2"/>
        <v>27.684010000000001</v>
      </c>
      <c r="I7" s="59">
        <f t="shared" si="2"/>
        <v>29.047806000000001</v>
      </c>
      <c r="J7" s="59">
        <f t="shared" si="2"/>
        <v>29.750042000000001</v>
      </c>
      <c r="K7" s="59">
        <f t="shared" si="2"/>
        <v>23.091306000000003</v>
      </c>
      <c r="L7" s="59">
        <f t="shared" si="2"/>
        <v>24.981431999999998</v>
      </c>
      <c r="M7" s="59">
        <f t="shared" si="2"/>
        <v>25.473509</v>
      </c>
      <c r="N7" s="59">
        <f t="shared" si="2"/>
        <v>23.624670000000002</v>
      </c>
      <c r="O7" s="59">
        <f t="shared" si="2"/>
        <v>23.249436000000003</v>
      </c>
      <c r="P7" s="59">
        <f t="shared" si="2"/>
        <v>23.841157999999997</v>
      </c>
      <c r="Q7" s="59">
        <f t="shared" si="2"/>
        <v>23.942916999999998</v>
      </c>
      <c r="R7" s="59">
        <f t="shared" si="2"/>
        <v>24.662036000000001</v>
      </c>
      <c r="S7" s="59">
        <f t="shared" si="2"/>
        <v>25.882712999999999</v>
      </c>
      <c r="T7" s="59">
        <f t="shared" si="2"/>
        <v>26.434862000000003</v>
      </c>
      <c r="U7" s="59">
        <f t="shared" si="2"/>
        <v>27.63936</v>
      </c>
      <c r="V7" s="59">
        <f t="shared" si="2"/>
        <v>25.767182999999999</v>
      </c>
      <c r="W7" s="59">
        <f t="shared" si="2"/>
        <v>27.333706999999997</v>
      </c>
      <c r="DA7" s="172" t="s">
        <v>961</v>
      </c>
    </row>
    <row r="8" spans="1:105" ht="11.45" customHeight="1" x14ac:dyDescent="0.25">
      <c r="A8" s="55" t="s">
        <v>170</v>
      </c>
      <c r="B8" s="60">
        <v>7.3272379999999995</v>
      </c>
      <c r="C8" s="60">
        <v>7.1084860000000001</v>
      </c>
      <c r="D8" s="60">
        <v>6.3586410000000004</v>
      </c>
      <c r="E8" s="60">
        <v>6.7526159999999997</v>
      </c>
      <c r="F8" s="60">
        <v>5.7495659999999997</v>
      </c>
      <c r="G8" s="60">
        <v>5.2307399999999999</v>
      </c>
      <c r="H8" s="60">
        <v>5.1191769999999996</v>
      </c>
      <c r="I8" s="60">
        <v>5.1661219999999997</v>
      </c>
      <c r="J8" s="60">
        <v>5.3302200000000006</v>
      </c>
      <c r="K8" s="60">
        <v>4.0398019999999999</v>
      </c>
      <c r="L8" s="60">
        <v>4.966399</v>
      </c>
      <c r="M8" s="60">
        <v>4.6727350000000003</v>
      </c>
      <c r="N8" s="60">
        <v>4.8021060000000002</v>
      </c>
      <c r="O8" s="60">
        <v>4.964988</v>
      </c>
      <c r="P8" s="60">
        <v>5.3173199999999996</v>
      </c>
      <c r="Q8" s="60">
        <v>5.5912820000000005</v>
      </c>
      <c r="R8" s="60">
        <v>6.7243149999999998</v>
      </c>
      <c r="S8" s="60">
        <v>6.3565269999999998</v>
      </c>
      <c r="T8" s="60">
        <v>6.13246</v>
      </c>
      <c r="U8" s="60">
        <v>6.7737359999999995</v>
      </c>
      <c r="V8" s="60">
        <v>5.9814889999999998</v>
      </c>
      <c r="W8" s="60">
        <v>6.7805949999999999</v>
      </c>
      <c r="DA8" s="181" t="s">
        <v>962</v>
      </c>
    </row>
    <row r="9" spans="1:105" ht="11.45" customHeight="1" x14ac:dyDescent="0.25">
      <c r="A9" s="57" t="s">
        <v>171</v>
      </c>
      <c r="B9" s="61">
        <v>19.069425000000003</v>
      </c>
      <c r="C9" s="61">
        <v>17.572378</v>
      </c>
      <c r="D9" s="61">
        <v>17.542625000000001</v>
      </c>
      <c r="E9" s="61">
        <v>19.220652999999999</v>
      </c>
      <c r="F9" s="61">
        <v>20.232212000000001</v>
      </c>
      <c r="G9" s="61">
        <v>22.216728999999997</v>
      </c>
      <c r="H9" s="61">
        <v>22.564833</v>
      </c>
      <c r="I9" s="61">
        <v>23.881684</v>
      </c>
      <c r="J9" s="61">
        <v>24.419822</v>
      </c>
      <c r="K9" s="61">
        <v>19.051504000000001</v>
      </c>
      <c r="L9" s="61">
        <v>20.015032999999999</v>
      </c>
      <c r="M9" s="61">
        <v>20.800774000000001</v>
      </c>
      <c r="N9" s="61">
        <v>18.822564</v>
      </c>
      <c r="O9" s="61">
        <v>18.284448000000001</v>
      </c>
      <c r="P9" s="61">
        <v>18.523837999999998</v>
      </c>
      <c r="Q9" s="61">
        <v>18.351634999999998</v>
      </c>
      <c r="R9" s="61">
        <v>17.937721</v>
      </c>
      <c r="S9" s="61">
        <v>19.526185999999999</v>
      </c>
      <c r="T9" s="61">
        <v>20.302402000000001</v>
      </c>
      <c r="U9" s="61">
        <v>20.865624</v>
      </c>
      <c r="V9" s="61">
        <v>19.785693999999999</v>
      </c>
      <c r="W9" s="61">
        <v>20.553111999999999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20340.319711131666</v>
      </c>
      <c r="C13" s="62">
        <f t="shared" si="3"/>
        <v>21096.985416272302</v>
      </c>
      <c r="D13" s="62">
        <f t="shared" si="3"/>
        <v>22241.311480697295</v>
      </c>
      <c r="E13" s="62">
        <f t="shared" si="3"/>
        <v>22115.825019291948</v>
      </c>
      <c r="F13" s="62">
        <f t="shared" si="3"/>
        <v>23623.13855052568</v>
      </c>
      <c r="G13" s="62">
        <f t="shared" si="3"/>
        <v>24223.513215699415</v>
      </c>
      <c r="H13" s="62">
        <f t="shared" si="3"/>
        <v>25609.322753784585</v>
      </c>
      <c r="I13" s="62">
        <f t="shared" si="3"/>
        <v>26897.806312153141</v>
      </c>
      <c r="J13" s="62">
        <f t="shared" si="3"/>
        <v>27347.238841814073</v>
      </c>
      <c r="K13" s="62">
        <f t="shared" si="3"/>
        <v>28993.805474839752</v>
      </c>
      <c r="L13" s="62">
        <f t="shared" si="3"/>
        <v>29591.573342953285</v>
      </c>
      <c r="M13" s="62">
        <f t="shared" si="3"/>
        <v>31037.623130405791</v>
      </c>
      <c r="N13" s="62">
        <f t="shared" si="3"/>
        <v>31242.126238800371</v>
      </c>
      <c r="O13" s="62">
        <f t="shared" si="3"/>
        <v>32271.231484970212</v>
      </c>
      <c r="P13" s="62">
        <f t="shared" si="3"/>
        <v>32552.320169179704</v>
      </c>
      <c r="Q13" s="62">
        <f t="shared" si="3"/>
        <v>33240.319580692696</v>
      </c>
      <c r="R13" s="62">
        <f t="shared" si="3"/>
        <v>32734.365274464766</v>
      </c>
      <c r="S13" s="62">
        <f t="shared" si="3"/>
        <v>34245.727115507558</v>
      </c>
      <c r="T13" s="62">
        <f t="shared" si="3"/>
        <v>34974.940102316403</v>
      </c>
      <c r="U13" s="62">
        <f t="shared" si="3"/>
        <v>34625.734526884851</v>
      </c>
      <c r="V13" s="62">
        <f t="shared" si="3"/>
        <v>36008.546705163695</v>
      </c>
      <c r="W13" s="62">
        <f t="shared" si="3"/>
        <v>36442.065677516781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6712.5780818092717</v>
      </c>
      <c r="C14" s="63">
        <f t="shared" si="3"/>
        <v>6973.5836370782754</v>
      </c>
      <c r="D14" s="63">
        <f t="shared" si="3"/>
        <v>7283.2326989367684</v>
      </c>
      <c r="E14" s="63">
        <f t="shared" si="3"/>
        <v>7380.1124208751107</v>
      </c>
      <c r="F14" s="63">
        <f t="shared" si="3"/>
        <v>7888.2410108867361</v>
      </c>
      <c r="G14" s="63">
        <f t="shared" si="3"/>
        <v>8065.1803366254107</v>
      </c>
      <c r="H14" s="63">
        <f t="shared" si="3"/>
        <v>8505.8249472522639</v>
      </c>
      <c r="I14" s="63">
        <f t="shared" si="3"/>
        <v>8887.9457598949484</v>
      </c>
      <c r="J14" s="63">
        <f t="shared" si="3"/>
        <v>8824.0190266067802</v>
      </c>
      <c r="K14" s="63">
        <f t="shared" si="3"/>
        <v>9441.6038088005298</v>
      </c>
      <c r="L14" s="63">
        <f t="shared" si="3"/>
        <v>9457.8601372946468</v>
      </c>
      <c r="M14" s="63">
        <f t="shared" si="3"/>
        <v>9673.9002385112799</v>
      </c>
      <c r="N14" s="63">
        <f t="shared" si="3"/>
        <v>9783.8338603937518</v>
      </c>
      <c r="O14" s="63">
        <f t="shared" si="3"/>
        <v>10171.487180230848</v>
      </c>
      <c r="P14" s="63">
        <f t="shared" si="3"/>
        <v>10328.769576591216</v>
      </c>
      <c r="Q14" s="63">
        <f t="shared" si="3"/>
        <v>10610.950132545629</v>
      </c>
      <c r="R14" s="63">
        <f t="shared" si="3"/>
        <v>10897.853525303322</v>
      </c>
      <c r="S14" s="63">
        <f t="shared" si="3"/>
        <v>11017.898058641144</v>
      </c>
      <c r="T14" s="63">
        <f t="shared" si="3"/>
        <v>11013.65019356017</v>
      </c>
      <c r="U14" s="63">
        <f t="shared" si="3"/>
        <v>10773.955720004442</v>
      </c>
      <c r="V14" s="63">
        <f t="shared" si="3"/>
        <v>11964.474588183646</v>
      </c>
      <c r="W14" s="63">
        <f t="shared" si="3"/>
        <v>11176.679265757652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25576.644682679209</v>
      </c>
      <c r="C15" s="64">
        <f t="shared" si="3"/>
        <v>26810.270426404441</v>
      </c>
      <c r="D15" s="64">
        <f t="shared" si="3"/>
        <v>27663.137063979873</v>
      </c>
      <c r="E15" s="64">
        <f t="shared" si="3"/>
        <v>27292.7879800962</v>
      </c>
      <c r="F15" s="64">
        <f t="shared" si="3"/>
        <v>28094.663063386248</v>
      </c>
      <c r="G15" s="64">
        <f t="shared" si="3"/>
        <v>28027.855345627166</v>
      </c>
      <c r="H15" s="64">
        <f t="shared" si="3"/>
        <v>29489.512453870146</v>
      </c>
      <c r="I15" s="64">
        <f t="shared" si="3"/>
        <v>30793.726583770222</v>
      </c>
      <c r="J15" s="64">
        <f t="shared" si="3"/>
        <v>31390.382019656001</v>
      </c>
      <c r="K15" s="64">
        <f t="shared" si="3"/>
        <v>33139.778590393704</v>
      </c>
      <c r="L15" s="64">
        <f t="shared" si="3"/>
        <v>34587.420870702539</v>
      </c>
      <c r="M15" s="64">
        <f t="shared" si="3"/>
        <v>35836.820299090796</v>
      </c>
      <c r="N15" s="64">
        <f t="shared" si="3"/>
        <v>36716.672351651985</v>
      </c>
      <c r="O15" s="64">
        <f t="shared" si="3"/>
        <v>38272.231092729737</v>
      </c>
      <c r="P15" s="64">
        <f t="shared" si="3"/>
        <v>38931.653115029403</v>
      </c>
      <c r="Q15" s="64">
        <f t="shared" si="3"/>
        <v>40134.919765732047</v>
      </c>
      <c r="R15" s="64">
        <f t="shared" si="3"/>
        <v>40920.220294874693</v>
      </c>
      <c r="S15" s="64">
        <f t="shared" si="3"/>
        <v>41807.281765829743</v>
      </c>
      <c r="T15" s="64">
        <f t="shared" si="3"/>
        <v>42212.588727038303</v>
      </c>
      <c r="U15" s="64">
        <f t="shared" si="3"/>
        <v>42368.884349205182</v>
      </c>
      <c r="V15" s="64">
        <f t="shared" si="3"/>
        <v>43277.402317856526</v>
      </c>
      <c r="W15" s="64">
        <f t="shared" si="3"/>
        <v>44777.268287060375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1</v>
      </c>
      <c r="C17" s="65">
        <f t="shared" si="4"/>
        <v>1</v>
      </c>
      <c r="D17" s="65">
        <f t="shared" si="4"/>
        <v>1</v>
      </c>
      <c r="E17" s="65">
        <f t="shared" si="4"/>
        <v>1</v>
      </c>
      <c r="F17" s="65">
        <f t="shared" si="4"/>
        <v>1</v>
      </c>
      <c r="G17" s="65">
        <f t="shared" si="4"/>
        <v>1</v>
      </c>
      <c r="H17" s="65">
        <f t="shared" si="4"/>
        <v>1</v>
      </c>
      <c r="I17" s="65">
        <f t="shared" si="4"/>
        <v>1</v>
      </c>
      <c r="J17" s="65">
        <f t="shared" si="4"/>
        <v>1</v>
      </c>
      <c r="K17" s="65">
        <f t="shared" si="4"/>
        <v>1</v>
      </c>
      <c r="L17" s="65">
        <f t="shared" si="4"/>
        <v>1</v>
      </c>
      <c r="M17" s="65">
        <f t="shared" si="4"/>
        <v>1</v>
      </c>
      <c r="N17" s="65">
        <f t="shared" si="4"/>
        <v>1</v>
      </c>
      <c r="O17" s="65">
        <f t="shared" si="4"/>
        <v>1</v>
      </c>
      <c r="P17" s="65">
        <f t="shared" si="4"/>
        <v>1</v>
      </c>
      <c r="Q17" s="65">
        <f t="shared" si="4"/>
        <v>1</v>
      </c>
      <c r="R17" s="65">
        <f t="shared" si="4"/>
        <v>1</v>
      </c>
      <c r="S17" s="65">
        <f t="shared" si="4"/>
        <v>1</v>
      </c>
      <c r="T17" s="65">
        <f t="shared" si="4"/>
        <v>1</v>
      </c>
      <c r="U17" s="65">
        <f t="shared" si="4"/>
        <v>1</v>
      </c>
      <c r="V17" s="65">
        <f t="shared" si="4"/>
        <v>1</v>
      </c>
      <c r="W17" s="65">
        <f t="shared" si="4"/>
        <v>1</v>
      </c>
      <c r="DA17" s="172"/>
    </row>
    <row r="18" spans="1:105" ht="11.45" customHeight="1" x14ac:dyDescent="0.25">
      <c r="A18" s="55" t="s">
        <v>170</v>
      </c>
      <c r="B18" s="66">
        <f t="shared" si="4"/>
        <v>9.1605773466885643E-2</v>
      </c>
      <c r="C18" s="66">
        <f t="shared" si="4"/>
        <v>9.520337942863133E-2</v>
      </c>
      <c r="D18" s="66">
        <f t="shared" si="4"/>
        <v>8.7117859138074655E-2</v>
      </c>
      <c r="E18" s="66">
        <f t="shared" si="4"/>
        <v>8.675714909617957E-2</v>
      </c>
      <c r="F18" s="66">
        <f t="shared" si="4"/>
        <v>7.3893930898111804E-2</v>
      </c>
      <c r="G18" s="66">
        <f t="shared" si="4"/>
        <v>6.3450899371221128E-2</v>
      </c>
      <c r="H18" s="66">
        <f t="shared" si="4"/>
        <v>6.1417126787908768E-2</v>
      </c>
      <c r="I18" s="66">
        <f t="shared" si="4"/>
        <v>5.8767315997912968E-2</v>
      </c>
      <c r="J18" s="66">
        <f t="shared" si="4"/>
        <v>5.7811002901806623E-2</v>
      </c>
      <c r="K18" s="66">
        <f t="shared" si="4"/>
        <v>5.6970776004197546E-2</v>
      </c>
      <c r="L18" s="66">
        <f t="shared" si="4"/>
        <v>6.3540277755809338E-2</v>
      </c>
      <c r="M18" s="66">
        <f t="shared" si="4"/>
        <v>5.7173598488949852E-2</v>
      </c>
      <c r="N18" s="66">
        <f t="shared" si="4"/>
        <v>6.3655286610514047E-2</v>
      </c>
      <c r="O18" s="66">
        <f t="shared" si="4"/>
        <v>6.7309241828344468E-2</v>
      </c>
      <c r="P18" s="66">
        <f t="shared" si="4"/>
        <v>7.0767212933042223E-2</v>
      </c>
      <c r="Q18" s="66">
        <f t="shared" si="4"/>
        <v>7.4545841177055538E-2</v>
      </c>
      <c r="R18" s="66">
        <f t="shared" si="4"/>
        <v>9.0772890388980218E-2</v>
      </c>
      <c r="S18" s="66">
        <f t="shared" si="4"/>
        <v>7.9013710611765459E-2</v>
      </c>
      <c r="T18" s="66">
        <f t="shared" si="4"/>
        <v>7.3051977356976286E-2</v>
      </c>
      <c r="U18" s="66">
        <f t="shared" si="4"/>
        <v>7.6256430975521733E-2</v>
      </c>
      <c r="V18" s="66">
        <f t="shared" si="4"/>
        <v>7.7131256177932206E-2</v>
      </c>
      <c r="W18" s="66">
        <f t="shared" si="4"/>
        <v>7.6081500991591555E-2</v>
      </c>
      <c r="DA18" s="181"/>
    </row>
    <row r="19" spans="1:105" ht="11.45" customHeight="1" x14ac:dyDescent="0.25">
      <c r="A19" s="57" t="s">
        <v>171</v>
      </c>
      <c r="B19" s="67">
        <f t="shared" si="4"/>
        <v>0.90839422653311441</v>
      </c>
      <c r="C19" s="67">
        <f t="shared" si="4"/>
        <v>0.90479662057136867</v>
      </c>
      <c r="D19" s="67">
        <f t="shared" si="4"/>
        <v>0.91288214086192532</v>
      </c>
      <c r="E19" s="67">
        <f t="shared" si="4"/>
        <v>0.91324285090382051</v>
      </c>
      <c r="F19" s="67">
        <f t="shared" si="4"/>
        <v>0.9261060691018882</v>
      </c>
      <c r="G19" s="67">
        <f t="shared" si="4"/>
        <v>0.93654910062877883</v>
      </c>
      <c r="H19" s="67">
        <f t="shared" si="4"/>
        <v>0.93858287321209122</v>
      </c>
      <c r="I19" s="67">
        <f t="shared" si="4"/>
        <v>0.94123268400208704</v>
      </c>
      <c r="J19" s="67">
        <f t="shared" si="4"/>
        <v>0.94218899709819337</v>
      </c>
      <c r="K19" s="67">
        <f t="shared" si="4"/>
        <v>0.94302922399580236</v>
      </c>
      <c r="L19" s="67">
        <f t="shared" si="4"/>
        <v>0.93645972224419061</v>
      </c>
      <c r="M19" s="67">
        <f t="shared" si="4"/>
        <v>0.94282640151105013</v>
      </c>
      <c r="N19" s="67">
        <f t="shared" si="4"/>
        <v>0.93634471338948588</v>
      </c>
      <c r="O19" s="67">
        <f t="shared" si="4"/>
        <v>0.93269075817165559</v>
      </c>
      <c r="P19" s="67">
        <f t="shared" si="4"/>
        <v>0.92923278706695778</v>
      </c>
      <c r="Q19" s="67">
        <f t="shared" si="4"/>
        <v>0.92545415882294435</v>
      </c>
      <c r="R19" s="67">
        <f t="shared" si="4"/>
        <v>0.90922710961101982</v>
      </c>
      <c r="S19" s="67">
        <f t="shared" si="4"/>
        <v>0.92098628938823457</v>
      </c>
      <c r="T19" s="67">
        <f t="shared" si="4"/>
        <v>0.92694802264302367</v>
      </c>
      <c r="U19" s="67">
        <f t="shared" si="4"/>
        <v>0.92374356902447829</v>
      </c>
      <c r="V19" s="67">
        <f t="shared" si="4"/>
        <v>0.92286874382206774</v>
      </c>
      <c r="W19" s="67">
        <f t="shared" si="4"/>
        <v>0.92391849900840839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1</v>
      </c>
      <c r="C21" s="65">
        <f t="shared" si="5"/>
        <v>1</v>
      </c>
      <c r="D21" s="65">
        <f t="shared" si="5"/>
        <v>1</v>
      </c>
      <c r="E21" s="65">
        <f t="shared" si="5"/>
        <v>1</v>
      </c>
      <c r="F21" s="65">
        <f t="shared" si="5"/>
        <v>1</v>
      </c>
      <c r="G21" s="65">
        <f t="shared" si="5"/>
        <v>1</v>
      </c>
      <c r="H21" s="65">
        <f t="shared" si="5"/>
        <v>1</v>
      </c>
      <c r="I21" s="65">
        <f t="shared" si="5"/>
        <v>1</v>
      </c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si="5"/>
        <v>1</v>
      </c>
      <c r="R21" s="65">
        <f t="shared" si="5"/>
        <v>1</v>
      </c>
      <c r="S21" s="65">
        <f t="shared" si="5"/>
        <v>1</v>
      </c>
      <c r="T21" s="65">
        <f t="shared" si="5"/>
        <v>1</v>
      </c>
      <c r="U21" s="65">
        <f t="shared" si="5"/>
        <v>1</v>
      </c>
      <c r="V21" s="65">
        <f t="shared" si="5"/>
        <v>1</v>
      </c>
      <c r="W21" s="65">
        <f t="shared" si="5"/>
        <v>1</v>
      </c>
      <c r="DA21" s="172"/>
    </row>
    <row r="22" spans="1:105" ht="11.45" customHeight="1" x14ac:dyDescent="0.25">
      <c r="A22" s="55" t="s">
        <v>170</v>
      </c>
      <c r="B22" s="66">
        <f t="shared" si="5"/>
        <v>0.27758198072233592</v>
      </c>
      <c r="C22" s="66">
        <f t="shared" si="5"/>
        <v>0.28801609214328966</v>
      </c>
      <c r="D22" s="66">
        <f t="shared" si="5"/>
        <v>0.26603783247297447</v>
      </c>
      <c r="E22" s="66">
        <f t="shared" si="5"/>
        <v>0.2599832928230944</v>
      </c>
      <c r="F22" s="66">
        <f t="shared" si="5"/>
        <v>0.22129224566540442</v>
      </c>
      <c r="G22" s="66">
        <f t="shared" si="5"/>
        <v>0.19057276282924301</v>
      </c>
      <c r="H22" s="66">
        <f t="shared" si="5"/>
        <v>0.18491457704284892</v>
      </c>
      <c r="I22" s="66">
        <f t="shared" si="5"/>
        <v>0.17784895699179482</v>
      </c>
      <c r="J22" s="66">
        <f t="shared" si="5"/>
        <v>0.17916680588215642</v>
      </c>
      <c r="K22" s="66">
        <f t="shared" si="5"/>
        <v>0.17494904792305813</v>
      </c>
      <c r="L22" s="66">
        <f t="shared" si="5"/>
        <v>0.19880361542124569</v>
      </c>
      <c r="M22" s="66">
        <f t="shared" si="5"/>
        <v>0.18343507366809969</v>
      </c>
      <c r="N22" s="66">
        <f t="shared" si="5"/>
        <v>0.20326658531103292</v>
      </c>
      <c r="O22" s="66">
        <f t="shared" si="5"/>
        <v>0.2135530513514392</v>
      </c>
      <c r="P22" s="66">
        <f t="shared" si="5"/>
        <v>0.22303111283436822</v>
      </c>
      <c r="Q22" s="66">
        <f t="shared" si="5"/>
        <v>0.23352551403824359</v>
      </c>
      <c r="R22" s="66">
        <f t="shared" si="5"/>
        <v>0.27265855098094899</v>
      </c>
      <c r="S22" s="66">
        <f t="shared" si="5"/>
        <v>0.24558967214912902</v>
      </c>
      <c r="T22" s="66">
        <f t="shared" si="5"/>
        <v>0.23198380986441311</v>
      </c>
      <c r="U22" s="66">
        <f t="shared" si="5"/>
        <v>0.24507571810635267</v>
      </c>
      <c r="V22" s="66">
        <f t="shared" si="5"/>
        <v>0.23213593041971256</v>
      </c>
      <c r="W22" s="66">
        <f t="shared" si="5"/>
        <v>0.24806715752093197</v>
      </c>
      <c r="DA22" s="181"/>
    </row>
    <row r="23" spans="1:105" ht="11.45" customHeight="1" x14ac:dyDescent="0.25">
      <c r="A23" s="57" t="s">
        <v>171</v>
      </c>
      <c r="B23" s="67">
        <f t="shared" si="5"/>
        <v>0.72241801927766403</v>
      </c>
      <c r="C23" s="67">
        <f t="shared" si="5"/>
        <v>0.7119839078567104</v>
      </c>
      <c r="D23" s="67">
        <f t="shared" si="5"/>
        <v>0.73396216752702559</v>
      </c>
      <c r="E23" s="67">
        <f t="shared" si="5"/>
        <v>0.7400167071769056</v>
      </c>
      <c r="F23" s="67">
        <f t="shared" si="5"/>
        <v>0.7787077543345956</v>
      </c>
      <c r="G23" s="67">
        <f t="shared" si="5"/>
        <v>0.80942723717075693</v>
      </c>
      <c r="H23" s="67">
        <f t="shared" si="5"/>
        <v>0.81508542295715103</v>
      </c>
      <c r="I23" s="67">
        <f t="shared" si="5"/>
        <v>0.82215104300820507</v>
      </c>
      <c r="J23" s="67">
        <f t="shared" si="5"/>
        <v>0.82083319411784361</v>
      </c>
      <c r="K23" s="67">
        <f t="shared" si="5"/>
        <v>0.82505095207694179</v>
      </c>
      <c r="L23" s="67">
        <f t="shared" si="5"/>
        <v>0.80119638457875431</v>
      </c>
      <c r="M23" s="67">
        <f t="shared" si="5"/>
        <v>0.81656492633190036</v>
      </c>
      <c r="N23" s="67">
        <f t="shared" si="5"/>
        <v>0.79673341468896697</v>
      </c>
      <c r="O23" s="67">
        <f t="shared" si="5"/>
        <v>0.78644694864856068</v>
      </c>
      <c r="P23" s="67">
        <f t="shared" si="5"/>
        <v>0.77696888716563184</v>
      </c>
      <c r="Q23" s="67">
        <f t="shared" si="5"/>
        <v>0.76647448596175649</v>
      </c>
      <c r="R23" s="67">
        <f t="shared" si="5"/>
        <v>0.72734144901905096</v>
      </c>
      <c r="S23" s="67">
        <f t="shared" si="5"/>
        <v>0.75441032785087092</v>
      </c>
      <c r="T23" s="67">
        <f t="shared" si="5"/>
        <v>0.76801619013558686</v>
      </c>
      <c r="U23" s="67">
        <f t="shared" si="5"/>
        <v>0.75492428189364735</v>
      </c>
      <c r="V23" s="67">
        <f t="shared" si="5"/>
        <v>0.76786406958028741</v>
      </c>
      <c r="W23" s="67">
        <f t="shared" si="5"/>
        <v>0.75193284247906811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5340.7423043852104</v>
      </c>
      <c r="C3" s="62">
        <f t="shared" ref="C3:W3" si="0">SUM(C4,C10)</f>
        <v>5220.4500429922609</v>
      </c>
      <c r="D3" s="62">
        <f t="shared" si="0"/>
        <v>6810.6668959587269</v>
      </c>
      <c r="E3" s="62">
        <f t="shared" si="0"/>
        <v>7440.7423903697336</v>
      </c>
      <c r="F3" s="62">
        <f t="shared" si="0"/>
        <v>7709.2194325021501</v>
      </c>
      <c r="G3" s="62">
        <f t="shared" si="0"/>
        <v>7630.3334479793648</v>
      </c>
      <c r="H3" s="62">
        <f t="shared" si="0"/>
        <v>8261.0681857265681</v>
      </c>
      <c r="I3" s="62">
        <f t="shared" si="0"/>
        <v>9234.9814273430784</v>
      </c>
      <c r="J3" s="62">
        <f t="shared" si="0"/>
        <v>9523.9562338779033</v>
      </c>
      <c r="K3" s="62">
        <f t="shared" si="0"/>
        <v>6986.252020636286</v>
      </c>
      <c r="L3" s="62">
        <f t="shared" si="0"/>
        <v>7596.4269131556321</v>
      </c>
      <c r="M3" s="62">
        <f t="shared" si="0"/>
        <v>6749.9235597592442</v>
      </c>
      <c r="N3" s="62">
        <f t="shared" si="0"/>
        <v>6044.2343078245904</v>
      </c>
      <c r="O3" s="62">
        <f t="shared" si="0"/>
        <v>6156.324591573516</v>
      </c>
      <c r="P3" s="62">
        <f t="shared" si="0"/>
        <v>5380.7203783319001</v>
      </c>
      <c r="Q3" s="62">
        <f t="shared" si="0"/>
        <v>5821.295442820292</v>
      </c>
      <c r="R3" s="62">
        <f t="shared" si="0"/>
        <v>6663.7966466036123</v>
      </c>
      <c r="S3" s="62">
        <f t="shared" si="0"/>
        <v>7493.3091143594138</v>
      </c>
      <c r="T3" s="62">
        <f t="shared" si="0"/>
        <v>9282.4941530524484</v>
      </c>
      <c r="U3" s="62">
        <f t="shared" si="0"/>
        <v>8197.5016337059333</v>
      </c>
      <c r="V3" s="62">
        <f t="shared" si="0"/>
        <v>6376.616595012898</v>
      </c>
      <c r="W3" s="62">
        <f t="shared" si="0"/>
        <v>7575.1032674118651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1340.7035909013334</v>
      </c>
      <c r="C4" s="71">
        <f t="shared" ref="C4:W4" si="1">SUM(C5:C9)</f>
        <v>1347.5443165936952</v>
      </c>
      <c r="D4" s="71">
        <f t="shared" si="1"/>
        <v>1651.7708353221506</v>
      </c>
      <c r="E4" s="71">
        <f t="shared" si="1"/>
        <v>1796.2460893853404</v>
      </c>
      <c r="F4" s="71">
        <f t="shared" si="1"/>
        <v>1657.2812018070094</v>
      </c>
      <c r="G4" s="71">
        <f t="shared" si="1"/>
        <v>1464.7159972682057</v>
      </c>
      <c r="H4" s="71">
        <f t="shared" si="1"/>
        <v>1544.8497496569321</v>
      </c>
      <c r="I4" s="71">
        <f t="shared" si="1"/>
        <v>1672.5108603875765</v>
      </c>
      <c r="J4" s="71">
        <f t="shared" si="1"/>
        <v>1708.1007382236767</v>
      </c>
      <c r="K4" s="71">
        <f t="shared" si="1"/>
        <v>1238.2971568657213</v>
      </c>
      <c r="L4" s="71">
        <f t="shared" si="1"/>
        <v>1470.5327751308741</v>
      </c>
      <c r="M4" s="71">
        <f t="shared" si="1"/>
        <v>1212.2793980900344</v>
      </c>
      <c r="N4" s="71">
        <f t="shared" si="1"/>
        <v>1178.0749089117285</v>
      </c>
      <c r="O4" s="71">
        <f t="shared" si="1"/>
        <v>1252.9255966519834</v>
      </c>
      <c r="P4" s="71">
        <f t="shared" si="1"/>
        <v>1134.5770927799883</v>
      </c>
      <c r="Q4" s="71">
        <f t="shared" si="1"/>
        <v>1274.7604819125079</v>
      </c>
      <c r="R4" s="71">
        <f t="shared" si="1"/>
        <v>1667.3341012965707</v>
      </c>
      <c r="S4" s="71">
        <f t="shared" si="1"/>
        <v>1709.7232425887601</v>
      </c>
      <c r="T4" s="71">
        <f t="shared" si="1"/>
        <v>2004.0652598507049</v>
      </c>
      <c r="U4" s="71">
        <f t="shared" si="1"/>
        <v>1841.0366289437375</v>
      </c>
      <c r="V4" s="71">
        <f t="shared" si="1"/>
        <v>1248.3003628701426</v>
      </c>
      <c r="W4" s="71">
        <f t="shared" si="1"/>
        <v>1539.4317097464832</v>
      </c>
      <c r="DA4" s="186" t="s">
        <v>969</v>
      </c>
    </row>
    <row r="5" spans="1:105" ht="11.45" customHeight="1" x14ac:dyDescent="0.25">
      <c r="A5" s="72" t="s">
        <v>145</v>
      </c>
      <c r="B5" s="73">
        <v>510.880200855976</v>
      </c>
      <c r="C5" s="73">
        <v>507.96204424971347</v>
      </c>
      <c r="D5" s="73">
        <v>485.10561813746557</v>
      </c>
      <c r="E5" s="73">
        <v>420.7568205211536</v>
      </c>
      <c r="F5" s="73">
        <v>294.19406343106635</v>
      </c>
      <c r="G5" s="73">
        <v>289.34677829488271</v>
      </c>
      <c r="H5" s="73">
        <v>354.30402513206343</v>
      </c>
      <c r="I5" s="73">
        <v>284.47046458124834</v>
      </c>
      <c r="J5" s="73">
        <v>196.09410943172355</v>
      </c>
      <c r="K5" s="73">
        <v>188.79995042231562</v>
      </c>
      <c r="L5" s="73">
        <v>275.99811792685648</v>
      </c>
      <c r="M5" s="73">
        <v>233.58846035691195</v>
      </c>
      <c r="N5" s="73">
        <v>282.52346915385743</v>
      </c>
      <c r="O5" s="73">
        <v>292.86272043459064</v>
      </c>
      <c r="P5" s="73">
        <v>356.00055415142117</v>
      </c>
      <c r="Q5" s="73">
        <v>909.59769206270425</v>
      </c>
      <c r="R5" s="73">
        <v>927.35682573170834</v>
      </c>
      <c r="S5" s="73">
        <v>647.25475665678721</v>
      </c>
      <c r="T5" s="73">
        <v>772.76743353072573</v>
      </c>
      <c r="U5" s="73">
        <v>706.29999192974026</v>
      </c>
      <c r="V5" s="73">
        <v>767.00324659939247</v>
      </c>
      <c r="W5" s="73">
        <v>871.6727505130558</v>
      </c>
      <c r="DA5" s="187" t="s">
        <v>970</v>
      </c>
    </row>
    <row r="6" spans="1:105" ht="11.45" customHeight="1" x14ac:dyDescent="0.25">
      <c r="A6" s="72" t="s">
        <v>146</v>
      </c>
      <c r="B6" s="73">
        <v>829.82339004535743</v>
      </c>
      <c r="C6" s="73">
        <v>839.58227234398169</v>
      </c>
      <c r="D6" s="73">
        <v>1166.6652171846849</v>
      </c>
      <c r="E6" s="73">
        <v>1375.4892688641867</v>
      </c>
      <c r="F6" s="73">
        <v>1363.0871383759431</v>
      </c>
      <c r="G6" s="73">
        <v>1175.3692189733229</v>
      </c>
      <c r="H6" s="73">
        <v>1190.5457245248685</v>
      </c>
      <c r="I6" s="73">
        <v>1388.0403958063282</v>
      </c>
      <c r="J6" s="73">
        <v>1512.0066287919531</v>
      </c>
      <c r="K6" s="73">
        <v>1049.4972064434057</v>
      </c>
      <c r="L6" s="73">
        <v>1194.5346572040175</v>
      </c>
      <c r="M6" s="73">
        <v>978.69093773312238</v>
      </c>
      <c r="N6" s="73">
        <v>895.55143975787109</v>
      </c>
      <c r="O6" s="73">
        <v>960.06287621739273</v>
      </c>
      <c r="P6" s="73">
        <v>778.57653862856716</v>
      </c>
      <c r="Q6" s="73">
        <v>365.16278984980363</v>
      </c>
      <c r="R6" s="73">
        <v>739.85154774362707</v>
      </c>
      <c r="S6" s="73">
        <v>1060.9611734843236</v>
      </c>
      <c r="T6" s="73">
        <v>1229.4277994305332</v>
      </c>
      <c r="U6" s="73">
        <v>1132.6901319484944</v>
      </c>
      <c r="V6" s="73">
        <v>480.74612063998666</v>
      </c>
      <c r="W6" s="73">
        <v>666.56983654068051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0.12572782123521439</v>
      </c>
      <c r="S8" s="73">
        <v>1.5073124476492776</v>
      </c>
      <c r="T8" s="73">
        <v>1.8700268894457577</v>
      </c>
      <c r="U8" s="73">
        <v>2.0465050655029442</v>
      </c>
      <c r="V8" s="73">
        <v>0.55099563076340463</v>
      </c>
      <c r="W8" s="73">
        <v>1.1891226927469807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4000.0387134838766</v>
      </c>
      <c r="C10" s="71">
        <f t="shared" ref="C10:W10" si="2">SUM(C11:C15)</f>
        <v>3872.9057263985655</v>
      </c>
      <c r="D10" s="71">
        <f t="shared" si="2"/>
        <v>5158.8960606365763</v>
      </c>
      <c r="E10" s="71">
        <f t="shared" si="2"/>
        <v>5644.4963009843932</v>
      </c>
      <c r="F10" s="71">
        <f t="shared" si="2"/>
        <v>6051.9382306951411</v>
      </c>
      <c r="G10" s="71">
        <f t="shared" si="2"/>
        <v>6165.6174507111591</v>
      </c>
      <c r="H10" s="71">
        <f t="shared" si="2"/>
        <v>6716.2184360696365</v>
      </c>
      <c r="I10" s="71">
        <f t="shared" si="2"/>
        <v>7562.4705669555015</v>
      </c>
      <c r="J10" s="71">
        <f t="shared" si="2"/>
        <v>7815.8554956542266</v>
      </c>
      <c r="K10" s="71">
        <f t="shared" si="2"/>
        <v>5747.9548637705648</v>
      </c>
      <c r="L10" s="71">
        <f t="shared" si="2"/>
        <v>6125.8941380247579</v>
      </c>
      <c r="M10" s="71">
        <f t="shared" si="2"/>
        <v>5537.64416166921</v>
      </c>
      <c r="N10" s="71">
        <f t="shared" si="2"/>
        <v>4866.1593989128623</v>
      </c>
      <c r="O10" s="71">
        <f t="shared" si="2"/>
        <v>4903.3989949215329</v>
      </c>
      <c r="P10" s="71">
        <f t="shared" si="2"/>
        <v>4246.1432855519115</v>
      </c>
      <c r="Q10" s="71">
        <f t="shared" si="2"/>
        <v>4546.5349609077839</v>
      </c>
      <c r="R10" s="71">
        <f t="shared" si="2"/>
        <v>4996.4625453070412</v>
      </c>
      <c r="S10" s="71">
        <f t="shared" si="2"/>
        <v>5783.5858717706542</v>
      </c>
      <c r="T10" s="71">
        <f t="shared" si="2"/>
        <v>7278.4288932017434</v>
      </c>
      <c r="U10" s="71">
        <f t="shared" si="2"/>
        <v>6356.4650047621953</v>
      </c>
      <c r="V10" s="71">
        <f t="shared" si="2"/>
        <v>5128.3162321427553</v>
      </c>
      <c r="W10" s="71">
        <f t="shared" si="2"/>
        <v>6035.6715576653814</v>
      </c>
      <c r="DA10" s="186" t="s">
        <v>975</v>
      </c>
    </row>
    <row r="11" spans="1:105" ht="11.45" customHeight="1" x14ac:dyDescent="0.25">
      <c r="A11" s="72" t="s">
        <v>145</v>
      </c>
      <c r="B11" s="73">
        <v>289.87930043379185</v>
      </c>
      <c r="C11" s="73">
        <v>278.5527450882056</v>
      </c>
      <c r="D11" s="73">
        <v>293.26927438188085</v>
      </c>
      <c r="E11" s="73">
        <v>255.86974869638721</v>
      </c>
      <c r="F11" s="73">
        <v>210.47773364545989</v>
      </c>
      <c r="G11" s="73">
        <v>237.7097135365876</v>
      </c>
      <c r="H11" s="73">
        <v>300.95539017318163</v>
      </c>
      <c r="I11" s="73">
        <v>251.74337892692026</v>
      </c>
      <c r="J11" s="73">
        <v>175.28740389587756</v>
      </c>
      <c r="K11" s="73">
        <v>171.38921552781326</v>
      </c>
      <c r="L11" s="73">
        <v>224.60377373264467</v>
      </c>
      <c r="M11" s="73">
        <v>206.98187498272685</v>
      </c>
      <c r="N11" s="73">
        <v>226.21831932421648</v>
      </c>
      <c r="O11" s="73">
        <v>220.96642831863369</v>
      </c>
      <c r="P11" s="73">
        <v>254.48955762845844</v>
      </c>
      <c r="Q11" s="73">
        <v>626.80239392181875</v>
      </c>
      <c r="R11" s="73">
        <v>535.78444683922862</v>
      </c>
      <c r="S11" s="73">
        <v>423.95186415146674</v>
      </c>
      <c r="T11" s="73">
        <v>545.5859628579243</v>
      </c>
      <c r="U11" s="73">
        <v>473.77739414076666</v>
      </c>
      <c r="V11" s="73">
        <v>615.08093224841446</v>
      </c>
      <c r="W11" s="73">
        <v>666.62381010603224</v>
      </c>
      <c r="DA11" s="187" t="s">
        <v>976</v>
      </c>
    </row>
    <row r="12" spans="1:105" ht="11.45" customHeight="1" x14ac:dyDescent="0.25">
      <c r="A12" s="72" t="s">
        <v>146</v>
      </c>
      <c r="B12" s="73">
        <v>3710.1594130500848</v>
      </c>
      <c r="C12" s="73">
        <v>3594.3529813103601</v>
      </c>
      <c r="D12" s="73">
        <v>4865.6267862546956</v>
      </c>
      <c r="E12" s="73">
        <v>5388.6265522880058</v>
      </c>
      <c r="F12" s="73">
        <v>5841.4604970496812</v>
      </c>
      <c r="G12" s="73">
        <v>5927.9077371745716</v>
      </c>
      <c r="H12" s="73">
        <v>6415.263045896455</v>
      </c>
      <c r="I12" s="73">
        <v>7310.7271880285816</v>
      </c>
      <c r="J12" s="73">
        <v>7640.5680917583486</v>
      </c>
      <c r="K12" s="73">
        <v>5576.5656482427512</v>
      </c>
      <c r="L12" s="73">
        <v>5901.2903642921128</v>
      </c>
      <c r="M12" s="73">
        <v>5330.6622866864827</v>
      </c>
      <c r="N12" s="73">
        <v>4639.9410795886461</v>
      </c>
      <c r="O12" s="73">
        <v>4682.432566602899</v>
      </c>
      <c r="P12" s="73">
        <v>3991.6537279234531</v>
      </c>
      <c r="Q12" s="73">
        <v>3919.7325669859656</v>
      </c>
      <c r="R12" s="73">
        <v>4460.3013327378867</v>
      </c>
      <c r="S12" s="73">
        <v>5354.5351291811958</v>
      </c>
      <c r="T12" s="73">
        <v>6726.051306330427</v>
      </c>
      <c r="U12" s="73">
        <v>5875.6217339156501</v>
      </c>
      <c r="V12" s="73">
        <v>4510.9716781562302</v>
      </c>
      <c r="W12" s="73">
        <v>5364.3855374919931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0.37676572992557672</v>
      </c>
      <c r="S14" s="73">
        <v>5.0988784379913064</v>
      </c>
      <c r="T14" s="73">
        <v>6.7916240133917309</v>
      </c>
      <c r="U14" s="73">
        <v>7.0658767057782255</v>
      </c>
      <c r="V14" s="73">
        <v>2.2636217381101984</v>
      </c>
      <c r="W14" s="73">
        <v>4.6622100673561997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20232.641922902185</v>
      </c>
      <c r="C19" s="62">
        <f>IF(C3=0,0,C3/MBunk_act!C7*100)</f>
        <v>21151.81236358768</v>
      </c>
      <c r="D19" s="62">
        <f>IF(D3=0,0,D3/MBunk_act!D7*100)</f>
        <v>28495.004808359219</v>
      </c>
      <c r="E19" s="62">
        <f>IF(E3=0,0,E3/MBunk_act!E7*100)</f>
        <v>28647.693096967247</v>
      </c>
      <c r="F19" s="62">
        <f>IF(F3=0,0,F3/MBunk_act!F7*100)</f>
        <v>29671.639225391544</v>
      </c>
      <c r="G19" s="62">
        <f>IF(G3=0,0,G3/MBunk_act!G7*100)</f>
        <v>27799.770711023906</v>
      </c>
      <c r="H19" s="62">
        <f>IF(H3=0,0,H3/MBunk_act!H7*100)</f>
        <v>29840.57651231367</v>
      </c>
      <c r="I19" s="62">
        <f>IF(I3=0,0,I3/MBunk_act!I7*100)</f>
        <v>31792.354394487069</v>
      </c>
      <c r="J19" s="62">
        <f>IF(J3=0,0,J3/MBunk_act!J7*100)</f>
        <v>32013.253069955004</v>
      </c>
      <c r="K19" s="62">
        <f>IF(K3=0,0,K3/MBunk_act!K7*100)</f>
        <v>30254.902085816564</v>
      </c>
      <c r="L19" s="62">
        <f>IF(L3=0,0,L3/MBunk_act!L7*100)</f>
        <v>30408.292499627856</v>
      </c>
      <c r="M19" s="62">
        <f>IF(M3=0,0,M3/MBunk_act!M7*100)</f>
        <v>26497.816063579005</v>
      </c>
      <c r="N19" s="62">
        <f>IF(N3=0,0,N3/MBunk_act!N7*100)</f>
        <v>25584.417931867789</v>
      </c>
      <c r="O19" s="62">
        <f>IF(O3=0,0,O3/MBunk_act!O7*100)</f>
        <v>26479.457788023399</v>
      </c>
      <c r="P19" s="62">
        <f>IF(P3=0,0,P3/MBunk_act!P7*100)</f>
        <v>22569.039550561683</v>
      </c>
      <c r="Q19" s="62">
        <f>IF(Q3=0,0,Q3/MBunk_act!Q7*100)</f>
        <v>24313.225672629163</v>
      </c>
      <c r="R19" s="62">
        <f>IF(R3=0,0,R3/MBunk_act!R7*100)</f>
        <v>27020.464355025724</v>
      </c>
      <c r="S19" s="62">
        <f>IF(S3=0,0,S3/MBunk_act!S7*100)</f>
        <v>28951.01883005624</v>
      </c>
      <c r="T19" s="62">
        <f>IF(T3=0,0,T3/MBunk_act!T7*100)</f>
        <v>35114.592817062738</v>
      </c>
      <c r="U19" s="62">
        <f>IF(U3=0,0,U3/MBunk_act!U7*100)</f>
        <v>29658.796852408785</v>
      </c>
      <c r="V19" s="62">
        <f>IF(V3=0,0,V3/MBunk_act!V7*100)</f>
        <v>24747.045864551426</v>
      </c>
      <c r="W19" s="62">
        <f>IF(W3=0,0,W3/MBunk_act!W7*100)</f>
        <v>27713.413579108994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18297.530268585971</v>
      </c>
      <c r="C20" s="63">
        <f>IF(C4=0,0,C4/MBunk_act!C8*100)</f>
        <v>18956.839988060678</v>
      </c>
      <c r="D20" s="63">
        <f>IF(D4=0,0,D4/MBunk_act!D8*100)</f>
        <v>25976.790250025915</v>
      </c>
      <c r="E20" s="63">
        <f>IF(E4=0,0,E4/MBunk_act!E8*100)</f>
        <v>26600.74390999489</v>
      </c>
      <c r="F20" s="63">
        <f>IF(F4=0,0,F4/MBunk_act!F8*100)</f>
        <v>28824.457390471031</v>
      </c>
      <c r="G20" s="63">
        <f>IF(G4=0,0,G4/MBunk_act!G8*100)</f>
        <v>28002.079959397823</v>
      </c>
      <c r="H20" s="63">
        <f>IF(H4=0,0,H4/MBunk_act!H8*100)</f>
        <v>30177.697502097159</v>
      </c>
      <c r="I20" s="63">
        <f>IF(I4=0,0,I4/MBunk_act!I8*100)</f>
        <v>32374.59085146608</v>
      </c>
      <c r="J20" s="63">
        <f>IF(J4=0,0,J4/MBunk_act!J8*100)</f>
        <v>32045.595458042568</v>
      </c>
      <c r="K20" s="63">
        <f>IF(K4=0,0,K4/MBunk_act!K8*100)</f>
        <v>30652.421996566198</v>
      </c>
      <c r="L20" s="63">
        <f>IF(L4=0,0,L4/MBunk_act!L8*100)</f>
        <v>29609.638193203449</v>
      </c>
      <c r="M20" s="63">
        <f>IF(M4=0,0,M4/MBunk_act!M8*100)</f>
        <v>25943.679624246495</v>
      </c>
      <c r="N20" s="63">
        <f>IF(N4=0,0,N4/MBunk_act!N8*100)</f>
        <v>24532.463650567654</v>
      </c>
      <c r="O20" s="63">
        <f>IF(O4=0,0,O4/MBunk_act!O8*100)</f>
        <v>25235.219030780805</v>
      </c>
      <c r="P20" s="63">
        <f>IF(P4=0,0,P4/MBunk_act!P8*100)</f>
        <v>21337.385991062951</v>
      </c>
      <c r="Q20" s="63">
        <f>IF(Q4=0,0,Q4/MBunk_act!Q8*100)</f>
        <v>22799.073305773305</v>
      </c>
      <c r="R20" s="63">
        <f>IF(R4=0,0,R4/MBunk_act!R8*100)</f>
        <v>24795.597786489343</v>
      </c>
      <c r="S20" s="63">
        <f>IF(S4=0,0,S4/MBunk_act!S8*100)</f>
        <v>26897.128614237932</v>
      </c>
      <c r="T20" s="63">
        <f>IF(T4=0,0,T4/MBunk_act!T8*100)</f>
        <v>32679.630357975508</v>
      </c>
      <c r="U20" s="63">
        <f>IF(U4=0,0,U4/MBunk_act!U8*100)</f>
        <v>27179.043129873047</v>
      </c>
      <c r="V20" s="63">
        <f>IF(V4=0,0,V4/MBunk_act!V8*100)</f>
        <v>20869.391599151026</v>
      </c>
      <c r="W20" s="63">
        <f>IF(W4=0,0,W4/MBunk_act!W8*100)</f>
        <v>22703.490029215478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20976.189441914878</v>
      </c>
      <c r="C21" s="64">
        <f>IF(C10=0,0,C10/MBunk_act!C9*100)</f>
        <v>22039.736035717906</v>
      </c>
      <c r="D21" s="64">
        <f>IF(D10=0,0,D10/MBunk_act!D9*100)</f>
        <v>29407.777117943158</v>
      </c>
      <c r="E21" s="64">
        <f>IF(E10=0,0,E10/MBunk_act!E9*100)</f>
        <v>29366.829009318222</v>
      </c>
      <c r="F21" s="64">
        <f>IF(F10=0,0,F10/MBunk_act!F9*100)</f>
        <v>29912.390354031191</v>
      </c>
      <c r="G21" s="64">
        <f>IF(G10=0,0,G10/MBunk_act!G9*100)</f>
        <v>27752.138718130645</v>
      </c>
      <c r="H21" s="64">
        <f>IF(H10=0,0,H10/MBunk_act!H9*100)</f>
        <v>29764.095466913652</v>
      </c>
      <c r="I21" s="64">
        <f>IF(I10=0,0,I10/MBunk_act!I9*100)</f>
        <v>31666.404123576467</v>
      </c>
      <c r="J21" s="64">
        <f>IF(J10=0,0,J10/MBunk_act!J9*100)</f>
        <v>32006.193557243074</v>
      </c>
      <c r="K21" s="64">
        <f>IF(K10=0,0,K10/MBunk_act!K9*100)</f>
        <v>30170.609437294632</v>
      </c>
      <c r="L21" s="64">
        <f>IF(L10=0,0,L10/MBunk_act!L9*100)</f>
        <v>30606.465340450643</v>
      </c>
      <c r="M21" s="64">
        <f>IF(M10=0,0,M10/MBunk_act!M9*100)</f>
        <v>26622.298582106658</v>
      </c>
      <c r="N21" s="64">
        <f>IF(N10=0,0,N10/MBunk_act!N9*100)</f>
        <v>25852.797732088264</v>
      </c>
      <c r="O21" s="64">
        <f>IF(O10=0,0,O10/MBunk_act!O9*100)</f>
        <v>26817.320352911571</v>
      </c>
      <c r="P21" s="64">
        <f>IF(P10=0,0,P10/MBunk_act!P9*100)</f>
        <v>22922.589182392505</v>
      </c>
      <c r="Q21" s="64">
        <f>IF(Q10=0,0,Q10/MBunk_act!Q9*100)</f>
        <v>24774.549847508326</v>
      </c>
      <c r="R21" s="64">
        <f>IF(R10=0,0,R10/MBunk_act!R9*100)</f>
        <v>27854.500275185688</v>
      </c>
      <c r="S21" s="64">
        <f>IF(S10=0,0,S10/MBunk_act!S9*100)</f>
        <v>29619.639348773257</v>
      </c>
      <c r="T21" s="64">
        <f>IF(T10=0,0,T10/MBunk_act!T9*100)</f>
        <v>35850.087557136059</v>
      </c>
      <c r="U21" s="64">
        <f>IF(U10=0,0,U10/MBunk_act!U9*100)</f>
        <v>30463.814572534211</v>
      </c>
      <c r="V21" s="64">
        <f>IF(V10=0,0,V10/MBunk_act!V9*100)</f>
        <v>25919.314390199077</v>
      </c>
      <c r="W21" s="64">
        <f>IF(W10=0,0,W10/MBunk_act!W9*100)</f>
        <v>29366.217425689025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9.9470618998330931</v>
      </c>
      <c r="C23" s="62">
        <f>IF(C3=0,0,C3/MBunk_act!C3*1000)</f>
        <v>10.025988048165921</v>
      </c>
      <c r="D23" s="62">
        <f>IF(D3=0,0,D3/MBunk_act!D3*1000)</f>
        <v>12.811746660303442</v>
      </c>
      <c r="E23" s="62">
        <f>IF(E3=0,0,E3/MBunk_act!E3*1000)</f>
        <v>12.953481532783634</v>
      </c>
      <c r="F23" s="62">
        <f>IF(F3=0,0,F3/MBunk_act!F3*1000)</f>
        <v>12.560413664733497</v>
      </c>
      <c r="G23" s="62">
        <f>IF(G3=0,0,G3/MBunk_act!G3*1000)</f>
        <v>11.476357893869288</v>
      </c>
      <c r="H23" s="62">
        <f>IF(H3=0,0,H3/MBunk_act!H3*1000)</f>
        <v>11.652231806053434</v>
      </c>
      <c r="I23" s="62">
        <f>IF(I3=0,0,I3/MBunk_act!I3*1000)</f>
        <v>11.819682997762699</v>
      </c>
      <c r="J23" s="62">
        <f>IF(J3=0,0,J3/MBunk_act!J3*1000)</f>
        <v>11.706210361905557</v>
      </c>
      <c r="K23" s="62">
        <f>IF(K3=0,0,K3/MBunk_act!K3*1000)</f>
        <v>10.434953808347499</v>
      </c>
      <c r="L23" s="62">
        <f>IF(L3=0,0,L3/MBunk_act!L3*1000)</f>
        <v>10.275997206099573</v>
      </c>
      <c r="M23" s="62">
        <f>IF(M3=0,0,M3/MBunk_act!M3*1000)</f>
        <v>8.5373212865712667</v>
      </c>
      <c r="N23" s="62">
        <f>IF(N3=0,0,N3/MBunk_act!N3*1000)</f>
        <v>8.189077060988847</v>
      </c>
      <c r="O23" s="62">
        <f>IF(O3=0,0,O3/MBunk_act!O3*1000)</f>
        <v>8.2052827145303588</v>
      </c>
      <c r="P23" s="62">
        <f>IF(P3=0,0,P3/MBunk_act!P3*1000)</f>
        <v>6.9331585070639239</v>
      </c>
      <c r="Q23" s="62">
        <f>IF(Q3=0,0,Q3/MBunk_act!Q3*1000)</f>
        <v>7.3143778337050813</v>
      </c>
      <c r="R23" s="62">
        <f>IF(R3=0,0,R3/MBunk_act!R3*1000)</f>
        <v>8.2544641169821897</v>
      </c>
      <c r="S23" s="62">
        <f>IF(S3=0,0,S3/MBunk_act!S3*1000)</f>
        <v>8.4539068866627431</v>
      </c>
      <c r="T23" s="62">
        <f>IF(T3=0,0,T3/MBunk_act!T3*1000)</f>
        <v>10.039929364950389</v>
      </c>
      <c r="U23" s="62">
        <f>IF(U3=0,0,U3/MBunk_act!U3*1000)</f>
        <v>8.5655357951700548</v>
      </c>
      <c r="V23" s="62">
        <f>IF(V3=0,0,V3/MBunk_act!V3*1000)</f>
        <v>6.8725478057137614</v>
      </c>
      <c r="W23" s="62">
        <f>IF(W3=0,0,W3/MBunk_act!W3*1000)</f>
        <v>7.6047866837052007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27.258573450596135</v>
      </c>
      <c r="C24" s="63">
        <f>IF(C4=0,0,C4/MBunk_act!C4*1000)</f>
        <v>27.183785230979225</v>
      </c>
      <c r="D24" s="63">
        <f>IF(D4=0,0,D4/MBunk_act!D4*1000)</f>
        <v>35.666566377617038</v>
      </c>
      <c r="E24" s="63">
        <f>IF(E4=0,0,E4/MBunk_act!E4*1000)</f>
        <v>36.043819379706221</v>
      </c>
      <c r="F24" s="63">
        <f>IF(F4=0,0,F4/MBunk_act!F4*1000)</f>
        <v>36.541045526740064</v>
      </c>
      <c r="G24" s="63">
        <f>IF(G4=0,0,G4/MBunk_act!G4*1000)</f>
        <v>34.719719573083104</v>
      </c>
      <c r="H24" s="63">
        <f>IF(H4=0,0,H4/MBunk_act!H4*1000)</f>
        <v>35.478860297784301</v>
      </c>
      <c r="I24" s="63">
        <f>IF(I4=0,0,I4/MBunk_act!I4*1000)</f>
        <v>36.425279503335688</v>
      </c>
      <c r="J24" s="63">
        <f>IF(J4=0,0,J4/MBunk_act!J4*1000)</f>
        <v>36.316326337711317</v>
      </c>
      <c r="K24" s="63">
        <f>IF(K4=0,0,K4/MBunk_act!K4*1000)</f>
        <v>32.465270326207758</v>
      </c>
      <c r="L24" s="63">
        <f>IF(L4=0,0,L4/MBunk_act!L4*1000)</f>
        <v>31.306910615484185</v>
      </c>
      <c r="M24" s="63">
        <f>IF(M4=0,0,M4/MBunk_act!M4*1000)</f>
        <v>26.81822117718983</v>
      </c>
      <c r="N24" s="63">
        <f>IF(N4=0,0,N4/MBunk_act!N4*1000)</f>
        <v>25.074489203949284</v>
      </c>
      <c r="O24" s="63">
        <f>IF(O4=0,0,O4/MBunk_act!O4*1000)</f>
        <v>24.809763394115667</v>
      </c>
      <c r="P24" s="63">
        <f>IF(P4=0,0,P4/MBunk_act!P4*1000)</f>
        <v>20.65820699439486</v>
      </c>
      <c r="Q24" s="63">
        <f>IF(Q4=0,0,Q4/MBunk_act!Q4*1000)</f>
        <v>21.486363634717858</v>
      </c>
      <c r="R24" s="63">
        <f>IF(R4=0,0,R4/MBunk_act!R4*1000)</f>
        <v>22.752735416123329</v>
      </c>
      <c r="S24" s="63">
        <f>IF(S4=0,0,S4/MBunk_act!S4*1000)</f>
        <v>24.412214082107059</v>
      </c>
      <c r="T24" s="63">
        <f>IF(T4=0,0,T4/MBunk_act!T4*1000)</f>
        <v>29.671934175904486</v>
      </c>
      <c r="U24" s="63">
        <f>IF(U4=0,0,U4/MBunk_act!U4*1000)</f>
        <v>25.226614844358991</v>
      </c>
      <c r="V24" s="63">
        <f>IF(V4=0,0,V4/MBunk_act!V4*1000)</f>
        <v>17.442798215110969</v>
      </c>
      <c r="W24" s="63">
        <f>IF(W4=0,0,W4/MBunk_act!W4*1000)</f>
        <v>20.313269701469277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8.2013061924890369</v>
      </c>
      <c r="C25" s="64">
        <f>IF(C10=0,0,C10/MBunk_act!C5*1000)</f>
        <v>8.2206317523794112</v>
      </c>
      <c r="D25" s="64">
        <f>IF(D10=0,0,D10/MBunk_act!D5*1000)</f>
        <v>10.63067324936006</v>
      </c>
      <c r="E25" s="64">
        <f>IF(E10=0,0,E10/MBunk_act!E5*1000)</f>
        <v>10.759922742496867</v>
      </c>
      <c r="F25" s="64">
        <f>IF(F10=0,0,F10/MBunk_act!F5*1000)</f>
        <v>10.64700092204126</v>
      </c>
      <c r="G25" s="64">
        <f>IF(G10=0,0,G10/MBunk_act!G5*1000)</f>
        <v>9.9016276400400596</v>
      </c>
      <c r="H25" s="64">
        <f>IF(H10=0,0,H10/MBunk_act!H5*1000)</f>
        <v>10.093112089754973</v>
      </c>
      <c r="I25" s="64">
        <f>IF(I10=0,0,I10/MBunk_act!I5*1000)</f>
        <v>10.283394586047336</v>
      </c>
      <c r="J25" s="64">
        <f>IF(J10=0,0,J10/MBunk_act!J5*1000)</f>
        <v>10.196178414522469</v>
      </c>
      <c r="K25" s="64">
        <f>IF(K10=0,0,K10/MBunk_act!K5*1000)</f>
        <v>9.1040467741810005</v>
      </c>
      <c r="L25" s="64">
        <f>IF(L10=0,0,L10/MBunk_act!L5*1000)</f>
        <v>8.8490163677905258</v>
      </c>
      <c r="M25" s="64">
        <f>IF(M10=0,0,M10/MBunk_act!M5*1000)</f>
        <v>7.4287557768572681</v>
      </c>
      <c r="N25" s="64">
        <f>IF(N10=0,0,N10/MBunk_act!N5*1000)</f>
        <v>7.0411603438580883</v>
      </c>
      <c r="O25" s="64">
        <f>IF(O10=0,0,O10/MBunk_act!O5*1000)</f>
        <v>7.0069916457015324</v>
      </c>
      <c r="P25" s="64">
        <f>IF(P10=0,0,P10/MBunk_act!P5*1000)</f>
        <v>5.8879054312603367</v>
      </c>
      <c r="Q25" s="64">
        <f>IF(Q10=0,0,Q10/MBunk_act!Q5*1000)</f>
        <v>6.1728165876791667</v>
      </c>
      <c r="R25" s="64">
        <f>IF(R10=0,0,R10/MBunk_act!R5*1000)</f>
        <v>6.8070259823783248</v>
      </c>
      <c r="S25" s="64">
        <f>IF(S10=0,0,S10/MBunk_act!S5*1000)</f>
        <v>7.0848039139875905</v>
      </c>
      <c r="T25" s="64">
        <f>IF(T10=0,0,T10/MBunk_act!T5*1000)</f>
        <v>8.4927479309443807</v>
      </c>
      <c r="U25" s="64">
        <f>IF(U10=0,0,U10/MBunk_act!U5*1000)</f>
        <v>7.1901384802702966</v>
      </c>
      <c r="V25" s="64">
        <f>IF(V10=0,0,V10/MBunk_act!V5*1000)</f>
        <v>5.9891104830718094</v>
      </c>
      <c r="W25" s="64">
        <f>IF(W10=0,0,W10/MBunk_act!W5*1000)</f>
        <v>6.5582869498484344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3">IF(C3=0,0,C3/C$3)</f>
        <v>1</v>
      </c>
      <c r="D27" s="76">
        <f t="shared" si="3"/>
        <v>1</v>
      </c>
      <c r="E27" s="76">
        <f t="shared" si="3"/>
        <v>1</v>
      </c>
      <c r="F27" s="76">
        <f t="shared" si="3"/>
        <v>1</v>
      </c>
      <c r="G27" s="76">
        <f t="shared" si="3"/>
        <v>1</v>
      </c>
      <c r="H27" s="76">
        <f t="shared" si="3"/>
        <v>1</v>
      </c>
      <c r="I27" s="76">
        <f t="shared" si="3"/>
        <v>1</v>
      </c>
      <c r="J27" s="76">
        <f t="shared" si="3"/>
        <v>1</v>
      </c>
      <c r="K27" s="76">
        <f t="shared" si="3"/>
        <v>1</v>
      </c>
      <c r="L27" s="76">
        <f t="shared" si="3"/>
        <v>1</v>
      </c>
      <c r="M27" s="76">
        <f t="shared" si="3"/>
        <v>1</v>
      </c>
      <c r="N27" s="76">
        <f t="shared" si="3"/>
        <v>1</v>
      </c>
      <c r="O27" s="76">
        <f t="shared" si="3"/>
        <v>1</v>
      </c>
      <c r="P27" s="76">
        <f t="shared" si="3"/>
        <v>1</v>
      </c>
      <c r="Q27" s="76">
        <f t="shared" si="3"/>
        <v>1</v>
      </c>
      <c r="R27" s="76">
        <f t="shared" si="3"/>
        <v>1</v>
      </c>
      <c r="S27" s="76">
        <f t="shared" si="3"/>
        <v>1</v>
      </c>
      <c r="T27" s="76">
        <f t="shared" si="3"/>
        <v>1</v>
      </c>
      <c r="U27" s="76">
        <f t="shared" si="3"/>
        <v>1</v>
      </c>
      <c r="V27" s="76">
        <f t="shared" si="3"/>
        <v>1</v>
      </c>
      <c r="W27" s="76">
        <f t="shared" si="3"/>
        <v>1</v>
      </c>
      <c r="DA27" s="183"/>
    </row>
    <row r="28" spans="1:105" ht="11.45" customHeight="1" x14ac:dyDescent="0.25">
      <c r="A28" s="55" t="s">
        <v>170</v>
      </c>
      <c r="B28" s="77">
        <f>IF(B4=0,0,B4/B$3)</f>
        <v>0.25103319248346806</v>
      </c>
      <c r="C28" s="77">
        <f t="shared" si="3"/>
        <v>0.25812799768146211</v>
      </c>
      <c r="D28" s="77">
        <f t="shared" si="3"/>
        <v>0.24252703304316184</v>
      </c>
      <c r="E28" s="77">
        <f t="shared" si="3"/>
        <v>0.24140683753682329</v>
      </c>
      <c r="F28" s="77">
        <f t="shared" si="3"/>
        <v>0.2149739304111509</v>
      </c>
      <c r="G28" s="77">
        <f t="shared" si="3"/>
        <v>0.19195963154874784</v>
      </c>
      <c r="H28" s="77">
        <f t="shared" si="3"/>
        <v>0.18700363136163381</v>
      </c>
      <c r="I28" s="77">
        <f t="shared" si="3"/>
        <v>0.18110603400192879</v>
      </c>
      <c r="J28" s="77">
        <f t="shared" si="3"/>
        <v>0.17934781473981881</v>
      </c>
      <c r="K28" s="77">
        <f t="shared" si="3"/>
        <v>0.17724770781357255</v>
      </c>
      <c r="L28" s="77">
        <f t="shared" si="3"/>
        <v>0.1935821659238475</v>
      </c>
      <c r="M28" s="77">
        <f t="shared" si="3"/>
        <v>0.17959898173028702</v>
      </c>
      <c r="N28" s="77">
        <f t="shared" si="3"/>
        <v>0.19490887495652615</v>
      </c>
      <c r="O28" s="77">
        <f t="shared" si="3"/>
        <v>0.203518443190427</v>
      </c>
      <c r="P28" s="77">
        <f t="shared" si="3"/>
        <v>0.21085970149069955</v>
      </c>
      <c r="Q28" s="77">
        <f t="shared" si="3"/>
        <v>0.21898226854037045</v>
      </c>
      <c r="R28" s="77">
        <f t="shared" si="3"/>
        <v>0.25020783041847072</v>
      </c>
      <c r="S28" s="77">
        <f t="shared" si="3"/>
        <v>0.22816665060732924</v>
      </c>
      <c r="T28" s="77">
        <f t="shared" si="3"/>
        <v>0.21589728221823762</v>
      </c>
      <c r="U28" s="77">
        <f t="shared" si="3"/>
        <v>0.22458508838520844</v>
      </c>
      <c r="V28" s="77">
        <f t="shared" si="3"/>
        <v>0.19576217956187433</v>
      </c>
      <c r="W28" s="77">
        <f t="shared" si="3"/>
        <v>0.20322253775326427</v>
      </c>
      <c r="DA28" s="184"/>
    </row>
    <row r="29" spans="1:105" ht="11.45" customHeight="1" x14ac:dyDescent="0.25">
      <c r="A29" s="57" t="s">
        <v>171</v>
      </c>
      <c r="B29" s="78">
        <f>IF(B10=0,0,B10/B$3)</f>
        <v>0.74896680751653189</v>
      </c>
      <c r="C29" s="78">
        <f t="shared" ref="C29:W29" si="4">IF(C10=0,0,C10/C$3)</f>
        <v>0.74187200231853778</v>
      </c>
      <c r="D29" s="78">
        <f t="shared" si="4"/>
        <v>0.75747296695683819</v>
      </c>
      <c r="E29" s="78">
        <f t="shared" si="4"/>
        <v>0.75859316246317676</v>
      </c>
      <c r="F29" s="78">
        <f t="shared" si="4"/>
        <v>0.78502606958884913</v>
      </c>
      <c r="G29" s="78">
        <f t="shared" si="4"/>
        <v>0.80804036845125216</v>
      </c>
      <c r="H29" s="78">
        <f t="shared" si="4"/>
        <v>0.81299636863836622</v>
      </c>
      <c r="I29" s="78">
        <f t="shared" si="4"/>
        <v>0.81889396599807118</v>
      </c>
      <c r="J29" s="78">
        <f t="shared" si="4"/>
        <v>0.82065218526018124</v>
      </c>
      <c r="K29" s="78">
        <f t="shared" si="4"/>
        <v>0.82275229218642743</v>
      </c>
      <c r="L29" s="78">
        <f t="shared" si="4"/>
        <v>0.80641783407615253</v>
      </c>
      <c r="M29" s="78">
        <f t="shared" si="4"/>
        <v>0.82040101826971301</v>
      </c>
      <c r="N29" s="78">
        <f t="shared" si="4"/>
        <v>0.80509112504347391</v>
      </c>
      <c r="O29" s="78">
        <f t="shared" si="4"/>
        <v>0.796481556809573</v>
      </c>
      <c r="P29" s="78">
        <f t="shared" si="4"/>
        <v>0.78914029850930045</v>
      </c>
      <c r="Q29" s="78">
        <f t="shared" si="4"/>
        <v>0.78101773145962949</v>
      </c>
      <c r="R29" s="78">
        <f t="shared" si="4"/>
        <v>0.74979216958152917</v>
      </c>
      <c r="S29" s="78">
        <f t="shared" si="4"/>
        <v>0.77183334939267079</v>
      </c>
      <c r="T29" s="78">
        <f t="shared" si="4"/>
        <v>0.78410271778176244</v>
      </c>
      <c r="U29" s="78">
        <f t="shared" si="4"/>
        <v>0.77541491161479148</v>
      </c>
      <c r="V29" s="78">
        <f t="shared" si="4"/>
        <v>0.80423782043812564</v>
      </c>
      <c r="W29" s="78">
        <f t="shared" si="4"/>
        <v>0.79677746224673573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17196.483331080002</v>
      </c>
      <c r="C3" s="62">
        <f t="shared" ref="C3:W3" si="1">SUM(C4:C5)</f>
        <v>16808.634361800003</v>
      </c>
      <c r="D3" s="62">
        <f t="shared" si="1"/>
        <v>21962.98902384</v>
      </c>
      <c r="E3" s="62">
        <f t="shared" si="1"/>
        <v>24018.859081800001</v>
      </c>
      <c r="F3" s="62">
        <f t="shared" si="1"/>
        <v>24912.639302040003</v>
      </c>
      <c r="G3" s="62">
        <f t="shared" si="1"/>
        <v>24653.909937960001</v>
      </c>
      <c r="H3" s="62">
        <f t="shared" si="1"/>
        <v>26680.145252760001</v>
      </c>
      <c r="I3" s="62">
        <f t="shared" si="1"/>
        <v>29852.640001800002</v>
      </c>
      <c r="J3" s="62">
        <f t="shared" si="1"/>
        <v>30811.860865080005</v>
      </c>
      <c r="K3" s="62">
        <f t="shared" si="1"/>
        <v>22588.043604120001</v>
      </c>
      <c r="L3" s="62">
        <f t="shared" si="1"/>
        <v>24546.999269880005</v>
      </c>
      <c r="M3" s="62">
        <f t="shared" si="1"/>
        <v>21812.817753000003</v>
      </c>
      <c r="N3" s="62">
        <f t="shared" si="1"/>
        <v>19516.554150840002</v>
      </c>
      <c r="O3" s="62">
        <f t="shared" si="1"/>
        <v>19879.089149160001</v>
      </c>
      <c r="P3" s="62">
        <f t="shared" si="1"/>
        <v>17352.324061920001</v>
      </c>
      <c r="Q3" s="62">
        <f t="shared" si="1"/>
        <v>18652.116418200003</v>
      </c>
      <c r="R3" s="62">
        <f t="shared" si="1"/>
        <v>21391.985307240004</v>
      </c>
      <c r="S3" s="62">
        <f t="shared" si="1"/>
        <v>24128.797683959994</v>
      </c>
      <c r="T3" s="62">
        <f t="shared" si="1"/>
        <v>29890.820740679999</v>
      </c>
      <c r="U3" s="62">
        <f t="shared" si="1"/>
        <v>26393.515075800002</v>
      </c>
      <c r="V3" s="62">
        <f t="shared" si="1"/>
        <v>20470.491736199998</v>
      </c>
      <c r="W3" s="62">
        <f t="shared" si="1"/>
        <v>24329.996414640005</v>
      </c>
      <c r="DA3" s="172" t="s">
        <v>985</v>
      </c>
    </row>
    <row r="4" spans="1:105" ht="11.45" customHeight="1" x14ac:dyDescent="0.25">
      <c r="A4" s="55" t="s">
        <v>170</v>
      </c>
      <c r="B4" s="63">
        <v>4274.0760764313891</v>
      </c>
      <c r="C4" s="63">
        <v>4296.6472025424755</v>
      </c>
      <c r="D4" s="63">
        <v>5285.6764925283351</v>
      </c>
      <c r="E4" s="63">
        <v>5762.7512866746201</v>
      </c>
      <c r="F4" s="63">
        <v>5329.9104739940894</v>
      </c>
      <c r="G4" s="63">
        <v>4706.5566295035478</v>
      </c>
      <c r="H4" s="63">
        <v>4957.2619422125035</v>
      </c>
      <c r="I4" s="63">
        <v>5380.6069049329381</v>
      </c>
      <c r="J4" s="63">
        <v>5508.1493312220773</v>
      </c>
      <c r="K4" s="63">
        <v>3986.4467841880137</v>
      </c>
      <c r="L4" s="63">
        <v>4727.1347360751861</v>
      </c>
      <c r="M4" s="63">
        <v>3896.2186416845416</v>
      </c>
      <c r="N4" s="63">
        <v>3778.615072559317</v>
      </c>
      <c r="O4" s="63">
        <v>4019.7464373091811</v>
      </c>
      <c r="P4" s="63">
        <v>3627.5048630036736</v>
      </c>
      <c r="Q4" s="63">
        <v>4005.2933823443491</v>
      </c>
      <c r="R4" s="63">
        <v>5274.895055423106</v>
      </c>
      <c r="S4" s="63">
        <v>5449.7286477260404</v>
      </c>
      <c r="T4" s="63">
        <v>6385.9035956948219</v>
      </c>
      <c r="U4" s="63">
        <v>5866.6218062567759</v>
      </c>
      <c r="V4" s="63">
        <v>3938.7572695944655</v>
      </c>
      <c r="W4" s="63">
        <v>4867.1619477571758</v>
      </c>
      <c r="DA4" s="181" t="s">
        <v>986</v>
      </c>
    </row>
    <row r="5" spans="1:105" ht="11.45" customHeight="1" x14ac:dyDescent="0.25">
      <c r="A5" s="57" t="s">
        <v>171</v>
      </c>
      <c r="B5" s="64">
        <v>12922.407254648613</v>
      </c>
      <c r="C5" s="64">
        <v>12511.987159257525</v>
      </c>
      <c r="D5" s="64">
        <v>16677.312531311665</v>
      </c>
      <c r="E5" s="64">
        <v>18256.107795125383</v>
      </c>
      <c r="F5" s="64">
        <v>19582.728828045914</v>
      </c>
      <c r="G5" s="64">
        <v>19947.353308456455</v>
      </c>
      <c r="H5" s="64">
        <v>21722.883310547499</v>
      </c>
      <c r="I5" s="64">
        <v>24472.033096867064</v>
      </c>
      <c r="J5" s="64">
        <v>25303.711533857928</v>
      </c>
      <c r="K5" s="64">
        <v>18601.596819931987</v>
      </c>
      <c r="L5" s="64">
        <v>19819.864533804819</v>
      </c>
      <c r="M5" s="64">
        <v>17916.599111315463</v>
      </c>
      <c r="N5" s="64">
        <v>15737.939078280684</v>
      </c>
      <c r="O5" s="64">
        <v>15859.342711850821</v>
      </c>
      <c r="P5" s="64">
        <v>13724.819198916328</v>
      </c>
      <c r="Q5" s="64">
        <v>14646.823035855654</v>
      </c>
      <c r="R5" s="64">
        <v>16117.090251816899</v>
      </c>
      <c r="S5" s="64">
        <v>18679.069036233952</v>
      </c>
      <c r="T5" s="64">
        <v>23504.917144985178</v>
      </c>
      <c r="U5" s="64">
        <v>20526.893269543227</v>
      </c>
      <c r="V5" s="64">
        <v>16531.734466605532</v>
      </c>
      <c r="W5" s="64">
        <v>19462.834466882829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3.2198676421740484</v>
      </c>
      <c r="C9" s="79">
        <f>IF(C3=0,0,C3/MBunk_ene!C3)</f>
        <v>3.2197673042314219</v>
      </c>
      <c r="D9" s="79">
        <f>IF(D3=0,0,D3/MBunk_ene!D3)</f>
        <v>3.2247927199129749</v>
      </c>
      <c r="E9" s="79">
        <f>IF(E3=0,0,E3/MBunk_ene!E3)</f>
        <v>3.2280191708943837</v>
      </c>
      <c r="F9" s="79">
        <f>IF(F3=0,0,F3/MBunk_ene!F3)</f>
        <v>3.2315384871531938</v>
      </c>
      <c r="G9" s="79">
        <f>IF(G3=0,0,G3/MBunk_ene!G3)</f>
        <v>3.2310396532524739</v>
      </c>
      <c r="H9" s="79">
        <f>IF(H3=0,0,H3/MBunk_ene!H3)</f>
        <v>3.2296241421730207</v>
      </c>
      <c r="I9" s="79">
        <f>IF(I3=0,0,I3/MBunk_ene!I3)</f>
        <v>3.2325609138110267</v>
      </c>
      <c r="J9" s="79">
        <f>IF(J3=0,0,J3/MBunk_ene!J3)</f>
        <v>3.2351955540784996</v>
      </c>
      <c r="K9" s="79">
        <f>IF(K3=0,0,K3/MBunk_ene!K3)</f>
        <v>3.2332133935905096</v>
      </c>
      <c r="L9" s="79">
        <f>IF(L3=0,0,L3/MBunk_ene!L3)</f>
        <v>3.2313875392349343</v>
      </c>
      <c r="M9" s="79">
        <f>IF(M3=0,0,M3/MBunk_ene!M3)</f>
        <v>3.2315651517952926</v>
      </c>
      <c r="N9" s="79">
        <f>IF(N3=0,0,N3/MBunk_ene!N3)</f>
        <v>3.2289539347564271</v>
      </c>
      <c r="O9" s="79">
        <f>IF(O3=0,0,O3/MBunk_ene!O3)</f>
        <v>3.2290514987415628</v>
      </c>
      <c r="P9" s="79">
        <f>IF(P3=0,0,P3/MBunk_ene!P3)</f>
        <v>3.2249072320869177</v>
      </c>
      <c r="Q9" s="79">
        <f>IF(Q3=0,0,Q3/MBunk_ene!Q3)</f>
        <v>3.2041178121623486</v>
      </c>
      <c r="R9" s="79">
        <f>IF(R3=0,0,R3/MBunk_ene!R3)</f>
        <v>3.210179788145699</v>
      </c>
      <c r="S9" s="79">
        <f>IF(S3=0,0,S3/MBunk_ene!S3)</f>
        <v>3.2200456855199029</v>
      </c>
      <c r="T9" s="79">
        <f>IF(T3=0,0,T3/MBunk_ene!T3)</f>
        <v>3.2201281517479572</v>
      </c>
      <c r="U9" s="79">
        <f>IF(U3=0,0,U3/MBunk_ene!U3)</f>
        <v>3.2197023258009403</v>
      </c>
      <c r="V9" s="79">
        <f>IF(V3=0,0,V3/MBunk_ene!V3)</f>
        <v>3.210243462373104</v>
      </c>
      <c r="W9" s="79">
        <f>IF(W3=0,0,W3/MBunk_ene!W3)</f>
        <v>3.211836928917891</v>
      </c>
      <c r="DA9" s="172"/>
    </row>
    <row r="10" spans="1:105" ht="11.45" customHeight="1" x14ac:dyDescent="0.25">
      <c r="A10" s="55" t="s">
        <v>170</v>
      </c>
      <c r="B10" s="80">
        <f>IF(B4=0,0,B4/MBunk_ene!B4)</f>
        <v>3.1879351300595804</v>
      </c>
      <c r="C10" s="80">
        <f>IF(C4=0,0,C4/MBunk_ene!C4)</f>
        <v>3.1885015948146953</v>
      </c>
      <c r="D10" s="80">
        <f>IF(D4=0,0,D4/MBunk_ene!D4)</f>
        <v>3.2000059448303864</v>
      </c>
      <c r="E10" s="80">
        <f>IF(E4=0,0,E4/MBunk_ene!E4)</f>
        <v>3.2082192527676332</v>
      </c>
      <c r="F10" s="80">
        <f>IF(F4=0,0,F4/MBunk_ene!F4)</f>
        <v>3.2160567972306962</v>
      </c>
      <c r="G10" s="80">
        <f>IF(G4=0,0,G4/MBunk_ene!G4)</f>
        <v>3.2132895648587123</v>
      </c>
      <c r="H10" s="80">
        <f>IF(H4=0,0,H4/MBunk_ene!H4)</f>
        <v>3.2088958446045468</v>
      </c>
      <c r="I10" s="80">
        <f>IF(I4=0,0,I4/MBunk_ene!I4)</f>
        <v>3.2170833878388523</v>
      </c>
      <c r="J10" s="80">
        <f>IF(J4=0,0,J4/MBunk_ene!J4)</f>
        <v>3.224721591625928</v>
      </c>
      <c r="K10" s="80">
        <f>IF(K4=0,0,K4/MBunk_ene!K4)</f>
        <v>3.2192973730781946</v>
      </c>
      <c r="L10" s="80">
        <f>IF(L4=0,0,L4/MBunk_ene!L4)</f>
        <v>3.2145728514309937</v>
      </c>
      <c r="M10" s="80">
        <f>IF(M4=0,0,M4/MBunk_ene!M4)</f>
        <v>3.2139609464807339</v>
      </c>
      <c r="N10" s="80">
        <f>IF(N4=0,0,N4/MBunk_ene!N4)</f>
        <v>3.2074489015727297</v>
      </c>
      <c r="O10" s="80">
        <f>IF(O4=0,0,O4/MBunk_ene!O4)</f>
        <v>3.2082882240179171</v>
      </c>
      <c r="P10" s="80">
        <f>IF(P4=0,0,P4/MBunk_ene!P4)</f>
        <v>3.1972308326051331</v>
      </c>
      <c r="Q10" s="80">
        <f>IF(Q4=0,0,Q4/MBunk_ene!Q4)</f>
        <v>3.1419968215011305</v>
      </c>
      <c r="R10" s="80">
        <f>IF(R4=0,0,R4/MBunk_ene!R4)</f>
        <v>3.1636701074614764</v>
      </c>
      <c r="S10" s="80">
        <f>IF(S4=0,0,S4/MBunk_ene!S4)</f>
        <v>3.1874917015659148</v>
      </c>
      <c r="T10" s="80">
        <f>IF(T4=0,0,T4/MBunk_ene!T4)</f>
        <v>3.1864748736628203</v>
      </c>
      <c r="U10" s="80">
        <f>IF(U4=0,0,U4/MBunk_ene!U4)</f>
        <v>3.1865861406693723</v>
      </c>
      <c r="V10" s="80">
        <f>IF(V4=0,0,V4/MBunk_ene!V4)</f>
        <v>3.1552961024046451</v>
      </c>
      <c r="W10" s="80">
        <f>IF(W4=0,0,W4/MBunk_ene!W4)</f>
        <v>3.161661486470686</v>
      </c>
      <c r="DA10" s="181"/>
    </row>
    <row r="11" spans="1:105" ht="11.45" customHeight="1" x14ac:dyDescent="0.25">
      <c r="A11" s="57" t="s">
        <v>171</v>
      </c>
      <c r="B11" s="81">
        <f>IF(B5=0,0,B5/MBunk_ene!B10)</f>
        <v>3.2305705470019572</v>
      </c>
      <c r="C11" s="81">
        <f>IF(C5=0,0,C5/MBunk_ene!C10)</f>
        <v>3.2306459395520801</v>
      </c>
      <c r="D11" s="81">
        <f>IF(D5=0,0,D5/MBunk_ene!D10)</f>
        <v>3.2327289279121056</v>
      </c>
      <c r="E11" s="81">
        <f>IF(E5=0,0,E5/MBunk_ene!E10)</f>
        <v>3.2343200919347828</v>
      </c>
      <c r="F11" s="81">
        <f>IF(F5=0,0,F5/MBunk_ene!F10)</f>
        <v>3.2357780402852181</v>
      </c>
      <c r="G11" s="81">
        <f>IF(G5=0,0,G5/MBunk_ene!G10)</f>
        <v>3.2352563985551313</v>
      </c>
      <c r="H11" s="81">
        <f>IF(H5=0,0,H5/MBunk_ene!H10)</f>
        <v>3.2343920194560907</v>
      </c>
      <c r="I11" s="81">
        <f>IF(I5=0,0,I5/MBunk_ene!I10)</f>
        <v>3.2359839129554473</v>
      </c>
      <c r="J11" s="81">
        <f>IF(J5=0,0,J5/MBunk_ene!J10)</f>
        <v>3.2374845655638467</v>
      </c>
      <c r="K11" s="81">
        <f>IF(K5=0,0,K5/MBunk_ene!K10)</f>
        <v>3.2362113587874699</v>
      </c>
      <c r="L11" s="81">
        <f>IF(L5=0,0,L5/MBunk_ene!L10)</f>
        <v>3.2354239376711731</v>
      </c>
      <c r="M11" s="81">
        <f>IF(M5=0,0,M5/MBunk_ene!M10)</f>
        <v>3.2354189955598138</v>
      </c>
      <c r="N11" s="81">
        <f>IF(N5=0,0,N5/MBunk_ene!N10)</f>
        <v>3.2341602048212112</v>
      </c>
      <c r="O11" s="81">
        <f>IF(O5=0,0,O5/MBunk_ene!O10)</f>
        <v>3.2343569691710581</v>
      </c>
      <c r="P11" s="81">
        <f>IF(P5=0,0,P5/MBunk_ene!P10)</f>
        <v>3.2323024156101652</v>
      </c>
      <c r="Q11" s="81">
        <f>IF(Q5=0,0,Q5/MBunk_ene!Q10)</f>
        <v>3.2215353366448536</v>
      </c>
      <c r="R11" s="81">
        <f>IF(R5=0,0,R5/MBunk_ene!R10)</f>
        <v>3.2257002040283433</v>
      </c>
      <c r="S11" s="81">
        <f>IF(S5=0,0,S5/MBunk_ene!S10)</f>
        <v>3.22966917935902</v>
      </c>
      <c r="T11" s="81">
        <f>IF(T5=0,0,T5/MBunk_ene!T10)</f>
        <v>3.2293943500553297</v>
      </c>
      <c r="U11" s="81">
        <f>IF(U5=0,0,U5/MBunk_ene!U10)</f>
        <v>3.229293837717143</v>
      </c>
      <c r="V11" s="81">
        <f>IF(V5=0,0,V5/MBunk_ene!V10)</f>
        <v>3.2236183804324616</v>
      </c>
      <c r="W11" s="81">
        <f>IF(W5=0,0,W5/MBunk_ene!W10)</f>
        <v>3.2246344554923265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65146.42904324687</v>
      </c>
      <c r="C13" s="62">
        <f>IF(C3=0,0,C3/MBunk_act!C7*100)</f>
        <v>68103.913873517566</v>
      </c>
      <c r="D13" s="62">
        <f>IF(D3=0,0,D3/MBunk_act!D7*100)</f>
        <v>91890.484059882016</v>
      </c>
      <c r="E13" s="62">
        <f>IF(E3=0,0,E3/MBunk_act!E7*100)</f>
        <v>92475.302518908968</v>
      </c>
      <c r="F13" s="62">
        <f>IF(F3=0,0,F3/MBunk_act!F7*100)</f>
        <v>95885.044133777163</v>
      </c>
      <c r="G13" s="62">
        <f>IF(G3=0,0,G3/MBunk_act!G7*100)</f>
        <v>89822.161518644949</v>
      </c>
      <c r="H13" s="62">
        <f>IF(H3=0,0,H3/MBunk_act!H7*100)</f>
        <v>96373.846320529439</v>
      </c>
      <c r="I13" s="62">
        <f>IF(I3=0,0,I3/MBunk_act!I7*100)</f>
        <v>102770.72217364711</v>
      </c>
      <c r="J13" s="62">
        <f>IF(J3=0,0,J3/MBunk_act!J7*100)</f>
        <v>103569.13400350831</v>
      </c>
      <c r="K13" s="62">
        <f>IF(K3=0,0,K3/MBunk_act!K7*100)</f>
        <v>97820.554645631564</v>
      </c>
      <c r="L13" s="62">
        <f>IF(L3=0,0,L3/MBunk_act!L7*100)</f>
        <v>98260.977472708561</v>
      </c>
      <c r="M13" s="62">
        <f>IF(M3=0,0,M3/MBunk_act!M7*100)</f>
        <v>85629.418989743426</v>
      </c>
      <c r="N13" s="62">
        <f>IF(N3=0,0,N3/MBunk_act!N7*100)</f>
        <v>82610.906949557393</v>
      </c>
      <c r="O13" s="62">
        <f>IF(O3=0,0,O3/MBunk_act!O7*100)</f>
        <v>85503.532856280901</v>
      </c>
      <c r="P13" s="62">
        <f>IF(P3=0,0,P3/MBunk_act!P7*100)</f>
        <v>72783.058867862055</v>
      </c>
      <c r="Q13" s="62">
        <f>IF(Q3=0,0,Q3/MBunk_act!Q7*100)</f>
        <v>77902.439448794001</v>
      </c>
      <c r="R13" s="62">
        <f>IF(R3=0,0,R3/MBunk_act!R7*100)</f>
        <v>86740.548538814895</v>
      </c>
      <c r="S13" s="62">
        <f>IF(S3=0,0,S3/MBunk_act!S7*100)</f>
        <v>93223.603275128044</v>
      </c>
      <c r="T13" s="62">
        <f>IF(T3=0,0,T3/MBunk_act!T7*100)</f>
        <v>113073.48886739032</v>
      </c>
      <c r="U13" s="62">
        <f>IF(U3=0,0,U3/MBunk_act!U7*100)</f>
        <v>95492.497206158179</v>
      </c>
      <c r="V13" s="62">
        <f>IF(V3=0,0,V3/MBunk_act!V7*100)</f>
        <v>79444.042199723568</v>
      </c>
      <c r="W13" s="62">
        <f>IF(W3=0,0,W3/MBunk_act!W7*100)</f>
        <v>89010.965159756815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58331.339536553744</v>
      </c>
      <c r="C14" s="63">
        <f>IF(C4=0,0,C4/MBunk_act!C8*100)</f>
        <v>60443.914534578471</v>
      </c>
      <c r="D14" s="63">
        <f>IF(D4=0,0,D4/MBunk_act!D8*100)</f>
        <v>83125.883227694954</v>
      </c>
      <c r="E14" s="63">
        <f>IF(E4=0,0,E4/MBunk_act!E8*100)</f>
        <v>85341.018749986979</v>
      </c>
      <c r="F14" s="63">
        <f>IF(F4=0,0,F4/MBunk_act!F8*100)</f>
        <v>92701.092117110922</v>
      </c>
      <c r="G14" s="63">
        <f>IF(G4=0,0,G4/MBunk_act!G8*100)</f>
        <v>89978.791327872314</v>
      </c>
      <c r="H14" s="63">
        <f>IF(H4=0,0,H4/MBunk_act!H8*100)</f>
        <v>96837.088114212573</v>
      </c>
      <c r="I14" s="63">
        <f>IF(I4=0,0,I4/MBunk_act!I8*100)</f>
        <v>104151.75841633123</v>
      </c>
      <c r="J14" s="63">
        <f>IF(J4=0,0,J4/MBunk_act!J8*100)</f>
        <v>103338.12359005962</v>
      </c>
      <c r="K14" s="63">
        <f>IF(K4=0,0,K4/MBunk_act!K8*100)</f>
        <v>98679.261612029833</v>
      </c>
      <c r="L14" s="63">
        <f>IF(L4=0,0,L4/MBunk_act!L8*100)</f>
        <v>95182.339076566059</v>
      </c>
      <c r="M14" s="63">
        <f>IF(M4=0,0,M4/MBunk_act!M8*100)</f>
        <v>83381.973120336188</v>
      </c>
      <c r="N14" s="63">
        <f>IF(N4=0,0,N4/MBunk_act!N8*100)</f>
        <v>78686.623588886141</v>
      </c>
      <c r="O14" s="63">
        <f>IF(O4=0,0,O4/MBunk_act!O8*100)</f>
        <v>80961.856046966903</v>
      </c>
      <c r="P14" s="63">
        <f>IF(P4=0,0,P4/MBunk_act!P8*100)</f>
        <v>68220.548377823303</v>
      </c>
      <c r="Q14" s="63">
        <f>IF(Q4=0,0,Q4/MBunk_act!Q8*100)</f>
        <v>71634.615859910991</v>
      </c>
      <c r="R14" s="63">
        <f>IF(R4=0,0,R4/MBunk_act!R8*100)</f>
        <v>78445.091513754276</v>
      </c>
      <c r="S14" s="63">
        <f>IF(S4=0,0,S4/MBunk_act!S8*100)</f>
        <v>85734.374253834525</v>
      </c>
      <c r="T14" s="63">
        <f>IF(T4=0,0,T4/MBunk_act!T8*100)</f>
        <v>104132.82101627767</v>
      </c>
      <c r="U14" s="63">
        <f>IF(U4=0,0,U4/MBunk_act!U8*100)</f>
        <v>86608.36215430859</v>
      </c>
      <c r="V14" s="63">
        <f>IF(V4=0,0,V4/MBunk_act!V8*100)</f>
        <v>65849.109972357473</v>
      </c>
      <c r="W14" s="63">
        <f>IF(W4=0,0,W4/MBunk_act!W8*100)</f>
        <v>71780.750033841803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67765.059799383627</v>
      </c>
      <c r="C15" s="64">
        <f>IF(C5=0,0,C5/MBunk_act!C9*100)</f>
        <v>71202.583732591709</v>
      </c>
      <c r="D15" s="64">
        <f>IF(D5=0,0,D5/MBunk_act!D9*100)</f>
        <v>95067.371794766543</v>
      </c>
      <c r="E15" s="64">
        <f>IF(E5=0,0,E5/MBunk_act!E9*100)</f>
        <v>94981.72510125117</v>
      </c>
      <c r="F15" s="64">
        <f>IF(F5=0,0,F5/MBunk_act!F9*100)</f>
        <v>96789.855840013508</v>
      </c>
      <c r="G15" s="64">
        <f>IF(G5=0,0,G5/MBunk_act!G9*100)</f>
        <v>89785.284361421785</v>
      </c>
      <c r="H15" s="64">
        <f>IF(H5=0,0,H5/MBunk_act!H9*100)</f>
        <v>96268.752844514733</v>
      </c>
      <c r="I15" s="64">
        <f>IF(I5=0,0,I5/MBunk_act!I9*100)</f>
        <v>102471.9743250395</v>
      </c>
      <c r="J15" s="64">
        <f>IF(J5=0,0,J5/MBunk_act!J9*100)</f>
        <v>103619.55764402349</v>
      </c>
      <c r="K15" s="64">
        <f>IF(K5=0,0,K5/MBunk_act!K9*100)</f>
        <v>97638.468962513332</v>
      </c>
      <c r="L15" s="64">
        <f>IF(L5=0,0,L5/MBunk_act!L9*100)</f>
        <v>99024.890609997106</v>
      </c>
      <c r="M15" s="64">
        <f>IF(M5=0,0,M5/MBunk_act!M9*100)</f>
        <v>86134.290538012981</v>
      </c>
      <c r="N15" s="64">
        <f>IF(N5=0,0,N5/MBunk_act!N9*100)</f>
        <v>83612.08960841193</v>
      </c>
      <c r="O15" s="64">
        <f>IF(O5=0,0,O5/MBunk_act!O9*100)</f>
        <v>86736.786977932381</v>
      </c>
      <c r="P15" s="64">
        <f>IF(P5=0,0,P5/MBunk_act!P9*100)</f>
        <v>74092.740386286736</v>
      </c>
      <c r="Q15" s="64">
        <f>IF(Q5=0,0,Q5/MBunk_act!Q9*100)</f>
        <v>79812.087783217445</v>
      </c>
      <c r="R15" s="64">
        <f>IF(R5=0,0,R5/MBunk_act!R9*100)</f>
        <v>89850.267220774025</v>
      </c>
      <c r="S15" s="64">
        <f>IF(S5=0,0,S5/MBunk_act!S9*100)</f>
        <v>95661.636308462665</v>
      </c>
      <c r="T15" s="64">
        <f>IF(T5=0,0,T5/MBunk_act!T9*100)</f>
        <v>115774.07020600408</v>
      </c>
      <c r="U15" s="64">
        <f>IF(U5=0,0,U5/MBunk_act!U9*100)</f>
        <v>98376.608672442424</v>
      </c>
      <c r="V15" s="64">
        <f>IF(V5=0,0,V5/MBunk_act!V9*100)</f>
        <v>83553.978276453345</v>
      </c>
      <c r="W15" s="64">
        <f>IF(W5=0,0,W5/MBunk_act!W9*100)</f>
        <v>94695.316538355997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32.028222745974894</v>
      </c>
      <c r="C17" s="62">
        <f>IF(C3=0,0,C3/MBunk_act!C3*1000)</f>
        <v>32.28134851009964</v>
      </c>
      <c r="D17" s="62">
        <f>IF(D3=0,0,D3/MBunk_act!D3*1000)</f>
        <v>41.315227359515909</v>
      </c>
      <c r="E17" s="62">
        <f>IF(E3=0,0,E3/MBunk_act!E3*1000)</f>
        <v>41.814086717651932</v>
      </c>
      <c r="F17" s="62">
        <f>IF(F3=0,0,F3/MBunk_act!F3*1000)</f>
        <v>40.589460172151192</v>
      </c>
      <c r="G17" s="62">
        <f>IF(G3=0,0,G3/MBunk_act!G3*1000)</f>
        <v>37.08056743000872</v>
      </c>
      <c r="H17" s="62">
        <f>IF(H3=0,0,H3/MBunk_act!H3*1000)</f>
        <v>37.632329151026518</v>
      </c>
      <c r="I17" s="62">
        <f>IF(I3=0,0,I3/MBunk_act!I3*1000)</f>
        <v>38.207845272204445</v>
      </c>
      <c r="J17" s="62">
        <f>IF(J3=0,0,J3/MBunk_act!J3*1000)</f>
        <v>37.87187971794453</v>
      </c>
      <c r="K17" s="62">
        <f>IF(K3=0,0,K3/MBunk_act!K3*1000)</f>
        <v>33.738432414647434</v>
      </c>
      <c r="L17" s="62">
        <f>IF(L3=0,0,L3/MBunk_act!L3*1000)</f>
        <v>33.205729325003162</v>
      </c>
      <c r="M17" s="62">
        <f>IF(M3=0,0,M3/MBunk_act!M3*1000)</f>
        <v>27.588909959363857</v>
      </c>
      <c r="N17" s="62">
        <f>IF(N3=0,0,N3/MBunk_act!N3*1000)</f>
        <v>26.442152598103537</v>
      </c>
      <c r="O17" s="62">
        <f>IF(O3=0,0,O3/MBunk_act!O3*1000)</f>
        <v>26.495280446952492</v>
      </c>
      <c r="P17" s="62">
        <f>IF(P3=0,0,P3/MBunk_act!P3*1000)</f>
        <v>22.358793010635388</v>
      </c>
      <c r="Q17" s="62">
        <f>IF(Q3=0,0,Q3/MBunk_act!Q3*1000)</f>
        <v>23.436128301859902</v>
      </c>
      <c r="R17" s="62">
        <f>IF(R3=0,0,R3/MBunk_act!R3*1000)</f>
        <v>26.49831387031016</v>
      </c>
      <c r="S17" s="62">
        <f>IF(S3=0,0,S3/MBunk_act!S3*1000)</f>
        <v>27.221966396185358</v>
      </c>
      <c r="T17" s="62">
        <f>IF(T3=0,0,T3/MBunk_act!T3*1000)</f>
        <v>32.329859189637737</v>
      </c>
      <c r="U17" s="62">
        <f>IF(U3=0,0,U3/MBunk_act!U3*1000)</f>
        <v>27.578475521440236</v>
      </c>
      <c r="V17" s="62">
        <f>IF(V3=0,0,V3/MBunk_act!V3*1000)</f>
        <v>22.062551663139224</v>
      </c>
      <c r="W17" s="62">
        <f>IF(W3=0,0,W3/MBunk_act!W3*1000)</f>
        <v>24.425334707267382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86.898563898464815</v>
      </c>
      <c r="C18" s="63">
        <f>IF(C4=0,0,C4/MBunk_act!C4*1000)</f>
        <v>86.67554256207741</v>
      </c>
      <c r="D18" s="63">
        <f>IF(D4=0,0,D4/MBunk_act!D4*1000)</f>
        <v>114.13322444006212</v>
      </c>
      <c r="E18" s="63">
        <f>IF(E4=0,0,E4/MBunk_act!E4*1000)</f>
        <v>115.63647527725263</v>
      </c>
      <c r="F18" s="63">
        <f>IF(F4=0,0,F4/MBunk_act!F4*1000)</f>
        <v>117.51807784418871</v>
      </c>
      <c r="G18" s="63">
        <f>IF(G4=0,0,G4/MBunk_act!G4*1000)</f>
        <v>111.56451259900872</v>
      </c>
      <c r="H18" s="63">
        <f>IF(H4=0,0,H4/MBunk_act!H4*1000)</f>
        <v>113.84796738086527</v>
      </c>
      <c r="I18" s="63">
        <f>IF(I4=0,0,I4/MBunk_act!I4*1000)</f>
        <v>117.18316158756829</v>
      </c>
      <c r="J18" s="63">
        <f>IF(J4=0,0,J4/MBunk_act!J4*1000)</f>
        <v>117.11004166975106</v>
      </c>
      <c r="K18" s="63">
        <f>IF(K4=0,0,K4/MBunk_act!K4*1000)</f>
        <v>104.5153594774341</v>
      </c>
      <c r="L18" s="63">
        <f>IF(L4=0,0,L4/MBunk_act!L4*1000)</f>
        <v>100.63834492671224</v>
      </c>
      <c r="M18" s="63">
        <f>IF(M4=0,0,M4/MBunk_act!M4*1000)</f>
        <v>86.19271551757069</v>
      </c>
      <c r="N18" s="63">
        <f>IF(N4=0,0,N4/MBunk_act!N4*1000)</f>
        <v>80.42514285470439</v>
      </c>
      <c r="O18" s="63">
        <f>IF(O4=0,0,O4/MBunk_act!O4*1000)</f>
        <v>79.596871738012084</v>
      </c>
      <c r="P18" s="63">
        <f>IF(P4=0,0,P4/MBunk_act!P4*1000)</f>
        <v>66.049056348818254</v>
      </c>
      <c r="Q18" s="63">
        <f>IF(Q4=0,0,Q4/MBunk_act!Q4*1000)</f>
        <v>67.510086245900979</v>
      </c>
      <c r="R18" s="63">
        <f>IF(R4=0,0,R4/MBunk_act!R4*1000)</f>
        <v>71.982148898969442</v>
      </c>
      <c r="S18" s="63">
        <f>IF(S4=0,0,S4/MBunk_act!S4*1000)</f>
        <v>77.813729803566815</v>
      </c>
      <c r="T18" s="63">
        <f>IF(T4=0,0,T4/MBunk_act!T4*1000)</f>
        <v>94.548872704496773</v>
      </c>
      <c r="U18" s="63">
        <f>IF(U4=0,0,U4/MBunk_act!U4*1000)</f>
        <v>80.386781239038612</v>
      </c>
      <c r="V18" s="63">
        <f>IF(V4=0,0,V4/MBunk_act!V4*1000)</f>
        <v>55.037193223170341</v>
      </c>
      <c r="W18" s="63">
        <f>IF(W4=0,0,W4/MBunk_act!W4*1000)</f>
        <v>64.22368247942731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26.494898232399848</v>
      </c>
      <c r="C19" s="64">
        <f>IF(C5=0,0,C5/MBunk_act!C5*1000)</f>
        <v>26.557950591377452</v>
      </c>
      <c r="D19" s="64">
        <f>IF(D5=0,0,D5/MBunk_act!D5*1000)</f>
        <v>34.366084936387644</v>
      </c>
      <c r="E19" s="64">
        <f>IF(E5=0,0,E5/MBunk_act!E5*1000)</f>
        <v>34.801034313723626</v>
      </c>
      <c r="F19" s="64">
        <f>IF(F5=0,0,F5/MBunk_act!F5*1000)</f>
        <v>34.451331778437577</v>
      </c>
      <c r="G19" s="64">
        <f>IF(G5=0,0,G5/MBunk_act!G5*1000)</f>
        <v>32.034304178549945</v>
      </c>
      <c r="H19" s="64">
        <f>IF(H5=0,0,H5/MBunk_act!H5*1000)</f>
        <v>32.645081194579269</v>
      </c>
      <c r="I19" s="64">
        <f>IF(I5=0,0,I5/MBunk_act!I5*1000)</f>
        <v>33.276899451022324</v>
      </c>
      <c r="J19" s="64">
        <f>IF(J5=0,0,J5/MBunk_act!J5*1000)</f>
        <v>33.009970244751749</v>
      </c>
      <c r="K19" s="64">
        <f>IF(K5=0,0,K5/MBunk_act!K5*1000)</f>
        <v>29.462619581536977</v>
      </c>
      <c r="L19" s="64">
        <f>IF(L5=0,0,L5/MBunk_act!L5*1000)</f>
        <v>28.630319381193484</v>
      </c>
      <c r="M19" s="64">
        <f>IF(M5=0,0,M5/MBunk_act!M5*1000)</f>
        <v>24.035137553818707</v>
      </c>
      <c r="N19" s="64">
        <f>IF(N5=0,0,N5/MBunk_act!N5*1000)</f>
        <v>22.772240579871063</v>
      </c>
      <c r="O19" s="64">
        <f>IF(O5=0,0,O5/MBunk_act!O5*1000)</f>
        <v>22.663112262198133</v>
      </c>
      <c r="P19" s="64">
        <f>IF(P5=0,0,P5/MBunk_act!P5*1000)</f>
        <v>19.031490948346999</v>
      </c>
      <c r="Q19" s="64">
        <f>IF(Q5=0,0,Q5/MBunk_act!Q5*1000)</f>
        <v>19.885946763835939</v>
      </c>
      <c r="R19" s="64">
        <f>IF(R5=0,0,R5/MBunk_act!R5*1000)</f>
        <v>21.957425100184</v>
      </c>
      <c r="S19" s="64">
        <f>IF(S5=0,0,S5/MBunk_act!S5*1000)</f>
        <v>22.881572842807874</v>
      </c>
      <c r="T19" s="64">
        <f>IF(T5=0,0,T5/MBunk_act!T5*1000)</f>
        <v>27.426432184635875</v>
      </c>
      <c r="U19" s="64">
        <f>IF(U5=0,0,U5/MBunk_act!U5*1000)</f>
        <v>23.219069886669772</v>
      </c>
      <c r="V19" s="64">
        <f>IF(V5=0,0,V5/MBunk_act!V5*1000)</f>
        <v>19.306606635671027</v>
      </c>
      <c r="W19" s="64">
        <f>IF(W5=0,0,W5/MBunk_act!W5*1000)</f>
        <v>21.148078067486939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1</v>
      </c>
      <c r="C21" s="76">
        <f t="shared" si="2"/>
        <v>1</v>
      </c>
      <c r="D21" s="76">
        <f t="shared" si="2"/>
        <v>1</v>
      </c>
      <c r="E21" s="76">
        <f t="shared" si="2"/>
        <v>1</v>
      </c>
      <c r="F21" s="76">
        <f t="shared" si="2"/>
        <v>1</v>
      </c>
      <c r="G21" s="76">
        <f t="shared" si="2"/>
        <v>1</v>
      </c>
      <c r="H21" s="76">
        <f t="shared" si="2"/>
        <v>1</v>
      </c>
      <c r="I21" s="76">
        <f t="shared" si="2"/>
        <v>1</v>
      </c>
      <c r="J21" s="76">
        <f t="shared" si="2"/>
        <v>1</v>
      </c>
      <c r="K21" s="76">
        <f t="shared" si="2"/>
        <v>1</v>
      </c>
      <c r="L21" s="76">
        <f t="shared" si="2"/>
        <v>1</v>
      </c>
      <c r="M21" s="76">
        <f t="shared" si="2"/>
        <v>1</v>
      </c>
      <c r="N21" s="76">
        <f t="shared" si="2"/>
        <v>1</v>
      </c>
      <c r="O21" s="76">
        <f t="shared" si="2"/>
        <v>1</v>
      </c>
      <c r="P21" s="76">
        <f t="shared" si="2"/>
        <v>1</v>
      </c>
      <c r="Q21" s="76">
        <f t="shared" si="2"/>
        <v>1</v>
      </c>
      <c r="R21" s="76">
        <f t="shared" si="2"/>
        <v>1</v>
      </c>
      <c r="S21" s="76">
        <f t="shared" si="2"/>
        <v>1</v>
      </c>
      <c r="T21" s="76">
        <f t="shared" si="2"/>
        <v>1</v>
      </c>
      <c r="U21" s="76">
        <f t="shared" si="2"/>
        <v>1</v>
      </c>
      <c r="V21" s="76">
        <f t="shared" si="2"/>
        <v>1</v>
      </c>
      <c r="W21" s="76">
        <f t="shared" si="2"/>
        <v>1</v>
      </c>
      <c r="DA21" s="183"/>
    </row>
    <row r="22" spans="1:105" ht="11.45" customHeight="1" x14ac:dyDescent="0.25">
      <c r="A22" s="55" t="s">
        <v>170</v>
      </c>
      <c r="B22" s="77">
        <f t="shared" si="2"/>
        <v>0.24854361174570228</v>
      </c>
      <c r="C22" s="77">
        <f t="shared" si="2"/>
        <v>0.25562143301226264</v>
      </c>
      <c r="D22" s="77">
        <f t="shared" si="2"/>
        <v>0.24066289368860183</v>
      </c>
      <c r="E22" s="77">
        <f t="shared" si="2"/>
        <v>0.23992610419373644</v>
      </c>
      <c r="F22" s="77">
        <f t="shared" si="2"/>
        <v>0.21394403095450601</v>
      </c>
      <c r="G22" s="77">
        <f t="shared" si="2"/>
        <v>0.19090507920842165</v>
      </c>
      <c r="H22" s="77">
        <f t="shared" si="2"/>
        <v>0.18580340906126386</v>
      </c>
      <c r="I22" s="77">
        <f t="shared" si="2"/>
        <v>0.18023889694876258</v>
      </c>
      <c r="J22" s="77">
        <f t="shared" si="2"/>
        <v>0.17876717525570246</v>
      </c>
      <c r="K22" s="77">
        <f t="shared" si="2"/>
        <v>0.17648481887386192</v>
      </c>
      <c r="L22" s="77">
        <f t="shared" si="2"/>
        <v>0.19257485137401456</v>
      </c>
      <c r="M22" s="77">
        <f t="shared" si="2"/>
        <v>0.17862060215254305</v>
      </c>
      <c r="N22" s="77">
        <f t="shared" si="2"/>
        <v>0.1936107697780596</v>
      </c>
      <c r="O22" s="77">
        <f t="shared" si="2"/>
        <v>0.2022097897518125</v>
      </c>
      <c r="P22" s="77">
        <f t="shared" si="2"/>
        <v>0.20905008747296858</v>
      </c>
      <c r="Q22" s="77">
        <f t="shared" si="2"/>
        <v>0.2147366707638679</v>
      </c>
      <c r="R22" s="77">
        <f t="shared" si="2"/>
        <v>0.24658277292467315</v>
      </c>
      <c r="S22" s="77">
        <f t="shared" si="2"/>
        <v>0.22585993380635103</v>
      </c>
      <c r="T22" s="77">
        <f t="shared" si="2"/>
        <v>0.21364095857708945</v>
      </c>
      <c r="U22" s="77">
        <f t="shared" si="2"/>
        <v>0.22227512286288209</v>
      </c>
      <c r="V22" s="77">
        <f t="shared" si="2"/>
        <v>0.19241146330789752</v>
      </c>
      <c r="W22" s="77">
        <f t="shared" si="2"/>
        <v>0.20004778729965103</v>
      </c>
      <c r="DA22" s="184"/>
    </row>
    <row r="23" spans="1:105" ht="11.45" customHeight="1" x14ac:dyDescent="0.25">
      <c r="A23" s="57" t="s">
        <v>171</v>
      </c>
      <c r="B23" s="78">
        <f t="shared" si="2"/>
        <v>0.75145638825429772</v>
      </c>
      <c r="C23" s="78">
        <f t="shared" si="2"/>
        <v>0.7443785669877373</v>
      </c>
      <c r="D23" s="78">
        <f t="shared" si="2"/>
        <v>0.75933710631139817</v>
      </c>
      <c r="E23" s="78">
        <f t="shared" si="2"/>
        <v>0.76007389580626361</v>
      </c>
      <c r="F23" s="78">
        <f t="shared" si="2"/>
        <v>0.78605596904549402</v>
      </c>
      <c r="G23" s="78">
        <f t="shared" si="2"/>
        <v>0.80909492079157841</v>
      </c>
      <c r="H23" s="78">
        <f t="shared" si="2"/>
        <v>0.8141965909387362</v>
      </c>
      <c r="I23" s="78">
        <f t="shared" si="2"/>
        <v>0.81976110305123739</v>
      </c>
      <c r="J23" s="78">
        <f t="shared" si="2"/>
        <v>0.82123282474429748</v>
      </c>
      <c r="K23" s="78">
        <f t="shared" si="2"/>
        <v>0.82351518112613808</v>
      </c>
      <c r="L23" s="78">
        <f t="shared" si="2"/>
        <v>0.80742514862598547</v>
      </c>
      <c r="M23" s="78">
        <f t="shared" si="2"/>
        <v>0.82137939784745706</v>
      </c>
      <c r="N23" s="78">
        <f t="shared" si="2"/>
        <v>0.80638923022194031</v>
      </c>
      <c r="O23" s="78">
        <f t="shared" si="2"/>
        <v>0.79779021024818753</v>
      </c>
      <c r="P23" s="78">
        <f t="shared" si="2"/>
        <v>0.79094991252703151</v>
      </c>
      <c r="Q23" s="78">
        <f t="shared" si="2"/>
        <v>0.78526332923613207</v>
      </c>
      <c r="R23" s="78">
        <f t="shared" si="2"/>
        <v>0.75341722707532688</v>
      </c>
      <c r="S23" s="78">
        <f t="shared" si="2"/>
        <v>0.77414006619364883</v>
      </c>
      <c r="T23" s="78">
        <f t="shared" si="2"/>
        <v>0.78635904142291058</v>
      </c>
      <c r="U23" s="78">
        <f t="shared" si="2"/>
        <v>0.77772487713711791</v>
      </c>
      <c r="V23" s="78">
        <f t="shared" si="2"/>
        <v>0.80758853669210251</v>
      </c>
      <c r="W23" s="78">
        <f t="shared" si="2"/>
        <v>0.79995221270034889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31D0B1-AA0A-4F6D-93CD-3CF882503C14}"/>
</file>

<file path=customXml/itemProps2.xml><?xml version="1.0" encoding="utf-8"?>
<ds:datastoreItem xmlns:ds="http://schemas.openxmlformats.org/officeDocument/2006/customXml" ds:itemID="{450B9937-D539-4E62-9F22-CBF2DE92F170}"/>
</file>

<file path=customXml/itemProps3.xml><?xml version="1.0" encoding="utf-8"?>
<ds:datastoreItem xmlns:ds="http://schemas.openxmlformats.org/officeDocument/2006/customXml" ds:itemID="{4FEA0A3B-3194-4343-BB73-294E2EC6B6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2024-05-20T16:46:22Z</dcterms:created>
  <dcterms:modified xsi:type="dcterms:W3CDTF">2024-05-20T16:46:22Z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