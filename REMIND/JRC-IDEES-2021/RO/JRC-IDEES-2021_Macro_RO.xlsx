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RO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W122" i="59"/>
  <c r="T119" i="59"/>
  <c r="Y118" i="59"/>
  <c r="W117" i="59"/>
  <c r="U117" i="59"/>
  <c r="Y115" i="59"/>
  <c r="X112" i="59"/>
  <c r="W112" i="59"/>
  <c r="W111" i="59"/>
  <c r="X110" i="59"/>
  <c r="U110" i="59"/>
  <c r="U108" i="59"/>
  <c r="Y75" i="59"/>
  <c r="U107" i="59"/>
  <c r="T106" i="59"/>
  <c r="R106" i="59"/>
  <c r="O106" i="59"/>
  <c r="M106" i="59"/>
  <c r="L106" i="59"/>
  <c r="J106" i="59"/>
  <c r="G106" i="59"/>
  <c r="Y73" i="59"/>
  <c r="Y105" i="59"/>
  <c r="Y72" i="59"/>
  <c r="W104" i="59"/>
  <c r="U104" i="59"/>
  <c r="Y103" i="59"/>
  <c r="X102" i="59"/>
  <c r="Y69" i="59"/>
  <c r="W101" i="59"/>
  <c r="V101" i="59"/>
  <c r="U101" i="59"/>
  <c r="Y68" i="59"/>
  <c r="X100" i="59"/>
  <c r="Y99" i="59"/>
  <c r="T98" i="59"/>
  <c r="Y82" i="59"/>
  <c r="Y97" i="59"/>
  <c r="U71" i="59"/>
  <c r="T80" i="59"/>
  <c r="E106" i="59"/>
  <c r="X122" i="59"/>
  <c r="U115" i="59"/>
  <c r="V113" i="59"/>
  <c r="T112" i="59"/>
  <c r="V111" i="59"/>
  <c r="U103" i="59"/>
  <c r="Y93" i="59"/>
  <c r="W90" i="59"/>
  <c r="W78" i="59"/>
  <c r="Y122" i="59"/>
  <c r="Y89" i="59"/>
  <c r="U121" i="59"/>
  <c r="Y120" i="59"/>
  <c r="W87" i="59"/>
  <c r="T118" i="59"/>
  <c r="W85" i="59"/>
  <c r="W84" i="59"/>
  <c r="U116" i="59"/>
  <c r="V115" i="59"/>
  <c r="T83" i="59"/>
  <c r="Y114" i="59"/>
  <c r="W81" i="59"/>
  <c r="W113" i="59"/>
  <c r="U113" i="59"/>
  <c r="Y80" i="59"/>
  <c r="W80" i="59"/>
  <c r="Y111" i="59"/>
  <c r="W110" i="59"/>
  <c r="Y77" i="59"/>
  <c r="U109" i="59"/>
  <c r="Y107" i="59"/>
  <c r="W75" i="59"/>
  <c r="W74" i="59"/>
  <c r="W73" i="59"/>
  <c r="W105" i="59"/>
  <c r="W72" i="59"/>
  <c r="Y71" i="59"/>
  <c r="V103" i="59"/>
  <c r="T71" i="59"/>
  <c r="Y102" i="59"/>
  <c r="W69" i="59"/>
  <c r="U100" i="59"/>
  <c r="Y67" i="59"/>
  <c r="W67" i="59"/>
  <c r="W98" i="59"/>
  <c r="W65" i="59"/>
  <c r="Y20" i="59"/>
  <c r="U94" i="59"/>
  <c r="X20" i="59"/>
  <c r="U20" i="59"/>
  <c r="W5" i="59"/>
  <c r="T5" i="59"/>
  <c r="Y5" i="59"/>
  <c r="X21" i="59"/>
  <c r="U5" i="59"/>
  <c r="V74" i="59" l="1"/>
  <c r="T90" i="59"/>
  <c r="Y66" i="59"/>
  <c r="T67" i="59"/>
  <c r="Y74" i="59"/>
  <c r="Y65" i="59"/>
  <c r="Y84" i="59"/>
  <c r="Y70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<sst xmlns="http://schemas.openxmlformats.org/spreadsheetml/2006/main" count="722" uniqueCount="281">
  <si>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</si>
  <si>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</si>
  <si>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</si>
  <si>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</si>
  <si>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</si>
  <si>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</si>
  <si>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</si>
  <si>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</si>
  <si>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</si>
  <si>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</si>
  <si>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</si>
  <si>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</si>
  <si>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</si>
  <si>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</si>
  <si>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</si>
  <si>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</si>
  <si>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</si>
  <si>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</si>
  <si>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</si>
  <si>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</si>
  <si>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</si>
  <si>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</si>
  <si>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</si>
  <si>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</si>
  <si>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</si>
  <si>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</si>
  <si>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</si>
  <si>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</si>
  <si>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</si>
  <si>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</si>
  <si>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</si>
  <si>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</si>
  <si>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</si>
  <si>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</si>
  <si>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</si>
  <si>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</si>
  <si>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</si>
  <si>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</si>
  <si>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</si>
  <si>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</si>
  <si>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</si>
  <si>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</si>
  <si>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</si>
  <si>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</si>
  <si>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</si>
  <si>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</si>
  <si>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</si>
  <si>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</si>
  <si>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</si>
  <si>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</si>
  <si>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</si>
  <si>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</si>
  <si>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</si>
  <si>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</si>
  <si>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</si>
  <si>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</si>
  <si>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</si>
  <si>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</si>
  <si>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</si>
  <si>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</si>
  <si>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</si>
  <si>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</si>
  <si>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</si>
  <si>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</si>
  <si>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</si>
  <si>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</si>
  <si>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</si>
  <si>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</si>
  <si>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</si>
  <si>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</si>
  <si>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</si>
  <si>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</si>
  <si>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</si>
  <si>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</si>
  <si>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</si>
  <si>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</si>
  <si>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</si>
  <si>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</si>
  <si>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</si>
  <si>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</si>
  <si>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</si>
  <si>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</si>
  <si>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</si>
  <si>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</si>
  <si>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</si>
  <si>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</si>
  <si>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</si>
  <si>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</si>
  <si>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</si>
  <si>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</si>
  <si>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</si>
  <si>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</si>
  <si>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</si>
  <si>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</si>
  <si>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</si>
  <si>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</si>
  <si>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</si>
  <si>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</si>
  <si>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</si>
  <si>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</si>
  <si>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</si>
  <si>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</si>
  <si>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</si>
  <si>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</si>
  <si>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</si>
  <si>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</si>
  <si>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</si>
  <si>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</si>
  <si>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</si>
  <si>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</si>
  <si>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</si>
  <si>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</si>
  <si>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</si>
  <si>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</si>
  <si>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</si>
  <si>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</si>
  <si>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</si>
  <si>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</si>
  <si>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</si>
  <si>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</si>
  <si>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</si>
  <si>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</si>
  <si>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</si>
  <si>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</si>
  <si>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</si>
  <si>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</si>
  <si>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</si>
  <si>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</si>
  <si>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</si>
  <si>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</si>
  <si>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</si>
  <si>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</si>
  <si>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</si>
  <si>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</si>
  <si>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</si>
  <si>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</si>
  <si>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</si>
  <si>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</si>
  <si>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</si>
  <si>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</si>
  <si>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</si>
  <si>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</si>
  <si>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</si>
  <si>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</si>
  <si>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</si>
  <si>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</si>
  <si>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</si>
  <si>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</si>
  <si>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</si>
  <si>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</si>
  <si>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</si>
  <si>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</si>
  <si>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</si>
  <si>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</si>
  <si>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</si>
  <si>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</si>
  <si>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</si>
  <si>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</si>
  <si>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</si>
  <si>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</si>
  <si>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</si>
  <si>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</si>
  <si>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</si>
  <si>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</si>
  <si>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</si>
  <si>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</si>
  <si>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</si>
  <si>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</si>
  <si>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</si>
  <si>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</si>
  <si>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</si>
  <si>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</si>
  <si>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</si>
  <si>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</si>
  <si>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</si>
  <si>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</si>
  <si>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</si>
  <si>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</si>
  <si>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</si>
  <si>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</si>
  <si>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</si>
  <si>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</si>
  <si>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</si>
  <si>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</si>
  <si>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</si>
  <si>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</si>
  <si>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</si>
  <si>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</si>
  <si>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</si>
  <si>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</si>
  <si>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</si>
  <si>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</si>
  <si>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</si>
  <si>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</si>
  <si>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</si>
  <si>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</si>
  <si>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</si>
  <si>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</si>
  <si>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</si>
  <si>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</si>
  <si>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</si>
  <si>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</si>
  <si>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</si>
  <si>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</si>
  <si>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</si>
  <si>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</si>
  <si>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</si>
  <si>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</si>
  <si>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</si>
  <si>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</si>
  <si>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</si>
  <si>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</si>
  <si>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</si>
  <si>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</si>
  <si>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</si>
  <si>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</si>
  <si>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</si>
  <si>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</si>
  <si>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</si>
  <si>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</si>
  <si>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</si>
  <si>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</si>
  <si>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</si>
  <si>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</si>
  <si>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</si>
  <si>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</si>
  <si>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</si>
  <si>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</si>
  <si>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</si>
  <si>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</si>
  <si>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</si>
  <si>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</si>
  <si>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</si>
  <si>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</si>
  <si>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</si>
  <si>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</si>
  <si>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</si>
  <si>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</si>
  <si>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</si>
  <si>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</si>
  <si>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</si>
  <si>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</si>
  <si>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</si>
  <si>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</si>
  <si>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</si>
  <si>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</si>
  <si>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</si>
  <si>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</si>
  <si>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</si>
  <si>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</si>
  <si>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</si>
  <si>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</si>
  <si>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</si>
  <si>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</si>
  <si>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</si>
  <si>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</si>
  <si>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</si>
  <si>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</si>
  <si>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</si>
  <si>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</si>
  <si>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</si>
  <si>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</si>
  <si>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</si>
  <si>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</si>
  <si>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</si>
  <si>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</si>
  <si>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</si>
  <si>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</si>
  <si>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</si>
  <si>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</si>
  <si>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</si>
  <si>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</si>
  <si>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</si>
  <si>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</si>
  <si>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</si>
  <si>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</si>
  <si>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</si>
  <si>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</si>
  <si>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</si>
  <si>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RO</t>
  </si>
  <si>
    <t>Romania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</si>
</sst>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45432.78837962963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44210.950453914593</v>
      </c>
      <c r="E2" s="19">
        <v>49165.04615517093</v>
      </c>
      <c r="F2" s="19">
        <v>53032.744245211368</v>
      </c>
      <c r="G2" s="19">
        <v>55660.588964311428</v>
      </c>
      <c r="H2" s="19">
        <v>65781.747217897704</v>
      </c>
      <c r="I2" s="19">
        <v>86281.362057118298</v>
      </c>
      <c r="J2" s="19">
        <v>105874.02230653938</v>
      </c>
      <c r="K2" s="19">
        <v>139000.08937808117</v>
      </c>
      <c r="L2" s="19">
        <v>159647.61393483917</v>
      </c>
      <c r="M2" s="19">
        <v>136367.15539933357</v>
      </c>
      <c r="N2" s="19">
        <v>139705.4050816262</v>
      </c>
      <c r="O2" s="19">
        <v>150859.02539239146</v>
      </c>
      <c r="P2" s="19">
        <v>151730.47183908045</v>
      </c>
      <c r="Q2" s="19">
        <v>155659.52410236065</v>
      </c>
      <c r="R2" s="19">
        <v>163928.27211693299</v>
      </c>
      <c r="S2" s="19">
        <v>174564.63434600001</v>
      </c>
      <c r="T2" s="19">
        <v>182413.20111228136</v>
      </c>
      <c r="U2" s="19">
        <v>203000.89954543283</v>
      </c>
      <c r="V2" s="19">
        <v>224427.60781706043</v>
      </c>
      <c r="W2" s="19">
        <v>244147.05393498644</v>
      </c>
      <c r="X2" s="19">
        <v>240125.60346673988</v>
      </c>
      <c r="Y2" s="19">
        <v>263131.41578990931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29799.418427013221</v>
      </c>
      <c r="E3" s="23">
        <v>33306.779101270557</v>
      </c>
      <c r="F3" s="23">
        <v>35680.288807770732</v>
      </c>
      <c r="G3" s="23">
        <v>37353.228115834587</v>
      </c>
      <c r="H3" s="23">
        <v>45228.567894915359</v>
      </c>
      <c r="I3" s="23">
        <v>60103.911489625272</v>
      </c>
      <c r="J3" s="23">
        <v>71297.234332366264</v>
      </c>
      <c r="K3" s="23">
        <v>91704.292166245781</v>
      </c>
      <c r="L3" s="23">
        <v>99907.207490339322</v>
      </c>
      <c r="M3" s="23">
        <v>84316.219052877685</v>
      </c>
      <c r="N3" s="23">
        <v>88225.379757637827</v>
      </c>
      <c r="O3" s="23">
        <v>95257.19040736687</v>
      </c>
      <c r="P3" s="23">
        <v>96125.633445558589</v>
      </c>
      <c r="Q3" s="23">
        <v>93577.2808650519</v>
      </c>
      <c r="R3" s="23">
        <v>97979.196603449134</v>
      </c>
      <c r="S3" s="23">
        <v>104959.74882000001</v>
      </c>
      <c r="T3" s="23">
        <v>110936.6116163339</v>
      </c>
      <c r="U3" s="23">
        <v>124876.85148263794</v>
      </c>
      <c r="V3" s="23">
        <v>139317.18361862958</v>
      </c>
      <c r="W3" s="23">
        <v>148920.48025363515</v>
      </c>
      <c r="X3" s="23">
        <v>143720.12731784812</v>
      </c>
      <c r="Y3" s="23">
        <v>158447.97186771815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36656.5</v>
      </c>
      <c r="E4" s="27">
        <v>40955.699999999997</v>
      </c>
      <c r="F4" s="27">
        <v>43982.8</v>
      </c>
      <c r="G4" s="27">
        <v>45599.199999999997</v>
      </c>
      <c r="H4" s="27">
        <v>54181.4</v>
      </c>
      <c r="I4" s="27">
        <v>70256.2</v>
      </c>
      <c r="J4" s="27">
        <v>86573</v>
      </c>
      <c r="K4" s="27">
        <v>113758.6</v>
      </c>
      <c r="L4" s="27">
        <v>131496.4</v>
      </c>
      <c r="M4" s="27">
        <v>113845.5</v>
      </c>
      <c r="N4" s="27">
        <v>114782.2</v>
      </c>
      <c r="O4" s="27">
        <v>122583.5</v>
      </c>
      <c r="P4" s="27">
        <v>123143.9</v>
      </c>
      <c r="Q4" s="27">
        <v>125970.2</v>
      </c>
      <c r="R4" s="27">
        <v>133112.9</v>
      </c>
      <c r="S4" s="27">
        <v>140797</v>
      </c>
      <c r="T4" s="27">
        <v>149951.70000000001</v>
      </c>
      <c r="U4" s="27">
        <v>168614.7</v>
      </c>
      <c r="V4" s="27">
        <v>186382.6</v>
      </c>
      <c r="W4" s="27">
        <v>202806.3</v>
      </c>
      <c r="X4" s="27">
        <v>199987.6</v>
      </c>
      <c r="Y4" s="27">
        <v>218378.2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4406.1000000000004</v>
      </c>
      <c r="E6" s="19">
        <v>5936.2</v>
      </c>
      <c r="F6" s="19">
        <v>5523.3</v>
      </c>
      <c r="G6" s="19">
        <v>6089.3</v>
      </c>
      <c r="H6" s="19">
        <v>7674.4</v>
      </c>
      <c r="I6" s="19">
        <v>6723</v>
      </c>
      <c r="J6" s="19">
        <v>7603</v>
      </c>
      <c r="K6" s="19">
        <v>7021.7</v>
      </c>
      <c r="L6" s="19">
        <v>9238</v>
      </c>
      <c r="M6" s="19">
        <v>7658.6</v>
      </c>
      <c r="N6" s="19">
        <v>6642.7</v>
      </c>
      <c r="O6" s="19">
        <v>8243.7000000000007</v>
      </c>
      <c r="P6" s="19">
        <v>6325.7</v>
      </c>
      <c r="Q6" s="19">
        <v>7875.4000000000015</v>
      </c>
      <c r="R6" s="19">
        <v>7448.7</v>
      </c>
      <c r="S6" s="19">
        <v>7094.3</v>
      </c>
      <c r="T6" s="19">
        <v>7189.3</v>
      </c>
      <c r="U6" s="19">
        <v>8274</v>
      </c>
      <c r="V6" s="19">
        <v>9406.2999999999993</v>
      </c>
      <c r="W6" s="19">
        <v>9908.9</v>
      </c>
      <c r="X6" s="19">
        <v>9213.7999999999993</v>
      </c>
      <c r="Y6" s="19">
        <v>11507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10166.499999999998</v>
      </c>
      <c r="E7" s="23">
        <v>12026.399999999992</v>
      </c>
      <c r="F7" s="23">
        <v>13224.000000000002</v>
      </c>
      <c r="G7" s="23">
        <v>13153.4</v>
      </c>
      <c r="H7" s="23">
        <v>15375.300000000003</v>
      </c>
      <c r="I7" s="23">
        <v>20000.900000000001</v>
      </c>
      <c r="J7" s="23">
        <v>24313.599999999991</v>
      </c>
      <c r="K7" s="23">
        <v>31530.199999999986</v>
      </c>
      <c r="L7" s="23">
        <v>37263.299999999996</v>
      </c>
      <c r="M7" s="23">
        <v>32229.1</v>
      </c>
      <c r="N7" s="23">
        <v>38910.099999999991</v>
      </c>
      <c r="O7" s="23">
        <v>46578.599999999991</v>
      </c>
      <c r="P7" s="23">
        <v>37443.300000000003</v>
      </c>
      <c r="Q7" s="23">
        <v>36022.699999999997</v>
      </c>
      <c r="R7" s="23">
        <v>39429.80000000001</v>
      </c>
      <c r="S7" s="23">
        <v>39895.299999999988</v>
      </c>
      <c r="T7" s="23">
        <v>40329.800000000003</v>
      </c>
      <c r="U7" s="23">
        <v>44094.30000000001</v>
      </c>
      <c r="V7" s="23">
        <v>47302.400000000009</v>
      </c>
      <c r="W7" s="23">
        <v>47725.60000000002</v>
      </c>
      <c r="X7" s="23">
        <v>44088.799999999981</v>
      </c>
      <c r="Y7" s="23">
        <v>47516.9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2119</v>
      </c>
      <c r="E8" s="23">
        <v>2571.6</v>
      </c>
      <c r="F8" s="23">
        <v>3004.8</v>
      </c>
      <c r="G8" s="23">
        <v>3226.1</v>
      </c>
      <c r="H8" s="23">
        <v>3853.5</v>
      </c>
      <c r="I8" s="23">
        <v>5561.4</v>
      </c>
      <c r="J8" s="23">
        <v>7746.5</v>
      </c>
      <c r="K8" s="23">
        <v>12224.8</v>
      </c>
      <c r="L8" s="23">
        <v>16644.2</v>
      </c>
      <c r="M8" s="23">
        <v>13379.9</v>
      </c>
      <c r="N8" s="23">
        <v>10240.200000000001</v>
      </c>
      <c r="O8" s="23">
        <v>9123.6</v>
      </c>
      <c r="P8" s="23">
        <v>10517</v>
      </c>
      <c r="Q8" s="23">
        <v>9820.7000000000007</v>
      </c>
      <c r="R8" s="23">
        <v>9597.4</v>
      </c>
      <c r="S8" s="23">
        <v>9492.7000000000007</v>
      </c>
      <c r="T8" s="23">
        <v>10122.6</v>
      </c>
      <c r="U8" s="23">
        <v>10166.700000000001</v>
      </c>
      <c r="V8" s="23">
        <v>12291</v>
      </c>
      <c r="W8" s="23">
        <v>14129.2</v>
      </c>
      <c r="X8" s="23">
        <v>14445.9</v>
      </c>
      <c r="Y8" s="23">
        <v>15421.2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7437.4000000000015</v>
      </c>
      <c r="E9" s="23">
        <v>7612.3</v>
      </c>
      <c r="F9" s="23">
        <v>8009.8</v>
      </c>
      <c r="G9" s="23">
        <v>8939.6</v>
      </c>
      <c r="H9" s="23">
        <v>10535.8</v>
      </c>
      <c r="I9" s="23">
        <v>14866.1</v>
      </c>
      <c r="J9" s="23">
        <v>18718</v>
      </c>
      <c r="K9" s="23">
        <v>25018.6</v>
      </c>
      <c r="L9" s="23">
        <v>26420.7</v>
      </c>
      <c r="M9" s="23">
        <v>22992.6</v>
      </c>
      <c r="N9" s="23">
        <v>15424.3</v>
      </c>
      <c r="O9" s="23">
        <v>13077</v>
      </c>
      <c r="P9" s="23">
        <v>22740.2</v>
      </c>
      <c r="Q9" s="23">
        <v>20202.7</v>
      </c>
      <c r="R9" s="23">
        <v>21197</v>
      </c>
      <c r="S9" s="23">
        <v>25496.6</v>
      </c>
      <c r="T9" s="23">
        <v>28689.3</v>
      </c>
      <c r="U9" s="23">
        <v>32794.1</v>
      </c>
      <c r="V9" s="23">
        <v>36135.4</v>
      </c>
      <c r="W9" s="23">
        <v>39195.699999999997</v>
      </c>
      <c r="X9" s="23">
        <v>40294.300000000003</v>
      </c>
      <c r="Y9" s="23">
        <v>47912.6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1988.4</v>
      </c>
      <c r="E10" s="23">
        <v>2101.3999999999996</v>
      </c>
      <c r="F10" s="23">
        <v>2176.9999999999995</v>
      </c>
      <c r="G10" s="23">
        <v>2248.5</v>
      </c>
      <c r="H10" s="23">
        <v>2585.8000000000006</v>
      </c>
      <c r="I10" s="23">
        <v>3167.9</v>
      </c>
      <c r="J10" s="23">
        <v>3998.2</v>
      </c>
      <c r="K10" s="23">
        <v>5846.2</v>
      </c>
      <c r="L10" s="23">
        <v>6355.7</v>
      </c>
      <c r="M10" s="23">
        <v>5088</v>
      </c>
      <c r="N10" s="23">
        <v>5190.3</v>
      </c>
      <c r="O10" s="23">
        <v>5494.8</v>
      </c>
      <c r="P10" s="23">
        <v>5948.6</v>
      </c>
      <c r="Q10" s="23">
        <v>7340.6</v>
      </c>
      <c r="R10" s="23">
        <v>7323.3</v>
      </c>
      <c r="S10" s="23">
        <v>8081.3</v>
      </c>
      <c r="T10" s="23">
        <v>8691.7000000000007</v>
      </c>
      <c r="U10" s="23">
        <v>10338.799999999999</v>
      </c>
      <c r="V10" s="23">
        <v>11097.9</v>
      </c>
      <c r="W10" s="23">
        <v>12925.1</v>
      </c>
      <c r="X10" s="23">
        <v>14019.4</v>
      </c>
      <c r="Y10" s="23">
        <v>15535.7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1645.7</v>
      </c>
      <c r="E11" s="23">
        <v>1589</v>
      </c>
      <c r="F11" s="23">
        <v>1257.0999999999999</v>
      </c>
      <c r="G11" s="23">
        <v>1006.3000000000002</v>
      </c>
      <c r="H11" s="23">
        <v>1385</v>
      </c>
      <c r="I11" s="23">
        <v>1631.2</v>
      </c>
      <c r="J11" s="23">
        <v>1781.6999999999998</v>
      </c>
      <c r="K11" s="23">
        <v>2425.1999999999998</v>
      </c>
      <c r="L11" s="23">
        <v>3065</v>
      </c>
      <c r="M11" s="23">
        <v>2528.6999999999998</v>
      </c>
      <c r="N11" s="23">
        <v>2933</v>
      </c>
      <c r="O11" s="23">
        <v>3649.8</v>
      </c>
      <c r="P11" s="23">
        <v>3724.8</v>
      </c>
      <c r="Q11" s="23">
        <v>5315.6</v>
      </c>
      <c r="R11" s="23">
        <v>4910.7</v>
      </c>
      <c r="S11" s="23">
        <v>4877.2</v>
      </c>
      <c r="T11" s="23">
        <v>5472.6</v>
      </c>
      <c r="U11" s="23">
        <v>4593.1000000000004</v>
      </c>
      <c r="V11" s="23">
        <v>5247.9</v>
      </c>
      <c r="W11" s="23">
        <v>5195.1000000000013</v>
      </c>
      <c r="X11" s="23">
        <v>6390.5</v>
      </c>
      <c r="Y11" s="23">
        <v>6687.2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2974.6</v>
      </c>
      <c r="E12" s="23">
        <v>3155.7</v>
      </c>
      <c r="F12" s="23">
        <v>3734.7</v>
      </c>
      <c r="G12" s="23">
        <v>3492.3</v>
      </c>
      <c r="H12" s="23">
        <v>3981.7</v>
      </c>
      <c r="I12" s="23">
        <v>5975.2</v>
      </c>
      <c r="J12" s="23">
        <v>6870.3</v>
      </c>
      <c r="K12" s="23">
        <v>10641.5</v>
      </c>
      <c r="L12" s="23">
        <v>9733.7000000000025</v>
      </c>
      <c r="M12" s="23">
        <v>10008.9</v>
      </c>
      <c r="N12" s="23">
        <v>11116.1</v>
      </c>
      <c r="O12" s="23">
        <v>11229.8</v>
      </c>
      <c r="P12" s="23">
        <v>11492.3</v>
      </c>
      <c r="Q12" s="23">
        <v>11590.9</v>
      </c>
      <c r="R12" s="23">
        <v>12424.7</v>
      </c>
      <c r="S12" s="23">
        <v>13739.5</v>
      </c>
      <c r="T12" s="23">
        <v>14016.2</v>
      </c>
      <c r="U12" s="23">
        <v>15411.8</v>
      </c>
      <c r="V12" s="23">
        <v>15779</v>
      </c>
      <c r="W12" s="23">
        <v>17783.3</v>
      </c>
      <c r="X12" s="23">
        <v>17046</v>
      </c>
      <c r="Y12" s="23">
        <v>18558.599999999999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990.69999999999982</v>
      </c>
      <c r="E13" s="23">
        <v>1020.2000000000002</v>
      </c>
      <c r="F13" s="23">
        <v>1436.4</v>
      </c>
      <c r="G13" s="23">
        <v>1613.3</v>
      </c>
      <c r="H13" s="23">
        <v>1740.2</v>
      </c>
      <c r="I13" s="23">
        <v>2378.1999999999998</v>
      </c>
      <c r="J13" s="23">
        <v>3542.9</v>
      </c>
      <c r="K13" s="23">
        <v>4791</v>
      </c>
      <c r="L13" s="23">
        <v>5877.5</v>
      </c>
      <c r="M13" s="23">
        <v>5470.5</v>
      </c>
      <c r="N13" s="23">
        <v>6126.7</v>
      </c>
      <c r="O13" s="23">
        <v>7069.3</v>
      </c>
      <c r="P13" s="23">
        <v>6941.4</v>
      </c>
      <c r="Q13" s="23">
        <v>9064.7000000000007</v>
      </c>
      <c r="R13" s="23">
        <v>9362.9</v>
      </c>
      <c r="S13" s="23">
        <v>11316.1</v>
      </c>
      <c r="T13" s="23">
        <v>11494.5</v>
      </c>
      <c r="U13" s="23">
        <v>14134.7</v>
      </c>
      <c r="V13" s="23">
        <v>14863.2</v>
      </c>
      <c r="W13" s="23">
        <v>17288.8</v>
      </c>
      <c r="X13" s="23">
        <v>16122.6</v>
      </c>
      <c r="Y13" s="23">
        <v>17129.8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3815.2</v>
      </c>
      <c r="E14" s="23">
        <v>4005.4999999999995</v>
      </c>
      <c r="F14" s="23">
        <v>4602.4999999999991</v>
      </c>
      <c r="G14" s="23">
        <v>4719.2</v>
      </c>
      <c r="H14" s="23">
        <v>5766.4</v>
      </c>
      <c r="I14" s="23">
        <v>8231.1</v>
      </c>
      <c r="J14" s="23">
        <v>9685</v>
      </c>
      <c r="K14" s="23">
        <v>11232.8</v>
      </c>
      <c r="L14" s="23">
        <v>13638.1</v>
      </c>
      <c r="M14" s="23">
        <v>11144.1</v>
      </c>
      <c r="N14" s="23">
        <v>14656</v>
      </c>
      <c r="O14" s="23">
        <v>13514.5</v>
      </c>
      <c r="P14" s="23">
        <v>14014.2</v>
      </c>
      <c r="Q14" s="23">
        <v>15201.7</v>
      </c>
      <c r="R14" s="23">
        <v>17316</v>
      </c>
      <c r="S14" s="23">
        <v>15725.9</v>
      </c>
      <c r="T14" s="23">
        <v>18971.999999999996</v>
      </c>
      <c r="U14" s="23">
        <v>22966.5</v>
      </c>
      <c r="V14" s="23">
        <v>27582.2</v>
      </c>
      <c r="W14" s="23">
        <v>31461.8</v>
      </c>
      <c r="X14" s="23">
        <v>32680.799999999999</v>
      </c>
      <c r="Y14" s="23">
        <v>31955.9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1112.9000000000001</v>
      </c>
      <c r="E15" s="23">
        <v>937.4</v>
      </c>
      <c r="F15" s="23">
        <v>1013.2000000000002</v>
      </c>
      <c r="G15" s="23">
        <v>1111.2</v>
      </c>
      <c r="H15" s="23">
        <v>1283.3000000000002</v>
      </c>
      <c r="I15" s="23">
        <v>1721.2</v>
      </c>
      <c r="J15" s="23">
        <v>2313.8000000000002</v>
      </c>
      <c r="K15" s="23">
        <v>3026.6</v>
      </c>
      <c r="L15" s="23">
        <v>3260.2</v>
      </c>
      <c r="M15" s="23">
        <v>3345.1</v>
      </c>
      <c r="N15" s="23">
        <v>3542.8</v>
      </c>
      <c r="O15" s="23">
        <v>4602.3999999999996</v>
      </c>
      <c r="P15" s="23">
        <v>3996.4</v>
      </c>
      <c r="Q15" s="23">
        <v>3535.2</v>
      </c>
      <c r="R15" s="23">
        <v>4102.3999999999996</v>
      </c>
      <c r="S15" s="23">
        <v>5078.1000000000004</v>
      </c>
      <c r="T15" s="23">
        <v>4973.7</v>
      </c>
      <c r="U15" s="23">
        <v>5840.7</v>
      </c>
      <c r="V15" s="23">
        <v>6677.3</v>
      </c>
      <c r="W15" s="23">
        <v>7192.8</v>
      </c>
      <c r="X15" s="23">
        <v>5685.5</v>
      </c>
      <c r="Y15" s="23">
        <v>6153.3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36656.5</v>
      </c>
      <c r="E16" s="30">
        <f t="shared" ref="E16:S16" si="0">SUM(E6:E15)</f>
        <v>40955.699999999983</v>
      </c>
      <c r="F16" s="30">
        <f t="shared" si="0"/>
        <v>43982.799999999996</v>
      </c>
      <c r="G16" s="30">
        <f t="shared" si="0"/>
        <v>45599.200000000004</v>
      </c>
      <c r="H16" s="30">
        <f t="shared" si="0"/>
        <v>54181.4</v>
      </c>
      <c r="I16" s="30">
        <f t="shared" si="0"/>
        <v>70256.2</v>
      </c>
      <c r="J16" s="30">
        <f t="shared" si="0"/>
        <v>86572.999999999985</v>
      </c>
      <c r="K16" s="30">
        <f t="shared" si="0"/>
        <v>113758.59999999999</v>
      </c>
      <c r="L16" s="30">
        <f t="shared" si="0"/>
        <v>131496.4</v>
      </c>
      <c r="M16" s="30">
        <f t="shared" si="0"/>
        <v>113845.5</v>
      </c>
      <c r="N16" s="30">
        <f t="shared" si="0"/>
        <v>114782.2</v>
      </c>
      <c r="O16" s="30">
        <f t="shared" si="0"/>
        <v>122583.5</v>
      </c>
      <c r="P16" s="30">
        <f t="shared" si="0"/>
        <v>123143.9</v>
      </c>
      <c r="Q16" s="30">
        <f t="shared" si="0"/>
        <v>125970.2</v>
      </c>
      <c r="R16" s="30">
        <f t="shared" si="0"/>
        <v>133112.9</v>
      </c>
      <c r="S16" s="30">
        <f t="shared" si="0"/>
        <v>140797</v>
      </c>
      <c r="T16" s="30">
        <f t="shared" ref="T16:Y16" si="1">SUM(T6:T15)</f>
        <v>149951.70000000001</v>
      </c>
      <c r="U16" s="30">
        <f t="shared" si="1"/>
        <v>168614.70000000004</v>
      </c>
      <c r="V16" s="30">
        <f t="shared" si="1"/>
        <v>186382.6</v>
      </c>
      <c r="W16" s="30">
        <f t="shared" si="1"/>
        <v>202806.3</v>
      </c>
      <c r="X16" s="30">
        <f t="shared" si="1"/>
        <v>199987.59999999995</v>
      </c>
      <c r="Y16" s="30">
        <f t="shared" si="1"/>
        <v>218378.2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4406.1000000000004</v>
      </c>
      <c r="E18" s="19">
        <v>5936.2</v>
      </c>
      <c r="F18" s="19">
        <v>5523.3</v>
      </c>
      <c r="G18" s="19">
        <v>6089.3</v>
      </c>
      <c r="H18" s="19">
        <v>7674.4</v>
      </c>
      <c r="I18" s="19">
        <v>6723</v>
      </c>
      <c r="J18" s="19">
        <v>7603</v>
      </c>
      <c r="K18" s="19">
        <v>7021.7</v>
      </c>
      <c r="L18" s="19">
        <v>9238</v>
      </c>
      <c r="M18" s="19">
        <v>7658.6</v>
      </c>
      <c r="N18" s="19">
        <v>6642.7</v>
      </c>
      <c r="O18" s="19">
        <v>8243.7000000000007</v>
      </c>
      <c r="P18" s="19">
        <v>6325.7</v>
      </c>
      <c r="Q18" s="19">
        <v>7875.4000000000015</v>
      </c>
      <c r="R18" s="19">
        <v>7448.7</v>
      </c>
      <c r="S18" s="19">
        <v>7094.3</v>
      </c>
      <c r="T18" s="19">
        <v>7189.3</v>
      </c>
      <c r="U18" s="19">
        <v>8274</v>
      </c>
      <c r="V18" s="19">
        <v>9406.2999999999993</v>
      </c>
      <c r="W18" s="19">
        <v>9908.9</v>
      </c>
      <c r="X18" s="19">
        <v>9213.7999999999993</v>
      </c>
      <c r="Y18" s="19">
        <v>11507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832.5</v>
      </c>
      <c r="E19" s="23">
        <v>829.2</v>
      </c>
      <c r="F19" s="23">
        <v>883.6</v>
      </c>
      <c r="G19" s="23">
        <v>743.7</v>
      </c>
      <c r="H19" s="23">
        <v>815.9</v>
      </c>
      <c r="I19" s="23">
        <v>1063.7</v>
      </c>
      <c r="J19" s="23">
        <v>1375.4</v>
      </c>
      <c r="K19" s="23">
        <v>1614</v>
      </c>
      <c r="L19" s="23">
        <v>1419.4</v>
      </c>
      <c r="M19" s="23">
        <v>1614.5</v>
      </c>
      <c r="N19" s="23">
        <v>1908.8</v>
      </c>
      <c r="O19" s="23">
        <v>1187.8</v>
      </c>
      <c r="P19" s="23">
        <v>2226.1</v>
      </c>
      <c r="Q19" s="23">
        <v>1548.8</v>
      </c>
      <c r="R19" s="23">
        <v>1220</v>
      </c>
      <c r="S19" s="23">
        <v>1478</v>
      </c>
      <c r="T19" s="23">
        <v>1096.9999999999998</v>
      </c>
      <c r="U19" s="23">
        <v>1195.4000000000001</v>
      </c>
      <c r="V19" s="23">
        <v>1508.4</v>
      </c>
      <c r="W19" s="23">
        <v>2011</v>
      </c>
      <c r="X19" s="23">
        <v>1830</v>
      </c>
      <c r="Y19" s="23">
        <v>1532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8043.1999999999962</v>
      </c>
      <c r="E20" s="23">
        <v>9940.7999999999938</v>
      </c>
      <c r="F20" s="23">
        <v>10620.200000000003</v>
      </c>
      <c r="G20" s="23">
        <v>10757.1</v>
      </c>
      <c r="H20" s="23">
        <v>12830.500000000005</v>
      </c>
      <c r="I20" s="23">
        <v>16849.300000000003</v>
      </c>
      <c r="J20" s="23">
        <v>20517.799999999985</v>
      </c>
      <c r="K20" s="23">
        <v>26838.499999999982</v>
      </c>
      <c r="L20" s="23">
        <v>32169.9</v>
      </c>
      <c r="M20" s="23">
        <v>26303.599999999999</v>
      </c>
      <c r="N20" s="23">
        <v>29969.899999999991</v>
      </c>
      <c r="O20" s="23">
        <v>35895.499999999993</v>
      </c>
      <c r="P20" s="23">
        <v>29642.300000000003</v>
      </c>
      <c r="Q20" s="23">
        <v>28894.899999999994</v>
      </c>
      <c r="R20" s="23">
        <v>32383.600000000013</v>
      </c>
      <c r="S20" s="23">
        <v>32391.299999999992</v>
      </c>
      <c r="T20" s="23">
        <v>33707.500000000007</v>
      </c>
      <c r="U20" s="23">
        <v>36930.400000000001</v>
      </c>
      <c r="V20" s="23">
        <v>39033.300000000017</v>
      </c>
      <c r="W20" s="23">
        <v>38487.800000000017</v>
      </c>
      <c r="X20" s="23">
        <v>34968.599999999969</v>
      </c>
      <c r="Y20" s="23">
        <v>37855.9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1021.5</v>
      </c>
      <c r="E21" s="23">
        <v>962.2</v>
      </c>
      <c r="F21" s="23">
        <v>1441.1</v>
      </c>
      <c r="G21" s="23">
        <v>1396.7</v>
      </c>
      <c r="H21" s="23">
        <v>1454.4</v>
      </c>
      <c r="I21" s="23">
        <v>1696.3</v>
      </c>
      <c r="J21" s="23">
        <v>1943</v>
      </c>
      <c r="K21" s="23">
        <v>2456.1</v>
      </c>
      <c r="L21" s="23">
        <v>2902</v>
      </c>
      <c r="M21" s="23">
        <v>3516.3</v>
      </c>
      <c r="N21" s="23">
        <v>5388.9</v>
      </c>
      <c r="O21" s="23">
        <v>7610.2</v>
      </c>
      <c r="P21" s="23">
        <v>4328.8999999999996</v>
      </c>
      <c r="Q21" s="23">
        <v>4248.9999999999991</v>
      </c>
      <c r="R21" s="23">
        <v>4508.7</v>
      </c>
      <c r="S21" s="23">
        <v>4660</v>
      </c>
      <c r="T21" s="23">
        <v>4122.8</v>
      </c>
      <c r="U21" s="23">
        <v>4575.3999999999996</v>
      </c>
      <c r="V21" s="23">
        <v>5164.6000000000004</v>
      </c>
      <c r="W21" s="23">
        <v>5462.9</v>
      </c>
      <c r="X21" s="23">
        <v>5443.3</v>
      </c>
      <c r="Y21" s="23">
        <v>5938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269.3</v>
      </c>
      <c r="E22" s="23">
        <v>294.20000000000005</v>
      </c>
      <c r="F22" s="23">
        <v>279.10000000000002</v>
      </c>
      <c r="G22" s="23">
        <v>255.90000000000003</v>
      </c>
      <c r="H22" s="23">
        <v>274.5</v>
      </c>
      <c r="I22" s="23">
        <v>391.6</v>
      </c>
      <c r="J22" s="23">
        <v>477.4</v>
      </c>
      <c r="K22" s="23">
        <v>621.6</v>
      </c>
      <c r="L22" s="23">
        <v>772</v>
      </c>
      <c r="M22" s="23">
        <v>794.7</v>
      </c>
      <c r="N22" s="23">
        <v>1642.5</v>
      </c>
      <c r="O22" s="23">
        <v>1885.1</v>
      </c>
      <c r="P22" s="23">
        <v>1245.9999999999998</v>
      </c>
      <c r="Q22" s="23">
        <v>1330</v>
      </c>
      <c r="R22" s="23">
        <v>1317.5</v>
      </c>
      <c r="S22" s="23">
        <v>1366</v>
      </c>
      <c r="T22" s="23">
        <v>1402.5</v>
      </c>
      <c r="U22" s="23">
        <v>1393.1</v>
      </c>
      <c r="V22" s="23">
        <v>1596.1</v>
      </c>
      <c r="W22" s="23">
        <v>1763.9</v>
      </c>
      <c r="X22" s="23">
        <v>1846.9</v>
      </c>
      <c r="Y22" s="23">
        <v>2191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2119</v>
      </c>
      <c r="E23" s="23">
        <v>2571.6</v>
      </c>
      <c r="F23" s="23">
        <v>3004.8</v>
      </c>
      <c r="G23" s="23">
        <v>3226.1</v>
      </c>
      <c r="H23" s="23">
        <v>3853.5</v>
      </c>
      <c r="I23" s="23">
        <v>5561.4</v>
      </c>
      <c r="J23" s="23">
        <v>7746.5</v>
      </c>
      <c r="K23" s="23">
        <v>12224.8</v>
      </c>
      <c r="L23" s="23">
        <v>16644.2</v>
      </c>
      <c r="M23" s="23">
        <v>13379.9</v>
      </c>
      <c r="N23" s="23">
        <v>10240.200000000001</v>
      </c>
      <c r="O23" s="23">
        <v>9123.6</v>
      </c>
      <c r="P23" s="23">
        <v>10517</v>
      </c>
      <c r="Q23" s="23">
        <v>9820.7000000000007</v>
      </c>
      <c r="R23" s="23">
        <v>9597.4</v>
      </c>
      <c r="S23" s="23">
        <v>9492.7000000000007</v>
      </c>
      <c r="T23" s="23">
        <v>10122.6</v>
      </c>
      <c r="U23" s="23">
        <v>10166.700000000001</v>
      </c>
      <c r="V23" s="23">
        <v>12291</v>
      </c>
      <c r="W23" s="23">
        <v>14129.2</v>
      </c>
      <c r="X23" s="23">
        <v>14445.9</v>
      </c>
      <c r="Y23" s="23">
        <v>15421.2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4254.8000000000011</v>
      </c>
      <c r="E24" s="23">
        <v>4033.6000000000004</v>
      </c>
      <c r="F24" s="23">
        <v>4080.3</v>
      </c>
      <c r="G24" s="23">
        <v>4612.8</v>
      </c>
      <c r="H24" s="23">
        <v>5455.3</v>
      </c>
      <c r="I24" s="23">
        <v>7680.3</v>
      </c>
      <c r="J24" s="23">
        <v>9816.2000000000007</v>
      </c>
      <c r="K24" s="23">
        <v>12982.3</v>
      </c>
      <c r="L24" s="23">
        <v>14142.400000000005</v>
      </c>
      <c r="M24" s="23">
        <v>10612.8</v>
      </c>
      <c r="N24" s="23">
        <v>6066.2999999999993</v>
      </c>
      <c r="O24" s="23">
        <v>5883.3</v>
      </c>
      <c r="P24" s="23">
        <v>12152.1</v>
      </c>
      <c r="Q24" s="23">
        <v>8573.1999999999971</v>
      </c>
      <c r="R24" s="23">
        <v>10346</v>
      </c>
      <c r="S24" s="23">
        <v>12829.199999999997</v>
      </c>
      <c r="T24" s="23">
        <v>15223.9</v>
      </c>
      <c r="U24" s="23">
        <v>17770.500000000004</v>
      </c>
      <c r="V24" s="23">
        <v>20149.599999999999</v>
      </c>
      <c r="W24" s="23">
        <v>21261.1</v>
      </c>
      <c r="X24" s="23">
        <v>24332.600000000006</v>
      </c>
      <c r="Y24" s="23">
        <v>30900.799999999996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2325.3999999999996</v>
      </c>
      <c r="E25" s="23">
        <v>2793.8</v>
      </c>
      <c r="F25" s="23">
        <v>3054.7</v>
      </c>
      <c r="G25" s="23">
        <v>3493.9</v>
      </c>
      <c r="H25" s="23">
        <v>4137.8999999999996</v>
      </c>
      <c r="I25" s="23">
        <v>5774.5</v>
      </c>
      <c r="J25" s="23">
        <v>7013.8</v>
      </c>
      <c r="K25" s="23">
        <v>10167.6</v>
      </c>
      <c r="L25" s="23">
        <v>10315.9</v>
      </c>
      <c r="M25" s="23">
        <v>10492.8</v>
      </c>
      <c r="N25" s="23">
        <v>7849.7</v>
      </c>
      <c r="O25" s="23">
        <v>6129.5</v>
      </c>
      <c r="P25" s="23">
        <v>8693.7000000000007</v>
      </c>
      <c r="Q25" s="23">
        <v>9482.2000000000025</v>
      </c>
      <c r="R25" s="23">
        <v>9236.7000000000007</v>
      </c>
      <c r="S25" s="23">
        <v>10337.200000000001</v>
      </c>
      <c r="T25" s="23">
        <v>10615.5</v>
      </c>
      <c r="U25" s="23">
        <v>11788.9</v>
      </c>
      <c r="V25" s="23">
        <v>12327.4</v>
      </c>
      <c r="W25" s="23">
        <v>13159.3</v>
      </c>
      <c r="X25" s="23">
        <v>13124.4</v>
      </c>
      <c r="Y25" s="23">
        <v>14205.3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857.2</v>
      </c>
      <c r="E26" s="23">
        <v>784.9</v>
      </c>
      <c r="F26" s="23">
        <v>874.8</v>
      </c>
      <c r="G26" s="23">
        <v>832.9</v>
      </c>
      <c r="H26" s="23">
        <v>942.6</v>
      </c>
      <c r="I26" s="23">
        <v>1411.3</v>
      </c>
      <c r="J26" s="23">
        <v>1888</v>
      </c>
      <c r="K26" s="23">
        <v>1868.7</v>
      </c>
      <c r="L26" s="23">
        <v>1962.4</v>
      </c>
      <c r="M26" s="23">
        <v>1886.9999999999998</v>
      </c>
      <c r="N26" s="23">
        <v>1508.3</v>
      </c>
      <c r="O26" s="23">
        <v>1064.2</v>
      </c>
      <c r="P26" s="23">
        <v>1894.4</v>
      </c>
      <c r="Q26" s="23">
        <v>2147.3000000000006</v>
      </c>
      <c r="R26" s="23">
        <v>1614.3</v>
      </c>
      <c r="S26" s="23">
        <v>2330.1999999999998</v>
      </c>
      <c r="T26" s="23">
        <v>2849.9</v>
      </c>
      <c r="U26" s="23">
        <v>3234.7</v>
      </c>
      <c r="V26" s="23">
        <v>3658.4</v>
      </c>
      <c r="W26" s="23">
        <v>4775.3</v>
      </c>
      <c r="X26" s="23">
        <v>2837.3</v>
      </c>
      <c r="Y26" s="23">
        <v>2806.5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1988.4</v>
      </c>
      <c r="E27" s="23">
        <v>2101.3999999999996</v>
      </c>
      <c r="F27" s="23">
        <v>2176.9999999999995</v>
      </c>
      <c r="G27" s="23">
        <v>2248.5</v>
      </c>
      <c r="H27" s="23">
        <v>2585.8000000000006</v>
      </c>
      <c r="I27" s="23">
        <v>3167.9</v>
      </c>
      <c r="J27" s="23">
        <v>3998.2</v>
      </c>
      <c r="K27" s="23">
        <v>5846.2</v>
      </c>
      <c r="L27" s="23">
        <v>6355.7</v>
      </c>
      <c r="M27" s="23">
        <v>5088</v>
      </c>
      <c r="N27" s="23">
        <v>5190.3</v>
      </c>
      <c r="O27" s="23">
        <v>5494.8</v>
      </c>
      <c r="P27" s="23">
        <v>5948.6</v>
      </c>
      <c r="Q27" s="23">
        <v>7340.6</v>
      </c>
      <c r="R27" s="23">
        <v>7323.3</v>
      </c>
      <c r="S27" s="23">
        <v>8081.3</v>
      </c>
      <c r="T27" s="23">
        <v>8691.7000000000007</v>
      </c>
      <c r="U27" s="23">
        <v>10338.799999999999</v>
      </c>
      <c r="V27" s="23">
        <v>11097.9</v>
      </c>
      <c r="W27" s="23">
        <v>12925.1</v>
      </c>
      <c r="X27" s="23">
        <v>14019.4</v>
      </c>
      <c r="Y27" s="23">
        <v>15535.7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1645.7</v>
      </c>
      <c r="E28" s="23">
        <v>1589</v>
      </c>
      <c r="F28" s="23">
        <v>1257.0999999999999</v>
      </c>
      <c r="G28" s="23">
        <v>1006.3000000000002</v>
      </c>
      <c r="H28" s="23">
        <v>1385</v>
      </c>
      <c r="I28" s="23">
        <v>1631.2</v>
      </c>
      <c r="J28" s="23">
        <v>1781.6999999999998</v>
      </c>
      <c r="K28" s="23">
        <v>2425.1999999999998</v>
      </c>
      <c r="L28" s="23">
        <v>3065</v>
      </c>
      <c r="M28" s="23">
        <v>2528.6999999999998</v>
      </c>
      <c r="N28" s="23">
        <v>2933</v>
      </c>
      <c r="O28" s="23">
        <v>3649.8</v>
      </c>
      <c r="P28" s="23">
        <v>3724.8</v>
      </c>
      <c r="Q28" s="23">
        <v>5315.6</v>
      </c>
      <c r="R28" s="23">
        <v>4910.7</v>
      </c>
      <c r="S28" s="23">
        <v>4877.2</v>
      </c>
      <c r="T28" s="23">
        <v>5472.6</v>
      </c>
      <c r="U28" s="23">
        <v>4593.1000000000004</v>
      </c>
      <c r="V28" s="23">
        <v>5247.9</v>
      </c>
      <c r="W28" s="23">
        <v>5195.1000000000013</v>
      </c>
      <c r="X28" s="23">
        <v>6390.5</v>
      </c>
      <c r="Y28" s="23">
        <v>6687.2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2974.6</v>
      </c>
      <c r="E29" s="23">
        <v>3155.7</v>
      </c>
      <c r="F29" s="23">
        <v>3734.7</v>
      </c>
      <c r="G29" s="23">
        <v>3492.3</v>
      </c>
      <c r="H29" s="23">
        <v>3981.7</v>
      </c>
      <c r="I29" s="23">
        <v>5975.2</v>
      </c>
      <c r="J29" s="23">
        <v>6870.3</v>
      </c>
      <c r="K29" s="23">
        <v>10641.5</v>
      </c>
      <c r="L29" s="23">
        <v>9733.7000000000025</v>
      </c>
      <c r="M29" s="23">
        <v>10008.9</v>
      </c>
      <c r="N29" s="23">
        <v>11116.1</v>
      </c>
      <c r="O29" s="23">
        <v>11229.8</v>
      </c>
      <c r="P29" s="23">
        <v>11492.3</v>
      </c>
      <c r="Q29" s="23">
        <v>11590.9</v>
      </c>
      <c r="R29" s="23">
        <v>12424.7</v>
      </c>
      <c r="S29" s="23">
        <v>13739.5</v>
      </c>
      <c r="T29" s="23">
        <v>14016.2</v>
      </c>
      <c r="U29" s="23">
        <v>15411.8</v>
      </c>
      <c r="V29" s="23">
        <v>15779</v>
      </c>
      <c r="W29" s="23">
        <v>17783.3</v>
      </c>
      <c r="X29" s="23">
        <v>17046</v>
      </c>
      <c r="Y29" s="23">
        <v>18558.599999999999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693.99999999999989</v>
      </c>
      <c r="E30" s="23">
        <v>667.80000000000018</v>
      </c>
      <c r="F30" s="23">
        <v>940.1</v>
      </c>
      <c r="G30" s="23">
        <v>1059.7</v>
      </c>
      <c r="H30" s="23">
        <v>1158.6999999999998</v>
      </c>
      <c r="I30" s="23">
        <v>1540.4999999999998</v>
      </c>
      <c r="J30" s="23">
        <v>2360.1999999999998</v>
      </c>
      <c r="K30" s="23">
        <v>3149.5</v>
      </c>
      <c r="L30" s="23">
        <v>4142.8999999999996</v>
      </c>
      <c r="M30" s="23">
        <v>3730.6</v>
      </c>
      <c r="N30" s="23">
        <v>3515.8</v>
      </c>
      <c r="O30" s="23">
        <v>4624.9999999999991</v>
      </c>
      <c r="P30" s="23">
        <v>4821.7000000000007</v>
      </c>
      <c r="Q30" s="23">
        <v>6393.1</v>
      </c>
      <c r="R30" s="23">
        <v>6390.2</v>
      </c>
      <c r="S30" s="23">
        <v>7959.8</v>
      </c>
      <c r="T30" s="23">
        <v>8040.8</v>
      </c>
      <c r="U30" s="23">
        <v>9419.9999999999982</v>
      </c>
      <c r="V30" s="23">
        <v>9688.6</v>
      </c>
      <c r="W30" s="23">
        <v>11446.1</v>
      </c>
      <c r="X30" s="23">
        <v>10857.699999999997</v>
      </c>
      <c r="Y30" s="23">
        <v>11261.1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296.7</v>
      </c>
      <c r="E31" s="23">
        <v>352.4</v>
      </c>
      <c r="F31" s="23">
        <v>496.30000000000007</v>
      </c>
      <c r="G31" s="23">
        <v>553.6</v>
      </c>
      <c r="H31" s="23">
        <v>581.49999999999989</v>
      </c>
      <c r="I31" s="23">
        <v>837.7</v>
      </c>
      <c r="J31" s="23">
        <v>1182.7</v>
      </c>
      <c r="K31" s="23">
        <v>1641.5</v>
      </c>
      <c r="L31" s="23">
        <v>1734.6</v>
      </c>
      <c r="M31" s="23">
        <v>1739.9</v>
      </c>
      <c r="N31" s="23">
        <v>2610.9</v>
      </c>
      <c r="O31" s="23">
        <v>2444.3000000000002</v>
      </c>
      <c r="P31" s="23">
        <v>2119.6999999999998</v>
      </c>
      <c r="Q31" s="23">
        <v>2671.6</v>
      </c>
      <c r="R31" s="23">
        <v>2972.7</v>
      </c>
      <c r="S31" s="23">
        <v>3356.3</v>
      </c>
      <c r="T31" s="23">
        <v>3453.7</v>
      </c>
      <c r="U31" s="23">
        <v>4714.7</v>
      </c>
      <c r="V31" s="23">
        <v>5174.6000000000004</v>
      </c>
      <c r="W31" s="23">
        <v>5842.7</v>
      </c>
      <c r="X31" s="23">
        <v>5264.9</v>
      </c>
      <c r="Y31" s="23">
        <v>5868.7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1912.2999999999997</v>
      </c>
      <c r="E32" s="23">
        <v>1746.8999999999996</v>
      </c>
      <c r="F32" s="23">
        <v>1937.7999999999997</v>
      </c>
      <c r="G32" s="23">
        <v>2907.6999999999994</v>
      </c>
      <c r="H32" s="23">
        <v>3163.7</v>
      </c>
      <c r="I32" s="23">
        <v>4841.3</v>
      </c>
      <c r="J32" s="23">
        <v>5890.4000000000015</v>
      </c>
      <c r="K32" s="23">
        <v>5752.5</v>
      </c>
      <c r="L32" s="23">
        <v>5684.0000000000009</v>
      </c>
      <c r="M32" s="23">
        <v>4433.7</v>
      </c>
      <c r="N32" s="23">
        <v>5068.5999999999995</v>
      </c>
      <c r="O32" s="23">
        <v>5178</v>
      </c>
      <c r="P32" s="23">
        <v>5585.2000000000025</v>
      </c>
      <c r="Q32" s="23">
        <v>6194.1999999999989</v>
      </c>
      <c r="R32" s="23">
        <v>5666.4999999999991</v>
      </c>
      <c r="S32" s="23">
        <v>6367.6</v>
      </c>
      <c r="T32" s="23">
        <v>8138.4999999999991</v>
      </c>
      <c r="U32" s="23">
        <v>9487.3000000000011</v>
      </c>
      <c r="V32" s="23">
        <v>11381.100000000004</v>
      </c>
      <c r="W32" s="23">
        <v>12235.099999999995</v>
      </c>
      <c r="X32" s="23">
        <v>12963.899999999998</v>
      </c>
      <c r="Y32" s="23">
        <v>13236.6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1111.2</v>
      </c>
      <c r="E33" s="23">
        <v>1348.6</v>
      </c>
      <c r="F33" s="23">
        <v>1417.2</v>
      </c>
      <c r="G33" s="23">
        <v>1122.4000000000001</v>
      </c>
      <c r="H33" s="23">
        <v>1629.9</v>
      </c>
      <c r="I33" s="23">
        <v>2056.9</v>
      </c>
      <c r="J33" s="23">
        <v>2352.8999999999996</v>
      </c>
      <c r="K33" s="23">
        <v>2902.4</v>
      </c>
      <c r="L33" s="23">
        <v>4109.8999999999996</v>
      </c>
      <c r="M33" s="23">
        <v>4119.8</v>
      </c>
      <c r="N33" s="23">
        <v>5029.8999999999996</v>
      </c>
      <c r="O33" s="23">
        <v>4790.8999999999996</v>
      </c>
      <c r="P33" s="23">
        <v>4753.8999999999996</v>
      </c>
      <c r="Q33" s="23">
        <v>5580.1</v>
      </c>
      <c r="R33" s="23">
        <v>5076.7</v>
      </c>
      <c r="S33" s="23">
        <v>4986.7</v>
      </c>
      <c r="T33" s="23">
        <v>5515.7</v>
      </c>
      <c r="U33" s="23">
        <v>6513</v>
      </c>
      <c r="V33" s="23">
        <v>7268.5</v>
      </c>
      <c r="W33" s="23">
        <v>9051.2000000000007</v>
      </c>
      <c r="X33" s="23">
        <v>8687.7000000000007</v>
      </c>
      <c r="Y33" s="23">
        <v>7203.4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791.7</v>
      </c>
      <c r="E34" s="23">
        <v>910</v>
      </c>
      <c r="F34" s="23">
        <v>1247.5000000000002</v>
      </c>
      <c r="G34" s="23">
        <v>689.1</v>
      </c>
      <c r="H34" s="23">
        <v>972.8</v>
      </c>
      <c r="I34" s="23">
        <v>1332.9</v>
      </c>
      <c r="J34" s="23">
        <v>1441.7</v>
      </c>
      <c r="K34" s="23">
        <v>2577.9</v>
      </c>
      <c r="L34" s="23">
        <v>3844.2</v>
      </c>
      <c r="M34" s="23">
        <v>2590.6</v>
      </c>
      <c r="N34" s="23">
        <v>4557.5</v>
      </c>
      <c r="O34" s="23">
        <v>3545.6</v>
      </c>
      <c r="P34" s="23">
        <v>3675.1</v>
      </c>
      <c r="Q34" s="23">
        <v>3427.4</v>
      </c>
      <c r="R34" s="23">
        <v>6572.8</v>
      </c>
      <c r="S34" s="23">
        <v>4371.6000000000004</v>
      </c>
      <c r="T34" s="23">
        <v>5317.8</v>
      </c>
      <c r="U34" s="23">
        <v>6966.2</v>
      </c>
      <c r="V34" s="23">
        <v>8932.6</v>
      </c>
      <c r="W34" s="23">
        <v>10175.5</v>
      </c>
      <c r="X34" s="23">
        <v>11029.2</v>
      </c>
      <c r="Y34" s="23">
        <v>11515.9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502.30000000000013</v>
      </c>
      <c r="E35" s="23">
        <v>396.89999999999992</v>
      </c>
      <c r="F35" s="23">
        <v>389.50000000000006</v>
      </c>
      <c r="G35" s="23">
        <v>416.89999999999992</v>
      </c>
      <c r="H35" s="23">
        <v>479.60000000000014</v>
      </c>
      <c r="I35" s="23">
        <v>661.9</v>
      </c>
      <c r="J35" s="23">
        <v>891.30000000000041</v>
      </c>
      <c r="K35" s="23">
        <v>1004.4</v>
      </c>
      <c r="L35" s="23">
        <v>1011.5000000000003</v>
      </c>
      <c r="M35" s="23">
        <v>1768</v>
      </c>
      <c r="N35" s="23">
        <v>1997.8000000000002</v>
      </c>
      <c r="O35" s="23">
        <v>2626.6999999999994</v>
      </c>
      <c r="P35" s="23">
        <v>1919.8</v>
      </c>
      <c r="Q35" s="23">
        <v>2084.4</v>
      </c>
      <c r="R35" s="23">
        <v>2303.6999999999998</v>
      </c>
      <c r="S35" s="23">
        <v>2582.9000000000005</v>
      </c>
      <c r="T35" s="23">
        <v>2856.1000000000004</v>
      </c>
      <c r="U35" s="23">
        <v>3096.4</v>
      </c>
      <c r="V35" s="23">
        <v>3713.3000000000006</v>
      </c>
      <c r="W35" s="23">
        <v>4332.0999999999995</v>
      </c>
      <c r="X35" s="23">
        <v>2931.1</v>
      </c>
      <c r="Y35" s="23">
        <v>3327.0999999999995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610.6</v>
      </c>
      <c r="E36" s="23">
        <v>540.50000000000011</v>
      </c>
      <c r="F36" s="23">
        <v>623.70000000000005</v>
      </c>
      <c r="G36" s="23">
        <v>694.3</v>
      </c>
      <c r="H36" s="23">
        <v>803.7</v>
      </c>
      <c r="I36" s="23">
        <v>1059.3</v>
      </c>
      <c r="J36" s="23">
        <v>1422.5</v>
      </c>
      <c r="K36" s="23">
        <v>2022.2000000000003</v>
      </c>
      <c r="L36" s="23">
        <v>2248.6999999999998</v>
      </c>
      <c r="M36" s="23">
        <v>1577.1</v>
      </c>
      <c r="N36" s="23">
        <v>1545</v>
      </c>
      <c r="O36" s="23">
        <v>1975.7000000000003</v>
      </c>
      <c r="P36" s="23">
        <v>2076.6</v>
      </c>
      <c r="Q36" s="23">
        <v>1450.8</v>
      </c>
      <c r="R36" s="23">
        <v>1798.7</v>
      </c>
      <c r="S36" s="23">
        <v>2495.1999999999998</v>
      </c>
      <c r="T36" s="23">
        <v>2117.6</v>
      </c>
      <c r="U36" s="23">
        <v>2744.3</v>
      </c>
      <c r="V36" s="23">
        <v>2964</v>
      </c>
      <c r="W36" s="23">
        <v>2860.7</v>
      </c>
      <c r="X36" s="23">
        <v>2754.4</v>
      </c>
      <c r="Y36" s="23">
        <v>2826.2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36656.499999999993</v>
      </c>
      <c r="E39" s="30">
        <f t="shared" ref="E39:S39" si="2">SUM(E18:E38)</f>
        <v>40955.699999999997</v>
      </c>
      <c r="F39" s="30">
        <f t="shared" si="2"/>
        <v>43982.799999999996</v>
      </c>
      <c r="G39" s="30">
        <f t="shared" si="2"/>
        <v>45599.200000000004</v>
      </c>
      <c r="H39" s="30">
        <f t="shared" si="2"/>
        <v>54181.399999999994</v>
      </c>
      <c r="I39" s="30">
        <f t="shared" si="2"/>
        <v>70256.2</v>
      </c>
      <c r="J39" s="30">
        <f t="shared" si="2"/>
        <v>86572.999999999971</v>
      </c>
      <c r="K39" s="30">
        <f t="shared" si="2"/>
        <v>113758.59999999996</v>
      </c>
      <c r="L39" s="30">
        <f t="shared" si="2"/>
        <v>131496.4</v>
      </c>
      <c r="M39" s="30">
        <f t="shared" si="2"/>
        <v>113845.5</v>
      </c>
      <c r="N39" s="30">
        <f t="shared" si="2"/>
        <v>114782.20000000001</v>
      </c>
      <c r="O39" s="30">
        <f t="shared" si="2"/>
        <v>122583.49999999999</v>
      </c>
      <c r="P39" s="30">
        <f t="shared" si="2"/>
        <v>123143.90000000001</v>
      </c>
      <c r="Q39" s="30">
        <f t="shared" si="2"/>
        <v>125970.2</v>
      </c>
      <c r="R39" s="30">
        <f t="shared" si="2"/>
        <v>133112.90000000002</v>
      </c>
      <c r="S39" s="30">
        <f t="shared" si="2"/>
        <v>140797</v>
      </c>
      <c r="T39" s="30">
        <f t="shared" ref="T39:Y39" si="3">SUM(T18:T38)</f>
        <v>149951.70000000001</v>
      </c>
      <c r="U39" s="30">
        <f t="shared" si="3"/>
        <v>168614.69999999998</v>
      </c>
      <c r="V39" s="30">
        <f t="shared" si="3"/>
        <v>186382.6</v>
      </c>
      <c r="W39" s="30">
        <f t="shared" si="3"/>
        <v>202806.30000000008</v>
      </c>
      <c r="X39" s="30">
        <f t="shared" si="3"/>
        <v>199987.59999999998</v>
      </c>
      <c r="Y39" s="30">
        <f t="shared" si="3"/>
        <v>218378.20000000004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2469.1999999999998</v>
      </c>
      <c r="E41" s="19">
        <v>3327.6</v>
      </c>
      <c r="F41" s="19">
        <v>3185.5</v>
      </c>
      <c r="G41" s="19">
        <v>3244.9</v>
      </c>
      <c r="H41" s="19">
        <v>3768.2</v>
      </c>
      <c r="I41" s="19">
        <v>4857.3</v>
      </c>
      <c r="J41" s="19">
        <v>5709.7</v>
      </c>
      <c r="K41" s="19">
        <v>7551.2</v>
      </c>
      <c r="L41" s="19">
        <v>9650.9</v>
      </c>
      <c r="M41" s="19">
        <v>6803.8</v>
      </c>
      <c r="N41" s="19">
        <v>7862.2</v>
      </c>
      <c r="O41" s="19">
        <v>8903.7999999999993</v>
      </c>
      <c r="P41" s="19">
        <v>8475.5</v>
      </c>
      <c r="Q41" s="19">
        <v>7175.6</v>
      </c>
      <c r="R41" s="19">
        <v>7105.8</v>
      </c>
      <c r="S41" s="19">
        <v>7688.7</v>
      </c>
      <c r="T41" s="19">
        <v>7172.2</v>
      </c>
      <c r="U41" s="19">
        <v>8516.1</v>
      </c>
      <c r="V41" s="19">
        <v>9964.2000000000007</v>
      </c>
      <c r="W41" s="19">
        <v>10083.200000000001</v>
      </c>
      <c r="X41" s="19">
        <v>9603</v>
      </c>
      <c r="Y41" s="19">
        <v>8036.7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929.50000000000011</v>
      </c>
      <c r="E42" s="23">
        <v>1215</v>
      </c>
      <c r="F42" s="23">
        <v>1345.4</v>
      </c>
      <c r="G42" s="23">
        <v>1391</v>
      </c>
      <c r="H42" s="23">
        <v>1558.3</v>
      </c>
      <c r="I42" s="23">
        <v>1817.6</v>
      </c>
      <c r="J42" s="23">
        <v>2040.1</v>
      </c>
      <c r="K42" s="23">
        <v>2554.1999999999998</v>
      </c>
      <c r="L42" s="23">
        <v>2903.9</v>
      </c>
      <c r="M42" s="23">
        <v>2069.4</v>
      </c>
      <c r="N42" s="23">
        <v>3202.8</v>
      </c>
      <c r="O42" s="23">
        <v>4177.6000000000004</v>
      </c>
      <c r="P42" s="23">
        <v>3075.9</v>
      </c>
      <c r="Q42" s="23">
        <v>3060.4</v>
      </c>
      <c r="R42" s="23">
        <v>2955.6</v>
      </c>
      <c r="S42" s="23">
        <v>3039.1</v>
      </c>
      <c r="T42" s="23">
        <v>3060.9</v>
      </c>
      <c r="U42" s="23">
        <v>3197.8</v>
      </c>
      <c r="V42" s="23">
        <v>3174.4</v>
      </c>
      <c r="W42" s="23">
        <v>3197.2</v>
      </c>
      <c r="X42" s="23">
        <v>2803.4</v>
      </c>
      <c r="Y42" s="23">
        <v>2810.4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554.20000000000005</v>
      </c>
      <c r="E43" s="23">
        <v>700.9</v>
      </c>
      <c r="F43" s="23">
        <v>815.4</v>
      </c>
      <c r="G43" s="23">
        <v>797.4</v>
      </c>
      <c r="H43" s="23">
        <v>948.7</v>
      </c>
      <c r="I43" s="23">
        <v>1185.4000000000001</v>
      </c>
      <c r="J43" s="23">
        <v>1402.6</v>
      </c>
      <c r="K43" s="23">
        <v>1901.2999999999997</v>
      </c>
      <c r="L43" s="23">
        <v>2234.1999999999998</v>
      </c>
      <c r="M43" s="23">
        <v>2026.0999999999997</v>
      </c>
      <c r="N43" s="23">
        <v>2487.6999999999998</v>
      </c>
      <c r="O43" s="23">
        <v>2461.6999999999998</v>
      </c>
      <c r="P43" s="23">
        <v>1657.4</v>
      </c>
      <c r="Q43" s="23">
        <v>1678.3</v>
      </c>
      <c r="R43" s="23">
        <v>1505</v>
      </c>
      <c r="S43" s="23">
        <v>1652.2</v>
      </c>
      <c r="T43" s="23">
        <v>1618.3</v>
      </c>
      <c r="U43" s="23">
        <v>1911.4</v>
      </c>
      <c r="V43" s="23">
        <v>2042.9</v>
      </c>
      <c r="W43" s="23">
        <v>2039.5</v>
      </c>
      <c r="X43" s="23">
        <v>1986.8</v>
      </c>
      <c r="Y43" s="23">
        <v>2309.8000000000002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354.3</v>
      </c>
      <c r="E44" s="23">
        <v>340.7</v>
      </c>
      <c r="F44" s="23">
        <v>565.70000000000005</v>
      </c>
      <c r="G44" s="23">
        <v>423.2</v>
      </c>
      <c r="H44" s="23">
        <v>540.70000000000005</v>
      </c>
      <c r="I44" s="23">
        <v>998</v>
      </c>
      <c r="J44" s="23">
        <v>1065.2</v>
      </c>
      <c r="K44" s="23">
        <v>974</v>
      </c>
      <c r="L44" s="23">
        <v>1120.8000000000002</v>
      </c>
      <c r="M44" s="23">
        <v>1038.9000000000001</v>
      </c>
      <c r="N44" s="23">
        <v>348.2</v>
      </c>
      <c r="O44" s="23">
        <v>2627.2</v>
      </c>
      <c r="P44" s="23">
        <v>914</v>
      </c>
      <c r="Q44" s="23">
        <v>2298</v>
      </c>
      <c r="R44" s="23">
        <v>4951.0000000000009</v>
      </c>
      <c r="S44" s="23">
        <v>2740.2</v>
      </c>
      <c r="T44" s="23">
        <v>3258.5</v>
      </c>
      <c r="U44" s="23">
        <v>2224.1</v>
      </c>
      <c r="V44" s="23">
        <v>2089.3000000000002</v>
      </c>
      <c r="W44" s="23">
        <v>1058.3</v>
      </c>
      <c r="X44" s="23">
        <v>557.9</v>
      </c>
      <c r="Y44" s="23">
        <v>1807.5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275.5</v>
      </c>
      <c r="E45" s="23">
        <v>350.4</v>
      </c>
      <c r="F45" s="23">
        <v>346.7</v>
      </c>
      <c r="G45" s="23">
        <v>363</v>
      </c>
      <c r="H45" s="23">
        <v>434.3</v>
      </c>
      <c r="I45" s="23">
        <v>497.5</v>
      </c>
      <c r="J45" s="23">
        <v>623.9</v>
      </c>
      <c r="K45" s="23">
        <v>807.4</v>
      </c>
      <c r="L45" s="23">
        <v>1044.5999999999999</v>
      </c>
      <c r="M45" s="23">
        <v>729.5</v>
      </c>
      <c r="N45" s="23">
        <v>347.7</v>
      </c>
      <c r="O45" s="23">
        <v>592.79999999999995</v>
      </c>
      <c r="P45" s="23">
        <v>1000.9000000000001</v>
      </c>
      <c r="Q45" s="23">
        <v>733.2</v>
      </c>
      <c r="R45" s="23">
        <v>945.5</v>
      </c>
      <c r="S45" s="23">
        <v>1164.2</v>
      </c>
      <c r="T45" s="23">
        <v>839.1</v>
      </c>
      <c r="U45" s="23">
        <v>1054</v>
      </c>
      <c r="V45" s="23">
        <v>1047.5</v>
      </c>
      <c r="W45" s="23">
        <v>1000.2</v>
      </c>
      <c r="X45" s="23">
        <v>1042.5</v>
      </c>
      <c r="Y45" s="23">
        <v>1177.7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121.2</v>
      </c>
      <c r="E46" s="23">
        <v>119.4</v>
      </c>
      <c r="F46" s="23">
        <v>131.99999999999997</v>
      </c>
      <c r="G46" s="23">
        <v>128.19999999999999</v>
      </c>
      <c r="H46" s="23">
        <v>148</v>
      </c>
      <c r="I46" s="23">
        <v>184.4</v>
      </c>
      <c r="J46" s="23">
        <v>243.4</v>
      </c>
      <c r="K46" s="23">
        <v>242.79999999999995</v>
      </c>
      <c r="L46" s="23">
        <v>267</v>
      </c>
      <c r="M46" s="23">
        <v>369.3</v>
      </c>
      <c r="N46" s="23">
        <v>68.900000000000006</v>
      </c>
      <c r="O46" s="23">
        <v>345.2</v>
      </c>
      <c r="P46" s="23">
        <v>268.89999999999992</v>
      </c>
      <c r="Q46" s="23">
        <v>271.7</v>
      </c>
      <c r="R46" s="23">
        <v>341.3</v>
      </c>
      <c r="S46" s="23">
        <v>273.2</v>
      </c>
      <c r="T46" s="23">
        <v>279.2</v>
      </c>
      <c r="U46" s="23">
        <v>360.7</v>
      </c>
      <c r="V46" s="23">
        <v>269.39999999999998</v>
      </c>
      <c r="W46" s="23">
        <v>294.39999999999998</v>
      </c>
      <c r="X46" s="23">
        <v>332.7</v>
      </c>
      <c r="Y46" s="23">
        <v>303.3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621.50000000000011</v>
      </c>
      <c r="E47" s="23">
        <v>728.1</v>
      </c>
      <c r="F47" s="23">
        <v>795.1</v>
      </c>
      <c r="G47" s="23">
        <v>835.7</v>
      </c>
      <c r="H47" s="23">
        <v>1033.5</v>
      </c>
      <c r="I47" s="23">
        <v>1311.3</v>
      </c>
      <c r="J47" s="23">
        <v>1743.7</v>
      </c>
      <c r="K47" s="23">
        <v>2524.3000000000002</v>
      </c>
      <c r="L47" s="23">
        <v>3143.9</v>
      </c>
      <c r="M47" s="23">
        <v>2277.9</v>
      </c>
      <c r="N47" s="23">
        <v>1121.0999999999999</v>
      </c>
      <c r="O47" s="23">
        <v>1173.8</v>
      </c>
      <c r="P47" s="23">
        <v>1986.4</v>
      </c>
      <c r="Q47" s="23">
        <v>2220.6</v>
      </c>
      <c r="R47" s="23">
        <v>2253.6999999999998</v>
      </c>
      <c r="S47" s="23">
        <v>2475.6</v>
      </c>
      <c r="T47" s="23">
        <v>2776.2</v>
      </c>
      <c r="U47" s="23">
        <v>2933.4</v>
      </c>
      <c r="V47" s="23">
        <v>3141.9</v>
      </c>
      <c r="W47" s="23">
        <v>3334.6</v>
      </c>
      <c r="X47" s="23">
        <v>2842.8</v>
      </c>
      <c r="Y47" s="23">
        <v>3999.9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739.3</v>
      </c>
      <c r="E48" s="23">
        <v>859.9</v>
      </c>
      <c r="F48" s="23">
        <v>899.9</v>
      </c>
      <c r="G48" s="23">
        <v>894.3</v>
      </c>
      <c r="H48" s="23">
        <v>1152.9999999999998</v>
      </c>
      <c r="I48" s="23">
        <v>1476</v>
      </c>
      <c r="J48" s="23">
        <v>1856.8</v>
      </c>
      <c r="K48" s="23">
        <v>2587.8000000000002</v>
      </c>
      <c r="L48" s="23">
        <v>2929.3</v>
      </c>
      <c r="M48" s="23">
        <v>2126.1000000000004</v>
      </c>
      <c r="N48" s="23">
        <v>2532.6999999999998</v>
      </c>
      <c r="O48" s="23">
        <v>2387.4</v>
      </c>
      <c r="P48" s="23">
        <v>3121</v>
      </c>
      <c r="Q48" s="23">
        <v>2850.8</v>
      </c>
      <c r="R48" s="23">
        <v>2755</v>
      </c>
      <c r="S48" s="23">
        <v>2736.7</v>
      </c>
      <c r="T48" s="23">
        <v>2678.7</v>
      </c>
      <c r="U48" s="23">
        <v>3277.8</v>
      </c>
      <c r="V48" s="23">
        <v>3463.9</v>
      </c>
      <c r="W48" s="23">
        <v>3344.3</v>
      </c>
      <c r="X48" s="23">
        <v>2427.6999999999998</v>
      </c>
      <c r="Y48" s="23">
        <v>4174.3999999999996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314</v>
      </c>
      <c r="E49" s="23">
        <v>278.10000000000002</v>
      </c>
      <c r="F49" s="23">
        <v>300.3</v>
      </c>
      <c r="G49" s="23">
        <v>336</v>
      </c>
      <c r="H49" s="23">
        <v>406.2</v>
      </c>
      <c r="I49" s="23">
        <v>511.4</v>
      </c>
      <c r="J49" s="23">
        <v>678.5</v>
      </c>
      <c r="K49" s="23">
        <v>1074.5999999999997</v>
      </c>
      <c r="L49" s="23">
        <v>1299.5</v>
      </c>
      <c r="M49" s="23">
        <v>1130.4000000000001</v>
      </c>
      <c r="N49" s="23">
        <v>2299.4</v>
      </c>
      <c r="O49" s="23">
        <v>2288.5000000000005</v>
      </c>
      <c r="P49" s="23">
        <v>630.20000000000016</v>
      </c>
      <c r="Q49" s="23">
        <v>983.59999999999991</v>
      </c>
      <c r="R49" s="23">
        <v>891</v>
      </c>
      <c r="S49" s="23">
        <v>775.8</v>
      </c>
      <c r="T49" s="23">
        <v>873.5</v>
      </c>
      <c r="U49" s="23">
        <v>839.5</v>
      </c>
      <c r="V49" s="23">
        <v>1000.6</v>
      </c>
      <c r="W49" s="23">
        <v>989.3</v>
      </c>
      <c r="X49" s="23">
        <v>1092.7</v>
      </c>
      <c r="Y49" s="23">
        <v>1103.5999999999999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237.2</v>
      </c>
      <c r="E50" s="23">
        <v>306.60000000000002</v>
      </c>
      <c r="F50" s="23">
        <v>370.5</v>
      </c>
      <c r="G50" s="23">
        <v>357.3</v>
      </c>
      <c r="H50" s="23">
        <v>408.6</v>
      </c>
      <c r="I50" s="23">
        <v>715</v>
      </c>
      <c r="J50" s="23">
        <v>1028.0999999999999</v>
      </c>
      <c r="K50" s="23">
        <v>1323.4</v>
      </c>
      <c r="L50" s="23">
        <v>1261.9000000000001</v>
      </c>
      <c r="M50" s="23">
        <v>1066</v>
      </c>
      <c r="N50" s="23">
        <v>2395.9</v>
      </c>
      <c r="O50" s="23">
        <v>2491.6999999999994</v>
      </c>
      <c r="P50" s="23">
        <v>1997.9</v>
      </c>
      <c r="Q50" s="23">
        <v>1204.5</v>
      </c>
      <c r="R50" s="23">
        <v>1441.5</v>
      </c>
      <c r="S50" s="23">
        <v>2087</v>
      </c>
      <c r="T50" s="23">
        <v>2108.5</v>
      </c>
      <c r="U50" s="23">
        <v>2043.7</v>
      </c>
      <c r="V50" s="23">
        <v>2011.4</v>
      </c>
      <c r="W50" s="23">
        <v>2274.5</v>
      </c>
      <c r="X50" s="23">
        <v>2379.1</v>
      </c>
      <c r="Y50" s="23">
        <v>2354.6999999999998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393.9</v>
      </c>
      <c r="E51" s="23">
        <v>471.6</v>
      </c>
      <c r="F51" s="23">
        <v>459.3</v>
      </c>
      <c r="G51" s="23">
        <v>444.8</v>
      </c>
      <c r="H51" s="23">
        <v>504</v>
      </c>
      <c r="I51" s="23">
        <v>632.29999999999995</v>
      </c>
      <c r="J51" s="23">
        <v>733</v>
      </c>
      <c r="K51" s="23">
        <v>923.8</v>
      </c>
      <c r="L51" s="23">
        <v>1241.8000000000002</v>
      </c>
      <c r="M51" s="23">
        <v>980.6</v>
      </c>
      <c r="N51" s="23">
        <v>1009.1</v>
      </c>
      <c r="O51" s="23">
        <v>1140.1999999999998</v>
      </c>
      <c r="P51" s="23">
        <v>1334.8</v>
      </c>
      <c r="Q51" s="23">
        <v>1188.0999999999999</v>
      </c>
      <c r="R51" s="23">
        <v>1689.6</v>
      </c>
      <c r="S51" s="23">
        <v>1329.7</v>
      </c>
      <c r="T51" s="23">
        <v>1661.8</v>
      </c>
      <c r="U51" s="23">
        <v>1638</v>
      </c>
      <c r="V51" s="23">
        <v>1830.3</v>
      </c>
      <c r="W51" s="23">
        <v>1808.4</v>
      </c>
      <c r="X51" s="23">
        <v>1731.7</v>
      </c>
      <c r="Y51" s="23">
        <v>2067.1999999999998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432.5</v>
      </c>
      <c r="E52" s="23">
        <v>604</v>
      </c>
      <c r="F52" s="23">
        <v>720.4</v>
      </c>
      <c r="G52" s="23">
        <v>841</v>
      </c>
      <c r="H52" s="23">
        <v>1115.3</v>
      </c>
      <c r="I52" s="23">
        <v>1669.1</v>
      </c>
      <c r="J52" s="23">
        <v>2209.1</v>
      </c>
      <c r="K52" s="23">
        <v>2762.2</v>
      </c>
      <c r="L52" s="23">
        <v>3507.3</v>
      </c>
      <c r="M52" s="23">
        <v>4326.5</v>
      </c>
      <c r="N52" s="23">
        <v>4124.3</v>
      </c>
      <c r="O52" s="23">
        <v>5083.3</v>
      </c>
      <c r="P52" s="23">
        <v>3012.4</v>
      </c>
      <c r="Q52" s="23">
        <v>2915.4</v>
      </c>
      <c r="R52" s="23">
        <v>3280.3</v>
      </c>
      <c r="S52" s="23">
        <v>3949.5</v>
      </c>
      <c r="T52" s="23">
        <v>4823.3</v>
      </c>
      <c r="U52" s="23">
        <v>5985.4</v>
      </c>
      <c r="V52" s="23">
        <v>6115.1</v>
      </c>
      <c r="W52" s="23">
        <v>6021.5</v>
      </c>
      <c r="X52" s="23">
        <v>5332.7</v>
      </c>
      <c r="Y52" s="23">
        <v>4868.8999999999996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600.89999999999861</v>
      </c>
      <c r="E53" s="23">
        <v>638.49999999999136</v>
      </c>
      <c r="F53" s="23">
        <v>684.00000000000171</v>
      </c>
      <c r="G53" s="23">
        <v>700.2999999999987</v>
      </c>
      <c r="H53" s="23">
        <v>811.70000000000607</v>
      </c>
      <c r="I53" s="23">
        <v>994.00000000000375</v>
      </c>
      <c r="J53" s="23">
        <v>1183.6999999999884</v>
      </c>
      <c r="K53" s="23">
        <v>1611.499999999982</v>
      </c>
      <c r="L53" s="23">
        <v>1564.8000000000036</v>
      </c>
      <c r="M53" s="23">
        <v>1359.1000000000006</v>
      </c>
      <c r="N53" s="23">
        <v>2169.8999999999924</v>
      </c>
      <c r="O53" s="23">
        <v>2222.2999999999952</v>
      </c>
      <c r="P53" s="23">
        <v>2167.0000000000114</v>
      </c>
      <c r="Q53" s="23">
        <v>2314.6999999999966</v>
      </c>
      <c r="R53" s="23">
        <v>2268.300000000017</v>
      </c>
      <c r="S53" s="23">
        <v>2479.3999999999869</v>
      </c>
      <c r="T53" s="23">
        <v>2557.3000000000052</v>
      </c>
      <c r="U53" s="23">
        <v>2948.4999999999936</v>
      </c>
      <c r="V53" s="23">
        <v>2882.4000000000156</v>
      </c>
      <c r="W53" s="23">
        <v>3042.4000000000174</v>
      </c>
      <c r="X53" s="23">
        <v>2835.5999999999772</v>
      </c>
      <c r="Y53" s="23">
        <v>2841.8000000000029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8043.199999999998</v>
      </c>
      <c r="E54" s="30">
        <f t="shared" ref="E54:S54" si="4">SUM(E41:E53)</f>
        <v>9940.7999999999902</v>
      </c>
      <c r="F54" s="30">
        <f t="shared" si="4"/>
        <v>10620.199999999999</v>
      </c>
      <c r="G54" s="30">
        <f t="shared" si="4"/>
        <v>10757.099999999997</v>
      </c>
      <c r="H54" s="30">
        <f t="shared" si="4"/>
        <v>12830.500000000007</v>
      </c>
      <c r="I54" s="30">
        <f t="shared" si="4"/>
        <v>16849.300000000003</v>
      </c>
      <c r="J54" s="30">
        <f t="shared" si="4"/>
        <v>20517.799999999988</v>
      </c>
      <c r="K54" s="30">
        <f t="shared" si="4"/>
        <v>26838.499999999978</v>
      </c>
      <c r="L54" s="30">
        <f t="shared" si="4"/>
        <v>32169.9</v>
      </c>
      <c r="M54" s="30">
        <f t="shared" si="4"/>
        <v>26303.600000000002</v>
      </c>
      <c r="N54" s="30">
        <f t="shared" si="4"/>
        <v>29969.899999999994</v>
      </c>
      <c r="O54" s="30">
        <f t="shared" si="4"/>
        <v>35895.5</v>
      </c>
      <c r="P54" s="30">
        <f t="shared" si="4"/>
        <v>29642.300000000014</v>
      </c>
      <c r="Q54" s="30">
        <f t="shared" si="4"/>
        <v>28894.899999999994</v>
      </c>
      <c r="R54" s="30">
        <f t="shared" si="4"/>
        <v>32383.600000000017</v>
      </c>
      <c r="S54" s="30">
        <f t="shared" si="4"/>
        <v>32391.299999999988</v>
      </c>
      <c r="T54" s="30">
        <f t="shared" ref="T54:Y54" si="5">SUM(T41:T53)</f>
        <v>33707.500000000007</v>
      </c>
      <c r="U54" s="30">
        <f t="shared" si="5"/>
        <v>36930.399999999994</v>
      </c>
      <c r="V54" s="30">
        <f t="shared" si="5"/>
        <v>39033.300000000017</v>
      </c>
      <c r="W54" s="30">
        <f t="shared" si="5"/>
        <v>38487.800000000017</v>
      </c>
      <c r="X54" s="30">
        <f t="shared" si="5"/>
        <v>34968.599999999977</v>
      </c>
      <c r="Y54" s="30">
        <f t="shared" si="5"/>
        <v>37855.900000000009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2469.1999999999998</v>
      </c>
      <c r="E56" s="19">
        <v>3327.6</v>
      </c>
      <c r="F56" s="19">
        <v>3185.5</v>
      </c>
      <c r="G56" s="19">
        <v>3244.9</v>
      </c>
      <c r="H56" s="19">
        <v>3768.2</v>
      </c>
      <c r="I56" s="19">
        <v>4857.3</v>
      </c>
      <c r="J56" s="19">
        <v>5709.7</v>
      </c>
      <c r="K56" s="19">
        <v>7551.2</v>
      </c>
      <c r="L56" s="19">
        <v>9650.9</v>
      </c>
      <c r="M56" s="19">
        <v>6803.8</v>
      </c>
      <c r="N56" s="19">
        <v>7862.2</v>
      </c>
      <c r="O56" s="19">
        <v>8903.7999999999993</v>
      </c>
      <c r="P56" s="19">
        <v>8475.5</v>
      </c>
      <c r="Q56" s="19">
        <v>7175.6</v>
      </c>
      <c r="R56" s="19">
        <v>7105.8</v>
      </c>
      <c r="S56" s="19">
        <v>7688.7</v>
      </c>
      <c r="T56" s="19">
        <v>7172.2</v>
      </c>
      <c r="U56" s="19">
        <v>8516.1</v>
      </c>
      <c r="V56" s="19">
        <v>9964.2000000000007</v>
      </c>
      <c r="W56" s="19">
        <v>10083.200000000001</v>
      </c>
      <c r="X56" s="19">
        <v>9603</v>
      </c>
      <c r="Y56" s="19">
        <v>8036.7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929.50000000000011</v>
      </c>
      <c r="E57" s="23">
        <v>1215</v>
      </c>
      <c r="F57" s="23">
        <v>1345.4</v>
      </c>
      <c r="G57" s="23">
        <v>1391</v>
      </c>
      <c r="H57" s="23">
        <v>1558.3</v>
      </c>
      <c r="I57" s="23">
        <v>1817.6</v>
      </c>
      <c r="J57" s="23">
        <v>2040.1</v>
      </c>
      <c r="K57" s="23">
        <v>2554.1999999999998</v>
      </c>
      <c r="L57" s="23">
        <v>2903.9</v>
      </c>
      <c r="M57" s="23">
        <v>2069.4</v>
      </c>
      <c r="N57" s="23">
        <v>3202.8</v>
      </c>
      <c r="O57" s="23">
        <v>4177.6000000000004</v>
      </c>
      <c r="P57" s="23">
        <v>3075.9</v>
      </c>
      <c r="Q57" s="23">
        <v>3060.4</v>
      </c>
      <c r="R57" s="23">
        <v>2955.6</v>
      </c>
      <c r="S57" s="23">
        <v>3039.1</v>
      </c>
      <c r="T57" s="23">
        <v>3060.9</v>
      </c>
      <c r="U57" s="23">
        <v>3197.8</v>
      </c>
      <c r="V57" s="23">
        <v>3174.4</v>
      </c>
      <c r="W57" s="23">
        <v>3197.2</v>
      </c>
      <c r="X57" s="23">
        <v>2803.4</v>
      </c>
      <c r="Y57" s="23">
        <v>2810.4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318.10000000000002</v>
      </c>
      <c r="E58" s="23">
        <v>415.2</v>
      </c>
      <c r="F58" s="23">
        <v>468</v>
      </c>
      <c r="G58" s="23">
        <v>466.7</v>
      </c>
      <c r="H58" s="23">
        <v>598.6</v>
      </c>
      <c r="I58" s="23">
        <v>727.1</v>
      </c>
      <c r="J58" s="23">
        <v>853.1</v>
      </c>
      <c r="K58" s="23">
        <v>1097.0999999999999</v>
      </c>
      <c r="L58" s="23">
        <v>1159.0999999999999</v>
      </c>
      <c r="M58" s="23">
        <v>1075.7</v>
      </c>
      <c r="N58" s="23">
        <v>1709.5</v>
      </c>
      <c r="O58" s="23">
        <v>1601</v>
      </c>
      <c r="P58" s="23">
        <v>1012.5999999999999</v>
      </c>
      <c r="Q58" s="23">
        <v>1044.5000000000002</v>
      </c>
      <c r="R58" s="23">
        <v>953.6</v>
      </c>
      <c r="S58" s="23">
        <v>971.7</v>
      </c>
      <c r="T58" s="23">
        <v>869</v>
      </c>
      <c r="U58" s="23">
        <v>1044.0999999999999</v>
      </c>
      <c r="V58" s="23">
        <v>1143</v>
      </c>
      <c r="W58" s="23">
        <v>1041.5</v>
      </c>
      <c r="X58" s="23">
        <v>1085.5</v>
      </c>
      <c r="Y58" s="23">
        <v>1499.3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145.30000000000001</v>
      </c>
      <c r="E59" s="23">
        <v>171</v>
      </c>
      <c r="F59" s="23">
        <v>216.7</v>
      </c>
      <c r="G59" s="23">
        <v>199.6</v>
      </c>
      <c r="H59" s="23">
        <v>199.3</v>
      </c>
      <c r="I59" s="23">
        <v>220.1</v>
      </c>
      <c r="J59" s="23">
        <v>257.3</v>
      </c>
      <c r="K59" s="23">
        <v>461.2</v>
      </c>
      <c r="L59" s="23">
        <v>591.1</v>
      </c>
      <c r="M59" s="23">
        <v>423.3</v>
      </c>
      <c r="N59" s="23">
        <v>306</v>
      </c>
      <c r="O59" s="23">
        <v>234.7</v>
      </c>
      <c r="P59" s="23">
        <v>194.2</v>
      </c>
      <c r="Q59" s="23">
        <v>198.6</v>
      </c>
      <c r="R59" s="23">
        <v>194</v>
      </c>
      <c r="S59" s="23">
        <v>251</v>
      </c>
      <c r="T59" s="23">
        <v>302.39999999999998</v>
      </c>
      <c r="U59" s="23">
        <v>353.6</v>
      </c>
      <c r="V59" s="23">
        <v>327.7</v>
      </c>
      <c r="W59" s="23">
        <v>352.6</v>
      </c>
      <c r="X59" s="23">
        <v>351.1</v>
      </c>
      <c r="Y59" s="23">
        <v>423.2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90.8</v>
      </c>
      <c r="E60" s="23">
        <v>114.70000000000003</v>
      </c>
      <c r="F60" s="23">
        <v>130.70000000000005</v>
      </c>
      <c r="G60" s="23">
        <v>131.10000000000005</v>
      </c>
      <c r="H60" s="23">
        <v>150.7999999999999</v>
      </c>
      <c r="I60" s="23">
        <v>238.20000000000022</v>
      </c>
      <c r="J60" s="23">
        <v>292.2</v>
      </c>
      <c r="K60" s="23">
        <v>342.99999999999994</v>
      </c>
      <c r="L60" s="23">
        <v>483.99999999999966</v>
      </c>
      <c r="M60" s="23">
        <v>527.09999999999991</v>
      </c>
      <c r="N60" s="23">
        <v>472.1999999999997</v>
      </c>
      <c r="O60" s="23">
        <v>625.99999999999955</v>
      </c>
      <c r="P60" s="23">
        <v>450.60000000000014</v>
      </c>
      <c r="Q60" s="23">
        <v>435.2</v>
      </c>
      <c r="R60" s="23">
        <v>357.40000000000009</v>
      </c>
      <c r="S60" s="23">
        <v>429.5</v>
      </c>
      <c r="T60" s="23">
        <v>446.90000000000015</v>
      </c>
      <c r="U60" s="23">
        <v>513.70000000000005</v>
      </c>
      <c r="V60" s="23">
        <v>572.19999999999982</v>
      </c>
      <c r="W60" s="23">
        <v>645.40000000000009</v>
      </c>
      <c r="X60" s="23">
        <v>550.20000000000005</v>
      </c>
      <c r="Y60" s="23">
        <v>387.30000000000007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354.3</v>
      </c>
      <c r="E61" s="23">
        <v>340.7</v>
      </c>
      <c r="F61" s="23">
        <v>565.70000000000005</v>
      </c>
      <c r="G61" s="23">
        <v>423.2</v>
      </c>
      <c r="H61" s="23">
        <v>540.70000000000005</v>
      </c>
      <c r="I61" s="23">
        <v>998</v>
      </c>
      <c r="J61" s="23">
        <v>1065.2</v>
      </c>
      <c r="K61" s="23">
        <v>974</v>
      </c>
      <c r="L61" s="23">
        <v>1120.8000000000002</v>
      </c>
      <c r="M61" s="23">
        <v>1038.9000000000001</v>
      </c>
      <c r="N61" s="23">
        <v>348.2</v>
      </c>
      <c r="O61" s="23">
        <v>2627.2</v>
      </c>
      <c r="P61" s="23">
        <v>914</v>
      </c>
      <c r="Q61" s="23">
        <v>2298</v>
      </c>
      <c r="R61" s="23">
        <v>4951.0000000000009</v>
      </c>
      <c r="S61" s="23">
        <v>2740.2</v>
      </c>
      <c r="T61" s="23">
        <v>3258.5</v>
      </c>
      <c r="U61" s="23">
        <v>2224.1</v>
      </c>
      <c r="V61" s="23">
        <v>2089.3000000000002</v>
      </c>
      <c r="W61" s="23">
        <v>1058.3</v>
      </c>
      <c r="X61" s="23">
        <v>557.9</v>
      </c>
      <c r="Y61" s="23">
        <v>1807.5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275.5</v>
      </c>
      <c r="E62" s="23">
        <v>350.4</v>
      </c>
      <c r="F62" s="23">
        <v>346.7</v>
      </c>
      <c r="G62" s="23">
        <v>363</v>
      </c>
      <c r="H62" s="23">
        <v>434.3</v>
      </c>
      <c r="I62" s="23">
        <v>497.5</v>
      </c>
      <c r="J62" s="23">
        <v>623.9</v>
      </c>
      <c r="K62" s="23">
        <v>807.4</v>
      </c>
      <c r="L62" s="23">
        <v>1044.5999999999999</v>
      </c>
      <c r="M62" s="23">
        <v>729.5</v>
      </c>
      <c r="N62" s="23">
        <v>347.7</v>
      </c>
      <c r="O62" s="23">
        <v>592.79999999999995</v>
      </c>
      <c r="P62" s="23">
        <v>1000.9000000000001</v>
      </c>
      <c r="Q62" s="23">
        <v>733.2</v>
      </c>
      <c r="R62" s="23">
        <v>945.5</v>
      </c>
      <c r="S62" s="23">
        <v>1164.2</v>
      </c>
      <c r="T62" s="23">
        <v>839.1</v>
      </c>
      <c r="U62" s="23">
        <v>1054</v>
      </c>
      <c r="V62" s="23">
        <v>1047.5</v>
      </c>
      <c r="W62" s="23">
        <v>1000.2</v>
      </c>
      <c r="X62" s="23">
        <v>1042.5</v>
      </c>
      <c r="Y62" s="23">
        <v>1177.7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121.2</v>
      </c>
      <c r="E63" s="23">
        <v>119.4</v>
      </c>
      <c r="F63" s="23">
        <v>131.99999999999997</v>
      </c>
      <c r="G63" s="23">
        <v>128.19999999999999</v>
      </c>
      <c r="H63" s="23">
        <v>148</v>
      </c>
      <c r="I63" s="23">
        <v>184.4</v>
      </c>
      <c r="J63" s="23">
        <v>243.4</v>
      </c>
      <c r="K63" s="23">
        <v>242.79999999999995</v>
      </c>
      <c r="L63" s="23">
        <v>267</v>
      </c>
      <c r="M63" s="23">
        <v>369.3</v>
      </c>
      <c r="N63" s="23">
        <v>68.900000000000006</v>
      </c>
      <c r="O63" s="23">
        <v>345.2</v>
      </c>
      <c r="P63" s="23">
        <v>268.89999999999992</v>
      </c>
      <c r="Q63" s="23">
        <v>271.7</v>
      </c>
      <c r="R63" s="23">
        <v>341.3</v>
      </c>
      <c r="S63" s="23">
        <v>273.2</v>
      </c>
      <c r="T63" s="23">
        <v>279.2</v>
      </c>
      <c r="U63" s="23">
        <v>360.7</v>
      </c>
      <c r="V63" s="23">
        <v>269.39999999999998</v>
      </c>
      <c r="W63" s="23">
        <v>294.39999999999998</v>
      </c>
      <c r="X63" s="23">
        <v>332.7</v>
      </c>
      <c r="Y63" s="23">
        <v>303.3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191.5</v>
      </c>
      <c r="E64" s="23">
        <v>246.20000000000005</v>
      </c>
      <c r="F64" s="23">
        <v>291.70000000000005</v>
      </c>
      <c r="G64" s="23">
        <v>347.3</v>
      </c>
      <c r="H64" s="23">
        <v>419.1</v>
      </c>
      <c r="I64" s="23">
        <v>550.79999999999995</v>
      </c>
      <c r="J64" s="23">
        <v>715</v>
      </c>
      <c r="K64" s="23">
        <v>1015.3</v>
      </c>
      <c r="L64" s="23">
        <v>1221.9000000000003</v>
      </c>
      <c r="M64" s="23">
        <v>1161.0999999999999</v>
      </c>
      <c r="N64" s="23">
        <v>535</v>
      </c>
      <c r="O64" s="23">
        <v>536.5</v>
      </c>
      <c r="P64" s="23">
        <v>782.1</v>
      </c>
      <c r="Q64" s="23">
        <v>1263.2</v>
      </c>
      <c r="R64" s="23">
        <v>1085.7</v>
      </c>
      <c r="S64" s="23">
        <v>1278.0999999999999</v>
      </c>
      <c r="T64" s="23">
        <v>1409.2</v>
      </c>
      <c r="U64" s="23">
        <v>1573.4</v>
      </c>
      <c r="V64" s="23">
        <v>1723.8</v>
      </c>
      <c r="W64" s="23">
        <v>1934.4</v>
      </c>
      <c r="X64" s="23">
        <v>1477.4</v>
      </c>
      <c r="Y64" s="23">
        <v>2357.9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430</v>
      </c>
      <c r="E65" s="23">
        <v>481.9</v>
      </c>
      <c r="F65" s="23">
        <v>503.39999999999992</v>
      </c>
      <c r="G65" s="23">
        <v>488.4</v>
      </c>
      <c r="H65" s="23">
        <v>614.40000000000009</v>
      </c>
      <c r="I65" s="23">
        <v>760.50000000000011</v>
      </c>
      <c r="J65" s="23">
        <v>1028.6999999999998</v>
      </c>
      <c r="K65" s="23">
        <v>1509.0000000000002</v>
      </c>
      <c r="L65" s="23">
        <v>1921.9999999999998</v>
      </c>
      <c r="M65" s="23">
        <v>1116.8000000000002</v>
      </c>
      <c r="N65" s="23">
        <v>586.0999999999998</v>
      </c>
      <c r="O65" s="23">
        <v>637.29999999999995</v>
      </c>
      <c r="P65" s="23">
        <v>1204.3000000000002</v>
      </c>
      <c r="Q65" s="23">
        <v>957.39999999999986</v>
      </c>
      <c r="R65" s="23">
        <v>1167.9999999999998</v>
      </c>
      <c r="S65" s="23">
        <v>1197.5</v>
      </c>
      <c r="T65" s="23">
        <v>1366.9999999999998</v>
      </c>
      <c r="U65" s="23">
        <v>1360.0000000000002</v>
      </c>
      <c r="V65" s="23">
        <v>1418.0999999999997</v>
      </c>
      <c r="W65" s="23">
        <v>1400.1999999999998</v>
      </c>
      <c r="X65" s="23">
        <v>1365.4</v>
      </c>
      <c r="Y65" s="23">
        <v>1642.0000000000002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394.7</v>
      </c>
      <c r="E66" s="23">
        <v>447.3</v>
      </c>
      <c r="F66" s="23">
        <v>435.1</v>
      </c>
      <c r="G66" s="23">
        <v>377</v>
      </c>
      <c r="H66" s="23">
        <v>528.20000000000005</v>
      </c>
      <c r="I66" s="23">
        <v>603.1</v>
      </c>
      <c r="J66" s="23">
        <v>719.7</v>
      </c>
      <c r="K66" s="23">
        <v>969.9</v>
      </c>
      <c r="L66" s="23">
        <v>1071.0000000000002</v>
      </c>
      <c r="M66" s="23">
        <v>578.20000000000005</v>
      </c>
      <c r="N66" s="23">
        <v>1921.3</v>
      </c>
      <c r="O66" s="23">
        <v>1745.2</v>
      </c>
      <c r="P66" s="23">
        <v>1555.3</v>
      </c>
      <c r="Q66" s="23">
        <v>1302.0999999999999</v>
      </c>
      <c r="R66" s="23">
        <v>1125.5</v>
      </c>
      <c r="S66" s="23">
        <v>1236.2</v>
      </c>
      <c r="T66" s="23">
        <v>1190.4999999999998</v>
      </c>
      <c r="U66" s="23">
        <v>1520.2</v>
      </c>
      <c r="V66" s="23">
        <v>1630.6</v>
      </c>
      <c r="W66" s="23">
        <v>1275.2</v>
      </c>
      <c r="X66" s="23">
        <v>774.2</v>
      </c>
      <c r="Y66" s="23">
        <v>1824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344.60000000000008</v>
      </c>
      <c r="E67" s="23">
        <v>412.6</v>
      </c>
      <c r="F67" s="23">
        <v>464.8</v>
      </c>
      <c r="G67" s="23">
        <v>517.29999999999995</v>
      </c>
      <c r="H67" s="23">
        <v>624.79999999999984</v>
      </c>
      <c r="I67" s="23">
        <v>872.90000000000009</v>
      </c>
      <c r="J67" s="23">
        <v>1137.0999999999999</v>
      </c>
      <c r="K67" s="23">
        <v>1617.9000000000003</v>
      </c>
      <c r="L67" s="23">
        <v>1858.3</v>
      </c>
      <c r="M67" s="23">
        <v>1547.9</v>
      </c>
      <c r="N67" s="23">
        <v>611.39999999999964</v>
      </c>
      <c r="O67" s="23">
        <v>642.20000000000005</v>
      </c>
      <c r="P67" s="23">
        <v>1565.6999999999998</v>
      </c>
      <c r="Q67" s="23">
        <v>1548.7000000000003</v>
      </c>
      <c r="R67" s="23">
        <v>1629.5</v>
      </c>
      <c r="S67" s="23">
        <v>1500.4999999999998</v>
      </c>
      <c r="T67" s="23">
        <v>1488.2</v>
      </c>
      <c r="U67" s="23">
        <v>1757.6000000000004</v>
      </c>
      <c r="V67" s="23">
        <v>1833.3</v>
      </c>
      <c r="W67" s="23">
        <v>2069.1000000000004</v>
      </c>
      <c r="X67" s="23">
        <v>1653.4999999999998</v>
      </c>
      <c r="Y67" s="23">
        <v>2350.3999999999996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314</v>
      </c>
      <c r="E68" s="23">
        <v>278.10000000000002</v>
      </c>
      <c r="F68" s="23">
        <v>300.3</v>
      </c>
      <c r="G68" s="23">
        <v>336</v>
      </c>
      <c r="H68" s="23">
        <v>406.2</v>
      </c>
      <c r="I68" s="23">
        <v>511.4</v>
      </c>
      <c r="J68" s="23">
        <v>678.5</v>
      </c>
      <c r="K68" s="23">
        <v>1074.5999999999997</v>
      </c>
      <c r="L68" s="23">
        <v>1299.5</v>
      </c>
      <c r="M68" s="23">
        <v>1130.4000000000001</v>
      </c>
      <c r="N68" s="23">
        <v>2299.4</v>
      </c>
      <c r="O68" s="23">
        <v>2288.5000000000005</v>
      </c>
      <c r="P68" s="23">
        <v>630.20000000000016</v>
      </c>
      <c r="Q68" s="23">
        <v>983.59999999999991</v>
      </c>
      <c r="R68" s="23">
        <v>891</v>
      </c>
      <c r="S68" s="23">
        <v>775.8</v>
      </c>
      <c r="T68" s="23">
        <v>873.5</v>
      </c>
      <c r="U68" s="23">
        <v>839.5</v>
      </c>
      <c r="V68" s="23">
        <v>1000.6</v>
      </c>
      <c r="W68" s="23">
        <v>989.3</v>
      </c>
      <c r="X68" s="23">
        <v>1092.7</v>
      </c>
      <c r="Y68" s="23">
        <v>1103.5999999999999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237.2</v>
      </c>
      <c r="E69" s="23">
        <v>306.60000000000002</v>
      </c>
      <c r="F69" s="23">
        <v>370.5</v>
      </c>
      <c r="G69" s="23">
        <v>357.3</v>
      </c>
      <c r="H69" s="23">
        <v>408.6</v>
      </c>
      <c r="I69" s="23">
        <v>715</v>
      </c>
      <c r="J69" s="23">
        <v>1028.0999999999999</v>
      </c>
      <c r="K69" s="23">
        <v>1323.4</v>
      </c>
      <c r="L69" s="23">
        <v>1261.9000000000001</v>
      </c>
      <c r="M69" s="23">
        <v>1066</v>
      </c>
      <c r="N69" s="23">
        <v>2395.9</v>
      </c>
      <c r="O69" s="23">
        <v>2491.6999999999994</v>
      </c>
      <c r="P69" s="23">
        <v>1997.9</v>
      </c>
      <c r="Q69" s="23">
        <v>1204.5</v>
      </c>
      <c r="R69" s="23">
        <v>1441.5</v>
      </c>
      <c r="S69" s="23">
        <v>2087</v>
      </c>
      <c r="T69" s="23">
        <v>2108.5</v>
      </c>
      <c r="U69" s="23">
        <v>2043.7</v>
      </c>
      <c r="V69" s="23">
        <v>2011.4</v>
      </c>
      <c r="W69" s="23">
        <v>2274.5</v>
      </c>
      <c r="X69" s="23">
        <v>2379.1</v>
      </c>
      <c r="Y69" s="23">
        <v>2354.6999999999998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393.9</v>
      </c>
      <c r="E70" s="23">
        <v>471.6</v>
      </c>
      <c r="F70" s="23">
        <v>459.3</v>
      </c>
      <c r="G70" s="23">
        <v>444.8</v>
      </c>
      <c r="H70" s="23">
        <v>504</v>
      </c>
      <c r="I70" s="23">
        <v>632.29999999999995</v>
      </c>
      <c r="J70" s="23">
        <v>733</v>
      </c>
      <c r="K70" s="23">
        <v>923.8</v>
      </c>
      <c r="L70" s="23">
        <v>1241.8000000000002</v>
      </c>
      <c r="M70" s="23">
        <v>980.6</v>
      </c>
      <c r="N70" s="23">
        <v>1009.1</v>
      </c>
      <c r="O70" s="23">
        <v>1140.1999999999998</v>
      </c>
      <c r="P70" s="23">
        <v>1334.8</v>
      </c>
      <c r="Q70" s="23">
        <v>1188.0999999999999</v>
      </c>
      <c r="R70" s="23">
        <v>1689.6</v>
      </c>
      <c r="S70" s="23">
        <v>1329.7</v>
      </c>
      <c r="T70" s="23">
        <v>1661.8</v>
      </c>
      <c r="U70" s="23">
        <v>1638</v>
      </c>
      <c r="V70" s="23">
        <v>1830.3</v>
      </c>
      <c r="W70" s="23">
        <v>1808.4</v>
      </c>
      <c r="X70" s="23">
        <v>1731.7</v>
      </c>
      <c r="Y70" s="23">
        <v>2067.1999999999998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261.50000000000006</v>
      </c>
      <c r="E71" s="23">
        <v>396.9</v>
      </c>
      <c r="F71" s="23">
        <v>512.79999999999995</v>
      </c>
      <c r="G71" s="23">
        <v>605.79999999999984</v>
      </c>
      <c r="H71" s="23">
        <v>854.9</v>
      </c>
      <c r="I71" s="23">
        <v>1317.4</v>
      </c>
      <c r="J71" s="23">
        <v>1768.8</v>
      </c>
      <c r="K71" s="23">
        <v>2224.5000000000005</v>
      </c>
      <c r="L71" s="23">
        <v>2949.8</v>
      </c>
      <c r="M71" s="23">
        <v>3637.5</v>
      </c>
      <c r="N71" s="23">
        <v>3486.8</v>
      </c>
      <c r="O71" s="23">
        <v>4334.8</v>
      </c>
      <c r="P71" s="23">
        <v>2397.5</v>
      </c>
      <c r="Q71" s="23">
        <v>2231.1999999999998</v>
      </c>
      <c r="R71" s="23">
        <v>2524.3000000000006</v>
      </c>
      <c r="S71" s="23">
        <v>3267.6</v>
      </c>
      <c r="T71" s="23">
        <v>4089.7</v>
      </c>
      <c r="U71" s="23">
        <v>5307.1</v>
      </c>
      <c r="V71" s="23">
        <v>5316.6</v>
      </c>
      <c r="W71" s="23">
        <v>5204.8999999999987</v>
      </c>
      <c r="X71" s="23">
        <v>4642</v>
      </c>
      <c r="Y71" s="23">
        <v>4007.8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170.99999999999997</v>
      </c>
      <c r="E72" s="23">
        <v>207.10000000000002</v>
      </c>
      <c r="F72" s="23">
        <v>207.60000000000014</v>
      </c>
      <c r="G72" s="23">
        <v>235.2000000000001</v>
      </c>
      <c r="H72" s="23">
        <v>260.40000000000009</v>
      </c>
      <c r="I72" s="23">
        <v>351.69999999999976</v>
      </c>
      <c r="J72" s="23">
        <v>440.30000000000007</v>
      </c>
      <c r="K72" s="23">
        <v>537.6999999999997</v>
      </c>
      <c r="L72" s="23">
        <v>557.49999999999989</v>
      </c>
      <c r="M72" s="23">
        <v>689.00000000000011</v>
      </c>
      <c r="N72" s="23">
        <v>637.50000000000011</v>
      </c>
      <c r="O72" s="23">
        <v>748.5</v>
      </c>
      <c r="P72" s="23">
        <v>614.89999999999986</v>
      </c>
      <c r="Q72" s="23">
        <v>684.20000000000016</v>
      </c>
      <c r="R72" s="23">
        <v>755.99999999999955</v>
      </c>
      <c r="S72" s="23">
        <v>681.90000000000009</v>
      </c>
      <c r="T72" s="23">
        <v>733.59999999999957</v>
      </c>
      <c r="U72" s="23">
        <v>678.29999999999984</v>
      </c>
      <c r="V72" s="23">
        <v>798.50000000000045</v>
      </c>
      <c r="W72" s="23">
        <v>816.60000000000127</v>
      </c>
      <c r="X72" s="23">
        <v>690.6999999999997</v>
      </c>
      <c r="Y72" s="23">
        <v>861.09999999999945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495.2</v>
      </c>
      <c r="E73" s="23">
        <v>522.4</v>
      </c>
      <c r="F73" s="23">
        <v>565</v>
      </c>
      <c r="G73" s="23">
        <v>575.9</v>
      </c>
      <c r="H73" s="23">
        <v>666.6</v>
      </c>
      <c r="I73" s="23">
        <v>808.9</v>
      </c>
      <c r="J73" s="23">
        <v>949.9</v>
      </c>
      <c r="K73" s="23">
        <v>1271.7</v>
      </c>
      <c r="L73" s="23">
        <v>1382.9</v>
      </c>
      <c r="M73" s="23">
        <v>1050.0999999999999</v>
      </c>
      <c r="N73" s="23">
        <v>969.2</v>
      </c>
      <c r="O73" s="23">
        <v>905.2</v>
      </c>
      <c r="P73" s="23">
        <v>738.3</v>
      </c>
      <c r="Q73" s="23">
        <v>1000.2000000000002</v>
      </c>
      <c r="R73" s="23">
        <v>1105.5</v>
      </c>
      <c r="S73" s="23">
        <v>1214</v>
      </c>
      <c r="T73" s="23">
        <v>1273.3</v>
      </c>
      <c r="U73" s="23">
        <v>1399.2</v>
      </c>
      <c r="V73" s="23">
        <v>1431.3</v>
      </c>
      <c r="W73" s="23">
        <v>1685.5</v>
      </c>
      <c r="X73" s="23">
        <v>1561.3</v>
      </c>
      <c r="Y73" s="23">
        <v>1703.5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105.69999999999862</v>
      </c>
      <c r="E74" s="23">
        <v>116.09999999999147</v>
      </c>
      <c r="F74" s="23">
        <v>119.00000000000171</v>
      </c>
      <c r="G74" s="23">
        <v>124.39999999999873</v>
      </c>
      <c r="H74" s="23">
        <v>145.10000000000622</v>
      </c>
      <c r="I74" s="23">
        <v>185.10000000000389</v>
      </c>
      <c r="J74" s="23">
        <v>233.79999999998853</v>
      </c>
      <c r="K74" s="23">
        <v>339.79999999998182</v>
      </c>
      <c r="L74" s="23">
        <v>181.90000000000336</v>
      </c>
      <c r="M74" s="23">
        <v>309.00000000000063</v>
      </c>
      <c r="N74" s="23">
        <v>1200.6999999999921</v>
      </c>
      <c r="O74" s="23">
        <v>1317.0999999999951</v>
      </c>
      <c r="P74" s="23">
        <v>1428.7000000000114</v>
      </c>
      <c r="Q74" s="23">
        <v>1314.4999999999966</v>
      </c>
      <c r="R74" s="23">
        <v>1162.8000000000172</v>
      </c>
      <c r="S74" s="23">
        <v>1265.3999999999869</v>
      </c>
      <c r="T74" s="23">
        <v>1284.0000000000055</v>
      </c>
      <c r="U74" s="23">
        <v>1549.2999999999936</v>
      </c>
      <c r="V74" s="23">
        <v>1451.1000000000154</v>
      </c>
      <c r="W74" s="23">
        <v>1356.9000000000178</v>
      </c>
      <c r="X74" s="23">
        <v>1274.2999999999774</v>
      </c>
      <c r="Y74" s="23">
        <v>1138.3000000000031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8043.199999999998</v>
      </c>
      <c r="E75" s="30">
        <f t="shared" ref="E75:S75" si="6">SUM(E56:E74)</f>
        <v>9940.7999999999902</v>
      </c>
      <c r="F75" s="30">
        <f t="shared" si="6"/>
        <v>10620.199999999999</v>
      </c>
      <c r="G75" s="30">
        <f t="shared" si="6"/>
        <v>10757.099999999999</v>
      </c>
      <c r="H75" s="30">
        <f t="shared" si="6"/>
        <v>12830.500000000007</v>
      </c>
      <c r="I75" s="30">
        <f t="shared" si="6"/>
        <v>16849.3</v>
      </c>
      <c r="J75" s="30">
        <f t="shared" si="6"/>
        <v>20517.799999999988</v>
      </c>
      <c r="K75" s="30">
        <f t="shared" si="6"/>
        <v>26838.499999999985</v>
      </c>
      <c r="L75" s="30">
        <f t="shared" si="6"/>
        <v>32169.900000000005</v>
      </c>
      <c r="M75" s="30">
        <f t="shared" si="6"/>
        <v>26303.600000000002</v>
      </c>
      <c r="N75" s="30">
        <f t="shared" si="6"/>
        <v>29969.899999999998</v>
      </c>
      <c r="O75" s="30">
        <f t="shared" si="6"/>
        <v>35895.5</v>
      </c>
      <c r="P75" s="30">
        <f t="shared" si="6"/>
        <v>29642.300000000014</v>
      </c>
      <c r="Q75" s="30">
        <f t="shared" si="6"/>
        <v>28894.899999999998</v>
      </c>
      <c r="R75" s="30">
        <f t="shared" si="6"/>
        <v>32383.600000000017</v>
      </c>
      <c r="S75" s="30">
        <f t="shared" si="6"/>
        <v>32391.299999999988</v>
      </c>
      <c r="T75" s="30">
        <f t="shared" ref="T75:Y75" si="7">SUM(T56:T74)</f>
        <v>33707.500000000007</v>
      </c>
      <c r="U75" s="30">
        <f t="shared" si="7"/>
        <v>36930.400000000001</v>
      </c>
      <c r="V75" s="30">
        <f t="shared" si="7"/>
        <v>39033.30000000001</v>
      </c>
      <c r="W75" s="30">
        <f t="shared" si="7"/>
        <v>38487.800000000017</v>
      </c>
      <c r="X75" s="30">
        <f t="shared" si="7"/>
        <v>34968.599999999977</v>
      </c>
      <c r="Y75" s="30">
        <f t="shared" si="7"/>
        <v>37855.900000000009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92363.99626857182</v>
      </c>
      <c r="E2" s="19">
        <v>97183.329027813656</v>
      </c>
      <c r="F2" s="19">
        <v>102724.87553792929</v>
      </c>
      <c r="G2" s="19">
        <v>105129.07538825466</v>
      </c>
      <c r="H2" s="19">
        <v>116092.94816352418</v>
      </c>
      <c r="I2" s="19">
        <v>121512.77646553575</v>
      </c>
      <c r="J2" s="19">
        <v>131267.77299180382</v>
      </c>
      <c r="K2" s="19">
        <v>140763.8605507825</v>
      </c>
      <c r="L2" s="19">
        <v>153865.35393399949</v>
      </c>
      <c r="M2" s="19">
        <v>145376.11312999966</v>
      </c>
      <c r="N2" s="19">
        <v>139705.4050816262</v>
      </c>
      <c r="O2" s="19">
        <v>146015.68511705863</v>
      </c>
      <c r="P2" s="19">
        <v>148826.85980429858</v>
      </c>
      <c r="Q2" s="19">
        <v>149227.80567765379</v>
      </c>
      <c r="R2" s="19">
        <v>155376.35740534292</v>
      </c>
      <c r="S2" s="19">
        <v>160287.79999999999</v>
      </c>
      <c r="T2" s="19">
        <v>164867.9535007333</v>
      </c>
      <c r="U2" s="19">
        <v>178380.78376955836</v>
      </c>
      <c r="V2" s="19">
        <v>189136.60810984453</v>
      </c>
      <c r="W2" s="19">
        <v>196423.90256724789</v>
      </c>
      <c r="X2" s="19">
        <v>189200.41875471958</v>
      </c>
      <c r="Y2" s="19">
        <v>200001.07611439921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44875.263047983164</v>
      </c>
      <c r="E3" s="23">
        <v>48615.937967115096</v>
      </c>
      <c r="F3" s="23">
        <v>52065.970330474302</v>
      </c>
      <c r="G3" s="23">
        <v>56429.077899893637</v>
      </c>
      <c r="H3" s="23">
        <v>65367.703740248529</v>
      </c>
      <c r="I3" s="23">
        <v>72705.171879838963</v>
      </c>
      <c r="J3" s="23">
        <v>80126.357685760187</v>
      </c>
      <c r="K3" s="23">
        <v>91216.285041274969</v>
      </c>
      <c r="L3" s="23">
        <v>99154.623894976452</v>
      </c>
      <c r="M3" s="23">
        <v>92857.226771302041</v>
      </c>
      <c r="N3" s="23">
        <v>88225.379757637827</v>
      </c>
      <c r="O3" s="23">
        <v>92187.3515991163</v>
      </c>
      <c r="P3" s="23">
        <v>93926.806896120412</v>
      </c>
      <c r="Q3" s="23">
        <v>89276.816608996538</v>
      </c>
      <c r="R3" s="23">
        <v>92903.858797349923</v>
      </c>
      <c r="S3" s="23">
        <v>98393</v>
      </c>
      <c r="T3" s="23">
        <v>104340.22273502559</v>
      </c>
      <c r="U3" s="23">
        <v>116408.15798894237</v>
      </c>
      <c r="V3" s="23">
        <v>127385.02804194098</v>
      </c>
      <c r="W3" s="23">
        <v>131727.41769595863</v>
      </c>
      <c r="X3" s="23">
        <v>126646.86363166357</v>
      </c>
      <c r="Y3" s="23">
        <v>135730.72108047848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81796.983085642874</v>
      </c>
      <c r="E4" s="27">
        <v>86510.286848886812</v>
      </c>
      <c r="F4" s="27">
        <v>90882.942452732721</v>
      </c>
      <c r="G4" s="27">
        <v>92955.25430639078</v>
      </c>
      <c r="H4" s="27">
        <v>102816.85864470463</v>
      </c>
      <c r="I4" s="27">
        <v>106947.87797600927</v>
      </c>
      <c r="J4" s="27">
        <v>116032.48850705659</v>
      </c>
      <c r="K4" s="27">
        <v>124178.41041819035</v>
      </c>
      <c r="L4" s="27">
        <v>135965.58890738577</v>
      </c>
      <c r="M4" s="27">
        <v>129925.02054231719</v>
      </c>
      <c r="N4" s="27">
        <v>123203.13422422583</v>
      </c>
      <c r="O4" s="27">
        <v>128517.13617730624</v>
      </c>
      <c r="P4" s="27">
        <v>131100.38219544134</v>
      </c>
      <c r="Q4" s="27">
        <v>131638.55623132066</v>
      </c>
      <c r="R4" s="27">
        <v>137130.83341918205</v>
      </c>
      <c r="S4" s="27">
        <v>140797</v>
      </c>
      <c r="T4" s="27">
        <v>144761.98291258389</v>
      </c>
      <c r="U4" s="27">
        <v>156926.79249497433</v>
      </c>
      <c r="V4" s="27">
        <v>165782.47024709586</v>
      </c>
      <c r="W4" s="27">
        <v>171871.20229832456</v>
      </c>
      <c r="X4" s="27">
        <v>166040.5994437295</v>
      </c>
      <c r="Y4" s="27">
        <v>174785.05854763449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9831.9721515597812</v>
      </c>
      <c r="E6" s="19">
        <v>12538.971737569178</v>
      </c>
      <c r="F6" s="19">
        <v>11412.955883872301</v>
      </c>
      <c r="G6" s="19">
        <v>12413.209662623585</v>
      </c>
      <c r="H6" s="19">
        <v>14563.257870467009</v>
      </c>
      <c r="I6" s="19">
        <v>10234.122876453755</v>
      </c>
      <c r="J6" s="19">
        <v>10190.18643363579</v>
      </c>
      <c r="K6" s="19">
        <v>7664.8582562848633</v>
      </c>
      <c r="L6" s="19">
        <v>9551.9733644908138</v>
      </c>
      <c r="M6" s="19">
        <v>8740.2994613347946</v>
      </c>
      <c r="N6" s="19">
        <v>7130.0381044383612</v>
      </c>
      <c r="O6" s="19">
        <v>8642.7350785779454</v>
      </c>
      <c r="P6" s="19">
        <v>6734.4114296664575</v>
      </c>
      <c r="Q6" s="19">
        <v>8229.774071519636</v>
      </c>
      <c r="R6" s="19">
        <v>7673.5345626867211</v>
      </c>
      <c r="S6" s="19">
        <v>7094.3</v>
      </c>
      <c r="T6" s="19">
        <v>6940.4836607616935</v>
      </c>
      <c r="U6" s="19">
        <v>7700.4690641054285</v>
      </c>
      <c r="V6" s="19">
        <v>8366.6589578923013</v>
      </c>
      <c r="W6" s="19">
        <v>8397.4440461359845</v>
      </c>
      <c r="X6" s="19">
        <v>7649.7986632902976</v>
      </c>
      <c r="Y6" s="19">
        <v>9209.9470950288542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22685.990984960052</v>
      </c>
      <c r="E7" s="23">
        <v>25403.236027206272</v>
      </c>
      <c r="F7" s="23">
        <v>27325.136894307267</v>
      </c>
      <c r="G7" s="23">
        <v>26813.576597696461</v>
      </c>
      <c r="H7" s="23">
        <v>29176.803233580664</v>
      </c>
      <c r="I7" s="23">
        <v>30446.477501065587</v>
      </c>
      <c r="J7" s="23">
        <v>32587.152028521246</v>
      </c>
      <c r="K7" s="23">
        <v>34418.23401630843</v>
      </c>
      <c r="L7" s="23">
        <v>38529.77366021114</v>
      </c>
      <c r="M7" s="23">
        <v>36781.133022916096</v>
      </c>
      <c r="N7" s="23">
        <v>41764.718510170118</v>
      </c>
      <c r="O7" s="23">
        <v>48833.230240189543</v>
      </c>
      <c r="P7" s="23">
        <v>39862.558686695556</v>
      </c>
      <c r="Q7" s="23">
        <v>37643.634919639677</v>
      </c>
      <c r="R7" s="23">
        <v>40619.964973730312</v>
      </c>
      <c r="S7" s="23">
        <v>39895.299999999988</v>
      </c>
      <c r="T7" s="23">
        <v>38934.015542790949</v>
      </c>
      <c r="U7" s="23">
        <v>41037.804333258886</v>
      </c>
      <c r="V7" s="23">
        <v>42074.253286606312</v>
      </c>
      <c r="W7" s="23">
        <v>40445.766489546542</v>
      </c>
      <c r="X7" s="23">
        <v>36604.92340902485</v>
      </c>
      <c r="Y7" s="23">
        <v>38031.470854243205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4728.433078948543</v>
      </c>
      <c r="E8" s="23">
        <v>5431.9631616746228</v>
      </c>
      <c r="F8" s="23">
        <v>6208.9058787064778</v>
      </c>
      <c r="G8" s="23">
        <v>6576.4957700540208</v>
      </c>
      <c r="H8" s="23">
        <v>7312.5604873142684</v>
      </c>
      <c r="I8" s="23">
        <v>8465.8710345247528</v>
      </c>
      <c r="J8" s="23">
        <v>10382.517323182909</v>
      </c>
      <c r="K8" s="23">
        <v>13344.540383586766</v>
      </c>
      <c r="L8" s="23">
        <v>17209.889053177962</v>
      </c>
      <c r="M8" s="23">
        <v>15269.674974892725</v>
      </c>
      <c r="N8" s="23">
        <v>10991.466752535824</v>
      </c>
      <c r="O8" s="23">
        <v>9565.2265078682794</v>
      </c>
      <c r="P8" s="23">
        <v>11196.516591966443</v>
      </c>
      <c r="Q8" s="23">
        <v>10262.60789600184</v>
      </c>
      <c r="R8" s="23">
        <v>9887.0917894303093</v>
      </c>
      <c r="S8" s="23">
        <v>9492.7000000000007</v>
      </c>
      <c r="T8" s="23">
        <v>9772.2643239851332</v>
      </c>
      <c r="U8" s="23">
        <v>9461.9723028813951</v>
      </c>
      <c r="V8" s="23">
        <v>10932.524505007737</v>
      </c>
      <c r="W8" s="23">
        <v>11973.999779659151</v>
      </c>
      <c r="X8" s="23">
        <v>11993.773091452531</v>
      </c>
      <c r="Y8" s="23">
        <v>12342.78579489519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16596.152987905567</v>
      </c>
      <c r="E9" s="23">
        <v>16079.379831861772</v>
      </c>
      <c r="F9" s="23">
        <v>16550.883355718564</v>
      </c>
      <c r="G9" s="23">
        <v>18223.626541636939</v>
      </c>
      <c r="H9" s="23">
        <v>19993.168491564982</v>
      </c>
      <c r="I9" s="23">
        <v>22630.000608902152</v>
      </c>
      <c r="J9" s="23">
        <v>25087.453592633792</v>
      </c>
      <c r="K9" s="23">
        <v>27310.198779595892</v>
      </c>
      <c r="L9" s="23">
        <v>27318.664502186886</v>
      </c>
      <c r="M9" s="23">
        <v>26240.071213366202</v>
      </c>
      <c r="N9" s="23">
        <v>16555.895454301506</v>
      </c>
      <c r="O9" s="23">
        <v>13709.990249834877</v>
      </c>
      <c r="P9" s="23">
        <v>24209.47291096656</v>
      </c>
      <c r="Q9" s="23">
        <v>21111.772942922231</v>
      </c>
      <c r="R9" s="23">
        <v>21836.818790563513</v>
      </c>
      <c r="S9" s="23">
        <v>25496.6</v>
      </c>
      <c r="T9" s="23">
        <v>27696.384611671576</v>
      </c>
      <c r="U9" s="23">
        <v>30520.903134539501</v>
      </c>
      <c r="V9" s="23">
        <v>32141.497518367636</v>
      </c>
      <c r="W9" s="23">
        <v>33216.976415054363</v>
      </c>
      <c r="X9" s="23">
        <v>33454.522811241652</v>
      </c>
      <c r="Y9" s="23">
        <v>38348.180341121006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4437.0062926763958</v>
      </c>
      <c r="E10" s="23">
        <v>4438.7647332178612</v>
      </c>
      <c r="F10" s="23">
        <v>4498.3985948961663</v>
      </c>
      <c r="G10" s="23">
        <v>4583.6306186933034</v>
      </c>
      <c r="H10" s="23">
        <v>4906.9206975729176</v>
      </c>
      <c r="I10" s="23">
        <v>4822.352797905377</v>
      </c>
      <c r="J10" s="23">
        <v>5358.7272654166272</v>
      </c>
      <c r="K10" s="23">
        <v>6381.6873887936781</v>
      </c>
      <c r="L10" s="23">
        <v>6571.7121793347333</v>
      </c>
      <c r="M10" s="23">
        <v>5806.6283210079437</v>
      </c>
      <c r="N10" s="23">
        <v>5571.083561423281</v>
      </c>
      <c r="O10" s="23">
        <v>5760.7749808666122</v>
      </c>
      <c r="P10" s="23">
        <v>6332.9465245765514</v>
      </c>
      <c r="Q10" s="23">
        <v>7670.9093569084789</v>
      </c>
      <c r="R10" s="23">
        <v>7544.3494385495005</v>
      </c>
      <c r="S10" s="23">
        <v>8081.3</v>
      </c>
      <c r="T10" s="23">
        <v>8390.8867113964388</v>
      </c>
      <c r="U10" s="23">
        <v>9622.1428039609855</v>
      </c>
      <c r="V10" s="23">
        <v>9871.2931172504577</v>
      </c>
      <c r="W10" s="23">
        <v>10953.567403113586</v>
      </c>
      <c r="X10" s="23">
        <v>11639.669558719748</v>
      </c>
      <c r="Y10" s="23">
        <v>12434.429050511841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3672.2899094033114</v>
      </c>
      <c r="E11" s="23">
        <v>3356.4276963372904</v>
      </c>
      <c r="F11" s="23">
        <v>2597.5823948755033</v>
      </c>
      <c r="G11" s="23">
        <v>2051.3709102028338</v>
      </c>
      <c r="H11" s="23">
        <v>2628.2331062489325</v>
      </c>
      <c r="I11" s="23">
        <v>2483.1029653534679</v>
      </c>
      <c r="J11" s="23">
        <v>2387.9856857567916</v>
      </c>
      <c r="K11" s="23">
        <v>2647.3381436321756</v>
      </c>
      <c r="L11" s="23">
        <v>3169.1706389006649</v>
      </c>
      <c r="M11" s="23">
        <v>2885.853190906601</v>
      </c>
      <c r="N11" s="23">
        <v>3148.1779638276175</v>
      </c>
      <c r="O11" s="23">
        <v>3826.4680288940381</v>
      </c>
      <c r="P11" s="23">
        <v>3965.4640108164504</v>
      </c>
      <c r="Q11" s="23">
        <v>5554.7892239847843</v>
      </c>
      <c r="R11" s="23">
        <v>5058.9265478520656</v>
      </c>
      <c r="S11" s="23">
        <v>4877.2</v>
      </c>
      <c r="T11" s="23">
        <v>5283.1973741371821</v>
      </c>
      <c r="U11" s="23">
        <v>4274.7189338098433</v>
      </c>
      <c r="V11" s="23">
        <v>4667.8704214327645</v>
      </c>
      <c r="W11" s="23">
        <v>4402.6644293595718</v>
      </c>
      <c r="X11" s="23">
        <v>5305.7412096807675</v>
      </c>
      <c r="Y11" s="23">
        <v>5352.2862791237467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6637.6578747712765</v>
      </c>
      <c r="E12" s="23">
        <v>6665.751341303705</v>
      </c>
      <c r="F12" s="23">
        <v>7717.1195371422664</v>
      </c>
      <c r="G12" s="23">
        <v>7119.1519722760167</v>
      </c>
      <c r="H12" s="23">
        <v>7555.8380932500895</v>
      </c>
      <c r="I12" s="23">
        <v>9095.7803081044894</v>
      </c>
      <c r="J12" s="23">
        <v>9208.1596547425979</v>
      </c>
      <c r="K12" s="23">
        <v>11616.216747262824</v>
      </c>
      <c r="L12" s="23">
        <v>10064.520798651683</v>
      </c>
      <c r="M12" s="23">
        <v>11422.555464256369</v>
      </c>
      <c r="N12" s="23">
        <v>11931.626683840497</v>
      </c>
      <c r="O12" s="23">
        <v>11773.376807187864</v>
      </c>
      <c r="P12" s="23">
        <v>12234.831951113052</v>
      </c>
      <c r="Q12" s="23">
        <v>12112.462641335924</v>
      </c>
      <c r="R12" s="23">
        <v>12799.73215205522</v>
      </c>
      <c r="S12" s="23">
        <v>13739.5</v>
      </c>
      <c r="T12" s="23">
        <v>13531.109716657818</v>
      </c>
      <c r="U12" s="23">
        <v>14343.496388950934</v>
      </c>
      <c r="V12" s="23">
        <v>14035.009695266219</v>
      </c>
      <c r="W12" s="23">
        <v>15070.720938313038</v>
      </c>
      <c r="X12" s="23">
        <v>14152.517746689362</v>
      </c>
      <c r="Y12" s="23">
        <v>14853.891036569259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2210.6930869817465</v>
      </c>
      <c r="E13" s="23">
        <v>2154.9575429850875</v>
      </c>
      <c r="F13" s="23">
        <v>2968.0752143816508</v>
      </c>
      <c r="G13" s="23">
        <v>3288.7575170726736</v>
      </c>
      <c r="H13" s="23">
        <v>3302.2752718371062</v>
      </c>
      <c r="I13" s="23">
        <v>3620.227729403885</v>
      </c>
      <c r="J13" s="23">
        <v>4748.4955301497093</v>
      </c>
      <c r="K13" s="23">
        <v>5229.8354965123517</v>
      </c>
      <c r="L13" s="23">
        <v>6077.2595204367562</v>
      </c>
      <c r="M13" s="23">
        <v>6243.1525609422079</v>
      </c>
      <c r="N13" s="23">
        <v>6576.1820426125687</v>
      </c>
      <c r="O13" s="23">
        <v>7411.4884203684096</v>
      </c>
      <c r="P13" s="23">
        <v>7389.8925807241485</v>
      </c>
      <c r="Q13" s="23">
        <v>9472.5897130436606</v>
      </c>
      <c r="R13" s="23">
        <v>9645.5135469248999</v>
      </c>
      <c r="S13" s="23">
        <v>11316.1</v>
      </c>
      <c r="T13" s="23">
        <v>11096.683882801564</v>
      </c>
      <c r="U13" s="23">
        <v>13154.921450375996</v>
      </c>
      <c r="V13" s="23">
        <v>13220.429438030349</v>
      </c>
      <c r="W13" s="23">
        <v>14651.649590250765</v>
      </c>
      <c r="X13" s="23">
        <v>13385.860766324879</v>
      </c>
      <c r="Y13" s="23">
        <v>13710.311266917985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8513.4109876377915</v>
      </c>
      <c r="E14" s="23">
        <v>8460.774787714925</v>
      </c>
      <c r="F14" s="23">
        <v>9510.2799876020235</v>
      </c>
      <c r="G14" s="23">
        <v>9620.2221995719083</v>
      </c>
      <c r="H14" s="23">
        <v>10942.558399908912</v>
      </c>
      <c r="I14" s="23">
        <v>12529.836205321806</v>
      </c>
      <c r="J14" s="23">
        <v>12980.659688249722</v>
      </c>
      <c r="K14" s="23">
        <v>12261.677346112283</v>
      </c>
      <c r="L14" s="23">
        <v>14101.620257876399</v>
      </c>
      <c r="M14" s="23">
        <v>12718.090933990688</v>
      </c>
      <c r="N14" s="23">
        <v>15731.229538989963</v>
      </c>
      <c r="O14" s="23">
        <v>14168.667372592601</v>
      </c>
      <c r="P14" s="23">
        <v>14919.675080644303</v>
      </c>
      <c r="Q14" s="23">
        <v>15885.739962798085</v>
      </c>
      <c r="R14" s="23">
        <v>17838.673122488926</v>
      </c>
      <c r="S14" s="23">
        <v>15725.9</v>
      </c>
      <c r="T14" s="23">
        <v>18315.393155379639</v>
      </c>
      <c r="U14" s="23">
        <v>21374.525351798082</v>
      </c>
      <c r="V14" s="23">
        <v>24533.648800099621</v>
      </c>
      <c r="W14" s="23">
        <v>26662.768328545157</v>
      </c>
      <c r="X14" s="23">
        <v>27133.380381086805</v>
      </c>
      <c r="Y14" s="23">
        <v>25576.792245940083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2483.3757307984115</v>
      </c>
      <c r="E15" s="23">
        <v>1980.0599890160956</v>
      </c>
      <c r="F15" s="23">
        <v>2093.6047112304991</v>
      </c>
      <c r="G15" s="23">
        <v>2265.2125165630414</v>
      </c>
      <c r="H15" s="23">
        <v>2435.2429929597511</v>
      </c>
      <c r="I15" s="23">
        <v>2620.1059489740001</v>
      </c>
      <c r="J15" s="23">
        <v>3101.1513047673939</v>
      </c>
      <c r="K15" s="23">
        <v>3303.8238601010821</v>
      </c>
      <c r="L15" s="23">
        <v>3371.0049321187435</v>
      </c>
      <c r="M15" s="23">
        <v>3817.5613987035517</v>
      </c>
      <c r="N15" s="23">
        <v>3802.7156120860836</v>
      </c>
      <c r="O15" s="23">
        <v>4825.1784909260559</v>
      </c>
      <c r="P15" s="23">
        <v>4254.6124282718165</v>
      </c>
      <c r="Q15" s="23">
        <v>3694.2755031663428</v>
      </c>
      <c r="R15" s="23">
        <v>4226.2284949005871</v>
      </c>
      <c r="S15" s="23">
        <v>5078.1000000000004</v>
      </c>
      <c r="T15" s="23">
        <v>4801.563933001883</v>
      </c>
      <c r="U15" s="23">
        <v>5435.8387312932773</v>
      </c>
      <c r="V15" s="23">
        <v>5939.2845071424763</v>
      </c>
      <c r="W15" s="23">
        <v>6095.6448783464266</v>
      </c>
      <c r="X15" s="23">
        <v>4720.4118062186062</v>
      </c>
      <c r="Y15" s="23">
        <v>4924.9645832833094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81796.98308564286</v>
      </c>
      <c r="E16" s="30">
        <f t="shared" ref="E16:S16" si="0">SUM(E6:E15)</f>
        <v>86510.286848886797</v>
      </c>
      <c r="F16" s="30">
        <f t="shared" si="0"/>
        <v>90882.942452732721</v>
      </c>
      <c r="G16" s="30">
        <f t="shared" si="0"/>
        <v>92955.254306390794</v>
      </c>
      <c r="H16" s="30">
        <f t="shared" si="0"/>
        <v>102816.85864470464</v>
      </c>
      <c r="I16" s="30">
        <f t="shared" si="0"/>
        <v>106947.87797600924</v>
      </c>
      <c r="J16" s="30">
        <f t="shared" si="0"/>
        <v>116032.48850705659</v>
      </c>
      <c r="K16" s="30">
        <f t="shared" si="0"/>
        <v>124178.41041819034</v>
      </c>
      <c r="L16" s="30">
        <f t="shared" si="0"/>
        <v>135965.5889073858</v>
      </c>
      <c r="M16" s="30">
        <f t="shared" si="0"/>
        <v>129925.02054231719</v>
      </c>
      <c r="N16" s="30">
        <f t="shared" si="0"/>
        <v>123203.13422422583</v>
      </c>
      <c r="O16" s="30">
        <f t="shared" si="0"/>
        <v>128517.13617730622</v>
      </c>
      <c r="P16" s="30">
        <f t="shared" si="0"/>
        <v>131100.38219544131</v>
      </c>
      <c r="Q16" s="30">
        <f t="shared" si="0"/>
        <v>131638.55623132066</v>
      </c>
      <c r="R16" s="30">
        <f t="shared" si="0"/>
        <v>137130.83341918208</v>
      </c>
      <c r="S16" s="30">
        <f t="shared" si="0"/>
        <v>140797</v>
      </c>
      <c r="T16" s="30">
        <f t="shared" ref="T16:Y16" si="1">SUM(T6:T15)</f>
        <v>144761.98291258386</v>
      </c>
      <c r="U16" s="30">
        <f t="shared" si="1"/>
        <v>156926.79249497433</v>
      </c>
      <c r="V16" s="30">
        <f t="shared" si="1"/>
        <v>165782.47024709586</v>
      </c>
      <c r="W16" s="30">
        <f t="shared" si="1"/>
        <v>171871.20229832456</v>
      </c>
      <c r="X16" s="30">
        <f t="shared" si="1"/>
        <v>166040.59944372953</v>
      </c>
      <c r="Y16" s="30">
        <f t="shared" si="1"/>
        <v>174785.05854763446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9831.9721515597812</v>
      </c>
      <c r="E18" s="19">
        <v>12538.971737569178</v>
      </c>
      <c r="F18" s="19">
        <v>11412.955883872301</v>
      </c>
      <c r="G18" s="19">
        <v>12413.209662623585</v>
      </c>
      <c r="H18" s="19">
        <v>14563.257870467009</v>
      </c>
      <c r="I18" s="19">
        <v>10234.122876453755</v>
      </c>
      <c r="J18" s="19">
        <v>10190.18643363579</v>
      </c>
      <c r="K18" s="19">
        <v>7664.8582562848633</v>
      </c>
      <c r="L18" s="19">
        <v>9551.9733644908138</v>
      </c>
      <c r="M18" s="19">
        <v>8740.2994613347946</v>
      </c>
      <c r="N18" s="19">
        <v>7130.0381044383612</v>
      </c>
      <c r="O18" s="19">
        <v>8642.7350785779454</v>
      </c>
      <c r="P18" s="19">
        <v>6734.4114296664575</v>
      </c>
      <c r="Q18" s="19">
        <v>8229.774071519636</v>
      </c>
      <c r="R18" s="19">
        <v>7673.5345626867211</v>
      </c>
      <c r="S18" s="19">
        <v>7094.3</v>
      </c>
      <c r="T18" s="19">
        <v>6940.4836607616935</v>
      </c>
      <c r="U18" s="19">
        <v>7700.4690641054285</v>
      </c>
      <c r="V18" s="19">
        <v>8366.6589578923013</v>
      </c>
      <c r="W18" s="19">
        <v>8397.4440461359845</v>
      </c>
      <c r="X18" s="19">
        <v>7649.7986632902976</v>
      </c>
      <c r="Y18" s="19">
        <v>9209.9470950288542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1857.6784040701566</v>
      </c>
      <c r="E19" s="23">
        <v>1751.5102868488868</v>
      </c>
      <c r="F19" s="23">
        <v>1825.8084512862897</v>
      </c>
      <c r="G19" s="23">
        <v>1516.0534094383854</v>
      </c>
      <c r="H19" s="23">
        <v>1548.2854811469342</v>
      </c>
      <c r="I19" s="23">
        <v>1619.2230408573344</v>
      </c>
      <c r="J19" s="23">
        <v>1843.4279127742557</v>
      </c>
      <c r="K19" s="23">
        <v>1761.8356275038479</v>
      </c>
      <c r="L19" s="23">
        <v>1467.6413718941612</v>
      </c>
      <c r="M19" s="23">
        <v>1842.5317264676346</v>
      </c>
      <c r="N19" s="23">
        <v>2048.8380829710727</v>
      </c>
      <c r="O19" s="23">
        <v>1245.2952832265707</v>
      </c>
      <c r="P19" s="23">
        <v>2369.9311196516592</v>
      </c>
      <c r="Q19" s="23">
        <v>1618.4922774677618</v>
      </c>
      <c r="R19" s="23">
        <v>1256.824971669929</v>
      </c>
      <c r="S19" s="23">
        <v>1478</v>
      </c>
      <c r="T19" s="23">
        <v>1059.0336438673553</v>
      </c>
      <c r="U19" s="23">
        <v>1112.5381579927036</v>
      </c>
      <c r="V19" s="23">
        <v>1341.6825289523777</v>
      </c>
      <c r="W19" s="23">
        <v>1704.2517309468726</v>
      </c>
      <c r="X19" s="23">
        <v>1519.3656855826312</v>
      </c>
      <c r="Y19" s="23">
        <v>1226.1787563730081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17947.962690230725</v>
      </c>
      <c r="E20" s="23">
        <v>20997.845464914863</v>
      </c>
      <c r="F20" s="23">
        <v>21944.829011261496</v>
      </c>
      <c r="G20" s="23">
        <v>21928.651513607176</v>
      </c>
      <c r="H20" s="23">
        <v>24347.685826517645</v>
      </c>
      <c r="I20" s="23">
        <v>25648.937465749263</v>
      </c>
      <c r="J20" s="23">
        <v>27499.698435887451</v>
      </c>
      <c r="K20" s="23">
        <v>29296.793983123913</v>
      </c>
      <c r="L20" s="23">
        <v>33263.263470267702</v>
      </c>
      <c r="M20" s="23">
        <v>30018.716333424632</v>
      </c>
      <c r="N20" s="23">
        <v>32168.625556807801</v>
      </c>
      <c r="O20" s="23">
        <v>37633.016365599731</v>
      </c>
      <c r="P20" s="23">
        <v>31557.526269282778</v>
      </c>
      <c r="Q20" s="23">
        <v>30195.101051267575</v>
      </c>
      <c r="R20" s="23">
        <v>33361.079633254369</v>
      </c>
      <c r="S20" s="23">
        <v>32391.299999999988</v>
      </c>
      <c r="T20" s="23">
        <v>32540.908432688138</v>
      </c>
      <c r="U20" s="23">
        <v>34370.486188668008</v>
      </c>
      <c r="V20" s="23">
        <v>34719.104121822369</v>
      </c>
      <c r="W20" s="23">
        <v>32617.05607674643</v>
      </c>
      <c r="X20" s="23">
        <v>29032.836564406971</v>
      </c>
      <c r="Y20" s="23">
        <v>30299.021137977128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2279.4216093185164</v>
      </c>
      <c r="E21" s="23">
        <v>2032.4447636348275</v>
      </c>
      <c r="F21" s="23">
        <v>2977.7869614629608</v>
      </c>
      <c r="G21" s="23">
        <v>2847.2123127102232</v>
      </c>
      <c r="H21" s="23">
        <v>2759.9294077461714</v>
      </c>
      <c r="I21" s="23">
        <v>2582.2017901723198</v>
      </c>
      <c r="J21" s="23">
        <v>2604.1736473174196</v>
      </c>
      <c r="K21" s="23">
        <v>2681.0684539728632</v>
      </c>
      <c r="L21" s="23">
        <v>3000.6307321663066</v>
      </c>
      <c r="M21" s="23">
        <v>4012.9416598192279</v>
      </c>
      <c r="N21" s="23">
        <v>5784.2537433585567</v>
      </c>
      <c r="O21" s="23">
        <v>7978.5706048247594</v>
      </c>
      <c r="P21" s="23">
        <v>4608.5956712906282</v>
      </c>
      <c r="Q21" s="23">
        <v>4440.1947875519882</v>
      </c>
      <c r="R21" s="23">
        <v>4644.7924178427938</v>
      </c>
      <c r="S21" s="23">
        <v>4660</v>
      </c>
      <c r="T21" s="23">
        <v>3980.112950716803</v>
      </c>
      <c r="U21" s="23">
        <v>4258.2458491549396</v>
      </c>
      <c r="V21" s="23">
        <v>4593.7772401401817</v>
      </c>
      <c r="W21" s="23">
        <v>4629.6155052161457</v>
      </c>
      <c r="X21" s="23">
        <v>4519.3241728589819</v>
      </c>
      <c r="Y21" s="23">
        <v>4752.643247612873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600.92828134065246</v>
      </c>
      <c r="E22" s="23">
        <v>621.43551180769725</v>
      </c>
      <c r="F22" s="23">
        <v>576.71247029651829</v>
      </c>
      <c r="G22" s="23">
        <v>521.65936194067888</v>
      </c>
      <c r="H22" s="23">
        <v>520.90251816991474</v>
      </c>
      <c r="I22" s="23">
        <v>596.1152042866712</v>
      </c>
      <c r="J22" s="23">
        <v>639.85203254211842</v>
      </c>
      <c r="K22" s="23">
        <v>678.5359517078017</v>
      </c>
      <c r="L22" s="23">
        <v>798.23808588297334</v>
      </c>
      <c r="M22" s="23">
        <v>906.94330320460153</v>
      </c>
      <c r="N22" s="23">
        <v>1763.0011270326838</v>
      </c>
      <c r="O22" s="23">
        <v>1976.3479865384818</v>
      </c>
      <c r="P22" s="23">
        <v>1326.5056264704942</v>
      </c>
      <c r="Q22" s="23">
        <v>1389.8468033523523</v>
      </c>
      <c r="R22" s="23">
        <v>1357.2679509632226</v>
      </c>
      <c r="S22" s="23">
        <v>1366</v>
      </c>
      <c r="T22" s="23">
        <v>1353.9605155186562</v>
      </c>
      <c r="U22" s="23">
        <v>1296.5341374432285</v>
      </c>
      <c r="V22" s="23">
        <v>1419.6893956913882</v>
      </c>
      <c r="W22" s="23">
        <v>1494.8431766370902</v>
      </c>
      <c r="X22" s="23">
        <v>1533.396986176263</v>
      </c>
      <c r="Y22" s="23">
        <v>1753.6277122801962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4728.433078948543</v>
      </c>
      <c r="E23" s="23">
        <v>5431.9631616746228</v>
      </c>
      <c r="F23" s="23">
        <v>6208.9058787064778</v>
      </c>
      <c r="G23" s="23">
        <v>6576.4957700540208</v>
      </c>
      <c r="H23" s="23">
        <v>7312.5604873142684</v>
      </c>
      <c r="I23" s="23">
        <v>8465.8710345247528</v>
      </c>
      <c r="J23" s="23">
        <v>10382.517323182909</v>
      </c>
      <c r="K23" s="23">
        <v>13344.540383586766</v>
      </c>
      <c r="L23" s="23">
        <v>17209.889053177962</v>
      </c>
      <c r="M23" s="23">
        <v>15269.674974892725</v>
      </c>
      <c r="N23" s="23">
        <v>10991.466752535824</v>
      </c>
      <c r="O23" s="23">
        <v>9565.2265078682794</v>
      </c>
      <c r="P23" s="23">
        <v>11196.516591966443</v>
      </c>
      <c r="Q23" s="23">
        <v>10262.60789600184</v>
      </c>
      <c r="R23" s="23">
        <v>9887.0917894303093</v>
      </c>
      <c r="S23" s="23">
        <v>9492.7000000000007</v>
      </c>
      <c r="T23" s="23">
        <v>9772.2643239851332</v>
      </c>
      <c r="U23" s="23">
        <v>9461.9723028813951</v>
      </c>
      <c r="V23" s="23">
        <v>10932.524505007737</v>
      </c>
      <c r="W23" s="23">
        <v>11973.999779659151</v>
      </c>
      <c r="X23" s="23">
        <v>11993.773091452531</v>
      </c>
      <c r="Y23" s="23">
        <v>12342.78579489519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9494.3544428080531</v>
      </c>
      <c r="E24" s="23">
        <v>8520.130117020828</v>
      </c>
      <c r="F24" s="23">
        <v>8431.2428969934899</v>
      </c>
      <c r="G24" s="23">
        <v>9403.3228009377235</v>
      </c>
      <c r="H24" s="23">
        <v>10352.202212649676</v>
      </c>
      <c r="I24" s="23">
        <v>11691.377945564149</v>
      </c>
      <c r="J24" s="23">
        <v>13156.505072978514</v>
      </c>
      <c r="K24" s="23">
        <v>14171.424205045356</v>
      </c>
      <c r="L24" s="23">
        <v>14623.059981595034</v>
      </c>
      <c r="M24" s="23">
        <v>12111.750205423172</v>
      </c>
      <c r="N24" s="23">
        <v>6511.3508291740445</v>
      </c>
      <c r="O24" s="23">
        <v>6168.080265875471</v>
      </c>
      <c r="P24" s="23">
        <v>12937.262458613237</v>
      </c>
      <c r="Q24" s="23">
        <v>8958.97339436119</v>
      </c>
      <c r="R24" s="23">
        <v>10658.287833522201</v>
      </c>
      <c r="S24" s="23">
        <v>12829.199999999997</v>
      </c>
      <c r="T24" s="23">
        <v>14697.012115653812</v>
      </c>
      <c r="U24" s="23">
        <v>16538.697788697791</v>
      </c>
      <c r="V24" s="23">
        <v>17922.544607119347</v>
      </c>
      <c r="W24" s="23">
        <v>18018.034051136026</v>
      </c>
      <c r="X24" s="23">
        <v>20202.249989621825</v>
      </c>
      <c r="Y24" s="23">
        <v>24732.313652043762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5189.0034364261164</v>
      </c>
      <c r="E25" s="23">
        <v>5901.3138439440663</v>
      </c>
      <c r="F25" s="23">
        <v>6312.0157041016628</v>
      </c>
      <c r="G25" s="23">
        <v>7122.41361736826</v>
      </c>
      <c r="H25" s="23">
        <v>7852.2496536804738</v>
      </c>
      <c r="I25" s="23">
        <v>8790.2636546307021</v>
      </c>
      <c r="J25" s="23">
        <v>9400.4905442897161</v>
      </c>
      <c r="K25" s="23">
        <v>11098.909495791899</v>
      </c>
      <c r="L25" s="23">
        <v>10666.508121969126</v>
      </c>
      <c r="M25" s="23">
        <v>11974.801424267325</v>
      </c>
      <c r="N25" s="23">
        <v>8425.5890087479202</v>
      </c>
      <c r="O25" s="23">
        <v>6426.1975404422174</v>
      </c>
      <c r="P25" s="23">
        <v>9255.410886714717</v>
      </c>
      <c r="Q25" s="23">
        <v>9908.8762095847196</v>
      </c>
      <c r="R25" s="23">
        <v>9515.5042752652735</v>
      </c>
      <c r="S25" s="23">
        <v>10337.200000000001</v>
      </c>
      <c r="T25" s="23">
        <v>10248.105420669017</v>
      </c>
      <c r="U25" s="23">
        <v>10971.725858089496</v>
      </c>
      <c r="V25" s="23">
        <v>10964.90135733727</v>
      </c>
      <c r="W25" s="23">
        <v>11152.043661386961</v>
      </c>
      <c r="X25" s="23">
        <v>10896.591805388352</v>
      </c>
      <c r="Y25" s="23">
        <v>11369.606454246405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1912.7951086713974</v>
      </c>
      <c r="E26" s="23">
        <v>1657.935870896878</v>
      </c>
      <c r="F26" s="23">
        <v>1807.6247546234115</v>
      </c>
      <c r="G26" s="23">
        <v>1697.890123330955</v>
      </c>
      <c r="H26" s="23">
        <v>1788.7166252348329</v>
      </c>
      <c r="I26" s="23">
        <v>2148.3590087073007</v>
      </c>
      <c r="J26" s="23">
        <v>2530.4579753655626</v>
      </c>
      <c r="K26" s="23">
        <v>2039.8650787586373</v>
      </c>
      <c r="L26" s="23">
        <v>2029.0963986227293</v>
      </c>
      <c r="M26" s="23">
        <v>2153.5195836757052</v>
      </c>
      <c r="N26" s="23">
        <v>1618.9556163795417</v>
      </c>
      <c r="O26" s="23">
        <v>1115.7124435171886</v>
      </c>
      <c r="P26" s="23">
        <v>2016.7995656386072</v>
      </c>
      <c r="Q26" s="23">
        <v>2243.9233389763208</v>
      </c>
      <c r="R26" s="23">
        <v>1663.026681776038</v>
      </c>
      <c r="S26" s="23">
        <v>2330.1999999999998</v>
      </c>
      <c r="T26" s="23">
        <v>2751.2670753487478</v>
      </c>
      <c r="U26" s="23">
        <v>3010.4794877522154</v>
      </c>
      <c r="V26" s="23">
        <v>3254.051553911017</v>
      </c>
      <c r="W26" s="23">
        <v>4046.8987025313777</v>
      </c>
      <c r="X26" s="23">
        <v>2355.681016231475</v>
      </c>
      <c r="Y26" s="23">
        <v>2246.2602348308401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4437.0062926763958</v>
      </c>
      <c r="E27" s="23">
        <v>4438.7647332178612</v>
      </c>
      <c r="F27" s="23">
        <v>4498.3985948961663</v>
      </c>
      <c r="G27" s="23">
        <v>4583.6306186933034</v>
      </c>
      <c r="H27" s="23">
        <v>4906.9206975729176</v>
      </c>
      <c r="I27" s="23">
        <v>4822.352797905377</v>
      </c>
      <c r="J27" s="23">
        <v>5358.7272654166272</v>
      </c>
      <c r="K27" s="23">
        <v>6381.6873887936781</v>
      </c>
      <c r="L27" s="23">
        <v>6571.7121793347333</v>
      </c>
      <c r="M27" s="23">
        <v>5806.6283210079437</v>
      </c>
      <c r="N27" s="23">
        <v>5571.083561423281</v>
      </c>
      <c r="O27" s="23">
        <v>5760.7749808666122</v>
      </c>
      <c r="P27" s="23">
        <v>6332.9465245765514</v>
      </c>
      <c r="Q27" s="23">
        <v>7670.9093569084789</v>
      </c>
      <c r="R27" s="23">
        <v>7544.3494385495005</v>
      </c>
      <c r="S27" s="23">
        <v>8081.3</v>
      </c>
      <c r="T27" s="23">
        <v>8390.8867113964388</v>
      </c>
      <c r="U27" s="23">
        <v>9622.1428039609855</v>
      </c>
      <c r="V27" s="23">
        <v>9871.2931172504577</v>
      </c>
      <c r="W27" s="23">
        <v>10953.567403113586</v>
      </c>
      <c r="X27" s="23">
        <v>11639.669558719748</v>
      </c>
      <c r="Y27" s="23">
        <v>12434.429050511841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3672.2899094033114</v>
      </c>
      <c r="E28" s="23">
        <v>3356.4276963372904</v>
      </c>
      <c r="F28" s="23">
        <v>2597.5823948755033</v>
      </c>
      <c r="G28" s="23">
        <v>2051.3709102028338</v>
      </c>
      <c r="H28" s="23">
        <v>2628.2331062489325</v>
      </c>
      <c r="I28" s="23">
        <v>2483.1029653534679</v>
      </c>
      <c r="J28" s="23">
        <v>2387.9856857567916</v>
      </c>
      <c r="K28" s="23">
        <v>2647.3381436321756</v>
      </c>
      <c r="L28" s="23">
        <v>3169.1706389006649</v>
      </c>
      <c r="M28" s="23">
        <v>2885.853190906601</v>
      </c>
      <c r="N28" s="23">
        <v>3148.1779638276175</v>
      </c>
      <c r="O28" s="23">
        <v>3826.4680288940381</v>
      </c>
      <c r="P28" s="23">
        <v>3965.4640108164504</v>
      </c>
      <c r="Q28" s="23">
        <v>5554.7892239847843</v>
      </c>
      <c r="R28" s="23">
        <v>5058.9265478520656</v>
      </c>
      <c r="S28" s="23">
        <v>4877.2</v>
      </c>
      <c r="T28" s="23">
        <v>5283.1973741371821</v>
      </c>
      <c r="U28" s="23">
        <v>4274.7189338098433</v>
      </c>
      <c r="V28" s="23">
        <v>4667.8704214327645</v>
      </c>
      <c r="W28" s="23">
        <v>4402.6644293595718</v>
      </c>
      <c r="X28" s="23">
        <v>5305.7412096807675</v>
      </c>
      <c r="Y28" s="23">
        <v>5352.2862791237467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6637.6578747712765</v>
      </c>
      <c r="E29" s="23">
        <v>6665.751341303705</v>
      </c>
      <c r="F29" s="23">
        <v>7717.1195371422664</v>
      </c>
      <c r="G29" s="23">
        <v>7119.1519722760167</v>
      </c>
      <c r="H29" s="23">
        <v>7555.8380932500895</v>
      </c>
      <c r="I29" s="23">
        <v>9095.7803081044894</v>
      </c>
      <c r="J29" s="23">
        <v>9208.1596547425979</v>
      </c>
      <c r="K29" s="23">
        <v>11616.216747262824</v>
      </c>
      <c r="L29" s="23">
        <v>10064.520798651683</v>
      </c>
      <c r="M29" s="23">
        <v>11422.555464256369</v>
      </c>
      <c r="N29" s="23">
        <v>11931.626683840497</v>
      </c>
      <c r="O29" s="23">
        <v>11773.376807187864</v>
      </c>
      <c r="P29" s="23">
        <v>12234.831951113052</v>
      </c>
      <c r="Q29" s="23">
        <v>12112.462641335924</v>
      </c>
      <c r="R29" s="23">
        <v>12799.73215205522</v>
      </c>
      <c r="S29" s="23">
        <v>13739.5</v>
      </c>
      <c r="T29" s="23">
        <v>13531.109716657818</v>
      </c>
      <c r="U29" s="23">
        <v>14343.496388950934</v>
      </c>
      <c r="V29" s="23">
        <v>14035.009695266219</v>
      </c>
      <c r="W29" s="23">
        <v>15070.720938313038</v>
      </c>
      <c r="X29" s="23">
        <v>14152.517746689362</v>
      </c>
      <c r="Y29" s="23">
        <v>14853.891036569259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1548.623198107734</v>
      </c>
      <c r="E30" s="23">
        <v>1410.5867939673021</v>
      </c>
      <c r="F30" s="23">
        <v>1942.5560491786339</v>
      </c>
      <c r="G30" s="23">
        <v>2160.228315156457</v>
      </c>
      <c r="H30" s="23">
        <v>2198.7968954589442</v>
      </c>
      <c r="I30" s="23">
        <v>2345.0344029714424</v>
      </c>
      <c r="J30" s="23">
        <v>3163.3405261958687</v>
      </c>
      <c r="K30" s="23">
        <v>3437.9809844010961</v>
      </c>
      <c r="L30" s="23">
        <v>4283.7053963789767</v>
      </c>
      <c r="M30" s="23">
        <v>4257.5093581667124</v>
      </c>
      <c r="N30" s="23">
        <v>3773.7347716417107</v>
      </c>
      <c r="O30" s="23">
        <v>4848.8724405816547</v>
      </c>
      <c r="P30" s="23">
        <v>5133.2360988385099</v>
      </c>
      <c r="Q30" s="23">
        <v>6680.7741342194913</v>
      </c>
      <c r="R30" s="23">
        <v>6583.0843721026067</v>
      </c>
      <c r="S30" s="23">
        <v>7959.8</v>
      </c>
      <c r="T30" s="23">
        <v>7762.5138774919151</v>
      </c>
      <c r="U30" s="23">
        <v>8767.0314943042213</v>
      </c>
      <c r="V30" s="23">
        <v>8617.7574582391971</v>
      </c>
      <c r="W30" s="23">
        <v>9700.1669505673781</v>
      </c>
      <c r="X30" s="23">
        <v>9014.6539914483783</v>
      </c>
      <c r="Y30" s="23">
        <v>9013.1341993420901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662.06988887401258</v>
      </c>
      <c r="E31" s="23">
        <v>744.37074901778544</v>
      </c>
      <c r="F31" s="23">
        <v>1025.5191652030169</v>
      </c>
      <c r="G31" s="23">
        <v>1128.5292019162166</v>
      </c>
      <c r="H31" s="23">
        <v>1103.4783763781618</v>
      </c>
      <c r="I31" s="23">
        <v>1275.1933264324425</v>
      </c>
      <c r="J31" s="23">
        <v>1585.1550039538406</v>
      </c>
      <c r="K31" s="23">
        <v>1791.8545121112556</v>
      </c>
      <c r="L31" s="23">
        <v>1793.5541240577793</v>
      </c>
      <c r="M31" s="23">
        <v>1985.6432027754954</v>
      </c>
      <c r="N31" s="23">
        <v>2802.447270970858</v>
      </c>
      <c r="O31" s="23">
        <v>2562.6159797867549</v>
      </c>
      <c r="P31" s="23">
        <v>2256.6564818856391</v>
      </c>
      <c r="Q31" s="23">
        <v>2791.8155788241688</v>
      </c>
      <c r="R31" s="23">
        <v>3062.4291748222936</v>
      </c>
      <c r="S31" s="23">
        <v>3356.3</v>
      </c>
      <c r="T31" s="23">
        <v>3334.1700053096492</v>
      </c>
      <c r="U31" s="23">
        <v>4387.8899560717746</v>
      </c>
      <c r="V31" s="23">
        <v>4602.6719797911519</v>
      </c>
      <c r="W31" s="23">
        <v>4951.4826396833878</v>
      </c>
      <c r="X31" s="23">
        <v>4371.2067748765003</v>
      </c>
      <c r="Y31" s="23">
        <v>4697.1770675758953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4267.1932878118441</v>
      </c>
      <c r="E32" s="23">
        <v>3689.9581766718766</v>
      </c>
      <c r="F32" s="23">
        <v>4004.1326583324712</v>
      </c>
      <c r="G32" s="23">
        <v>5927.4283966975836</v>
      </c>
      <c r="H32" s="23">
        <v>6003.567565516063</v>
      </c>
      <c r="I32" s="23">
        <v>7369.6949400231388</v>
      </c>
      <c r="J32" s="23">
        <v>7894.8144375494239</v>
      </c>
      <c r="K32" s="23">
        <v>6279.4048619677105</v>
      </c>
      <c r="L32" s="23">
        <v>5877.1830053870744</v>
      </c>
      <c r="M32" s="23">
        <v>5059.9150917556835</v>
      </c>
      <c r="N32" s="23">
        <v>5440.4551065314217</v>
      </c>
      <c r="O32" s="23">
        <v>5428.6403237474187</v>
      </c>
      <c r="P32" s="23">
        <v>5946.0667937102789</v>
      </c>
      <c r="Q32" s="23">
        <v>6472.9241122745407</v>
      </c>
      <c r="R32" s="23">
        <v>5837.5399196456156</v>
      </c>
      <c r="S32" s="23">
        <v>6367.6</v>
      </c>
      <c r="T32" s="23">
        <v>7856.8325529758158</v>
      </c>
      <c r="U32" s="23">
        <v>8829.6664433028091</v>
      </c>
      <c r="V32" s="23">
        <v>10123.192144165943</v>
      </c>
      <c r="W32" s="23">
        <v>10368.816684887157</v>
      </c>
      <c r="X32" s="23">
        <v>10763.335962472496</v>
      </c>
      <c r="Y32" s="23">
        <v>10594.280500396188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2479.5822733967066</v>
      </c>
      <c r="E33" s="23">
        <v>2848.633348823455</v>
      </c>
      <c r="F33" s="23">
        <v>2928.401694389916</v>
      </c>
      <c r="G33" s="23">
        <v>2288.0440322087456</v>
      </c>
      <c r="H33" s="23">
        <v>3092.965443953166</v>
      </c>
      <c r="I33" s="23">
        <v>3131.1270778785852</v>
      </c>
      <c r="J33" s="23">
        <v>3153.5564461004406</v>
      </c>
      <c r="K33" s="23">
        <v>3168.2476612559904</v>
      </c>
      <c r="L33" s="23">
        <v>4249.583820168953</v>
      </c>
      <c r="M33" s="23">
        <v>4701.6799050488453</v>
      </c>
      <c r="N33" s="23">
        <v>5398.9159018944874</v>
      </c>
      <c r="O33" s="23">
        <v>5022.8028055313835</v>
      </c>
      <c r="P33" s="23">
        <v>5061.0554556003872</v>
      </c>
      <c r="Q33" s="23">
        <v>5831.1910882604971</v>
      </c>
      <c r="R33" s="23">
        <v>5229.937158751417</v>
      </c>
      <c r="S33" s="23">
        <v>4986.7</v>
      </c>
      <c r="T33" s="23">
        <v>5324.8057151131925</v>
      </c>
      <c r="U33" s="23">
        <v>6061.5367433549254</v>
      </c>
      <c r="V33" s="23">
        <v>6465.1415153078469</v>
      </c>
      <c r="W33" s="23">
        <v>7670.5734794362679</v>
      </c>
      <c r="X33" s="23">
        <v>7213.0017850471186</v>
      </c>
      <c r="Y33" s="23">
        <v>5765.4412882880715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1766.6354264292409</v>
      </c>
      <c r="E34" s="23">
        <v>1922.1832622195936</v>
      </c>
      <c r="F34" s="23">
        <v>2577.7456348796363</v>
      </c>
      <c r="G34" s="23">
        <v>1404.7497706655795</v>
      </c>
      <c r="H34" s="23">
        <v>1846.0253904396834</v>
      </c>
      <c r="I34" s="23">
        <v>2029.0141874200817</v>
      </c>
      <c r="J34" s="23">
        <v>1932.2888045998577</v>
      </c>
      <c r="K34" s="23">
        <v>2814.0248228885812</v>
      </c>
      <c r="L34" s="23">
        <v>3974.8534323203708</v>
      </c>
      <c r="M34" s="23">
        <v>2956.4959371861592</v>
      </c>
      <c r="N34" s="23">
        <v>4891.8585305640527</v>
      </c>
      <c r="O34" s="23">
        <v>3717.2242433137981</v>
      </c>
      <c r="P34" s="23">
        <v>3912.5528313336386</v>
      </c>
      <c r="Q34" s="23">
        <v>3581.6247622630467</v>
      </c>
      <c r="R34" s="23">
        <v>6771.1960440918929</v>
      </c>
      <c r="S34" s="23">
        <v>4371.6000000000004</v>
      </c>
      <c r="T34" s="23">
        <v>5133.7548872906309</v>
      </c>
      <c r="U34" s="23">
        <v>6483.3221651403474</v>
      </c>
      <c r="V34" s="23">
        <v>7945.3151406258339</v>
      </c>
      <c r="W34" s="23">
        <v>8623.3781642217309</v>
      </c>
      <c r="X34" s="23">
        <v>9157.0426335671891</v>
      </c>
      <c r="Y34" s="23">
        <v>9217.0704572558243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1120.8550899272552</v>
      </c>
      <c r="E35" s="23">
        <v>838.36762282962263</v>
      </c>
      <c r="F35" s="23">
        <v>804.83521024899278</v>
      </c>
      <c r="G35" s="23">
        <v>849.86239934767082</v>
      </c>
      <c r="H35" s="23">
        <v>910.10873484259082</v>
      </c>
      <c r="I35" s="23">
        <v>1007.5808317603362</v>
      </c>
      <c r="J35" s="23">
        <v>1194.595971103457</v>
      </c>
      <c r="K35" s="23">
        <v>1096.398825442915</v>
      </c>
      <c r="L35" s="23">
        <v>1045.8780101951138</v>
      </c>
      <c r="M35" s="23">
        <v>2017.712042362823</v>
      </c>
      <c r="N35" s="23">
        <v>2144.3675199914132</v>
      </c>
      <c r="O35" s="23">
        <v>2753.8450247947744</v>
      </c>
      <c r="P35" s="23">
        <v>2043.8406915714727</v>
      </c>
      <c r="Q35" s="23">
        <v>2178.1929901561225</v>
      </c>
      <c r="R35" s="23">
        <v>2373.2358092098484</v>
      </c>
      <c r="S35" s="23">
        <v>2582.9000000000005</v>
      </c>
      <c r="T35" s="23">
        <v>2757.2524979485452</v>
      </c>
      <c r="U35" s="23">
        <v>2881.7660635842458</v>
      </c>
      <c r="V35" s="23">
        <v>3302.8836745948452</v>
      </c>
      <c r="W35" s="23">
        <v>3671.3022991720268</v>
      </c>
      <c r="X35" s="23">
        <v>2433.5588857984972</v>
      </c>
      <c r="Y35" s="23">
        <v>2662.9369062197352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1362.5206408711563</v>
      </c>
      <c r="E36" s="23">
        <v>1141.692366186473</v>
      </c>
      <c r="F36" s="23">
        <v>1288.7695009815063</v>
      </c>
      <c r="G36" s="23">
        <v>1415.3501172153706</v>
      </c>
      <c r="H36" s="23">
        <v>1525.1342581171602</v>
      </c>
      <c r="I36" s="23">
        <v>1612.5251172136639</v>
      </c>
      <c r="J36" s="23">
        <v>1906.5553336639368</v>
      </c>
      <c r="K36" s="23">
        <v>2207.4250346581671</v>
      </c>
      <c r="L36" s="23">
        <v>2325.1269219236297</v>
      </c>
      <c r="M36" s="23">
        <v>1799.8493563407287</v>
      </c>
      <c r="N36" s="23">
        <v>1658.3480920946706</v>
      </c>
      <c r="O36" s="23">
        <v>2071.3334661312815</v>
      </c>
      <c r="P36" s="23">
        <v>2210.7717367003438</v>
      </c>
      <c r="Q36" s="23">
        <v>1516.0825130102201</v>
      </c>
      <c r="R36" s="23">
        <v>1852.9926856907389</v>
      </c>
      <c r="S36" s="23">
        <v>2495.1999999999998</v>
      </c>
      <c r="T36" s="23">
        <v>2044.3114350533381</v>
      </c>
      <c r="U36" s="23">
        <v>2554.0726677090315</v>
      </c>
      <c r="V36" s="23">
        <v>2636.4008325476311</v>
      </c>
      <c r="W36" s="23">
        <v>2424.3425791743998</v>
      </c>
      <c r="X36" s="23">
        <v>2286.8529204201091</v>
      </c>
      <c r="Y36" s="23">
        <v>2262.0276770635742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81796.98308564286</v>
      </c>
      <c r="E39" s="30">
        <f t="shared" ref="E39:S39" si="2">SUM(E18:E38)</f>
        <v>86510.286848886841</v>
      </c>
      <c r="F39" s="30">
        <f t="shared" si="2"/>
        <v>90882.942452732706</v>
      </c>
      <c r="G39" s="30">
        <f t="shared" si="2"/>
        <v>92955.254306390794</v>
      </c>
      <c r="H39" s="30">
        <f t="shared" si="2"/>
        <v>102816.85864470465</v>
      </c>
      <c r="I39" s="30">
        <f t="shared" si="2"/>
        <v>106947.87797600926</v>
      </c>
      <c r="J39" s="30">
        <f t="shared" si="2"/>
        <v>116032.48850705658</v>
      </c>
      <c r="K39" s="30">
        <f t="shared" si="2"/>
        <v>124178.41041819032</v>
      </c>
      <c r="L39" s="30">
        <f t="shared" si="2"/>
        <v>135965.5889073858</v>
      </c>
      <c r="M39" s="30">
        <f t="shared" si="2"/>
        <v>129925.02054231717</v>
      </c>
      <c r="N39" s="30">
        <f t="shared" si="2"/>
        <v>123203.13422422584</v>
      </c>
      <c r="O39" s="30">
        <f t="shared" si="2"/>
        <v>128517.13617730622</v>
      </c>
      <c r="P39" s="30">
        <f t="shared" si="2"/>
        <v>131100.38219544134</v>
      </c>
      <c r="Q39" s="30">
        <f t="shared" si="2"/>
        <v>131638.55623132069</v>
      </c>
      <c r="R39" s="30">
        <f t="shared" si="2"/>
        <v>137130.83341918205</v>
      </c>
      <c r="S39" s="30">
        <f t="shared" si="2"/>
        <v>140797</v>
      </c>
      <c r="T39" s="30">
        <f t="shared" ref="T39:Y39" si="3">SUM(T18:T38)</f>
        <v>144761.98291258383</v>
      </c>
      <c r="U39" s="30">
        <f t="shared" si="3"/>
        <v>156926.79249497436</v>
      </c>
      <c r="V39" s="30">
        <f t="shared" si="3"/>
        <v>165782.47024709589</v>
      </c>
      <c r="W39" s="30">
        <f t="shared" si="3"/>
        <v>171871.20229832464</v>
      </c>
      <c r="X39" s="30">
        <f t="shared" si="3"/>
        <v>166040.59944372947</v>
      </c>
      <c r="Y39" s="30">
        <f t="shared" si="3"/>
        <v>174785.05854763443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5509.8853036997361</v>
      </c>
      <c r="E41" s="19">
        <v>7028.8538718262853</v>
      </c>
      <c r="F41" s="19">
        <v>6582.2915590453558</v>
      </c>
      <c r="G41" s="19">
        <v>6614.820099887881</v>
      </c>
      <c r="H41" s="19">
        <v>7150.691690229045</v>
      </c>
      <c r="I41" s="19">
        <v>7394.0510260001229</v>
      </c>
      <c r="J41" s="19">
        <v>7652.6249480639581</v>
      </c>
      <c r="K41" s="19">
        <v>8242.8582344529477</v>
      </c>
      <c r="L41" s="19">
        <v>9978.9066619792593</v>
      </c>
      <c r="M41" s="19">
        <v>7764.7676435679723</v>
      </c>
      <c r="N41" s="19">
        <v>8439.0060645092035</v>
      </c>
      <c r="O41" s="19">
        <v>9334.7871213947965</v>
      </c>
      <c r="P41" s="19">
        <v>9023.1127103937997</v>
      </c>
      <c r="Q41" s="19">
        <v>7498.4847534850669</v>
      </c>
      <c r="R41" s="19">
        <v>7320.2843308952306</v>
      </c>
      <c r="S41" s="19">
        <v>7688.7</v>
      </c>
      <c r="T41" s="19">
        <v>6923.9754790751558</v>
      </c>
      <c r="U41" s="19">
        <v>7925.7873576055399</v>
      </c>
      <c r="V41" s="19">
        <v>8862.896483019942</v>
      </c>
      <c r="W41" s="19">
        <v>8545.1571623488344</v>
      </c>
      <c r="X41" s="19">
        <v>7972.9337041803319</v>
      </c>
      <c r="Y41" s="19">
        <v>6432.3960909549305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2074.1286205203733</v>
      </c>
      <c r="E42" s="23">
        <v>2566.4314984580287</v>
      </c>
      <c r="F42" s="23">
        <v>2780.0392602541583</v>
      </c>
      <c r="G42" s="23">
        <v>2835.5927020691061</v>
      </c>
      <c r="H42" s="23">
        <v>2957.0943317456399</v>
      </c>
      <c r="I42" s="23">
        <v>2766.851366985326</v>
      </c>
      <c r="J42" s="23">
        <v>2734.3153154360616</v>
      </c>
      <c r="K42" s="23">
        <v>2788.1540023360149</v>
      </c>
      <c r="L42" s="23">
        <v>3002.5953077662775</v>
      </c>
      <c r="M42" s="23">
        <v>2361.6817310325941</v>
      </c>
      <c r="N42" s="23">
        <v>3437.771695379166</v>
      </c>
      <c r="O42" s="23">
        <v>4379.816109788957</v>
      </c>
      <c r="P42" s="23">
        <v>3274.6377660197381</v>
      </c>
      <c r="Q42" s="23">
        <v>3198.1106443455178</v>
      </c>
      <c r="R42" s="23">
        <v>3044.8130215308543</v>
      </c>
      <c r="S42" s="23">
        <v>3039.1</v>
      </c>
      <c r="T42" s="23">
        <v>2954.9645218902351</v>
      </c>
      <c r="U42" s="23">
        <v>2976.1372943191127</v>
      </c>
      <c r="V42" s="23">
        <v>2823.5461548040489</v>
      </c>
      <c r="W42" s="23">
        <v>2709.5144874109105</v>
      </c>
      <c r="X42" s="23">
        <v>2327.5353895969115</v>
      </c>
      <c r="Y42" s="23">
        <v>2249.3817081662546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1236.6671129557728</v>
      </c>
      <c r="E43" s="23">
        <v>1480.5035697689157</v>
      </c>
      <c r="F43" s="23">
        <v>1684.8848021489823</v>
      </c>
      <c r="G43" s="23">
        <v>1625.5223728468047</v>
      </c>
      <c r="H43" s="23">
        <v>1800.2922367497199</v>
      </c>
      <c r="I43" s="23">
        <v>1804.4815198197655</v>
      </c>
      <c r="J43" s="23">
        <v>1879.8836632668103</v>
      </c>
      <c r="K43" s="23">
        <v>2075.451101965964</v>
      </c>
      <c r="L43" s="23">
        <v>2310.1341081343767</v>
      </c>
      <c r="M43" s="23">
        <v>2312.266045832192</v>
      </c>
      <c r="N43" s="23">
        <v>2670.2087693876451</v>
      </c>
      <c r="O43" s="23">
        <v>2580.8582242118614</v>
      </c>
      <c r="P43" s="23">
        <v>1764.4866976823414</v>
      </c>
      <c r="Q43" s="23">
        <v>1753.8194662152277</v>
      </c>
      <c r="R43" s="23">
        <v>1550.4275265272486</v>
      </c>
      <c r="S43" s="23">
        <v>1652.2</v>
      </c>
      <c r="T43" s="23">
        <v>1562.2918376212774</v>
      </c>
      <c r="U43" s="23">
        <v>1778.9070061797336</v>
      </c>
      <c r="V43" s="23">
        <v>1817.1063632967462</v>
      </c>
      <c r="W43" s="23">
        <v>1728.404478004051</v>
      </c>
      <c r="X43" s="23">
        <v>1649.5495869483998</v>
      </c>
      <c r="Y43" s="23">
        <v>1848.7125923435863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790.6011514258937</v>
      </c>
      <c r="E44" s="23">
        <v>719.65696421781934</v>
      </c>
      <c r="F44" s="23">
        <v>1168.9224093398079</v>
      </c>
      <c r="G44" s="23">
        <v>862.70512689837938</v>
      </c>
      <c r="H44" s="23">
        <v>1026.0546141146556</v>
      </c>
      <c r="I44" s="23">
        <v>1519.210862814346</v>
      </c>
      <c r="J44" s="23">
        <v>1427.6715229657825</v>
      </c>
      <c r="K44" s="23">
        <v>1063.2143130041809</v>
      </c>
      <c r="L44" s="23">
        <v>1158.8928065513428</v>
      </c>
      <c r="M44" s="23">
        <v>1185.6340728567518</v>
      </c>
      <c r="N44" s="23">
        <v>373.74550528631994</v>
      </c>
      <c r="O44" s="23">
        <v>2754.3692272207836</v>
      </c>
      <c r="P44" s="23">
        <v>973.0546890802824</v>
      </c>
      <c r="Q44" s="23">
        <v>2401.4044767697033</v>
      </c>
      <c r="R44" s="23">
        <v>5100.4429792932942</v>
      </c>
      <c r="S44" s="23">
        <v>2740.2</v>
      </c>
      <c r="T44" s="23">
        <v>3145.7257324902257</v>
      </c>
      <c r="U44" s="23">
        <v>2069.9315017496838</v>
      </c>
      <c r="V44" s="23">
        <v>1858.3779552772492</v>
      </c>
      <c r="W44" s="23">
        <v>896.87200738989316</v>
      </c>
      <c r="X44" s="23">
        <v>463.19897048445353</v>
      </c>
      <c r="Y44" s="23">
        <v>1446.6828342977885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614.76324362922298</v>
      </c>
      <c r="E45" s="23">
        <v>740.14617041950066</v>
      </c>
      <c r="F45" s="23">
        <v>716.39632193408409</v>
      </c>
      <c r="G45" s="23">
        <v>739.98573030272144</v>
      </c>
      <c r="H45" s="23">
        <v>824.14558703531509</v>
      </c>
      <c r="I45" s="23">
        <v>757.3220483468308</v>
      </c>
      <c r="J45" s="23">
        <v>836.20377692297382</v>
      </c>
      <c r="K45" s="23">
        <v>881.3544520734863</v>
      </c>
      <c r="L45" s="23">
        <v>1080.1029851209248</v>
      </c>
      <c r="M45" s="23">
        <v>832.53446544325755</v>
      </c>
      <c r="N45" s="23">
        <v>373.20882305586861</v>
      </c>
      <c r="O45" s="23">
        <v>621.49439627606591</v>
      </c>
      <c r="P45" s="23">
        <v>1065.5694073309132</v>
      </c>
      <c r="Q45" s="23">
        <v>766.19223775785315</v>
      </c>
      <c r="R45" s="23">
        <v>974.03935304419497</v>
      </c>
      <c r="S45" s="23">
        <v>1164.2</v>
      </c>
      <c r="T45" s="23">
        <v>810.05937153062712</v>
      </c>
      <c r="U45" s="23">
        <v>980.93961730325373</v>
      </c>
      <c r="V45" s="23">
        <v>931.7239784391511</v>
      </c>
      <c r="W45" s="23">
        <v>847.63430198561014</v>
      </c>
      <c r="X45" s="23">
        <v>865.5402880983022</v>
      </c>
      <c r="Y45" s="23">
        <v>942.60490951729219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270.45119828624985</v>
      </c>
      <c r="E46" s="23">
        <v>252.20734231760383</v>
      </c>
      <c r="F46" s="23">
        <v>272.7554499431759</v>
      </c>
      <c r="G46" s="23">
        <v>261.33931301600239</v>
      </c>
      <c r="H46" s="23">
        <v>280.85090232840577</v>
      </c>
      <c r="I46" s="23">
        <v>280.70389088473485</v>
      </c>
      <c r="J46" s="23">
        <v>326.22535551058155</v>
      </c>
      <c r="K46" s="23">
        <v>265.03946118831118</v>
      </c>
      <c r="L46" s="23">
        <v>276.0745711538263</v>
      </c>
      <c r="M46" s="23">
        <v>421.45987400712136</v>
      </c>
      <c r="N46" s="23">
        <v>73.954811356196004</v>
      </c>
      <c r="O46" s="23">
        <v>361.90935491649458</v>
      </c>
      <c r="P46" s="23">
        <v>286.27396706092765</v>
      </c>
      <c r="Q46" s="23">
        <v>283.92584697055196</v>
      </c>
      <c r="R46" s="23">
        <v>351.60193674667767</v>
      </c>
      <c r="S46" s="23">
        <v>273.2</v>
      </c>
      <c r="T46" s="23">
        <v>269.53709513925764</v>
      </c>
      <c r="U46" s="23">
        <v>335.69726751544937</v>
      </c>
      <c r="V46" s="23">
        <v>239.62428619714296</v>
      </c>
      <c r="W46" s="23">
        <v>249.49363977660826</v>
      </c>
      <c r="X46" s="23">
        <v>276.2256631657603</v>
      </c>
      <c r="Y46" s="23">
        <v>242.75458016183637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1386.8433971526756</v>
      </c>
      <c r="E47" s="23">
        <v>1537.9578387055892</v>
      </c>
      <c r="F47" s="23">
        <v>1642.9383200743878</v>
      </c>
      <c r="G47" s="23">
        <v>1703.598002242381</v>
      </c>
      <c r="H47" s="23">
        <v>1961.2122132189688</v>
      </c>
      <c r="I47" s="23">
        <v>1996.1334713511542</v>
      </c>
      <c r="J47" s="23">
        <v>2337.0548578627813</v>
      </c>
      <c r="K47" s="23">
        <v>2755.5152877992341</v>
      </c>
      <c r="L47" s="23">
        <v>3250.7522256573575</v>
      </c>
      <c r="M47" s="23">
        <v>2599.6302382908793</v>
      </c>
      <c r="N47" s="23">
        <v>1203.3488971180161</v>
      </c>
      <c r="O47" s="23">
        <v>1230.6176152983237</v>
      </c>
      <c r="P47" s="23">
        <v>2114.7438013009551</v>
      </c>
      <c r="Q47" s="23">
        <v>2320.5216628001754</v>
      </c>
      <c r="R47" s="23">
        <v>2321.7265890594417</v>
      </c>
      <c r="S47" s="23">
        <v>2475.6</v>
      </c>
      <c r="T47" s="23">
        <v>2680.1177776705122</v>
      </c>
      <c r="U47" s="23">
        <v>2730.0647755193213</v>
      </c>
      <c r="V47" s="23">
        <v>2794.6382509383948</v>
      </c>
      <c r="W47" s="23">
        <v>2825.956152170781</v>
      </c>
      <c r="X47" s="23">
        <v>2360.2474158329528</v>
      </c>
      <c r="Y47" s="23">
        <v>3201.4310754676208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1649.7076806355158</v>
      </c>
      <c r="E48" s="23">
        <v>1816.3575683325589</v>
      </c>
      <c r="F48" s="23">
        <v>1859.4896166959395</v>
      </c>
      <c r="G48" s="23">
        <v>1823.0557537457955</v>
      </c>
      <c r="H48" s="23">
        <v>2187.9803404368367</v>
      </c>
      <c r="I48" s="23">
        <v>2246.8489313767282</v>
      </c>
      <c r="J48" s="23">
        <v>2488.6410850946909</v>
      </c>
      <c r="K48" s="23">
        <v>2824.8316213472481</v>
      </c>
      <c r="L48" s="23">
        <v>3028.8585815764172</v>
      </c>
      <c r="M48" s="23">
        <v>2426.3900301287322</v>
      </c>
      <c r="N48" s="23">
        <v>2718.5101701282665</v>
      </c>
      <c r="O48" s="23">
        <v>2502.9617437069501</v>
      </c>
      <c r="P48" s="23">
        <v>3322.6517337194323</v>
      </c>
      <c r="Q48" s="23">
        <v>2979.0791481179594</v>
      </c>
      <c r="R48" s="23">
        <v>2838.1580302874218</v>
      </c>
      <c r="S48" s="23">
        <v>2736.7</v>
      </c>
      <c r="T48" s="23">
        <v>2585.9921803349907</v>
      </c>
      <c r="U48" s="23">
        <v>3050.5919142282783</v>
      </c>
      <c r="V48" s="23">
        <v>3081.0488676996424</v>
      </c>
      <c r="W48" s="23">
        <v>2834.1765608183123</v>
      </c>
      <c r="X48" s="23">
        <v>2015.6087840923242</v>
      </c>
      <c r="Y48" s="23">
        <v>3341.0969977829532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700.67389655018519</v>
      </c>
      <c r="E49" s="23">
        <v>587.42765409150445</v>
      </c>
      <c r="F49" s="23">
        <v>620.51864862072523</v>
      </c>
      <c r="G49" s="23">
        <v>684.94546937111409</v>
      </c>
      <c r="H49" s="23">
        <v>770.82186841755697</v>
      </c>
      <c r="I49" s="23">
        <v>778.4813980393352</v>
      </c>
      <c r="J49" s="23">
        <v>909.38333489699903</v>
      </c>
      <c r="K49" s="23">
        <v>1173.0288508770971</v>
      </c>
      <c r="L49" s="23">
        <v>1343.6663116644092</v>
      </c>
      <c r="M49" s="23">
        <v>1290.0575184880856</v>
      </c>
      <c r="N49" s="23">
        <v>2468.0942413996672</v>
      </c>
      <c r="O49" s="23">
        <v>2399.2745038424041</v>
      </c>
      <c r="P49" s="23">
        <v>670.91801428708322</v>
      </c>
      <c r="Q49" s="23">
        <v>1027.8596359228372</v>
      </c>
      <c r="R49" s="23">
        <v>917.89430308025146</v>
      </c>
      <c r="S49" s="23">
        <v>775.8</v>
      </c>
      <c r="T49" s="23">
        <v>843.26881305208292</v>
      </c>
      <c r="U49" s="23">
        <v>781.30816767180409</v>
      </c>
      <c r="V49" s="23">
        <v>890.0076494760998</v>
      </c>
      <c r="W49" s="23">
        <v>838.39693556725058</v>
      </c>
      <c r="X49" s="23">
        <v>907.21906264270001</v>
      </c>
      <c r="Y49" s="23">
        <v>883.29691614442004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529.29887981434376</v>
      </c>
      <c r="E50" s="23">
        <v>647.62789911706318</v>
      </c>
      <c r="F50" s="23">
        <v>765.57495609050511</v>
      </c>
      <c r="G50" s="23">
        <v>728.36611966160433</v>
      </c>
      <c r="H50" s="23">
        <v>775.37620737423379</v>
      </c>
      <c r="I50" s="23">
        <v>1088.4125920964502</v>
      </c>
      <c r="J50" s="23">
        <v>1377.9469515218932</v>
      </c>
      <c r="K50" s="23">
        <v>1444.6178868888428</v>
      </c>
      <c r="L50" s="23">
        <v>1304.7883945281401</v>
      </c>
      <c r="M50" s="23">
        <v>1216.561672601114</v>
      </c>
      <c r="N50" s="23">
        <v>2571.6739118767778</v>
      </c>
      <c r="O50" s="23">
        <v>2612.3103697723909</v>
      </c>
      <c r="P50" s="23">
        <v>2126.9868307587485</v>
      </c>
      <c r="Q50" s="23">
        <v>1258.6996049909085</v>
      </c>
      <c r="R50" s="23">
        <v>1485.0108169362318</v>
      </c>
      <c r="S50" s="23">
        <v>2087</v>
      </c>
      <c r="T50" s="23">
        <v>2035.5263793020226</v>
      </c>
      <c r="U50" s="23">
        <v>1902.0363338545158</v>
      </c>
      <c r="V50" s="23">
        <v>1789.0879333961896</v>
      </c>
      <c r="W50" s="23">
        <v>1927.5587081246451</v>
      </c>
      <c r="X50" s="23">
        <v>1975.25841670472</v>
      </c>
      <c r="Y50" s="23">
        <v>1884.649554589766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878.96639443031199</v>
      </c>
      <c r="E51" s="23">
        <v>996.15563347556088</v>
      </c>
      <c r="F51" s="23">
        <v>949.06498605227807</v>
      </c>
      <c r="G51" s="23">
        <v>906.73733564366523</v>
      </c>
      <c r="H51" s="23">
        <v>956.41118090213854</v>
      </c>
      <c r="I51" s="23">
        <v>962.5220727029166</v>
      </c>
      <c r="J51" s="23">
        <v>982.42886437656637</v>
      </c>
      <c r="K51" s="23">
        <v>1008.4162036481132</v>
      </c>
      <c r="L51" s="23">
        <v>1284.0052526547622</v>
      </c>
      <c r="M51" s="23">
        <v>1119.0997900118689</v>
      </c>
      <c r="N51" s="23">
        <v>1083.132077496914</v>
      </c>
      <c r="O51" s="23">
        <v>1195.3912122705303</v>
      </c>
      <c r="P51" s="23">
        <v>1421.0431061098041</v>
      </c>
      <c r="Q51" s="23">
        <v>1241.5616444082177</v>
      </c>
      <c r="R51" s="23">
        <v>1740.5995673225509</v>
      </c>
      <c r="S51" s="23">
        <v>1329.7</v>
      </c>
      <c r="T51" s="23">
        <v>1604.2863348940484</v>
      </c>
      <c r="U51" s="23">
        <v>1524.4583426401609</v>
      </c>
      <c r="V51" s="23">
        <v>1628.0041983171152</v>
      </c>
      <c r="W51" s="23">
        <v>1532.5553606386495</v>
      </c>
      <c r="X51" s="23">
        <v>1437.7516708871269</v>
      </c>
      <c r="Y51" s="23">
        <v>1654.5409433252491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965.10019190431558</v>
      </c>
      <c r="E52" s="23">
        <v>1275.8227366820161</v>
      </c>
      <c r="F52" s="23">
        <v>1488.5835313565451</v>
      </c>
      <c r="G52" s="23">
        <v>1714.4022016104373</v>
      </c>
      <c r="H52" s="23">
        <v>2116.4392659923715</v>
      </c>
      <c r="I52" s="23">
        <v>2540.7964440114474</v>
      </c>
      <c r="J52" s="23">
        <v>2960.8234710699494</v>
      </c>
      <c r="K52" s="23">
        <v>3015.2059295484069</v>
      </c>
      <c r="L52" s="23">
        <v>3626.5031588307675</v>
      </c>
      <c r="M52" s="23">
        <v>4937.5741805897933</v>
      </c>
      <c r="N52" s="23">
        <v>4426.8770461010035</v>
      </c>
      <c r="O52" s="23">
        <v>5329.3563842613466</v>
      </c>
      <c r="P52" s="23">
        <v>3207.0349511875738</v>
      </c>
      <c r="Q52" s="23">
        <v>3046.5859928522164</v>
      </c>
      <c r="R52" s="23">
        <v>3379.3138971875969</v>
      </c>
      <c r="S52" s="23">
        <v>3949.5</v>
      </c>
      <c r="T52" s="23">
        <v>4656.3691654197037</v>
      </c>
      <c r="U52" s="23">
        <v>5570.5085250539796</v>
      </c>
      <c r="V52" s="23">
        <v>5439.2222439649195</v>
      </c>
      <c r="W52" s="23">
        <v>5103.009347536844</v>
      </c>
      <c r="X52" s="23">
        <v>4427.4980281456264</v>
      </c>
      <c r="Y52" s="23">
        <v>3896.9593648201944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1340.8756192261317</v>
      </c>
      <c r="E53" s="23">
        <v>1348.696717502411</v>
      </c>
      <c r="F53" s="23">
        <v>1413.3691497055515</v>
      </c>
      <c r="G53" s="23">
        <v>1427.5812863112806</v>
      </c>
      <c r="H53" s="23">
        <v>1540.3153879727615</v>
      </c>
      <c r="I53" s="23">
        <v>1513.1218413201059</v>
      </c>
      <c r="J53" s="23">
        <v>1586.4952888984044</v>
      </c>
      <c r="K53" s="23">
        <v>1759.1066379940639</v>
      </c>
      <c r="L53" s="23">
        <v>1617.9831046498439</v>
      </c>
      <c r="M53" s="23">
        <v>1551.0590705742725</v>
      </c>
      <c r="N53" s="23">
        <v>2329.0935437127591</v>
      </c>
      <c r="O53" s="23">
        <v>2329.8701026388298</v>
      </c>
      <c r="P53" s="23">
        <v>2307.0125943511848</v>
      </c>
      <c r="Q53" s="23">
        <v>2418.855936631342</v>
      </c>
      <c r="R53" s="23">
        <v>2336.7672813433783</v>
      </c>
      <c r="S53" s="23">
        <v>2479.3999999999869</v>
      </c>
      <c r="T53" s="23">
        <v>2468.7937442679977</v>
      </c>
      <c r="U53" s="23">
        <v>2744.1180850271703</v>
      </c>
      <c r="V53" s="23">
        <v>2563.8197569957265</v>
      </c>
      <c r="W53" s="23">
        <v>2578.3269349740403</v>
      </c>
      <c r="X53" s="23">
        <v>2354.2695836273633</v>
      </c>
      <c r="Y53" s="23">
        <v>2274.5135704052336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17947.962690230725</v>
      </c>
      <c r="E54" s="30">
        <f t="shared" ref="E54:S54" si="4">SUM(E41:E53)</f>
        <v>20997.845464914863</v>
      </c>
      <c r="F54" s="30">
        <f t="shared" si="4"/>
        <v>21944.829011261496</v>
      </c>
      <c r="G54" s="30">
        <f t="shared" si="4"/>
        <v>21928.651513607176</v>
      </c>
      <c r="H54" s="30">
        <f t="shared" si="4"/>
        <v>24347.685826517645</v>
      </c>
      <c r="I54" s="30">
        <f t="shared" si="4"/>
        <v>25648.937465749263</v>
      </c>
      <c r="J54" s="30">
        <f t="shared" si="4"/>
        <v>27499.698435887451</v>
      </c>
      <c r="K54" s="30">
        <f t="shared" si="4"/>
        <v>29296.793983123913</v>
      </c>
      <c r="L54" s="30">
        <f t="shared" si="4"/>
        <v>33263.263470267702</v>
      </c>
      <c r="M54" s="30">
        <f t="shared" si="4"/>
        <v>30018.716333424632</v>
      </c>
      <c r="N54" s="30">
        <f t="shared" si="4"/>
        <v>32168.625556807801</v>
      </c>
      <c r="O54" s="30">
        <f t="shared" si="4"/>
        <v>37633.016365599731</v>
      </c>
      <c r="P54" s="30">
        <f t="shared" si="4"/>
        <v>31557.526269282778</v>
      </c>
      <c r="Q54" s="30">
        <f t="shared" si="4"/>
        <v>30195.101051267575</v>
      </c>
      <c r="R54" s="30">
        <f t="shared" si="4"/>
        <v>33361.079633254369</v>
      </c>
      <c r="S54" s="30">
        <f t="shared" si="4"/>
        <v>32391.299999999988</v>
      </c>
      <c r="T54" s="30">
        <f t="shared" ref="T54:Y54" si="5">SUM(T41:T53)</f>
        <v>32540.908432688138</v>
      </c>
      <c r="U54" s="30">
        <f t="shared" si="5"/>
        <v>34370.486188668008</v>
      </c>
      <c r="V54" s="30">
        <f t="shared" si="5"/>
        <v>34719.104121822369</v>
      </c>
      <c r="W54" s="30">
        <f t="shared" si="5"/>
        <v>32617.05607674643</v>
      </c>
      <c r="X54" s="30">
        <f t="shared" si="5"/>
        <v>29032.836564406971</v>
      </c>
      <c r="Y54" s="30">
        <f t="shared" si="5"/>
        <v>30299.021137977128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5509.8853036997361</v>
      </c>
      <c r="E56" s="19">
        <v>7028.8538718262853</v>
      </c>
      <c r="F56" s="19">
        <v>6582.2915590453558</v>
      </c>
      <c r="G56" s="19">
        <v>6614.820099887881</v>
      </c>
      <c r="H56" s="19">
        <v>7150.691690229045</v>
      </c>
      <c r="I56" s="19">
        <v>7394.0510260001229</v>
      </c>
      <c r="J56" s="19">
        <v>7652.6249480639581</v>
      </c>
      <c r="K56" s="19">
        <v>8242.8582344529477</v>
      </c>
      <c r="L56" s="19">
        <v>9978.9066619792593</v>
      </c>
      <c r="M56" s="19">
        <v>7764.7676435679723</v>
      </c>
      <c r="N56" s="19">
        <v>8439.0060645092035</v>
      </c>
      <c r="O56" s="19">
        <v>9334.7871213947965</v>
      </c>
      <c r="P56" s="19">
        <v>9023.1127103937997</v>
      </c>
      <c r="Q56" s="19">
        <v>7498.4847534850669</v>
      </c>
      <c r="R56" s="19">
        <v>7320.2843308952306</v>
      </c>
      <c r="S56" s="19">
        <v>7688.7</v>
      </c>
      <c r="T56" s="19">
        <v>6923.9754790751558</v>
      </c>
      <c r="U56" s="19">
        <v>7925.7873576055399</v>
      </c>
      <c r="V56" s="19">
        <v>8862.896483019942</v>
      </c>
      <c r="W56" s="19">
        <v>8545.1571623488344</v>
      </c>
      <c r="X56" s="19">
        <v>7972.9337041803319</v>
      </c>
      <c r="Y56" s="19">
        <v>6432.3960909549305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2074.1286205203733</v>
      </c>
      <c r="E57" s="23">
        <v>2566.4314984580287</v>
      </c>
      <c r="F57" s="23">
        <v>2780.0392602541583</v>
      </c>
      <c r="G57" s="23">
        <v>2835.5927020691061</v>
      </c>
      <c r="H57" s="23">
        <v>2957.0943317456399</v>
      </c>
      <c r="I57" s="23">
        <v>2766.851366985326</v>
      </c>
      <c r="J57" s="23">
        <v>2734.3153154360616</v>
      </c>
      <c r="K57" s="23">
        <v>2788.1540023360149</v>
      </c>
      <c r="L57" s="23">
        <v>3002.5953077662775</v>
      </c>
      <c r="M57" s="23">
        <v>2361.6817310325941</v>
      </c>
      <c r="N57" s="23">
        <v>3437.771695379166</v>
      </c>
      <c r="O57" s="23">
        <v>4379.816109788957</v>
      </c>
      <c r="P57" s="23">
        <v>3274.6377660197381</v>
      </c>
      <c r="Q57" s="23">
        <v>3198.1106443455178</v>
      </c>
      <c r="R57" s="23">
        <v>3044.8130215308543</v>
      </c>
      <c r="S57" s="23">
        <v>3039.1</v>
      </c>
      <c r="T57" s="23">
        <v>2954.9645218902351</v>
      </c>
      <c r="U57" s="23">
        <v>2976.1372943191127</v>
      </c>
      <c r="V57" s="23">
        <v>2823.5461548040489</v>
      </c>
      <c r="W57" s="23">
        <v>2709.5144874109105</v>
      </c>
      <c r="X57" s="23">
        <v>2327.5353895969115</v>
      </c>
      <c r="Y57" s="23">
        <v>2249.3817081662546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709.82282322488516</v>
      </c>
      <c r="E58" s="23">
        <v>877.0225170039289</v>
      </c>
      <c r="F58" s="23">
        <v>967.04204979853284</v>
      </c>
      <c r="G58" s="23">
        <v>951.38110284374682</v>
      </c>
      <c r="H58" s="23">
        <v>1135.9280414444845</v>
      </c>
      <c r="I58" s="23">
        <v>1106.831882116544</v>
      </c>
      <c r="J58" s="23">
        <v>1143.3970862205304</v>
      </c>
      <c r="K58" s="23">
        <v>1197.5897564649761</v>
      </c>
      <c r="L58" s="23">
        <v>1198.4945146981274</v>
      </c>
      <c r="M58" s="23">
        <v>1227.6316990778782</v>
      </c>
      <c r="N58" s="23">
        <v>1834.9165459131648</v>
      </c>
      <c r="O58" s="23">
        <v>1678.496168080266</v>
      </c>
      <c r="P58" s="23">
        <v>1078.0253590401464</v>
      </c>
      <c r="Q58" s="23">
        <v>1091.4999895500241</v>
      </c>
      <c r="R58" s="23">
        <v>982.3838467085609</v>
      </c>
      <c r="S58" s="23">
        <v>971.7</v>
      </c>
      <c r="T58" s="23">
        <v>838.92455471352037</v>
      </c>
      <c r="U58" s="23">
        <v>971.72585808949441</v>
      </c>
      <c r="V58" s="23">
        <v>1016.6687421059186</v>
      </c>
      <c r="W58" s="23">
        <v>882.63459859829322</v>
      </c>
      <c r="X58" s="23">
        <v>901.24123043712905</v>
      </c>
      <c r="Y58" s="23">
        <v>1200.0064030222266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324.22903556924177</v>
      </c>
      <c r="E59" s="23">
        <v>361.2014701533522</v>
      </c>
      <c r="F59" s="23">
        <v>447.7735303233805</v>
      </c>
      <c r="G59" s="23">
        <v>406.89022525736419</v>
      </c>
      <c r="H59" s="23">
        <v>378.19989752737348</v>
      </c>
      <c r="I59" s="23">
        <v>335.04840772087931</v>
      </c>
      <c r="J59" s="23">
        <v>344.85531624023264</v>
      </c>
      <c r="K59" s="23">
        <v>503.44398476132261</v>
      </c>
      <c r="L59" s="23">
        <v>611.18980902257204</v>
      </c>
      <c r="M59" s="23">
        <v>483.08682552725281</v>
      </c>
      <c r="N59" s="23">
        <v>328.44952503622602</v>
      </c>
      <c r="O59" s="23">
        <v>246.06061876854366</v>
      </c>
      <c r="P59" s="23">
        <v>206.74750614813001</v>
      </c>
      <c r="Q59" s="23">
        <v>207.53652266599786</v>
      </c>
      <c r="R59" s="23">
        <v>199.85577418357889</v>
      </c>
      <c r="S59" s="23">
        <v>251</v>
      </c>
      <c r="T59" s="23">
        <v>291.93416035140223</v>
      </c>
      <c r="U59" s="23">
        <v>329.08941999851095</v>
      </c>
      <c r="V59" s="23">
        <v>291.4806183623005</v>
      </c>
      <c r="W59" s="23">
        <v>298.81609166179373</v>
      </c>
      <c r="X59" s="23">
        <v>291.50234546888623</v>
      </c>
      <c r="Y59" s="23">
        <v>338.71987578136878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202.61525416164591</v>
      </c>
      <c r="E60" s="23">
        <v>242.27958261163457</v>
      </c>
      <c r="F60" s="23">
        <v>270.06922202706897</v>
      </c>
      <c r="G60" s="23">
        <v>267.25104474569372</v>
      </c>
      <c r="H60" s="23">
        <v>286.16429777786192</v>
      </c>
      <c r="I60" s="23">
        <v>362.6012299823422</v>
      </c>
      <c r="J60" s="23">
        <v>391.63126080604735</v>
      </c>
      <c r="K60" s="23">
        <v>374.4173607396653</v>
      </c>
      <c r="L60" s="23">
        <v>500.44978441367721</v>
      </c>
      <c r="M60" s="23">
        <v>601.547521227061</v>
      </c>
      <c r="N60" s="23">
        <v>506.84269843825433</v>
      </c>
      <c r="O60" s="23">
        <v>656.30143736305172</v>
      </c>
      <c r="P60" s="23">
        <v>479.71383249406495</v>
      </c>
      <c r="Q60" s="23">
        <v>454.7829539992058</v>
      </c>
      <c r="R60" s="23">
        <v>368.18790563510879</v>
      </c>
      <c r="S60" s="23">
        <v>429.5</v>
      </c>
      <c r="T60" s="23">
        <v>431.43312255635482</v>
      </c>
      <c r="U60" s="23">
        <v>478.09172809172821</v>
      </c>
      <c r="V60" s="23">
        <v>508.9570028285271</v>
      </c>
      <c r="W60" s="23">
        <v>546.95378774396409</v>
      </c>
      <c r="X60" s="23">
        <v>456.80601104238451</v>
      </c>
      <c r="Y60" s="23">
        <v>309.98631353999093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790.6011514258937</v>
      </c>
      <c r="E61" s="23">
        <v>719.65696421781934</v>
      </c>
      <c r="F61" s="23">
        <v>1168.9224093398079</v>
      </c>
      <c r="G61" s="23">
        <v>862.70512689837938</v>
      </c>
      <c r="H61" s="23">
        <v>1026.0546141146556</v>
      </c>
      <c r="I61" s="23">
        <v>1519.210862814346</v>
      </c>
      <c r="J61" s="23">
        <v>1427.6715229657825</v>
      </c>
      <c r="K61" s="23">
        <v>1063.2143130041809</v>
      </c>
      <c r="L61" s="23">
        <v>1158.8928065513428</v>
      </c>
      <c r="M61" s="23">
        <v>1185.6340728567518</v>
      </c>
      <c r="N61" s="23">
        <v>373.74550528631994</v>
      </c>
      <c r="O61" s="23">
        <v>2754.3692272207836</v>
      </c>
      <c r="P61" s="23">
        <v>973.0546890802824</v>
      </c>
      <c r="Q61" s="23">
        <v>2401.4044767697033</v>
      </c>
      <c r="R61" s="23">
        <v>5100.4429792932942</v>
      </c>
      <c r="S61" s="23">
        <v>2740.2</v>
      </c>
      <c r="T61" s="23">
        <v>3145.7257324902257</v>
      </c>
      <c r="U61" s="23">
        <v>2069.9315017496838</v>
      </c>
      <c r="V61" s="23">
        <v>1858.3779552772492</v>
      </c>
      <c r="W61" s="23">
        <v>896.87200738989316</v>
      </c>
      <c r="X61" s="23">
        <v>463.19897048445353</v>
      </c>
      <c r="Y61" s="23">
        <v>1446.6828342977885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614.76324362922298</v>
      </c>
      <c r="E62" s="23">
        <v>740.14617041950066</v>
      </c>
      <c r="F62" s="23">
        <v>716.39632193408409</v>
      </c>
      <c r="G62" s="23">
        <v>739.98573030272144</v>
      </c>
      <c r="H62" s="23">
        <v>824.14558703531509</v>
      </c>
      <c r="I62" s="23">
        <v>757.3220483468308</v>
      </c>
      <c r="J62" s="23">
        <v>836.20377692297382</v>
      </c>
      <c r="K62" s="23">
        <v>881.3544520734863</v>
      </c>
      <c r="L62" s="23">
        <v>1080.1029851209248</v>
      </c>
      <c r="M62" s="23">
        <v>832.53446544325755</v>
      </c>
      <c r="N62" s="23">
        <v>373.20882305586861</v>
      </c>
      <c r="O62" s="23">
        <v>621.49439627606591</v>
      </c>
      <c r="P62" s="23">
        <v>1065.5694073309132</v>
      </c>
      <c r="Q62" s="23">
        <v>766.19223775785315</v>
      </c>
      <c r="R62" s="23">
        <v>974.03935304419497</v>
      </c>
      <c r="S62" s="23">
        <v>1164.2</v>
      </c>
      <c r="T62" s="23">
        <v>810.05937153062712</v>
      </c>
      <c r="U62" s="23">
        <v>980.93961730325373</v>
      </c>
      <c r="V62" s="23">
        <v>931.7239784391511</v>
      </c>
      <c r="W62" s="23">
        <v>847.63430198561014</v>
      </c>
      <c r="X62" s="23">
        <v>865.5402880983022</v>
      </c>
      <c r="Y62" s="23">
        <v>942.60490951729219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270.45119828624985</v>
      </c>
      <c r="E63" s="23">
        <v>252.20734231760383</v>
      </c>
      <c r="F63" s="23">
        <v>272.7554499431759</v>
      </c>
      <c r="G63" s="23">
        <v>261.33931301600239</v>
      </c>
      <c r="H63" s="23">
        <v>280.85090232840577</v>
      </c>
      <c r="I63" s="23">
        <v>280.70389088473485</v>
      </c>
      <c r="J63" s="23">
        <v>326.22535551058155</v>
      </c>
      <c r="K63" s="23">
        <v>265.03946118831118</v>
      </c>
      <c r="L63" s="23">
        <v>276.0745711538263</v>
      </c>
      <c r="M63" s="23">
        <v>421.45987400712136</v>
      </c>
      <c r="N63" s="23">
        <v>73.954811356196004</v>
      </c>
      <c r="O63" s="23">
        <v>361.90935491649458</v>
      </c>
      <c r="P63" s="23">
        <v>286.27396706092765</v>
      </c>
      <c r="Q63" s="23">
        <v>283.92584697055196</v>
      </c>
      <c r="R63" s="23">
        <v>351.60193674667767</v>
      </c>
      <c r="S63" s="23">
        <v>273.2</v>
      </c>
      <c r="T63" s="23">
        <v>269.53709513925764</v>
      </c>
      <c r="U63" s="23">
        <v>335.69726751544937</v>
      </c>
      <c r="V63" s="23">
        <v>239.62428619714296</v>
      </c>
      <c r="W63" s="23">
        <v>249.49363977660826</v>
      </c>
      <c r="X63" s="23">
        <v>276.2256631657603</v>
      </c>
      <c r="Y63" s="23">
        <v>242.75458016183637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427.32181907439639</v>
      </c>
      <c r="E64" s="23">
        <v>520.04562544886153</v>
      </c>
      <c r="F64" s="23">
        <v>602.74821779109413</v>
      </c>
      <c r="G64" s="23">
        <v>707.98083783508309</v>
      </c>
      <c r="H64" s="23">
        <v>795.30144030969495</v>
      </c>
      <c r="I64" s="23">
        <v>838.45825975765695</v>
      </c>
      <c r="J64" s="23">
        <v>958.3037353741405</v>
      </c>
      <c r="K64" s="23">
        <v>1108.2972197054876</v>
      </c>
      <c r="L64" s="23">
        <v>1263.4289082129603</v>
      </c>
      <c r="M64" s="23">
        <v>1325.0935816671231</v>
      </c>
      <c r="N64" s="23">
        <v>574.24998658294419</v>
      </c>
      <c r="O64" s="23">
        <v>562.46920310747203</v>
      </c>
      <c r="P64" s="23">
        <v>832.63246425567706</v>
      </c>
      <c r="Q64" s="23">
        <v>1320.040963905783</v>
      </c>
      <c r="R64" s="23">
        <v>1118.471206345936</v>
      </c>
      <c r="S64" s="23">
        <v>1278.0999999999999</v>
      </c>
      <c r="T64" s="23">
        <v>1360.428633489405</v>
      </c>
      <c r="U64" s="23">
        <v>1464.3362370635098</v>
      </c>
      <c r="V64" s="23">
        <v>1533.2752210342803</v>
      </c>
      <c r="W64" s="23">
        <v>1639.335926575649</v>
      </c>
      <c r="X64" s="23">
        <v>1226.6179584042509</v>
      </c>
      <c r="Y64" s="23">
        <v>1887.2107634803626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959.52157807827916</v>
      </c>
      <c r="E65" s="23">
        <v>1017.9122132567277</v>
      </c>
      <c r="F65" s="23">
        <v>1040.1901022832935</v>
      </c>
      <c r="G65" s="23">
        <v>995.61716440729788</v>
      </c>
      <c r="H65" s="23">
        <v>1165.9107729092739</v>
      </c>
      <c r="I65" s="23">
        <v>1157.6752115934974</v>
      </c>
      <c r="J65" s="23">
        <v>1378.7511224886407</v>
      </c>
      <c r="K65" s="23">
        <v>1647.2180680937465</v>
      </c>
      <c r="L65" s="23">
        <v>1987.3233174443972</v>
      </c>
      <c r="M65" s="23">
        <v>1274.5366566237562</v>
      </c>
      <c r="N65" s="23">
        <v>629.09891053507192</v>
      </c>
      <c r="O65" s="23">
        <v>668.14841219085167</v>
      </c>
      <c r="P65" s="23">
        <v>1282.1113370452781</v>
      </c>
      <c r="Q65" s="23">
        <v>1000.4806988943924</v>
      </c>
      <c r="R65" s="23">
        <v>1203.2553827135057</v>
      </c>
      <c r="S65" s="23">
        <v>1197.5</v>
      </c>
      <c r="T65" s="23">
        <v>1319.6891441811072</v>
      </c>
      <c r="U65" s="23">
        <v>1265.7285384558115</v>
      </c>
      <c r="V65" s="23">
        <v>1261.3630299041145</v>
      </c>
      <c r="W65" s="23">
        <v>1186.6202255951321</v>
      </c>
      <c r="X65" s="23">
        <v>1133.6294574287019</v>
      </c>
      <c r="Y65" s="23">
        <v>1314.2203119872581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880.7515508546436</v>
      </c>
      <c r="E66" s="23">
        <v>944.82700350640027</v>
      </c>
      <c r="F66" s="23">
        <v>899.05982022936246</v>
      </c>
      <c r="G66" s="23">
        <v>768.52512485985119</v>
      </c>
      <c r="H66" s="23">
        <v>1002.3340987152969</v>
      </c>
      <c r="I66" s="23">
        <v>918.07221579492182</v>
      </c>
      <c r="J66" s="23">
        <v>964.60307461366278</v>
      </c>
      <c r="K66" s="23">
        <v>1058.7387702081674</v>
      </c>
      <c r="L66" s="23">
        <v>1107.4002460889437</v>
      </c>
      <c r="M66" s="23">
        <v>659.86487720259299</v>
      </c>
      <c r="N66" s="23">
        <v>2062.2551387323565</v>
      </c>
      <c r="O66" s="23">
        <v>1829.6761477412119</v>
      </c>
      <c r="P66" s="23">
        <v>1655.7898883222792</v>
      </c>
      <c r="Q66" s="23">
        <v>1360.6913704098479</v>
      </c>
      <c r="R66" s="23">
        <v>1159.4725455856599</v>
      </c>
      <c r="S66" s="23">
        <v>1236.2</v>
      </c>
      <c r="T66" s="23">
        <v>1149.2976782352657</v>
      </c>
      <c r="U66" s="23">
        <v>1414.8239148239149</v>
      </c>
      <c r="V66" s="23">
        <v>1450.376247487236</v>
      </c>
      <c r="W66" s="23">
        <v>1080.6871244671565</v>
      </c>
      <c r="X66" s="23">
        <v>642.78301299348254</v>
      </c>
      <c r="Y66" s="23">
        <v>1459.889067639926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768.95612978087217</v>
      </c>
      <c r="E67" s="23">
        <v>871.53056482615864</v>
      </c>
      <c r="F67" s="23">
        <v>960.42979646657705</v>
      </c>
      <c r="G67" s="23">
        <v>1054.5306288859442</v>
      </c>
      <c r="H67" s="23">
        <v>1185.6462417215398</v>
      </c>
      <c r="I67" s="23">
        <v>1328.7767155818065</v>
      </c>
      <c r="J67" s="23">
        <v>1524.0380104810281</v>
      </c>
      <c r="K67" s="23">
        <v>1766.0928511390807</v>
      </c>
      <c r="L67" s="23">
        <v>1921.4583354874735</v>
      </c>
      <c r="M67" s="23">
        <v>1766.5251529261391</v>
      </c>
      <c r="N67" s="23">
        <v>656.25503139591001</v>
      </c>
      <c r="O67" s="23">
        <v>673.28559596573814</v>
      </c>
      <c r="P67" s="23">
        <v>1666.861845397153</v>
      </c>
      <c r="Q67" s="23">
        <v>1618.3877777081116</v>
      </c>
      <c r="R67" s="23">
        <v>1678.6854847017619</v>
      </c>
      <c r="S67" s="23">
        <v>1500.4999999999998</v>
      </c>
      <c r="T67" s="23">
        <v>1436.694502099725</v>
      </c>
      <c r="U67" s="23">
        <v>1635.7679994043633</v>
      </c>
      <c r="V67" s="23">
        <v>1630.6726202124064</v>
      </c>
      <c r="W67" s="23">
        <v>1753.4894363511557</v>
      </c>
      <c r="X67" s="23">
        <v>1372.8257710988416</v>
      </c>
      <c r="Y67" s="23">
        <v>1881.2079301430272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700.67389655018519</v>
      </c>
      <c r="E68" s="23">
        <v>587.42765409150445</v>
      </c>
      <c r="F68" s="23">
        <v>620.51864862072523</v>
      </c>
      <c r="G68" s="23">
        <v>684.94546937111409</v>
      </c>
      <c r="H68" s="23">
        <v>770.82186841755697</v>
      </c>
      <c r="I68" s="23">
        <v>778.4813980393352</v>
      </c>
      <c r="J68" s="23">
        <v>909.38333489699903</v>
      </c>
      <c r="K68" s="23">
        <v>1173.0288508770971</v>
      </c>
      <c r="L68" s="23">
        <v>1343.6663116644092</v>
      </c>
      <c r="M68" s="23">
        <v>1290.0575184880856</v>
      </c>
      <c r="N68" s="23">
        <v>2468.0942413996672</v>
      </c>
      <c r="O68" s="23">
        <v>2399.2745038424041</v>
      </c>
      <c r="P68" s="23">
        <v>670.91801428708322</v>
      </c>
      <c r="Q68" s="23">
        <v>1027.8596359228372</v>
      </c>
      <c r="R68" s="23">
        <v>917.89430308025146</v>
      </c>
      <c r="S68" s="23">
        <v>775.8</v>
      </c>
      <c r="T68" s="23">
        <v>843.26881305208292</v>
      </c>
      <c r="U68" s="23">
        <v>781.30816767180409</v>
      </c>
      <c r="V68" s="23">
        <v>890.0076494760998</v>
      </c>
      <c r="W68" s="23">
        <v>838.39693556725058</v>
      </c>
      <c r="X68" s="23">
        <v>907.21906264270001</v>
      </c>
      <c r="Y68" s="23">
        <v>883.29691614442004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529.29887981434376</v>
      </c>
      <c r="E69" s="23">
        <v>647.62789911706318</v>
      </c>
      <c r="F69" s="23">
        <v>765.57495609050511</v>
      </c>
      <c r="G69" s="23">
        <v>728.36611966160433</v>
      </c>
      <c r="H69" s="23">
        <v>775.37620737423379</v>
      </c>
      <c r="I69" s="23">
        <v>1088.4125920964502</v>
      </c>
      <c r="J69" s="23">
        <v>1377.9469515218932</v>
      </c>
      <c r="K69" s="23">
        <v>1444.6178868888428</v>
      </c>
      <c r="L69" s="23">
        <v>1304.7883945281401</v>
      </c>
      <c r="M69" s="23">
        <v>1216.561672601114</v>
      </c>
      <c r="N69" s="23">
        <v>2571.6739118767778</v>
      </c>
      <c r="O69" s="23">
        <v>2612.3103697723909</v>
      </c>
      <c r="P69" s="23">
        <v>2126.9868307587485</v>
      </c>
      <c r="Q69" s="23">
        <v>1258.6996049909085</v>
      </c>
      <c r="R69" s="23">
        <v>1485.0108169362318</v>
      </c>
      <c r="S69" s="23">
        <v>2087</v>
      </c>
      <c r="T69" s="23">
        <v>2035.5263793020226</v>
      </c>
      <c r="U69" s="23">
        <v>1902.0363338545158</v>
      </c>
      <c r="V69" s="23">
        <v>1789.0879333961896</v>
      </c>
      <c r="W69" s="23">
        <v>1927.5587081246451</v>
      </c>
      <c r="X69" s="23">
        <v>1975.25841670472</v>
      </c>
      <c r="Y69" s="23">
        <v>1884.649554589766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878.96639443031199</v>
      </c>
      <c r="E70" s="23">
        <v>996.15563347556088</v>
      </c>
      <c r="F70" s="23">
        <v>949.06498605227807</v>
      </c>
      <c r="G70" s="23">
        <v>906.73733564366523</v>
      </c>
      <c r="H70" s="23">
        <v>956.41118090213854</v>
      </c>
      <c r="I70" s="23">
        <v>962.5220727029166</v>
      </c>
      <c r="J70" s="23">
        <v>982.42886437656637</v>
      </c>
      <c r="K70" s="23">
        <v>1008.4162036481132</v>
      </c>
      <c r="L70" s="23">
        <v>1284.0052526547622</v>
      </c>
      <c r="M70" s="23">
        <v>1119.0997900118689</v>
      </c>
      <c r="N70" s="23">
        <v>1083.132077496914</v>
      </c>
      <c r="O70" s="23">
        <v>1195.3912122705303</v>
      </c>
      <c r="P70" s="23">
        <v>1421.0431061098041</v>
      </c>
      <c r="Q70" s="23">
        <v>1241.5616444082177</v>
      </c>
      <c r="R70" s="23">
        <v>1740.5995673225509</v>
      </c>
      <c r="S70" s="23">
        <v>1329.7</v>
      </c>
      <c r="T70" s="23">
        <v>1604.2863348940484</v>
      </c>
      <c r="U70" s="23">
        <v>1524.4583426401609</v>
      </c>
      <c r="V70" s="23">
        <v>1628.0041983171152</v>
      </c>
      <c r="W70" s="23">
        <v>1532.5553606386495</v>
      </c>
      <c r="X70" s="23">
        <v>1437.7516708871269</v>
      </c>
      <c r="Y70" s="23">
        <v>1654.5409433252491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583.52300620341862</v>
      </c>
      <c r="E71" s="23">
        <v>838.36762282962275</v>
      </c>
      <c r="F71" s="23">
        <v>1059.6135964459136</v>
      </c>
      <c r="G71" s="23">
        <v>1234.9403730506572</v>
      </c>
      <c r="H71" s="23">
        <v>1622.2934891929331</v>
      </c>
      <c r="I71" s="23">
        <v>2005.4192291298791</v>
      </c>
      <c r="J71" s="23">
        <v>2370.6960099717198</v>
      </c>
      <c r="K71" s="23">
        <v>2428.2548657882962</v>
      </c>
      <c r="L71" s="23">
        <v>3050.0553183129468</v>
      </c>
      <c r="M71" s="23">
        <v>4151.2599287866342</v>
      </c>
      <c r="N71" s="23">
        <v>3742.6072022755325</v>
      </c>
      <c r="O71" s="23">
        <v>4544.6253525261318</v>
      </c>
      <c r="P71" s="23">
        <v>2552.4054891356423</v>
      </c>
      <c r="Q71" s="23">
        <v>2331.598637323134</v>
      </c>
      <c r="R71" s="23">
        <v>2600.4944885134446</v>
      </c>
      <c r="S71" s="23">
        <v>3267.6</v>
      </c>
      <c r="T71" s="23">
        <v>3948.1585171598208</v>
      </c>
      <c r="U71" s="23">
        <v>4939.2264164991439</v>
      </c>
      <c r="V71" s="23">
        <v>4728.9772828349314</v>
      </c>
      <c r="W71" s="23">
        <v>4410.9695844880034</v>
      </c>
      <c r="X71" s="23">
        <v>3854.0412636473079</v>
      </c>
      <c r="Y71" s="23">
        <v>3207.7540599162803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381.57718570089696</v>
      </c>
      <c r="E72" s="23">
        <v>437.45511385239331</v>
      </c>
      <c r="F72" s="23">
        <v>428.96993491063154</v>
      </c>
      <c r="G72" s="23">
        <v>479.46182855978009</v>
      </c>
      <c r="H72" s="23">
        <v>494.14577679943841</v>
      </c>
      <c r="I72" s="23">
        <v>535.37721488156831</v>
      </c>
      <c r="J72" s="23">
        <v>590.12746109822956</v>
      </c>
      <c r="K72" s="23">
        <v>586.95106376011063</v>
      </c>
      <c r="L72" s="23">
        <v>576.44784051782062</v>
      </c>
      <c r="M72" s="23">
        <v>786.3142518031591</v>
      </c>
      <c r="N72" s="23">
        <v>684.26984382547107</v>
      </c>
      <c r="O72" s="23">
        <v>784.73103173521486</v>
      </c>
      <c r="P72" s="23">
        <v>654.62946205193157</v>
      </c>
      <c r="Q72" s="23">
        <v>714.98735552908238</v>
      </c>
      <c r="R72" s="23">
        <v>778.81940867415233</v>
      </c>
      <c r="S72" s="23">
        <v>681.90000000000009</v>
      </c>
      <c r="T72" s="23">
        <v>708.21064825988287</v>
      </c>
      <c r="U72" s="23">
        <v>631.28210855483576</v>
      </c>
      <c r="V72" s="23">
        <v>710.24496112998804</v>
      </c>
      <c r="W72" s="23">
        <v>692.03976304884054</v>
      </c>
      <c r="X72" s="23">
        <v>573.45676449831853</v>
      </c>
      <c r="Y72" s="23">
        <v>689.20530490391411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1105.0118266613113</v>
      </c>
      <c r="E73" s="23">
        <v>1103.4599298719952</v>
      </c>
      <c r="F73" s="23">
        <v>1167.4759789234424</v>
      </c>
      <c r="G73" s="23">
        <v>1173.9883803893588</v>
      </c>
      <c r="H73" s="23">
        <v>1264.9676452169952</v>
      </c>
      <c r="I73" s="23">
        <v>1231.3523716738721</v>
      </c>
      <c r="J73" s="23">
        <v>1273.1366688557987</v>
      </c>
      <c r="K73" s="23">
        <v>1388.1823838269167</v>
      </c>
      <c r="L73" s="23">
        <v>1429.9008406315595</v>
      </c>
      <c r="M73" s="23">
        <v>1198.4159590979639</v>
      </c>
      <c r="N73" s="23">
        <v>1040.3048355068963</v>
      </c>
      <c r="O73" s="23">
        <v>949.01607204638151</v>
      </c>
      <c r="P73" s="23">
        <v>786.00249119034186</v>
      </c>
      <c r="Q73" s="23">
        <v>1045.2065960248292</v>
      </c>
      <c r="R73" s="23">
        <v>1138.8688575254971</v>
      </c>
      <c r="S73" s="23">
        <v>1214</v>
      </c>
      <c r="T73" s="23">
        <v>1229.2320316648163</v>
      </c>
      <c r="U73" s="23">
        <v>1302.2113022113024</v>
      </c>
      <c r="V73" s="23">
        <v>1273.1040862433956</v>
      </c>
      <c r="W73" s="23">
        <v>1428.4019356096239</v>
      </c>
      <c r="X73" s="23">
        <v>1296.2763086886132</v>
      </c>
      <c r="Y73" s="23">
        <v>1363.4435453534068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235.86379256482041</v>
      </c>
      <c r="E74" s="23">
        <v>245.23678763041585</v>
      </c>
      <c r="F74" s="23">
        <v>245.89317078210911</v>
      </c>
      <c r="G74" s="23">
        <v>253.59290592192178</v>
      </c>
      <c r="H74" s="23">
        <v>275.34774275576638</v>
      </c>
      <c r="I74" s="23">
        <v>281.7694696462338</v>
      </c>
      <c r="J74" s="23">
        <v>313.35862004260571</v>
      </c>
      <c r="K74" s="23">
        <v>370.92425416714718</v>
      </c>
      <c r="L74" s="23">
        <v>188.08226401828438</v>
      </c>
      <c r="M74" s="23">
        <v>352.6431114763086</v>
      </c>
      <c r="N74" s="23">
        <v>1288.7887082058628</v>
      </c>
      <c r="O74" s="23">
        <v>1380.8540305924485</v>
      </c>
      <c r="P74" s="23">
        <v>1521.0101031608428</v>
      </c>
      <c r="Q74" s="23">
        <v>1373.6493406065129</v>
      </c>
      <c r="R74" s="23">
        <v>1197.8984238178812</v>
      </c>
      <c r="S74" s="23">
        <v>1265.3999999999869</v>
      </c>
      <c r="T74" s="23">
        <v>1239.5617126031814</v>
      </c>
      <c r="U74" s="23">
        <v>1441.9067828158679</v>
      </c>
      <c r="V74" s="23">
        <v>1290.7156707523309</v>
      </c>
      <c r="W74" s="23">
        <v>1149.9249993644164</v>
      </c>
      <c r="X74" s="23">
        <v>1057.9932749387501</v>
      </c>
      <c r="Y74" s="23">
        <v>911.07002505182686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17947.962690230728</v>
      </c>
      <c r="E75" s="30">
        <f t="shared" ref="E75:S75" si="6">SUM(E56:E74)</f>
        <v>20997.845464914859</v>
      </c>
      <c r="F75" s="30">
        <f t="shared" si="6"/>
        <v>21944.829011261492</v>
      </c>
      <c r="G75" s="30">
        <f t="shared" si="6"/>
        <v>21928.651513607172</v>
      </c>
      <c r="H75" s="30">
        <f t="shared" si="6"/>
        <v>24347.685826517645</v>
      </c>
      <c r="I75" s="30">
        <f t="shared" si="6"/>
        <v>25648.937465749263</v>
      </c>
      <c r="J75" s="30">
        <f t="shared" si="6"/>
        <v>27499.698435887447</v>
      </c>
      <c r="K75" s="30">
        <f t="shared" si="6"/>
        <v>29296.793983123916</v>
      </c>
      <c r="L75" s="30">
        <f t="shared" si="6"/>
        <v>33263.263470267695</v>
      </c>
      <c r="M75" s="30">
        <f t="shared" si="6"/>
        <v>30018.716333424636</v>
      </c>
      <c r="N75" s="30">
        <f t="shared" si="6"/>
        <v>32168.625556807805</v>
      </c>
      <c r="O75" s="30">
        <f t="shared" si="6"/>
        <v>37633.016365599738</v>
      </c>
      <c r="P75" s="30">
        <f t="shared" si="6"/>
        <v>31557.526269282782</v>
      </c>
      <c r="Q75" s="30">
        <f t="shared" si="6"/>
        <v>30195.101051267578</v>
      </c>
      <c r="R75" s="30">
        <f t="shared" si="6"/>
        <v>33361.079633254369</v>
      </c>
      <c r="S75" s="30">
        <f t="shared" si="6"/>
        <v>32391.299999999988</v>
      </c>
      <c r="T75" s="30">
        <f t="shared" ref="T75:Y75" si="7">SUM(T56:T74)</f>
        <v>32540.908432688138</v>
      </c>
      <c r="U75" s="30">
        <f t="shared" si="7"/>
        <v>34370.486188668001</v>
      </c>
      <c r="V75" s="30">
        <f t="shared" si="7"/>
        <v>34719.104121822369</v>
      </c>
      <c r="W75" s="30">
        <f t="shared" si="7"/>
        <v>32617.05607674643</v>
      </c>
      <c r="X75" s="30">
        <f t="shared" si="7"/>
        <v>29032.836564406967</v>
      </c>
      <c r="Y75" s="30">
        <f t="shared" si="7"/>
        <v>30299.021137977128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22455485</v>
      </c>
      <c r="E3" s="42">
        <v>22430457</v>
      </c>
      <c r="F3" s="42">
        <v>21833483</v>
      </c>
      <c r="G3" s="42">
        <v>21627509</v>
      </c>
      <c r="H3" s="42">
        <v>21521142</v>
      </c>
      <c r="I3" s="42">
        <v>21382354</v>
      </c>
      <c r="J3" s="42">
        <v>21257016</v>
      </c>
      <c r="K3" s="42">
        <v>21130503</v>
      </c>
      <c r="L3" s="42">
        <v>20635460</v>
      </c>
      <c r="M3" s="42">
        <v>20440290</v>
      </c>
      <c r="N3" s="42">
        <v>20294683</v>
      </c>
      <c r="O3" s="42">
        <v>20199059</v>
      </c>
      <c r="P3" s="42">
        <v>20095996</v>
      </c>
      <c r="Q3" s="42">
        <v>20020074</v>
      </c>
      <c r="R3" s="42">
        <v>19947311</v>
      </c>
      <c r="S3" s="42">
        <v>19870647</v>
      </c>
      <c r="T3" s="42">
        <v>19760585</v>
      </c>
      <c r="U3" s="42">
        <v>19643949</v>
      </c>
      <c r="V3" s="42">
        <v>19533481</v>
      </c>
      <c r="W3" s="42">
        <v>19414458</v>
      </c>
      <c r="X3" s="42">
        <v>19328838</v>
      </c>
      <c r="Y3" s="42">
        <v>19201662</v>
      </c>
    </row>
    <row r="4" spans="1:25" x14ac:dyDescent="0.25">
      <c r="A4" s="43" t="s">
        <v>239</v>
      </c>
      <c r="B4" s="44"/>
      <c r="C4" s="44"/>
      <c r="D4" s="45">
        <v>7421700</v>
      </c>
      <c r="E4" s="45">
        <v>7423695</v>
      </c>
      <c r="F4" s="45">
        <v>7328243</v>
      </c>
      <c r="G4" s="45">
        <v>7363172</v>
      </c>
      <c r="H4" s="45">
        <v>7433522</v>
      </c>
      <c r="I4" s="45">
        <v>7494585</v>
      </c>
      <c r="J4" s="45">
        <v>7500658</v>
      </c>
      <c r="K4" s="45">
        <v>7506395</v>
      </c>
      <c r="L4" s="45">
        <v>7487467</v>
      </c>
      <c r="M4" s="45">
        <v>7509291</v>
      </c>
      <c r="N4" s="45">
        <v>7497112</v>
      </c>
      <c r="O4" s="45">
        <v>7517328</v>
      </c>
      <c r="P4" s="45">
        <v>7515331</v>
      </c>
      <c r="Q4" s="45">
        <v>7551895</v>
      </c>
      <c r="R4" s="45">
        <v>7573011</v>
      </c>
      <c r="S4" s="45">
        <v>7564007</v>
      </c>
      <c r="T4" s="45">
        <v>7565308</v>
      </c>
      <c r="U4" s="45">
        <v>7555365</v>
      </c>
      <c r="V4" s="45">
        <v>7576990</v>
      </c>
      <c r="W4" s="45">
        <v>7563092</v>
      </c>
      <c r="X4" s="45">
        <v>7615775</v>
      </c>
      <c r="Y4" s="45">
        <v>7674525</v>
      </c>
    </row>
    <row r="5" spans="1:25" x14ac:dyDescent="0.25">
      <c r="A5" s="46" t="s">
        <v>240</v>
      </c>
      <c r="B5" s="47"/>
      <c r="C5" s="47"/>
      <c r="D5" s="48">
        <f>D3/D4</f>
        <v>3.0256524785426517</v>
      </c>
      <c r="E5" s="48">
        <f t="shared" ref="E5:S5" si="0">E3/E4</f>
        <v>3.0214680155906191</v>
      </c>
      <c r="F5" s="48">
        <f t="shared" si="0"/>
        <v>2.9793612193263788</v>
      </c>
      <c r="G5" s="48">
        <f t="shared" si="0"/>
        <v>2.9372543517929501</v>
      </c>
      <c r="H5" s="48">
        <f t="shared" si="0"/>
        <v>2.8951474146440948</v>
      </c>
      <c r="I5" s="48">
        <f t="shared" si="0"/>
        <v>2.8530404285227267</v>
      </c>
      <c r="J5" s="48">
        <f t="shared" si="0"/>
        <v>2.8340201619644572</v>
      </c>
      <c r="K5" s="48">
        <f t="shared" si="0"/>
        <v>2.8150001432112219</v>
      </c>
      <c r="L5" s="48">
        <f t="shared" si="0"/>
        <v>2.7560001266115766</v>
      </c>
      <c r="M5" s="48">
        <f t="shared" si="0"/>
        <v>2.7219999864168267</v>
      </c>
      <c r="N5" s="48">
        <f t="shared" si="0"/>
        <v>2.7070001088419113</v>
      </c>
      <c r="O5" s="48">
        <f t="shared" si="0"/>
        <v>2.6869998222772771</v>
      </c>
      <c r="P5" s="48">
        <f t="shared" si="0"/>
        <v>2.6740001205535724</v>
      </c>
      <c r="Q5" s="48">
        <f t="shared" si="0"/>
        <v>2.6510000470080688</v>
      </c>
      <c r="R5" s="48">
        <f t="shared" si="0"/>
        <v>2.6340000034332447</v>
      </c>
      <c r="S5" s="48">
        <f t="shared" si="0"/>
        <v>2.6270000807772917</v>
      </c>
      <c r="T5" s="48">
        <f t="shared" ref="T5:Y5" si="1">T3/T4</f>
        <v>2.6120000666198919</v>
      </c>
      <c r="U5" s="48">
        <f t="shared" si="1"/>
        <v>2.6</v>
      </c>
      <c r="V5" s="48">
        <f t="shared" si="1"/>
        <v>2.5780001029432533</v>
      </c>
      <c r="W5" s="48">
        <f t="shared" si="1"/>
        <v>2.5670001105368017</v>
      </c>
      <c r="X5" s="48">
        <f t="shared" si="1"/>
        <v>2.5380001378717201</v>
      </c>
      <c r="Y5" s="48">
        <f t="shared" si="1"/>
        <v>2.5020000586355509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2931.43</v>
      </c>
      <c r="E8" s="42">
        <v>3028.97</v>
      </c>
      <c r="F8" s="42">
        <v>2932</v>
      </c>
      <c r="G8" s="42">
        <v>3393.84</v>
      </c>
      <c r="H8" s="42">
        <v>3107.75</v>
      </c>
      <c r="I8" s="42">
        <v>3248.31</v>
      </c>
      <c r="J8" s="42">
        <v>3164.93</v>
      </c>
      <c r="K8" s="42">
        <v>2837.51</v>
      </c>
      <c r="L8" s="42">
        <v>2871.73</v>
      </c>
      <c r="M8" s="42">
        <v>2850.3</v>
      </c>
      <c r="N8" s="42">
        <v>3056.91</v>
      </c>
      <c r="O8" s="42">
        <v>3174.1</v>
      </c>
      <c r="P8" s="42">
        <v>3089.55</v>
      </c>
      <c r="Q8" s="42">
        <v>2865.71</v>
      </c>
      <c r="R8" s="42">
        <v>2730.97</v>
      </c>
      <c r="S8" s="42">
        <v>2787.05</v>
      </c>
      <c r="T8" s="42">
        <v>2920.43</v>
      </c>
      <c r="U8" s="42">
        <v>2918.88</v>
      </c>
      <c r="V8" s="42">
        <v>2748.49</v>
      </c>
      <c r="W8" s="42">
        <v>2568.23</v>
      </c>
      <c r="X8" s="42">
        <v>2665.91</v>
      </c>
      <c r="Y8" s="42">
        <v>2993.6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2947.2857142857142</v>
      </c>
      <c r="E9" s="45">
        <f t="shared" si="2"/>
        <v>2947.2857142857142</v>
      </c>
      <c r="F9" s="45">
        <f t="shared" si="2"/>
        <v>2947.2857142857142</v>
      </c>
      <c r="G9" s="45">
        <f t="shared" si="2"/>
        <v>2947.2857142857142</v>
      </c>
      <c r="H9" s="45">
        <f t="shared" si="2"/>
        <v>2947.2857142857142</v>
      </c>
      <c r="I9" s="45">
        <f t="shared" si="2"/>
        <v>2947.2857142857142</v>
      </c>
      <c r="J9" s="45">
        <f t="shared" si="2"/>
        <v>2947.2857142857142</v>
      </c>
      <c r="K9" s="45">
        <f t="shared" si="2"/>
        <v>2947.2857142857142</v>
      </c>
      <c r="L9" s="45">
        <f t="shared" si="2"/>
        <v>2947.2857142857142</v>
      </c>
      <c r="M9" s="45">
        <f t="shared" si="2"/>
        <v>2947.2857142857142</v>
      </c>
      <c r="N9" s="45">
        <f t="shared" si="2"/>
        <v>2947.2857142857142</v>
      </c>
      <c r="O9" s="45">
        <f t="shared" si="2"/>
        <v>2947.2857142857142</v>
      </c>
      <c r="P9" s="45">
        <f t="shared" si="2"/>
        <v>2947.2857142857142</v>
      </c>
      <c r="Q9" s="45">
        <f t="shared" si="2"/>
        <v>2947.2857142857142</v>
      </c>
      <c r="R9" s="45">
        <f t="shared" si="2"/>
        <v>2947.2857142857142</v>
      </c>
      <c r="S9" s="45">
        <f t="shared" si="2"/>
        <v>2947.2857142857142</v>
      </c>
      <c r="T9" s="45">
        <f t="shared" si="2"/>
        <v>2947.2857142857142</v>
      </c>
      <c r="U9" s="45">
        <f t="shared" si="2"/>
        <v>2947.2857142857142</v>
      </c>
      <c r="V9" s="45">
        <f t="shared" si="2"/>
        <v>2947.2857142857142</v>
      </c>
      <c r="W9" s="45">
        <f t="shared" si="2"/>
        <v>2947.2857142857142</v>
      </c>
      <c r="X9" s="45">
        <f>AVERAGE($D8:$X8)</f>
        <v>2947.2857142857142</v>
      </c>
      <c r="Y9" s="45">
        <f t="shared" ref="Y9" si="3">AVERAGE($D8:$X8)</f>
        <v>2947.2857142857142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0.99462023169017499</v>
      </c>
      <c r="E10" s="53">
        <f t="shared" si="4"/>
        <v>1.0277150889438225</v>
      </c>
      <c r="F10" s="53">
        <f t="shared" si="4"/>
        <v>0.99481362997431055</v>
      </c>
      <c r="G10" s="53">
        <f t="shared" si="4"/>
        <v>1.1515137414570307</v>
      </c>
      <c r="H10" s="53">
        <f t="shared" si="4"/>
        <v>1.0544447675827637</v>
      </c>
      <c r="I10" s="53">
        <f t="shared" si="4"/>
        <v>1.1021361058601133</v>
      </c>
      <c r="J10" s="53">
        <f t="shared" si="4"/>
        <v>1.0738456691386749</v>
      </c>
      <c r="K10" s="53">
        <f t="shared" si="4"/>
        <v>0.96275362318840585</v>
      </c>
      <c r="L10" s="53">
        <f t="shared" si="4"/>
        <v>0.97436430614124381</v>
      </c>
      <c r="M10" s="53">
        <f t="shared" si="4"/>
        <v>0.96709320924821873</v>
      </c>
      <c r="N10" s="53">
        <f t="shared" si="4"/>
        <v>1.0371949978188164</v>
      </c>
      <c r="O10" s="53">
        <f t="shared" si="4"/>
        <v>1.0769570064466094</v>
      </c>
      <c r="P10" s="53">
        <f t="shared" si="4"/>
        <v>1.0482695942998401</v>
      </c>
      <c r="Q10" s="53">
        <f t="shared" si="4"/>
        <v>0.97232174882458444</v>
      </c>
      <c r="R10" s="53">
        <f t="shared" si="4"/>
        <v>0.926605108816829</v>
      </c>
      <c r="S10" s="53">
        <f t="shared" si="4"/>
        <v>0.94563278561388209</v>
      </c>
      <c r="T10" s="53">
        <f t="shared" ref="T10:Y10" si="5">IF(T8=0,0,T8/T9)</f>
        <v>0.99088798410159462</v>
      </c>
      <c r="U10" s="53">
        <f t="shared" si="5"/>
        <v>0.99036207648684027</v>
      </c>
      <c r="V10" s="53">
        <f t="shared" si="5"/>
        <v>0.93254956133973144</v>
      </c>
      <c r="W10" s="53">
        <f t="shared" si="5"/>
        <v>0.87138820221996027</v>
      </c>
      <c r="X10" s="53">
        <f t="shared" si="5"/>
        <v>0.90453056080655325</v>
      </c>
      <c r="Y10" s="53">
        <f t="shared" si="5"/>
        <v>1.0157142164703601</v>
      </c>
    </row>
    <row r="11" spans="1:25" x14ac:dyDescent="0.25">
      <c r="A11" s="43" t="s">
        <v>251</v>
      </c>
      <c r="B11" s="44"/>
      <c r="C11" s="44"/>
      <c r="D11" s="45">
        <v>125.43</v>
      </c>
      <c r="E11" s="45">
        <v>113.9</v>
      </c>
      <c r="F11" s="45">
        <v>98.99</v>
      </c>
      <c r="G11" s="45">
        <v>102.56</v>
      </c>
      <c r="H11" s="45">
        <v>40.049999999999997</v>
      </c>
      <c r="I11" s="45">
        <v>45.24</v>
      </c>
      <c r="J11" s="45">
        <v>79.02</v>
      </c>
      <c r="K11" s="45">
        <v>166.02</v>
      </c>
      <c r="L11" s="45">
        <v>95.5</v>
      </c>
      <c r="M11" s="45">
        <v>74.94</v>
      </c>
      <c r="N11" s="45">
        <v>131.82</v>
      </c>
      <c r="O11" s="45">
        <v>78.94</v>
      </c>
      <c r="P11" s="45">
        <v>209.43</v>
      </c>
      <c r="Q11" s="45">
        <v>90.49</v>
      </c>
      <c r="R11" s="45">
        <v>62.82</v>
      </c>
      <c r="S11" s="45">
        <v>165.79</v>
      </c>
      <c r="T11" s="45">
        <v>108.2</v>
      </c>
      <c r="U11" s="45">
        <v>130.9</v>
      </c>
      <c r="V11" s="45">
        <v>84.67</v>
      </c>
      <c r="W11" s="45">
        <v>123.62</v>
      </c>
      <c r="X11" s="45">
        <v>96.36</v>
      </c>
      <c r="Y11" s="45">
        <v>137.94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105.93761904761905</v>
      </c>
      <c r="E12" s="45">
        <f t="shared" ref="E12" si="7">AVERAGE($D11:$X11)</f>
        <v>105.93761904761905</v>
      </c>
      <c r="F12" s="45">
        <f t="shared" ref="F12" si="8">AVERAGE($D11:$X11)</f>
        <v>105.93761904761905</v>
      </c>
      <c r="G12" s="45">
        <f t="shared" ref="G12" si="9">AVERAGE($D11:$X11)</f>
        <v>105.93761904761905</v>
      </c>
      <c r="H12" s="45">
        <f t="shared" ref="H12" si="10">AVERAGE($D11:$X11)</f>
        <v>105.93761904761905</v>
      </c>
      <c r="I12" s="45">
        <f t="shared" ref="I12" si="11">AVERAGE($D11:$X11)</f>
        <v>105.93761904761905</v>
      </c>
      <c r="J12" s="45">
        <f t="shared" ref="J12" si="12">AVERAGE($D11:$X11)</f>
        <v>105.93761904761905</v>
      </c>
      <c r="K12" s="45">
        <f t="shared" ref="K12" si="13">AVERAGE($D11:$X11)</f>
        <v>105.93761904761905</v>
      </c>
      <c r="L12" s="45">
        <f t="shared" ref="L12" si="14">AVERAGE($D11:$X11)</f>
        <v>105.93761904761905</v>
      </c>
      <c r="M12" s="45">
        <f t="shared" ref="M12" si="15">AVERAGE($D11:$X11)</f>
        <v>105.93761904761905</v>
      </c>
      <c r="N12" s="45">
        <f t="shared" ref="N12" si="16">AVERAGE($D11:$X11)</f>
        <v>105.93761904761905</v>
      </c>
      <c r="O12" s="45">
        <f t="shared" ref="O12" si="17">AVERAGE($D11:$X11)</f>
        <v>105.93761904761905</v>
      </c>
      <c r="P12" s="45">
        <f t="shared" ref="P12" si="18">AVERAGE($D11:$X11)</f>
        <v>105.93761904761905</v>
      </c>
      <c r="Q12" s="45">
        <f t="shared" ref="Q12" si="19">AVERAGE($D11:$X11)</f>
        <v>105.93761904761905</v>
      </c>
      <c r="R12" s="45">
        <f t="shared" ref="R12" si="20">AVERAGE($D11:$X11)</f>
        <v>105.93761904761905</v>
      </c>
      <c r="S12" s="45">
        <f t="shared" ref="S12" si="21">AVERAGE($D11:$X11)</f>
        <v>105.93761904761905</v>
      </c>
      <c r="T12" s="45">
        <f t="shared" ref="T12" si="22">AVERAGE($D11:$X11)</f>
        <v>105.93761904761905</v>
      </c>
      <c r="U12" s="45">
        <f t="shared" ref="U12" si="23">AVERAGE($D11:$X11)</f>
        <v>105.93761904761905</v>
      </c>
      <c r="V12" s="45">
        <f t="shared" ref="V12" si="24">AVERAGE($D11:$X11)</f>
        <v>105.93761904761905</v>
      </c>
      <c r="W12" s="45">
        <f t="shared" ref="W12" si="25">AVERAGE($D11:$X11)</f>
        <v>105.93761904761905</v>
      </c>
      <c r="X12" s="45">
        <f>AVERAGE($D11:$X11)</f>
        <v>105.93761904761905</v>
      </c>
      <c r="Y12" s="45">
        <f t="shared" ref="Y12" si="26">AVERAGE($D11:$X11)</f>
        <v>105.93761904761905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1.1839986694775453</v>
      </c>
      <c r="E13" s="55">
        <f t="shared" si="27"/>
        <v>1.0751610336721071</v>
      </c>
      <c r="F13" s="55">
        <f t="shared" ref="F13" si="28">IF(F11=0,0,F11/F12)</f>
        <v>0.93441782900089443</v>
      </c>
      <c r="G13" s="55">
        <f t="shared" ref="G13" si="29">IF(G11=0,0,G11/G12)</f>
        <v>0.9681169061756919</v>
      </c>
      <c r="H13" s="55">
        <f t="shared" ref="H13" si="30">IF(H11=0,0,H11/H12)</f>
        <v>0.37805267250718072</v>
      </c>
      <c r="I13" s="55">
        <f t="shared" ref="I13" si="31">IF(I11=0,0,I11/I12)</f>
        <v>0.42704376789575177</v>
      </c>
      <c r="J13" s="55">
        <f t="shared" ref="J13" si="32">IF(J11=0,0,J11/J12)</f>
        <v>0.7459106662051791</v>
      </c>
      <c r="K13" s="55">
        <f t="shared" ref="K13" si="33">IF(K11=0,0,K11/K12)</f>
        <v>1.5671486813893172</v>
      </c>
      <c r="L13" s="55">
        <f t="shared" ref="L13" si="34">IF(L11=0,0,L11/L12)</f>
        <v>0.90147391321936987</v>
      </c>
      <c r="M13" s="55">
        <f t="shared" ref="M13" si="35">IF(M11=0,0,M11/M12)</f>
        <v>0.70739743514826781</v>
      </c>
      <c r="N13" s="55">
        <f t="shared" ref="N13" si="36">IF(N11=0,0,N11/N12)</f>
        <v>1.2443171857652076</v>
      </c>
      <c r="O13" s="55">
        <f t="shared" ref="O13" si="37">IF(O11=0,0,O11/O12)</f>
        <v>0.74515550481190629</v>
      </c>
      <c r="P13" s="55">
        <f t="shared" ref="P13" si="38">IF(P11=0,0,P11/P12)</f>
        <v>1.9769181324139542</v>
      </c>
      <c r="Q13" s="55">
        <f t="shared" ref="Q13" si="39">IF(Q11=0,0,Q11/Q12)</f>
        <v>0.85418193096566253</v>
      </c>
      <c r="R13" s="55">
        <f t="shared" ref="R13" si="40">IF(R11=0,0,R11/R12)</f>
        <v>0.59299048406744304</v>
      </c>
      <c r="S13" s="55">
        <f t="shared" ref="S13:Y13" si="41">IF(S11=0,0,S11/S12)</f>
        <v>1.5649775923836577</v>
      </c>
      <c r="T13" s="55">
        <f t="shared" si="41"/>
        <v>1.0213557844014223</v>
      </c>
      <c r="U13" s="55">
        <f t="shared" si="41"/>
        <v>1.2356328297425709</v>
      </c>
      <c r="V13" s="55">
        <f t="shared" si="41"/>
        <v>0.79924393960506857</v>
      </c>
      <c r="W13" s="55">
        <f t="shared" si="41"/>
        <v>1.1669131429547488</v>
      </c>
      <c r="X13" s="55">
        <f t="shared" si="41"/>
        <v>0.90959189819705211</v>
      </c>
      <c r="Y13" s="55">
        <f t="shared" si="41"/>
        <v>1.3020870323505747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92363.99626857182</v>
      </c>
      <c r="E16" s="42">
        <v>97183.329027813656</v>
      </c>
      <c r="F16" s="42">
        <v>102724.87553792929</v>
      </c>
      <c r="G16" s="42">
        <v>105129.07538825466</v>
      </c>
      <c r="H16" s="42">
        <v>116092.94816352418</v>
      </c>
      <c r="I16" s="42">
        <v>121512.77646553575</v>
      </c>
      <c r="J16" s="42">
        <v>131267.77299180382</v>
      </c>
      <c r="K16" s="42">
        <v>140763.8605507825</v>
      </c>
      <c r="L16" s="42">
        <v>153865.35393399949</v>
      </c>
      <c r="M16" s="42">
        <v>145376.11312999966</v>
      </c>
      <c r="N16" s="42">
        <v>139705.4050816262</v>
      </c>
      <c r="O16" s="42">
        <v>146015.68511705863</v>
      </c>
      <c r="P16" s="42">
        <v>148826.85980429858</v>
      </c>
      <c r="Q16" s="42">
        <v>149227.80567765379</v>
      </c>
      <c r="R16" s="42">
        <v>155376.35740534292</v>
      </c>
      <c r="S16" s="42">
        <v>160287.79999999999</v>
      </c>
      <c r="T16" s="42">
        <v>164867.9535007333</v>
      </c>
      <c r="U16" s="42">
        <v>178380.78376955836</v>
      </c>
      <c r="V16" s="42">
        <v>189136.60810984453</v>
      </c>
      <c r="W16" s="42">
        <v>196423.90256724789</v>
      </c>
      <c r="X16" s="42">
        <v>189200.41875471958</v>
      </c>
      <c r="Y16" s="42">
        <v>200001.07611439921</v>
      </c>
    </row>
    <row r="17" spans="1:25" x14ac:dyDescent="0.25">
      <c r="A17" s="46" t="s">
        <v>141</v>
      </c>
      <c r="B17" s="47"/>
      <c r="C17" s="47"/>
      <c r="D17" s="57">
        <v>44875.263047983164</v>
      </c>
      <c r="E17" s="57">
        <v>48615.937967115096</v>
      </c>
      <c r="F17" s="57">
        <v>52065.970330474302</v>
      </c>
      <c r="G17" s="57">
        <v>56429.077899893637</v>
      </c>
      <c r="H17" s="57">
        <v>65367.703740248529</v>
      </c>
      <c r="I17" s="57">
        <v>72705.171879838963</v>
      </c>
      <c r="J17" s="57">
        <v>80126.357685760187</v>
      </c>
      <c r="K17" s="57">
        <v>91216.285041274969</v>
      </c>
      <c r="L17" s="57">
        <v>99154.623894976452</v>
      </c>
      <c r="M17" s="57">
        <v>92857.226771302041</v>
      </c>
      <c r="N17" s="57">
        <v>88225.379757637827</v>
      </c>
      <c r="O17" s="57">
        <v>92187.3515991163</v>
      </c>
      <c r="P17" s="57">
        <v>93926.806896120412</v>
      </c>
      <c r="Q17" s="57">
        <v>89276.816608996538</v>
      </c>
      <c r="R17" s="57">
        <v>92903.858797349923</v>
      </c>
      <c r="S17" s="57">
        <v>98393</v>
      </c>
      <c r="T17" s="57">
        <v>104340.22273502559</v>
      </c>
      <c r="U17" s="57">
        <v>116408.15798894237</v>
      </c>
      <c r="V17" s="57">
        <v>127385.02804194098</v>
      </c>
      <c r="W17" s="57">
        <v>131727.41769595863</v>
      </c>
      <c r="X17" s="57">
        <v>126646.86363166357</v>
      </c>
      <c r="Y17" s="57">
        <v>135730.72108047848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4113.2042469165917</v>
      </c>
      <c r="E20" s="42">
        <f t="shared" ref="E20:S20" si="42">1000000*E16/E$3</f>
        <v>4332.6504238328116</v>
      </c>
      <c r="F20" s="42">
        <f t="shared" si="42"/>
        <v>4704.9238794345956</v>
      </c>
      <c r="G20" s="42">
        <f t="shared" si="42"/>
        <v>4860.8961572160088</v>
      </c>
      <c r="H20" s="42">
        <f t="shared" si="42"/>
        <v>5394.3674626339152</v>
      </c>
      <c r="I20" s="42">
        <f t="shared" si="42"/>
        <v>5682.8530883707072</v>
      </c>
      <c r="J20" s="42">
        <f t="shared" si="42"/>
        <v>6175.2681087413121</v>
      </c>
      <c r="K20" s="42">
        <f t="shared" si="42"/>
        <v>6661.642676030121</v>
      </c>
      <c r="L20" s="42">
        <f t="shared" si="42"/>
        <v>7456.3568698734834</v>
      </c>
      <c r="M20" s="42">
        <f t="shared" si="42"/>
        <v>7112.2333944381253</v>
      </c>
      <c r="N20" s="42">
        <f t="shared" si="42"/>
        <v>6883.8426834075799</v>
      </c>
      <c r="O20" s="42">
        <f t="shared" si="42"/>
        <v>7228.8360124626906</v>
      </c>
      <c r="P20" s="42">
        <f t="shared" si="42"/>
        <v>7405.7966474664199</v>
      </c>
      <c r="Q20" s="42">
        <f t="shared" si="42"/>
        <v>7453.9087956245203</v>
      </c>
      <c r="R20" s="42">
        <f t="shared" si="42"/>
        <v>7789.3384930601887</v>
      </c>
      <c r="S20" s="42">
        <f t="shared" si="42"/>
        <v>8066.5616977645468</v>
      </c>
      <c r="T20" s="42">
        <f t="shared" ref="T20:Y20" si="43">1000000*T16/T$3</f>
        <v>8343.2729092146474</v>
      </c>
      <c r="U20" s="42">
        <f t="shared" si="43"/>
        <v>9080.6987825899141</v>
      </c>
      <c r="V20" s="42">
        <f t="shared" si="43"/>
        <v>9682.6883088500472</v>
      </c>
      <c r="W20" s="42">
        <f t="shared" si="43"/>
        <v>10117.403358221378</v>
      </c>
      <c r="X20" s="42">
        <f t="shared" si="43"/>
        <v>9788.5045523543413</v>
      </c>
      <c r="Y20" s="42">
        <f t="shared" si="43"/>
        <v>10415.821094778108</v>
      </c>
    </row>
    <row r="21" spans="1:25" x14ac:dyDescent="0.25">
      <c r="A21" s="46" t="s">
        <v>141</v>
      </c>
      <c r="B21" s="47"/>
      <c r="C21" s="47"/>
      <c r="D21" s="57">
        <f>1000000*D17/D$3</f>
        <v>1998.409878387537</v>
      </c>
      <c r="E21" s="57">
        <f t="shared" ref="E21:S21" si="44">1000000*E17/E$3</f>
        <v>2167.4073768142616</v>
      </c>
      <c r="F21" s="57">
        <f t="shared" si="44"/>
        <v>2384.6845842449557</v>
      </c>
      <c r="G21" s="57">
        <f t="shared" si="44"/>
        <v>2609.1344084005996</v>
      </c>
      <c r="H21" s="57">
        <f t="shared" si="44"/>
        <v>3037.3715177497797</v>
      </c>
      <c r="I21" s="57">
        <f t="shared" si="44"/>
        <v>3400.2417077108985</v>
      </c>
      <c r="J21" s="57">
        <f t="shared" si="44"/>
        <v>3769.407601036768</v>
      </c>
      <c r="K21" s="57">
        <f t="shared" si="44"/>
        <v>4316.8061376141859</v>
      </c>
      <c r="L21" s="57">
        <f t="shared" si="44"/>
        <v>4805.0600226491897</v>
      </c>
      <c r="M21" s="57">
        <f t="shared" si="44"/>
        <v>4542.8527076329174</v>
      </c>
      <c r="N21" s="57">
        <f t="shared" si="44"/>
        <v>4347.2164486450874</v>
      </c>
      <c r="O21" s="57">
        <f t="shared" si="44"/>
        <v>4563.9428846223136</v>
      </c>
      <c r="P21" s="57">
        <f t="shared" si="44"/>
        <v>4673.9065282517176</v>
      </c>
      <c r="Q21" s="57">
        <f t="shared" si="44"/>
        <v>4459.3649658336199</v>
      </c>
      <c r="R21" s="57">
        <f t="shared" si="44"/>
        <v>4657.4627927217825</v>
      </c>
      <c r="S21" s="57">
        <f t="shared" si="44"/>
        <v>4951.6757053758747</v>
      </c>
      <c r="T21" s="57">
        <f t="shared" ref="T21:Y21" si="45">1000000*T17/T$3</f>
        <v>5280.2193222025353</v>
      </c>
      <c r="U21" s="57">
        <f t="shared" si="45"/>
        <v>5925.9041035456958</v>
      </c>
      <c r="V21" s="57">
        <f t="shared" si="45"/>
        <v>6521.3685180813891</v>
      </c>
      <c r="W21" s="57">
        <f t="shared" si="45"/>
        <v>6785.0164911098027</v>
      </c>
      <c r="X21" s="57">
        <f t="shared" si="45"/>
        <v>6552.2233479148399</v>
      </c>
      <c r="Y21" s="57">
        <f t="shared" si="45"/>
        <v>7068.6965055669916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81796.983085642874</v>
      </c>
      <c r="E23" s="60">
        <v>86510.286848886812</v>
      </c>
      <c r="F23" s="60">
        <v>90882.942452732721</v>
      </c>
      <c r="G23" s="60">
        <v>92955.25430639078</v>
      </c>
      <c r="H23" s="60">
        <v>102816.85864470463</v>
      </c>
      <c r="I23" s="60">
        <v>106947.87797600927</v>
      </c>
      <c r="J23" s="60">
        <v>116032.48850705659</v>
      </c>
      <c r="K23" s="60">
        <v>124178.41041819035</v>
      </c>
      <c r="L23" s="60">
        <v>135965.58890738577</v>
      </c>
      <c r="M23" s="60">
        <v>129925.02054231719</v>
      </c>
      <c r="N23" s="60">
        <v>123203.13422422583</v>
      </c>
      <c r="O23" s="60">
        <v>128517.13617730624</v>
      </c>
      <c r="P23" s="60">
        <v>131100.38219544134</v>
      </c>
      <c r="Q23" s="60">
        <v>131638.55623132066</v>
      </c>
      <c r="R23" s="60">
        <v>137130.83341918205</v>
      </c>
      <c r="S23" s="60">
        <v>140797</v>
      </c>
      <c r="T23" s="60">
        <v>144761.98291258389</v>
      </c>
      <c r="U23" s="60">
        <v>156926.79249497433</v>
      </c>
      <c r="V23" s="60">
        <v>165782.47024709586</v>
      </c>
      <c r="W23" s="60">
        <v>171871.20229832456</v>
      </c>
      <c r="X23" s="60">
        <v>166040.5994437295</v>
      </c>
      <c r="Y23" s="60">
        <v>174785.05854763449</v>
      </c>
    </row>
    <row r="24" spans="1:25" x14ac:dyDescent="0.25">
      <c r="A24" s="61" t="s">
        <v>33</v>
      </c>
      <c r="B24" s="62"/>
      <c r="C24" s="62"/>
      <c r="D24" s="63">
        <v>9831.9721515597812</v>
      </c>
      <c r="E24" s="63">
        <v>12538.971737569178</v>
      </c>
      <c r="F24" s="63">
        <v>11412.955883872301</v>
      </c>
      <c r="G24" s="63">
        <v>12413.209662623585</v>
      </c>
      <c r="H24" s="63">
        <v>14563.257870467009</v>
      </c>
      <c r="I24" s="63">
        <v>10234.122876453755</v>
      </c>
      <c r="J24" s="63">
        <v>10190.18643363579</v>
      </c>
      <c r="K24" s="63">
        <v>7664.8582562848633</v>
      </c>
      <c r="L24" s="63">
        <v>9551.9733644908138</v>
      </c>
      <c r="M24" s="63">
        <v>8740.2994613347946</v>
      </c>
      <c r="N24" s="63">
        <v>7130.0381044383612</v>
      </c>
      <c r="O24" s="63">
        <v>8642.7350785779454</v>
      </c>
      <c r="P24" s="63">
        <v>6734.4114296664575</v>
      </c>
      <c r="Q24" s="63">
        <v>8229.774071519636</v>
      </c>
      <c r="R24" s="63">
        <v>7673.5345626867211</v>
      </c>
      <c r="S24" s="63">
        <v>7094.3</v>
      </c>
      <c r="T24" s="63">
        <v>6940.4836607616935</v>
      </c>
      <c r="U24" s="63">
        <v>7700.4690641054285</v>
      </c>
      <c r="V24" s="63">
        <v>8366.6589578923013</v>
      </c>
      <c r="W24" s="63">
        <v>8397.4440461359845</v>
      </c>
      <c r="X24" s="63">
        <v>7649.7986632902976</v>
      </c>
      <c r="Y24" s="63">
        <v>9209.9470950288542</v>
      </c>
    </row>
    <row r="25" spans="1:25" x14ac:dyDescent="0.25">
      <c r="A25" s="64" t="s">
        <v>56</v>
      </c>
      <c r="B25" s="65"/>
      <c r="C25" s="65"/>
      <c r="D25" s="66">
        <v>1857.6784040701566</v>
      </c>
      <c r="E25" s="66">
        <v>1751.5102868488868</v>
      </c>
      <c r="F25" s="66">
        <v>1825.8084512862897</v>
      </c>
      <c r="G25" s="66">
        <v>1516.0534094383854</v>
      </c>
      <c r="H25" s="66">
        <v>1548.2854811469342</v>
      </c>
      <c r="I25" s="66">
        <v>1619.2230408573344</v>
      </c>
      <c r="J25" s="66">
        <v>1843.4279127742557</v>
      </c>
      <c r="K25" s="66">
        <v>1761.8356275038479</v>
      </c>
      <c r="L25" s="66">
        <v>1467.6413718941612</v>
      </c>
      <c r="M25" s="66">
        <v>1842.5317264676346</v>
      </c>
      <c r="N25" s="66">
        <v>2048.8380829710727</v>
      </c>
      <c r="O25" s="66">
        <v>1245.2952832265707</v>
      </c>
      <c r="P25" s="66">
        <v>2369.9311196516592</v>
      </c>
      <c r="Q25" s="66">
        <v>1618.4922774677618</v>
      </c>
      <c r="R25" s="66">
        <v>1256.824971669929</v>
      </c>
      <c r="S25" s="66">
        <v>1478</v>
      </c>
      <c r="T25" s="66">
        <v>1059.0336438673553</v>
      </c>
      <c r="U25" s="66">
        <v>1112.5381579927036</v>
      </c>
      <c r="V25" s="66">
        <v>1341.6825289523777</v>
      </c>
      <c r="W25" s="66">
        <v>1704.2517309468726</v>
      </c>
      <c r="X25" s="66">
        <v>1519.3656855826312</v>
      </c>
      <c r="Y25" s="66">
        <v>1226.1787563730081</v>
      </c>
    </row>
    <row r="26" spans="1:25" x14ac:dyDescent="0.25">
      <c r="A26" s="67" t="s">
        <v>146</v>
      </c>
      <c r="B26" s="44"/>
      <c r="C26" s="44"/>
      <c r="D26" s="45">
        <v>45387.378944079981</v>
      </c>
      <c r="E26" s="45">
        <v>44002.788221874849</v>
      </c>
      <c r="F26" s="45">
        <v>46758.549436925299</v>
      </c>
      <c r="G26" s="45">
        <v>47927.224543879311</v>
      </c>
      <c r="H26" s="45">
        <v>52560.487314268372</v>
      </c>
      <c r="I26" s="45">
        <v>58679.291237898091</v>
      </c>
      <c r="J26" s="45">
        <v>63825.843374301367</v>
      </c>
      <c r="K26" s="45">
        <v>69800.23796788523</v>
      </c>
      <c r="L26" s="45">
        <v>71660.273179407115</v>
      </c>
      <c r="M26" s="45">
        <v>70393.499497854486</v>
      </c>
      <c r="N26" s="45">
        <v>66368.700692320068</v>
      </c>
      <c r="O26" s="45">
        <v>64833.146367801382</v>
      </c>
      <c r="P26" s="45">
        <v>76154.411216744222</v>
      </c>
      <c r="Q26" s="45">
        <v>78266.035488118374</v>
      </c>
      <c r="R26" s="45">
        <v>81505.408468115827</v>
      </c>
      <c r="S26" s="45">
        <v>86946.099999999977</v>
      </c>
      <c r="T26" s="45">
        <v>91708.741613167964</v>
      </c>
      <c r="U26" s="45">
        <v>101464.98771498774</v>
      </c>
      <c r="V26" s="45">
        <v>107119.43856403323</v>
      </c>
      <c r="W26" s="45">
        <v>113698.76015898443</v>
      </c>
      <c r="X26" s="45">
        <v>112383.49454107684</v>
      </c>
      <c r="Y26" s="45">
        <v>117865.55254079925</v>
      </c>
    </row>
    <row r="27" spans="1:25" x14ac:dyDescent="0.25">
      <c r="A27" s="68" t="s">
        <v>148</v>
      </c>
      <c r="B27" s="69"/>
      <c r="C27" s="69"/>
      <c r="D27" s="70">
        <v>16736.064622662561</v>
      </c>
      <c r="E27" s="70">
        <v>16858.392125385493</v>
      </c>
      <c r="F27" s="70">
        <v>18434.75565657609</v>
      </c>
      <c r="G27" s="70">
        <v>19290.388339618796</v>
      </c>
      <c r="H27" s="70">
        <v>21493.633413666808</v>
      </c>
      <c r="I27" s="70">
        <v>24476.039700420144</v>
      </c>
      <c r="J27" s="70">
        <v>26106.204179008455</v>
      </c>
      <c r="K27" s="70">
        <v>26496.850746105731</v>
      </c>
      <c r="L27" s="70">
        <v>27843.102788663367</v>
      </c>
      <c r="M27" s="70">
        <v>28864.123984296537</v>
      </c>
      <c r="N27" s="70">
        <v>27920.141684108839</v>
      </c>
      <c r="O27" s="70">
        <v>24464.42238134678</v>
      </c>
      <c r="P27" s="70">
        <v>28235.726224569105</v>
      </c>
      <c r="Q27" s="70">
        <v>30216.732501515249</v>
      </c>
      <c r="R27" s="70">
        <v>31390.439888740086</v>
      </c>
      <c r="S27" s="70">
        <v>30976.200000000004</v>
      </c>
      <c r="T27" s="70">
        <v>34072.018149345946</v>
      </c>
      <c r="U27" s="70">
        <v>38238.496761224043</v>
      </c>
      <c r="V27" s="70">
        <v>42055.485385942753</v>
      </c>
      <c r="W27" s="70">
        <v>45533.012991635522</v>
      </c>
      <c r="X27" s="70">
        <v>42819.212088505126</v>
      </c>
      <c r="Y27" s="70">
        <v>41855.595841237067</v>
      </c>
    </row>
    <row r="28" spans="1:25" x14ac:dyDescent="0.25">
      <c r="A28" s="68" t="s">
        <v>150</v>
      </c>
      <c r="B28" s="71"/>
      <c r="C28" s="71"/>
      <c r="D28" s="70">
        <v>18320.167804703888</v>
      </c>
      <c r="E28" s="70">
        <v>17757.593680030419</v>
      </c>
      <c r="F28" s="70">
        <v>19069.945242277092</v>
      </c>
      <c r="G28" s="70">
        <v>18458.261135460198</v>
      </c>
      <c r="H28" s="70">
        <v>19918.401427026205</v>
      </c>
      <c r="I28" s="70">
        <v>21633.988917980885</v>
      </c>
      <c r="J28" s="70">
        <v>23609.923469729663</v>
      </c>
      <c r="K28" s="70">
        <v>28082.502810859198</v>
      </c>
      <c r="L28" s="70">
        <v>28207.790059247469</v>
      </c>
      <c r="M28" s="70">
        <v>28158.038893453853</v>
      </c>
      <c r="N28" s="70">
        <v>28885.418343798636</v>
      </c>
      <c r="O28" s="70">
        <v>30843.441703448203</v>
      </c>
      <c r="P28" s="70">
        <v>32133.906803930546</v>
      </c>
      <c r="Q28" s="70">
        <v>36326.833448283069</v>
      </c>
      <c r="R28" s="70">
        <v>36901.51437107243</v>
      </c>
      <c r="S28" s="70">
        <v>40509.300000000003</v>
      </c>
      <c r="T28" s="70">
        <v>40346.189120046343</v>
      </c>
      <c r="U28" s="70">
        <v>43949.352244806796</v>
      </c>
      <c r="V28" s="70">
        <v>44431.00350452742</v>
      </c>
      <c r="W28" s="70">
        <v>47502.944940211361</v>
      </c>
      <c r="X28" s="70">
        <v>46770.64220183486</v>
      </c>
      <c r="Y28" s="70">
        <v>48612.945310186406</v>
      </c>
    </row>
    <row r="29" spans="1:25" x14ac:dyDescent="0.25">
      <c r="A29" s="68" t="s">
        <v>152</v>
      </c>
      <c r="B29" s="71"/>
      <c r="C29" s="71"/>
      <c r="D29" s="70">
        <v>10331.146516713525</v>
      </c>
      <c r="E29" s="70">
        <v>9386.8024164589406</v>
      </c>
      <c r="F29" s="70">
        <v>9253.8485380721158</v>
      </c>
      <c r="G29" s="70">
        <v>10178.575068800325</v>
      </c>
      <c r="H29" s="70">
        <v>11148.452473575357</v>
      </c>
      <c r="I29" s="70">
        <v>12569.262619497053</v>
      </c>
      <c r="J29" s="70">
        <v>14109.715725563237</v>
      </c>
      <c r="K29" s="70">
        <v>15220.884410920304</v>
      </c>
      <c r="L29" s="70">
        <v>15609.380331496292</v>
      </c>
      <c r="M29" s="70">
        <v>13371.336620104083</v>
      </c>
      <c r="N29" s="70">
        <v>9563.1406644125909</v>
      </c>
      <c r="O29" s="70">
        <v>9525.2822830064015</v>
      </c>
      <c r="P29" s="70">
        <v>15784.778188244574</v>
      </c>
      <c r="Q29" s="70">
        <v>11722.469538320056</v>
      </c>
      <c r="R29" s="70">
        <v>13213.454208303305</v>
      </c>
      <c r="S29" s="70">
        <v>15460.599999999984</v>
      </c>
      <c r="T29" s="70">
        <v>17290.534343775649</v>
      </c>
      <c r="U29" s="70">
        <v>19277.138708956889</v>
      </c>
      <c r="V29" s="70">
        <v>20632.949673563067</v>
      </c>
      <c r="W29" s="70">
        <v>20662.80222713753</v>
      </c>
      <c r="X29" s="70">
        <v>22793.64025073684</v>
      </c>
      <c r="Y29" s="70">
        <v>27397.011389375784</v>
      </c>
    </row>
    <row r="30" spans="1:25" x14ac:dyDescent="0.25">
      <c r="A30" s="64" t="s">
        <v>154</v>
      </c>
      <c r="B30" s="65"/>
      <c r="C30" s="65"/>
      <c r="D30" s="66">
        <v>3070.0227607444103</v>
      </c>
      <c r="E30" s="66">
        <v>2752.1017278526469</v>
      </c>
      <c r="F30" s="66">
        <v>4146.7093708027687</v>
      </c>
      <c r="G30" s="66">
        <v>3709.9174396086028</v>
      </c>
      <c r="H30" s="66">
        <v>3785.9840218608269</v>
      </c>
      <c r="I30" s="66">
        <v>4101.4126529866662</v>
      </c>
      <c r="J30" s="66">
        <v>4031.8451702832022</v>
      </c>
      <c r="K30" s="66">
        <v>3744.282766977044</v>
      </c>
      <c r="L30" s="66">
        <v>4159.523538717649</v>
      </c>
      <c r="M30" s="66">
        <v>5198.5757326759795</v>
      </c>
      <c r="N30" s="66">
        <v>6157.9992486448764</v>
      </c>
      <c r="O30" s="66">
        <v>10732.939832045544</v>
      </c>
      <c r="P30" s="66">
        <v>5581.6503603709107</v>
      </c>
      <c r="Q30" s="66">
        <v>6841.5992643216914</v>
      </c>
      <c r="R30" s="66">
        <v>9745.2353971360881</v>
      </c>
      <c r="S30" s="66">
        <v>7400.2</v>
      </c>
      <c r="T30" s="66">
        <v>7125.8386832070282</v>
      </c>
      <c r="U30" s="66">
        <v>6328.1773509046234</v>
      </c>
      <c r="V30" s="66">
        <v>6452.1551954174311</v>
      </c>
      <c r="W30" s="66">
        <v>5526.4875126060388</v>
      </c>
      <c r="X30" s="66">
        <v>4982.5231433434355</v>
      </c>
      <c r="Y30" s="66">
        <v>6199.3260819106617</v>
      </c>
    </row>
    <row r="31" spans="1:25" x14ac:dyDescent="0.25">
      <c r="A31" s="64" t="s">
        <v>37</v>
      </c>
      <c r="B31" s="65"/>
      <c r="C31" s="65"/>
      <c r="D31" s="66">
        <v>4728.433078948543</v>
      </c>
      <c r="E31" s="66">
        <v>5431.9631616746228</v>
      </c>
      <c r="F31" s="66">
        <v>6208.9058787064778</v>
      </c>
      <c r="G31" s="66">
        <v>6576.4957700540208</v>
      </c>
      <c r="H31" s="66">
        <v>7312.5604873142684</v>
      </c>
      <c r="I31" s="66">
        <v>8465.8710345247528</v>
      </c>
      <c r="J31" s="66">
        <v>10382.517323182909</v>
      </c>
      <c r="K31" s="66">
        <v>13344.540383586766</v>
      </c>
      <c r="L31" s="66">
        <v>17209.889053177962</v>
      </c>
      <c r="M31" s="66">
        <v>15269.674974892725</v>
      </c>
      <c r="N31" s="66">
        <v>10991.466752535824</v>
      </c>
      <c r="O31" s="66">
        <v>9565.2265078682794</v>
      </c>
      <c r="P31" s="66">
        <v>11196.516591966443</v>
      </c>
      <c r="Q31" s="66">
        <v>10262.60789600184</v>
      </c>
      <c r="R31" s="66">
        <v>9887.0917894303093</v>
      </c>
      <c r="S31" s="66">
        <v>9492.7000000000007</v>
      </c>
      <c r="T31" s="66">
        <v>9772.2643239851332</v>
      </c>
      <c r="U31" s="66">
        <v>9461.9723028813951</v>
      </c>
      <c r="V31" s="66">
        <v>10932.524505007737</v>
      </c>
      <c r="W31" s="66">
        <v>11973.999779659151</v>
      </c>
      <c r="X31" s="66">
        <v>11993.773091452531</v>
      </c>
      <c r="Y31" s="66">
        <v>12342.78579489519</v>
      </c>
    </row>
    <row r="32" spans="1:25" x14ac:dyDescent="0.25">
      <c r="A32" s="64" t="s">
        <v>58</v>
      </c>
      <c r="B32" s="65"/>
      <c r="C32" s="65"/>
      <c r="D32" s="66">
        <v>16921.497746240009</v>
      </c>
      <c r="E32" s="66">
        <v>20032.951713066628</v>
      </c>
      <c r="F32" s="66">
        <v>20530.013431139578</v>
      </c>
      <c r="G32" s="66">
        <v>20812.353480786875</v>
      </c>
      <c r="H32" s="66">
        <v>23046.283469647224</v>
      </c>
      <c r="I32" s="66">
        <v>23847.957133288681</v>
      </c>
      <c r="J32" s="66">
        <v>25758.668292879061</v>
      </c>
      <c r="K32" s="66">
        <v>27862.655415952584</v>
      </c>
      <c r="L32" s="66">
        <v>31916.288399698078</v>
      </c>
      <c r="M32" s="66">
        <v>28480.439149091573</v>
      </c>
      <c r="N32" s="66">
        <v>30506.09134331562</v>
      </c>
      <c r="O32" s="66">
        <v>33497.7931077865</v>
      </c>
      <c r="P32" s="66">
        <v>29063.461477041652</v>
      </c>
      <c r="Q32" s="66">
        <v>26420.047233891361</v>
      </c>
      <c r="R32" s="66">
        <v>27062.738230143194</v>
      </c>
      <c r="S32" s="66">
        <v>28385.7</v>
      </c>
      <c r="T32" s="66">
        <v>28155.620987594732</v>
      </c>
      <c r="U32" s="66">
        <v>30858.647904102458</v>
      </c>
      <c r="V32" s="66">
        <v>31570.010495792787</v>
      </c>
      <c r="W32" s="66">
        <v>30570.25906999212</v>
      </c>
      <c r="X32" s="66">
        <v>27511.644318983766</v>
      </c>
      <c r="Y32" s="66">
        <v>27941.268278627511</v>
      </c>
    </row>
    <row r="33" spans="1:25" x14ac:dyDescent="0.25">
      <c r="A33" s="72" t="s">
        <v>158</v>
      </c>
      <c r="B33" s="65"/>
      <c r="C33" s="65"/>
      <c r="D33" s="66">
        <v>880.7515508546436</v>
      </c>
      <c r="E33" s="66">
        <v>944.82700350640027</v>
      </c>
      <c r="F33" s="66">
        <v>899.05982022936246</v>
      </c>
      <c r="G33" s="66">
        <v>768.52512485985119</v>
      </c>
      <c r="H33" s="66">
        <v>1002.3340987152969</v>
      </c>
      <c r="I33" s="66">
        <v>918.07221579492182</v>
      </c>
      <c r="J33" s="66">
        <v>964.60307461366278</v>
      </c>
      <c r="K33" s="66">
        <v>1058.7387702081674</v>
      </c>
      <c r="L33" s="66">
        <v>1107.4002460889437</v>
      </c>
      <c r="M33" s="66">
        <v>659.86487720259299</v>
      </c>
      <c r="N33" s="66">
        <v>2062.2551387323565</v>
      </c>
      <c r="O33" s="66">
        <v>1829.6761477412119</v>
      </c>
      <c r="P33" s="66">
        <v>1655.7898883222792</v>
      </c>
      <c r="Q33" s="66">
        <v>1360.6913704098479</v>
      </c>
      <c r="R33" s="66">
        <v>1159.4725455856599</v>
      </c>
      <c r="S33" s="66">
        <v>1236.2</v>
      </c>
      <c r="T33" s="66">
        <v>1149.2976782352657</v>
      </c>
      <c r="U33" s="66">
        <v>1414.8239148239149</v>
      </c>
      <c r="V33" s="66">
        <v>1450.376247487236</v>
      </c>
      <c r="W33" s="66">
        <v>1080.6871244671565</v>
      </c>
      <c r="X33" s="66">
        <v>642.78301299348254</v>
      </c>
      <c r="Y33" s="66">
        <v>1459.889067639926</v>
      </c>
    </row>
    <row r="34" spans="1:25" x14ac:dyDescent="0.25">
      <c r="A34" s="73" t="s">
        <v>5</v>
      </c>
      <c r="B34" s="65"/>
      <c r="C34" s="65"/>
      <c r="D34" s="66">
        <v>738.36190609763946</v>
      </c>
      <c r="E34" s="66">
        <v>792.07838642414208</v>
      </c>
      <c r="F34" s="66">
        <v>753.71030787990037</v>
      </c>
      <c r="G34" s="66">
        <v>644.27894055345939</v>
      </c>
      <c r="H34" s="66">
        <v>840.28840477878134</v>
      </c>
      <c r="I34" s="66">
        <v>769.64900093771769</v>
      </c>
      <c r="J34" s="66">
        <v>808.65729286343446</v>
      </c>
      <c r="K34" s="66">
        <v>887.57422643401935</v>
      </c>
      <c r="L34" s="66">
        <v>928.36868208952126</v>
      </c>
      <c r="M34" s="66">
        <v>521.02990954466873</v>
      </c>
      <c r="N34" s="66">
        <v>1329.1233067623673</v>
      </c>
      <c r="O34" s="66">
        <v>1247.7627302422798</v>
      </c>
      <c r="P34" s="66">
        <v>1243.3083319690597</v>
      </c>
      <c r="Q34" s="66">
        <v>949.40284914085669</v>
      </c>
      <c r="R34" s="66">
        <v>898.85112991968367</v>
      </c>
      <c r="S34" s="66">
        <v>841.20122210603859</v>
      </c>
      <c r="T34" s="66">
        <v>684.08889308434539</v>
      </c>
      <c r="U34" s="66">
        <v>775.56740601894262</v>
      </c>
      <c r="V34" s="66">
        <v>929.01776289836766</v>
      </c>
      <c r="W34" s="66">
        <v>628.65371044374956</v>
      </c>
      <c r="X34" s="66">
        <v>212.21340892301478</v>
      </c>
      <c r="Y34" s="66">
        <v>743.28611261477727</v>
      </c>
    </row>
    <row r="35" spans="1:25" x14ac:dyDescent="0.25">
      <c r="A35" s="74" t="s">
        <v>270</v>
      </c>
      <c r="B35" s="44"/>
      <c r="C35" s="44"/>
      <c r="D35" s="45">
        <v>559.13147789403229</v>
      </c>
      <c r="E35" s="45">
        <v>604.27517200679995</v>
      </c>
      <c r="F35" s="45">
        <v>646.99371282511515</v>
      </c>
      <c r="G35" s="45">
        <v>541.4756321822623</v>
      </c>
      <c r="H35" s="45">
        <v>684.84554514360377</v>
      </c>
      <c r="I35" s="45">
        <v>587.07397201279412</v>
      </c>
      <c r="J35" s="45">
        <v>600.10537990069656</v>
      </c>
      <c r="K35" s="45">
        <v>655.9832911956114</v>
      </c>
      <c r="L35" s="45">
        <v>654.19395711681477</v>
      </c>
      <c r="M35" s="45">
        <v>359.0715717367018</v>
      </c>
      <c r="N35" s="45">
        <v>757.50980500316666</v>
      </c>
      <c r="O35" s="45">
        <v>657.35617841848193</v>
      </c>
      <c r="P35" s="45">
        <v>685.68018705589986</v>
      </c>
      <c r="Q35" s="45">
        <v>615.34215049661123</v>
      </c>
      <c r="R35" s="45">
        <v>558.34433797716565</v>
      </c>
      <c r="S35" s="45">
        <v>595.522339542601</v>
      </c>
      <c r="T35" s="45">
        <v>491.90405250019967</v>
      </c>
      <c r="U35" s="45">
        <v>566.09532760699426</v>
      </c>
      <c r="V35" s="45">
        <v>604.03549311545964</v>
      </c>
      <c r="W35" s="45">
        <v>450.82575725564834</v>
      </c>
      <c r="X35" s="45">
        <v>166.51290381338305</v>
      </c>
      <c r="Y35" s="45">
        <v>570.94814223036644</v>
      </c>
    </row>
    <row r="36" spans="1:25" x14ac:dyDescent="0.25">
      <c r="A36" s="74" t="s">
        <v>15</v>
      </c>
      <c r="B36" s="44"/>
      <c r="C36" s="44"/>
      <c r="D36" s="45">
        <v>179.23042820360718</v>
      </c>
      <c r="E36" s="45">
        <v>187.80321441734213</v>
      </c>
      <c r="F36" s="45">
        <v>106.71659505478522</v>
      </c>
      <c r="G36" s="45">
        <v>102.80330837119709</v>
      </c>
      <c r="H36" s="45">
        <v>155.44285963517757</v>
      </c>
      <c r="I36" s="45">
        <v>182.57502892492357</v>
      </c>
      <c r="J36" s="45">
        <v>208.5519129627379</v>
      </c>
      <c r="K36" s="45">
        <v>231.59093523840795</v>
      </c>
      <c r="L36" s="45">
        <v>274.17472497270649</v>
      </c>
      <c r="M36" s="45">
        <v>161.95833780796693</v>
      </c>
      <c r="N36" s="45">
        <v>571.61350175920063</v>
      </c>
      <c r="O36" s="45">
        <v>590.40655182379783</v>
      </c>
      <c r="P36" s="45">
        <v>557.62814491315987</v>
      </c>
      <c r="Q36" s="45">
        <v>334.06069864424546</v>
      </c>
      <c r="R36" s="45">
        <v>340.50679194251802</v>
      </c>
      <c r="S36" s="45">
        <v>245.67888256343758</v>
      </c>
      <c r="T36" s="45">
        <v>192.18484058414572</v>
      </c>
      <c r="U36" s="45">
        <v>209.47207841194836</v>
      </c>
      <c r="V36" s="45">
        <v>324.98226978290802</v>
      </c>
      <c r="W36" s="45">
        <v>177.82795318810122</v>
      </c>
      <c r="X36" s="45">
        <v>45.700505109631735</v>
      </c>
      <c r="Y36" s="45">
        <v>172.33797038441082</v>
      </c>
    </row>
    <row r="37" spans="1:25" x14ac:dyDescent="0.25">
      <c r="A37" s="73" t="s">
        <v>269</v>
      </c>
      <c r="B37" s="65"/>
      <c r="C37" s="65"/>
      <c r="D37" s="66">
        <v>142.38964475700413</v>
      </c>
      <c r="E37" s="66">
        <v>152.74861708225819</v>
      </c>
      <c r="F37" s="66">
        <v>145.34951234946209</v>
      </c>
      <c r="G37" s="66">
        <v>124.24618430639178</v>
      </c>
      <c r="H37" s="66">
        <v>162.04569393651559</v>
      </c>
      <c r="I37" s="66">
        <v>148.42321485720413</v>
      </c>
      <c r="J37" s="66">
        <v>155.94578175022832</v>
      </c>
      <c r="K37" s="66">
        <v>171.164543774148</v>
      </c>
      <c r="L37" s="66">
        <v>179.03156399942247</v>
      </c>
      <c r="M37" s="66">
        <v>138.83496765792427</v>
      </c>
      <c r="N37" s="66">
        <v>733.13183196998921</v>
      </c>
      <c r="O37" s="66">
        <v>581.91341749893218</v>
      </c>
      <c r="P37" s="66">
        <v>412.4815563532195</v>
      </c>
      <c r="Q37" s="66">
        <v>411.2885212689913</v>
      </c>
      <c r="R37" s="66">
        <v>260.6214156659762</v>
      </c>
      <c r="S37" s="66">
        <v>394.99877789396146</v>
      </c>
      <c r="T37" s="66">
        <v>465.20878515092033</v>
      </c>
      <c r="U37" s="66">
        <v>639.25650880497221</v>
      </c>
      <c r="V37" s="66">
        <v>521.35848458886835</v>
      </c>
      <c r="W37" s="66">
        <v>452.03341402340698</v>
      </c>
      <c r="X37" s="66">
        <v>430.56960407046785</v>
      </c>
      <c r="Y37" s="66">
        <v>716.60295502514873</v>
      </c>
    </row>
    <row r="38" spans="1:25" x14ac:dyDescent="0.25">
      <c r="A38" s="74" t="s">
        <v>14</v>
      </c>
      <c r="B38" s="44"/>
      <c r="C38" s="44"/>
      <c r="D38" s="45">
        <v>40.902413131852427</v>
      </c>
      <c r="E38" s="45">
        <v>43.878099786538918</v>
      </c>
      <c r="F38" s="45">
        <v>41.752655628692011</v>
      </c>
      <c r="G38" s="45">
        <v>35.690578266621706</v>
      </c>
      <c r="H38" s="45">
        <v>46.548749601421008</v>
      </c>
      <c r="I38" s="45">
        <v>42.635597994554558</v>
      </c>
      <c r="J38" s="45">
        <v>44.796507514313262</v>
      </c>
      <c r="K38" s="45">
        <v>5.2645990881090317</v>
      </c>
      <c r="L38" s="45">
        <v>0.27676052255008976</v>
      </c>
      <c r="M38" s="45">
        <v>11.652350128565423</v>
      </c>
      <c r="N38" s="45">
        <v>153.66878092309861</v>
      </c>
      <c r="O38" s="45">
        <v>111.48732370327042</v>
      </c>
      <c r="P38" s="45">
        <v>77.496311270643929</v>
      </c>
      <c r="Q38" s="45">
        <v>78.047895044884015</v>
      </c>
      <c r="R38" s="45">
        <v>48.124283133195235</v>
      </c>
      <c r="S38" s="45">
        <v>74.759150401554521</v>
      </c>
      <c r="T38" s="45">
        <v>89.041757030184101</v>
      </c>
      <c r="U38" s="45">
        <v>102.8513017609944</v>
      </c>
      <c r="V38" s="45">
        <v>74.389077964471724</v>
      </c>
      <c r="W38" s="45">
        <v>66.406682804681395</v>
      </c>
      <c r="X38" s="45">
        <v>61.122751867145233</v>
      </c>
      <c r="Y38" s="45">
        <v>110.6777471552366</v>
      </c>
    </row>
    <row r="39" spans="1:25" x14ac:dyDescent="0.25">
      <c r="A39" s="74" t="s">
        <v>19</v>
      </c>
      <c r="B39" s="44"/>
      <c r="C39" s="44"/>
      <c r="D39" s="45">
        <v>31.103106660783002</v>
      </c>
      <c r="E39" s="45">
        <v>33.365885121100973</v>
      </c>
      <c r="F39" s="45">
        <v>31.749650007296175</v>
      </c>
      <c r="G39" s="45">
        <v>27.139911257394413</v>
      </c>
      <c r="H39" s="45">
        <v>35.396706769156538</v>
      </c>
      <c r="I39" s="45">
        <v>32.421059063094908</v>
      </c>
      <c r="J39" s="45">
        <v>34.064262828620819</v>
      </c>
      <c r="K39" s="45">
        <v>37.38859711769674</v>
      </c>
      <c r="L39" s="45">
        <v>39.107042090200352</v>
      </c>
      <c r="M39" s="45">
        <v>81.609400514261694</v>
      </c>
      <c r="N39" s="45">
        <v>564.67512369239444</v>
      </c>
      <c r="O39" s="45">
        <v>445.94929481308162</v>
      </c>
      <c r="P39" s="45">
        <v>309.98524508257572</v>
      </c>
      <c r="Q39" s="45">
        <v>312.19158017953606</v>
      </c>
      <c r="R39" s="45">
        <v>192.49713253278091</v>
      </c>
      <c r="S39" s="45">
        <v>299.03660160621808</v>
      </c>
      <c r="T39" s="45">
        <v>356.16702812073635</v>
      </c>
      <c r="U39" s="45">
        <v>411.40520704397761</v>
      </c>
      <c r="V39" s="45">
        <v>297.5563118578869</v>
      </c>
      <c r="W39" s="45">
        <v>265.62673121872558</v>
      </c>
      <c r="X39" s="45">
        <v>244.49100746858093</v>
      </c>
      <c r="Y39" s="45">
        <v>442.71098862094641</v>
      </c>
    </row>
    <row r="40" spans="1:25" x14ac:dyDescent="0.25">
      <c r="A40" s="75" t="s">
        <v>273</v>
      </c>
      <c r="B40" s="76"/>
      <c r="C40" s="76"/>
      <c r="D40" s="45">
        <v>30.780808249125606</v>
      </c>
      <c r="E40" s="45">
        <v>33.270200552237547</v>
      </c>
      <c r="F40" s="45">
        <v>31.296605361453381</v>
      </c>
      <c r="G40" s="45">
        <v>26.269833866496477</v>
      </c>
      <c r="H40" s="45">
        <v>34.563309627929762</v>
      </c>
      <c r="I40" s="45">
        <v>31.645764781104848</v>
      </c>
      <c r="J40" s="45">
        <v>32.944451250357822</v>
      </c>
      <c r="K40" s="45">
        <v>36.154234616146077</v>
      </c>
      <c r="L40" s="45">
        <v>37.676984536609872</v>
      </c>
      <c r="M40" s="45">
        <v>78.204849105234302</v>
      </c>
      <c r="N40" s="45">
        <v>531.10115639888022</v>
      </c>
      <c r="O40" s="45">
        <v>414.14619495736554</v>
      </c>
      <c r="P40" s="45">
        <v>293.35843361061853</v>
      </c>
      <c r="Q40" s="45">
        <v>297.78698116224552</v>
      </c>
      <c r="R40" s="45">
        <v>187.64344507031822</v>
      </c>
      <c r="S40" s="45">
        <v>290.74350951353449</v>
      </c>
      <c r="T40" s="45">
        <v>347.38531476071512</v>
      </c>
      <c r="U40" s="45">
        <v>401.57370096639113</v>
      </c>
      <c r="V40" s="45">
        <v>290.47957890991029</v>
      </c>
      <c r="W40" s="45">
        <v>259.24578079985258</v>
      </c>
      <c r="X40" s="45">
        <v>239.31984791819252</v>
      </c>
      <c r="Y40" s="45">
        <v>433.99913906886263</v>
      </c>
    </row>
    <row r="41" spans="1:25" x14ac:dyDescent="0.25">
      <c r="A41" s="75" t="s">
        <v>274</v>
      </c>
      <c r="B41" s="76"/>
      <c r="C41" s="76"/>
      <c r="D41" s="45">
        <v>0.32229841165739614</v>
      </c>
      <c r="E41" s="45">
        <v>9.5684568863426023E-2</v>
      </c>
      <c r="F41" s="45">
        <v>0.45304464584279458</v>
      </c>
      <c r="G41" s="45">
        <v>0.87007739089793645</v>
      </c>
      <c r="H41" s="45">
        <v>0.83339714122677577</v>
      </c>
      <c r="I41" s="45">
        <v>0.77529428199006034</v>
      </c>
      <c r="J41" s="45">
        <v>1.1198115782629969</v>
      </c>
      <c r="K41" s="45">
        <v>1.2343625015506632</v>
      </c>
      <c r="L41" s="45">
        <v>1.4300575535904798</v>
      </c>
      <c r="M41" s="45">
        <v>3.4045514090273912</v>
      </c>
      <c r="N41" s="45">
        <v>33.573967293514215</v>
      </c>
      <c r="O41" s="45">
        <v>31.803099855716084</v>
      </c>
      <c r="P41" s="45">
        <v>16.626811471957183</v>
      </c>
      <c r="Q41" s="45">
        <v>14.404599017290536</v>
      </c>
      <c r="R41" s="45">
        <v>4.8536874624626876</v>
      </c>
      <c r="S41" s="45">
        <v>8.2930920926835938</v>
      </c>
      <c r="T41" s="45">
        <v>8.7817133600212287</v>
      </c>
      <c r="U41" s="45">
        <v>9.8315060775864822</v>
      </c>
      <c r="V41" s="45">
        <v>7.076732947976609</v>
      </c>
      <c r="W41" s="45">
        <v>6.3809504188729989</v>
      </c>
      <c r="X41" s="45">
        <v>5.1711595503884098</v>
      </c>
      <c r="Y41" s="45">
        <v>8.7118495520837769</v>
      </c>
    </row>
    <row r="42" spans="1:25" x14ac:dyDescent="0.25">
      <c r="A42" s="74" t="s">
        <v>13</v>
      </c>
      <c r="B42" s="44"/>
      <c r="C42" s="44"/>
      <c r="D42" s="45">
        <v>70.384124964368709</v>
      </c>
      <c r="E42" s="45">
        <v>75.504632174618308</v>
      </c>
      <c r="F42" s="45">
        <v>71.847206713473895</v>
      </c>
      <c r="G42" s="45">
        <v>61.415694782375667</v>
      </c>
      <c r="H42" s="45">
        <v>80.100237565938045</v>
      </c>
      <c r="I42" s="45">
        <v>73.36655779955467</v>
      </c>
      <c r="J42" s="45">
        <v>77.085011407294246</v>
      </c>
      <c r="K42" s="45">
        <v>128.51134756834222</v>
      </c>
      <c r="L42" s="45">
        <v>139.64776138667202</v>
      </c>
      <c r="M42" s="45">
        <v>45.573217015097157</v>
      </c>
      <c r="N42" s="45">
        <v>14.787927354496105</v>
      </c>
      <c r="O42" s="45">
        <v>24.476798982580135</v>
      </c>
      <c r="P42" s="45">
        <v>24.999999999999883</v>
      </c>
      <c r="Q42" s="45">
        <v>21.049046044571242</v>
      </c>
      <c r="R42" s="45">
        <v>20.000000000000057</v>
      </c>
      <c r="S42" s="45">
        <v>21.203025886188868</v>
      </c>
      <c r="T42" s="45">
        <v>19.999999999999886</v>
      </c>
      <c r="U42" s="45">
        <v>125.00000000000021</v>
      </c>
      <c r="V42" s="45">
        <v>149.41309476650974</v>
      </c>
      <c r="W42" s="45">
        <v>120</v>
      </c>
      <c r="X42" s="45">
        <v>124.95584473474167</v>
      </c>
      <c r="Y42" s="45">
        <v>163.21421924896572</v>
      </c>
    </row>
    <row r="43" spans="1:25" x14ac:dyDescent="0.25">
      <c r="A43" s="72" t="s">
        <v>271</v>
      </c>
      <c r="B43" s="65"/>
      <c r="C43" s="65"/>
      <c r="D43" s="66">
        <v>885.21444191547289</v>
      </c>
      <c r="E43" s="66">
        <v>992.35351273710444</v>
      </c>
      <c r="F43" s="66">
        <v>989.15177187725999</v>
      </c>
      <c r="G43" s="66">
        <v>1001.3250433187238</v>
      </c>
      <c r="H43" s="66">
        <v>1104.9964893637209</v>
      </c>
      <c r="I43" s="66">
        <v>1038.0259392315656</v>
      </c>
      <c r="J43" s="66">
        <v>1162.4291324335554</v>
      </c>
      <c r="K43" s="66">
        <v>1146.3939132617975</v>
      </c>
      <c r="L43" s="66">
        <v>1356.1775562747512</v>
      </c>
      <c r="M43" s="66">
        <v>1253.9943394503789</v>
      </c>
      <c r="N43" s="66">
        <v>447.1636344120646</v>
      </c>
      <c r="O43" s="66">
        <v>983.40375119256055</v>
      </c>
      <c r="P43" s="66">
        <v>1351.8433743918408</v>
      </c>
      <c r="Q43" s="66">
        <v>1050.1180847284052</v>
      </c>
      <c r="R43" s="66">
        <v>1325.6412897908726</v>
      </c>
      <c r="S43" s="66">
        <v>1437.4</v>
      </c>
      <c r="T43" s="66">
        <v>1079.5964666698846</v>
      </c>
      <c r="U43" s="66">
        <v>1316.636884818703</v>
      </c>
      <c r="V43" s="66">
        <v>1171.3482646362941</v>
      </c>
      <c r="W43" s="66">
        <v>1097.1279417622184</v>
      </c>
      <c r="X43" s="66">
        <v>1141.7659512640626</v>
      </c>
      <c r="Y43" s="66">
        <v>1185.3594896791285</v>
      </c>
    </row>
    <row r="44" spans="1:25" x14ac:dyDescent="0.25">
      <c r="A44" s="73" t="s">
        <v>272</v>
      </c>
      <c r="B44" s="65"/>
      <c r="C44" s="65"/>
      <c r="D44" s="66">
        <v>614.76324362922298</v>
      </c>
      <c r="E44" s="66">
        <v>740.14617041950066</v>
      </c>
      <c r="F44" s="66">
        <v>716.39632193408409</v>
      </c>
      <c r="G44" s="66">
        <v>739.98573030272144</v>
      </c>
      <c r="H44" s="66">
        <v>824.14558703531509</v>
      </c>
      <c r="I44" s="66">
        <v>757.3220483468308</v>
      </c>
      <c r="J44" s="66">
        <v>836.20377692297382</v>
      </c>
      <c r="K44" s="66">
        <v>881.3544520734863</v>
      </c>
      <c r="L44" s="66">
        <v>1080.1029851209248</v>
      </c>
      <c r="M44" s="66">
        <v>832.53446544325755</v>
      </c>
      <c r="N44" s="66">
        <v>373.20882305586861</v>
      </c>
      <c r="O44" s="66">
        <v>621.49439627606591</v>
      </c>
      <c r="P44" s="66">
        <v>1065.5694073309132</v>
      </c>
      <c r="Q44" s="66">
        <v>766.19223775785315</v>
      </c>
      <c r="R44" s="66">
        <v>974.03935304419497</v>
      </c>
      <c r="S44" s="66">
        <v>1164.2</v>
      </c>
      <c r="T44" s="66">
        <v>810.05937153062712</v>
      </c>
      <c r="U44" s="66">
        <v>980.93961730325373</v>
      </c>
      <c r="V44" s="66">
        <v>931.7239784391511</v>
      </c>
      <c r="W44" s="66">
        <v>847.63430198561014</v>
      </c>
      <c r="X44" s="66">
        <v>865.5402880983022</v>
      </c>
      <c r="Y44" s="66">
        <v>942.60490951729219</v>
      </c>
    </row>
    <row r="45" spans="1:25" x14ac:dyDescent="0.25">
      <c r="A45" s="74" t="s">
        <v>20</v>
      </c>
      <c r="B45" s="44"/>
      <c r="C45" s="44"/>
      <c r="D45" s="45">
        <v>394.42324864783905</v>
      </c>
      <c r="E45" s="45">
        <v>432.78012432794458</v>
      </c>
      <c r="F45" s="45">
        <v>425.77997571752013</v>
      </c>
      <c r="G45" s="45">
        <v>432.73321531205693</v>
      </c>
      <c r="H45" s="45">
        <v>456.67846001777843</v>
      </c>
      <c r="I45" s="45">
        <v>437.77288606656833</v>
      </c>
      <c r="J45" s="45">
        <v>418.18835618613537</v>
      </c>
      <c r="K45" s="45">
        <v>451.92625216815992</v>
      </c>
      <c r="L45" s="45">
        <v>555.8816557374372</v>
      </c>
      <c r="M45" s="45">
        <v>533.84597193065611</v>
      </c>
      <c r="N45" s="45">
        <v>238.00999462700895</v>
      </c>
      <c r="O45" s="45">
        <v>440.60864136464596</v>
      </c>
      <c r="P45" s="45">
        <v>636.7718049257636</v>
      </c>
      <c r="Q45" s="45">
        <v>568.79211390928572</v>
      </c>
      <c r="R45" s="45">
        <v>581.32596519764456</v>
      </c>
      <c r="S45" s="45">
        <v>684.71544699022229</v>
      </c>
      <c r="T45" s="45">
        <v>373.22327414907346</v>
      </c>
      <c r="U45" s="45">
        <v>365.98404824550204</v>
      </c>
      <c r="V45" s="45">
        <v>182.93667773204339</v>
      </c>
      <c r="W45" s="45">
        <v>54.948715013768087</v>
      </c>
      <c r="X45" s="45">
        <v>71.310627500929385</v>
      </c>
      <c r="Y45" s="45">
        <v>228.07716367524336</v>
      </c>
    </row>
    <row r="46" spans="1:25" x14ac:dyDescent="0.25">
      <c r="A46" s="74" t="s">
        <v>12</v>
      </c>
      <c r="B46" s="44"/>
      <c r="C46" s="44"/>
      <c r="D46" s="45">
        <v>220.33999498138394</v>
      </c>
      <c r="E46" s="45">
        <v>307.36604609155609</v>
      </c>
      <c r="F46" s="45">
        <v>290.61634621656395</v>
      </c>
      <c r="G46" s="45">
        <v>307.25251499066451</v>
      </c>
      <c r="H46" s="45">
        <v>367.46712701753665</v>
      </c>
      <c r="I46" s="45">
        <v>319.54916228026246</v>
      </c>
      <c r="J46" s="45">
        <v>418.01542073683845</v>
      </c>
      <c r="K46" s="45">
        <v>429.42819990532638</v>
      </c>
      <c r="L46" s="45">
        <v>524.22132938348761</v>
      </c>
      <c r="M46" s="45">
        <v>298.68849351260144</v>
      </c>
      <c r="N46" s="45">
        <v>135.19882842885966</v>
      </c>
      <c r="O46" s="45">
        <v>180.88575491141995</v>
      </c>
      <c r="P46" s="45">
        <v>428.79760240514963</v>
      </c>
      <c r="Q46" s="45">
        <v>197.40012384856743</v>
      </c>
      <c r="R46" s="45">
        <v>392.7133878465504</v>
      </c>
      <c r="S46" s="45">
        <v>479.48455300977776</v>
      </c>
      <c r="T46" s="45">
        <v>436.83609738155366</v>
      </c>
      <c r="U46" s="45">
        <v>614.95556905775175</v>
      </c>
      <c r="V46" s="45">
        <v>748.78730070710776</v>
      </c>
      <c r="W46" s="45">
        <v>792.6855869718421</v>
      </c>
      <c r="X46" s="45">
        <v>794.2296605973728</v>
      </c>
      <c r="Y46" s="45">
        <v>714.52774584204883</v>
      </c>
    </row>
    <row r="47" spans="1:25" x14ac:dyDescent="0.25">
      <c r="A47" s="73" t="s">
        <v>11</v>
      </c>
      <c r="B47" s="65"/>
      <c r="C47" s="65"/>
      <c r="D47" s="66">
        <v>270.45119828624985</v>
      </c>
      <c r="E47" s="66">
        <v>252.20734231760383</v>
      </c>
      <c r="F47" s="66">
        <v>272.7554499431759</v>
      </c>
      <c r="G47" s="66">
        <v>261.33931301600239</v>
      </c>
      <c r="H47" s="66">
        <v>280.85090232840577</v>
      </c>
      <c r="I47" s="66">
        <v>280.70389088473485</v>
      </c>
      <c r="J47" s="66">
        <v>326.22535551058155</v>
      </c>
      <c r="K47" s="66">
        <v>265.03946118831118</v>
      </c>
      <c r="L47" s="66">
        <v>276.0745711538263</v>
      </c>
      <c r="M47" s="66">
        <v>421.45987400712136</v>
      </c>
      <c r="N47" s="66">
        <v>73.954811356196004</v>
      </c>
      <c r="O47" s="66">
        <v>361.90935491649458</v>
      </c>
      <c r="P47" s="66">
        <v>286.27396706092765</v>
      </c>
      <c r="Q47" s="66">
        <v>283.92584697055196</v>
      </c>
      <c r="R47" s="66">
        <v>351.60193674667767</v>
      </c>
      <c r="S47" s="66">
        <v>273.2</v>
      </c>
      <c r="T47" s="66">
        <v>269.53709513925764</v>
      </c>
      <c r="U47" s="66">
        <v>335.69726751544937</v>
      </c>
      <c r="V47" s="66">
        <v>239.62428619714296</v>
      </c>
      <c r="W47" s="66">
        <v>249.49363977660826</v>
      </c>
      <c r="X47" s="66">
        <v>276.2256631657603</v>
      </c>
      <c r="Y47" s="66">
        <v>242.75458016183637</v>
      </c>
    </row>
    <row r="48" spans="1:25" x14ac:dyDescent="0.25">
      <c r="A48" s="72" t="s">
        <v>4</v>
      </c>
      <c r="B48" s="65"/>
      <c r="C48" s="65"/>
      <c r="D48" s="66">
        <v>959.52157807827916</v>
      </c>
      <c r="E48" s="66">
        <v>1017.9122132567277</v>
      </c>
      <c r="F48" s="66">
        <v>1040.1901022832935</v>
      </c>
      <c r="G48" s="66">
        <v>995.61716440729788</v>
      </c>
      <c r="H48" s="66">
        <v>1165.9107729092739</v>
      </c>
      <c r="I48" s="66">
        <v>1157.6752115934974</v>
      </c>
      <c r="J48" s="66">
        <v>1378.7511224886407</v>
      </c>
      <c r="K48" s="66">
        <v>1647.2180680937465</v>
      </c>
      <c r="L48" s="66">
        <v>1987.3233174443972</v>
      </c>
      <c r="M48" s="66">
        <v>1274.5366566237562</v>
      </c>
      <c r="N48" s="66">
        <v>629.09891053507192</v>
      </c>
      <c r="O48" s="66">
        <v>668.14841219085167</v>
      </c>
      <c r="P48" s="66">
        <v>1282.1113370452781</v>
      </c>
      <c r="Q48" s="66">
        <v>1000.4806988943924</v>
      </c>
      <c r="R48" s="66">
        <v>1203.2553827135057</v>
      </c>
      <c r="S48" s="66">
        <v>1197.5</v>
      </c>
      <c r="T48" s="66">
        <v>1319.6891441811072</v>
      </c>
      <c r="U48" s="66">
        <v>1265.7285384558115</v>
      </c>
      <c r="V48" s="66">
        <v>1261.3630299041145</v>
      </c>
      <c r="W48" s="66">
        <v>1186.6202255951321</v>
      </c>
      <c r="X48" s="66">
        <v>1133.6294574287019</v>
      </c>
      <c r="Y48" s="66">
        <v>1314.2203119872581</v>
      </c>
    </row>
    <row r="49" spans="1:25" x14ac:dyDescent="0.25">
      <c r="A49" s="77" t="s">
        <v>10</v>
      </c>
      <c r="B49" s="44"/>
      <c r="C49" s="44"/>
      <c r="D49" s="45">
        <v>567.32986969708679</v>
      </c>
      <c r="E49" s="45">
        <v>547.33487878787344</v>
      </c>
      <c r="F49" s="45">
        <v>527.82779607950351</v>
      </c>
      <c r="G49" s="45">
        <v>699.99670417020684</v>
      </c>
      <c r="H49" s="45">
        <v>794.80393231822336</v>
      </c>
      <c r="I49" s="45">
        <v>913.5815185614324</v>
      </c>
      <c r="J49" s="45">
        <v>1273.7267868838753</v>
      </c>
      <c r="K49" s="45">
        <v>1592.8055360808921</v>
      </c>
      <c r="L49" s="45">
        <v>1568.3240646324496</v>
      </c>
      <c r="M49" s="45">
        <v>1116.18356265175</v>
      </c>
      <c r="N49" s="45">
        <v>531.80830426244802</v>
      </c>
      <c r="O49" s="45">
        <v>545.84661929117249</v>
      </c>
      <c r="P49" s="45">
        <v>1103.6981935980755</v>
      </c>
      <c r="Q49" s="45">
        <v>797.13555780933007</v>
      </c>
      <c r="R49" s="45">
        <v>989.25709642836898</v>
      </c>
      <c r="S49" s="45">
        <v>922.96214573799239</v>
      </c>
      <c r="T49" s="45">
        <v>1029.5193901191276</v>
      </c>
      <c r="U49" s="45">
        <v>946.96040801948413</v>
      </c>
      <c r="V49" s="45">
        <v>988.07663149380346</v>
      </c>
      <c r="W49" s="45">
        <v>923.01225655775033</v>
      </c>
      <c r="X49" s="45">
        <v>901.37814310365616</v>
      </c>
      <c r="Y49" s="45">
        <v>1030.8788697775685</v>
      </c>
    </row>
    <row r="50" spans="1:25" x14ac:dyDescent="0.25">
      <c r="A50" s="77" t="s">
        <v>18</v>
      </c>
      <c r="B50" s="44"/>
      <c r="C50" s="44"/>
      <c r="D50" s="45">
        <v>93.087729958842175</v>
      </c>
      <c r="E50" s="45">
        <v>99.706607205653981</v>
      </c>
      <c r="F50" s="45">
        <v>95.94991115570825</v>
      </c>
      <c r="G50" s="45">
        <v>141.94042116916495</v>
      </c>
      <c r="H50" s="45">
        <v>125.52426419852394</v>
      </c>
      <c r="I50" s="45">
        <v>42.197770592365416</v>
      </c>
      <c r="J50" s="45">
        <v>33.695486253210646</v>
      </c>
      <c r="K50" s="45">
        <v>10.659152561023388</v>
      </c>
      <c r="L50" s="45">
        <v>20.299252454535662</v>
      </c>
      <c r="M50" s="45">
        <v>97.956894435757548</v>
      </c>
      <c r="N50" s="45">
        <v>71.812101915357516</v>
      </c>
      <c r="O50" s="45">
        <v>67.525358492618878</v>
      </c>
      <c r="P50" s="45">
        <v>108.98140110823701</v>
      </c>
      <c r="Q50" s="45">
        <v>100.92386273959252</v>
      </c>
      <c r="R50" s="45">
        <v>91.111944234940253</v>
      </c>
      <c r="S50" s="45">
        <v>187.03862815132476</v>
      </c>
      <c r="T50" s="45">
        <v>179.15519906350306</v>
      </c>
      <c r="U50" s="45">
        <v>187.7488083088721</v>
      </c>
      <c r="V50" s="45">
        <v>150.59572274333516</v>
      </c>
      <c r="W50" s="45">
        <v>125.38366346911603</v>
      </c>
      <c r="X50" s="45">
        <v>150.48442092114698</v>
      </c>
      <c r="Y50" s="45">
        <v>166.77865419356991</v>
      </c>
    </row>
    <row r="51" spans="1:25" x14ac:dyDescent="0.25">
      <c r="A51" s="77" t="s">
        <v>9</v>
      </c>
      <c r="B51" s="44"/>
      <c r="C51" s="44"/>
      <c r="D51" s="45">
        <v>299.10397842235022</v>
      </c>
      <c r="E51" s="45">
        <v>370.87072726320025</v>
      </c>
      <c r="F51" s="45">
        <v>416.41239504808175</v>
      </c>
      <c r="G51" s="45">
        <v>153.68003906792609</v>
      </c>
      <c r="H51" s="45">
        <v>245.58257639252656</v>
      </c>
      <c r="I51" s="45">
        <v>201.89592243969952</v>
      </c>
      <c r="J51" s="45">
        <v>71.328849351554737</v>
      </c>
      <c r="K51" s="45">
        <v>43.753379451831009</v>
      </c>
      <c r="L51" s="45">
        <v>398.70000035741191</v>
      </c>
      <c r="M51" s="45">
        <v>60.396199536248716</v>
      </c>
      <c r="N51" s="45">
        <v>25.478504357266388</v>
      </c>
      <c r="O51" s="45">
        <v>54.776434407060307</v>
      </c>
      <c r="P51" s="45">
        <v>69.43174233896562</v>
      </c>
      <c r="Q51" s="45">
        <v>102.4212783454698</v>
      </c>
      <c r="R51" s="45">
        <v>122.88634205019646</v>
      </c>
      <c r="S51" s="45">
        <v>87.499226110682855</v>
      </c>
      <c r="T51" s="45">
        <v>111.01455499847651</v>
      </c>
      <c r="U51" s="45">
        <v>131.0193221274553</v>
      </c>
      <c r="V51" s="45">
        <v>122.69067566697584</v>
      </c>
      <c r="W51" s="45">
        <v>138.22430556826572</v>
      </c>
      <c r="X51" s="45">
        <v>81.766893403898791</v>
      </c>
      <c r="Y51" s="45">
        <v>116.5627880161197</v>
      </c>
    </row>
    <row r="52" spans="1:25" x14ac:dyDescent="0.25">
      <c r="A52" s="72" t="s">
        <v>3</v>
      </c>
      <c r="B52" s="65"/>
      <c r="C52" s="65"/>
      <c r="D52" s="66">
        <v>526.84428973088768</v>
      </c>
      <c r="E52" s="66">
        <v>603.48105276498677</v>
      </c>
      <c r="F52" s="66">
        <v>717.84275235044947</v>
      </c>
      <c r="G52" s="66">
        <v>674.14127000305791</v>
      </c>
      <c r="H52" s="66">
        <v>664.3641953052354</v>
      </c>
      <c r="I52" s="66">
        <v>697.64963770322152</v>
      </c>
      <c r="J52" s="66">
        <v>736.48657704627999</v>
      </c>
      <c r="K52" s="66">
        <v>877.86134550098791</v>
      </c>
      <c r="L52" s="66">
        <v>1111.6395934362492</v>
      </c>
      <c r="M52" s="66">
        <v>1084.6343467543138</v>
      </c>
      <c r="N52" s="66">
        <v>835.29222347448035</v>
      </c>
      <c r="O52" s="66">
        <v>902.36205613159541</v>
      </c>
      <c r="P52" s="66">
        <v>686.46133864219496</v>
      </c>
      <c r="Q52" s="66">
        <v>662.31947666520364</v>
      </c>
      <c r="R52" s="66">
        <v>568.04367981868768</v>
      </c>
      <c r="S52" s="66">
        <v>680.5</v>
      </c>
      <c r="T52" s="66">
        <v>723.36728290775704</v>
      </c>
      <c r="U52" s="66">
        <v>807.18114809023916</v>
      </c>
      <c r="V52" s="66">
        <v>800.4376211908276</v>
      </c>
      <c r="W52" s="66">
        <v>845.76987940575782</v>
      </c>
      <c r="X52" s="66">
        <v>748.30835651127074</v>
      </c>
      <c r="Y52" s="66">
        <v>648.70618932135972</v>
      </c>
    </row>
    <row r="53" spans="1:25" x14ac:dyDescent="0.25">
      <c r="A53" s="73" t="s">
        <v>21</v>
      </c>
      <c r="B53" s="65"/>
      <c r="C53" s="65"/>
      <c r="D53" s="66">
        <v>324.22903556924177</v>
      </c>
      <c r="E53" s="66">
        <v>361.2014701533522</v>
      </c>
      <c r="F53" s="66">
        <v>447.7735303233805</v>
      </c>
      <c r="G53" s="66">
        <v>406.89022525736419</v>
      </c>
      <c r="H53" s="66">
        <v>378.19989752737348</v>
      </c>
      <c r="I53" s="66">
        <v>335.04840772087931</v>
      </c>
      <c r="J53" s="66">
        <v>344.85531624023264</v>
      </c>
      <c r="K53" s="66">
        <v>503.44398476132261</v>
      </c>
      <c r="L53" s="66">
        <v>611.18980902257204</v>
      </c>
      <c r="M53" s="66">
        <v>483.08682552725281</v>
      </c>
      <c r="N53" s="66">
        <v>328.44952503622602</v>
      </c>
      <c r="O53" s="66">
        <v>246.06061876854366</v>
      </c>
      <c r="P53" s="66">
        <v>206.74750614813001</v>
      </c>
      <c r="Q53" s="66">
        <v>207.53652266599786</v>
      </c>
      <c r="R53" s="66">
        <v>199.85577418357889</v>
      </c>
      <c r="S53" s="66">
        <v>251</v>
      </c>
      <c r="T53" s="66">
        <v>291.93416035140223</v>
      </c>
      <c r="U53" s="66">
        <v>329.08941999851095</v>
      </c>
      <c r="V53" s="66">
        <v>291.4806183623005</v>
      </c>
      <c r="W53" s="66">
        <v>298.81609166179373</v>
      </c>
      <c r="X53" s="66">
        <v>291.50234546888623</v>
      </c>
      <c r="Y53" s="66">
        <v>338.71987578136878</v>
      </c>
    </row>
    <row r="54" spans="1:25" x14ac:dyDescent="0.25">
      <c r="A54" s="74" t="s">
        <v>8</v>
      </c>
      <c r="B54" s="44"/>
      <c r="C54" s="44"/>
      <c r="D54" s="45">
        <v>46.078328346608842</v>
      </c>
      <c r="E54" s="45">
        <v>40.408895268465137</v>
      </c>
      <c r="F54" s="45">
        <v>54.676036616312274</v>
      </c>
      <c r="G54" s="45">
        <v>43.919895527246553</v>
      </c>
      <c r="H54" s="45">
        <v>35.987909121354143</v>
      </c>
      <c r="I54" s="45">
        <v>23.974485429138156</v>
      </c>
      <c r="J54" s="45">
        <v>19.743957496930658</v>
      </c>
      <c r="K54" s="45">
        <v>25.141630053547086</v>
      </c>
      <c r="L54" s="45">
        <v>12.646807101456547</v>
      </c>
      <c r="M54" s="45">
        <v>1.122147666474723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</row>
    <row r="55" spans="1:25" x14ac:dyDescent="0.25">
      <c r="A55" s="74" t="s">
        <v>17</v>
      </c>
      <c r="B55" s="44"/>
      <c r="C55" s="44"/>
      <c r="D55" s="45">
        <v>278.15070722263295</v>
      </c>
      <c r="E55" s="45">
        <v>320.79257488488707</v>
      </c>
      <c r="F55" s="45">
        <v>393.09749370706822</v>
      </c>
      <c r="G55" s="45">
        <v>362.97032973011767</v>
      </c>
      <c r="H55" s="45">
        <v>342.21198840601932</v>
      </c>
      <c r="I55" s="45">
        <v>311.07392229174116</v>
      </c>
      <c r="J55" s="45">
        <v>325.11135874330199</v>
      </c>
      <c r="K55" s="45">
        <v>478.30235470777552</v>
      </c>
      <c r="L55" s="45">
        <v>598.54300192111543</v>
      </c>
      <c r="M55" s="45">
        <v>481.96467786077807</v>
      </c>
      <c r="N55" s="45">
        <v>328.44952503622602</v>
      </c>
      <c r="O55" s="45">
        <v>246.06061876854366</v>
      </c>
      <c r="P55" s="45">
        <v>206.74750614813001</v>
      </c>
      <c r="Q55" s="45">
        <v>207.53652266599786</v>
      </c>
      <c r="R55" s="45">
        <v>199.85577418357889</v>
      </c>
      <c r="S55" s="45">
        <v>251</v>
      </c>
      <c r="T55" s="45">
        <v>291.93416035140223</v>
      </c>
      <c r="U55" s="45">
        <v>329.08941999851095</v>
      </c>
      <c r="V55" s="45">
        <v>291.4806183623005</v>
      </c>
      <c r="W55" s="45">
        <v>298.81609166179373</v>
      </c>
      <c r="X55" s="45">
        <v>291.50234546888623</v>
      </c>
      <c r="Y55" s="45">
        <v>338.71987578136878</v>
      </c>
    </row>
    <row r="56" spans="1:25" x14ac:dyDescent="0.25">
      <c r="A56" s="73" t="s">
        <v>16</v>
      </c>
      <c r="B56" s="65"/>
      <c r="C56" s="65"/>
      <c r="D56" s="66">
        <v>202.61525416164591</v>
      </c>
      <c r="E56" s="66">
        <v>242.27958261163457</v>
      </c>
      <c r="F56" s="66">
        <v>270.06922202706897</v>
      </c>
      <c r="G56" s="66">
        <v>267.25104474569372</v>
      </c>
      <c r="H56" s="66">
        <v>286.16429777786192</v>
      </c>
      <c r="I56" s="66">
        <v>362.6012299823422</v>
      </c>
      <c r="J56" s="66">
        <v>391.63126080604735</v>
      </c>
      <c r="K56" s="66">
        <v>374.4173607396653</v>
      </c>
      <c r="L56" s="66">
        <v>500.44978441367721</v>
      </c>
      <c r="M56" s="66">
        <v>601.547521227061</v>
      </c>
      <c r="N56" s="66">
        <v>506.84269843825433</v>
      </c>
      <c r="O56" s="66">
        <v>656.30143736305172</v>
      </c>
      <c r="P56" s="66">
        <v>479.71383249406495</v>
      </c>
      <c r="Q56" s="66">
        <v>454.7829539992058</v>
      </c>
      <c r="R56" s="66">
        <v>368.18790563510879</v>
      </c>
      <c r="S56" s="66">
        <v>429.5</v>
      </c>
      <c r="T56" s="66">
        <v>431.43312255635482</v>
      </c>
      <c r="U56" s="66">
        <v>478.09172809172821</v>
      </c>
      <c r="V56" s="66">
        <v>508.9570028285271</v>
      </c>
      <c r="W56" s="66">
        <v>546.95378774396409</v>
      </c>
      <c r="X56" s="66">
        <v>456.80601104238451</v>
      </c>
      <c r="Y56" s="66">
        <v>309.98631353999093</v>
      </c>
    </row>
    <row r="57" spans="1:25" x14ac:dyDescent="0.25">
      <c r="A57" s="72" t="s">
        <v>2</v>
      </c>
      <c r="B57" s="65"/>
      <c r="C57" s="65"/>
      <c r="D57" s="66">
        <v>5509.8853036997361</v>
      </c>
      <c r="E57" s="66">
        <v>7028.8538718262853</v>
      </c>
      <c r="F57" s="66">
        <v>6582.2915590453558</v>
      </c>
      <c r="G57" s="66">
        <v>6614.820099887881</v>
      </c>
      <c r="H57" s="66">
        <v>7150.691690229045</v>
      </c>
      <c r="I57" s="66">
        <v>7394.0510260001229</v>
      </c>
      <c r="J57" s="66">
        <v>7652.6249480639581</v>
      </c>
      <c r="K57" s="66">
        <v>8242.8582344529477</v>
      </c>
      <c r="L57" s="66">
        <v>9978.9066619792593</v>
      </c>
      <c r="M57" s="66">
        <v>7764.7676435679723</v>
      </c>
      <c r="N57" s="66">
        <v>8439.0060645092035</v>
      </c>
      <c r="O57" s="66">
        <v>9334.7871213947965</v>
      </c>
      <c r="P57" s="66">
        <v>9023.1127103937997</v>
      </c>
      <c r="Q57" s="66">
        <v>7498.4847534850669</v>
      </c>
      <c r="R57" s="66">
        <v>7320.2843308952306</v>
      </c>
      <c r="S57" s="66">
        <v>7688.7</v>
      </c>
      <c r="T57" s="66">
        <v>6923.9754790751558</v>
      </c>
      <c r="U57" s="66">
        <v>7925.7873576055399</v>
      </c>
      <c r="V57" s="66">
        <v>8862.896483019942</v>
      </c>
      <c r="W57" s="66">
        <v>8545.1571623488344</v>
      </c>
      <c r="X57" s="66">
        <v>7972.9337041803319</v>
      </c>
      <c r="Y57" s="66">
        <v>6432.3960909549305</v>
      </c>
    </row>
    <row r="58" spans="1:25" x14ac:dyDescent="0.25">
      <c r="A58" s="72" t="s">
        <v>275</v>
      </c>
      <c r="B58" s="65"/>
      <c r="C58" s="65"/>
      <c r="D58" s="66">
        <v>965.10019190431558</v>
      </c>
      <c r="E58" s="66">
        <v>1275.8227366820161</v>
      </c>
      <c r="F58" s="66">
        <v>1488.5835313565451</v>
      </c>
      <c r="G58" s="66">
        <v>1714.4022016104373</v>
      </c>
      <c r="H58" s="66">
        <v>2116.4392659923715</v>
      </c>
      <c r="I58" s="66">
        <v>2540.7964440114474</v>
      </c>
      <c r="J58" s="66">
        <v>2960.8234710699494</v>
      </c>
      <c r="K58" s="66">
        <v>3015.2059295484069</v>
      </c>
      <c r="L58" s="66">
        <v>3626.5031588307675</v>
      </c>
      <c r="M58" s="66">
        <v>4937.5741805897933</v>
      </c>
      <c r="N58" s="66">
        <v>4426.8770461010035</v>
      </c>
      <c r="O58" s="66">
        <v>5329.3563842613466</v>
      </c>
      <c r="P58" s="66">
        <v>3207.0349511875738</v>
      </c>
      <c r="Q58" s="66">
        <v>3046.5859928522164</v>
      </c>
      <c r="R58" s="66">
        <v>3379.3138971875969</v>
      </c>
      <c r="S58" s="66">
        <v>3949.5</v>
      </c>
      <c r="T58" s="66">
        <v>4656.3691654197037</v>
      </c>
      <c r="U58" s="66">
        <v>5570.5085250539796</v>
      </c>
      <c r="V58" s="66">
        <v>5439.2222439649195</v>
      </c>
      <c r="W58" s="66">
        <v>5103.009347536844</v>
      </c>
      <c r="X58" s="66">
        <v>4427.4980281456264</v>
      </c>
      <c r="Y58" s="66">
        <v>3896.9593648201944</v>
      </c>
    </row>
    <row r="59" spans="1:25" x14ac:dyDescent="0.25">
      <c r="A59" s="72" t="s">
        <v>276</v>
      </c>
      <c r="B59" s="65"/>
      <c r="C59" s="65"/>
      <c r="D59" s="66">
        <v>2877.895300575713</v>
      </c>
      <c r="E59" s="66">
        <v>3102.7417515102875</v>
      </c>
      <c r="F59" s="66">
        <v>3295.5883872300856</v>
      </c>
      <c r="G59" s="66">
        <v>3374.5795535623279</v>
      </c>
      <c r="H59" s="66">
        <v>3688.2554984154694</v>
      </c>
      <c r="I59" s="66">
        <v>4158.1927784205081</v>
      </c>
      <c r="J59" s="66">
        <v>4793.7971612764868</v>
      </c>
      <c r="K59" s="66">
        <v>5392.1557925531342</v>
      </c>
      <c r="L59" s="66">
        <v>5853.918294334786</v>
      </c>
      <c r="M59" s="66">
        <v>5392.2441340272071</v>
      </c>
      <c r="N59" s="66">
        <v>6779.155262169269</v>
      </c>
      <c r="O59" s="66">
        <v>6880.2616818510633</v>
      </c>
      <c r="P59" s="66">
        <v>5885.8097965527886</v>
      </c>
      <c r="Q59" s="66">
        <v>5146.5086630300748</v>
      </c>
      <c r="R59" s="66">
        <v>5822.1901720407959</v>
      </c>
      <c r="S59" s="66">
        <v>5693</v>
      </c>
      <c r="T59" s="66">
        <v>5919.7760293478786</v>
      </c>
      <c r="U59" s="66">
        <v>5843.5708435708439</v>
      </c>
      <c r="V59" s="66">
        <v>5937.7724014018113</v>
      </c>
      <c r="W59" s="66">
        <v>6052.0004406817006</v>
      </c>
      <c r="X59" s="66">
        <v>5693.0549213333888</v>
      </c>
      <c r="Y59" s="66">
        <v>6303.6953442024624</v>
      </c>
    </row>
    <row r="60" spans="1:25" x14ac:dyDescent="0.25">
      <c r="A60" s="72" t="s">
        <v>1</v>
      </c>
      <c r="B60" s="65"/>
      <c r="C60" s="65"/>
      <c r="D60" s="66">
        <v>2074.1286205203733</v>
      </c>
      <c r="E60" s="66">
        <v>2566.4314984580287</v>
      </c>
      <c r="F60" s="66">
        <v>2780.0392602541583</v>
      </c>
      <c r="G60" s="66">
        <v>2835.5927020691061</v>
      </c>
      <c r="H60" s="66">
        <v>2957.0943317456399</v>
      </c>
      <c r="I60" s="66">
        <v>2766.851366985326</v>
      </c>
      <c r="J60" s="66">
        <v>2734.3153154360616</v>
      </c>
      <c r="K60" s="66">
        <v>2788.1540023360149</v>
      </c>
      <c r="L60" s="66">
        <v>3002.5953077662775</v>
      </c>
      <c r="M60" s="66">
        <v>2361.6817310325941</v>
      </c>
      <c r="N60" s="66">
        <v>3437.771695379166</v>
      </c>
      <c r="O60" s="66">
        <v>4379.816109788957</v>
      </c>
      <c r="P60" s="66">
        <v>3274.6377660197381</v>
      </c>
      <c r="Q60" s="66">
        <v>3198.1106443455178</v>
      </c>
      <c r="R60" s="66">
        <v>3044.8130215308543</v>
      </c>
      <c r="S60" s="66">
        <v>3039.1</v>
      </c>
      <c r="T60" s="66">
        <v>2954.9645218902351</v>
      </c>
      <c r="U60" s="66">
        <v>2976.1372943191127</v>
      </c>
      <c r="V60" s="66">
        <v>2823.5461548040489</v>
      </c>
      <c r="W60" s="66">
        <v>2709.5144874109105</v>
      </c>
      <c r="X60" s="66">
        <v>2327.5353895969115</v>
      </c>
      <c r="Y60" s="66">
        <v>2249.3817081662546</v>
      </c>
    </row>
    <row r="61" spans="1:25" x14ac:dyDescent="0.25">
      <c r="A61" s="72" t="s">
        <v>0</v>
      </c>
      <c r="B61" s="65"/>
      <c r="C61" s="65"/>
      <c r="D61" s="66">
        <v>709.82282322488516</v>
      </c>
      <c r="E61" s="66">
        <v>877.0225170039289</v>
      </c>
      <c r="F61" s="66">
        <v>967.04204979853284</v>
      </c>
      <c r="G61" s="66">
        <v>951.38110284374682</v>
      </c>
      <c r="H61" s="66">
        <v>1135.9280414444845</v>
      </c>
      <c r="I61" s="66">
        <v>1106.831882116544</v>
      </c>
      <c r="J61" s="66">
        <v>1143.3970862205304</v>
      </c>
      <c r="K61" s="66">
        <v>1197.5897564649761</v>
      </c>
      <c r="L61" s="66">
        <v>1198.4945146981274</v>
      </c>
      <c r="M61" s="66">
        <v>1227.6316990778782</v>
      </c>
      <c r="N61" s="66">
        <v>1834.9165459131648</v>
      </c>
      <c r="O61" s="66">
        <v>1678.496168080266</v>
      </c>
      <c r="P61" s="66">
        <v>1078.0253590401464</v>
      </c>
      <c r="Q61" s="66">
        <v>1091.4999895500241</v>
      </c>
      <c r="R61" s="66">
        <v>982.3838467085609</v>
      </c>
      <c r="S61" s="66">
        <v>971.7</v>
      </c>
      <c r="T61" s="66">
        <v>838.92455471352037</v>
      </c>
      <c r="U61" s="66">
        <v>971.72585808949441</v>
      </c>
      <c r="V61" s="66">
        <v>1016.6687421059186</v>
      </c>
      <c r="W61" s="66">
        <v>882.63459859829322</v>
      </c>
      <c r="X61" s="66">
        <v>901.24123043712905</v>
      </c>
      <c r="Y61" s="66">
        <v>1200.0064030222266</v>
      </c>
    </row>
    <row r="62" spans="1:25" x14ac:dyDescent="0.25">
      <c r="A62" s="78" t="s">
        <v>277</v>
      </c>
      <c r="B62" s="79"/>
      <c r="C62" s="79"/>
      <c r="D62" s="80">
        <v>1532.3336457357077</v>
      </c>
      <c r="E62" s="80">
        <v>1623.5055553208567</v>
      </c>
      <c r="F62" s="80">
        <v>1770.2241967145364</v>
      </c>
      <c r="G62" s="80">
        <v>1881.9692182244419</v>
      </c>
      <c r="H62" s="80">
        <v>2060.2690855266901</v>
      </c>
      <c r="I62" s="80">
        <v>2069.8106314315291</v>
      </c>
      <c r="J62" s="80">
        <v>2231.4404042299393</v>
      </c>
      <c r="K62" s="80">
        <v>2496.4796035324043</v>
      </c>
      <c r="L62" s="80">
        <v>2693.3297488445196</v>
      </c>
      <c r="M62" s="80">
        <v>2523.509540765087</v>
      </c>
      <c r="N62" s="80">
        <v>1614.5548220898404</v>
      </c>
      <c r="O62" s="80">
        <v>1511.4852751538535</v>
      </c>
      <c r="P62" s="80">
        <v>1618.6349554460189</v>
      </c>
      <c r="Q62" s="80">
        <v>2365.2475599306122</v>
      </c>
      <c r="R62" s="80">
        <v>2257.3400638714329</v>
      </c>
      <c r="S62" s="80">
        <v>2492.1</v>
      </c>
      <c r="T62" s="80">
        <v>2589.6606651542215</v>
      </c>
      <c r="U62" s="80">
        <v>2766.5475392748122</v>
      </c>
      <c r="V62" s="80">
        <v>2806.3793072776762</v>
      </c>
      <c r="W62" s="80">
        <v>3067.7378621852731</v>
      </c>
      <c r="X62" s="80">
        <v>2522.8942670928641</v>
      </c>
      <c r="Y62" s="80">
        <v>3250.6543088337694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0.12019969173270773</v>
      </c>
      <c r="E66" s="83">
        <f t="shared" ref="E66:S66" si="49">E24/E$23</f>
        <v>0.14494197388886043</v>
      </c>
      <c r="F66" s="83">
        <f t="shared" si="49"/>
        <v>0.1255786352847022</v>
      </c>
      <c r="G66" s="83">
        <f t="shared" si="49"/>
        <v>0.13353962350216672</v>
      </c>
      <c r="H66" s="83">
        <f t="shared" si="49"/>
        <v>0.14164270395375536</v>
      </c>
      <c r="I66" s="83">
        <f t="shared" si="49"/>
        <v>9.5692622145803499E-2</v>
      </c>
      <c r="J66" s="83">
        <f t="shared" si="49"/>
        <v>8.7821838217458092E-2</v>
      </c>
      <c r="K66" s="83">
        <f t="shared" si="49"/>
        <v>6.1724564120866472E-2</v>
      </c>
      <c r="L66" s="83">
        <f t="shared" si="49"/>
        <v>7.0252873842934105E-2</v>
      </c>
      <c r="M66" s="83">
        <f t="shared" si="49"/>
        <v>6.7271872845215658E-2</v>
      </c>
      <c r="N66" s="83">
        <f t="shared" si="49"/>
        <v>5.787221363591219E-2</v>
      </c>
      <c r="O66" s="83">
        <f t="shared" si="49"/>
        <v>6.7249670632670802E-2</v>
      </c>
      <c r="P66" s="83">
        <f t="shared" si="49"/>
        <v>5.1368358481418894E-2</v>
      </c>
      <c r="Q66" s="83">
        <f t="shared" si="49"/>
        <v>6.2517960597030103E-2</v>
      </c>
      <c r="R66" s="83">
        <f t="shared" si="49"/>
        <v>5.595776217030806E-2</v>
      </c>
      <c r="S66" s="83">
        <f t="shared" si="49"/>
        <v>5.0386726989921658E-2</v>
      </c>
      <c r="T66" s="83">
        <f t="shared" ref="T66:Y66" si="50">T24/T$23</f>
        <v>4.7944104668369875E-2</v>
      </c>
      <c r="U66" s="83">
        <f t="shared" si="50"/>
        <v>4.9070454711244035E-2</v>
      </c>
      <c r="V66" s="83">
        <f t="shared" si="50"/>
        <v>5.0467693872711286E-2</v>
      </c>
      <c r="W66" s="83">
        <f t="shared" si="50"/>
        <v>4.8858935841736673E-2</v>
      </c>
      <c r="X66" s="83">
        <f t="shared" si="50"/>
        <v>4.6071856455100209E-2</v>
      </c>
      <c r="Y66" s="83">
        <f t="shared" si="50"/>
        <v>5.2692988585857019E-2</v>
      </c>
    </row>
    <row r="67" spans="1:25" x14ac:dyDescent="0.25">
      <c r="A67" s="64" t="s">
        <v>56</v>
      </c>
      <c r="B67" s="65"/>
      <c r="C67" s="65"/>
      <c r="D67" s="83">
        <f t="shared" si="46"/>
        <v>2.2710842551798453E-2</v>
      </c>
      <c r="E67" s="83">
        <f t="shared" ref="E67:S67" si="51">E25/E$23</f>
        <v>2.0246266087504305E-2</v>
      </c>
      <c r="F67" s="83">
        <f t="shared" si="51"/>
        <v>2.0089671417008466E-2</v>
      </c>
      <c r="G67" s="83">
        <f t="shared" si="51"/>
        <v>1.6309496657836101E-2</v>
      </c>
      <c r="H67" s="83">
        <f t="shared" si="51"/>
        <v>1.5058673271639345E-2</v>
      </c>
      <c r="I67" s="83">
        <f t="shared" si="51"/>
        <v>1.5140300784841763E-2</v>
      </c>
      <c r="J67" s="83">
        <f t="shared" si="51"/>
        <v>1.5887170364894367E-2</v>
      </c>
      <c r="K67" s="83">
        <f t="shared" si="51"/>
        <v>1.4187938318509546E-2</v>
      </c>
      <c r="L67" s="83">
        <f t="shared" si="51"/>
        <v>1.0794211856750452E-2</v>
      </c>
      <c r="M67" s="83">
        <f t="shared" si="51"/>
        <v>1.4181500366725079E-2</v>
      </c>
      <c r="N67" s="83">
        <f t="shared" si="51"/>
        <v>1.6629756181707617E-2</v>
      </c>
      <c r="O67" s="83">
        <f t="shared" si="51"/>
        <v>9.6897216999025145E-3</v>
      </c>
      <c r="P67" s="83">
        <f t="shared" si="51"/>
        <v>1.8077225100065857E-2</v>
      </c>
      <c r="Q67" s="83">
        <f t="shared" si="51"/>
        <v>1.2294971350366992E-2</v>
      </c>
      <c r="R67" s="83">
        <f t="shared" si="51"/>
        <v>9.1651522880201695E-3</v>
      </c>
      <c r="S67" s="83">
        <f t="shared" si="51"/>
        <v>1.0497382756734874E-2</v>
      </c>
      <c r="T67" s="83">
        <f t="shared" ref="T67:Y67" si="52">T25/T$23</f>
        <v>7.3156889851865624E-3</v>
      </c>
      <c r="U67" s="83">
        <f t="shared" si="52"/>
        <v>7.0895360843390293E-3</v>
      </c>
      <c r="V67" s="83">
        <f t="shared" si="52"/>
        <v>8.093030143371753E-3</v>
      </c>
      <c r="W67" s="83">
        <f t="shared" si="52"/>
        <v>9.9158655327768429E-3</v>
      </c>
      <c r="X67" s="83">
        <f t="shared" si="52"/>
        <v>9.1505673351747821E-3</v>
      </c>
      <c r="Y67" s="83">
        <f t="shared" si="52"/>
        <v>7.0153522650154643E-3</v>
      </c>
    </row>
    <row r="68" spans="1:25" x14ac:dyDescent="0.25">
      <c r="A68" s="64" t="s">
        <v>146</v>
      </c>
      <c r="B68" s="65"/>
      <c r="C68" s="65"/>
      <c r="D68" s="83">
        <f t="shared" si="46"/>
        <v>0.5548783981012918</v>
      </c>
      <c r="E68" s="83">
        <f t="shared" ref="E68:S68" si="53">E26/E$23</f>
        <v>0.50864226469087315</v>
      </c>
      <c r="F68" s="83">
        <f t="shared" si="53"/>
        <v>0.51449202870212896</v>
      </c>
      <c r="G68" s="83">
        <f t="shared" si="53"/>
        <v>0.51559457183459356</v>
      </c>
      <c r="H68" s="83">
        <f t="shared" si="53"/>
        <v>0.51120495225298734</v>
      </c>
      <c r="I68" s="83">
        <f t="shared" si="53"/>
        <v>0.54867186098878118</v>
      </c>
      <c r="J68" s="83">
        <f t="shared" si="53"/>
        <v>0.55006872812539698</v>
      </c>
      <c r="K68" s="83">
        <f t="shared" si="53"/>
        <v>0.56209640413999451</v>
      </c>
      <c r="L68" s="83">
        <f t="shared" si="53"/>
        <v>0.52704712828640177</v>
      </c>
      <c r="M68" s="83">
        <f t="shared" si="53"/>
        <v>0.54180094953248048</v>
      </c>
      <c r="N68" s="83">
        <f t="shared" si="53"/>
        <v>0.53869328171092723</v>
      </c>
      <c r="O68" s="83">
        <f t="shared" si="53"/>
        <v>0.50447083008724658</v>
      </c>
      <c r="P68" s="83">
        <f t="shared" si="53"/>
        <v>0.58088626395623344</v>
      </c>
      <c r="Q68" s="83">
        <f t="shared" si="53"/>
        <v>0.594552521151828</v>
      </c>
      <c r="R68" s="83">
        <f t="shared" si="53"/>
        <v>0.59436237960408067</v>
      </c>
      <c r="S68" s="83">
        <f t="shared" si="53"/>
        <v>0.61752807233108642</v>
      </c>
      <c r="T68" s="83">
        <f t="shared" ref="T68:Y68" si="54">T26/T$23</f>
        <v>0.63351399150526488</v>
      </c>
      <c r="U68" s="83">
        <f t="shared" si="54"/>
        <v>0.64657529859496243</v>
      </c>
      <c r="V68" s="83">
        <f t="shared" si="54"/>
        <v>0.64614454353571638</v>
      </c>
      <c r="W68" s="83">
        <f t="shared" si="54"/>
        <v>0.66153467619102579</v>
      </c>
      <c r="X68" s="83">
        <f t="shared" si="54"/>
        <v>0.67684346429478626</v>
      </c>
      <c r="Y68" s="83">
        <f t="shared" si="54"/>
        <v>0.67434569934178412</v>
      </c>
    </row>
    <row r="69" spans="1:25" x14ac:dyDescent="0.25">
      <c r="A69" s="68" t="s">
        <v>148</v>
      </c>
      <c r="B69" s="69"/>
      <c r="C69" s="69"/>
      <c r="D69" s="84">
        <f t="shared" si="46"/>
        <v>0.20460491318047277</v>
      </c>
      <c r="E69" s="84">
        <f t="shared" ref="E69:S69" si="55">E27/E$23</f>
        <v>0.19487153192351739</v>
      </c>
      <c r="F69" s="84">
        <f t="shared" si="55"/>
        <v>0.20284065589275804</v>
      </c>
      <c r="G69" s="84">
        <f t="shared" si="55"/>
        <v>0.20752337760311587</v>
      </c>
      <c r="H69" s="84">
        <f t="shared" si="55"/>
        <v>0.20904775439541981</v>
      </c>
      <c r="I69" s="84">
        <f t="shared" si="55"/>
        <v>0.22885951702483195</v>
      </c>
      <c r="J69" s="84">
        <f t="shared" si="55"/>
        <v>0.22499047047000797</v>
      </c>
      <c r="K69" s="84">
        <f t="shared" si="55"/>
        <v>0.21337727433354489</v>
      </c>
      <c r="L69" s="84">
        <f t="shared" si="55"/>
        <v>0.20478051110144463</v>
      </c>
      <c r="M69" s="84">
        <f t="shared" si="55"/>
        <v>0.22215985699917867</v>
      </c>
      <c r="N69" s="84">
        <f t="shared" si="55"/>
        <v>0.22661876144559001</v>
      </c>
      <c r="O69" s="84">
        <f t="shared" si="55"/>
        <v>0.19035922452858661</v>
      </c>
      <c r="P69" s="84">
        <f t="shared" si="55"/>
        <v>0.21537485819435639</v>
      </c>
      <c r="Q69" s="84">
        <f t="shared" si="55"/>
        <v>0.22954317767217963</v>
      </c>
      <c r="R69" s="84">
        <f t="shared" si="55"/>
        <v>0.22890869329719357</v>
      </c>
      <c r="S69" s="84">
        <f t="shared" si="55"/>
        <v>0.22000610808468934</v>
      </c>
      <c r="T69" s="84">
        <f t="shared" ref="T69:Y69" si="56">T27/T$23</f>
        <v>0.23536578778366629</v>
      </c>
      <c r="U69" s="84">
        <f t="shared" si="56"/>
        <v>0.24367092548870298</v>
      </c>
      <c r="V69" s="84">
        <f t="shared" si="56"/>
        <v>0.25367872322845586</v>
      </c>
      <c r="W69" s="84">
        <f t="shared" si="56"/>
        <v>0.26492520202774766</v>
      </c>
      <c r="X69" s="84">
        <f t="shared" si="56"/>
        <v>0.25788398880730606</v>
      </c>
      <c r="Y69" s="84">
        <f t="shared" si="56"/>
        <v>0.23946895798206966</v>
      </c>
    </row>
    <row r="70" spans="1:25" x14ac:dyDescent="0.25">
      <c r="A70" s="68" t="s">
        <v>150</v>
      </c>
      <c r="B70" s="71"/>
      <c r="C70" s="71"/>
      <c r="D70" s="84">
        <f t="shared" si="46"/>
        <v>0.22397119201233071</v>
      </c>
      <c r="E70" s="84">
        <f t="shared" ref="E70:S70" si="57">E28/E$23</f>
        <v>0.20526568951330346</v>
      </c>
      <c r="F70" s="84">
        <f t="shared" si="57"/>
        <v>0.20982975163018266</v>
      </c>
      <c r="G70" s="84">
        <f t="shared" si="57"/>
        <v>0.1985714661660731</v>
      </c>
      <c r="H70" s="84">
        <f t="shared" si="57"/>
        <v>0.19372699856408288</v>
      </c>
      <c r="I70" s="84">
        <f t="shared" si="57"/>
        <v>0.20228534990506178</v>
      </c>
      <c r="J70" s="84">
        <f t="shared" si="57"/>
        <v>0.20347683457891028</v>
      </c>
      <c r="K70" s="84">
        <f t="shared" si="57"/>
        <v>0.2261464188202035</v>
      </c>
      <c r="L70" s="84">
        <f t="shared" si="57"/>
        <v>0.20746271380813472</v>
      </c>
      <c r="M70" s="84">
        <f t="shared" si="57"/>
        <v>0.21672529876016181</v>
      </c>
      <c r="N70" s="84">
        <f t="shared" si="57"/>
        <v>0.23445359994842407</v>
      </c>
      <c r="O70" s="84">
        <f t="shared" si="57"/>
        <v>0.23999477906896113</v>
      </c>
      <c r="P70" s="84">
        <f t="shared" si="57"/>
        <v>0.24510917714965985</v>
      </c>
      <c r="Q70" s="84">
        <f t="shared" si="57"/>
        <v>0.27595891726773475</v>
      </c>
      <c r="R70" s="84">
        <f t="shared" si="57"/>
        <v>0.26909713483817121</v>
      </c>
      <c r="S70" s="84">
        <f t="shared" si="57"/>
        <v>0.28771422686562925</v>
      </c>
      <c r="T70" s="84">
        <f t="shared" ref="T70:Y70" si="58">T28/T$23</f>
        <v>0.27870707701213121</v>
      </c>
      <c r="U70" s="84">
        <f t="shared" si="58"/>
        <v>0.28006277032785398</v>
      </c>
      <c r="V70" s="84">
        <f t="shared" si="58"/>
        <v>0.26800785051823506</v>
      </c>
      <c r="W70" s="84">
        <f t="shared" si="58"/>
        <v>0.27638687752796637</v>
      </c>
      <c r="X70" s="84">
        <f t="shared" si="58"/>
        <v>0.28168196428178544</v>
      </c>
      <c r="Y70" s="84">
        <f t="shared" si="58"/>
        <v>0.27812986827439734</v>
      </c>
    </row>
    <row r="71" spans="1:25" x14ac:dyDescent="0.25">
      <c r="A71" s="68" t="s">
        <v>152</v>
      </c>
      <c r="B71" s="71"/>
      <c r="C71" s="71"/>
      <c r="D71" s="84">
        <f t="shared" si="46"/>
        <v>0.12630229290848824</v>
      </c>
      <c r="E71" s="84">
        <f t="shared" ref="E71:S71" si="59">E29/E$23</f>
        <v>0.10850504325405236</v>
      </c>
      <c r="F71" s="84">
        <f t="shared" si="59"/>
        <v>0.10182162117918823</v>
      </c>
      <c r="G71" s="84">
        <f t="shared" si="59"/>
        <v>0.10949972806540464</v>
      </c>
      <c r="H71" s="84">
        <f t="shared" si="59"/>
        <v>0.10843019929348459</v>
      </c>
      <c r="I71" s="84">
        <f t="shared" si="59"/>
        <v>0.11752699405888736</v>
      </c>
      <c r="J71" s="84">
        <f t="shared" si="59"/>
        <v>0.12160142307647867</v>
      </c>
      <c r="K71" s="84">
        <f t="shared" si="59"/>
        <v>0.12257271098624614</v>
      </c>
      <c r="L71" s="84">
        <f t="shared" si="59"/>
        <v>0.11480390337682254</v>
      </c>
      <c r="M71" s="84">
        <f t="shared" si="59"/>
        <v>0.10291579377313992</v>
      </c>
      <c r="N71" s="84">
        <f t="shared" si="59"/>
        <v>7.7620920316913172E-2</v>
      </c>
      <c r="O71" s="84">
        <f t="shared" si="59"/>
        <v>7.411682648969882E-2</v>
      </c>
      <c r="P71" s="84">
        <f t="shared" si="59"/>
        <v>0.12040222861221717</v>
      </c>
      <c r="Q71" s="84">
        <f t="shared" si="59"/>
        <v>8.9050426211913572E-2</v>
      </c>
      <c r="R71" s="84">
        <f t="shared" si="59"/>
        <v>9.6356551468715773E-2</v>
      </c>
      <c r="S71" s="84">
        <f t="shared" si="59"/>
        <v>0.10980773738076795</v>
      </c>
      <c r="T71" s="84">
        <f t="shared" ref="T71:Y71" si="60">T29/T$23</f>
        <v>0.11944112670946715</v>
      </c>
      <c r="U71" s="84">
        <f t="shared" si="60"/>
        <v>0.12284160277840542</v>
      </c>
      <c r="V71" s="84">
        <f t="shared" si="60"/>
        <v>0.12445796978902546</v>
      </c>
      <c r="W71" s="84">
        <f t="shared" si="60"/>
        <v>0.12022259663531171</v>
      </c>
      <c r="X71" s="84">
        <f t="shared" si="60"/>
        <v>0.1372775112056947</v>
      </c>
      <c r="Y71" s="84">
        <f t="shared" si="60"/>
        <v>0.15674687308531712</v>
      </c>
    </row>
    <row r="72" spans="1:25" x14ac:dyDescent="0.25">
      <c r="A72" s="64" t="s">
        <v>154</v>
      </c>
      <c r="B72" s="65"/>
      <c r="C72" s="65"/>
      <c r="D72" s="83">
        <f t="shared" si="46"/>
        <v>3.7532224844161341E-2</v>
      </c>
      <c r="E72" s="83">
        <f t="shared" ref="E72:S72" si="61">E30/E$23</f>
        <v>3.1812421714193635E-2</v>
      </c>
      <c r="F72" s="83">
        <f t="shared" si="61"/>
        <v>4.56269268896023E-2</v>
      </c>
      <c r="G72" s="83">
        <f t="shared" si="61"/>
        <v>3.9910787908559807E-2</v>
      </c>
      <c r="H72" s="83">
        <f t="shared" si="61"/>
        <v>3.6822599637513984E-2</v>
      </c>
      <c r="I72" s="83">
        <f t="shared" si="61"/>
        <v>3.8349640316441828E-2</v>
      </c>
      <c r="J72" s="83">
        <f t="shared" si="61"/>
        <v>3.4747554087302047E-2</v>
      </c>
      <c r="K72" s="83">
        <f t="shared" si="61"/>
        <v>3.0152445617298386E-2</v>
      </c>
      <c r="L72" s="83">
        <f t="shared" si="61"/>
        <v>3.0592472493543549E-2</v>
      </c>
      <c r="M72" s="83">
        <f t="shared" si="61"/>
        <v>4.0012121691239438E-2</v>
      </c>
      <c r="N72" s="83">
        <f t="shared" si="61"/>
        <v>4.9982488574012343E-2</v>
      </c>
      <c r="O72" s="83">
        <f t="shared" si="61"/>
        <v>8.3513686589141281E-2</v>
      </c>
      <c r="P72" s="83">
        <f t="shared" si="61"/>
        <v>4.2575393503048058E-2</v>
      </c>
      <c r="Q72" s="83">
        <f t="shared" si="61"/>
        <v>5.1972609394920384E-2</v>
      </c>
      <c r="R72" s="83">
        <f t="shared" si="61"/>
        <v>7.1065238605724917E-2</v>
      </c>
      <c r="S72" s="83">
        <f t="shared" si="61"/>
        <v>5.2559358509059143E-2</v>
      </c>
      <c r="T72" s="83">
        <f t="shared" ref="T72:Y72" si="62">T30/T$23</f>
        <v>4.9224516961128145E-2</v>
      </c>
      <c r="U72" s="83">
        <f t="shared" si="62"/>
        <v>4.0325665555850106E-2</v>
      </c>
      <c r="V72" s="83">
        <f t="shared" si="62"/>
        <v>3.8919405566828671E-2</v>
      </c>
      <c r="W72" s="83">
        <f t="shared" si="62"/>
        <v>3.2154819648107576E-2</v>
      </c>
      <c r="X72" s="83">
        <f t="shared" si="62"/>
        <v>3.000786048735022E-2</v>
      </c>
      <c r="Y72" s="83">
        <f t="shared" si="62"/>
        <v>3.5468283922113104E-2</v>
      </c>
    </row>
    <row r="73" spans="1:25" x14ac:dyDescent="0.25">
      <c r="A73" s="64" t="s">
        <v>37</v>
      </c>
      <c r="B73" s="65"/>
      <c r="C73" s="65"/>
      <c r="D73" s="83">
        <f t="shared" si="46"/>
        <v>5.78069373780912E-2</v>
      </c>
      <c r="E73" s="83">
        <f t="shared" ref="E73:S73" si="63">E31/E$23</f>
        <v>6.2789794827093667E-2</v>
      </c>
      <c r="F73" s="83">
        <f t="shared" si="63"/>
        <v>6.8317615067708282E-2</v>
      </c>
      <c r="G73" s="83">
        <f t="shared" si="63"/>
        <v>7.0749048228916298E-2</v>
      </c>
      <c r="H73" s="83">
        <f t="shared" si="63"/>
        <v>7.112219322498127E-2</v>
      </c>
      <c r="I73" s="83">
        <f t="shared" si="63"/>
        <v>7.9158850037434419E-2</v>
      </c>
      <c r="J73" s="83">
        <f t="shared" si="63"/>
        <v>8.947939888879905E-2</v>
      </c>
      <c r="K73" s="83">
        <f t="shared" si="63"/>
        <v>0.10746264458247552</v>
      </c>
      <c r="L73" s="83">
        <f t="shared" si="63"/>
        <v>0.12657532829796103</v>
      </c>
      <c r="M73" s="83">
        <f t="shared" si="63"/>
        <v>0.11752682363378439</v>
      </c>
      <c r="N73" s="83">
        <f t="shared" si="63"/>
        <v>8.9214181292918249E-2</v>
      </c>
      <c r="O73" s="83">
        <f t="shared" si="63"/>
        <v>7.4427635040604984E-2</v>
      </c>
      <c r="P73" s="83">
        <f t="shared" si="63"/>
        <v>8.5404149129595527E-2</v>
      </c>
      <c r="Q73" s="83">
        <f t="shared" si="63"/>
        <v>7.7960501769466131E-2</v>
      </c>
      <c r="R73" s="83">
        <f t="shared" si="63"/>
        <v>7.2099698827085876E-2</v>
      </c>
      <c r="S73" s="83">
        <f t="shared" si="63"/>
        <v>6.7421180849023779E-2</v>
      </c>
      <c r="T73" s="83">
        <f t="shared" ref="T73:Y73" si="64">T31/T$23</f>
        <v>6.7505736847264811E-2</v>
      </c>
      <c r="U73" s="83">
        <f t="shared" si="64"/>
        <v>6.0295454666763934E-2</v>
      </c>
      <c r="V73" s="83">
        <f t="shared" si="64"/>
        <v>6.5944997011523607E-2</v>
      </c>
      <c r="W73" s="83">
        <f t="shared" si="64"/>
        <v>6.9668447183346874E-2</v>
      </c>
      <c r="X73" s="83">
        <f t="shared" si="64"/>
        <v>7.2233978506667421E-2</v>
      </c>
      <c r="Y73" s="83">
        <f t="shared" si="64"/>
        <v>7.0616938870271845E-2</v>
      </c>
    </row>
    <row r="74" spans="1:25" x14ac:dyDescent="0.25">
      <c r="A74" s="64" t="s">
        <v>58</v>
      </c>
      <c r="B74" s="65"/>
      <c r="C74" s="65"/>
      <c r="D74" s="83">
        <f t="shared" si="46"/>
        <v>0.20687190539194955</v>
      </c>
      <c r="E74" s="83">
        <f t="shared" ref="E74:S74" si="65">E32/E$23</f>
        <v>0.23156727879147479</v>
      </c>
      <c r="F74" s="83">
        <f t="shared" si="65"/>
        <v>0.2258951226388497</v>
      </c>
      <c r="G74" s="83">
        <f t="shared" si="65"/>
        <v>0.22389647186792755</v>
      </c>
      <c r="H74" s="83">
        <f t="shared" si="65"/>
        <v>0.22414887765912284</v>
      </c>
      <c r="I74" s="83">
        <f t="shared" si="65"/>
        <v>0.22298672572669739</v>
      </c>
      <c r="J74" s="83">
        <f t="shared" si="65"/>
        <v>0.22199531031614936</v>
      </c>
      <c r="K74" s="83">
        <f t="shared" si="65"/>
        <v>0.22437600322085541</v>
      </c>
      <c r="L74" s="83">
        <f t="shared" si="65"/>
        <v>0.23473798522240916</v>
      </c>
      <c r="M74" s="83">
        <f t="shared" si="65"/>
        <v>0.21920673193055498</v>
      </c>
      <c r="N74" s="83">
        <f t="shared" si="65"/>
        <v>0.2476080786045223</v>
      </c>
      <c r="O74" s="83">
        <f t="shared" si="65"/>
        <v>0.26064845595043373</v>
      </c>
      <c r="P74" s="83">
        <f t="shared" si="65"/>
        <v>0.22168860982963828</v>
      </c>
      <c r="Q74" s="83">
        <f t="shared" si="65"/>
        <v>0.20070143573638843</v>
      </c>
      <c r="R74" s="83">
        <f t="shared" si="65"/>
        <v>0.1973497685047805</v>
      </c>
      <c r="S74" s="83">
        <f t="shared" si="65"/>
        <v>0.20160727856417396</v>
      </c>
      <c r="T74" s="83">
        <f t="shared" ref="T74:Y74" si="66">T32/T$23</f>
        <v>0.19449596103278588</v>
      </c>
      <c r="U74" s="83">
        <f t="shared" si="66"/>
        <v>0.19664359038684057</v>
      </c>
      <c r="V74" s="83">
        <f t="shared" si="66"/>
        <v>0.19043032986984837</v>
      </c>
      <c r="W74" s="83">
        <f t="shared" si="66"/>
        <v>0.17786725560300642</v>
      </c>
      <c r="X74" s="83">
        <f t="shared" si="66"/>
        <v>0.16569227292092109</v>
      </c>
      <c r="Y74" s="83">
        <f t="shared" si="66"/>
        <v>0.15986073701495845</v>
      </c>
    </row>
    <row r="75" spans="1:25" x14ac:dyDescent="0.25">
      <c r="A75" s="85" t="s">
        <v>158</v>
      </c>
      <c r="B75" s="86"/>
      <c r="C75" s="86"/>
      <c r="D75" s="87">
        <f t="shared" si="46"/>
        <v>1.076753099723105E-2</v>
      </c>
      <c r="E75" s="87">
        <f t="shared" ref="E75:S75" si="67">E33/E$23</f>
        <v>1.0921556706392518E-2</v>
      </c>
      <c r="F75" s="87">
        <f t="shared" si="67"/>
        <v>9.8925034331602338E-3</v>
      </c>
      <c r="G75" s="87">
        <f t="shared" si="67"/>
        <v>8.267688906822928E-3</v>
      </c>
      <c r="H75" s="87">
        <f t="shared" si="67"/>
        <v>9.7487329600194905E-3</v>
      </c>
      <c r="I75" s="87">
        <f t="shared" si="67"/>
        <v>8.5842957632208967E-3</v>
      </c>
      <c r="J75" s="87">
        <f t="shared" si="67"/>
        <v>8.313215436683492E-3</v>
      </c>
      <c r="K75" s="87">
        <f t="shared" si="67"/>
        <v>8.5259488073868711E-3</v>
      </c>
      <c r="L75" s="87">
        <f t="shared" si="67"/>
        <v>8.1447096650554707E-3</v>
      </c>
      <c r="M75" s="87">
        <f t="shared" si="67"/>
        <v>5.0788129526419578E-3</v>
      </c>
      <c r="N75" s="87">
        <f t="shared" si="67"/>
        <v>1.6738658084615908E-2</v>
      </c>
      <c r="O75" s="87">
        <f t="shared" si="67"/>
        <v>1.4236826326544764E-2</v>
      </c>
      <c r="P75" s="87">
        <f t="shared" si="67"/>
        <v>1.2629939444828368E-2</v>
      </c>
      <c r="Q75" s="87">
        <f t="shared" si="67"/>
        <v>1.0336571665362124E-2</v>
      </c>
      <c r="R75" s="87">
        <f t="shared" si="67"/>
        <v>8.4552286066940166E-3</v>
      </c>
      <c r="S75" s="87">
        <f t="shared" si="67"/>
        <v>8.7800166196722942E-3</v>
      </c>
      <c r="T75" s="87">
        <f t="shared" ref="T75:Y75" si="68">T33/T$23</f>
        <v>7.9392230965037395E-3</v>
      </c>
      <c r="U75" s="87">
        <f t="shared" si="68"/>
        <v>9.0158212777415019E-3</v>
      </c>
      <c r="V75" s="87">
        <f t="shared" si="68"/>
        <v>8.748670745015898E-3</v>
      </c>
      <c r="W75" s="87">
        <f t="shared" si="68"/>
        <v>6.2877731115847987E-3</v>
      </c>
      <c r="X75" s="87">
        <f t="shared" si="68"/>
        <v>3.8712400168810471E-3</v>
      </c>
      <c r="Y75" s="87">
        <f t="shared" si="68"/>
        <v>8.3524820700967405E-3</v>
      </c>
    </row>
    <row r="76" spans="1:25" x14ac:dyDescent="0.25">
      <c r="A76" s="88" t="s">
        <v>5</v>
      </c>
      <c r="B76" s="44"/>
      <c r="C76" s="44"/>
      <c r="D76" s="89">
        <f t="shared" si="46"/>
        <v>9.0267620912688386E-3</v>
      </c>
      <c r="E76" s="89">
        <f t="shared" ref="E76:S76" si="69">E34/E$23</f>
        <v>9.155886719087146E-3</v>
      </c>
      <c r="F76" s="89">
        <f t="shared" si="69"/>
        <v>8.2931987844902504E-3</v>
      </c>
      <c r="G76" s="89">
        <f t="shared" si="69"/>
        <v>6.9310653320343238E-3</v>
      </c>
      <c r="H76" s="89">
        <f t="shared" si="69"/>
        <v>8.17267144566723E-3</v>
      </c>
      <c r="I76" s="89">
        <f t="shared" si="69"/>
        <v>7.1964868822396513E-3</v>
      </c>
      <c r="J76" s="89">
        <f t="shared" si="69"/>
        <v>6.9692316632014271E-3</v>
      </c>
      <c r="K76" s="89">
        <f t="shared" si="69"/>
        <v>7.1475727821363908E-3</v>
      </c>
      <c r="L76" s="89">
        <f t="shared" si="69"/>
        <v>6.8279679406374524E-3</v>
      </c>
      <c r="M76" s="89">
        <f t="shared" si="69"/>
        <v>4.0102353447384435E-3</v>
      </c>
      <c r="N76" s="89">
        <f t="shared" si="69"/>
        <v>1.0788064079144323E-2</v>
      </c>
      <c r="O76" s="89">
        <f t="shared" si="69"/>
        <v>9.7089210618639017E-3</v>
      </c>
      <c r="P76" s="89">
        <f t="shared" si="69"/>
        <v>9.4836362117965839E-3</v>
      </c>
      <c r="Q76" s="89">
        <f t="shared" si="69"/>
        <v>7.2121943321265779E-3</v>
      </c>
      <c r="R76" s="89">
        <f t="shared" si="69"/>
        <v>6.5546974922268001E-3</v>
      </c>
      <c r="S76" s="89">
        <f t="shared" si="69"/>
        <v>5.97456779694197E-3</v>
      </c>
      <c r="T76" s="89">
        <f t="shared" ref="T76:Y76" si="70">T34/T$23</f>
        <v>4.72561151291662E-3</v>
      </c>
      <c r="U76" s="89">
        <f t="shared" si="70"/>
        <v>4.942224292539342E-3</v>
      </c>
      <c r="V76" s="89">
        <f t="shared" si="70"/>
        <v>5.6038359273672487E-3</v>
      </c>
      <c r="W76" s="89">
        <f t="shared" si="70"/>
        <v>3.6577024076003559E-3</v>
      </c>
      <c r="X76" s="89">
        <f t="shared" si="70"/>
        <v>1.2780814429360879E-3</v>
      </c>
      <c r="Y76" s="89">
        <f t="shared" si="70"/>
        <v>4.2525723811352454E-3</v>
      </c>
    </row>
    <row r="77" spans="1:25" x14ac:dyDescent="0.25">
      <c r="A77" s="88" t="s">
        <v>269</v>
      </c>
      <c r="B77" s="44"/>
      <c r="C77" s="44"/>
      <c r="D77" s="89">
        <f>D37/D$23</f>
        <v>1.7407689059622123E-3</v>
      </c>
      <c r="E77" s="89">
        <f t="shared" ref="E77:S77" si="71">E37/E$23</f>
        <v>1.7656699873053734E-3</v>
      </c>
      <c r="F77" s="89">
        <f t="shared" si="71"/>
        <v>1.599304648669984E-3</v>
      </c>
      <c r="G77" s="89">
        <f t="shared" si="71"/>
        <v>1.3366235747886035E-3</v>
      </c>
      <c r="H77" s="89">
        <f t="shared" si="71"/>
        <v>1.5760615143522616E-3</v>
      </c>
      <c r="I77" s="89">
        <f t="shared" si="71"/>
        <v>1.3878088809812447E-3</v>
      </c>
      <c r="J77" s="89">
        <f t="shared" si="71"/>
        <v>1.3439837734820655E-3</v>
      </c>
      <c r="K77" s="89">
        <f t="shared" si="71"/>
        <v>1.3783760252504798E-3</v>
      </c>
      <c r="L77" s="89">
        <f t="shared" si="71"/>
        <v>1.3167417244180179E-3</v>
      </c>
      <c r="M77" s="89">
        <f t="shared" si="71"/>
        <v>1.0685776079035144E-3</v>
      </c>
      <c r="N77" s="89">
        <f t="shared" si="71"/>
        <v>5.9505940054715841E-3</v>
      </c>
      <c r="O77" s="89">
        <f t="shared" si="71"/>
        <v>4.5279052646808619E-3</v>
      </c>
      <c r="P77" s="89">
        <f t="shared" si="71"/>
        <v>3.1463032330317831E-3</v>
      </c>
      <c r="Q77" s="89">
        <f t="shared" si="71"/>
        <v>3.1243773332355475E-3</v>
      </c>
      <c r="R77" s="89">
        <f t="shared" si="71"/>
        <v>1.9005311144672159E-3</v>
      </c>
      <c r="S77" s="89">
        <f t="shared" si="71"/>
        <v>2.8054488227303243E-3</v>
      </c>
      <c r="T77" s="89">
        <f t="shared" ref="T77:Y77" si="72">T37/T$23</f>
        <v>3.2136115835871199E-3</v>
      </c>
      <c r="U77" s="89">
        <f t="shared" si="72"/>
        <v>4.0735969852021591E-3</v>
      </c>
      <c r="V77" s="89">
        <f t="shared" si="72"/>
        <v>3.1448348176486493E-3</v>
      </c>
      <c r="W77" s="89">
        <f t="shared" si="72"/>
        <v>2.6300707039844423E-3</v>
      </c>
      <c r="X77" s="89">
        <f t="shared" si="72"/>
        <v>2.5931585739449596E-3</v>
      </c>
      <c r="Y77" s="89">
        <f t="shared" si="72"/>
        <v>4.0999096889614943E-3</v>
      </c>
    </row>
    <row r="78" spans="1:25" x14ac:dyDescent="0.25">
      <c r="A78" s="68" t="s">
        <v>271</v>
      </c>
      <c r="B78" s="44"/>
      <c r="C78" s="44"/>
      <c r="D78" s="89">
        <f>D43/D$23</f>
        <v>1.0822091579938076E-2</v>
      </c>
      <c r="E78" s="89">
        <f t="shared" ref="E78:S78" si="73">E43/E$23</f>
        <v>1.1470930786190934E-2</v>
      </c>
      <c r="F78" s="89">
        <f t="shared" si="73"/>
        <v>1.0883800030921178E-2</v>
      </c>
      <c r="G78" s="89">
        <f t="shared" si="73"/>
        <v>1.0772118809101915E-2</v>
      </c>
      <c r="H78" s="89">
        <f t="shared" si="73"/>
        <v>1.0747230599430802E-2</v>
      </c>
      <c r="I78" s="89">
        <f t="shared" si="73"/>
        <v>9.7059049592776152E-3</v>
      </c>
      <c r="J78" s="89">
        <f t="shared" si="73"/>
        <v>1.0018134984348471E-2</v>
      </c>
      <c r="K78" s="89">
        <f t="shared" si="73"/>
        <v>9.2318295056373761E-3</v>
      </c>
      <c r="L78" s="89">
        <f t="shared" si="73"/>
        <v>9.9744175505945415E-3</v>
      </c>
      <c r="M78" s="89">
        <f t="shared" si="73"/>
        <v>9.651677053550644E-3</v>
      </c>
      <c r="N78" s="89">
        <f t="shared" si="73"/>
        <v>3.6294826201275113E-3</v>
      </c>
      <c r="O78" s="89">
        <f t="shared" si="73"/>
        <v>7.651927053804141E-3</v>
      </c>
      <c r="P78" s="89">
        <f t="shared" si="73"/>
        <v>1.0311513603191063E-2</v>
      </c>
      <c r="Q78" s="89">
        <f t="shared" si="73"/>
        <v>7.977283516260196E-3</v>
      </c>
      <c r="R78" s="89">
        <f t="shared" si="73"/>
        <v>9.6669819378888151E-3</v>
      </c>
      <c r="S78" s="89">
        <f t="shared" si="73"/>
        <v>1.0209024340007245E-2</v>
      </c>
      <c r="T78" s="89">
        <f t="shared" ref="T78:Y78" si="74">T43/T$23</f>
        <v>7.4577347239144325E-3</v>
      </c>
      <c r="U78" s="89">
        <f t="shared" si="74"/>
        <v>8.3901344307465483E-3</v>
      </c>
      <c r="V78" s="89">
        <f t="shared" si="74"/>
        <v>7.0655737177182853E-3</v>
      </c>
      <c r="W78" s="89">
        <f t="shared" si="74"/>
        <v>6.3834308894743412E-3</v>
      </c>
      <c r="X78" s="89">
        <f t="shared" si="74"/>
        <v>6.8764263384329836E-3</v>
      </c>
      <c r="Y78" s="89">
        <f t="shared" si="74"/>
        <v>6.781812470292364E-3</v>
      </c>
    </row>
    <row r="79" spans="1:25" x14ac:dyDescent="0.25">
      <c r="A79" s="88" t="s">
        <v>272</v>
      </c>
      <c r="B79" s="44"/>
      <c r="C79" s="44"/>
      <c r="D79" s="89">
        <f>D44/D$23</f>
        <v>7.5157202678924609E-3</v>
      </c>
      <c r="E79" s="89">
        <f t="shared" ref="E79:S79" si="75">E44/E$23</f>
        <v>8.5555856693940047E-3</v>
      </c>
      <c r="F79" s="89">
        <f t="shared" si="75"/>
        <v>7.8826268450394241E-3</v>
      </c>
      <c r="G79" s="89">
        <f t="shared" si="75"/>
        <v>7.9606659765960805E-3</v>
      </c>
      <c r="H79" s="89">
        <f t="shared" si="75"/>
        <v>8.0156658927233327E-3</v>
      </c>
      <c r="I79" s="89">
        <f t="shared" si="75"/>
        <v>7.081225571550981E-3</v>
      </c>
      <c r="J79" s="89">
        <f t="shared" si="75"/>
        <v>7.2066348630635425E-3</v>
      </c>
      <c r="K79" s="89">
        <f t="shared" si="75"/>
        <v>7.097485376929745E-3</v>
      </c>
      <c r="L79" s="89">
        <f t="shared" si="75"/>
        <v>7.9439437125274921E-3</v>
      </c>
      <c r="M79" s="89">
        <f t="shared" si="75"/>
        <v>6.4078070718649391E-3</v>
      </c>
      <c r="N79" s="89">
        <f t="shared" si="75"/>
        <v>3.0292153312970133E-3</v>
      </c>
      <c r="O79" s="89">
        <f t="shared" si="75"/>
        <v>4.8358873747282455E-3</v>
      </c>
      <c r="P79" s="89">
        <f t="shared" si="75"/>
        <v>8.1278894041848602E-3</v>
      </c>
      <c r="Q79" s="89">
        <f t="shared" si="75"/>
        <v>5.8204241955637131E-3</v>
      </c>
      <c r="R79" s="89">
        <f t="shared" si="75"/>
        <v>7.102993023215631E-3</v>
      </c>
      <c r="S79" s="89">
        <f t="shared" si="75"/>
        <v>8.26864208754448E-3</v>
      </c>
      <c r="T79" s="89">
        <f t="shared" ref="T79:Y79" si="76">T44/T$23</f>
        <v>5.5958018481951184E-3</v>
      </c>
      <c r="U79" s="89">
        <f t="shared" si="76"/>
        <v>6.2509377889353656E-3</v>
      </c>
      <c r="V79" s="89">
        <f t="shared" si="76"/>
        <v>5.6201598217859392E-3</v>
      </c>
      <c r="W79" s="89">
        <f t="shared" si="76"/>
        <v>4.9317994559340619E-3</v>
      </c>
      <c r="X79" s="89">
        <f t="shared" si="76"/>
        <v>5.2128231950380926E-3</v>
      </c>
      <c r="Y79" s="89">
        <f t="shared" si="76"/>
        <v>5.3929375734391074E-3</v>
      </c>
    </row>
    <row r="80" spans="1:25" x14ac:dyDescent="0.25">
      <c r="A80" s="88" t="s">
        <v>11</v>
      </c>
      <c r="B80" s="44"/>
      <c r="C80" s="44"/>
      <c r="D80" s="89">
        <f>D47/D$23</f>
        <v>3.3063713120456131E-3</v>
      </c>
      <c r="E80" s="89">
        <f t="shared" ref="E80:S80" si="77">E47/E$23</f>
        <v>2.9153451167969299E-3</v>
      </c>
      <c r="F80" s="89">
        <f t="shared" si="77"/>
        <v>3.0011731858817533E-3</v>
      </c>
      <c r="G80" s="89">
        <f t="shared" si="77"/>
        <v>2.8114528325058332E-3</v>
      </c>
      <c r="H80" s="89">
        <f t="shared" si="77"/>
        <v>2.7315647067074678E-3</v>
      </c>
      <c r="I80" s="89">
        <f t="shared" si="77"/>
        <v>2.6246793877266346E-3</v>
      </c>
      <c r="J80" s="89">
        <f t="shared" si="77"/>
        <v>2.8115001212849272E-3</v>
      </c>
      <c r="K80" s="89">
        <f t="shared" si="77"/>
        <v>2.1343441287076316E-3</v>
      </c>
      <c r="L80" s="89">
        <f t="shared" si="77"/>
        <v>2.0304738380670499E-3</v>
      </c>
      <c r="M80" s="89">
        <f t="shared" si="77"/>
        <v>3.2438699816857053E-3</v>
      </c>
      <c r="N80" s="89">
        <f t="shared" si="77"/>
        <v>6.0026728883049818E-4</v>
      </c>
      <c r="O80" s="89">
        <f t="shared" si="77"/>
        <v>2.8160396790758951E-3</v>
      </c>
      <c r="P80" s="89">
        <f t="shared" si="77"/>
        <v>2.1836241990062029E-3</v>
      </c>
      <c r="Q80" s="89">
        <f t="shared" si="77"/>
        <v>2.1568593206964821E-3</v>
      </c>
      <c r="R80" s="89">
        <f t="shared" si="77"/>
        <v>2.5639889146731832E-3</v>
      </c>
      <c r="S80" s="89">
        <f t="shared" si="77"/>
        <v>1.9403822524627654E-3</v>
      </c>
      <c r="T80" s="89">
        <f t="shared" ref="T80:Y80" si="78">T47/T$23</f>
        <v>1.8619328757193149E-3</v>
      </c>
      <c r="U80" s="89">
        <f t="shared" si="78"/>
        <v>2.1391966418111827E-3</v>
      </c>
      <c r="V80" s="89">
        <f t="shared" si="78"/>
        <v>1.4454138959323454E-3</v>
      </c>
      <c r="W80" s="89">
        <f t="shared" si="78"/>
        <v>1.4516314335402795E-3</v>
      </c>
      <c r="X80" s="89">
        <f t="shared" si="78"/>
        <v>1.6636031433948904E-3</v>
      </c>
      <c r="Y80" s="89">
        <f t="shared" si="78"/>
        <v>1.3888748968532573E-3</v>
      </c>
    </row>
    <row r="81" spans="1:25" x14ac:dyDescent="0.25">
      <c r="A81" s="68" t="s">
        <v>4</v>
      </c>
      <c r="B81" s="44"/>
      <c r="C81" s="44"/>
      <c r="D81" s="89">
        <f>D48/D$23</f>
        <v>1.1730525282010013E-2</v>
      </c>
      <c r="E81" s="89">
        <f t="shared" ref="E81:S81" si="79">E48/E$23</f>
        <v>1.1766371957993639E-2</v>
      </c>
      <c r="F81" s="89">
        <f t="shared" si="79"/>
        <v>1.144538319524905E-2</v>
      </c>
      <c r="G81" s="89">
        <f t="shared" si="79"/>
        <v>1.0710714223056545E-2</v>
      </c>
      <c r="H81" s="89">
        <f t="shared" si="79"/>
        <v>1.1339684836493707E-2</v>
      </c>
      <c r="I81" s="89">
        <f t="shared" si="79"/>
        <v>1.0824667431486476E-2</v>
      </c>
      <c r="J81" s="89">
        <f t="shared" si="79"/>
        <v>1.1882457579152851E-2</v>
      </c>
      <c r="K81" s="89">
        <f t="shared" si="79"/>
        <v>1.3264931178829559E-2</v>
      </c>
      <c r="L81" s="89">
        <f t="shared" si="79"/>
        <v>1.461636972571112E-2</v>
      </c>
      <c r="M81" s="89">
        <f t="shared" si="79"/>
        <v>9.8097860697172936E-3</v>
      </c>
      <c r="N81" s="89">
        <f t="shared" si="79"/>
        <v>5.1061924235639303E-3</v>
      </c>
      <c r="O81" s="89">
        <f t="shared" si="79"/>
        <v>5.1989052360227926E-3</v>
      </c>
      <c r="P81" s="89">
        <f t="shared" si="79"/>
        <v>9.7796155554599144E-3</v>
      </c>
      <c r="Q81" s="89">
        <f t="shared" si="79"/>
        <v>7.6002102084461237E-3</v>
      </c>
      <c r="R81" s="89">
        <f t="shared" si="79"/>
        <v>8.7745064527930787E-3</v>
      </c>
      <c r="S81" s="89">
        <f t="shared" si="79"/>
        <v>8.5051528086535939E-3</v>
      </c>
      <c r="T81" s="89">
        <f t="shared" ref="T81:Y81" si="80">T48/T$23</f>
        <v>9.1162687718778761E-3</v>
      </c>
      <c r="U81" s="89">
        <f t="shared" si="80"/>
        <v>8.0657261792714402E-3</v>
      </c>
      <c r="V81" s="89">
        <f t="shared" si="80"/>
        <v>7.6085428575414218E-3</v>
      </c>
      <c r="W81" s="89">
        <f t="shared" si="80"/>
        <v>6.9041247732442232E-3</v>
      </c>
      <c r="X81" s="89">
        <f t="shared" si="80"/>
        <v>6.8274233002446156E-3</v>
      </c>
      <c r="Y81" s="89">
        <f t="shared" si="80"/>
        <v>7.5190655477515621E-3</v>
      </c>
    </row>
    <row r="82" spans="1:25" x14ac:dyDescent="0.25">
      <c r="A82" s="68" t="s">
        <v>3</v>
      </c>
      <c r="B82" s="44"/>
      <c r="C82" s="44"/>
      <c r="D82" s="89">
        <f>D52/D$23</f>
        <v>6.4408767885641028E-3</v>
      </c>
      <c r="E82" s="89">
        <f t="shared" ref="E82:S82" si="81">E52/E$23</f>
        <v>6.9758299821514481E-3</v>
      </c>
      <c r="F82" s="89">
        <f t="shared" si="81"/>
        <v>7.8985421573887979E-3</v>
      </c>
      <c r="G82" s="89">
        <f t="shared" si="81"/>
        <v>7.2523202161441447E-3</v>
      </c>
      <c r="H82" s="89">
        <f t="shared" si="81"/>
        <v>6.4616270528262453E-3</v>
      </c>
      <c r="I82" s="89">
        <f t="shared" si="81"/>
        <v>6.5232676973704844E-3</v>
      </c>
      <c r="J82" s="89">
        <f t="shared" si="81"/>
        <v>6.3472445219641222E-3</v>
      </c>
      <c r="K82" s="89">
        <f t="shared" si="81"/>
        <v>7.0693556355299735E-3</v>
      </c>
      <c r="L82" s="89">
        <f t="shared" si="81"/>
        <v>8.1758892258647371E-3</v>
      </c>
      <c r="M82" s="89">
        <f t="shared" si="81"/>
        <v>8.3481560535989558E-3</v>
      </c>
      <c r="N82" s="89">
        <f t="shared" si="81"/>
        <v>6.7797968674585402E-3</v>
      </c>
      <c r="O82" s="89">
        <f t="shared" si="81"/>
        <v>7.021336476768893E-3</v>
      </c>
      <c r="P82" s="89">
        <f t="shared" si="81"/>
        <v>5.2361505523213095E-3</v>
      </c>
      <c r="Q82" s="89">
        <f t="shared" si="81"/>
        <v>5.031348684053848E-3</v>
      </c>
      <c r="R82" s="89">
        <f t="shared" si="81"/>
        <v>4.1423483373887885E-3</v>
      </c>
      <c r="S82" s="89">
        <f t="shared" si="81"/>
        <v>4.8331995710135869E-3</v>
      </c>
      <c r="T82" s="89">
        <f t="shared" ref="T82:Y82" si="82">T52/T$23</f>
        <v>4.9969423487696372E-3</v>
      </c>
      <c r="U82" s="89">
        <f t="shared" si="82"/>
        <v>5.1436796435897943E-3</v>
      </c>
      <c r="V82" s="89">
        <f t="shared" si="82"/>
        <v>4.8282404044154327E-3</v>
      </c>
      <c r="W82" s="89">
        <f t="shared" si="82"/>
        <v>4.9209516666888567E-3</v>
      </c>
      <c r="X82" s="89">
        <f t="shared" si="82"/>
        <v>4.5067794203240601E-3</v>
      </c>
      <c r="Y82" s="89">
        <f t="shared" si="82"/>
        <v>3.7114510514327896E-3</v>
      </c>
    </row>
    <row r="83" spans="1:25" x14ac:dyDescent="0.25">
      <c r="A83" s="88" t="s">
        <v>21</v>
      </c>
      <c r="B83" s="44"/>
      <c r="C83" s="44"/>
      <c r="D83" s="89">
        <f>D53/D$23</f>
        <v>3.963826333665244E-3</v>
      </c>
      <c r="E83" s="89">
        <f t="shared" ref="E83:S83" si="83">E53/E$23</f>
        <v>4.1752430064679645E-3</v>
      </c>
      <c r="F83" s="89">
        <f t="shared" si="83"/>
        <v>4.9269259801558787E-3</v>
      </c>
      <c r="G83" s="89">
        <f t="shared" si="83"/>
        <v>4.3772697766627485E-3</v>
      </c>
      <c r="H83" s="89">
        <f t="shared" si="83"/>
        <v>3.6783840949108E-3</v>
      </c>
      <c r="I83" s="89">
        <f t="shared" si="83"/>
        <v>3.1328195945695895E-3</v>
      </c>
      <c r="J83" s="89">
        <f t="shared" si="83"/>
        <v>2.9720582629688239E-3</v>
      </c>
      <c r="K83" s="89">
        <f t="shared" si="83"/>
        <v>4.0541989792420088E-3</v>
      </c>
      <c r="L83" s="89">
        <f t="shared" si="83"/>
        <v>4.4951800961851437E-3</v>
      </c>
      <c r="M83" s="89">
        <f t="shared" si="83"/>
        <v>3.718197030185646E-3</v>
      </c>
      <c r="N83" s="89">
        <f t="shared" si="83"/>
        <v>2.6659185831949552E-3</v>
      </c>
      <c r="O83" s="89">
        <f t="shared" si="83"/>
        <v>1.9146133044006736E-3</v>
      </c>
      <c r="P83" s="89">
        <f t="shared" si="83"/>
        <v>1.5770168071662502E-3</v>
      </c>
      <c r="Q83" s="89">
        <f t="shared" si="83"/>
        <v>1.5765633459341971E-3</v>
      </c>
      <c r="R83" s="89">
        <f t="shared" si="83"/>
        <v>1.4574094621933713E-3</v>
      </c>
      <c r="S83" s="89">
        <f t="shared" si="83"/>
        <v>1.7827084383900225E-3</v>
      </c>
      <c r="T83" s="89">
        <f t="shared" ref="T83:Y83" si="84">T53/T$23</f>
        <v>2.0166493610942722E-3</v>
      </c>
      <c r="U83" s="89">
        <f t="shared" si="84"/>
        <v>2.0970888066105743E-3</v>
      </c>
      <c r="V83" s="89">
        <f t="shared" si="84"/>
        <v>1.7582113351782838E-3</v>
      </c>
      <c r="W83" s="89">
        <f t="shared" si="84"/>
        <v>1.7386047672089083E-3</v>
      </c>
      <c r="X83" s="89">
        <f t="shared" si="84"/>
        <v>1.7556088477485605E-3</v>
      </c>
      <c r="Y83" s="89">
        <f t="shared" si="84"/>
        <v>1.9379223750356032E-3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2.4770504548988583E-3</v>
      </c>
      <c r="E84" s="89">
        <f t="shared" ref="E84:S84" si="86">E56/E$23</f>
        <v>2.8005869756834835E-3</v>
      </c>
      <c r="F84" s="89">
        <f t="shared" si="86"/>
        <v>2.9716161772329192E-3</v>
      </c>
      <c r="G84" s="89">
        <f t="shared" si="86"/>
        <v>2.8750504394813958E-3</v>
      </c>
      <c r="H84" s="89">
        <f t="shared" si="86"/>
        <v>2.7832429579154453E-3</v>
      </c>
      <c r="I84" s="89">
        <f t="shared" si="86"/>
        <v>3.3904481028008944E-3</v>
      </c>
      <c r="J84" s="89">
        <f t="shared" si="86"/>
        <v>3.3751862589952988E-3</v>
      </c>
      <c r="K84" s="89">
        <f t="shared" si="86"/>
        <v>3.0151566562879638E-3</v>
      </c>
      <c r="L84" s="89">
        <f t="shared" si="86"/>
        <v>3.6807091296795929E-3</v>
      </c>
      <c r="M84" s="89">
        <f t="shared" si="86"/>
        <v>4.6299590234133089E-3</v>
      </c>
      <c r="N84" s="89">
        <f t="shared" si="86"/>
        <v>4.1138782842635854E-3</v>
      </c>
      <c r="O84" s="89">
        <f t="shared" si="86"/>
        <v>5.1067231723682192E-3</v>
      </c>
      <c r="P84" s="89">
        <f t="shared" si="86"/>
        <v>3.6591337451550594E-3</v>
      </c>
      <c r="Q84" s="89">
        <f t="shared" si="86"/>
        <v>3.4547853381196509E-3</v>
      </c>
      <c r="R84" s="89">
        <f t="shared" si="86"/>
        <v>2.6849388751954174E-3</v>
      </c>
      <c r="S84" s="89">
        <f t="shared" si="86"/>
        <v>3.0504911326235643E-3</v>
      </c>
      <c r="T84" s="89">
        <f t="shared" ref="T84:Y84" si="87">T56/T$23</f>
        <v>2.9802929876753654E-3</v>
      </c>
      <c r="U84" s="89">
        <f t="shared" si="87"/>
        <v>3.0465908369792199E-3</v>
      </c>
      <c r="V84" s="89">
        <f t="shared" si="87"/>
        <v>3.0700290692371492E-3</v>
      </c>
      <c r="W84" s="89">
        <f t="shared" si="87"/>
        <v>3.1823468994799479E-3</v>
      </c>
      <c r="X84" s="89">
        <f t="shared" si="87"/>
        <v>2.7511705725754999E-3</v>
      </c>
      <c r="Y84" s="89">
        <f t="shared" si="87"/>
        <v>1.7735286763971864E-3</v>
      </c>
    </row>
    <row r="85" spans="1:25" x14ac:dyDescent="0.25">
      <c r="A85" s="68" t="s">
        <v>2</v>
      </c>
      <c r="B85" s="44"/>
      <c r="C85" s="44"/>
      <c r="D85" s="89">
        <f t="shared" si="85"/>
        <v>6.7360495410090981E-2</v>
      </c>
      <c r="E85" s="89">
        <f t="shared" ref="E85:S85" si="88">E57/E$23</f>
        <v>8.1248763908320462E-2</v>
      </c>
      <c r="F85" s="89">
        <f t="shared" si="88"/>
        <v>7.2426039269896408E-2</v>
      </c>
      <c r="G85" s="89">
        <f t="shared" si="88"/>
        <v>7.1161336163792346E-2</v>
      </c>
      <c r="H85" s="89">
        <f t="shared" si="88"/>
        <v>6.954785221496676E-2</v>
      </c>
      <c r="I85" s="89">
        <f t="shared" si="88"/>
        <v>6.9136958731044376E-2</v>
      </c>
      <c r="J85" s="89">
        <f t="shared" si="88"/>
        <v>6.5952433206657959E-2</v>
      </c>
      <c r="K85" s="89">
        <f t="shared" si="88"/>
        <v>6.6379157268109848E-2</v>
      </c>
      <c r="L85" s="89">
        <f t="shared" si="88"/>
        <v>7.3392883759555397E-2</v>
      </c>
      <c r="M85" s="89">
        <f t="shared" si="88"/>
        <v>5.9763451344146228E-2</v>
      </c>
      <c r="N85" s="89">
        <f t="shared" si="88"/>
        <v>6.8496683283645027E-2</v>
      </c>
      <c r="O85" s="89">
        <f t="shared" si="88"/>
        <v>7.2634571536952353E-2</v>
      </c>
      <c r="P85" s="89">
        <f t="shared" si="88"/>
        <v>6.8825983260234563E-2</v>
      </c>
      <c r="Q85" s="89">
        <f t="shared" si="88"/>
        <v>5.6962678474750381E-2</v>
      </c>
      <c r="R85" s="89">
        <f t="shared" si="88"/>
        <v>5.3381753383781733E-2</v>
      </c>
      <c r="S85" s="89">
        <f t="shared" si="88"/>
        <v>5.4608407849599069E-2</v>
      </c>
      <c r="T85" s="89">
        <f t="shared" ref="T85:Y85" si="89">T57/T$23</f>
        <v>4.7830067948546093E-2</v>
      </c>
      <c r="U85" s="89">
        <f t="shared" si="89"/>
        <v>5.0506272584774636E-2</v>
      </c>
      <c r="V85" s="89">
        <f t="shared" si="89"/>
        <v>5.3460999041756045E-2</v>
      </c>
      <c r="W85" s="89">
        <f t="shared" si="89"/>
        <v>4.9718376598754582E-2</v>
      </c>
      <c r="X85" s="89">
        <f t="shared" si="89"/>
        <v>4.8017977114581112E-2</v>
      </c>
      <c r="Y85" s="89">
        <f t="shared" si="89"/>
        <v>3.6801750357865391E-2</v>
      </c>
    </row>
    <row r="86" spans="1:25" x14ac:dyDescent="0.25">
      <c r="A86" s="68" t="s">
        <v>275</v>
      </c>
      <c r="B86" s="44"/>
      <c r="C86" s="44"/>
      <c r="D86" s="89">
        <f t="shared" si="85"/>
        <v>1.1798726010393791E-2</v>
      </c>
      <c r="E86" s="89">
        <f t="shared" ref="E86:S86" si="90">E58/E$23</f>
        <v>1.4747641964366379E-2</v>
      </c>
      <c r="F86" s="89">
        <f t="shared" si="90"/>
        <v>1.6379130023554664E-2</v>
      </c>
      <c r="G86" s="89">
        <f t="shared" si="90"/>
        <v>1.8443306022912685E-2</v>
      </c>
      <c r="H86" s="89">
        <f t="shared" si="90"/>
        <v>2.0584554847235398E-2</v>
      </c>
      <c r="I86" s="89">
        <f t="shared" si="90"/>
        <v>2.3757333872313047E-2</v>
      </c>
      <c r="J86" s="89">
        <f t="shared" si="90"/>
        <v>2.5517193582294713E-2</v>
      </c>
      <c r="K86" s="89">
        <f t="shared" si="90"/>
        <v>2.4281241154514913E-2</v>
      </c>
      <c r="L86" s="89">
        <f t="shared" si="90"/>
        <v>2.6672213079597617E-2</v>
      </c>
      <c r="M86" s="89">
        <f t="shared" si="90"/>
        <v>3.8003258802499877E-2</v>
      </c>
      <c r="N86" s="89">
        <f t="shared" si="90"/>
        <v>3.5931529453173058E-2</v>
      </c>
      <c r="O86" s="89">
        <f t="shared" si="90"/>
        <v>4.1468060546484643E-2</v>
      </c>
      <c r="P86" s="89">
        <f t="shared" si="90"/>
        <v>2.4462437847104078E-2</v>
      </c>
      <c r="Q86" s="89">
        <f t="shared" si="90"/>
        <v>2.3143568875813487E-2</v>
      </c>
      <c r="R86" s="89">
        <f t="shared" si="90"/>
        <v>2.4642991024911937E-2</v>
      </c>
      <c r="S86" s="89">
        <f t="shared" si="90"/>
        <v>2.8051023814427863E-2</v>
      </c>
      <c r="T86" s="89">
        <f t="shared" ref="T86:Y86" si="91">T58/T$23</f>
        <v>3.2165690685734133E-2</v>
      </c>
      <c r="U86" s="89">
        <f t="shared" si="91"/>
        <v>3.5497498142214166E-2</v>
      </c>
      <c r="V86" s="89">
        <f t="shared" si="91"/>
        <v>3.2809393151506633E-2</v>
      </c>
      <c r="W86" s="89">
        <f t="shared" si="91"/>
        <v>2.9690892245457862E-2</v>
      </c>
      <c r="X86" s="89">
        <f t="shared" si="91"/>
        <v>2.6665153239500847E-2</v>
      </c>
      <c r="Y86" s="89">
        <f t="shared" si="91"/>
        <v>2.2295723657398032E-2</v>
      </c>
    </row>
    <row r="87" spans="1:25" x14ac:dyDescent="0.25">
      <c r="A87" s="68" t="s">
        <v>276</v>
      </c>
      <c r="B87" s="44"/>
      <c r="C87" s="44"/>
      <c r="D87" s="89">
        <f t="shared" si="85"/>
        <v>3.5183391758623984E-2</v>
      </c>
      <c r="E87" s="89">
        <f t="shared" ref="E87:S87" si="92">E59/E$23</f>
        <v>3.5865581591817512E-2</v>
      </c>
      <c r="F87" s="89">
        <f t="shared" si="92"/>
        <v>3.6261902380021277E-2</v>
      </c>
      <c r="G87" s="89">
        <f t="shared" si="92"/>
        <v>3.6303268478394358E-2</v>
      </c>
      <c r="H87" s="89">
        <f t="shared" si="92"/>
        <v>3.5872088945652934E-2</v>
      </c>
      <c r="I87" s="89">
        <f t="shared" si="92"/>
        <v>3.8880554314067652E-2</v>
      </c>
      <c r="J87" s="89">
        <f t="shared" si="92"/>
        <v>4.1314266572718972E-2</v>
      </c>
      <c r="K87" s="89">
        <f t="shared" si="92"/>
        <v>4.3422651122640404E-2</v>
      </c>
      <c r="L87" s="89">
        <f t="shared" si="92"/>
        <v>4.3054410615043469E-2</v>
      </c>
      <c r="M87" s="89">
        <f t="shared" si="92"/>
        <v>4.1502738360321659E-2</v>
      </c>
      <c r="N87" s="89">
        <f t="shared" si="92"/>
        <v>5.5024211071054568E-2</v>
      </c>
      <c r="O87" s="89">
        <f t="shared" si="92"/>
        <v>5.3535753180485132E-2</v>
      </c>
      <c r="P87" s="89">
        <f t="shared" si="92"/>
        <v>4.4895443460861641E-2</v>
      </c>
      <c r="Q87" s="89">
        <f t="shared" si="92"/>
        <v>3.909575439270558E-2</v>
      </c>
      <c r="R87" s="89">
        <f t="shared" si="92"/>
        <v>4.2457192353258025E-2</v>
      </c>
      <c r="S87" s="89">
        <f t="shared" si="92"/>
        <v>4.0434100158384056E-2</v>
      </c>
      <c r="T87" s="89">
        <f t="shared" ref="T87:Y87" si="93">T59/T$23</f>
        <v>4.0893167599967181E-2</v>
      </c>
      <c r="U87" s="89">
        <f t="shared" si="93"/>
        <v>3.72375599517717E-2</v>
      </c>
      <c r="V87" s="89">
        <f t="shared" si="93"/>
        <v>3.5816648120586367E-2</v>
      </c>
      <c r="W87" s="89">
        <f t="shared" si="93"/>
        <v>3.521241697126766E-2</v>
      </c>
      <c r="X87" s="89">
        <f t="shared" si="93"/>
        <v>3.4287125801799712E-2</v>
      </c>
      <c r="Y87" s="89">
        <f t="shared" si="93"/>
        <v>3.6065413122738435E-2</v>
      </c>
    </row>
    <row r="88" spans="1:25" x14ac:dyDescent="0.25">
      <c r="A88" s="68" t="s">
        <v>1</v>
      </c>
      <c r="B88" s="44"/>
      <c r="C88" s="44"/>
      <c r="D88" s="89">
        <f t="shared" si="85"/>
        <v>2.5357030813089088E-2</v>
      </c>
      <c r="E88" s="89">
        <f t="shared" ref="E88:S88" si="94">E60/E$23</f>
        <v>2.9666200309114484E-2</v>
      </c>
      <c r="F88" s="89">
        <f t="shared" si="94"/>
        <v>3.0589230335494783E-2</v>
      </c>
      <c r="G88" s="89">
        <f t="shared" si="94"/>
        <v>3.0504921138967352E-2</v>
      </c>
      <c r="H88" s="89">
        <f t="shared" si="94"/>
        <v>2.8760792449069237E-2</v>
      </c>
      <c r="I88" s="89">
        <f t="shared" si="94"/>
        <v>2.5871026329348869E-2</v>
      </c>
      <c r="J88" s="89">
        <f t="shared" si="94"/>
        <v>2.3565083802109203E-2</v>
      </c>
      <c r="K88" s="89">
        <f t="shared" si="94"/>
        <v>2.2452807963529789E-2</v>
      </c>
      <c r="L88" s="89">
        <f t="shared" si="94"/>
        <v>2.2083494300984666E-2</v>
      </c>
      <c r="M88" s="89">
        <f t="shared" si="94"/>
        <v>1.8177266558625508E-2</v>
      </c>
      <c r="N88" s="89">
        <f t="shared" si="94"/>
        <v>2.7903281170773869E-2</v>
      </c>
      <c r="O88" s="89">
        <f t="shared" si="94"/>
        <v>3.407962735604711E-2</v>
      </c>
      <c r="P88" s="89">
        <f t="shared" si="94"/>
        <v>2.4978094733072446E-2</v>
      </c>
      <c r="Q88" s="89">
        <f t="shared" si="94"/>
        <v>2.4294634762824858E-2</v>
      </c>
      <c r="R88" s="89">
        <f t="shared" si="94"/>
        <v>2.2203708280715093E-2</v>
      </c>
      <c r="S88" s="89">
        <f t="shared" si="94"/>
        <v>2.1584976952633932E-2</v>
      </c>
      <c r="T88" s="89">
        <f t="shared" ref="T88:Y88" si="95">T60/T$23</f>
        <v>2.0412572848457201E-2</v>
      </c>
      <c r="U88" s="89">
        <f t="shared" si="95"/>
        <v>1.8965131747113388E-2</v>
      </c>
      <c r="V88" s="89">
        <f t="shared" si="95"/>
        <v>1.7031632781171636E-2</v>
      </c>
      <c r="W88" s="89">
        <f t="shared" si="95"/>
        <v>1.5764796261260129E-2</v>
      </c>
      <c r="X88" s="89">
        <f t="shared" si="95"/>
        <v>1.401786910788469E-2</v>
      </c>
      <c r="Y88" s="89">
        <f t="shared" si="95"/>
        <v>1.2869416452741162E-2</v>
      </c>
    </row>
    <row r="89" spans="1:25" x14ac:dyDescent="0.25">
      <c r="A89" s="68" t="s">
        <v>0</v>
      </c>
      <c r="B89" s="44"/>
      <c r="C89" s="44"/>
      <c r="D89" s="89">
        <f t="shared" si="85"/>
        <v>8.6778606795520595E-3</v>
      </c>
      <c r="E89" s="89">
        <f t="shared" ref="E89:S89" si="96">E61/E$23</f>
        <v>1.0137783019213444E-2</v>
      </c>
      <c r="F89" s="89">
        <f t="shared" si="96"/>
        <v>1.0640523113580762E-2</v>
      </c>
      <c r="G89" s="89">
        <f t="shared" si="96"/>
        <v>1.0234828681204934E-2</v>
      </c>
      <c r="H89" s="89">
        <f t="shared" si="96"/>
        <v>1.1048071847534395E-2</v>
      </c>
      <c r="I89" s="89">
        <f t="shared" si="96"/>
        <v>1.0349264548893905E-2</v>
      </c>
      <c r="J89" s="89">
        <f t="shared" si="96"/>
        <v>9.8541115590311066E-3</v>
      </c>
      <c r="K89" s="89">
        <f t="shared" si="96"/>
        <v>9.6441060280277706E-3</v>
      </c>
      <c r="L89" s="89">
        <f t="shared" si="96"/>
        <v>8.8146899839083043E-3</v>
      </c>
      <c r="M89" s="89">
        <f t="shared" si="96"/>
        <v>9.448770482803447E-3</v>
      </c>
      <c r="N89" s="89">
        <f t="shared" si="96"/>
        <v>1.4893424241737832E-2</v>
      </c>
      <c r="O89" s="89">
        <f t="shared" si="96"/>
        <v>1.306048530185547E-2</v>
      </c>
      <c r="P89" s="89">
        <f t="shared" si="96"/>
        <v>8.2229002004971415E-3</v>
      </c>
      <c r="Q89" s="89">
        <f t="shared" si="96"/>
        <v>8.2916435791957153E-3</v>
      </c>
      <c r="R89" s="89">
        <f t="shared" si="96"/>
        <v>7.1638436244721585E-3</v>
      </c>
      <c r="S89" s="89">
        <f t="shared" si="96"/>
        <v>6.9014254565083069E-3</v>
      </c>
      <c r="T89" s="89">
        <f t="shared" ref="T89:Y89" si="97">T61/T$23</f>
        <v>5.7951993875361195E-3</v>
      </c>
      <c r="U89" s="89">
        <f t="shared" si="97"/>
        <v>6.1922240468950795E-3</v>
      </c>
      <c r="V89" s="89">
        <f t="shared" si="97"/>
        <v>6.1325467076862325E-3</v>
      </c>
      <c r="W89" s="89">
        <f t="shared" si="97"/>
        <v>5.1354420449463362E-3</v>
      </c>
      <c r="X89" s="89">
        <f t="shared" si="97"/>
        <v>5.4278365258646037E-3</v>
      </c>
      <c r="Y89" s="89">
        <f t="shared" si="97"/>
        <v>6.8656120436930059E-3</v>
      </c>
    </row>
    <row r="90" spans="1:25" x14ac:dyDescent="0.25">
      <c r="A90" s="90" t="s">
        <v>278</v>
      </c>
      <c r="B90" s="47"/>
      <c r="C90" s="47"/>
      <c r="D90" s="91">
        <f t="shared" si="85"/>
        <v>1.8733376072456457E-2</v>
      </c>
      <c r="E90" s="91">
        <f t="shared" ref="E90:S90" si="98">E62/E$23</f>
        <v>1.8766618565913905E-2</v>
      </c>
      <c r="F90" s="91">
        <f t="shared" si="98"/>
        <v>1.9478068699582563E-2</v>
      </c>
      <c r="G90" s="91">
        <f t="shared" si="98"/>
        <v>2.024596922753031E-2</v>
      </c>
      <c r="H90" s="91">
        <f t="shared" si="98"/>
        <v>2.0038241905893903E-2</v>
      </c>
      <c r="I90" s="91">
        <f t="shared" si="98"/>
        <v>1.9353452079674104E-2</v>
      </c>
      <c r="J90" s="91">
        <f t="shared" si="98"/>
        <v>1.9231169071188478E-2</v>
      </c>
      <c r="K90" s="91">
        <f t="shared" si="98"/>
        <v>2.0103974556648908E-2</v>
      </c>
      <c r="L90" s="91">
        <f t="shared" si="98"/>
        <v>1.9808907316093825E-2</v>
      </c>
      <c r="M90" s="91">
        <f t="shared" si="98"/>
        <v>1.9422814252649419E-2</v>
      </c>
      <c r="N90" s="91">
        <f t="shared" si="98"/>
        <v>1.3104819388372064E-2</v>
      </c>
      <c r="O90" s="91">
        <f t="shared" si="98"/>
        <v>1.1760962935468477E-2</v>
      </c>
      <c r="P90" s="91">
        <f t="shared" si="98"/>
        <v>1.23465311720678E-2</v>
      </c>
      <c r="Q90" s="91">
        <f t="shared" si="98"/>
        <v>1.7967741576976143E-2</v>
      </c>
      <c r="R90" s="91">
        <f t="shared" si="98"/>
        <v>1.6461214502876877E-2</v>
      </c>
      <c r="S90" s="91">
        <f t="shared" si="98"/>
        <v>1.7699950993274004E-2</v>
      </c>
      <c r="T90" s="91">
        <f t="shared" ref="T90:Y90" si="99">T62/T$23</f>
        <v>1.788909362147945E-2</v>
      </c>
      <c r="U90" s="91">
        <f t="shared" si="99"/>
        <v>1.7629542382722265E-2</v>
      </c>
      <c r="V90" s="91">
        <f t="shared" si="99"/>
        <v>1.6928082342450423E-2</v>
      </c>
      <c r="W90" s="91">
        <f t="shared" si="99"/>
        <v>1.7849051040327645E-2</v>
      </c>
      <c r="X90" s="91">
        <f t="shared" si="99"/>
        <v>1.5194442055407436E-2</v>
      </c>
      <c r="Y90" s="91">
        <f t="shared" si="99"/>
        <v>1.8598010240948957E-2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5.2177611991022887E-2</v>
      </c>
      <c r="F93" s="92">
        <f t="shared" ref="F93:F94" si="101">IF(E16=0,"",F16/E16-1)</f>
        <v>5.702157525937035E-2</v>
      </c>
      <c r="G93" s="92">
        <f t="shared" ref="G93:G94" si="102">IF(F16=0,"",G16/F16-1)</f>
        <v>2.3404261506626556E-2</v>
      </c>
      <c r="H93" s="92">
        <f t="shared" ref="H93:H94" si="103">IF(G16=0,"",H16/G16-1)</f>
        <v>0.10428963381232625</v>
      </c>
      <c r="I93" s="92">
        <f t="shared" ref="I93:I94" si="104">IF(H16=0,"",I16/H16-1)</f>
        <v>4.6685249946253338E-2</v>
      </c>
      <c r="J93" s="92">
        <f t="shared" ref="J93:J94" si="105">IF(I16=0,"",J16/I16-1)</f>
        <v>8.0279595364483036E-2</v>
      </c>
      <c r="K93" s="92">
        <f t="shared" ref="K93:K94" si="106">IF(J16=0,"",K16/J16-1)</f>
        <v>7.2341347328042094E-2</v>
      </c>
      <c r="L93" s="92">
        <f t="shared" ref="L93:L94" si="107">IF(K16=0,"",L16/K16-1)</f>
        <v>9.3074268721767828E-2</v>
      </c>
      <c r="M93" s="92">
        <f t="shared" ref="M93:M94" si="108">IF(L16=0,"",M16/L16-1)</f>
        <v>-5.5173179581683329E-2</v>
      </c>
      <c r="N93" s="92">
        <f t="shared" ref="N93:N94" si="109">IF(M16=0,"",N16/M16-1)</f>
        <v>-3.9007151355756386E-2</v>
      </c>
      <c r="O93" s="92">
        <f t="shared" ref="O93:O94" si="110">IF(N16=0,"",O16/N16-1)</f>
        <v>4.516847456077655E-2</v>
      </c>
      <c r="P93" s="92">
        <f t="shared" ref="P93:P94" si="111">IF(O16=0,"",P16/O16-1)</f>
        <v>1.9252552799285061E-2</v>
      </c>
      <c r="Q93" s="92">
        <f t="shared" ref="Q93:Q94" si="112">IF(P16=0,"",Q16/P16-1)</f>
        <v>2.6940424187034129E-3</v>
      </c>
      <c r="R93" s="92">
        <f t="shared" ref="R93:R94" si="113">IF(Q16=0,"",R16/Q16-1)</f>
        <v>4.1202453522439342E-2</v>
      </c>
      <c r="S93" s="92">
        <f t="shared" ref="S93:S94" si="114">IF(R16=0,"",S16/R16-1)</f>
        <v>3.1609973851068007E-2</v>
      </c>
      <c r="T93" s="92">
        <f t="shared" ref="T93:T94" si="115">IF(S16=0,"",T16/S16-1)</f>
        <v>2.8574560888185552E-2</v>
      </c>
      <c r="U93" s="92">
        <f t="shared" ref="U93:U94" si="116">IF(T16=0,"",U16/T16-1)</f>
        <v>8.1961533347746363E-2</v>
      </c>
      <c r="V93" s="92">
        <f t="shared" ref="V93:V94" si="117">IF(U16=0,"",V16/U16-1)</f>
        <v>6.0296990028820163E-2</v>
      </c>
      <c r="W93" s="92">
        <f t="shared" ref="W93:W94" si="118">IF(V16=0,"",W16/V16-1)</f>
        <v>3.8529264800874152E-2</v>
      </c>
      <c r="X93" s="92">
        <f t="shared" ref="X93:X94" si="119">IF(W16=0,"",X16/W16-1)</f>
        <v>-3.6774973504333452E-2</v>
      </c>
      <c r="Y93" s="92">
        <f t="shared" ref="Y93:Y94" si="120">IF(X16=0,"",Y16/X16-1)</f>
        <v>5.7085800500693784E-2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8.3357169742541481E-2</v>
      </c>
      <c r="F94" s="93">
        <f t="shared" si="101"/>
        <v>7.0965047834578021E-2</v>
      </c>
      <c r="G94" s="93">
        <f t="shared" si="102"/>
        <v>8.3799601577109195E-2</v>
      </c>
      <c r="H94" s="93">
        <f t="shared" si="103"/>
        <v>0.15840460579937532</v>
      </c>
      <c r="I94" s="93">
        <f t="shared" si="104"/>
        <v>0.11224913404863224</v>
      </c>
      <c r="J94" s="93">
        <f t="shared" si="105"/>
        <v>0.1020723232480123</v>
      </c>
      <c r="K94" s="93">
        <f t="shared" si="106"/>
        <v>0.13840548448498424</v>
      </c>
      <c r="L94" s="93">
        <f t="shared" si="107"/>
        <v>8.7027649175905664E-2</v>
      </c>
      <c r="M94" s="93">
        <f t="shared" si="108"/>
        <v>-6.3510877015120815E-2</v>
      </c>
      <c r="N94" s="93">
        <f t="shared" si="109"/>
        <v>-4.9881384300566989E-2</v>
      </c>
      <c r="O94" s="93">
        <f t="shared" si="110"/>
        <v>4.4907393454834965E-2</v>
      </c>
      <c r="P94" s="93">
        <f t="shared" si="111"/>
        <v>1.8868698002826534E-2</v>
      </c>
      <c r="Q94" s="93">
        <f t="shared" si="112"/>
        <v>-4.9506530039572061E-2</v>
      </c>
      <c r="R94" s="93">
        <f t="shared" si="113"/>
        <v>4.0626921143914085E-2</v>
      </c>
      <c r="S94" s="93">
        <f t="shared" si="114"/>
        <v>5.9084103434535296E-2</v>
      </c>
      <c r="T94" s="93">
        <f t="shared" si="115"/>
        <v>6.0443555283664407E-2</v>
      </c>
      <c r="U94" s="93">
        <f t="shared" si="116"/>
        <v>0.11565947376366625</v>
      </c>
      <c r="V94" s="93">
        <f t="shared" si="117"/>
        <v>9.4296398488165289E-2</v>
      </c>
      <c r="W94" s="93">
        <f t="shared" si="118"/>
        <v>3.4088697241468013E-2</v>
      </c>
      <c r="X94" s="93">
        <f t="shared" si="119"/>
        <v>-3.8568690961676255E-2</v>
      </c>
      <c r="Y94" s="93">
        <f t="shared" si="120"/>
        <v>7.1725877675377525E-2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5.3351636277416681E-2</v>
      </c>
      <c r="F95" s="92">
        <f t="shared" ref="F95:F96" si="122">IF(E20=0,"",F20/E20-1)</f>
        <v>8.5922799945733486E-2</v>
      </c>
      <c r="G95" s="92">
        <f t="shared" ref="G95:G96" si="123">IF(F20=0,"",G20/F20-1)</f>
        <v>3.3150861050733171E-2</v>
      </c>
      <c r="H95" s="92">
        <f t="shared" ref="H95:H96" si="124">IF(G20=0,"",H20/G20-1)</f>
        <v>0.10974752147831168</v>
      </c>
      <c r="I95" s="92">
        <f t="shared" ref="I95:I96" si="125">IF(H20=0,"",I20/H20-1)</f>
        <v>5.3479046011435827E-2</v>
      </c>
      <c r="J95" s="92">
        <f t="shared" ref="J95:J96" si="126">IF(I20=0,"",J20/I20-1)</f>
        <v>8.6649260980945497E-2</v>
      </c>
      <c r="K95" s="92">
        <f t="shared" ref="K95:K96" si="127">IF(J20=0,"",K20/J20-1)</f>
        <v>7.8761692403335193E-2</v>
      </c>
      <c r="L95" s="92">
        <f t="shared" ref="L95:L96" si="128">IF(K20=0,"",L20/K20-1)</f>
        <v>0.11929703115162549</v>
      </c>
      <c r="M95" s="92">
        <f t="shared" ref="M95:M96" si="129">IF(L20=0,"",M20/L20-1)</f>
        <v>-4.6151690623305264E-2</v>
      </c>
      <c r="N95" s="92">
        <f t="shared" ref="N95:N96" si="130">IF(M20=0,"",N20/M20-1)</f>
        <v>-3.2112375728438614E-2</v>
      </c>
      <c r="O95" s="92">
        <f t="shared" ref="O95:O96" si="131">IF(N20=0,"",O20/N20-1)</f>
        <v>5.0116387738880608E-2</v>
      </c>
      <c r="P95" s="92">
        <f t="shared" ref="P95:P96" si="132">IF(O20=0,"",P20/O20-1)</f>
        <v>2.4479824234308944E-2</v>
      </c>
      <c r="Q95" s="92">
        <f t="shared" ref="Q95:Q96" si="133">IF(P20=0,"",Q20/P20-1)</f>
        <v>6.4965526935660822E-3</v>
      </c>
      <c r="R95" s="92">
        <f t="shared" ref="R95:R96" si="134">IF(Q20=0,"",R20/Q20-1)</f>
        <v>4.5000510018658568E-2</v>
      </c>
      <c r="S95" s="92">
        <f t="shared" ref="S95:S96" si="135">IF(R20=0,"",S20/R20-1)</f>
        <v>3.5590083156785024E-2</v>
      </c>
      <c r="T95" s="92">
        <f t="shared" ref="T95:T96" si="136">IF(S20=0,"",T20/S20-1)</f>
        <v>3.4303489121862762E-2</v>
      </c>
      <c r="U95" s="92">
        <f t="shared" ref="U95:U96" si="137">IF(T20=0,"",U20/T20-1)</f>
        <v>8.8385682860838033E-2</v>
      </c>
      <c r="V95" s="92">
        <f t="shared" ref="V95:V96" si="138">IF(U20=0,"",V20/U20-1)</f>
        <v>6.6293304146846532E-2</v>
      </c>
      <c r="W95" s="92">
        <f t="shared" ref="W95:W96" si="139">IF(V20=0,"",W20/V20-1)</f>
        <v>4.4896111028793317E-2</v>
      </c>
      <c r="X95" s="92">
        <f t="shared" ref="X95:X96" si="140">IF(W20=0,"",X20/W20-1)</f>
        <v>-3.250822313017443E-2</v>
      </c>
      <c r="Y95" s="92">
        <f t="shared" ref="Y95:Y96" si="141">IF(X20=0,"",Y20/X20-1)</f>
        <v>6.408706652467E-2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8.4565984313029974E-2</v>
      </c>
      <c r="F96" s="93">
        <f t="shared" si="122"/>
        <v>0.10024751680510402</v>
      </c>
      <c r="G96" s="93">
        <f t="shared" si="123"/>
        <v>9.4121388479856183E-2</v>
      </c>
      <c r="H96" s="93">
        <f t="shared" si="124"/>
        <v>0.16412995358552251</v>
      </c>
      <c r="I96" s="93">
        <f t="shared" si="125"/>
        <v>0.11946849038406371</v>
      </c>
      <c r="J96" s="93">
        <f t="shared" si="126"/>
        <v>0.10857048558891957</v>
      </c>
      <c r="K96" s="93">
        <f t="shared" si="127"/>
        <v>0.1452213701768037</v>
      </c>
      <c r="L96" s="93">
        <f t="shared" si="128"/>
        <v>0.11310535369671526</v>
      </c>
      <c r="M96" s="93">
        <f t="shared" si="129"/>
        <v>-5.4568998884577669E-2</v>
      </c>
      <c r="N96" s="93">
        <f t="shared" si="130"/>
        <v>-4.3064627356093066E-2</v>
      </c>
      <c r="O96" s="93">
        <f t="shared" si="131"/>
        <v>4.9854070653595928E-2</v>
      </c>
      <c r="P96" s="93">
        <f t="shared" si="132"/>
        <v>2.4094000825451545E-2</v>
      </c>
      <c r="Q96" s="93">
        <f t="shared" si="133"/>
        <v>-4.590197966546572E-2</v>
      </c>
      <c r="R96" s="93">
        <f t="shared" si="134"/>
        <v>4.4422878236235697E-2</v>
      </c>
      <c r="S96" s="93">
        <f t="shared" si="135"/>
        <v>6.3170212140794435E-2</v>
      </c>
      <c r="T96" s="93">
        <f t="shared" si="136"/>
        <v>6.634998662573377E-2</v>
      </c>
      <c r="U96" s="93">
        <f t="shared" si="137"/>
        <v>0.12228370488857387</v>
      </c>
      <c r="V96" s="93">
        <f t="shared" si="138"/>
        <v>0.1004849899915532</v>
      </c>
      <c r="W96" s="93">
        <f t="shared" si="139"/>
        <v>4.0428319960360115E-2</v>
      </c>
      <c r="X96" s="93">
        <f t="shared" si="140"/>
        <v>-3.4309886129235578E-2</v>
      </c>
      <c r="Y96" s="93">
        <f t="shared" si="141"/>
        <v>7.8824107517108999E-2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5.7621975596692021E-2</v>
      </c>
      <c r="F97" s="89">
        <f t="shared" ref="F97:F106" si="143">IF(E23=0,"",F23/E23-1)</f>
        <v>5.054492087725837E-2</v>
      </c>
      <c r="G97" s="89">
        <f t="shared" ref="G97:G106" si="144">IF(F23=0,"",G23/F23-1)</f>
        <v>2.2801988995194034E-2</v>
      </c>
      <c r="H97" s="89">
        <f t="shared" ref="H97:H106" si="145">IF(G23=0,"",H23/G23-1)</f>
        <v>0.10608979999999679</v>
      </c>
      <c r="I97" s="89">
        <f t="shared" ref="I97:I106" si="146">IF(H23=0,"",I23/H23-1)</f>
        <v>4.0178423905945726E-2</v>
      </c>
      <c r="J97" s="89">
        <f t="shared" ref="J97:J106" si="147">IF(I23=0,"",J23/I23-1)</f>
        <v>8.4944280363236313E-2</v>
      </c>
      <c r="K97" s="89">
        <f t="shared" ref="K97:K106" si="148">IF(J23=0,"",K23/J23-1)</f>
        <v>7.0203802537927684E-2</v>
      </c>
      <c r="L97" s="89">
        <f t="shared" ref="L97:L106" si="149">IF(K23=0,"",L23/K23-1)</f>
        <v>9.4921318846812763E-2</v>
      </c>
      <c r="M97" s="89">
        <f t="shared" ref="M97:M106" si="150">IF(L23=0,"",M23/L23-1)</f>
        <v>-4.4427184948856224E-2</v>
      </c>
      <c r="N97" s="89">
        <f t="shared" ref="N97:N106" si="151">IF(M23=0,"",N23/M23-1)</f>
        <v>-5.1736657727924018E-2</v>
      </c>
      <c r="O97" s="89">
        <f t="shared" ref="O97:O106" si="152">IF(N23=0,"",O23/N23-1)</f>
        <v>4.313203545137978E-2</v>
      </c>
      <c r="P97" s="89">
        <f t="shared" ref="P97:P106" si="153">IF(O23=0,"",P23/O23-1)</f>
        <v>2.0100401354813613E-2</v>
      </c>
      <c r="Q97" s="89">
        <f t="shared" ref="Q97:Q106" si="154">IF(P23=0,"",Q23/P23-1)</f>
        <v>4.1050531422328618E-3</v>
      </c>
      <c r="R97" s="89">
        <f t="shared" ref="R97:R106" si="155">IF(Q23=0,"",R23/Q23-1)</f>
        <v>4.1722405236731097E-2</v>
      </c>
      <c r="S97" s="89">
        <f t="shared" ref="S97:S106" si="156">IF(R23=0,"",S23/R23-1)</f>
        <v>2.6734808572272062E-2</v>
      </c>
      <c r="T97" s="89">
        <f t="shared" ref="T97:T106" si="157">IF(S23=0,"",T23/S23-1)</f>
        <v>2.8160990025241306E-2</v>
      </c>
      <c r="U97" s="89">
        <f t="shared" ref="U97:U106" si="158">IF(T23=0,"",U23/T23-1)</f>
        <v>8.4033178723009749E-2</v>
      </c>
      <c r="V97" s="89">
        <f t="shared" ref="V97:V106" si="159">IF(U23=0,"",V23/U23-1)</f>
        <v>5.6431904401570865E-2</v>
      </c>
      <c r="W97" s="89">
        <f t="shared" ref="W97:W106" si="160">IF(V23=0,"",W23/V23-1)</f>
        <v>3.6727236855341516E-2</v>
      </c>
      <c r="X97" s="89">
        <f t="shared" ref="X97:X106" si="161">IF(W23=0,"",X23/W23-1)</f>
        <v>-3.3924257098490673E-2</v>
      </c>
      <c r="Y97" s="89">
        <f t="shared" ref="Y97:Y106" si="162">IF(X23=0,"",Y23/X23-1)</f>
        <v>5.2664584042702467E-2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0.27532620559548149</v>
      </c>
      <c r="F98" s="83">
        <f t="shared" si="143"/>
        <v>-8.9801291307094688E-2</v>
      </c>
      <c r="G98" s="83">
        <f t="shared" si="144"/>
        <v>8.7641956118024389E-2</v>
      </c>
      <c r="H98" s="83">
        <f t="shared" si="145"/>
        <v>0.17320646845410659</v>
      </c>
      <c r="I98" s="83">
        <f t="shared" si="146"/>
        <v>-0.29726418583800218</v>
      </c>
      <c r="J98" s="83">
        <f t="shared" si="147"/>
        <v>-4.2931322350108214E-3</v>
      </c>
      <c r="K98" s="83">
        <f t="shared" si="148"/>
        <v>-0.2478196246749047</v>
      </c>
      <c r="L98" s="83">
        <f t="shared" si="149"/>
        <v>0.24620352328871764</v>
      </c>
      <c r="M98" s="83">
        <f t="shared" si="150"/>
        <v>-8.4974473041706022E-2</v>
      </c>
      <c r="N98" s="83">
        <f t="shared" si="151"/>
        <v>-0.18423411738006046</v>
      </c>
      <c r="O98" s="83">
        <f t="shared" si="152"/>
        <v>0.21215832958844194</v>
      </c>
      <c r="P98" s="83">
        <f t="shared" si="153"/>
        <v>-0.22080089596191566</v>
      </c>
      <c r="Q98" s="83">
        <f t="shared" si="154"/>
        <v>0.22204800782824186</v>
      </c>
      <c r="R98" s="83">
        <f t="shared" si="155"/>
        <v>-6.758867303026761E-2</v>
      </c>
      <c r="S98" s="83">
        <f t="shared" si="156"/>
        <v>-7.5484714111187179E-2</v>
      </c>
      <c r="T98" s="83">
        <f t="shared" si="157"/>
        <v>-2.168167955095035E-2</v>
      </c>
      <c r="U98" s="83">
        <f t="shared" si="158"/>
        <v>0.10950035191932561</v>
      </c>
      <c r="V98" s="83">
        <f t="shared" si="159"/>
        <v>8.6512897882054407E-2</v>
      </c>
      <c r="W98" s="83">
        <f t="shared" si="160"/>
        <v>3.6794960089348017E-3</v>
      </c>
      <c r="X98" s="83">
        <f t="shared" si="161"/>
        <v>-8.9032493546617908E-2</v>
      </c>
      <c r="Y98" s="83">
        <f t="shared" si="162"/>
        <v>0.20394633903574033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-5.7150967028876676E-2</v>
      </c>
      <c r="F99" s="83">
        <f t="shared" si="143"/>
        <v>4.2419485055421147E-2</v>
      </c>
      <c r="G99" s="83">
        <f t="shared" si="144"/>
        <v>-0.16965363569747993</v>
      </c>
      <c r="H99" s="83">
        <f t="shared" si="145"/>
        <v>2.1260512002996723E-2</v>
      </c>
      <c r="I99" s="83">
        <f t="shared" si="146"/>
        <v>4.5816847457518683E-2</v>
      </c>
      <c r="J99" s="83">
        <f t="shared" si="147"/>
        <v>0.13846447725830968</v>
      </c>
      <c r="K99" s="83">
        <f t="shared" si="148"/>
        <v>-4.4261174904103417E-2</v>
      </c>
      <c r="L99" s="83">
        <f t="shared" si="149"/>
        <v>-0.16698167014961451</v>
      </c>
      <c r="M99" s="83">
        <f t="shared" si="150"/>
        <v>0.25543730352165928</v>
      </c>
      <c r="N99" s="83">
        <f t="shared" si="151"/>
        <v>0.11196895746210744</v>
      </c>
      <c r="O99" s="83">
        <f t="shared" si="152"/>
        <v>-0.39219438882123081</v>
      </c>
      <c r="P99" s="83">
        <f t="shared" si="153"/>
        <v>0.90310776212943433</v>
      </c>
      <c r="Q99" s="83">
        <f t="shared" si="154"/>
        <v>-0.31707201781220817</v>
      </c>
      <c r="R99" s="83">
        <f t="shared" si="155"/>
        <v>-0.22345939540946413</v>
      </c>
      <c r="S99" s="83">
        <f t="shared" si="156"/>
        <v>0.17597918032786874</v>
      </c>
      <c r="T99" s="83">
        <f t="shared" si="157"/>
        <v>-0.28346844122641723</v>
      </c>
      <c r="U99" s="83">
        <f t="shared" si="158"/>
        <v>5.0522015457376668E-2</v>
      </c>
      <c r="V99" s="83">
        <f t="shared" si="159"/>
        <v>0.20596540380521211</v>
      </c>
      <c r="W99" s="83">
        <f t="shared" si="160"/>
        <v>0.27023471959316558</v>
      </c>
      <c r="X99" s="83">
        <f t="shared" si="161"/>
        <v>-0.10848517387834478</v>
      </c>
      <c r="Y99" s="83">
        <f t="shared" si="162"/>
        <v>-0.19296666496531723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-3.0506073591758498E-2</v>
      </c>
      <c r="F100" s="83">
        <f t="shared" si="143"/>
        <v>6.2626968117454274E-2</v>
      </c>
      <c r="G100" s="83">
        <f t="shared" si="144"/>
        <v>2.499382724715371E-2</v>
      </c>
      <c r="H100" s="83">
        <f t="shared" si="145"/>
        <v>9.667287881748976E-2</v>
      </c>
      <c r="I100" s="83">
        <f t="shared" si="146"/>
        <v>0.11641452041805311</v>
      </c>
      <c r="J100" s="83">
        <f t="shared" si="147"/>
        <v>8.7706446820192241E-2</v>
      </c>
      <c r="K100" s="83">
        <f t="shared" si="148"/>
        <v>9.3604632194948412E-2</v>
      </c>
      <c r="L100" s="83">
        <f t="shared" si="149"/>
        <v>2.6647978082505741E-2</v>
      </c>
      <c r="M100" s="83">
        <f t="shared" si="150"/>
        <v>-1.7677488870034952E-2</v>
      </c>
      <c r="N100" s="83">
        <f t="shared" si="151"/>
        <v>-5.7175716994395054E-2</v>
      </c>
      <c r="O100" s="83">
        <f t="shared" si="152"/>
        <v>-2.3136724216395232E-2</v>
      </c>
      <c r="P100" s="83">
        <f t="shared" si="153"/>
        <v>0.17462155522603817</v>
      </c>
      <c r="Q100" s="83">
        <f t="shared" si="154"/>
        <v>2.7728193779402055E-2</v>
      </c>
      <c r="R100" s="83">
        <f t="shared" si="155"/>
        <v>4.1389256013730558E-2</v>
      </c>
      <c r="S100" s="83">
        <f t="shared" si="156"/>
        <v>6.6752521509201523E-2</v>
      </c>
      <c r="T100" s="83">
        <f t="shared" si="157"/>
        <v>5.4776943568118464E-2</v>
      </c>
      <c r="U100" s="83">
        <f t="shared" si="158"/>
        <v>0.10638294594611386</v>
      </c>
      <c r="V100" s="83">
        <f t="shared" si="159"/>
        <v>5.5728098690837946E-2</v>
      </c>
      <c r="W100" s="83">
        <f t="shared" si="160"/>
        <v>6.1420426424455554E-2</v>
      </c>
      <c r="X100" s="83">
        <f t="shared" si="161"/>
        <v>-1.1567985579336582E-2</v>
      </c>
      <c r="Y100" s="83">
        <f t="shared" si="162"/>
        <v>4.8779921127285242E-2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7.3092154864942138E-3</v>
      </c>
      <c r="F101" s="84">
        <f t="shared" si="143"/>
        <v>9.3506161172802305E-2</v>
      </c>
      <c r="G101" s="84">
        <f t="shared" si="144"/>
        <v>4.6414104910442955E-2</v>
      </c>
      <c r="H101" s="84">
        <f t="shared" si="145"/>
        <v>0.11421465629714489</v>
      </c>
      <c r="I101" s="84">
        <f t="shared" si="146"/>
        <v>0.1387576604361811</v>
      </c>
      <c r="J101" s="84">
        <f t="shared" si="147"/>
        <v>6.6602460959414467E-2</v>
      </c>
      <c r="K101" s="84">
        <f t="shared" si="148"/>
        <v>1.4963744419473679E-2</v>
      </c>
      <c r="L101" s="84">
        <f t="shared" si="149"/>
        <v>5.0808001881336606E-2</v>
      </c>
      <c r="M101" s="84">
        <f t="shared" si="150"/>
        <v>3.6670524954887096E-2</v>
      </c>
      <c r="N101" s="84">
        <f t="shared" si="151"/>
        <v>-3.2704346083784475E-2</v>
      </c>
      <c r="O101" s="84">
        <f t="shared" si="152"/>
        <v>-0.12377155323423494</v>
      </c>
      <c r="P101" s="84">
        <f t="shared" si="153"/>
        <v>0.15415462439439431</v>
      </c>
      <c r="Q101" s="84">
        <f t="shared" si="154"/>
        <v>7.0159565268145485E-2</v>
      </c>
      <c r="R101" s="84">
        <f t="shared" si="155"/>
        <v>3.8842961831362155E-2</v>
      </c>
      <c r="S101" s="84">
        <f t="shared" si="156"/>
        <v>-1.3196370939952073E-2</v>
      </c>
      <c r="T101" s="84">
        <f t="shared" si="157"/>
        <v>9.9941831126669545E-2</v>
      </c>
      <c r="U101" s="84">
        <f t="shared" si="158"/>
        <v>0.12228446796475057</v>
      </c>
      <c r="V101" s="84">
        <f t="shared" si="159"/>
        <v>9.9820572146270825E-2</v>
      </c>
      <c r="W101" s="84">
        <f t="shared" si="160"/>
        <v>8.2689037441359581E-2</v>
      </c>
      <c r="X101" s="84">
        <f t="shared" si="161"/>
        <v>-5.9600731970645637E-2</v>
      </c>
      <c r="Y101" s="84">
        <f t="shared" si="162"/>
        <v>-2.2504296559131332E-2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-3.0707913304648948E-2</v>
      </c>
      <c r="F102" s="84">
        <f t="shared" si="143"/>
        <v>7.3903682328450682E-2</v>
      </c>
      <c r="G102" s="84">
        <f t="shared" si="144"/>
        <v>-3.2075818731813754E-2</v>
      </c>
      <c r="H102" s="84">
        <f t="shared" si="145"/>
        <v>7.910497531974614E-2</v>
      </c>
      <c r="I102" s="84">
        <f t="shared" si="146"/>
        <v>8.6130781992720173E-2</v>
      </c>
      <c r="J102" s="84">
        <f t="shared" si="147"/>
        <v>9.13347306980683E-2</v>
      </c>
      <c r="K102" s="84">
        <f t="shared" si="148"/>
        <v>0.18943641841380132</v>
      </c>
      <c r="L102" s="84">
        <f t="shared" si="149"/>
        <v>4.4613989441077972E-3</v>
      </c>
      <c r="M102" s="84">
        <f t="shared" si="150"/>
        <v>-1.7637385165274466E-3</v>
      </c>
      <c r="N102" s="84">
        <f t="shared" si="151"/>
        <v>2.5832035146235999E-2</v>
      </c>
      <c r="O102" s="84">
        <f t="shared" si="152"/>
        <v>6.7785875085653036E-2</v>
      </c>
      <c r="P102" s="84">
        <f t="shared" si="153"/>
        <v>4.1839205653176892E-2</v>
      </c>
      <c r="Q102" s="84">
        <f t="shared" si="154"/>
        <v>0.13048294033888386</v>
      </c>
      <c r="R102" s="84">
        <f t="shared" si="155"/>
        <v>1.5819736218063429E-2</v>
      </c>
      <c r="S102" s="84">
        <f t="shared" si="156"/>
        <v>9.7767955879766388E-2</v>
      </c>
      <c r="T102" s="84">
        <f t="shared" si="157"/>
        <v>-4.0265045299143765E-3</v>
      </c>
      <c r="U102" s="84">
        <f t="shared" si="158"/>
        <v>8.9306157616016124E-2</v>
      </c>
      <c r="V102" s="84">
        <f t="shared" si="159"/>
        <v>1.0959234553395314E-2</v>
      </c>
      <c r="W102" s="84">
        <f t="shared" si="160"/>
        <v>6.9139591577555004E-2</v>
      </c>
      <c r="X102" s="84">
        <f t="shared" si="161"/>
        <v>-1.5415943986171743E-2</v>
      </c>
      <c r="Y102" s="84">
        <f t="shared" si="162"/>
        <v>3.939016061402878E-2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-9.1407483063650541E-2</v>
      </c>
      <c r="F103" s="84">
        <f t="shared" si="143"/>
        <v>-1.4163915728502174E-2</v>
      </c>
      <c r="G103" s="84">
        <f t="shared" si="144"/>
        <v>9.9928859535976411E-2</v>
      </c>
      <c r="H103" s="84">
        <f t="shared" si="145"/>
        <v>9.528616709306692E-2</v>
      </c>
      <c r="I103" s="84">
        <f t="shared" si="146"/>
        <v>0.12744460715865036</v>
      </c>
      <c r="J103" s="84">
        <f t="shared" si="147"/>
        <v>0.12255715810064149</v>
      </c>
      <c r="K103" s="84">
        <f t="shared" si="148"/>
        <v>7.8752024985443869E-2</v>
      </c>
      <c r="L103" s="84">
        <f t="shared" si="149"/>
        <v>2.5523872995005359E-2</v>
      </c>
      <c r="M103" s="84">
        <f t="shared" si="150"/>
        <v>-0.14337812673295747</v>
      </c>
      <c r="N103" s="84">
        <f t="shared" si="151"/>
        <v>-0.28480293809713753</v>
      </c>
      <c r="O103" s="84">
        <f t="shared" si="152"/>
        <v>-3.9587811927803696E-3</v>
      </c>
      <c r="P103" s="84">
        <f t="shared" si="153"/>
        <v>0.65714544926457852</v>
      </c>
      <c r="Q103" s="84">
        <f t="shared" si="154"/>
        <v>-0.25735608074301919</v>
      </c>
      <c r="R103" s="84">
        <f t="shared" si="155"/>
        <v>0.12719032155377397</v>
      </c>
      <c r="S103" s="84">
        <f t="shared" si="156"/>
        <v>0.17006497742918558</v>
      </c>
      <c r="T103" s="84">
        <f t="shared" si="157"/>
        <v>0.1183611466421528</v>
      </c>
      <c r="U103" s="84">
        <f t="shared" si="158"/>
        <v>0.11489548707304054</v>
      </c>
      <c r="V103" s="84">
        <f t="shared" si="159"/>
        <v>7.0332583329714593E-2</v>
      </c>
      <c r="W103" s="84">
        <f t="shared" si="160"/>
        <v>1.446838869224365E-3</v>
      </c>
      <c r="X103" s="84">
        <f t="shared" si="161"/>
        <v>0.1031243487778617</v>
      </c>
      <c r="Y103" s="84">
        <f t="shared" si="162"/>
        <v>0.20195857651522475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-0.10355657194367995</v>
      </c>
      <c r="F104" s="83">
        <f t="shared" si="143"/>
        <v>0.50674276638686511</v>
      </c>
      <c r="G104" s="83">
        <f t="shared" si="144"/>
        <v>-0.10533458994489564</v>
      </c>
      <c r="H104" s="83">
        <f t="shared" si="145"/>
        <v>2.0503578176728654E-2</v>
      </c>
      <c r="I104" s="83">
        <f t="shared" si="146"/>
        <v>8.3314834216021039E-2</v>
      </c>
      <c r="J104" s="83">
        <f t="shared" si="147"/>
        <v>-1.6961834516408536E-2</v>
      </c>
      <c r="K104" s="83">
        <f t="shared" si="148"/>
        <v>-7.1322779313462425E-2</v>
      </c>
      <c r="L104" s="83">
        <f t="shared" si="149"/>
        <v>0.11089995002590336</v>
      </c>
      <c r="M104" s="83">
        <f t="shared" si="150"/>
        <v>0.24980077268144574</v>
      </c>
      <c r="N104" s="83">
        <f t="shared" si="151"/>
        <v>0.18455507148590322</v>
      </c>
      <c r="O104" s="83">
        <f t="shared" si="152"/>
        <v>0.74292646014976782</v>
      </c>
      <c r="P104" s="83">
        <f t="shared" si="153"/>
        <v>-0.47995139750008942</v>
      </c>
      <c r="Q104" s="83">
        <f t="shared" si="154"/>
        <v>0.22573053176104985</v>
      </c>
      <c r="R104" s="83">
        <f t="shared" si="155"/>
        <v>0.42440897524597654</v>
      </c>
      <c r="S104" s="83">
        <f t="shared" si="156"/>
        <v>-0.2406340433628974</v>
      </c>
      <c r="T104" s="83">
        <f t="shared" si="157"/>
        <v>-3.7074851597655667E-2</v>
      </c>
      <c r="U104" s="83">
        <f t="shared" si="158"/>
        <v>-0.11193929132611413</v>
      </c>
      <c r="V104" s="83">
        <f t="shared" si="159"/>
        <v>1.9591398539910543E-2</v>
      </c>
      <c r="W104" s="83">
        <f t="shared" si="160"/>
        <v>-0.14346643172328477</v>
      </c>
      <c r="X104" s="83">
        <f t="shared" si="161"/>
        <v>-9.8428589229923813E-2</v>
      </c>
      <c r="Y104" s="83">
        <f t="shared" si="162"/>
        <v>0.24421420705147234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0.14878715019955902</v>
      </c>
      <c r="F105" s="83">
        <f t="shared" si="143"/>
        <v>0.14303166164925374</v>
      </c>
      <c r="G105" s="83">
        <f t="shared" si="144"/>
        <v>5.9203650132336083E-2</v>
      </c>
      <c r="H105" s="83">
        <f t="shared" si="145"/>
        <v>0.11192354454357112</v>
      </c>
      <c r="I105" s="83">
        <f t="shared" si="146"/>
        <v>0.1577163770762966</v>
      </c>
      <c r="J105" s="83">
        <f t="shared" si="147"/>
        <v>0.22639682093453373</v>
      </c>
      <c r="K105" s="83">
        <f t="shared" si="148"/>
        <v>0.28528948887858019</v>
      </c>
      <c r="L105" s="83">
        <f t="shared" si="149"/>
        <v>0.28965768460226737</v>
      </c>
      <c r="M105" s="83">
        <f t="shared" si="150"/>
        <v>-0.11273832575503784</v>
      </c>
      <c r="N105" s="83">
        <f t="shared" si="151"/>
        <v>-0.28017677058558066</v>
      </c>
      <c r="O105" s="83">
        <f t="shared" si="152"/>
        <v>-0.12975886446988516</v>
      </c>
      <c r="P105" s="83">
        <f t="shared" si="153"/>
        <v>0.17054380079303688</v>
      </c>
      <c r="Q105" s="83">
        <f t="shared" si="154"/>
        <v>-8.3410647257441406E-2</v>
      </c>
      <c r="R105" s="83">
        <f t="shared" si="155"/>
        <v>-3.659070972767331E-2</v>
      </c>
      <c r="S105" s="83">
        <f t="shared" si="156"/>
        <v>-3.988956488215567E-2</v>
      </c>
      <c r="T105" s="83">
        <f t="shared" si="157"/>
        <v>2.9450453926188835E-2</v>
      </c>
      <c r="U105" s="83">
        <f t="shared" si="158"/>
        <v>-3.1752315616571547E-2</v>
      </c>
      <c r="V105" s="83">
        <f t="shared" si="159"/>
        <v>0.15541709012174176</v>
      </c>
      <c r="W105" s="83">
        <f t="shared" si="160"/>
        <v>9.5263932330941214E-2</v>
      </c>
      <c r="X105" s="83">
        <f t="shared" si="161"/>
        <v>1.6513539466544991E-3</v>
      </c>
      <c r="Y105" s="83">
        <f t="shared" si="162"/>
        <v>2.9099491943147315E-2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0.18387580186381491</v>
      </c>
      <c r="F106" s="83">
        <f t="shared" si="143"/>
        <v>2.4812205669558773E-2</v>
      </c>
      <c r="G106" s="83">
        <f t="shared" si="144"/>
        <v>1.3752550654401841E-2</v>
      </c>
      <c r="H106" s="83">
        <f t="shared" si="145"/>
        <v>0.10733673108726616</v>
      </c>
      <c r="I106" s="83">
        <f t="shared" si="146"/>
        <v>3.4785377203977008E-2</v>
      </c>
      <c r="J106" s="83">
        <f t="shared" si="147"/>
        <v>8.012053816229292E-2</v>
      </c>
      <c r="K106" s="83">
        <f t="shared" si="148"/>
        <v>8.1680741378045818E-2</v>
      </c>
      <c r="L106" s="83">
        <f t="shared" si="149"/>
        <v>0.14548624038987379</v>
      </c>
      <c r="M106" s="83">
        <f t="shared" si="150"/>
        <v>-0.10765190512061573</v>
      </c>
      <c r="N106" s="83">
        <f t="shared" si="151"/>
        <v>7.1124331462025792E-2</v>
      </c>
      <c r="O106" s="83">
        <f t="shared" si="152"/>
        <v>9.8068996476876169E-2</v>
      </c>
      <c r="P106" s="83">
        <f t="shared" si="153"/>
        <v>-0.13237682901904646</v>
      </c>
      <c r="Q106" s="83">
        <f t="shared" si="154"/>
        <v>-9.0953180000201472E-2</v>
      </c>
      <c r="R106" s="83">
        <f t="shared" si="155"/>
        <v>2.4325883695900163E-2</v>
      </c>
      <c r="S106" s="83">
        <f t="shared" si="156"/>
        <v>4.8884993033825985E-2</v>
      </c>
      <c r="T106" s="83">
        <f t="shared" si="157"/>
        <v>-8.1054549440482404E-3</v>
      </c>
      <c r="U106" s="83">
        <f t="shared" si="158"/>
        <v>9.6003100684537213E-2</v>
      </c>
      <c r="V106" s="83">
        <f t="shared" si="159"/>
        <v>2.30522929553163E-2</v>
      </c>
      <c r="W106" s="83">
        <f t="shared" si="160"/>
        <v>-3.1667757156238485E-2</v>
      </c>
      <c r="X106" s="83">
        <f t="shared" si="161"/>
        <v>-0.10005197352124184</v>
      </c>
      <c r="Y106" s="83">
        <f t="shared" si="162"/>
        <v>1.561607712946822E-2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7.2750882572480968E-2</v>
      </c>
      <c r="F107" s="87">
        <f t="shared" ref="F107:F108" si="164">IF(E33=0,"",F33/E33-1)</f>
        <v>-4.843974940088358E-2</v>
      </c>
      <c r="G107" s="87">
        <f t="shared" ref="G107:G108" si="165">IF(F33=0,"",G33/F33-1)</f>
        <v>-0.14519022253292346</v>
      </c>
      <c r="H107" s="87">
        <f t="shared" ref="H107:H108" si="166">IF(G33=0,"",H33/G33-1)</f>
        <v>0.30423074834161512</v>
      </c>
      <c r="I107" s="87">
        <f t="shared" ref="I107:I108" si="167">IF(H33=0,"",I33/H33-1)</f>
        <v>-8.4065665358860397E-2</v>
      </c>
      <c r="J107" s="87">
        <f t="shared" ref="J107:J108" si="168">IF(I33=0,"",J33/I33-1)</f>
        <v>5.0683222973316733E-2</v>
      </c>
      <c r="K107" s="87">
        <f t="shared" ref="K107:K108" si="169">IF(J33=0,"",K33/J33-1)</f>
        <v>9.759008453524487E-2</v>
      </c>
      <c r="L107" s="87">
        <f t="shared" ref="L107:L108" si="170">IF(K33=0,"",L33/K33-1)</f>
        <v>4.5961739807836244E-2</v>
      </c>
      <c r="M107" s="87">
        <f t="shared" ref="M107:M108" si="171">IF(L33=0,"",M33/L33-1)</f>
        <v>-0.40413154184038869</v>
      </c>
      <c r="N107" s="87">
        <f t="shared" ref="N107:N108" si="172">IF(M33=0,"",N33/M33-1)</f>
        <v>2.1252688390917327</v>
      </c>
      <c r="O107" s="87">
        <f t="shared" ref="O107:O108" si="173">IF(N33=0,"",O33/N33-1)</f>
        <v>-0.11277896057716119</v>
      </c>
      <c r="P107" s="87">
        <f t="shared" ref="P107:P108" si="174">IF(O33=0,"",P33/O33-1)</f>
        <v>-9.503663237540716E-2</v>
      </c>
      <c r="Q107" s="87">
        <f t="shared" ref="Q107:Q108" si="175">IF(P33=0,"",Q33/P33-1)</f>
        <v>-0.17822220077176487</v>
      </c>
      <c r="R107" s="87">
        <f t="shared" ref="R107:R108" si="176">IF(Q33=0,"",R33/Q33-1)</f>
        <v>-0.1478798419685573</v>
      </c>
      <c r="S107" s="87">
        <f t="shared" ref="S107:S108" si="177">IF(R33=0,"",S33/R33-1)</f>
        <v>6.617444691248342E-2</v>
      </c>
      <c r="T107" s="87">
        <f t="shared" ref="T107:T108" si="178">IF(S33=0,"",T33/S33-1)</f>
        <v>-7.029794674383949E-2</v>
      </c>
      <c r="U107" s="87">
        <f t="shared" ref="U107:U108" si="179">IF(T33=0,"",U33/T33-1)</f>
        <v>0.23103347515359296</v>
      </c>
      <c r="V107" s="87">
        <f t="shared" ref="V107:V108" si="180">IF(U33=0,"",V33/U33-1)</f>
        <v>2.5128450467099883E-2</v>
      </c>
      <c r="W107" s="87">
        <f t="shared" ref="W107:W108" si="181">IF(V33=0,"",W33/V33-1)</f>
        <v>-0.25489187627042476</v>
      </c>
      <c r="X107" s="87">
        <f t="shared" ref="X107:X108" si="182">IF(W33=0,"",X33/W33-1)</f>
        <v>-0.40520896525864225</v>
      </c>
      <c r="Y107" s="87">
        <f t="shared" ref="Y107:Y108" si="183">IF(X33=0,"",Y33/X33-1)</f>
        <v>1.2712004488748501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7.2750882572480968E-2</v>
      </c>
      <c r="F108" s="89">
        <f t="shared" si="164"/>
        <v>-4.843974940088358E-2</v>
      </c>
      <c r="G108" s="89">
        <f t="shared" si="165"/>
        <v>-0.14519022253292346</v>
      </c>
      <c r="H108" s="89">
        <f t="shared" si="166"/>
        <v>0.30423074834161512</v>
      </c>
      <c r="I108" s="89">
        <f t="shared" si="167"/>
        <v>-8.4065665358860397E-2</v>
      </c>
      <c r="J108" s="89">
        <f t="shared" si="168"/>
        <v>5.0683222973316733E-2</v>
      </c>
      <c r="K108" s="89">
        <f t="shared" si="169"/>
        <v>9.759008453524487E-2</v>
      </c>
      <c r="L108" s="89">
        <f t="shared" si="170"/>
        <v>4.5961739807836244E-2</v>
      </c>
      <c r="M108" s="89">
        <f t="shared" si="171"/>
        <v>-0.43876832599311388</v>
      </c>
      <c r="N108" s="89">
        <f t="shared" si="172"/>
        <v>1.5509539518065218</v>
      </c>
      <c r="O108" s="89">
        <f t="shared" si="173"/>
        <v>-6.1213715917957323E-2</v>
      </c>
      <c r="P108" s="89">
        <f t="shared" si="174"/>
        <v>-3.5699080965138075E-3</v>
      </c>
      <c r="Q108" s="89">
        <f t="shared" si="175"/>
        <v>-0.23638986023904252</v>
      </c>
      <c r="R108" s="89">
        <f t="shared" si="176"/>
        <v>-5.3245805262664647E-2</v>
      </c>
      <c r="S108" s="89">
        <f t="shared" si="177"/>
        <v>-6.4137325853722116E-2</v>
      </c>
      <c r="T108" s="89">
        <f t="shared" si="178"/>
        <v>-0.18677139891492955</v>
      </c>
      <c r="U108" s="89">
        <f t="shared" si="179"/>
        <v>0.13372313724046725</v>
      </c>
      <c r="V108" s="89">
        <f t="shared" si="180"/>
        <v>0.19785560312171913</v>
      </c>
      <c r="W108" s="89">
        <f t="shared" si="181"/>
        <v>-0.32331357316305398</v>
      </c>
      <c r="X108" s="89">
        <f t="shared" si="182"/>
        <v>-0.66243194719519094</v>
      </c>
      <c r="Y108" s="89">
        <f t="shared" si="183"/>
        <v>2.5025407507798958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7.2750882572480746E-2</v>
      </c>
      <c r="F109" s="89">
        <f t="shared" ref="F109" si="185">IF(E37=0,"",F37/E37-1)</f>
        <v>-4.843974940088358E-2</v>
      </c>
      <c r="G109" s="89">
        <f t="shared" ref="G109" si="186">IF(F37=0,"",G37/F37-1)</f>
        <v>-0.14519022253292346</v>
      </c>
      <c r="H109" s="89">
        <f t="shared" ref="H109" si="187">IF(G37=0,"",H37/G37-1)</f>
        <v>0.30423074834161512</v>
      </c>
      <c r="I109" s="89">
        <f t="shared" ref="I109" si="188">IF(H37=0,"",I37/H37-1)</f>
        <v>-8.406566535886062E-2</v>
      </c>
      <c r="J109" s="89">
        <f t="shared" ref="J109" si="189">IF(I37=0,"",J37/I37-1)</f>
        <v>5.0683222973316955E-2</v>
      </c>
      <c r="K109" s="89">
        <f t="shared" ref="K109" si="190">IF(J37=0,"",K37/J37-1)</f>
        <v>9.7590084535245092E-2</v>
      </c>
      <c r="L109" s="89">
        <f t="shared" ref="L109" si="191">IF(K37=0,"",L37/K37-1)</f>
        <v>4.5961739807836688E-2</v>
      </c>
      <c r="M109" s="89">
        <f t="shared" ref="M109" si="192">IF(L37=0,"",M37/L37-1)</f>
        <v>-0.22452239953412834</v>
      </c>
      <c r="N109" s="89">
        <f t="shared" ref="N109" si="193">IF(M37=0,"",N37/M37-1)</f>
        <v>4.280599292365264</v>
      </c>
      <c r="O109" s="89">
        <f t="shared" ref="O109" si="194">IF(N37=0,"",O37/N37-1)</f>
        <v>-0.20626360482086825</v>
      </c>
      <c r="P109" s="89">
        <f t="shared" ref="P109" si="195">IF(O37=0,"",P37/O37-1)</f>
        <v>-0.29116335188477349</v>
      </c>
      <c r="Q109" s="89">
        <f t="shared" ref="Q109" si="196">IF(P37=0,"",Q37/P37-1)</f>
        <v>-2.8923355865312361E-3</v>
      </c>
      <c r="R109" s="89">
        <f t="shared" ref="R109" si="197">IF(Q37=0,"",R37/Q37-1)</f>
        <v>-0.36632946900182428</v>
      </c>
      <c r="S109" s="89">
        <f t="shared" ref="S109" si="198">IF(R37=0,"",S37/R37-1)</f>
        <v>0.51560368469569351</v>
      </c>
      <c r="T109" s="89">
        <f t="shared" ref="T109" si="199">IF(S37=0,"",T37/S37-1)</f>
        <v>0.17774740375477038</v>
      </c>
      <c r="U109" s="89">
        <f t="shared" ref="U109" si="200">IF(T37=0,"",U37/T37-1)</f>
        <v>0.37412819621965721</v>
      </c>
      <c r="V109" s="89">
        <f t="shared" ref="V109" si="201">IF(U37=0,"",V37/U37-1)</f>
        <v>-0.18442991599178671</v>
      </c>
      <c r="W109" s="89">
        <f t="shared" ref="W109" si="202">IF(V37=0,"",W37/V37-1)</f>
        <v>-0.13297006304621584</v>
      </c>
      <c r="X109" s="89">
        <f t="shared" ref="X109" si="203">IF(W37=0,"",X37/W37-1)</f>
        <v>-4.7482795048039761E-2</v>
      </c>
      <c r="Y109" s="89">
        <f t="shared" ref="Y109" si="204">IF(X37=0,"",Y37/X37-1)</f>
        <v>0.66431384902838642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0.12103177009832611</v>
      </c>
      <c r="F110" s="89">
        <f t="shared" ref="F110:F111" si="206">IF(E43=0,"",F43/E43-1)</f>
        <v>-3.2264115748564803E-3</v>
      </c>
      <c r="G110" s="89">
        <f t="shared" ref="G110:G111" si="207">IF(F43=0,"",G43/F43-1)</f>
        <v>1.2306778178601263E-2</v>
      </c>
      <c r="H110" s="89">
        <f t="shared" ref="H110:H111" si="208">IF(G43=0,"",H43/G43-1)</f>
        <v>0.10353425866729093</v>
      </c>
      <c r="I110" s="89">
        <f t="shared" ref="I110:I111" si="209">IF(H43=0,"",I43/H43-1)</f>
        <v>-6.0607025250114854E-2</v>
      </c>
      <c r="J110" s="89">
        <f t="shared" ref="J110:J111" si="210">IF(I43=0,"",J43/I43-1)</f>
        <v>0.11984593881544381</v>
      </c>
      <c r="K110" s="89">
        <f t="shared" ref="K110:K111" si="211">IF(J43=0,"",K43/J43-1)</f>
        <v>-1.3794577857996426E-2</v>
      </c>
      <c r="L110" s="89">
        <f t="shared" ref="L110:L111" si="212">IF(K43=0,"",L43/K43-1)</f>
        <v>0.18299437966838394</v>
      </c>
      <c r="M110" s="89">
        <f t="shared" ref="M110:M111" si="213">IF(L43=0,"",M43/L43-1)</f>
        <v>-7.5346488630188446E-2</v>
      </c>
      <c r="N110" s="89">
        <f t="shared" ref="N110:N111" si="214">IF(M43=0,"",N43/M43-1)</f>
        <v>-0.6434085702427853</v>
      </c>
      <c r="O110" s="89">
        <f t="shared" ref="O110:O111" si="215">IF(N43=0,"",O43/N43-1)</f>
        <v>1.1992033240483657</v>
      </c>
      <c r="P110" s="89">
        <f t="shared" ref="P110:P111" si="216">IF(O43=0,"",P43/O43-1)</f>
        <v>0.37465753283173719</v>
      </c>
      <c r="Q110" s="89">
        <f t="shared" ref="Q110:Q111" si="217">IF(P43=0,"",Q43/P43-1)</f>
        <v>-0.22319544954619763</v>
      </c>
      <c r="R110" s="89">
        <f t="shared" ref="R110:R111" si="218">IF(Q43=0,"",R43/Q43-1)</f>
        <v>0.26237354547962743</v>
      </c>
      <c r="S110" s="89">
        <f t="shared" ref="S110:S111" si="219">IF(R43=0,"",S43/R43-1)</f>
        <v>8.4305393223500058E-2</v>
      </c>
      <c r="T110" s="89">
        <f t="shared" ref="T110:T111" si="220">IF(S43=0,"",T43/S43-1)</f>
        <v>-0.2489241222555415</v>
      </c>
      <c r="U110" s="89">
        <f t="shared" ref="U110:U111" si="221">IF(T43=0,"",U43/T43-1)</f>
        <v>0.21956390694755745</v>
      </c>
      <c r="V110" s="89">
        <f t="shared" ref="V110:V111" si="222">IF(U43=0,"",V43/U43-1)</f>
        <v>-0.11034828346193171</v>
      </c>
      <c r="W110" s="89">
        <f t="shared" ref="W110:W111" si="223">IF(V43=0,"",W43/V43-1)</f>
        <v>-6.3363156044049185E-2</v>
      </c>
      <c r="X110" s="89">
        <f t="shared" ref="X110:X111" si="224">IF(W43=0,"",X43/W43-1)</f>
        <v>4.068623886303202E-2</v>
      </c>
      <c r="Y110" s="89">
        <f t="shared" ref="Y110:Y111" si="225">IF(X43=0,"",Y43/X43-1)</f>
        <v>3.8180800860984743E-2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0.2039531935092378</v>
      </c>
      <c r="F111" s="89">
        <f t="shared" si="206"/>
        <v>-3.2088051569537424E-2</v>
      </c>
      <c r="G111" s="89">
        <f t="shared" si="207"/>
        <v>3.2927874762048059E-2</v>
      </c>
      <c r="H111" s="89">
        <f t="shared" si="208"/>
        <v>0.11373172925667707</v>
      </c>
      <c r="I111" s="89">
        <f t="shared" si="209"/>
        <v>-8.1082201663989384E-2</v>
      </c>
      <c r="J111" s="89">
        <f t="shared" si="210"/>
        <v>0.10415876409294444</v>
      </c>
      <c r="K111" s="89">
        <f t="shared" si="211"/>
        <v>5.3994823267428771E-2</v>
      </c>
      <c r="L111" s="89">
        <f t="shared" si="212"/>
        <v>0.22550352197105261</v>
      </c>
      <c r="M111" s="89">
        <f t="shared" si="213"/>
        <v>-0.229208254294335</v>
      </c>
      <c r="N111" s="89">
        <f t="shared" si="214"/>
        <v>-0.55171967222141971</v>
      </c>
      <c r="O111" s="89">
        <f t="shared" si="215"/>
        <v>0.66527251737301363</v>
      </c>
      <c r="P111" s="89">
        <f t="shared" si="216"/>
        <v>0.71452777968023806</v>
      </c>
      <c r="Q111" s="89">
        <f t="shared" si="217"/>
        <v>-0.28095510955307323</v>
      </c>
      <c r="R111" s="89">
        <f t="shared" si="218"/>
        <v>0.27127280210326243</v>
      </c>
      <c r="S111" s="89">
        <f t="shared" si="219"/>
        <v>0.19522891591750402</v>
      </c>
      <c r="T111" s="89">
        <f t="shared" si="220"/>
        <v>-0.30419225946518891</v>
      </c>
      <c r="U111" s="89">
        <f t="shared" si="221"/>
        <v>0.21094780429457183</v>
      </c>
      <c r="V111" s="89">
        <f t="shared" si="222"/>
        <v>-5.0171935148672686E-2</v>
      </c>
      <c r="W111" s="89">
        <f t="shared" si="223"/>
        <v>-9.0251703722823873E-2</v>
      </c>
      <c r="X111" s="89">
        <f t="shared" si="224"/>
        <v>2.1124659621191366E-2</v>
      </c>
      <c r="Y111" s="89">
        <f t="shared" si="225"/>
        <v>8.9036434789546703E-2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-6.7457109024661954E-2</v>
      </c>
      <c r="F112" s="89">
        <f t="shared" ref="F112:F113" si="227">IF(E47=0,"",F47/E47-1)</f>
        <v>8.1473074640689536E-2</v>
      </c>
      <c r="G112" s="89">
        <f t="shared" ref="G112:G113" si="228">IF(F47=0,"",G47/F47-1)</f>
        <v>-4.1854844438678929E-2</v>
      </c>
      <c r="H112" s="89">
        <f t="shared" ref="H112:H113" si="229">IF(G47=0,"",H47/G47-1)</f>
        <v>7.4659985469574641E-2</v>
      </c>
      <c r="I112" s="89">
        <f t="shared" ref="I112:I113" si="230">IF(H47=0,"",I47/H47-1)</f>
        <v>-5.2345013831933684E-4</v>
      </c>
      <c r="J112" s="89">
        <f t="shared" ref="J112:J113" si="231">IF(I47=0,"",J47/I47-1)</f>
        <v>0.16216898341654673</v>
      </c>
      <c r="K112" s="89">
        <f t="shared" ref="K112:K113" si="232">IF(J47=0,"",K47/J47-1)</f>
        <v>-0.18755713891860781</v>
      </c>
      <c r="L112" s="89">
        <f t="shared" ref="L112:L113" si="233">IF(K47=0,"",L47/K47-1)</f>
        <v>4.1635724416428044E-2</v>
      </c>
      <c r="M112" s="89">
        <f t="shared" ref="M112:M113" si="234">IF(L47=0,"",M47/L47-1)</f>
        <v>0.52661605973223691</v>
      </c>
      <c r="N112" s="89">
        <f t="shared" ref="N112:N113" si="235">IF(M47=0,"",N47/M47-1)</f>
        <v>-0.8245270406099291</v>
      </c>
      <c r="O112" s="89">
        <f t="shared" ref="O112:O113" si="236">IF(N47=0,"",O47/N47-1)</f>
        <v>3.893655304904966</v>
      </c>
      <c r="P112" s="89">
        <f t="shared" ref="P112:P113" si="237">IF(O47=0,"",P47/O47-1)</f>
        <v>-0.20898986673892062</v>
      </c>
      <c r="Q112" s="89">
        <f t="shared" ref="Q112:Q113" si="238">IF(P47=0,"",Q47/P47-1)</f>
        <v>-8.2023528526991019E-3</v>
      </c>
      <c r="R112" s="89">
        <f t="shared" ref="R112:R113" si="239">IF(Q47=0,"",R47/Q47-1)</f>
        <v>0.2383583266483833</v>
      </c>
      <c r="S112" s="89">
        <f t="shared" ref="S112:S113" si="240">IF(R47=0,"",S47/R47-1)</f>
        <v>-0.22298493993554058</v>
      </c>
      <c r="T112" s="89">
        <f t="shared" ref="T112:T113" si="241">IF(S47=0,"",T47/S47-1)</f>
        <v>-1.3407411642541556E-2</v>
      </c>
      <c r="U112" s="89">
        <f t="shared" ref="U112:U113" si="242">IF(T47=0,"",U47/T47-1)</f>
        <v>0.24545850485629717</v>
      </c>
      <c r="V112" s="89">
        <f t="shared" ref="V112:V113" si="243">IF(U47=0,"",V47/U47-1)</f>
        <v>-0.28618934562487897</v>
      </c>
      <c r="W112" s="89">
        <f t="shared" ref="W112:W113" si="244">IF(V47=0,"",W47/V47-1)</f>
        <v>4.1186783427058948E-2</v>
      </c>
      <c r="X112" s="89">
        <f t="shared" ref="X112:X113" si="245">IF(W47=0,"",X47/W47-1)</f>
        <v>0.10714510964322521</v>
      </c>
      <c r="Y112" s="89">
        <f t="shared" ref="Y112:Y113" si="246">IF(X47=0,"",Y47/X47-1)</f>
        <v>-0.12117296640840447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6.085390522992995E-2</v>
      </c>
      <c r="F113" s="89">
        <f t="shared" si="227"/>
        <v>2.1885864749858541E-2</v>
      </c>
      <c r="G113" s="89">
        <f t="shared" si="228"/>
        <v>-4.2850761392705827E-2</v>
      </c>
      <c r="H113" s="89">
        <f t="shared" si="229"/>
        <v>0.17104326300295725</v>
      </c>
      <c r="I113" s="89">
        <f t="shared" si="230"/>
        <v>-7.0636291448157307E-3</v>
      </c>
      <c r="J113" s="89">
        <f t="shared" si="231"/>
        <v>0.19096540090103553</v>
      </c>
      <c r="K113" s="89">
        <f t="shared" si="232"/>
        <v>0.19471748107847331</v>
      </c>
      <c r="L113" s="89">
        <f t="shared" si="233"/>
        <v>0.20647251019061463</v>
      </c>
      <c r="M113" s="89">
        <f t="shared" si="234"/>
        <v>-0.35866668224738107</v>
      </c>
      <c r="N113" s="89">
        <f t="shared" si="235"/>
        <v>-0.5064097158244526</v>
      </c>
      <c r="O113" s="89">
        <f t="shared" si="236"/>
        <v>6.2072117757391521E-2</v>
      </c>
      <c r="P113" s="89">
        <f t="shared" si="237"/>
        <v>0.91890201885124356</v>
      </c>
      <c r="Q113" s="89">
        <f t="shared" si="238"/>
        <v>-0.21966160817197411</v>
      </c>
      <c r="R113" s="89">
        <f t="shared" si="239"/>
        <v>0.20267725708571382</v>
      </c>
      <c r="S113" s="89">
        <f t="shared" si="240"/>
        <v>-4.7831763698630292E-3</v>
      </c>
      <c r="T113" s="89">
        <f t="shared" si="241"/>
        <v>0.10203686361679098</v>
      </c>
      <c r="U113" s="89">
        <f t="shared" si="242"/>
        <v>-4.0888875962361015E-2</v>
      </c>
      <c r="V113" s="89">
        <f t="shared" si="243"/>
        <v>-3.4490085504613743E-3</v>
      </c>
      <c r="W113" s="89">
        <f t="shared" si="244"/>
        <v>-5.9255585059175386E-2</v>
      </c>
      <c r="X113" s="89">
        <f t="shared" si="245"/>
        <v>-4.4656889393448029E-2</v>
      </c>
      <c r="Y113" s="89">
        <f t="shared" si="246"/>
        <v>0.15930324796620265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0.14546378223676903</v>
      </c>
      <c r="F114" s="89">
        <f t="shared" ref="F114:F115" si="248">IF(E52=0,"",F52/E52-1)</f>
        <v>0.18950338053115057</v>
      </c>
      <c r="G114" s="89">
        <f t="shared" ref="G114:G115" si="249">IF(F52=0,"",G52/F52-1)</f>
        <v>-6.0878907259701021E-2</v>
      </c>
      <c r="H114" s="89">
        <f t="shared" ref="H114:H115" si="250">IF(G52=0,"",H52/G52-1)</f>
        <v>-1.4503005724272211E-2</v>
      </c>
      <c r="I114" s="89">
        <f t="shared" ref="I114:I115" si="251">IF(H52=0,"",I52/H52-1)</f>
        <v>5.0101198458916807E-2</v>
      </c>
      <c r="J114" s="89">
        <f t="shared" ref="J114:J115" si="252">IF(I52=0,"",J52/I52-1)</f>
        <v>5.5668257022129408E-2</v>
      </c>
      <c r="K114" s="89">
        <f t="shared" ref="K114:K115" si="253">IF(J52=0,"",K52/J52-1)</f>
        <v>0.19195837760098655</v>
      </c>
      <c r="L114" s="89">
        <f t="shared" ref="L114:L115" si="254">IF(K52=0,"",L52/K52-1)</f>
        <v>0.26630429638275754</v>
      </c>
      <c r="M114" s="89">
        <f t="shared" ref="M114:M115" si="255">IF(L52=0,"",M52/L52-1)</f>
        <v>-2.4293167355129985E-2</v>
      </c>
      <c r="N114" s="89">
        <f t="shared" ref="N114:N115" si="256">IF(M52=0,"",N52/M52-1)</f>
        <v>-0.22988588184208891</v>
      </c>
      <c r="O114" s="89">
        <f t="shared" ref="O114:O115" si="257">IF(N52=0,"",O52/N52-1)</f>
        <v>8.0295052165254788E-2</v>
      </c>
      <c r="P114" s="89">
        <f t="shared" ref="P114:P115" si="258">IF(O52=0,"",P52/O52-1)</f>
        <v>-0.23926174202732065</v>
      </c>
      <c r="Q114" s="89">
        <f t="shared" ref="Q114:Q115" si="259">IF(P52=0,"",Q52/P52-1)</f>
        <v>-3.5168567576935095E-2</v>
      </c>
      <c r="R114" s="89">
        <f t="shared" ref="R114:R115" si="260">IF(Q52=0,"",R52/Q52-1)</f>
        <v>-0.1423418760402414</v>
      </c>
      <c r="S114" s="89">
        <f t="shared" ref="S114:S115" si="261">IF(R52=0,"",S52/R52-1)</f>
        <v>0.19797125498730472</v>
      </c>
      <c r="T114" s="89">
        <f t="shared" ref="T114:T115" si="262">IF(S52=0,"",T52/S52-1)</f>
        <v>6.2993802950414457E-2</v>
      </c>
      <c r="U114" s="89">
        <f t="shared" ref="U114:U115" si="263">IF(T52=0,"",U52/T52-1)</f>
        <v>0.11586626484622187</v>
      </c>
      <c r="V114" s="89">
        <f t="shared" ref="V114:V115" si="264">IF(U52=0,"",V52/U52-1)</f>
        <v>-8.3544157533491648E-3</v>
      </c>
      <c r="W114" s="89">
        <f t="shared" ref="W114:W115" si="265">IF(V52=0,"",W52/V52-1)</f>
        <v>5.6634342283273131E-2</v>
      </c>
      <c r="X114" s="89">
        <f t="shared" ref="X114:X115" si="266">IF(W52=0,"",X52/W52-1)</f>
        <v>-0.11523409058142864</v>
      </c>
      <c r="Y114" s="89">
        <f t="shared" ref="Y114:Y115" si="267">IF(X52=0,"",Y52/X52-1)</f>
        <v>-0.13310310692542804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0.11403184332087579</v>
      </c>
      <c r="F115" s="89">
        <f t="shared" si="248"/>
        <v>0.23967803933154852</v>
      </c>
      <c r="G115" s="89">
        <f t="shared" si="249"/>
        <v>-9.1303532472074678E-2</v>
      </c>
      <c r="H115" s="89">
        <f t="shared" si="250"/>
        <v>-7.0511223787309341E-2</v>
      </c>
      <c r="I115" s="89">
        <f t="shared" si="251"/>
        <v>-0.11409704256562081</v>
      </c>
      <c r="J115" s="89">
        <f t="shared" si="252"/>
        <v>2.9270124236863149E-2</v>
      </c>
      <c r="K115" s="89">
        <f t="shared" si="253"/>
        <v>0.45987015728826441</v>
      </c>
      <c r="L115" s="89">
        <f t="shared" si="254"/>
        <v>0.21401750248804863</v>
      </c>
      <c r="M115" s="89">
        <f t="shared" si="255"/>
        <v>-0.20959607245445455</v>
      </c>
      <c r="N115" s="89">
        <f t="shared" si="256"/>
        <v>-0.3201024998399653</v>
      </c>
      <c r="O115" s="89">
        <f t="shared" si="257"/>
        <v>-0.25084191021008584</v>
      </c>
      <c r="P115" s="89">
        <f t="shared" si="258"/>
        <v>-0.15977003072317486</v>
      </c>
      <c r="Q115" s="89">
        <f t="shared" si="259"/>
        <v>3.8163290700228281E-3</v>
      </c>
      <c r="R115" s="89">
        <f t="shared" si="260"/>
        <v>-3.7009141252598243E-2</v>
      </c>
      <c r="S115" s="89">
        <f t="shared" si="261"/>
        <v>0.25590567010309262</v>
      </c>
      <c r="T115" s="89">
        <f t="shared" si="262"/>
        <v>0.16308430418885345</v>
      </c>
      <c r="U115" s="89">
        <f t="shared" si="263"/>
        <v>0.12727273712122211</v>
      </c>
      <c r="V115" s="89">
        <f t="shared" si="264"/>
        <v>-0.11428140605790549</v>
      </c>
      <c r="W115" s="89">
        <f t="shared" si="265"/>
        <v>2.5166247212963899E-2</v>
      </c>
      <c r="X115" s="89">
        <f t="shared" si="266"/>
        <v>-2.4475744101443375E-2</v>
      </c>
      <c r="Y115" s="89">
        <f t="shared" si="267"/>
        <v>0.16197993273958877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0.19576180783676111</v>
      </c>
      <c r="F116" s="89">
        <f t="shared" ref="F116:F122" si="269">IF(E56=0,"",F56/E56-1)</f>
        <v>0.11470070699263246</v>
      </c>
      <c r="G116" s="89">
        <f t="shared" ref="G116:G122" si="270">IF(F56=0,"",G56/F56-1)</f>
        <v>-1.0435018326867329E-2</v>
      </c>
      <c r="H116" s="89">
        <f t="shared" ref="H116:H122" si="271">IF(G56=0,"",H56/G56-1)</f>
        <v>7.0769613081083982E-2</v>
      </c>
      <c r="I116" s="89">
        <f t="shared" ref="I116:I122" si="272">IF(H56=0,"",I56/H56-1)</f>
        <v>0.26710855546283163</v>
      </c>
      <c r="J116" s="89">
        <f t="shared" ref="J116:J122" si="273">IF(I56=0,"",J56/I56-1)</f>
        <v>8.0060486350580939E-2</v>
      </c>
      <c r="K116" s="89">
        <f t="shared" ref="K116:K122" si="274">IF(J56=0,"",K56/J56-1)</f>
        <v>-4.3954356531582195E-2</v>
      </c>
      <c r="L116" s="89">
        <f t="shared" ref="L116:L122" si="275">IF(K56=0,"",L56/K56-1)</f>
        <v>0.33660945482077431</v>
      </c>
      <c r="M116" s="89">
        <f t="shared" ref="M116:M122" si="276">IF(L56=0,"",M56/L56-1)</f>
        <v>0.20201374835604935</v>
      </c>
      <c r="N116" s="89">
        <f t="shared" ref="N116:N122" si="277">IF(M56=0,"",N56/M56-1)</f>
        <v>-0.15743531383127296</v>
      </c>
      <c r="O116" s="89">
        <f t="shared" ref="O116:O122" si="278">IF(N56=0,"",O56/N56-1)</f>
        <v>0.2948819019891733</v>
      </c>
      <c r="P116" s="89">
        <f t="shared" ref="P116:P122" si="279">IF(O56=0,"",P56/O56-1)</f>
        <v>-0.26906478458815619</v>
      </c>
      <c r="Q116" s="89">
        <f t="shared" ref="Q116:Q122" si="280">IF(P56=0,"",Q56/P56-1)</f>
        <v>-5.1970313979152527E-2</v>
      </c>
      <c r="R116" s="89">
        <f t="shared" ref="R116:R122" si="281">IF(Q56=0,"",R56/Q56-1)</f>
        <v>-0.19040961760463926</v>
      </c>
      <c r="S116" s="89">
        <f t="shared" ref="S116:S122" si="282">IF(R56=0,"",S56/R56-1)</f>
        <v>0.16652392277560124</v>
      </c>
      <c r="T116" s="89">
        <f t="shared" ref="T116:T122" si="283">IF(S56=0,"",T56/S56-1)</f>
        <v>4.5008674187538844E-3</v>
      </c>
      <c r="U116" s="89">
        <f t="shared" ref="U116:U122" si="284">IF(T56=0,"",U56/T56-1)</f>
        <v>0.10814794482841017</v>
      </c>
      <c r="V116" s="89">
        <f t="shared" ref="V116:V122" si="285">IF(U56=0,"",V56/U56-1)</f>
        <v>6.4559315552259466E-2</v>
      </c>
      <c r="W116" s="89">
        <f t="shared" ref="W116:W122" si="286">IF(V56=0,"",W56/V56-1)</f>
        <v>7.4656178624657787E-2</v>
      </c>
      <c r="X116" s="89">
        <f t="shared" ref="X116:X122" si="287">IF(W56=0,"",X56/W56-1)</f>
        <v>-0.16481790367229132</v>
      </c>
      <c r="Y116" s="89">
        <f t="shared" ref="Y116:Y122" si="288">IF(X56=0,"",Y56/X56-1)</f>
        <v>-0.32140491577018893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0.27568061482270845</v>
      </c>
      <c r="F117" s="89">
        <f t="shared" si="269"/>
        <v>-6.3532735339808744E-2</v>
      </c>
      <c r="G117" s="89">
        <f t="shared" si="270"/>
        <v>4.9418261939224717E-3</v>
      </c>
      <c r="H117" s="89">
        <f t="shared" si="271"/>
        <v>8.1010758002360017E-2</v>
      </c>
      <c r="I117" s="89">
        <f t="shared" si="272"/>
        <v>3.4032978390553748E-2</v>
      </c>
      <c r="J117" s="89">
        <f t="shared" si="273"/>
        <v>3.4970535252542456E-2</v>
      </c>
      <c r="K117" s="89">
        <f t="shared" si="274"/>
        <v>7.7128212919713723E-2</v>
      </c>
      <c r="L117" s="89">
        <f t="shared" si="275"/>
        <v>0.21061243298715149</v>
      </c>
      <c r="M117" s="89">
        <f t="shared" si="276"/>
        <v>-0.22188192488535863</v>
      </c>
      <c r="N117" s="89">
        <f t="shared" si="277"/>
        <v>8.683304535194214E-2</v>
      </c>
      <c r="O117" s="89">
        <f t="shared" si="278"/>
        <v>0.10614769678302038</v>
      </c>
      <c r="P117" s="89">
        <f t="shared" si="279"/>
        <v>-3.3388486201967771E-2</v>
      </c>
      <c r="Q117" s="89">
        <f t="shared" si="280"/>
        <v>-0.16896918013143081</v>
      </c>
      <c r="R117" s="89">
        <f t="shared" si="281"/>
        <v>-2.3764857627671221E-2</v>
      </c>
      <c r="S117" s="89">
        <f t="shared" si="282"/>
        <v>5.0328054546989742E-2</v>
      </c>
      <c r="T117" s="89">
        <f t="shared" si="283"/>
        <v>-9.9460834851775259E-2</v>
      </c>
      <c r="U117" s="89">
        <f t="shared" si="284"/>
        <v>0.14468738105123924</v>
      </c>
      <c r="V117" s="89">
        <f t="shared" si="285"/>
        <v>0.11823546142897179</v>
      </c>
      <c r="W117" s="89">
        <f t="shared" si="286"/>
        <v>-3.5850505676090383E-2</v>
      </c>
      <c r="X117" s="89">
        <f t="shared" si="287"/>
        <v>-6.6964649952817701E-2</v>
      </c>
      <c r="Y117" s="89">
        <f t="shared" si="288"/>
        <v>-0.19322092348738251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0.32195884674376574</v>
      </c>
      <c r="F118" s="89">
        <f t="shared" si="269"/>
        <v>0.16676360168015814</v>
      </c>
      <c r="G118" s="89">
        <f t="shared" si="270"/>
        <v>0.15170036850273605</v>
      </c>
      <c r="H118" s="89">
        <f t="shared" si="271"/>
        <v>0.23450568600779764</v>
      </c>
      <c r="I118" s="89">
        <f t="shared" si="272"/>
        <v>0.20050524710904005</v>
      </c>
      <c r="J118" s="89">
        <f t="shared" si="273"/>
        <v>0.16531313559119942</v>
      </c>
      <c r="K118" s="89">
        <f t="shared" si="274"/>
        <v>1.8367342399783659E-2</v>
      </c>
      <c r="L118" s="89">
        <f t="shared" si="275"/>
        <v>0.2027381358240814</v>
      </c>
      <c r="M118" s="89">
        <f t="shared" si="276"/>
        <v>0.36152485309890992</v>
      </c>
      <c r="N118" s="89">
        <f t="shared" si="277"/>
        <v>-0.10343077710030213</v>
      </c>
      <c r="O118" s="89">
        <f t="shared" si="278"/>
        <v>0.20386365574693488</v>
      </c>
      <c r="P118" s="89">
        <f t="shared" si="279"/>
        <v>-0.39823222168842221</v>
      </c>
      <c r="Q118" s="89">
        <f t="shared" si="280"/>
        <v>-5.0030311729512889E-2</v>
      </c>
      <c r="R118" s="89">
        <f t="shared" si="281"/>
        <v>0.10921336378359703</v>
      </c>
      <c r="S118" s="89">
        <f t="shared" si="282"/>
        <v>0.16872836325945784</v>
      </c>
      <c r="T118" s="89">
        <f t="shared" si="283"/>
        <v>0.178976874394152</v>
      </c>
      <c r="U118" s="89">
        <f t="shared" si="284"/>
        <v>0.19632020726000143</v>
      </c>
      <c r="V118" s="89">
        <f t="shared" si="285"/>
        <v>-2.3568096251641246E-2</v>
      </c>
      <c r="W118" s="89">
        <f t="shared" si="286"/>
        <v>-6.1812678605129623E-2</v>
      </c>
      <c r="X118" s="89">
        <f t="shared" si="287"/>
        <v>-0.1323750895571606</v>
      </c>
      <c r="Y118" s="89">
        <f t="shared" si="288"/>
        <v>-0.11982809703195696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7.8128780741118176E-2</v>
      </c>
      <c r="F119" s="89">
        <f t="shared" si="269"/>
        <v>6.2153621269294579E-2</v>
      </c>
      <c r="G119" s="89">
        <f t="shared" si="270"/>
        <v>2.3968759763300929E-2</v>
      </c>
      <c r="H119" s="89">
        <f t="shared" si="271"/>
        <v>9.2952600427515186E-2</v>
      </c>
      <c r="I119" s="89">
        <f t="shared" si="272"/>
        <v>0.12741451350290967</v>
      </c>
      <c r="J119" s="89">
        <f t="shared" si="273"/>
        <v>0.15285592004164217</v>
      </c>
      <c r="K119" s="89">
        <f t="shared" si="274"/>
        <v>0.12481934699075103</v>
      </c>
      <c r="L119" s="89">
        <f t="shared" si="275"/>
        <v>8.5635971872209504E-2</v>
      </c>
      <c r="M119" s="89">
        <f t="shared" si="276"/>
        <v>-7.8865836025482361E-2</v>
      </c>
      <c r="N119" s="89">
        <f t="shared" si="277"/>
        <v>0.25720481003263562</v>
      </c>
      <c r="O119" s="89">
        <f t="shared" si="278"/>
        <v>1.4914309493103683E-2</v>
      </c>
      <c r="P119" s="89">
        <f t="shared" si="279"/>
        <v>-0.14453692770457649</v>
      </c>
      <c r="Q119" s="89">
        <f t="shared" si="280"/>
        <v>-0.12560737758731333</v>
      </c>
      <c r="R119" s="89">
        <f t="shared" si="281"/>
        <v>0.13128929790101718</v>
      </c>
      <c r="S119" s="89">
        <f t="shared" si="282"/>
        <v>-2.2189273833958634E-2</v>
      </c>
      <c r="T119" s="89">
        <f t="shared" si="283"/>
        <v>3.9834187484257599E-2</v>
      </c>
      <c r="U119" s="89">
        <f t="shared" si="284"/>
        <v>-1.287298461955988E-2</v>
      </c>
      <c r="V119" s="89">
        <f t="shared" si="285"/>
        <v>1.612054689721254E-2</v>
      </c>
      <c r="W119" s="89">
        <f t="shared" si="286"/>
        <v>1.9237524033915765E-2</v>
      </c>
      <c r="X119" s="89">
        <f t="shared" si="287"/>
        <v>-5.9310226902078655E-2</v>
      </c>
      <c r="Y119" s="89">
        <f t="shared" si="288"/>
        <v>0.10726058878877875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0.23735407393112529</v>
      </c>
      <c r="F120" s="89">
        <f t="shared" si="269"/>
        <v>8.3231429291789061E-2</v>
      </c>
      <c r="G120" s="89">
        <f t="shared" si="270"/>
        <v>1.998297024404927E-2</v>
      </c>
      <c r="H120" s="89">
        <f t="shared" si="271"/>
        <v>4.2848759480822229E-2</v>
      </c>
      <c r="I120" s="89">
        <f t="shared" si="272"/>
        <v>-6.4334425424977693E-2</v>
      </c>
      <c r="J120" s="89">
        <f t="shared" si="273"/>
        <v>-1.1759233595809215E-2</v>
      </c>
      <c r="K120" s="89">
        <f t="shared" si="274"/>
        <v>1.9690006706986951E-2</v>
      </c>
      <c r="L120" s="89">
        <f t="shared" si="275"/>
        <v>7.6911571330204875E-2</v>
      </c>
      <c r="M120" s="89">
        <f t="shared" si="276"/>
        <v>-0.21345319999533285</v>
      </c>
      <c r="N120" s="89">
        <f t="shared" si="277"/>
        <v>0.45564563175753348</v>
      </c>
      <c r="O120" s="89">
        <f t="shared" si="278"/>
        <v>0.27402762541678594</v>
      </c>
      <c r="P120" s="89">
        <f t="shared" si="279"/>
        <v>-0.25233441680328272</v>
      </c>
      <c r="Q120" s="89">
        <f t="shared" si="280"/>
        <v>-2.3369644871358619E-2</v>
      </c>
      <c r="R120" s="89">
        <f t="shared" si="281"/>
        <v>-4.7933808383304188E-2</v>
      </c>
      <c r="S120" s="89">
        <f t="shared" si="282"/>
        <v>-1.8763127622142273E-3</v>
      </c>
      <c r="T120" s="89">
        <f t="shared" si="283"/>
        <v>-2.7684340136805208E-2</v>
      </c>
      <c r="U120" s="89">
        <f t="shared" si="284"/>
        <v>7.165152837548705E-3</v>
      </c>
      <c r="V120" s="89">
        <f t="shared" si="285"/>
        <v>-5.1271539053770021E-2</v>
      </c>
      <c r="W120" s="89">
        <f t="shared" si="286"/>
        <v>-4.0385976053241457E-2</v>
      </c>
      <c r="X120" s="89">
        <f t="shared" si="287"/>
        <v>-0.14097695346851646</v>
      </c>
      <c r="Y120" s="89">
        <f t="shared" si="288"/>
        <v>-3.3577870300047996E-2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0.23555130704225302</v>
      </c>
      <c r="F121" s="89">
        <f t="shared" si="269"/>
        <v>0.10264221391045614</v>
      </c>
      <c r="G121" s="89">
        <f t="shared" si="270"/>
        <v>-1.619469076659974E-2</v>
      </c>
      <c r="H121" s="89">
        <f t="shared" si="271"/>
        <v>0.19397793171328881</v>
      </c>
      <c r="I121" s="89">
        <f t="shared" si="272"/>
        <v>-2.561443882566794E-2</v>
      </c>
      <c r="J121" s="89">
        <f t="shared" si="273"/>
        <v>3.3035915114826953E-2</v>
      </c>
      <c r="K121" s="89">
        <f t="shared" si="274"/>
        <v>4.73961941109875E-2</v>
      </c>
      <c r="L121" s="89">
        <f t="shared" si="275"/>
        <v>7.5548260852031923E-4</v>
      </c>
      <c r="M121" s="89">
        <f t="shared" si="276"/>
        <v>2.4311487472339133E-2</v>
      </c>
      <c r="N121" s="89">
        <f t="shared" si="277"/>
        <v>0.49467999831825926</v>
      </c>
      <c r="O121" s="89">
        <f t="shared" si="278"/>
        <v>-8.5246589650786908E-2</v>
      </c>
      <c r="P121" s="89">
        <f t="shared" si="279"/>
        <v>-0.35774333028528249</v>
      </c>
      <c r="Q121" s="89">
        <f t="shared" si="280"/>
        <v>1.2499363207814751E-2</v>
      </c>
      <c r="R121" s="89">
        <f t="shared" si="281"/>
        <v>-9.9968982030358866E-2</v>
      </c>
      <c r="S121" s="89">
        <f t="shared" si="282"/>
        <v>-1.0875429949664395E-2</v>
      </c>
      <c r="T121" s="89">
        <f t="shared" si="283"/>
        <v>-0.13664242594059861</v>
      </c>
      <c r="U121" s="89">
        <f t="shared" si="284"/>
        <v>0.158299459265826</v>
      </c>
      <c r="V121" s="89">
        <f t="shared" si="285"/>
        <v>4.6250579463621655E-2</v>
      </c>
      <c r="W121" s="89">
        <f t="shared" si="286"/>
        <v>-0.13183659333323083</v>
      </c>
      <c r="X121" s="89">
        <f t="shared" si="287"/>
        <v>2.1080786849263511E-2</v>
      </c>
      <c r="Y121" s="89">
        <f t="shared" si="288"/>
        <v>0.3315041106587937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5.9498732432632373E-2</v>
      </c>
      <c r="F122" s="91">
        <f t="shared" si="269"/>
        <v>9.0371505605771452E-2</v>
      </c>
      <c r="G122" s="91">
        <f t="shared" si="270"/>
        <v>6.3124784825164815E-2</v>
      </c>
      <c r="H122" s="91">
        <f t="shared" si="271"/>
        <v>9.4741117748177839E-2</v>
      </c>
      <c r="I122" s="91">
        <f t="shared" si="272"/>
        <v>4.6312134525863247E-3</v>
      </c>
      <c r="J122" s="91">
        <f t="shared" si="273"/>
        <v>7.8089159628397242E-2</v>
      </c>
      <c r="K122" s="91">
        <f t="shared" si="274"/>
        <v>0.1187749396309461</v>
      </c>
      <c r="L122" s="91">
        <f t="shared" si="275"/>
        <v>7.8851092968507119E-2</v>
      </c>
      <c r="M122" s="91">
        <f t="shared" si="276"/>
        <v>-6.3052141369725812E-2</v>
      </c>
      <c r="N122" s="91">
        <f t="shared" si="277"/>
        <v>-0.36019468283827705</v>
      </c>
      <c r="O122" s="91">
        <f t="shared" si="278"/>
        <v>-6.3837749902215246E-2</v>
      </c>
      <c r="P122" s="91">
        <f t="shared" si="279"/>
        <v>7.0890323613148398E-2</v>
      </c>
      <c r="Q122" s="91">
        <f t="shared" si="280"/>
        <v>0.46126064556591895</v>
      </c>
      <c r="R122" s="91">
        <f t="shared" si="281"/>
        <v>-4.5622072668936586E-2</v>
      </c>
      <c r="S122" s="91">
        <f t="shared" si="282"/>
        <v>0.10399848028477554</v>
      </c>
      <c r="T122" s="91">
        <f t="shared" si="283"/>
        <v>3.9147973658449242E-2</v>
      </c>
      <c r="U122" s="91">
        <f t="shared" si="284"/>
        <v>6.8305039536929568E-2</v>
      </c>
      <c r="V122" s="91">
        <f t="shared" si="285"/>
        <v>1.4397644514471342E-2</v>
      </c>
      <c r="W122" s="91">
        <f t="shared" si="286"/>
        <v>9.3130160356380109E-2</v>
      </c>
      <c r="X122" s="91">
        <f t="shared" si="287"/>
        <v>-0.17760435199124058</v>
      </c>
      <c r="Y122" s="91">
        <f t="shared" si="288"/>
        <v>0.28846236294298011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7CF2372-D92A-4F1D-9394-CA0AB7E42EFB}"/>
</file>

<file path=customXml/itemProps2.xml><?xml version="1.0" encoding="utf-8"?>
<ds:datastoreItem xmlns:ds="http://schemas.openxmlformats.org/officeDocument/2006/customXml" ds:itemID="{907981BE-F0D3-4693-A668-3F77017E5036}"/>
</file>

<file path=customXml/itemProps3.xml><?xml version="1.0" encoding="utf-8"?>
<ds:datastoreItem xmlns:ds="http://schemas.openxmlformats.org/officeDocument/2006/customXml" ds:itemID="{6F5951D2-E6D0-4A80-8043-320BE90046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2024-05-20T16:55:16Z</dcterms:created>
  <dcterms:modified xsi:type="dcterms:W3CDTF">2024-05-20T16:55:16Z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