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R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9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K31" i="6" l="1"/>
  <c r="H31" i="6"/>
  <c r="N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K17" i="29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K15" i="29"/>
  <c r="J15" i="29"/>
  <c r="J7" i="29" s="1"/>
  <c r="I15" i="29"/>
  <c r="I7" i="29" s="1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N6" i="29" s="1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M13" i="29"/>
  <c r="L13" i="29"/>
  <c r="K13" i="29"/>
  <c r="J13" i="29"/>
  <c r="J5" i="29" s="1"/>
  <c r="I13" i="29"/>
  <c r="I5" i="29" s="1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N4" i="29" s="1"/>
  <c r="M12" i="29"/>
  <c r="M4" i="29" s="1"/>
  <c r="L12" i="29"/>
  <c r="L11" i="29" s="1"/>
  <c r="K12" i="29"/>
  <c r="K11" i="29" s="1"/>
  <c r="J12" i="29"/>
  <c r="I12" i="29"/>
  <c r="H12" i="29"/>
  <c r="G12" i="29"/>
  <c r="F12" i="29"/>
  <c r="F4" i="29" s="1"/>
  <c r="E12" i="29"/>
  <c r="D12" i="29"/>
  <c r="D11" i="29" s="1"/>
  <c r="T9" i="29"/>
  <c r="S9" i="29"/>
  <c r="L9" i="29"/>
  <c r="K9" i="29"/>
  <c r="D9" i="29"/>
  <c r="W8" i="29"/>
  <c r="P8" i="29"/>
  <c r="O8" i="29"/>
  <c r="H8" i="29"/>
  <c r="G8" i="29"/>
  <c r="T7" i="29"/>
  <c r="S7" i="29"/>
  <c r="L7" i="29"/>
  <c r="K7" i="29"/>
  <c r="G7" i="29"/>
  <c r="D7" i="29"/>
  <c r="W6" i="29"/>
  <c r="P6" i="29"/>
  <c r="O6" i="29"/>
  <c r="M6" i="29"/>
  <c r="H6" i="29"/>
  <c r="G6" i="29"/>
  <c r="T5" i="29"/>
  <c r="S5" i="29"/>
  <c r="Q5" i="29"/>
  <c r="L5" i="29"/>
  <c r="K5" i="29"/>
  <c r="D5" i="29"/>
  <c r="W4" i="29"/>
  <c r="U4" i="29"/>
  <c r="P4" i="29"/>
  <c r="O4" i="29"/>
  <c r="H4" i="29"/>
  <c r="G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U6" i="29" l="1"/>
  <c r="J11" i="29"/>
  <c r="N11" i="29"/>
  <c r="V6" i="29"/>
  <c r="V11" i="29"/>
  <c r="R7" i="29"/>
  <c r="V4" i="29"/>
  <c r="R5" i="29"/>
  <c r="U8" i="29"/>
  <c r="V8" i="29"/>
  <c r="R9" i="29"/>
  <c r="U11" i="29"/>
  <c r="W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N3" i="29" l="1"/>
  <c r="R3" i="33"/>
  <c r="U27" i="24"/>
  <c r="W3" i="29"/>
  <c r="V4" i="14"/>
  <c r="U19" i="25"/>
  <c r="U19" i="23"/>
  <c r="W3" i="33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S81" i="6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56" i="6" l="1"/>
  <c r="C113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G19" i="23" s="1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C4" i="24" l="1"/>
  <c r="P19" i="13"/>
  <c r="G16" i="12"/>
  <c r="F16" i="12"/>
  <c r="O29" i="13"/>
  <c r="D16" i="14"/>
  <c r="D16" i="17" s="1"/>
  <c r="O29" i="12"/>
  <c r="E4" i="13"/>
  <c r="E19" i="24"/>
  <c r="I4" i="23"/>
  <c r="K4" i="24"/>
  <c r="G16" i="13"/>
  <c r="N29" i="23"/>
  <c r="C19" i="13"/>
  <c r="K19" i="24"/>
  <c r="O19" i="23"/>
  <c r="O19" i="26" s="1"/>
  <c r="Q29" i="24"/>
  <c r="G29" i="24"/>
  <c r="G29" i="27" s="1"/>
  <c r="C19" i="12"/>
  <c r="C19" i="15" s="1"/>
  <c r="P16" i="23"/>
  <c r="M4" i="14"/>
  <c r="O16" i="13"/>
  <c r="O16" i="23"/>
  <c r="F19" i="12"/>
  <c r="M16" i="24"/>
  <c r="J4" i="23"/>
  <c r="J4" i="26" s="1"/>
  <c r="P19" i="12"/>
  <c r="P19" i="15" s="1"/>
  <c r="H4" i="24"/>
  <c r="M4" i="12"/>
  <c r="O19" i="24"/>
  <c r="P16" i="24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N16" i="14"/>
  <c r="D4" i="13"/>
  <c r="N16" i="12"/>
  <c r="N16" i="15" s="1"/>
  <c r="E16" i="12"/>
  <c r="E16" i="15" s="1"/>
  <c r="I16" i="14"/>
  <c r="Q4" i="23"/>
  <c r="J29" i="24"/>
  <c r="P16" i="13"/>
  <c r="C29" i="12"/>
  <c r="G16" i="24"/>
  <c r="I4" i="12"/>
  <c r="L16" i="13"/>
  <c r="L16" i="16" s="1"/>
  <c r="B29" i="13"/>
  <c r="L4" i="24"/>
  <c r="Q29" i="23"/>
  <c r="G16" i="25"/>
  <c r="Q4" i="24"/>
  <c r="D4" i="23"/>
  <c r="C29" i="13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K16" i="23"/>
  <c r="E29" i="13"/>
  <c r="L16" i="24"/>
  <c r="L16" i="27" s="1"/>
  <c r="M4" i="13"/>
  <c r="M4" i="16" s="1"/>
  <c r="D27" i="13"/>
  <c r="D27" i="12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3"/>
  <c r="E27" i="16" s="1"/>
  <c r="E19" i="23"/>
  <c r="D15" i="23"/>
  <c r="D15" i="24"/>
  <c r="E19" i="13"/>
  <c r="E19" i="16" s="1"/>
  <c r="C16" i="23"/>
  <c r="C16" i="26" s="1"/>
  <c r="F16" i="23"/>
  <c r="F16" i="26" s="1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Q19" i="23"/>
  <c r="G15" i="23"/>
  <c r="G15" i="24"/>
  <c r="G15" i="27" s="1"/>
  <c r="H27" i="23"/>
  <c r="H27" i="26" s="1"/>
  <c r="H27" i="24"/>
  <c r="H27" i="27" s="1"/>
  <c r="Q29" i="13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P15" i="23"/>
  <c r="P15" i="26" s="1"/>
  <c r="P15" i="24"/>
  <c r="P15" i="27" s="1"/>
  <c r="M29" i="12"/>
  <c r="M29" i="15" s="1"/>
  <c r="H16" i="12"/>
  <c r="H16" i="15" s="1"/>
  <c r="J15" i="24"/>
  <c r="J15" i="23"/>
  <c r="L27" i="23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4"/>
  <c r="K27" i="27" s="1"/>
  <c r="B27" i="12"/>
  <c r="B27" i="15" s="1"/>
  <c r="B27" i="13"/>
  <c r="Q19" i="24"/>
  <c r="K15" i="23"/>
  <c r="K15" i="24"/>
  <c r="P27" i="23"/>
  <c r="P27" i="26" s="1"/>
  <c r="P27" i="24"/>
  <c r="P27" i="27" s="1"/>
  <c r="P16" i="12"/>
  <c r="F4" i="13"/>
  <c r="L29" i="13"/>
  <c r="L15" i="23"/>
  <c r="L15" i="24"/>
  <c r="J27" i="12"/>
  <c r="J27" i="15" s="1"/>
  <c r="J27" i="13"/>
  <c r="J27" i="16" s="1"/>
  <c r="E16" i="24"/>
  <c r="D16" i="12"/>
  <c r="M15" i="23"/>
  <c r="M15" i="24"/>
  <c r="M15" i="27" s="1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H19" i="12"/>
  <c r="L4" i="12"/>
  <c r="L4" i="15" s="1"/>
  <c r="I16" i="24"/>
  <c r="I16" i="27" s="1"/>
  <c r="H16" i="13"/>
  <c r="H16" i="16" s="1"/>
  <c r="L29" i="12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2"/>
  <c r="L27" i="15" s="1"/>
  <c r="K4" i="13"/>
  <c r="K4" i="16" s="1"/>
  <c r="I29" i="13"/>
  <c r="I29" i="16" s="1"/>
  <c r="J16" i="24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2" l="1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8" i="4"/>
  <c r="B27" i="4"/>
  <c r="B33" i="4"/>
  <c r="B26" i="4"/>
  <c r="B14" i="4"/>
  <c r="B4" i="4"/>
  <c r="B45" i="4"/>
  <c r="B7" i="4"/>
  <c r="B10" i="4"/>
  <c r="B25" i="4"/>
  <c r="B23" i="4"/>
  <c r="B42" i="4"/>
  <c r="B20" i="4"/>
  <c r="B11" i="4"/>
  <c r="B24" i="4"/>
  <c r="B36" i="4"/>
  <c r="B22" i="4"/>
  <c r="B13" i="4"/>
  <c r="B17" i="4"/>
  <c r="B28" i="4"/>
  <c r="B21" i="4"/>
  <c r="B43" i="4"/>
  <c r="B44" i="4"/>
  <c r="B8" i="4"/>
  <c r="B39" i="4"/>
  <c r="B9" i="4"/>
  <c r="B37" i="4"/>
  <c r="B35" i="4"/>
  <c r="B29" i="4"/>
  <c r="B30" i="4"/>
  <c r="B12" i="4"/>
  <c r="B15" i="4"/>
  <c r="B16" i="4"/>
  <c r="B34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<sst xmlns="http://schemas.openxmlformats.org/spreadsheetml/2006/main" count="2099" uniqueCount="1055">
  <si>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</si>
  <si>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</si>
  <si>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</si>
  <si>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</si>
  <si>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</si>
  <si>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</si>
  <si>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</si>
  <si>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</si>
  <si>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</si>
  <si>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</si>
  <si>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</si>
  <si>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</si>
  <si>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</si>
  <si>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</si>
  <si>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</si>
  <si>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</si>
  <si>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</si>
  <si>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</si>
  <si>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</si>
  <si>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</si>
  <si>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</si>
  <si>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</si>
  <si>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</si>
  <si>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</si>
  <si>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</si>
  <si>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</si>
  <si>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</si>
  <si>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</si>
  <si>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</si>
  <si>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</si>
  <si>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</si>
  <si>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</si>
  <si>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</si>
  <si>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</si>
  <si>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</si>
  <si>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</si>
  <si>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</si>
  <si>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</si>
  <si>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</si>
  <si>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</si>
  <si>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</si>
  <si>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</si>
  <si>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</si>
  <si>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</si>
  <si>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</si>
  <si>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</si>
  <si>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</si>
  <si>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</si>
  <si>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</si>
  <si>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</si>
  <si>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</si>
  <si>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</si>
  <si>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</si>
  <si>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</si>
  <si>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</si>
  <si>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</si>
  <si>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</si>
  <si>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</si>
  <si>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</si>
  <si>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</si>
  <si>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</si>
  <si>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</si>
  <si>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</si>
  <si>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</si>
  <si>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</si>
  <si>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</si>
  <si>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</si>
  <si>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</si>
  <si>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</si>
  <si>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</si>
  <si>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</si>
  <si>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</si>
  <si>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</si>
  <si>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</si>
  <si>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</si>
  <si>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</si>
  <si>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</si>
  <si>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</si>
  <si>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</si>
  <si>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</si>
  <si>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</si>
  <si>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</si>
  <si>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</si>
  <si>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</si>
  <si>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</si>
  <si>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</si>
  <si>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</si>
  <si>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</si>
  <si>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</si>
  <si>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</si>
  <si>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</si>
  <si>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</si>
  <si>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</si>
  <si>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</si>
  <si>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</si>
  <si>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</si>
  <si>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</si>
  <si>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</si>
  <si>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</si>
  <si>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</si>
  <si>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</si>
  <si>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</si>
  <si>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</si>
  <si>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</si>
  <si>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</si>
  <si>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</si>
  <si>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</si>
  <si>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</si>
  <si>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</si>
  <si>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</si>
  <si>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</si>
  <si>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</si>
  <si>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</si>
  <si>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</si>
  <si>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</si>
  <si>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</si>
  <si>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</si>
  <si>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</si>
  <si>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</si>
  <si>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</si>
  <si>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</si>
  <si>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</si>
  <si>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</si>
  <si>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</si>
  <si>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</si>
  <si>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</si>
  <si>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</si>
  <si>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</si>
  <si>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</si>
  <si>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</si>
  <si>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</si>
  <si>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</si>
  <si>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</si>
  <si>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</si>
  <si>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</si>
  <si>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</si>
  <si>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</si>
  <si>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</si>
  <si>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</si>
  <si>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</si>
  <si>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</si>
  <si>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</si>
  <si>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</si>
  <si>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</si>
  <si>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</si>
  <si>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</si>
  <si>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</si>
  <si>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</si>
  <si>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</si>
  <si>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</si>
  <si>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</si>
  <si>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</si>
  <si>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</si>
  <si>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</si>
  <si>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</si>
  <si>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</si>
  <si>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</si>
  <si>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</si>
  <si>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</si>
  <si>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</si>
  <si>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</si>
  <si>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</si>
  <si>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</si>
  <si>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</si>
  <si>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</si>
  <si>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</si>
  <si>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</si>
  <si>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</si>
  <si>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</si>
  <si>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</si>
  <si>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</si>
  <si>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</si>
  <si>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</si>
  <si>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</si>
  <si>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</si>
  <si>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</si>
  <si>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</si>
  <si>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</si>
  <si>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</si>
  <si>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</si>
  <si>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</si>
  <si>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</si>
  <si>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</si>
  <si>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</si>
  <si>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FR</t>
  </si>
  <si>
    <t>France</t>
  </si>
  <si>
    <t>FR - Services sector summary</t>
  </si>
  <si>
    <t>Macro.number.FR.Population</t>
  </si>
  <si>
    <t>Macro.Meuro2015.FR.GDP</t>
  </si>
  <si>
    <t>Macro.Meuro2015.FR.VA</t>
  </si>
  <si>
    <t>Macro.number.FR.Employees</t>
  </si>
  <si>
    <t>NUM.number.FR.Ser.Bld</t>
  </si>
  <si>
    <t>SurfaceArea.ksqm.FR.Ser.Bld</t>
  </si>
  <si>
    <t>NUM.number.FR.Ser.BldNew</t>
  </si>
  <si>
    <t>SurfaceArea.ksqm.FR.Ser.BldNew</t>
  </si>
  <si>
    <t>HDD.Celsius.FR.Actual</t>
  </si>
  <si>
    <t>HDD.Celsius.FR.Mean</t>
  </si>
  <si>
    <t>HDD.ratio.FR.Relative</t>
  </si>
  <si>
    <t>FEC.ktoe.FR.ES.Ser</t>
  </si>
  <si>
    <t>FEC.ktoe.FR.ES.Ser.Solids</t>
  </si>
  <si>
    <t>FEC.ktoe.FR.ES.Ser.LPG</t>
  </si>
  <si>
    <t>FEC.ktoe.FR.ES.Ser.Oil</t>
  </si>
  <si>
    <t>FEC.ktoe.FR.ES.Ser.NG</t>
  </si>
  <si>
    <t>FEC.ktoe.FR.ES.Ser.Biomass_Waste</t>
  </si>
  <si>
    <t>FEC.ktoe.FR.ES.Ser.Biogas</t>
  </si>
  <si>
    <t>FEC.ktoe.FR.ES.Ser.LiqBio</t>
  </si>
  <si>
    <t>FEC.ktoe.FR.ES.Ser.Solar</t>
  </si>
  <si>
    <t>FEC.ktoe.FR.ES.Ser.Geo</t>
  </si>
  <si>
    <t>FEC.ktoe.FR.ES.Ser.Ambient</t>
  </si>
  <si>
    <t>FEC.ktoe.FR.ES.Ser.Steam_Distr</t>
  </si>
  <si>
    <t>FEC.ktoe.FR.ES.Ser.Elec</t>
  </si>
  <si>
    <t>FEC.ktoe.FR.Ser</t>
  </si>
  <si>
    <t>FEC.ktoe.FR.Ser.Bld.Thermal</t>
  </si>
  <si>
    <t>FEC.ktoe.FR.Ser.Bld.Thermal.SH</t>
  </si>
  <si>
    <t>FEC.ktoe.FR.Ser.Bld.Thermal.SC</t>
  </si>
  <si>
    <t>FEC.ktoe.FR.Ser.Bld.Thermal.HW</t>
  </si>
  <si>
    <t>FEC.ktoe.FR.Ser.Bld.Thermal.CA</t>
  </si>
  <si>
    <t>FEC.ktoe.FR.Ser.SEU</t>
  </si>
  <si>
    <t>EMI.ktCO2.FR.ES.Ser</t>
  </si>
  <si>
    <t>EMI.ktCO2.FR.ES.Ser.Solids</t>
  </si>
  <si>
    <t>EMI.ktCO2.FR.ES.Ser.LPG</t>
  </si>
  <si>
    <t>EMI.ktCO2.FR.ES.Ser.Oil</t>
  </si>
  <si>
    <t>EMI.ktCO2.FR.ES.Ser.NG</t>
  </si>
  <si>
    <t>EMI.ktCO2.FR.ES.Ser.Biomass_Waste</t>
  </si>
  <si>
    <t>EMI.ktCO2.FR.ES.Ser.Biogas</t>
  </si>
  <si>
    <t>EMI.ktCO2.FR.ES.Ser.LiqBio</t>
  </si>
  <si>
    <t>EMI.ktCO2.FR.ES.Ser.Solar</t>
  </si>
  <si>
    <t>EMI.ktCO2.FR.ES.Ser.Geo</t>
  </si>
  <si>
    <t>EMI.ktCO2.FR.ES.Ser.Ambient</t>
  </si>
  <si>
    <t>EMI.ktCO2.FR.ES.Ser.Steam_Distr</t>
  </si>
  <si>
    <t>EMI.ktCO2.FR.ES.Ser.Elec</t>
  </si>
  <si>
    <t>EMI.ktCO2.FR.Ser</t>
  </si>
  <si>
    <t>EMI.ktCO2.FR.Ser.Bld.Thermal</t>
  </si>
  <si>
    <t>EMI.ktCO2.FR.Ser.Bld.Thermal.SH</t>
  </si>
  <si>
    <t>EMI.ktCO2.FR.Ser.Bld.Thermal.SC</t>
  </si>
  <si>
    <t>EMI.ktCO2.FR.Ser.Bld.Thermal.HW</t>
  </si>
  <si>
    <t>EMI.ktCO2.FR.Ser.Bld.Thermal.CA</t>
  </si>
  <si>
    <t>EMI.ktCO2.FR.Ser.SEU</t>
  </si>
  <si>
    <t>Eff.ratio.FR.Ser.Bld.Thermal</t>
  </si>
  <si>
    <t>Eff.ratio.FR.Ser.Bld.Thermal.SH</t>
  </si>
  <si>
    <t>Eff.ratio.FR.Ser.Bld.Thermal.SC</t>
  </si>
  <si>
    <t>Eff.ratio.FR.Ser.Bld.Thermal.HW</t>
  </si>
  <si>
    <t>Eff.ratio.FR.Ser.Bld.Thermal.CA</t>
  </si>
  <si>
    <t>FR - Number of buildings</t>
  </si>
  <si>
    <t>NUM.number.FR.Ser.Bld.Thermal</t>
  </si>
  <si>
    <t>NUM.number.FR.Ser.Bld.Thermal.SH</t>
  </si>
  <si>
    <t>NUM.number.FR.Ser.Bld.Thermal.SH.Solids</t>
  </si>
  <si>
    <t>NUM.number.FR.Ser.Bld.Thermal.SH.LPG</t>
  </si>
  <si>
    <t>NUM.number.FR.Ser.Bld.Thermal.SH.Oil</t>
  </si>
  <si>
    <t>NUM.number.FR.Ser.Bld.Thermal.SH.GasHP</t>
  </si>
  <si>
    <t>NUM.number.FR.Ser.Bld.Thermal.SH.GasTH</t>
  </si>
  <si>
    <t>NUM.number.FR.Ser.Bld.Thermal.SH.Biomass</t>
  </si>
  <si>
    <t>NUM.number.FR.Ser.Bld.Thermal.SH.Geo</t>
  </si>
  <si>
    <t>NUM.number.FR.Ser.Bld.Thermal.SH.DistrHeat</t>
  </si>
  <si>
    <t>NUM.number.FR.Ser.Bld.Thermal.SH.AdvElc</t>
  </si>
  <si>
    <t>NUM.number.FR.Ser.Bld.Thermal.SH.ConvElc</t>
  </si>
  <si>
    <t>NUM.number.FR.Ser.Bld.Thermal.SC</t>
  </si>
  <si>
    <t>NUM.number.FR.Ser.Bld.Thermal.SC.GasHP</t>
  </si>
  <si>
    <t>NUM.number.FR.Ser.Bld.Thermal.SC.AC</t>
  </si>
  <si>
    <t>NUM.number.FR.Ser.Bld.Thermal.HW</t>
  </si>
  <si>
    <t>NUM.number.FR.Ser.Bld.Thermal.HW.Solids</t>
  </si>
  <si>
    <t>NUM.number.FR.Ser.Bld.Thermal.HW.LPG</t>
  </si>
  <si>
    <t>NUM.number.FR.Ser.Bld.Thermal.HW.Oil</t>
  </si>
  <si>
    <t>NUM.number.FR.Ser.Bld.Thermal.HW.Gas</t>
  </si>
  <si>
    <t>NUM.number.FR.Ser.Bld.Thermal.HW.Biomass</t>
  </si>
  <si>
    <t>NUM.number.FR.Ser.Bld.Thermal.HW.DistrHeat</t>
  </si>
  <si>
    <t>NUM.number.FR.Ser.Bld.Thermal.HW.Elc</t>
  </si>
  <si>
    <t>NUM.number.FR.Ser.Bld.Thermal.HW.Solar</t>
  </si>
  <si>
    <t>NUM.number.FR.Ser.Bld.Thermal.CA</t>
  </si>
  <si>
    <t>NUM.number.FR.Ser.Bld.Thermal.CA.LPG</t>
  </si>
  <si>
    <t>NUM.number.FR.Ser.Bld.Thermal.CA.Gas</t>
  </si>
  <si>
    <t>NUM.number.FR.Ser.Bld.Thermal.CA.Biomass</t>
  </si>
  <si>
    <t>NUM.number.FR.Ser.Bld.Thermal.CA.Elc</t>
  </si>
  <si>
    <t>FR - Final energy consumption</t>
  </si>
  <si>
    <t>FEC.ktoe.FR.Ser.Bld.Thermal.SH.Solids.Solids</t>
  </si>
  <si>
    <t>FEC.ktoe.FR.Ser.Bld.Thermal.SH.LPG.LPG</t>
  </si>
  <si>
    <t>FEC.ktoe.FR.Ser.Bld.Thermal.SH.Oil.Oil_LiqBio</t>
  </si>
  <si>
    <t>FEC.ktoe.FR.Ser.Bld.Thermal.SH.GasHP.NG_Biogas</t>
  </si>
  <si>
    <t>FEC.ktoe.FR.Ser.Bld.Thermal.SH.GasTH.NG_Biogas</t>
  </si>
  <si>
    <t>FEC.ktoe.FR.Ser.Bld.Thermal.SH.Biomass.Biomass_Waste</t>
  </si>
  <si>
    <t>FEC.ktoe.FR.Ser.Bld.Thermal.SH.Geo.Geo</t>
  </si>
  <si>
    <t>FEC.ktoe.FR.Ser.Bld.Thermal.SH.DistrHeat.Steam_Distr</t>
  </si>
  <si>
    <t>FEC.ktoe.FR.Ser.Bld.Thermal.SH.AdvElc.Elec</t>
  </si>
  <si>
    <t>FEC.ktoe.FR.Ser.Bld.Thermal.SH.ConvElc.Elec</t>
  </si>
  <si>
    <t>FEC.ktoe.FR.Ser.Bld.Thermal.SH.TotalCirculation.Elec</t>
  </si>
  <si>
    <t>FEC.ktoe.FR.Ser.Bld.Thermal.SC.GasHP.NG_Biogas</t>
  </si>
  <si>
    <t>FEC.ktoe.FR.Ser.Bld.Thermal.SC.AC.Elec</t>
  </si>
  <si>
    <t>FEC.ktoe.FR.Ser.Bld.Thermal.HW.Solids.Solids</t>
  </si>
  <si>
    <t>FEC.ktoe.FR.Ser.Bld.Thermal.HW.LPG.LPG</t>
  </si>
  <si>
    <t>FEC.ktoe.FR.Ser.Bld.Thermal.HW.Oil.Oil_LiqBio</t>
  </si>
  <si>
    <t>FEC.ktoe.FR.Ser.Bld.Thermal.HW.Gas.NG_Biogas</t>
  </si>
  <si>
    <t>FEC.ktoe.FR.Ser.Bld.Thermal.HW.Biomass.Biomass_Waste</t>
  </si>
  <si>
    <t>FEC.ktoe.FR.Ser.Bld.Thermal.HW.DistrHeat.Steam_Distr</t>
  </si>
  <si>
    <t>FEC.ktoe.FR.Ser.Bld.Thermal.HW.Elc.Elec</t>
  </si>
  <si>
    <t>FEC.ktoe.FR.Ser.Bld.Thermal.HW.TotalSolar.Solar</t>
  </si>
  <si>
    <t>FEC.ktoe.FR.Ser.Bld.Thermal.CA.LPG</t>
  </si>
  <si>
    <t>FEC.ktoe.FR.Ser.Bld.Thermal.CA.Gas.NG_Biogas</t>
  </si>
  <si>
    <t>FEC.ktoe.FR.Ser.Bld.Thermal.CA.Biomass.Biomass_Waste</t>
  </si>
  <si>
    <t>FEC.ktoe.FR.Ser.Bld.Thermal.CA.Elc.Elec</t>
  </si>
  <si>
    <t>FR - Thermal energy service</t>
  </si>
  <si>
    <t>TES.ktoe.FR.Ser.Bld.Thermal</t>
  </si>
  <si>
    <t>TES.ktoe.FR.Ser.Bld.Thermal.SH</t>
  </si>
  <si>
    <t>TES.ktoe.FR.Ser.Bld.Thermal.SH.Solids.Solids</t>
  </si>
  <si>
    <t>TES.ktoe.FR.Ser.Bld.Thermal.SH.LPG.LPG</t>
  </si>
  <si>
    <t>TES.ktoe.FR.Ser.Bld.Thermal.SH.Oil.Oil_LiqBio</t>
  </si>
  <si>
    <t>TES.ktoe.FR.Ser.Bld.Thermal.SH.GasHP.NG_Biogas</t>
  </si>
  <si>
    <t>TES.ktoe.FR.Ser.Bld.Thermal.SH.GasTH.NG_Biogas</t>
  </si>
  <si>
    <t>TES.ktoe.FR.Ser.Bld.Thermal.SH.Biomass.Biomass_Waste</t>
  </si>
  <si>
    <t>TES.ktoe.FR.Ser.Bld.Thermal.SH.Geo.Geo</t>
  </si>
  <si>
    <t>TES.ktoe.FR.Ser.Bld.Thermal.SH.DistrHeat.Steam_Distr</t>
  </si>
  <si>
    <t>TES.ktoe.FR.Ser.Bld.Thermal.SH.AdvElc.Elec</t>
  </si>
  <si>
    <t>TES.ktoe.FR.Ser.Bld.Thermal.SH.ConvElc.Elec</t>
  </si>
  <si>
    <t>TES.ktoe.FR.Ser.Bld.Thermal.SH.TotalCirculation.Elec</t>
  </si>
  <si>
    <t>TES.ktoe.FR.Ser.Bld.Thermal.SC</t>
  </si>
  <si>
    <t>TES.ktoe.FR.Ser.Bld.Thermal.SC.GasHP.NG_Biogas</t>
  </si>
  <si>
    <t>TES.ktoe.FR.Ser.Bld.Thermal.SC.AC.Elec</t>
  </si>
  <si>
    <t>TES.ktoe.FR.Ser.Bld.Thermal.HW</t>
  </si>
  <si>
    <t>TES.ktoe.FR.Ser.Bld.Thermal.HW.Solids.Solids</t>
  </si>
  <si>
    <t>TES.ktoe.FR.Ser.Bld.Thermal.HW.LPG.LPG</t>
  </si>
  <si>
    <t>TES.ktoe.FR.Ser.Bld.Thermal.HW.Oil.Oil_LiqBio</t>
  </si>
  <si>
    <t>TES.ktoe.FR.Ser.Bld.Thermal.HW.Gas.NG_Biogas</t>
  </si>
  <si>
    <t>TES.ktoe.FR.Ser.Bld.Thermal.HW.Biomass.Biomass_Waste</t>
  </si>
  <si>
    <t>TES.ktoe.FR.Ser.Bld.Thermal.HW.DistrHeat.Steam_Distr</t>
  </si>
  <si>
    <t>TES.ktoe.FR.Ser.Bld.Thermal.HW.Elc.Elec</t>
  </si>
  <si>
    <t>TES.ktoe.FR.Ser.Bld.Thermal.HW.TotalSolar.Solar</t>
  </si>
  <si>
    <t>TES.ktoe.FR.Ser.Bld.Thermal.CA</t>
  </si>
  <si>
    <t>TES.ktoe.FR.Ser.Bld.Thermal.CA.LPG</t>
  </si>
  <si>
    <t>TES.ktoe.FR.Ser.Bld.Thermal.CA.Gas.NG_Biogas</t>
  </si>
  <si>
    <t>TES.ktoe.FR.Ser.Bld.Thermal.CA.Biomass.Biomass_Waste</t>
  </si>
  <si>
    <t>TES.ktoe.FR.Ser.Bld.Thermal.CA.Elc.Elec</t>
  </si>
  <si>
    <t>FR - System efficiency indicator of total stock</t>
  </si>
  <si>
    <t>Eff.ratio.FR.Ser.Bld.Thermal.SH.Solids.Solids</t>
  </si>
  <si>
    <t>Eff.ratio.FR.Ser.Bld.Thermal.SH.LPG.LPG</t>
  </si>
  <si>
    <t>Eff.ratio.FR.Ser.Bld.Thermal.SH.Oil.Oil_LiqBio</t>
  </si>
  <si>
    <t>Eff.ratio.FR.Ser.Bld.Thermal.SH.GasHP.NG_Biogas</t>
  </si>
  <si>
    <t>Eff.ratio.FR.Ser.Bld.Thermal.SH.GasTH.NG_Biogas</t>
  </si>
  <si>
    <t>Eff.ratio.FR.Ser.Bld.Thermal.SH.Biomass.Biomass_Waste</t>
  </si>
  <si>
    <t>Eff.ratio.FR.Ser.Bld.Thermal.SH.Geo.Geo</t>
  </si>
  <si>
    <t>Eff.ratio.FR.Ser.Bld.Thermal.SH.DistrHeat.Steam_Distr</t>
  </si>
  <si>
    <t>Eff.ratio.FR.Ser.Bld.Thermal.SH.AdvElc.Elec</t>
  </si>
  <si>
    <t>Eff.ratio.FR.Ser.Bld.Thermal.SH.ConvElc.Elec</t>
  </si>
  <si>
    <t>Eff.ratio.FR.Ser.Bld.Thermal.SH.TotalCirculation.Elec</t>
  </si>
  <si>
    <t>Eff.ratio.FR.Ser.Bld.Thermal.SC.GasHP.NG_Biogas</t>
  </si>
  <si>
    <t>Eff.ratio.FR.Ser.Bld.Thermal.SC.AC.Elec</t>
  </si>
  <si>
    <t>Eff.ratio.FR.Ser.Bld.Thermal.HW.Solids.Solids</t>
  </si>
  <si>
    <t>Eff.ratio.FR.Ser.Bld.Thermal.HW.LPG.LPG</t>
  </si>
  <si>
    <t>Eff.ratio.FR.Ser.Bld.Thermal.HW.Oil.Oil_LiqBio</t>
  </si>
  <si>
    <t>Eff.ratio.FR.Ser.Bld.Thermal.HW.Gas.NG_Biogas</t>
  </si>
  <si>
    <t>Eff.ratio.FR.Ser.Bld.Thermal.HW.Biomass.Biomass_Waste</t>
  </si>
  <si>
    <t>Eff.ratio.FR.Ser.Bld.Thermal.HW.DistrHeat.Steam_Distr</t>
  </si>
  <si>
    <t>Eff.ratio.FR.Ser.Bld.Thermal.HW.Elc.Elec</t>
  </si>
  <si>
    <t>Eff.ratio.FR.Ser.Bld.Thermal.HW.TotalSolar.Solar</t>
  </si>
  <si>
    <t>Eff.ratio.FR.Ser.Bld.Thermal.CA.LPG</t>
  </si>
  <si>
    <t>Eff.ratio.FR.Ser.Bld.Thermal.CA.Gas.NG_Biogas</t>
  </si>
  <si>
    <t>Eff.ratio.FR.Ser.Bld.Thermal.CA.Biomass.Biomass_Waste</t>
  </si>
  <si>
    <t>Eff.ratio.FR.Ser.Bld.Thermal.CA.Elc.Elec</t>
  </si>
  <si>
    <t>FR - CO2 emissions</t>
  </si>
  <si>
    <t>EMI.ktCO2.FR.Ser.Bld.Thermal.SH.Solids.Solids</t>
  </si>
  <si>
    <t>EMI.ktCO2.FR.Ser.Bld.Thermal.SH.LPG.LPG</t>
  </si>
  <si>
    <t>EMI.ktCO2.FR.Ser.Bld.Thermal.SH.Oil.Oil_LiqBio</t>
  </si>
  <si>
    <t>EMI.ktCO2.FR.Ser.Bld.Thermal.SH.GasHP.NG_Biogas</t>
  </si>
  <si>
    <t>EMI.ktCO2.FR.Ser.Bld.Thermal.SH.GasTH.NG_Biogas</t>
  </si>
  <si>
    <t>EMI.ktCO2.FR.Ser.Bld.Thermal.SH.Biomass.Biomass_Waste</t>
  </si>
  <si>
    <t>EMI.ktCO2.FR.Ser.Bld.Thermal.SH.Geo.Geo</t>
  </si>
  <si>
    <t>EMI.ktCO2.FR.Ser.Bld.Thermal.SH.DistrHeat.Steam_Distr</t>
  </si>
  <si>
    <t>EMI.ktCO2.FR.Ser.Bld.Thermal.SH.AdvElc.Elec</t>
  </si>
  <si>
    <t>EMI.ktCO2.FR.Ser.Bld.Thermal.SH.ConvElc.Elec</t>
  </si>
  <si>
    <t>EMI.ktCO2.FR.Ser.Bld.Thermal.SH.TotalCirculation.Elec</t>
  </si>
  <si>
    <t>EMI.ktCO2.FR.Ser.Bld.Thermal.SC.GasHP.NG_Biogas</t>
  </si>
  <si>
    <t>EMI.ktCO2.FR.Ser.Bld.Thermal.SC.AC.Elec</t>
  </si>
  <si>
    <t>EMI.ktCO2.FR.Ser.Bld.Thermal.HW.Solids.Solids</t>
  </si>
  <si>
    <t>EMI.ktCO2.FR.Ser.Bld.Thermal.HW.LPG.LPG</t>
  </si>
  <si>
    <t>EMI.ktCO2.FR.Ser.Bld.Thermal.HW.Oil.Oil_LiqBio</t>
  </si>
  <si>
    <t>EMI.ktCO2.FR.Ser.Bld.Thermal.HW.Gas.NG_Biogas</t>
  </si>
  <si>
    <t>EMI.ktCO2.FR.Ser.Bld.Thermal.HW.Biomass.Biomass_Waste</t>
  </si>
  <si>
    <t>EMI.ktCO2.FR.Ser.Bld.Thermal.HW.DistrHeat.Steam_Distr</t>
  </si>
  <si>
    <t>EMI.ktCO2.FR.Ser.Bld.Thermal.HW.Elc.Elec</t>
  </si>
  <si>
    <t>EMI.ktCO2.FR.Ser.Bld.Thermal.HW.TotalSolar.Solar</t>
  </si>
  <si>
    <t>EMI.ktCO2.FR.Ser.Bld.Thermal.CA.LPG</t>
  </si>
  <si>
    <t>EMI.ktCO2.FR.Ser.Bld.Thermal.CA.Gas.NG_Biogas</t>
  </si>
  <si>
    <t>EMI.ktCO2.FR.Ser.Bld.Thermal.CA.Biomass.Biomass_Waste</t>
  </si>
  <si>
    <t>EMI.ktCO2.FR.Ser.Bld.Thermal.CA.Elc.Elec</t>
  </si>
  <si>
    <t>FR - Final energy consumption per building</t>
  </si>
  <si>
    <t>FEC_per_building.kWh.FR.Ser.Bld.Thermal</t>
  </si>
  <si>
    <t>FEC_per_building.kWh.FR.Ser.Bld.Thermal.SH</t>
  </si>
  <si>
    <t>FEC_per_building.kWh.FR.Ser.Bld.Thermal.SH.Solids.Solids</t>
  </si>
  <si>
    <t>FEC_per_building.kWh.FR.Ser.Bld.Thermal.SH.LPG.LPG</t>
  </si>
  <si>
    <t>FEC_per_building.kWh.FR.Ser.Bld.Thermal.SH.Oil.Oil_LiqBio</t>
  </si>
  <si>
    <t>FEC_per_building.kWh.FR.Ser.Bld.Thermal.SH.GasHP.NG_Biogas</t>
  </si>
  <si>
    <t>FEC_per_building.kWh.FR.Ser.Bld.Thermal.SH.GasTH.NG_Biogas</t>
  </si>
  <si>
    <t>FEC_per_building.kWh.FR.Ser.Bld.Thermal.SH.Biomass.Biomass_Waste</t>
  </si>
  <si>
    <t>FEC_per_building.kWh.FR.Ser.Bld.Thermal.SH.Geo.Geo</t>
  </si>
  <si>
    <t>FEC_per_building.kWh.FR.Ser.Bld.Thermal.SH.DistrHeat.Steam_Distr</t>
  </si>
  <si>
    <t>FEC_per_building.kWh.FR.Ser.Bld.Thermal.SH.AdvElc.Elec</t>
  </si>
  <si>
    <t>FEC_per_building.kWh.FR.Ser.Bld.Thermal.SH.ConvElc.Elec</t>
  </si>
  <si>
    <t>FEC_per_building.kWh.FR.Ser.Bld.Thermal.SH.TotalCirculation.Elec</t>
  </si>
  <si>
    <t>FEC_per_building.kWh.FR.Ser.Bld.Thermal.SC</t>
  </si>
  <si>
    <t>FEC_per_building.kWh.FR.Ser.Bld.Thermal.SC.GasHP.NG_Biogas</t>
  </si>
  <si>
    <t>FEC_per_building.kWh.FR.Ser.Bld.Thermal.SC.AC.Elec</t>
  </si>
  <si>
    <t>FEC_per_building.kWh.FR.Ser.Bld.Thermal.HW</t>
  </si>
  <si>
    <t>FEC_per_building.kWh.FR.Ser.Bld.Thermal.HW.Solids.Solids</t>
  </si>
  <si>
    <t>FEC_per_building.kWh.FR.Ser.Bld.Thermal.HW.LPG.LPG</t>
  </si>
  <si>
    <t>FEC_per_building.kWh.FR.Ser.Bld.Thermal.HW.Oil.Oil_LiqBio</t>
  </si>
  <si>
    <t>FEC_per_building.kWh.FR.Ser.Bld.Thermal.HW.Gas.NG_Biogas</t>
  </si>
  <si>
    <t>FEC_per_building.kWh.FR.Ser.Bld.Thermal.HW.Biomass.Biomass_Waste</t>
  </si>
  <si>
    <t>FEC_per_building.kWh.FR.Ser.Bld.Thermal.HW.DistrHeat.Steam_Distr</t>
  </si>
  <si>
    <t>FEC_per_building.kWh.FR.Ser.Bld.Thermal.HW.Elc.Elec</t>
  </si>
  <si>
    <t>FEC_per_building.kWh.FR.Ser.Bld.Thermal.HW.TotalSolar.Solar</t>
  </si>
  <si>
    <t>FEC_per_building.kWh.FR.Ser.Bld.Thermal.CA</t>
  </si>
  <si>
    <t>FEC_per_building.kWh.FR.Ser.Bld.Thermal.CA.LPG</t>
  </si>
  <si>
    <t>FEC_per_building.kWh.FR.Ser.Bld.Thermal.CA.Gas.NG_Biogas</t>
  </si>
  <si>
    <t>FEC_per_building.kWh.FR.Ser.Bld.Thermal.CA.Biomass.Biomass_Waste</t>
  </si>
  <si>
    <t>FEC_per_building.kWh.FR.Ser.Bld.Thermal.CA.Elc.Elec</t>
  </si>
  <si>
    <t>FR - Thermal energy service per building</t>
  </si>
  <si>
    <t>TES_per_building.kWh.FR.Ser.Bld.Thermal</t>
  </si>
  <si>
    <t>TES_per_building.kWh.FR.Ser.Bld.Thermal.SH</t>
  </si>
  <si>
    <t>TES_per_building.kWh.FR.Ser.Bld.Thermal.SH.Solids.Solids</t>
  </si>
  <si>
    <t>TES_per_building.kWh.FR.Ser.Bld.Thermal.SH.LPG.LPG</t>
  </si>
  <si>
    <t>TES_per_building.kWh.FR.Ser.Bld.Thermal.SH.Oil.Oil_LiqBio</t>
  </si>
  <si>
    <t>TES_per_building.kWh.FR.Ser.Bld.Thermal.SH.GasHP.NG_Biogas</t>
  </si>
  <si>
    <t>TES_per_building.kWh.FR.Ser.Bld.Thermal.SH.GasTH.NG_Biogas</t>
  </si>
  <si>
    <t>TES_per_building.kWh.FR.Ser.Bld.Thermal.SH.Biomass.Biomass_Waste</t>
  </si>
  <si>
    <t>TES_per_building.kWh.FR.Ser.Bld.Thermal.SH.Geo.Geo</t>
  </si>
  <si>
    <t>TES_per_building.kWh.FR.Ser.Bld.Thermal.SH.DistrHeat.Steam_Distr</t>
  </si>
  <si>
    <t>TES_per_building.kWh.FR.Ser.Bld.Thermal.SH.AdvElc.Elec</t>
  </si>
  <si>
    <t>TES_per_building.kWh.FR.Ser.Bld.Thermal.SH.ConvElc.Elec</t>
  </si>
  <si>
    <t>TES_per_building.kWh.FR.Ser.Bld.Thermal.SH.TotalCirculation.Elec</t>
  </si>
  <si>
    <t>TES_per_building.kWh.FR.Ser.Bld.Thermal.SC</t>
  </si>
  <si>
    <t>TES_per_building.kWh.FR.Ser.Bld.Thermal.SC.GasHP.NG_Biogas</t>
  </si>
  <si>
    <t>TES_per_building.kWh.FR.Ser.Bld.Thermal.SC.AC.Elec</t>
  </si>
  <si>
    <t>TES_per_building.kWh.FR.Ser.Bld.Thermal.HW</t>
  </si>
  <si>
    <t>TES_per_building.kWh.FR.Ser.Bld.Thermal.HW.Solids.Solids</t>
  </si>
  <si>
    <t>TES_per_building.kWh.FR.Ser.Bld.Thermal.HW.LPG.LPG</t>
  </si>
  <si>
    <t>TES_per_building.kWh.FR.Ser.Bld.Thermal.HW.Oil.Oil_LiqBio</t>
  </si>
  <si>
    <t>TES_per_building.kWh.FR.Ser.Bld.Thermal.HW.Gas.NG_Biogas</t>
  </si>
  <si>
    <t>TES_per_building.kWh.FR.Ser.Bld.Thermal.HW.Biomass.Biomass_Waste</t>
  </si>
  <si>
    <t>TES_per_building.kWh.FR.Ser.Bld.Thermal.HW.DistrHeat.Steam_Distr</t>
  </si>
  <si>
    <t>TES_per_building.kWh.FR.Ser.Bld.Thermal.HW.Elc.Elec</t>
  </si>
  <si>
    <t>TES_per_building.kWh.FR.Ser.Bld.Thermal.HW.TotalSolar.Solar</t>
  </si>
  <si>
    <t>TES_per_building.kWh.FR.Ser.Bld.Thermal.CA</t>
  </si>
  <si>
    <t>TES_per_building.kWh.FR.Ser.Bld.Thermal.CA.LPG</t>
  </si>
  <si>
    <t>TES_per_building.kWh.FR.Ser.Bld.Thermal.CA.Gas.NG_Biogas</t>
  </si>
  <si>
    <t>TES_per_building.kWh.FR.Ser.Bld.Thermal.CA.Biomass.Biomass_Waste</t>
  </si>
  <si>
    <t>TES_per_building.kWh.FR.Ser.Bld.Thermal.CA.Elc.Elec</t>
  </si>
  <si>
    <t>FR - CO2 emissions per building</t>
  </si>
  <si>
    <t>EMI_per_building.kgCO2.FR.Ser.Bld.Thermal</t>
  </si>
  <si>
    <t>EMI_per_building.kgCO2.FR.Ser.Bld.Thermal.SH</t>
  </si>
  <si>
    <t>EMI_per_building.kgCO2.FR.Ser.Bld.Thermal.SH.Solids.Solids</t>
  </si>
  <si>
    <t>EMI_per_building.kgCO2.FR.Ser.Bld.Thermal.SH.LPG.LPG</t>
  </si>
  <si>
    <t>EMI_per_building.kgCO2.FR.Ser.Bld.Thermal.SH.Oil.Oil_LiqBio</t>
  </si>
  <si>
    <t>EMI_per_building.kgCO2.FR.Ser.Bld.Thermal.SH.GasHP.NG_Biogas</t>
  </si>
  <si>
    <t>EMI_per_building.kgCO2.FR.Ser.Bld.Thermal.SH.GasTH.NG_Biogas</t>
  </si>
  <si>
    <t>EMI_per_building.kgCO2.FR.Ser.Bld.Thermal.SH.Biomass.Biomass_Waste</t>
  </si>
  <si>
    <t>EMI_per_building.kgCO2.FR.Ser.Bld.Thermal.SH.Geo.Geo</t>
  </si>
  <si>
    <t>EMI_per_building.kgCO2.FR.Ser.Bld.Thermal.SH.DistrHeat.Steam_Distr</t>
  </si>
  <si>
    <t>EMI_per_building.kgCO2.FR.Ser.Bld.Thermal.SH.AdvElc.Elec</t>
  </si>
  <si>
    <t>EMI_per_building.kgCO2.FR.Ser.Bld.Thermal.SH.ConvElc.Elec</t>
  </si>
  <si>
    <t>EMI_per_building.kgCO2.FR.Ser.Bld.Thermal.SH.TotalCirculation.Elec</t>
  </si>
  <si>
    <t>EMI_per_building.kgCO2.FR.Ser.Bld.Thermal.SC</t>
  </si>
  <si>
    <t>EMI_per_building.kgCO2.FR.Ser.Bld.Thermal.SC.GasHP.NG_Biogas</t>
  </si>
  <si>
    <t>EMI_per_building.kgCO2.FR.Ser.Bld.Thermal.SC.AC.Elec</t>
  </si>
  <si>
    <t>EMI_per_building.kgCO2.FR.Ser.Bld.Thermal.HW</t>
  </si>
  <si>
    <t>EMI_per_building.kgCO2.FR.Ser.Bld.Thermal.HW.Solids.Solids</t>
  </si>
  <si>
    <t>EMI_per_building.kgCO2.FR.Ser.Bld.Thermal.HW.LPG.LPG</t>
  </si>
  <si>
    <t>EMI_per_building.kgCO2.FR.Ser.Bld.Thermal.HW.Oil.Oil_LiqBio</t>
  </si>
  <si>
    <t>EMI_per_building.kgCO2.FR.Ser.Bld.Thermal.HW.Gas.NG_Biogas</t>
  </si>
  <si>
    <t>EMI_per_building.kgCO2.FR.Ser.Bld.Thermal.HW.Biomass.Biomass_Waste</t>
  </si>
  <si>
    <t>EMI_per_building.kgCO2.FR.Ser.Bld.Thermal.HW.DistrHeat.Steam_Distr</t>
  </si>
  <si>
    <t>EMI_per_building.kgCO2.FR.Ser.Bld.Thermal.HW.Elc.Elec</t>
  </si>
  <si>
    <t>EMI_per_building.kgCO2.FR.Ser.Bld.Thermal.HW.TotalSolar.Solar</t>
  </si>
  <si>
    <t>EMI_per_building.kgCO2.FR.Ser.Bld.Thermal.CA</t>
  </si>
  <si>
    <t>EMI_per_building.kgCO2.FR.Ser.Bld.Thermal.CA.LPG</t>
  </si>
  <si>
    <t>EMI_per_building.kgCO2.FR.Ser.Bld.Thermal.CA.Gas.NG_Biogas</t>
  </si>
  <si>
    <t>EMI_per_building.kgCO2.FR.Ser.Bld.Thermal.CA.Biomass.Biomass_Waste</t>
  </si>
  <si>
    <t>EMI_per_building.kgCO2.FR.Ser.Bld.Thermal.CA.Elc.Elec</t>
  </si>
  <si>
    <t>FR - Final energy consumption per useful surface area</t>
  </si>
  <si>
    <t>FEC_per_sqm.kWh.FR.Ser.Bld.Thermal</t>
  </si>
  <si>
    <t>FEC_per_sqm.kWh.FR.Ser.Bld.Thermal.SH</t>
  </si>
  <si>
    <t>FEC_per_sqm.kWh.FR.Ser.Bld.Thermal.SH.Solids.Solids</t>
  </si>
  <si>
    <t>FEC_per_sqm.kWh.FR.Ser.Bld.Thermal.SH.LPG.LPG</t>
  </si>
  <si>
    <t>FEC_per_sqm.kWh.FR.Ser.Bld.Thermal.SH.Oil.Oil_LiqBio</t>
  </si>
  <si>
    <t>FEC_per_sqm.kWh.FR.Ser.Bld.Thermal.SH.GasHP.NG_Biogas</t>
  </si>
  <si>
    <t>FEC_per_sqm.kWh.FR.Ser.Bld.Thermal.SH.GasTH.NG_Biogas</t>
  </si>
  <si>
    <t>FEC_per_sqm.kWh.FR.Ser.Bld.Thermal.SH.Biomass.Biomass_Waste</t>
  </si>
  <si>
    <t>FEC_per_sqm.kWh.FR.Ser.Bld.Thermal.SH.Geo.Geo</t>
  </si>
  <si>
    <t>FEC_per_sqm.kWh.FR.Ser.Bld.Thermal.SH.DistrHeat.Steam_Distr</t>
  </si>
  <si>
    <t>FEC_per_sqm.kWh.FR.Ser.Bld.Thermal.SH.AdvElc.Elec</t>
  </si>
  <si>
    <t>FEC_per_sqm.kWh.FR.Ser.Bld.Thermal.SH.ConvElc.Elec</t>
  </si>
  <si>
    <t>FEC_per_sqm.kWh.FR.Ser.Bld.Thermal.SH.TotalCirculation.Elec</t>
  </si>
  <si>
    <t>FEC_per_sqm.kWh.FR.Ser.Bld.Thermal.SC</t>
  </si>
  <si>
    <t>FEC_per_sqm.kWh.FR.Ser.Bld.Thermal.SC.GasHP.NG_Biogas</t>
  </si>
  <si>
    <t>FEC_per_sqm.kWh.FR.Ser.Bld.Thermal.SC.AC.Elec</t>
  </si>
  <si>
    <t>FEC_per_sqm.kWh.FR.Ser.Bld.Thermal.HW</t>
  </si>
  <si>
    <t>FEC_per_sqm.kWh.FR.Ser.Bld.Thermal.HW.Solids.Solids</t>
  </si>
  <si>
    <t>FEC_per_sqm.kWh.FR.Ser.Bld.Thermal.HW.LPG.LPG</t>
  </si>
  <si>
    <t>FEC_per_sqm.kWh.FR.Ser.Bld.Thermal.HW.Oil.Oil_LiqBio</t>
  </si>
  <si>
    <t>FEC_per_sqm.kWh.FR.Ser.Bld.Thermal.HW.Gas.NG_Biogas</t>
  </si>
  <si>
    <t>FEC_per_sqm.kWh.FR.Ser.Bld.Thermal.HW.Biomass.Biomass_Waste</t>
  </si>
  <si>
    <t>FEC_per_sqm.kWh.FR.Ser.Bld.Thermal.HW.DistrHeat.Steam_Distr</t>
  </si>
  <si>
    <t>FEC_per_sqm.kWh.FR.Ser.Bld.Thermal.HW.Elc.Elec</t>
  </si>
  <si>
    <t>FEC_per_sqm.kWh.FR.Ser.Bld.Thermal.HW.TotalSolar.Solar</t>
  </si>
  <si>
    <t>FEC_per_sqm.kWh.FR.Ser.Bld.Thermal.CA</t>
  </si>
  <si>
    <t>FEC_per_sqm.kWh.FR.Ser.Bld.Thermal.CA.LPG</t>
  </si>
  <si>
    <t>FEC_per_sqm.kWh.FR.Ser.Bld.Thermal.CA.Gas.NG_Biogas</t>
  </si>
  <si>
    <t>FEC_per_sqm.kWh.FR.Ser.Bld.Thermal.CA.Biomass.Biomass_Waste</t>
  </si>
  <si>
    <t>FEC_per_sqm.kWh.FR.Ser.Bld.Thermal.CA.Elc.Elec</t>
  </si>
  <si>
    <t>FR - Thermal energy service per useful surface area</t>
  </si>
  <si>
    <t>TES_per_sqm.kWh.FR.Ser.Bld.Thermal</t>
  </si>
  <si>
    <t>TES_per_sqm.kWh.FR.Ser.Bld.Thermal.SH</t>
  </si>
  <si>
    <t>TES_per_sqm.kWh.FR.Ser.Bld.Thermal.SH.Solids.Solids</t>
  </si>
  <si>
    <t>TES_per_sqm.kWh.FR.Ser.Bld.Thermal.SH.LPG.LPG</t>
  </si>
  <si>
    <t>TES_per_sqm.kWh.FR.Ser.Bld.Thermal.SH.Oil.Oil_LiqBio</t>
  </si>
  <si>
    <t>TES_per_sqm.kWh.FR.Ser.Bld.Thermal.SH.GasHP.NG_Biogas</t>
  </si>
  <si>
    <t>TES_per_sqm.kWh.FR.Ser.Bld.Thermal.SH.GasTH.NG_Biogas</t>
  </si>
  <si>
    <t>TES_per_sqm.kWh.FR.Ser.Bld.Thermal.SH.Biomass.Biomass_Waste</t>
  </si>
  <si>
    <t>TES_per_sqm.kWh.FR.Ser.Bld.Thermal.SH.Geo.Geo</t>
  </si>
  <si>
    <t>TES_per_sqm.kWh.FR.Ser.Bld.Thermal.SH.DistrHeat.Steam_Distr</t>
  </si>
  <si>
    <t>TES_per_sqm.kWh.FR.Ser.Bld.Thermal.SH.AdvElc.Elec</t>
  </si>
  <si>
    <t>TES_per_sqm.kWh.FR.Ser.Bld.Thermal.SH.ConvElc.Elec</t>
  </si>
  <si>
    <t>TES_per_sqm.kWh.FR.Ser.Bld.Thermal.SH.TotalCirculation.Elec</t>
  </si>
  <si>
    <t>TES_per_sqm.kWh.FR.Ser.Bld.Thermal.SC</t>
  </si>
  <si>
    <t>TES_per_sqm.kWh.FR.Ser.Bld.Thermal.SC.GasHP.NG_Biogas</t>
  </si>
  <si>
    <t>TES_per_sqm.kWh.FR.Ser.Bld.Thermal.SC.AC.Elec</t>
  </si>
  <si>
    <t>TES_per_sqm.kWh.FR.Ser.Bld.Thermal.HW</t>
  </si>
  <si>
    <t>TES_per_sqm.kWh.FR.Ser.Bld.Thermal.HW.Solids.Solids</t>
  </si>
  <si>
    <t>TES_per_sqm.kWh.FR.Ser.Bld.Thermal.HW.LPG.LPG</t>
  </si>
  <si>
    <t>TES_per_sqm.kWh.FR.Ser.Bld.Thermal.HW.Oil.Oil_LiqBio</t>
  </si>
  <si>
    <t>TES_per_sqm.kWh.FR.Ser.Bld.Thermal.HW.Gas.NG_Biogas</t>
  </si>
  <si>
    <t>TES_per_sqm.kWh.FR.Ser.Bld.Thermal.HW.Biomass.Biomass_Waste</t>
  </si>
  <si>
    <t>TES_per_sqm.kWh.FR.Ser.Bld.Thermal.HW.DistrHeat.Steam_Distr</t>
  </si>
  <si>
    <t>TES_per_sqm.kWh.FR.Ser.Bld.Thermal.HW.Elc.Elec</t>
  </si>
  <si>
    <t>TES_per_sqm.kWh.FR.Ser.Bld.Thermal.HW.TotalSolar.Solar</t>
  </si>
  <si>
    <t>TES_per_sqm.kWh.FR.Ser.Bld.Thermal.CA</t>
  </si>
  <si>
    <t>TES_per_sqm.kWh.FR.Ser.Bld.Thermal.CA.LPG</t>
  </si>
  <si>
    <t>TES_per_sqm.kWh.FR.Ser.Bld.Thermal.CA.Gas.NG_Biogas</t>
  </si>
  <si>
    <t>TES_per_sqm.kWh.FR.Ser.Bld.Thermal.CA.Biomass.Biomass_Waste</t>
  </si>
  <si>
    <t>TES_per_sqm.kWh.FR.Ser.Bld.Thermal.CA.Elc.Elec</t>
  </si>
  <si>
    <t>FR - CO2 emissions per useful surface area</t>
  </si>
  <si>
    <t>EMI_per_sqm.kgCO2.FR.Ser.Bld.Thermal</t>
  </si>
  <si>
    <t>EMI_per_sqm.kgCO2.FR.Ser.Bld.Thermal.SH</t>
  </si>
  <si>
    <t>EMI_per_sqm.kgCO2.FR.Ser.Bld.Thermal.SH.Solids.Solids</t>
  </si>
  <si>
    <t>EMI_per_sqm.kgCO2.FR.Ser.Bld.Thermal.SH.LPG.LPG</t>
  </si>
  <si>
    <t>EMI_per_sqm.kgCO2.FR.Ser.Bld.Thermal.SH.Oil.Oil_LiqBio</t>
  </si>
  <si>
    <t>EMI_per_sqm.kgCO2.FR.Ser.Bld.Thermal.SH.GasHP.NG_Biogas</t>
  </si>
  <si>
    <t>EMI_per_sqm.kgCO2.FR.Ser.Bld.Thermal.SH.GasTH.NG_Biogas</t>
  </si>
  <si>
    <t>EMI_per_sqm.kgCO2.FR.Ser.Bld.Thermal.SH.Biomass.Biomass_Waste</t>
  </si>
  <si>
    <t>EMI_per_sqm.kgCO2.FR.Ser.Bld.Thermal.SH.Geo.Geo</t>
  </si>
  <si>
    <t>EMI_per_sqm.kgCO2.FR.Ser.Bld.Thermal.SH.DistrHeat.Steam_Distr</t>
  </si>
  <si>
    <t>EMI_per_sqm.kgCO2.FR.Ser.Bld.Thermal.SH.AdvElc.Elec</t>
  </si>
  <si>
    <t>EMI_per_sqm.kgCO2.FR.Ser.Bld.Thermal.SH.ConvElc.Elec</t>
  </si>
  <si>
    <t>EMI_per_sqm.kgCO2.FR.Ser.Bld.Thermal.SH.TotalCirculation.Elec</t>
  </si>
  <si>
    <t>EMI_per_sqm.kgCO2.FR.Ser.Bld.Thermal.SC</t>
  </si>
  <si>
    <t>EMI_per_sqm.kgCO2.FR.Ser.Bld.Thermal.SC.GasHP.NG_Biogas</t>
  </si>
  <si>
    <t>EMI_per_sqm.kgCO2.FR.Ser.Bld.Thermal.SC.AC.Elec</t>
  </si>
  <si>
    <t>EMI_per_sqm.kgCO2.FR.Ser.Bld.Thermal.HW</t>
  </si>
  <si>
    <t>EMI_per_sqm.kgCO2.FR.Ser.Bld.Thermal.HW.Solids.Solids</t>
  </si>
  <si>
    <t>EMI_per_sqm.kgCO2.FR.Ser.Bld.Thermal.HW.LPG.LPG</t>
  </si>
  <si>
    <t>EMI_per_sqm.kgCO2.FR.Ser.Bld.Thermal.HW.Oil.Oil_LiqBio</t>
  </si>
  <si>
    <t>EMI_per_sqm.kgCO2.FR.Ser.Bld.Thermal.HW.Gas.NG_Biogas</t>
  </si>
  <si>
    <t>EMI_per_sqm.kgCO2.FR.Ser.Bld.Thermal.HW.Biomass.Biomass_Waste</t>
  </si>
  <si>
    <t>EMI_per_sqm.kgCO2.FR.Ser.Bld.Thermal.HW.DistrHeat.Steam_Distr</t>
  </si>
  <si>
    <t>EMI_per_sqm.kgCO2.FR.Ser.Bld.Thermal.HW.Elc.Elec</t>
  </si>
  <si>
    <t>EMI_per_sqm.kgCO2.FR.Ser.Bld.Thermal.HW.TotalSolar.Solar</t>
  </si>
  <si>
    <t>EMI_per_sqm.kgCO2.FR.Ser.Bld.Thermal.CA</t>
  </si>
  <si>
    <t>EMI_per_sqm.kgCO2.FR.Ser.Bld.Thermal.CA.LPG</t>
  </si>
  <si>
    <t>EMI_per_sqm.kgCO2.FR.Ser.Bld.Thermal.CA.Gas.NG_Biogas</t>
  </si>
  <si>
    <t>EMI_per_sqm.kgCO2.FR.Ser.Bld.Thermal.CA.Biomass.Biomass_Waste</t>
  </si>
  <si>
    <t>EMI_per_sqm.kgCO2.FR.Ser.Bld.Thermal.CA.Elc.Elec</t>
  </si>
  <si>
    <t>FR - Number of new and renovated buildings</t>
  </si>
  <si>
    <t>NUM.number.FR.Ser.BldNew.Thermal</t>
  </si>
  <si>
    <t>NUM.number.FR.Ser.BldNew.Thermal.SH</t>
  </si>
  <si>
    <t>NUM.number.FR.Ser.BldNew.Thermal.SH.Solids</t>
  </si>
  <si>
    <t>NUM.number.FR.Ser.BldNew.Thermal.SH.LPG</t>
  </si>
  <si>
    <t>NUM.number.FR.Ser.BldNew.Thermal.SH.Oil</t>
  </si>
  <si>
    <t>NUM.number.FR.Ser.BldNew.Thermal.SH.GasHP</t>
  </si>
  <si>
    <t>NUM.number.FR.Ser.BldNew.Thermal.SH.GasTH</t>
  </si>
  <si>
    <t>NUM.number.FR.Ser.BldNew.Thermal.SH.Biomass</t>
  </si>
  <si>
    <t>NUM.number.FR.Ser.BldNew.Thermal.SH.Geo</t>
  </si>
  <si>
    <t>NUM.number.FR.Ser.BldNew.Thermal.SH.DistrHeat</t>
  </si>
  <si>
    <t>NUM.number.FR.Ser.BldNew.Thermal.SH.AdvElc</t>
  </si>
  <si>
    <t>NUM.number.FR.Ser.BldNew.Thermal.SH.ConvElc</t>
  </si>
  <si>
    <t>NUM.number.FR.Ser.BldNew.Thermal.SC</t>
  </si>
  <si>
    <t>NUM.number.FR.Ser.BldNew.Thermal.SC.GasHP</t>
  </si>
  <si>
    <t>NUM.number.FR.Ser.BldNew.Thermal.SC.AC</t>
  </si>
  <si>
    <t>NUM.number.FR.Ser.BldNew.Thermal.HW</t>
  </si>
  <si>
    <t>NUM.number.FR.Ser.BldNew.Thermal.HW.Solids</t>
  </si>
  <si>
    <t>NUM.number.FR.Ser.BldNew.Thermal.HW.LPG</t>
  </si>
  <si>
    <t>NUM.number.FR.Ser.BldNew.Thermal.HW.Oil</t>
  </si>
  <si>
    <t>NUM.number.FR.Ser.BldNew.Thermal.HW.Gas</t>
  </si>
  <si>
    <t>NUM.number.FR.Ser.BldNew.Thermal.HW.Biomass</t>
  </si>
  <si>
    <t>NUM.number.FR.Ser.BldNew.Thermal.HW.DistrHeat</t>
  </si>
  <si>
    <t>NUM.number.FR.Ser.BldNew.Thermal.HW.Elc</t>
  </si>
  <si>
    <t>NUM.number.FR.Ser.BldNew.Thermal.HW.Solar</t>
  </si>
  <si>
    <t>NUM.number.FR.Ser.BldNew.Thermal.CA</t>
  </si>
  <si>
    <t>NUM.number.FR.Ser.BldNew.Thermal.CA.LPG</t>
  </si>
  <si>
    <t>NUM.number.FR.Ser.BldNew.Thermal.CA.Gas</t>
  </si>
  <si>
    <t>NUM.number.FR.Ser.BldNew.Thermal.CA.Biomass</t>
  </si>
  <si>
    <t>NUM.number.FR.Ser.BldNew.Thermal.CA.Elc</t>
  </si>
  <si>
    <t>FR - Final energy consumption in new and renovated buildings</t>
  </si>
  <si>
    <t>FEC.ktoe.FR.Ser.BldNew.Thermal</t>
  </si>
  <si>
    <t>FEC.ktoe.FR.Ser.BldNew.Thermal.SH</t>
  </si>
  <si>
    <t>FEC.ktoe.FR.Ser.BldNew.Thermal.SH.Solids.Solids</t>
  </si>
  <si>
    <t>FEC.ktoe.FR.Ser.BldNew.Thermal.SH.LPG.LPG</t>
  </si>
  <si>
    <t>FEC.ktoe.FR.Ser.BldNew.Thermal.SH.Oil.Oil_LiqBio</t>
  </si>
  <si>
    <t>FEC.ktoe.FR.Ser.BldNew.Thermal.SH.GasHP.NG_Biogas</t>
  </si>
  <si>
    <t>FEC.ktoe.FR.Ser.BldNew.Thermal.SH.GasTH.NG_Biogas</t>
  </si>
  <si>
    <t>FEC.ktoe.FR.Ser.BldNew.Thermal.SH.Biomass.Biomass_Waste</t>
  </si>
  <si>
    <t>FEC.ktoe.FR.Ser.BldNew.Thermal.SH.Geo.Geo</t>
  </si>
  <si>
    <t>FEC.ktoe.FR.Ser.BldNew.Thermal.SH.DistrHeat.Steam_Distr</t>
  </si>
  <si>
    <t>FEC.ktoe.FR.Ser.BldNew.Thermal.SH.AdvElc.Elec</t>
  </si>
  <si>
    <t>FEC.ktoe.FR.Ser.BldNew.Thermal.SH.ConvElc.Elec</t>
  </si>
  <si>
    <t>FEC.ktoe.FR.Ser.BldNew.Thermal.SH.TotalCirculation.Elec</t>
  </si>
  <si>
    <t>FEC.ktoe.FR.Ser.BldNew.Thermal.SC</t>
  </si>
  <si>
    <t>FEC.ktoe.FR.Ser.BldNew.Thermal.SC.GasHP.NG_Biogas</t>
  </si>
  <si>
    <t>FEC.ktoe.FR.Ser.BldNew.Thermal.SC.AC.Elec</t>
  </si>
  <si>
    <t>FEC.ktoe.FR.Ser.BldNew.Thermal.HW</t>
  </si>
  <si>
    <t>FEC.ktoe.FR.Ser.BldNew.Thermal.HW.Solids.Solids</t>
  </si>
  <si>
    <t>FEC.ktoe.FR.Ser.BldNew.Thermal.HW.LPG.LPG</t>
  </si>
  <si>
    <t>FEC.ktoe.FR.Ser.BldNew.Thermal.HW.Oil.Oil_LiqBio</t>
  </si>
  <si>
    <t>FEC.ktoe.FR.Ser.BldNew.Thermal.HW.Gas.NG_Biogas</t>
  </si>
  <si>
    <t>FEC.ktoe.FR.Ser.BldNew.Thermal.HW.Biomass.Biomass_Waste</t>
  </si>
  <si>
    <t>FEC.ktoe.FR.Ser.BldNew.Thermal.HW.DistrHeat.Steam_Distr</t>
  </si>
  <si>
    <t>FEC.ktoe.FR.Ser.BldNew.Thermal.HW.Elc.Elec</t>
  </si>
  <si>
    <t>FEC.ktoe.FR.Ser.BldNew.Thermal.HW.TotalSolar.Solar</t>
  </si>
  <si>
    <t>FEC.ktoe.FR.Ser.BldNew.Thermal.CA</t>
  </si>
  <si>
    <t>FEC.ktoe.FR.Ser.BldNew.Thermal.CA.LPG</t>
  </si>
  <si>
    <t>FEC.ktoe.FR.Ser.BldNew.Thermal.CA.Gas.NG_Biogas</t>
  </si>
  <si>
    <t>FEC.ktoe.FR.Ser.BldNew.Thermal.CA.Biomass.Biomass_Waste</t>
  </si>
  <si>
    <t>FEC.ktoe.FR.Ser.BldNew.Thermal.CA.Elc.Elec</t>
  </si>
  <si>
    <t>FR - Thermal energy service in new and renovated buildings</t>
  </si>
  <si>
    <t>TES.ktoe.FR.Ser.BldNew.Thermal</t>
  </si>
  <si>
    <t>TES.ktoe.FR.Ser.BldNew.Thermal.SH</t>
  </si>
  <si>
    <t>TES.ktoe.FR.Ser.BldNew.Thermal.SH.Solids.Solids</t>
  </si>
  <si>
    <t>TES.ktoe.FR.Ser.BldNew.Thermal.SH.LPG.LPG</t>
  </si>
  <si>
    <t>TES.ktoe.FR.Ser.BldNew.Thermal.SH.Oil.Oil_LiqBio</t>
  </si>
  <si>
    <t>TES.ktoe.FR.Ser.BldNew.Thermal.SH.GasHP.NG_Biogas</t>
  </si>
  <si>
    <t>TES.ktoe.FR.Ser.BldNew.Thermal.SH.GasTH.NG_Biogas</t>
  </si>
  <si>
    <t>TES.ktoe.FR.Ser.BldNew.Thermal.SH.Biomass.Biomass_Waste</t>
  </si>
  <si>
    <t>TES.ktoe.FR.Ser.BldNew.Thermal.SH.Geo.Geo</t>
  </si>
  <si>
    <t>TES.ktoe.FR.Ser.BldNew.Thermal.SH.DistrHeat.Steam_Distr</t>
  </si>
  <si>
    <t>TES.ktoe.FR.Ser.BldNew.Thermal.SH.AdvElc.Elec</t>
  </si>
  <si>
    <t>TES.ktoe.FR.Ser.BldNew.Thermal.SH.ConvElc.Elec</t>
  </si>
  <si>
    <t>TES.ktoe.FR.Ser.BldNew.Thermal.SH.TotalCirculation.Elec</t>
  </si>
  <si>
    <t>TES.ktoe.FR.Ser.BldNew.Thermal.SC</t>
  </si>
  <si>
    <t>TES.ktoe.FR.Ser.BldNew.Thermal.SC.GasHP.NG_Biogas</t>
  </si>
  <si>
    <t>TES.ktoe.FR.Ser.BldNew.Thermal.SC.AC.Elec</t>
  </si>
  <si>
    <t>TES.ktoe.FR.Ser.BldNew.Thermal.HW</t>
  </si>
  <si>
    <t>TES.ktoe.FR.Ser.BldNew.Thermal.HW.Solids.Solids</t>
  </si>
  <si>
    <t>TES.ktoe.FR.Ser.BldNew.Thermal.HW.LPG.LPG</t>
  </si>
  <si>
    <t>TES.ktoe.FR.Ser.BldNew.Thermal.HW.Oil.Oil_LiqBio</t>
  </si>
  <si>
    <t>TES.ktoe.FR.Ser.BldNew.Thermal.HW.Gas.NG_Biogas</t>
  </si>
  <si>
    <t>TES.ktoe.FR.Ser.BldNew.Thermal.HW.Biomass.Biomass_Waste</t>
  </si>
  <si>
    <t>TES.ktoe.FR.Ser.BldNew.Thermal.HW.DistrHeat.Steam_Distr</t>
  </si>
  <si>
    <t>TES.ktoe.FR.Ser.BldNew.Thermal.HW.Elc.Elec</t>
  </si>
  <si>
    <t>TES.ktoe.FR.Ser.BldNew.Thermal.HW.TotalSolar.Solar</t>
  </si>
  <si>
    <t>TES.ktoe.FR.Ser.BldNew.Thermal.CA</t>
  </si>
  <si>
    <t>TES.ktoe.FR.Ser.BldNew.Thermal.CA.LPG</t>
  </si>
  <si>
    <t>TES.ktoe.FR.Ser.BldNew.Thermal.CA.Gas.NG_Biogas</t>
  </si>
  <si>
    <t>TES.ktoe.FR.Ser.BldNew.Thermal.CA.Biomass.Biomass_Waste</t>
  </si>
  <si>
    <t>TES.ktoe.FR.Ser.BldNew.Thermal.CA.Elc.Elec</t>
  </si>
  <si>
    <t>FR - System efficiency indicator of new and renovated buildings</t>
  </si>
  <si>
    <t>Eff.ratio.FR.Ser.BldNew.Thermal</t>
  </si>
  <si>
    <t>Eff.ratio.FR.Ser.BldNew.Thermal.SH</t>
  </si>
  <si>
    <t>Eff.ratio.FR.Ser.BldNew.Thermal.SH.Solids.Solids</t>
  </si>
  <si>
    <t>Eff.ratio.FR.Ser.BldNew.Thermal.SH.LPG.LPG</t>
  </si>
  <si>
    <t>Eff.ratio.FR.Ser.BldNew.Thermal.SH.Oil.Oil_LiqBio</t>
  </si>
  <si>
    <t>Eff.ratio.FR.Ser.BldNew.Thermal.SH.GasHP.NG_Biogas</t>
  </si>
  <si>
    <t>Eff.ratio.FR.Ser.BldNew.Thermal.SH.GasTH.NG_Biogas</t>
  </si>
  <si>
    <t>Eff.ratio.FR.Ser.BldNew.Thermal.SH.Biomass.Biomass_Waste</t>
  </si>
  <si>
    <t>Eff.ratio.FR.Ser.BldNew.Thermal.SH.Geo.Geo</t>
  </si>
  <si>
    <t>Eff.ratio.FR.Ser.BldNew.Thermal.SH.DistrHeat.Steam_Distr</t>
  </si>
  <si>
    <t>Eff.ratio.FR.Ser.BldNew.Thermal.SH.AdvElc.Elec</t>
  </si>
  <si>
    <t>Eff.ratio.FR.Ser.BldNew.Thermal.SH.ConvElc.Elec</t>
  </si>
  <si>
    <t>Eff.ratio.FR.Ser.BldNew.Thermal.SH.TotalCirculation.Elec</t>
  </si>
  <si>
    <t>Eff.ratio.FR.Ser.BldNew.Thermal.SC</t>
  </si>
  <si>
    <t>Eff.ratio.FR.Ser.BldNew.Thermal.SC.GasHP.NG_Biogas</t>
  </si>
  <si>
    <t>Eff.ratio.FR.Ser.BldNew.Thermal.SC.AC.Elec</t>
  </si>
  <si>
    <t>Eff.ratio.FR.Ser.BldNew.Thermal.HW</t>
  </si>
  <si>
    <t>Eff.ratio.FR.Ser.BldNew.Thermal.HW.Solids.Solids</t>
  </si>
  <si>
    <t>Eff.ratio.FR.Ser.BldNew.Thermal.HW.LPG.LPG</t>
  </si>
  <si>
    <t>Eff.ratio.FR.Ser.BldNew.Thermal.HW.Oil.Oil_LiqBio</t>
  </si>
  <si>
    <t>Eff.ratio.FR.Ser.BldNew.Thermal.HW.Gas.NG_Biogas</t>
  </si>
  <si>
    <t>Eff.ratio.FR.Ser.BldNew.Thermal.HW.Biomass.Biomass_Waste</t>
  </si>
  <si>
    <t>Eff.ratio.FR.Ser.BldNew.Thermal.HW.DistrHeat.Steam_Distr</t>
  </si>
  <si>
    <t>Eff.ratio.FR.Ser.BldNew.Thermal.HW.Elc.Elec</t>
  </si>
  <si>
    <t>Eff.ratio.FR.Ser.BldNew.Thermal.HW.TotalSolar.Solar</t>
  </si>
  <si>
    <t>Eff.ratio.FR.Ser.BldNew.Thermal.CA</t>
  </si>
  <si>
    <t>Eff.ratio.FR.Ser.BldNew.Thermal.CA.LPG</t>
  </si>
  <si>
    <t>Eff.ratio.FR.Ser.BldNew.Thermal.CA.Gas.NG_Biogas</t>
  </si>
  <si>
    <t>Eff.ratio.FR.Ser.BldNew.Thermal.CA.Biomass.Biomass_Waste</t>
  </si>
  <si>
    <t>Eff.ratio.FR.Ser.BldNew.Thermal.CA.Elc.Elec</t>
  </si>
  <si>
    <t>FR - CO2 emissions in new and renovated buildings</t>
  </si>
  <si>
    <t>EMI.ktCO2.FR.Ser.BldNew.Thermal</t>
  </si>
  <si>
    <t>EMI.ktCO2.FR.Ser.BldNew.Thermal.SH</t>
  </si>
  <si>
    <t>EMI.ktCO2.FR.Ser.BldNew.Thermal.SH.Solids.Solids</t>
  </si>
  <si>
    <t>EMI.ktCO2.FR.Ser.BldNew.Thermal.SH.LPG.LPG</t>
  </si>
  <si>
    <t>EMI.ktCO2.FR.Ser.BldNew.Thermal.SH.Oil.Oil_LiqBio</t>
  </si>
  <si>
    <t>EMI.ktCO2.FR.Ser.BldNew.Thermal.SH.GasHP.NG_Biogas</t>
  </si>
  <si>
    <t>EMI.ktCO2.FR.Ser.BldNew.Thermal.SH.GasTH.NG_Biogas</t>
  </si>
  <si>
    <t>EMI.ktCO2.FR.Ser.BldNew.Thermal.SH.Biomass.Biomass_Waste</t>
  </si>
  <si>
    <t>EMI.ktCO2.FR.Ser.BldNew.Thermal.SH.Geo.Geo</t>
  </si>
  <si>
    <t>EMI.ktCO2.FR.Ser.BldNew.Thermal.SH.DistrHeat.Steam_Distr</t>
  </si>
  <si>
    <t>EMI.ktCO2.FR.Ser.BldNew.Thermal.SH.AdvElc.Elec</t>
  </si>
  <si>
    <t>EMI.ktCO2.FR.Ser.BldNew.Thermal.SH.ConvElc.Elec</t>
  </si>
  <si>
    <t>EMI.ktCO2.FR.Ser.BldNew.Thermal.SH.TotalCirculation.Elec</t>
  </si>
  <si>
    <t>EMI.ktCO2.FR.Ser.BldNew.Thermal.SC</t>
  </si>
  <si>
    <t>EMI.ktCO2.FR.Ser.BldNew.Thermal.SC.GasHP.NG_Biogas</t>
  </si>
  <si>
    <t>EMI.ktCO2.FR.Ser.BldNew.Thermal.SC.AC.Elec</t>
  </si>
  <si>
    <t>EMI.ktCO2.FR.Ser.BldNew.Thermal.HW</t>
  </si>
  <si>
    <t>EMI.ktCO2.FR.Ser.BldNew.Thermal.HW.Solids.Solids</t>
  </si>
  <si>
    <t>EMI.ktCO2.FR.Ser.BldNew.Thermal.HW.LPG.LPG</t>
  </si>
  <si>
    <t>EMI.ktCO2.FR.Ser.BldNew.Thermal.HW.Oil.Oil_LiqBio</t>
  </si>
  <si>
    <t>EMI.ktCO2.FR.Ser.BldNew.Thermal.HW.Gas.NG_Biogas</t>
  </si>
  <si>
    <t>EMI.ktCO2.FR.Ser.BldNew.Thermal.HW.Biomass.Biomass_Waste</t>
  </si>
  <si>
    <t>EMI.ktCO2.FR.Ser.BldNew.Thermal.HW.DistrHeat.Steam_Distr</t>
  </si>
  <si>
    <t>EMI.ktCO2.FR.Ser.BldNew.Thermal.HW.Elc.Elec</t>
  </si>
  <si>
    <t>EMI.ktCO2.FR.Ser.BldNew.Thermal.HW.TotalSolar.Solar</t>
  </si>
  <si>
    <t>EMI.ktCO2.FR.Ser.BldNew.Thermal.CA</t>
  </si>
  <si>
    <t>EMI.ktCO2.FR.Ser.BldNew.Thermal.CA.LPG</t>
  </si>
  <si>
    <t>EMI.ktCO2.FR.Ser.BldNew.Thermal.CA.Gas.NG_Biogas</t>
  </si>
  <si>
    <t>EMI.ktCO2.FR.Ser.BldNew.Thermal.CA.Biomass.Biomass_Waste</t>
  </si>
  <si>
    <t>EMI.ktCO2.FR.Ser.BldNew.Thermal.CA.Elc.Elec</t>
  </si>
  <si>
    <t>FR - Final energy consumption of new and renovated buildings (per building)</t>
  </si>
  <si>
    <t>FEC_per_building.kWh.FR.Ser.BldNew.Thermal</t>
  </si>
  <si>
    <t>FEC_per_building.kWh.FR.Ser.BldNew.Thermal.SH</t>
  </si>
  <si>
    <t>FEC_per_building.kWh.FR.Ser.BldNew.Thermal.SH.Solids.Solids</t>
  </si>
  <si>
    <t>FEC_per_building.kWh.FR.Ser.BldNew.Thermal.SH.LPG.LPG</t>
  </si>
  <si>
    <t>FEC_per_building.kWh.FR.Ser.BldNew.Thermal.SH.Oil.Oil_LiqBio</t>
  </si>
  <si>
    <t>FEC_per_building.kWh.FR.Ser.BldNew.Thermal.SH.GasHP.NG_Biogas</t>
  </si>
  <si>
    <t>FEC_per_building.kWh.FR.Ser.BldNew.Thermal.SH.GasTH.NG_Biogas</t>
  </si>
  <si>
    <t>FEC_per_building.kWh.FR.Ser.BldNew.Thermal.SH.Biomass.Biomass_Waste</t>
  </si>
  <si>
    <t>FEC_per_building.kWh.FR.Ser.BldNew.Thermal.SH.Geo.Geo</t>
  </si>
  <si>
    <t>FEC_per_building.kWh.FR.Ser.BldNew.Thermal.SH.DistrHeat.Steam_Distr</t>
  </si>
  <si>
    <t>FEC_per_building.kWh.FR.Ser.BldNew.Thermal.SH.AdvElc.Elec</t>
  </si>
  <si>
    <t>FEC_per_building.kWh.FR.Ser.BldNew.Thermal.SH.ConvElc.Elec</t>
  </si>
  <si>
    <t>FEC_per_building.kWh.FR.Ser.BldNew.Thermal.SH.TotalCirculation.Elec</t>
  </si>
  <si>
    <t>FEC_per_building.kWh.FR.Ser.BldNew.Thermal.SC</t>
  </si>
  <si>
    <t>FEC_per_building.kWh.FR.Ser.BldNew.Thermal.SC.GasHP.NG_Biogas</t>
  </si>
  <si>
    <t>FEC_per_building.kWh.FR.Ser.BldNew.Thermal.SC.AC.Elec</t>
  </si>
  <si>
    <t>FEC_per_building.kWh.FR.Ser.BldNew.Thermal.HW</t>
  </si>
  <si>
    <t>FEC_per_building.kWh.FR.Ser.BldNew.Thermal.HW.Solids.Solids</t>
  </si>
  <si>
    <t>FEC_per_building.kWh.FR.Ser.BldNew.Thermal.HW.LPG.LPG</t>
  </si>
  <si>
    <t>FEC_per_building.kWh.FR.Ser.BldNew.Thermal.HW.Oil.Oil_LiqBio</t>
  </si>
  <si>
    <t>FEC_per_building.kWh.FR.Ser.BldNew.Thermal.HW.Gas.NG_Biogas</t>
  </si>
  <si>
    <t>FEC_per_building.kWh.FR.Ser.BldNew.Thermal.HW.Biomass.Biomass_Waste</t>
  </si>
  <si>
    <t>FEC_per_building.kWh.FR.Ser.BldNew.Thermal.HW.DistrHeat.Steam_Distr</t>
  </si>
  <si>
    <t>FEC_per_building.kWh.FR.Ser.BldNew.Thermal.HW.Elc.Elec</t>
  </si>
  <si>
    <t>FEC_per_building.kWh.FR.Ser.BldNew.Thermal.HW.TotalSolar.Solar</t>
  </si>
  <si>
    <t>FEC_per_building.kWh.FR.Ser.BldNew.Thermal.CA</t>
  </si>
  <si>
    <t>FEC_per_building.kWh.FR.Ser.BldNew.Thermal.CA.LPG</t>
  </si>
  <si>
    <t>FEC_per_building.kWh.FR.Ser.BldNew.Thermal.CA.Gas.NG_Biogas</t>
  </si>
  <si>
    <t>FEC_per_building.kWh.FR.Ser.BldNew.Thermal.CA.Biomass.Biomass_Waste</t>
  </si>
  <si>
    <t>FEC_per_building.kWh.FR.Ser.BldNew.Thermal.CA.Elc.Elec</t>
  </si>
  <si>
    <t>FR - Thermal energy service of new and renovated buildings (per building)</t>
  </si>
  <si>
    <t>TES_per_building.kWh.FR.Ser.BldNew.Thermal</t>
  </si>
  <si>
    <t>TES_per_building.kWh.FR.Ser.BldNew.Thermal.SH</t>
  </si>
  <si>
    <t>TES_per_building.kWh.FR.Ser.BldNew.Thermal.SH.Solids.Solids</t>
  </si>
  <si>
    <t>TES_per_building.kWh.FR.Ser.BldNew.Thermal.SH.LPG.LPG</t>
  </si>
  <si>
    <t>TES_per_building.kWh.FR.Ser.BldNew.Thermal.SH.Oil.Oil_LiqBio</t>
  </si>
  <si>
    <t>TES_per_building.kWh.FR.Ser.BldNew.Thermal.SH.GasHP.NG_Biogas</t>
  </si>
  <si>
    <t>TES_per_building.kWh.FR.Ser.BldNew.Thermal.SH.GasTH.NG_Biogas</t>
  </si>
  <si>
    <t>TES_per_building.kWh.FR.Ser.BldNew.Thermal.SH.Biomass.Biomass_Waste</t>
  </si>
  <si>
    <t>TES_per_building.kWh.FR.Ser.BldNew.Thermal.SH.Geo.Geo</t>
  </si>
  <si>
    <t>TES_per_building.kWh.FR.Ser.BldNew.Thermal.SH.DistrHeat.Steam_Distr</t>
  </si>
  <si>
    <t>TES_per_building.kWh.FR.Ser.BldNew.Thermal.SH.AdvElc.Elec</t>
  </si>
  <si>
    <t>TES_per_building.kWh.FR.Ser.BldNew.Thermal.SH.ConvElc.Elec</t>
  </si>
  <si>
    <t>TES_per_building.kWh.FR.Ser.BldNew.Thermal.SH.TotalCirculation.Elec</t>
  </si>
  <si>
    <t>TES_per_building.kWh.FR.Ser.BldNew.Thermal.SC</t>
  </si>
  <si>
    <t>TES_per_building.kWh.FR.Ser.BldNew.Thermal.SC.GasHP.NG_Biogas</t>
  </si>
  <si>
    <t>TES_per_building.kWh.FR.Ser.BldNew.Thermal.SC.AC.Elec</t>
  </si>
  <si>
    <t>TES_per_building.kWh.FR.Ser.BldNew.Thermal.HW</t>
  </si>
  <si>
    <t>TES_per_building.kWh.FR.Ser.BldNew.Thermal.HW.Solids.Solids</t>
  </si>
  <si>
    <t>TES_per_building.kWh.FR.Ser.BldNew.Thermal.HW.LPG.LPG</t>
  </si>
  <si>
    <t>TES_per_building.kWh.FR.Ser.BldNew.Thermal.HW.Oil.Oil_LiqBio</t>
  </si>
  <si>
    <t>TES_per_building.kWh.FR.Ser.BldNew.Thermal.HW.Gas.NG_Biogas</t>
  </si>
  <si>
    <t>TES_per_building.kWh.FR.Ser.BldNew.Thermal.HW.Biomass.Biomass_Waste</t>
  </si>
  <si>
    <t>TES_per_building.kWh.FR.Ser.BldNew.Thermal.HW.DistrHeat.Steam_Distr</t>
  </si>
  <si>
    <t>TES_per_building.kWh.FR.Ser.BldNew.Thermal.HW.Elc.Elec</t>
  </si>
  <si>
    <t>TES_per_building.kWh.FR.Ser.BldNew.Thermal.HW.TotalSolar.Solar</t>
  </si>
  <si>
    <t>TES_per_building.kWh.FR.Ser.BldNew.Thermal.CA</t>
  </si>
  <si>
    <t>TES_per_building.kWh.FR.Ser.BldNew.Thermal.CA.LPG</t>
  </si>
  <si>
    <t>TES_per_building.kWh.FR.Ser.BldNew.Thermal.CA.Gas.NG_Biogas</t>
  </si>
  <si>
    <t>TES_per_building.kWh.FR.Ser.BldNew.Thermal.CA.Biomass.Biomass_Waste</t>
  </si>
  <si>
    <t>TES_per_building.kWh.FR.Ser.BldNew.Thermal.CA.Elc.Elec</t>
  </si>
  <si>
    <t>FR - CO2 emissions in new and renovated buildings (per building)</t>
  </si>
  <si>
    <t>EMI_per_building.kgCO2.FR.Ser.BldNew.Thermal</t>
  </si>
  <si>
    <t>EMI_per_building.kgCO2.FR.Ser.BldNew.Thermal.SH</t>
  </si>
  <si>
    <t>EMI_per_building.kgCO2.FR.Ser.BldNew.Thermal.SH.Solids.Solids</t>
  </si>
  <si>
    <t>EMI_per_building.kgCO2.FR.Ser.BldNew.Thermal.SH.LPG.LPG</t>
  </si>
  <si>
    <t>EMI_per_building.kgCO2.FR.Ser.BldNew.Thermal.SH.Oil.Oil_LiqBio</t>
  </si>
  <si>
    <t>EMI_per_building.kgCO2.FR.Ser.BldNew.Thermal.SH.GasHP.NG_Biogas</t>
  </si>
  <si>
    <t>EMI_per_building.kgCO2.FR.Ser.BldNew.Thermal.SH.GasTH.NG_Biogas</t>
  </si>
  <si>
    <t>EMI_per_building.kgCO2.FR.Ser.BldNew.Thermal.SH.Biomass.Biomass_Waste</t>
  </si>
  <si>
    <t>EMI_per_building.kgCO2.FR.Ser.BldNew.Thermal.SH.Geo.Geo</t>
  </si>
  <si>
    <t>EMI_per_building.kgCO2.FR.Ser.BldNew.Thermal.SH.DistrHeat.Steam_Distr</t>
  </si>
  <si>
    <t>EMI_per_building.kgCO2.FR.Ser.BldNew.Thermal.SH.AdvElc.Elec</t>
  </si>
  <si>
    <t>EMI_per_building.kgCO2.FR.Ser.BldNew.Thermal.SH.ConvElc.Elec</t>
  </si>
  <si>
    <t>EMI_per_building.kgCO2.FR.Ser.BldNew.Thermal.SH.TotalCirculation.Elec</t>
  </si>
  <si>
    <t>EMI_per_building.kgCO2.FR.Ser.BldNew.Thermal.SC</t>
  </si>
  <si>
    <t>EMI_per_building.kgCO2.FR.Ser.BldNew.Thermal.SC.GasHP.NG_Biogas</t>
  </si>
  <si>
    <t>EMI_per_building.kgCO2.FR.Ser.BldNew.Thermal.SC.AC.Elec</t>
  </si>
  <si>
    <t>EMI_per_building.kgCO2.FR.Ser.BldNew.Thermal.HW</t>
  </si>
  <si>
    <t>EMI_per_building.kgCO2.FR.Ser.BldNew.Thermal.HW.Solids.Solids</t>
  </si>
  <si>
    <t>EMI_per_building.kgCO2.FR.Ser.BldNew.Thermal.HW.LPG.LPG</t>
  </si>
  <si>
    <t>EMI_per_building.kgCO2.FR.Ser.BldNew.Thermal.HW.Oil.Oil_LiqBio</t>
  </si>
  <si>
    <t>EMI_per_building.kgCO2.FR.Ser.BldNew.Thermal.HW.Gas.NG_Biogas</t>
  </si>
  <si>
    <t>EMI_per_building.kgCO2.FR.Ser.BldNew.Thermal.HW.Biomass.Biomass_Waste</t>
  </si>
  <si>
    <t>EMI_per_building.kgCO2.FR.Ser.BldNew.Thermal.HW.DistrHeat.Steam_Distr</t>
  </si>
  <si>
    <t>EMI_per_building.kgCO2.FR.Ser.BldNew.Thermal.HW.Elc.Elec</t>
  </si>
  <si>
    <t>EMI_per_building.kgCO2.FR.Ser.BldNew.Thermal.HW.TotalSolar.Solar</t>
  </si>
  <si>
    <t>EMI_per_building.kgCO2.FR.Ser.BldNew.Thermal.CA</t>
  </si>
  <si>
    <t>EMI_per_building.kgCO2.FR.Ser.BldNew.Thermal.CA.LPG</t>
  </si>
  <si>
    <t>EMI_per_building.kgCO2.FR.Ser.BldNew.Thermal.CA.Gas.NG_Biogas</t>
  </si>
  <si>
    <t>EMI_per_building.kgCO2.FR.Ser.BldNew.Thermal.CA.Biomass.Biomass_Waste</t>
  </si>
  <si>
    <t>EMI_per_building.kgCO2.FR.Ser.BldNew.Thermal.CA.Elc.Elec</t>
  </si>
  <si>
    <t>FR - Final energy consumption in new and renovated buildings per surface area</t>
  </si>
  <si>
    <t>FEC_per_sqm.kWh.FR.Ser.BldNew.Thermal</t>
  </si>
  <si>
    <t>FEC_per_sqm.kWh.FR.Ser.BldNew.Thermal.SH</t>
  </si>
  <si>
    <t>FEC_per_sqm.kWh.FR.Ser.BldNew.Thermal.SH.Solids.Solids</t>
  </si>
  <si>
    <t>FEC_per_sqm.kWh.FR.Ser.BldNew.Thermal.SH.LPG.LPG</t>
  </si>
  <si>
    <t>FEC_per_sqm.kWh.FR.Ser.BldNew.Thermal.SH.Oil.Oil_LiqBio</t>
  </si>
  <si>
    <t>FEC_per_sqm.kWh.FR.Ser.BldNew.Thermal.SH.GasHP.NG_Biogas</t>
  </si>
  <si>
    <t>FEC_per_sqm.kWh.FR.Ser.BldNew.Thermal.SH.GasTH.NG_Biogas</t>
  </si>
  <si>
    <t>FEC_per_sqm.kWh.FR.Ser.BldNew.Thermal.SH.Biomass.Biomass_Waste</t>
  </si>
  <si>
    <t>FEC_per_sqm.kWh.FR.Ser.BldNew.Thermal.SH.Geo.Geo</t>
  </si>
  <si>
    <t>FEC_per_sqm.kWh.FR.Ser.BldNew.Thermal.SH.DistrHeat.Steam_Distr</t>
  </si>
  <si>
    <t>FEC_per_sqm.kWh.FR.Ser.BldNew.Thermal.SH.AdvElc.Elec</t>
  </si>
  <si>
    <t>FEC_per_sqm.kWh.FR.Ser.BldNew.Thermal.SH.ConvElc.Elec</t>
  </si>
  <si>
    <t>FEC_per_sqm.kWh.FR.Ser.BldNew.Thermal.SH.TotalCirculation.Elec</t>
  </si>
  <si>
    <t>FEC_per_sqm.kWh.FR.Ser.BldNew.Thermal.SC</t>
  </si>
  <si>
    <t>FEC_per_sqm.kWh.FR.Ser.BldNew.Thermal.SC.GasHP.NG_Biogas</t>
  </si>
  <si>
    <t>FEC_per_sqm.kWh.FR.Ser.BldNew.Thermal.SC.AC.Elec</t>
  </si>
  <si>
    <t>FEC_per_sqm.kWh.FR.Ser.BldNew.Thermal.HW</t>
  </si>
  <si>
    <t>FEC_per_sqm.kWh.FR.Ser.BldNew.Thermal.HW.Solids.Solids</t>
  </si>
  <si>
    <t>FEC_per_sqm.kWh.FR.Ser.BldNew.Thermal.HW.LPG.LPG</t>
  </si>
  <si>
    <t>FEC_per_sqm.kWh.FR.Ser.BldNew.Thermal.HW.Oil.Oil_LiqBio</t>
  </si>
  <si>
    <t>FEC_per_sqm.kWh.FR.Ser.BldNew.Thermal.HW.Gas.NG_Biogas</t>
  </si>
  <si>
    <t>FEC_per_sqm.kWh.FR.Ser.BldNew.Thermal.HW.Biomass.Biomass_Waste</t>
  </si>
  <si>
    <t>FEC_per_sqm.kWh.FR.Ser.BldNew.Thermal.HW.DistrHeat.Steam_Distr</t>
  </si>
  <si>
    <t>FEC_per_sqm.kWh.FR.Ser.BldNew.Thermal.HW.Elc.Elec</t>
  </si>
  <si>
    <t>FEC_per_sqm.kWh.FR.Ser.BldNew.Thermal.HW.TotalSolar.Solar</t>
  </si>
  <si>
    <t>FEC_per_sqm.kWh.FR.Ser.BldNew.Thermal.CA</t>
  </si>
  <si>
    <t>FEC_per_sqm.kWh.FR.Ser.BldNew.Thermal.CA.LPG</t>
  </si>
  <si>
    <t>FEC_per_sqm.kWh.FR.Ser.BldNew.Thermal.CA.Gas.NG_Biogas</t>
  </si>
  <si>
    <t>FEC_per_sqm.kWh.FR.Ser.BldNew.Thermal.CA.Biomass.Biomass_Waste</t>
  </si>
  <si>
    <t>FEC_per_sqm.kWh.FR.Ser.BldNew.Thermal.CA.Elc.Elec</t>
  </si>
  <si>
    <t>FR - Thermal energy service in new and renovated buildings per surface area</t>
  </si>
  <si>
    <t>TES_per_sqm.kWh.FR.Ser.BldNew.Thermal</t>
  </si>
  <si>
    <t>TES_per_sqm.kWh.FR.Ser.BldNew.Thermal.SH</t>
  </si>
  <si>
    <t>TES_per_sqm.kWh.FR.Ser.BldNew.Thermal.SH.Solids.Solids</t>
  </si>
  <si>
    <t>TES_per_sqm.kWh.FR.Ser.BldNew.Thermal.SH.LPG.LPG</t>
  </si>
  <si>
    <t>TES_per_sqm.kWh.FR.Ser.BldNew.Thermal.SH.Oil.Oil_LiqBio</t>
  </si>
  <si>
    <t>TES_per_sqm.kWh.FR.Ser.BldNew.Thermal.SH.GasHP.NG_Biogas</t>
  </si>
  <si>
    <t>TES_per_sqm.kWh.FR.Ser.BldNew.Thermal.SH.GasTH.NG_Biogas</t>
  </si>
  <si>
    <t>TES_per_sqm.kWh.FR.Ser.BldNew.Thermal.SH.Biomass.Biomass_Waste</t>
  </si>
  <si>
    <t>TES_per_sqm.kWh.FR.Ser.BldNew.Thermal.SH.Geo.Geo</t>
  </si>
  <si>
    <t>TES_per_sqm.kWh.FR.Ser.BldNew.Thermal.SH.DistrHeat.Steam_Distr</t>
  </si>
  <si>
    <t>TES_per_sqm.kWh.FR.Ser.BldNew.Thermal.SH.AdvElc.Elec</t>
  </si>
  <si>
    <t>TES_per_sqm.kWh.FR.Ser.BldNew.Thermal.SH.ConvElc.Elec</t>
  </si>
  <si>
    <t>TES_per_sqm.kWh.FR.Ser.BldNew.Thermal.SH.TotalCirculation.Elec</t>
  </si>
  <si>
    <t>TES_per_sqm.kWh.FR.Ser.BldNew.Thermal.SC</t>
  </si>
  <si>
    <t>TES_per_sqm.kWh.FR.Ser.BldNew.Thermal.SC.GasHP.NG_Biogas</t>
  </si>
  <si>
    <t>TES_per_sqm.kWh.FR.Ser.BldNew.Thermal.SC.AC.Elec</t>
  </si>
  <si>
    <t>TES_per_sqm.kWh.FR.Ser.BldNew.Thermal.HW</t>
  </si>
  <si>
    <t>TES_per_sqm.kWh.FR.Ser.BldNew.Thermal.HW.Solids.Solids</t>
  </si>
  <si>
    <t>TES_per_sqm.kWh.FR.Ser.BldNew.Thermal.HW.LPG.LPG</t>
  </si>
  <si>
    <t>TES_per_sqm.kWh.FR.Ser.BldNew.Thermal.HW.Oil.Oil_LiqBio</t>
  </si>
  <si>
    <t>TES_per_sqm.kWh.FR.Ser.BldNew.Thermal.HW.Gas.NG_Biogas</t>
  </si>
  <si>
    <t>TES_per_sqm.kWh.FR.Ser.BldNew.Thermal.HW.Biomass.Biomass_Waste</t>
  </si>
  <si>
    <t>TES_per_sqm.kWh.FR.Ser.BldNew.Thermal.HW.DistrHeat.Steam_Distr</t>
  </si>
  <si>
    <t>TES_per_sqm.kWh.FR.Ser.BldNew.Thermal.HW.Elc.Elec</t>
  </si>
  <si>
    <t>TES_per_sqm.kWh.FR.Ser.BldNew.Thermal.HW.TotalSolar.Solar</t>
  </si>
  <si>
    <t>TES_per_sqm.kWh.FR.Ser.BldNew.Thermal.CA</t>
  </si>
  <si>
    <t>TES_per_sqm.kWh.FR.Ser.BldNew.Thermal.CA.LPG</t>
  </si>
  <si>
    <t>TES_per_sqm.kWh.FR.Ser.BldNew.Thermal.CA.Gas.NG_Biogas</t>
  </si>
  <si>
    <t>TES_per_sqm.kWh.FR.Ser.BldNew.Thermal.CA.Biomass.Biomass_Waste</t>
  </si>
  <si>
    <t>TES_per_sqm.kWh.FR.Ser.BldNew.Thermal.CA.Elc.Elec</t>
  </si>
  <si>
    <t>FR - CO2 emissions in new and renovated buildings per surface area</t>
  </si>
  <si>
    <t>EMI_per_sqm.kgCO2.FR.Ser.BldNew.Thermal</t>
  </si>
  <si>
    <t>EMI_per_sqm.kgCO2.FR.Ser.BldNew.Thermal.SH</t>
  </si>
  <si>
    <t>EMI_per_sqm.kgCO2.FR.Ser.BldNew.Thermal.SH.Solids.Solids</t>
  </si>
  <si>
    <t>EMI_per_sqm.kgCO2.FR.Ser.BldNew.Thermal.SH.LPG.LPG</t>
  </si>
  <si>
    <t>EMI_per_sqm.kgCO2.FR.Ser.BldNew.Thermal.SH.Oil.Oil_LiqBio</t>
  </si>
  <si>
    <t>EMI_per_sqm.kgCO2.FR.Ser.BldNew.Thermal.SH.GasHP.NG_Biogas</t>
  </si>
  <si>
    <t>EMI_per_sqm.kgCO2.FR.Ser.BldNew.Thermal.SH.GasTH.NG_Biogas</t>
  </si>
  <si>
    <t>EMI_per_sqm.kgCO2.FR.Ser.BldNew.Thermal.SH.Biomass.Biomass_Waste</t>
  </si>
  <si>
    <t>EMI_per_sqm.kgCO2.FR.Ser.BldNew.Thermal.SH.Geo.Geo</t>
  </si>
  <si>
    <t>EMI_per_sqm.kgCO2.FR.Ser.BldNew.Thermal.SH.DistrHeat.Steam_Distr</t>
  </si>
  <si>
    <t>EMI_per_sqm.kgCO2.FR.Ser.BldNew.Thermal.SH.AdvElc.Elec</t>
  </si>
  <si>
    <t>EMI_per_sqm.kgCO2.FR.Ser.BldNew.Thermal.SH.ConvElc.Elec</t>
  </si>
  <si>
    <t>EMI_per_sqm.kgCO2.FR.Ser.BldNew.Thermal.SH.TotalCirculation.Elec</t>
  </si>
  <si>
    <t>EMI_per_sqm.kgCO2.FR.Ser.BldNew.Thermal.SC</t>
  </si>
  <si>
    <t>EMI_per_sqm.kgCO2.FR.Ser.BldNew.Thermal.SC.GasHP.NG_Biogas</t>
  </si>
  <si>
    <t>EMI_per_sqm.kgCO2.FR.Ser.BldNew.Thermal.SC.AC.Elec</t>
  </si>
  <si>
    <t>EMI_per_sqm.kgCO2.FR.Ser.BldNew.Thermal.HW</t>
  </si>
  <si>
    <t>EMI_per_sqm.kgCO2.FR.Ser.BldNew.Thermal.HW.Solids.Solids</t>
  </si>
  <si>
    <t>EMI_per_sqm.kgCO2.FR.Ser.BldNew.Thermal.HW.LPG.LPG</t>
  </si>
  <si>
    <t>EMI_per_sqm.kgCO2.FR.Ser.BldNew.Thermal.HW.Oil.Oil_LiqBio</t>
  </si>
  <si>
    <t>EMI_per_sqm.kgCO2.FR.Ser.BldNew.Thermal.HW.Gas.NG_Biogas</t>
  </si>
  <si>
    <t>EMI_per_sqm.kgCO2.FR.Ser.BldNew.Thermal.HW.Biomass.Biomass_Waste</t>
  </si>
  <si>
    <t>EMI_per_sqm.kgCO2.FR.Ser.BldNew.Thermal.HW.DistrHeat.Steam_Distr</t>
  </si>
  <si>
    <t>EMI_per_sqm.kgCO2.FR.Ser.BldNew.Thermal.HW.Elc.Elec</t>
  </si>
  <si>
    <t>EMI_per_sqm.kgCO2.FR.Ser.BldNew.Thermal.HW.TotalSolar.Solar</t>
  </si>
  <si>
    <t>EMI_per_sqm.kgCO2.FR.Ser.BldNew.Thermal.CA</t>
  </si>
  <si>
    <t>EMI_per_sqm.kgCO2.FR.Ser.BldNew.Thermal.CA.LPG</t>
  </si>
  <si>
    <t>EMI_per_sqm.kgCO2.FR.Ser.BldNew.Thermal.CA.Gas.NG_Biogas</t>
  </si>
  <si>
    <t>EMI_per_sqm.kgCO2.FR.Ser.BldNew.Thermal.CA.Biomass.Biomass_Waste</t>
  </si>
  <si>
    <t>EMI_per_sqm.kgCO2.FR.Ser.BldNew.Thermal.CA.Elc.Elec</t>
  </si>
  <si>
    <t>FEC.ktoe.FR.Ser.SEU.VE</t>
  </si>
  <si>
    <t>FEC.ktoe.FR.Ser.SEU.SL</t>
  </si>
  <si>
    <t>FEC.ktoe.FR.Ser.SEU.BL</t>
  </si>
  <si>
    <t>FEC.ktoe.FR.Ser.SEU.CR</t>
  </si>
  <si>
    <t>FEC.ktoe.FR.Ser.SEU.BT</t>
  </si>
  <si>
    <t>FEC.ktoe.FR.Ser.SEU.IT</t>
  </si>
  <si>
    <t>Size.MW.FR.Ser.SEU</t>
  </si>
  <si>
    <t>Size.MW.FR.Ser.SEU.VE</t>
  </si>
  <si>
    <t>Size.MW.FR.Ser.SEU.SL</t>
  </si>
  <si>
    <t>Size.MW.FR.Ser.SEU.BL</t>
  </si>
  <si>
    <t>Size.MW.FR.Ser.SEU.CR</t>
  </si>
  <si>
    <t>Size.MW.FR.Ser.SEU.BT</t>
  </si>
  <si>
    <t>Size.MW.FR.Ser.SEU.IT</t>
  </si>
  <si>
    <t>NUM.Msqm.FR.Ser.SEU.VE</t>
  </si>
  <si>
    <t>NUM.k.FR.Ser.SEU.SL</t>
  </si>
  <si>
    <t>NUM.M.FR.Ser.SEU.BL</t>
  </si>
  <si>
    <t>NUM.k.FR.Ser.SEU.CR</t>
  </si>
  <si>
    <t>NUM.Msqm.FR.Ser.SEU.BT</t>
  </si>
  <si>
    <t>NUM.k.FR.Ser.SEU.IT</t>
  </si>
  <si>
    <t>NUM.Msqm.FR.Ser.SEUnew.VE</t>
  </si>
  <si>
    <t>NUM.k.FR.Ser.SEUnew.SL</t>
  </si>
  <si>
    <t>NUM.M.FR.Ser.SEUnew.BL</t>
  </si>
  <si>
    <t>NUM.k.FR.Ser.SEUnew.CR</t>
  </si>
  <si>
    <t>NUM.Msqm.FR.Ser.SEUnew.BT</t>
  </si>
  <si>
    <t>NUM.k.FR.Ser.SEUnew.IT</t>
  </si>
  <si>
    <t>NUM.Msqm.FR.Ser.SEUrepl.VE</t>
  </si>
  <si>
    <t>NUM.k.FR.Ser.SEUrepl.SL</t>
  </si>
  <si>
    <t>NUM.M.FR.Ser.SEUrepl.BL</t>
  </si>
  <si>
    <t>NUM.k.FR.Ser.SEUrepl.CR</t>
  </si>
  <si>
    <t>NUM.Msqm.FR.Ser.SEUrepl.BT</t>
  </si>
  <si>
    <t>NUM.k.FR.Ser.SEUrepl.IT</t>
  </si>
  <si>
    <t>Op.hours.FR.Ser.SEU.VE</t>
  </si>
  <si>
    <t>Op.hours.FR.Ser.SEU.SL</t>
  </si>
  <si>
    <t>Op.hours.FR.Ser.SEU.BL</t>
  </si>
  <si>
    <t>Op.hours.FR.Ser.SEU.CR</t>
  </si>
  <si>
    <t>Op.hours.FR.Ser.SEU.BT</t>
  </si>
  <si>
    <t>Op.hours.FR.Ser.SEU.IT</t>
  </si>
  <si>
    <t>Size_per_appl.W.FR.Ser.SEU.VE</t>
  </si>
  <si>
    <t>Size_per_appl.W.FR.Ser.SEU.SL</t>
  </si>
  <si>
    <t>Size_per_appl.W.FR.Ser.SEU.BL</t>
  </si>
  <si>
    <t>Size_per_appl.W.FR.Ser.SEU.CR</t>
  </si>
  <si>
    <t>Size_per_appl.W.FR.Ser.SEU.BT</t>
  </si>
  <si>
    <t>Size_per_appl.W.FR.Ser.SEU.IT</t>
  </si>
  <si>
    <t>Size_per_appl.W.FR.Ser.SEUnew.VE</t>
  </si>
  <si>
    <t>Size_per_appl.W.FR.Ser.SEUnew.SL</t>
  </si>
  <si>
    <t>Size_per_appl.W.FR.Ser.SEUnew.BL</t>
  </si>
  <si>
    <t>Size_per_appl.W.FR.Ser.SEUnew.CR</t>
  </si>
  <si>
    <t>Size_per_appl.W.FR.Ser.SEUnew.BT</t>
  </si>
  <si>
    <t>Size_per_appl.W.FR.Ser.SEUnew.IT</t>
  </si>
  <si>
    <t>NUM.sqm_per_building.FR.Ser.SEU.VE</t>
  </si>
  <si>
    <t>NUM.number_per_capita.FR.Ser.SEU.SL</t>
  </si>
  <si>
    <t>NUM.number_per_building.FR.Ser.SEU.BL</t>
  </si>
  <si>
    <t>NUM.number_per_capita.FR.Ser.SEU.CR</t>
  </si>
  <si>
    <t>NUM.sqm_per_building.FR.Ser.SEU.BT</t>
  </si>
  <si>
    <t>NUM.number_per_capita.FR.Ser.SEU.IT</t>
  </si>
  <si>
    <t>Lumens_per_sqm.lumen.FR.Ser.SEU.BL</t>
  </si>
  <si>
    <t>FR - Services / specific electric uses</t>
  </si>
  <si>
    <t>FR - Ventilation and others</t>
  </si>
  <si>
    <t>FR - Street lighting</t>
  </si>
  <si>
    <t>FR - Building lighting</t>
  </si>
  <si>
    <t>FR - Commercial refrigeration</t>
  </si>
  <si>
    <t>FR - Miscellaneous building technologies</t>
  </si>
  <si>
    <t>FR - ICT and multimedia</t>
  </si>
  <si>
    <t>FR - Agriculture, forestry and fishing</t>
  </si>
  <si>
    <t>VA.Meuro2015.FR.AGR.AGR</t>
  </si>
  <si>
    <t>OUTPUT.index.FR.AGR.AGR</t>
  </si>
  <si>
    <t>CAP.index.FR.AGR.AGR</t>
  </si>
  <si>
    <t>NEWCAP.index.FR.AGR.AGR</t>
  </si>
  <si>
    <t>CAPOUT.index.FR.AGR.AGR</t>
  </si>
  <si>
    <t>CAPIDLE.index.FR.AGR.AGR</t>
  </si>
  <si>
    <t>FEC.ktoe.FR.ES.AGR</t>
  </si>
  <si>
    <t>FEC.ktoe.FR.ES.AGR.Solids</t>
  </si>
  <si>
    <t>FEC.ktoe.FR.ES.AGR.LPG</t>
  </si>
  <si>
    <t>FEC.ktoe.FR.ES.AGR.Diesel</t>
  </si>
  <si>
    <t>FEC.ktoe.FR.ES.AGR.RFO</t>
  </si>
  <si>
    <t>FEC.ktoe.FR.ES.AGR.NG</t>
  </si>
  <si>
    <t>FEC.ktoe.FR.ES.AGR.Biomass_Waste</t>
  </si>
  <si>
    <t>FEC.ktoe.FR.ES.AGR.Biogas</t>
  </si>
  <si>
    <t>FEC.ktoe.FR.ES.AGR.LiqBio</t>
  </si>
  <si>
    <t>FEC.ktoe.FR.ES.AGR.Solar</t>
  </si>
  <si>
    <t>FEC.ktoe.FR.ES.AGR.Geo</t>
  </si>
  <si>
    <t>FEC.ktoe.FR.ES.AGR.Ambient</t>
  </si>
  <si>
    <t>FEC.ktoe.FR.ES.AGR.Steam_Distr</t>
  </si>
  <si>
    <t>FEC.ktoe.FR.ES.AGR.Elec</t>
  </si>
  <si>
    <t>FR - Agriculture, forestry and fishing / final energy consumption</t>
  </si>
  <si>
    <t>FEC.ktoe.FR.AGR.AGR.LIGHT.GENERIC.ELEC</t>
  </si>
  <si>
    <t>FEC.ktoe.FR.AGR.AGR.FANS.GENERIC.ELEC</t>
  </si>
  <si>
    <t>FEC.ktoe.FR.AGR.AGR.MOTOR.GENERIC.ELEC</t>
  </si>
  <si>
    <t>FEC.ktoe.FR.AGR.AGR.LOW_ENTH.THERM.DIESEL_LIQBIO</t>
  </si>
  <si>
    <t>FEC.ktoe.FR.AGR.AGR.LOW_ENTH.THERM.NG_BIOGAS</t>
  </si>
  <si>
    <t>FEC.ktoe.FR.AGR.AGR.LOW_ENTH.THERM.SOLAR_GEO</t>
  </si>
  <si>
    <t>FEC.ktoe.FR.AGR.AGR.LOW_ENTH.HP.AMBIENT</t>
  </si>
  <si>
    <t>FEC.ktoe.FR.AGR.AGR.LOW_ENTH.THERM.STEAM_DISTR</t>
  </si>
  <si>
    <t>FEC.ktoe.FR.AGR.AGR.LOW_ENTH.THERM.ELEC</t>
  </si>
  <si>
    <t>FEC.ktoe.FR.AGR.AGR.FARM_DRIVES.MECH.DIESEL_LIQBIO</t>
  </si>
  <si>
    <t>FEC.ktoe.FR.AGR.AGR.HEAT_USE.THERM.SOLIDS</t>
  </si>
  <si>
    <t>FEC.ktoe.FR.AGR.AGR.HEAT_USE.THERM.LPG</t>
  </si>
  <si>
    <t>FEC.ktoe.FR.AGR.AGR.HEAT_USE.THERM.DIESEL_LIQBIO</t>
  </si>
  <si>
    <t>FEC.ktoe.FR.AGR.AGR.HEAT_USE.THERM.RFO</t>
  </si>
  <si>
    <t>FEC.ktoe.FR.AGR.AGR.HEAT_USE.THERM.NG_BIOGAS</t>
  </si>
  <si>
    <t>FEC.ktoe.FR.AGR.AGR.HEAT_USE.THERM.BIOMASS_WASTE</t>
  </si>
  <si>
    <t>FEC.ktoe.FR.AGR.AGR.HEAT_USE.THERM.SOLAR_GEO</t>
  </si>
  <si>
    <t>FEC.ktoe.FR.AGR.AGR.FARM_PUMP.MECH.DIESEL_LIQBIO</t>
  </si>
  <si>
    <t>FEC.ktoe.FR.AGR.AGR.FARM_PUMP_ELEC.MECH.ELEC</t>
  </si>
  <si>
    <t>FEC.ktoe.FR.AGR.AGR.GENERIC.MECH.ELEC</t>
  </si>
  <si>
    <t>FR - Agriculture, forestry and fishing / useful energy demand</t>
  </si>
  <si>
    <t>UED.ktoe.FR.AGR.AGR.LIGHT.GENERIC.ELEC</t>
  </si>
  <si>
    <t>UED.ktoe.FR.AGR.AGR.FANS.GENERIC.ELEC</t>
  </si>
  <si>
    <t>UED.ktoe.FR.AGR.AGR.MOTOR.GENERIC.ELEC</t>
  </si>
  <si>
    <t>UED.ktoe.FR.AGR.AGR.LOW_ENTH.THERM.DIESEL_LIQBIO</t>
  </si>
  <si>
    <t>UED.ktoe.FR.AGR.AGR.LOW_ENTH.THERM.NG_BIOGAS</t>
  </si>
  <si>
    <t>UED.ktoe.FR.AGR.AGR.LOW_ENTH.THERM.SOLAR_GEO</t>
  </si>
  <si>
    <t>UED.ktoe.FR.AGR.AGR.LOW_ENTH.HP.AMBIENT</t>
  </si>
  <si>
    <t>UED.ktoe.FR.AGR.AGR.LOW_ENTH.THERM.STEAM_DISTR</t>
  </si>
  <si>
    <t>UED.ktoe.FR.AGR.AGR.LOW_ENTH.THERM.ELEC</t>
  </si>
  <si>
    <t>UED.ktoe.FR.AGR.AGR.FARM_DRIVES.MECH.DIESEL_LIQBIO</t>
  </si>
  <si>
    <t>UED.ktoe.FR.AGR.AGR.HEAT_USE.THERM.SOLIDS</t>
  </si>
  <si>
    <t>UED.ktoe.FR.AGR.AGR.HEAT_USE.THERM.LPG</t>
  </si>
  <si>
    <t>UED.ktoe.FR.AGR.AGR.HEAT_USE.THERM.DIESEL_LIQBIO</t>
  </si>
  <si>
    <t>UED.ktoe.FR.AGR.AGR.HEAT_USE.THERM.RFO</t>
  </si>
  <si>
    <t>UED.ktoe.FR.AGR.AGR.HEAT_USE.THERM.NG_BIOGAS</t>
  </si>
  <si>
    <t>UED.ktoe.FR.AGR.AGR.HEAT_USE.THERM.BIOMASS_WASTE</t>
  </si>
  <si>
    <t>UED.ktoe.FR.AGR.AGR.HEAT_USE.THERM.SOLAR_GEO</t>
  </si>
  <si>
    <t>UED.ktoe.FR.AGR.AGR.FARM_PUMP.MECH.DIESEL_LIQBIO</t>
  </si>
  <si>
    <t>UED.ktoe.FR.AGR.AGR.FARM_PUMP_ELEC.MECH.ELEC</t>
  </si>
  <si>
    <t>UED.ktoe.FR.AGR.AGR.GENERIC.MECH.ELEC</t>
  </si>
  <si>
    <t>FR - Agriculture, forestry and fishing / CO2 emissions</t>
  </si>
  <si>
    <t>FUEL_EMI.ktCO2.FR.AGR.AGR.LIGHT.GENERIC.ELEC</t>
  </si>
  <si>
    <t>FUEL_EMI.ktCO2.FR.AGR.AGR.FANS.GENERIC.ELEC</t>
  </si>
  <si>
    <t>FUEL_EMI.ktCO2.FR.AGR.AGR.MOTOR.GENERIC.ELEC</t>
  </si>
  <si>
    <t>FUEL_EMI.ktCO2.FR.AGR.AGR.LOW_ENTH.THERM.DIESEL_LIQBIO</t>
  </si>
  <si>
    <t>FUEL_EMI.ktCO2.FR.AGR.AGR.LOW_ENTH.THERM.NG_BIOGAS</t>
  </si>
  <si>
    <t>FUEL_EMI.ktCO2.FR.AGR.AGR.LOW_ENTH.THERM.SOLAR_GEO</t>
  </si>
  <si>
    <t>FUEL_EMI.ktCO2.FR.AGR.AGR.LOW_ENTH.HP.AMBIENT</t>
  </si>
  <si>
    <t>FUEL_EMI.ktCO2.FR.AGR.AGR.LOW_ENTH.THERM.STEAM_DISTR</t>
  </si>
  <si>
    <t>FUEL_EMI.ktCO2.FR.AGR.AGR.LOW_ENTH.THERM.ELEC</t>
  </si>
  <si>
    <t>FUEL_EMI.ktCO2.FR.AGR.AGR.FARM_DRIVES.MECH.DIESEL_LIQBIO</t>
  </si>
  <si>
    <t>FUEL_EMI.ktCO2.FR.AGR.AGR.HEAT_USE.THERM.SOLIDS</t>
  </si>
  <si>
    <t>FUEL_EMI.ktCO2.FR.AGR.AGR.HEAT_USE.THERM.LPG</t>
  </si>
  <si>
    <t>FUEL_EMI.ktCO2.FR.AGR.AGR.HEAT_USE.THERM.DIESEL_LIQBIO</t>
  </si>
  <si>
    <t>FUEL_EMI.ktCO2.FR.AGR.AGR.HEAT_USE.THERM.RFO</t>
  </si>
  <si>
    <t>FUEL_EMI.ktCO2.FR.AGR.AGR.HEAT_USE.THERM.NG_BIOGAS</t>
  </si>
  <si>
    <t>FUEL_EMI.ktCO2.FR.AGR.AGR.HEAT_USE.THERM.BIOMASS_WASTE</t>
  </si>
  <si>
    <t>FUEL_EMI.ktCO2.FR.AGR.AGR.HEAT_USE.THERM.SOLAR_GEO</t>
  </si>
  <si>
    <t>FUEL_EMI.ktCO2.FR.AGR.AGR.FARM_PUMP.MECH.DIESEL_LIQBIO</t>
  </si>
  <si>
    <t>FUEL_EMI.ktCO2.FR.AGR.AGR.FARM_PUMP_ELEC.MECH.ELEC</t>
  </si>
  <si>
    <t>FUEL_EMI.ktCO2.FR.AGR.AGR.GENERIC.MECH.ELEC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</si>
</sst>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45432.785138888888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60545022</v>
      </c>
      <c r="C3" s="34">
        <v>60979315</v>
      </c>
      <c r="D3" s="34">
        <v>61424036</v>
      </c>
      <c r="E3" s="34">
        <v>61864088</v>
      </c>
      <c r="F3" s="34">
        <v>62292241</v>
      </c>
      <c r="G3" s="34">
        <v>62772870</v>
      </c>
      <c r="H3" s="34">
        <v>63229635</v>
      </c>
      <c r="I3" s="34">
        <v>63645065</v>
      </c>
      <c r="J3" s="34">
        <v>64007193</v>
      </c>
      <c r="K3" s="34">
        <v>64350226</v>
      </c>
      <c r="L3" s="34">
        <v>64658856</v>
      </c>
      <c r="M3" s="34">
        <v>64978721</v>
      </c>
      <c r="N3" s="34">
        <v>65276983</v>
      </c>
      <c r="O3" s="34">
        <v>65600350</v>
      </c>
      <c r="P3" s="34">
        <v>66165980</v>
      </c>
      <c r="Q3" s="34">
        <v>66458153</v>
      </c>
      <c r="R3" s="34">
        <v>66638391</v>
      </c>
      <c r="S3" s="34">
        <v>66809816</v>
      </c>
      <c r="T3" s="34">
        <v>67026224</v>
      </c>
      <c r="U3" s="34">
        <v>67177636</v>
      </c>
      <c r="V3" s="34">
        <v>67320216</v>
      </c>
      <c r="W3" s="34">
        <v>67656682</v>
      </c>
      <c r="DA3" s="88" t="s">
        <v>187</v>
      </c>
    </row>
    <row r="4" spans="1:105" ht="12" customHeight="1" x14ac:dyDescent="0.25">
      <c r="A4" s="35" t="s">
        <v>178</v>
      </c>
      <c r="B4" s="36">
        <v>1844496.1453057558</v>
      </c>
      <c r="C4" s="36">
        <v>1881083.9896297019</v>
      </c>
      <c r="D4" s="36">
        <v>1902457.4057654981</v>
      </c>
      <c r="E4" s="36">
        <v>1918114.6634671937</v>
      </c>
      <c r="F4" s="36">
        <v>1972381.18387851</v>
      </c>
      <c r="G4" s="36">
        <v>2005206.3225308291</v>
      </c>
      <c r="H4" s="36">
        <v>2054300.0055577168</v>
      </c>
      <c r="I4" s="36">
        <v>2104113.1523329541</v>
      </c>
      <c r="J4" s="36">
        <v>2109477.0722823958</v>
      </c>
      <c r="K4" s="36">
        <v>2048863.6363636365</v>
      </c>
      <c r="L4" s="36">
        <v>2088804.7904693112</v>
      </c>
      <c r="M4" s="36">
        <v>2134617.5384743023</v>
      </c>
      <c r="N4" s="36">
        <v>2141308.8940829132</v>
      </c>
      <c r="O4" s="36">
        <v>2153650.2995717498</v>
      </c>
      <c r="P4" s="36">
        <v>2174225.0316055627</v>
      </c>
      <c r="Q4" s="36">
        <v>2198432</v>
      </c>
      <c r="R4" s="36">
        <v>2222505.2972951466</v>
      </c>
      <c r="S4" s="36">
        <v>2273439.0926994369</v>
      </c>
      <c r="T4" s="36">
        <v>2315854.1484972904</v>
      </c>
      <c r="U4" s="36">
        <v>2358529.9069218417</v>
      </c>
      <c r="V4" s="36">
        <v>2180688.5002210955</v>
      </c>
      <c r="W4" s="36">
        <v>2321009.6193983471</v>
      </c>
      <c r="DA4" s="89" t="s">
        <v>188</v>
      </c>
    </row>
    <row r="5" spans="1:105" ht="12" customHeight="1" x14ac:dyDescent="0.25">
      <c r="A5" s="35" t="s">
        <v>147</v>
      </c>
      <c r="B5" s="36">
        <v>1212533.854392105</v>
      </c>
      <c r="C5" s="36">
        <v>1244374.206804859</v>
      </c>
      <c r="D5" s="36">
        <v>1265951.9360408732</v>
      </c>
      <c r="E5" s="36">
        <v>1286786.6335830067</v>
      </c>
      <c r="F5" s="36">
        <v>1330162.3837662039</v>
      </c>
      <c r="G5" s="36">
        <v>1358993.1046874647</v>
      </c>
      <c r="H5" s="36">
        <v>1401147.3962930273</v>
      </c>
      <c r="I5" s="36">
        <v>1439176.2544716233</v>
      </c>
      <c r="J5" s="36">
        <v>1456459.6364552286</v>
      </c>
      <c r="K5" s="36">
        <v>1434257.718036494</v>
      </c>
      <c r="L5" s="36">
        <v>1461673.4926642131</v>
      </c>
      <c r="M5" s="36">
        <v>1489265.7580568669</v>
      </c>
      <c r="N5" s="36">
        <v>1500272.8694212511</v>
      </c>
      <c r="O5" s="36">
        <v>1510853.8541180291</v>
      </c>
      <c r="P5" s="36">
        <v>1530041.7851253049</v>
      </c>
      <c r="Q5" s="36">
        <v>1543492</v>
      </c>
      <c r="R5" s="36">
        <v>1567081.1902464258</v>
      </c>
      <c r="S5" s="36">
        <v>1601684.3901277676</v>
      </c>
      <c r="T5" s="36">
        <v>1629954.5427711201</v>
      </c>
      <c r="U5" s="36">
        <v>1658482.7586206894</v>
      </c>
      <c r="V5" s="36">
        <v>1548373.5700420269</v>
      </c>
      <c r="W5" s="36">
        <v>1648509.2449204247</v>
      </c>
      <c r="DA5" s="89" t="s">
        <v>189</v>
      </c>
    </row>
    <row r="6" spans="1:105" ht="12" customHeight="1" x14ac:dyDescent="0.25">
      <c r="A6" s="37" t="s">
        <v>70</v>
      </c>
      <c r="B6" s="38">
        <v>19876000</v>
      </c>
      <c r="C6" s="38">
        <v>20204000</v>
      </c>
      <c r="D6" s="38">
        <v>20379000</v>
      </c>
      <c r="E6" s="38">
        <v>20459000</v>
      </c>
      <c r="F6" s="38">
        <v>20572000</v>
      </c>
      <c r="G6" s="38">
        <v>20762000</v>
      </c>
      <c r="H6" s="38">
        <v>21064000</v>
      </c>
      <c r="I6" s="38">
        <v>21425000</v>
      </c>
      <c r="J6" s="38">
        <v>21572000</v>
      </c>
      <c r="K6" s="38">
        <v>21439000</v>
      </c>
      <c r="L6" s="38">
        <v>21629000</v>
      </c>
      <c r="M6" s="38">
        <v>21854000</v>
      </c>
      <c r="N6" s="38">
        <v>21968000</v>
      </c>
      <c r="O6" s="38">
        <v>22049000</v>
      </c>
      <c r="P6" s="38">
        <v>22213000</v>
      </c>
      <c r="Q6" s="38">
        <v>22372000</v>
      </c>
      <c r="R6" s="38">
        <v>22613000</v>
      </c>
      <c r="S6" s="38">
        <v>22960000</v>
      </c>
      <c r="T6" s="38">
        <v>23213000</v>
      </c>
      <c r="U6" s="38">
        <v>23431000</v>
      </c>
      <c r="V6" s="38">
        <v>23403000</v>
      </c>
      <c r="W6" s="38">
        <v>24105000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925351.95993153576</v>
      </c>
      <c r="C8" s="34">
        <v>939066.81149664416</v>
      </c>
      <c r="D8" s="34">
        <v>952781.66306175245</v>
      </c>
      <c r="E8" s="34">
        <v>966496.51462686062</v>
      </c>
      <c r="F8" s="34">
        <v>980211.36619196902</v>
      </c>
      <c r="G8" s="34">
        <v>993926.21775707707</v>
      </c>
      <c r="H8" s="34">
        <v>1008805.9791008371</v>
      </c>
      <c r="I8" s="34">
        <v>1027149.6970638619</v>
      </c>
      <c r="J8" s="34">
        <v>1042029.4584076216</v>
      </c>
      <c r="K8" s="34">
        <v>1048826.6543064301</v>
      </c>
      <c r="L8" s="34">
        <v>1061344.7262700251</v>
      </c>
      <c r="M8" s="34">
        <v>1075335.8551794884</v>
      </c>
      <c r="N8" s="34">
        <v>1083469.1159611586</v>
      </c>
      <c r="O8" s="34">
        <v>1090261.8874074516</v>
      </c>
      <c r="P8" s="34">
        <v>1103701.9323237424</v>
      </c>
      <c r="Q8" s="34">
        <v>1103338.0183800852</v>
      </c>
      <c r="R8" s="34">
        <v>1112800.6657927511</v>
      </c>
      <c r="S8" s="34">
        <v>1123112.5473124865</v>
      </c>
      <c r="T8" s="34">
        <v>1135141.2849703005</v>
      </c>
      <c r="U8" s="34">
        <v>1146959.0039980644</v>
      </c>
      <c r="V8" s="34">
        <v>1157991.8466666667</v>
      </c>
      <c r="W8" s="34">
        <v>1168596.7193178223</v>
      </c>
      <c r="DA8" s="88" t="s">
        <v>191</v>
      </c>
    </row>
    <row r="9" spans="1:105" ht="12" customHeight="1" x14ac:dyDescent="0.25">
      <c r="A9" s="39" t="s">
        <v>68</v>
      </c>
      <c r="B9" s="40">
        <v>832816.76393838227</v>
      </c>
      <c r="C9" s="40">
        <v>845160.13034697971</v>
      </c>
      <c r="D9" s="40">
        <v>857503.49675557716</v>
      </c>
      <c r="E9" s="40">
        <v>869846.8631641746</v>
      </c>
      <c r="F9" s="40">
        <v>882190.22957277205</v>
      </c>
      <c r="G9" s="40">
        <v>894533.59598136938</v>
      </c>
      <c r="H9" s="40">
        <v>907925.38119075343</v>
      </c>
      <c r="I9" s="40">
        <v>924434.72735747567</v>
      </c>
      <c r="J9" s="40">
        <v>937826.51256685948</v>
      </c>
      <c r="K9" s="40">
        <v>943943.98887578701</v>
      </c>
      <c r="L9" s="40">
        <v>955210.25364302262</v>
      </c>
      <c r="M9" s="40">
        <v>967802.26966153958</v>
      </c>
      <c r="N9" s="40">
        <v>975122.20436504274</v>
      </c>
      <c r="O9" s="40">
        <v>981235.69866670645</v>
      </c>
      <c r="P9" s="40">
        <v>993331.73909136816</v>
      </c>
      <c r="Q9" s="40">
        <v>993004.21654207679</v>
      </c>
      <c r="R9" s="40">
        <v>1001520.5992134759</v>
      </c>
      <c r="S9" s="40">
        <v>1010801.2925812379</v>
      </c>
      <c r="T9" s="40">
        <v>1021627.1564732706</v>
      </c>
      <c r="U9" s="40">
        <v>1032263.1035982579</v>
      </c>
      <c r="V9" s="40">
        <v>1042192.662</v>
      </c>
      <c r="W9" s="40">
        <v>1051737.04738604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17416.435608454816</v>
      </c>
      <c r="D10" s="41">
        <v>17470.992925207996</v>
      </c>
      <c r="E10" s="41">
        <v>17526.069835454666</v>
      </c>
      <c r="F10" s="41">
        <v>17580.627152207966</v>
      </c>
      <c r="G10" s="41">
        <v>17635.704062454035</v>
      </c>
      <c r="H10" s="41">
        <v>18855.690751352191</v>
      </c>
      <c r="I10" s="41">
        <v>22378.881028806427</v>
      </c>
      <c r="J10" s="41">
        <v>18988.187092038836</v>
      </c>
      <c r="K10" s="41">
        <v>10965.374898769902</v>
      </c>
      <c r="L10" s="41">
        <v>16713.26982518689</v>
      </c>
      <c r="M10" s="41">
        <v>18236.727339865072</v>
      </c>
      <c r="N10" s="41">
        <v>12434.455715811595</v>
      </c>
      <c r="O10" s="41">
        <v>11126.700770486001</v>
      </c>
      <c r="P10" s="41">
        <v>17800.9931021146</v>
      </c>
      <c r="Q10" s="41">
        <v>4414.9859090840582</v>
      </c>
      <c r="R10" s="41">
        <v>15091.923016645862</v>
      </c>
      <c r="S10" s="41">
        <v>15989.435937045397</v>
      </c>
      <c r="T10" s="41">
        <v>17758.903715530971</v>
      </c>
      <c r="U10" s="41">
        <v>17609.256195979597</v>
      </c>
      <c r="V10" s="41">
        <v>16884.674321653682</v>
      </c>
      <c r="W10" s="41">
        <v>16512.994317822162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15674.792047609333</v>
      </c>
      <c r="D11" s="42">
        <v>15723.893632687199</v>
      </c>
      <c r="E11" s="42">
        <v>15773.4628519092</v>
      </c>
      <c r="F11" s="42">
        <v>15822.56443698717</v>
      </c>
      <c r="G11" s="42">
        <v>15872.133656208633</v>
      </c>
      <c r="H11" s="42">
        <v>16970.121676216972</v>
      </c>
      <c r="I11" s="42">
        <v>20140.992925925784</v>
      </c>
      <c r="J11" s="42">
        <v>17089.368382834953</v>
      </c>
      <c r="K11" s="42">
        <v>9868.8374088929104</v>
      </c>
      <c r="L11" s="42">
        <v>15041.942842668199</v>
      </c>
      <c r="M11" s="42">
        <v>16413.054605878566</v>
      </c>
      <c r="N11" s="42">
        <v>11191.010144230435</v>
      </c>
      <c r="O11" s="42">
        <v>10014.030693437398</v>
      </c>
      <c r="P11" s="42">
        <v>16020.893791903141</v>
      </c>
      <c r="Q11" s="42">
        <v>3973.4873181756525</v>
      </c>
      <c r="R11" s="42">
        <v>13582.730714981275</v>
      </c>
      <c r="S11" s="42">
        <v>14390.492343340858</v>
      </c>
      <c r="T11" s="42">
        <v>15983.013343977875</v>
      </c>
      <c r="U11" s="42">
        <v>15848.330576381635</v>
      </c>
      <c r="V11" s="42">
        <v>15196.20688948831</v>
      </c>
      <c r="W11" s="42">
        <v>14861.694886039946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2270.83</v>
      </c>
      <c r="C13" s="43">
        <v>2412.5500000000002</v>
      </c>
      <c r="D13" s="43">
        <v>2210.0100000000002</v>
      </c>
      <c r="E13" s="43">
        <v>2374.08</v>
      </c>
      <c r="F13" s="43">
        <v>2502.7800000000002</v>
      </c>
      <c r="G13" s="43">
        <v>2506.25</v>
      </c>
      <c r="H13" s="43">
        <v>2315.4499999999998</v>
      </c>
      <c r="I13" s="43">
        <v>2264.04</v>
      </c>
      <c r="J13" s="43">
        <v>2442.65</v>
      </c>
      <c r="K13" s="43">
        <v>2384.9299999999998</v>
      </c>
      <c r="L13" s="43">
        <v>2756.06</v>
      </c>
      <c r="M13" s="43">
        <v>2057.4899999999998</v>
      </c>
      <c r="N13" s="43">
        <v>2439.2800000000002</v>
      </c>
      <c r="O13" s="43">
        <v>2637.51</v>
      </c>
      <c r="P13" s="43">
        <v>2080.89</v>
      </c>
      <c r="Q13" s="43">
        <v>2255.6999999999998</v>
      </c>
      <c r="R13" s="43">
        <v>2397.9</v>
      </c>
      <c r="S13" s="43">
        <v>2336</v>
      </c>
      <c r="T13" s="43">
        <v>2181.92</v>
      </c>
      <c r="U13" s="43">
        <v>2246.9499999999998</v>
      </c>
      <c r="V13" s="43">
        <v>2037.95</v>
      </c>
      <c r="W13" s="43">
        <v>2412.69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2338.6295238095236</v>
      </c>
      <c r="C14" s="44">
        <f t="shared" ref="C14:W14" si="0">AVERAGE($B$13:$V$13)</f>
        <v>2338.6295238095236</v>
      </c>
      <c r="D14" s="44">
        <f t="shared" si="0"/>
        <v>2338.6295238095236</v>
      </c>
      <c r="E14" s="44">
        <f t="shared" si="0"/>
        <v>2338.6295238095236</v>
      </c>
      <c r="F14" s="44">
        <f t="shared" si="0"/>
        <v>2338.6295238095236</v>
      </c>
      <c r="G14" s="44">
        <f t="shared" si="0"/>
        <v>2338.6295238095236</v>
      </c>
      <c r="H14" s="44">
        <f t="shared" si="0"/>
        <v>2338.6295238095236</v>
      </c>
      <c r="I14" s="44">
        <f t="shared" si="0"/>
        <v>2338.6295238095236</v>
      </c>
      <c r="J14" s="44">
        <f t="shared" si="0"/>
        <v>2338.6295238095236</v>
      </c>
      <c r="K14" s="44">
        <f t="shared" si="0"/>
        <v>2338.6295238095236</v>
      </c>
      <c r="L14" s="44">
        <f t="shared" si="0"/>
        <v>2338.6295238095236</v>
      </c>
      <c r="M14" s="44">
        <f t="shared" si="0"/>
        <v>2338.6295238095236</v>
      </c>
      <c r="N14" s="44">
        <f t="shared" si="0"/>
        <v>2338.6295238095236</v>
      </c>
      <c r="O14" s="44">
        <f t="shared" si="0"/>
        <v>2338.6295238095236</v>
      </c>
      <c r="P14" s="44">
        <f t="shared" si="0"/>
        <v>2338.6295238095236</v>
      </c>
      <c r="Q14" s="44">
        <f t="shared" si="0"/>
        <v>2338.6295238095236</v>
      </c>
      <c r="R14" s="44">
        <f t="shared" si="0"/>
        <v>2338.6295238095236</v>
      </c>
      <c r="S14" s="44">
        <f t="shared" si="0"/>
        <v>2338.6295238095236</v>
      </c>
      <c r="T14" s="44">
        <f t="shared" si="0"/>
        <v>2338.6295238095236</v>
      </c>
      <c r="U14" s="44">
        <f t="shared" si="0"/>
        <v>2338.6295238095236</v>
      </c>
      <c r="V14" s="44">
        <f t="shared" si="0"/>
        <v>2338.6295238095236</v>
      </c>
      <c r="W14" s="44">
        <f t="shared" si="0"/>
        <v>2338.6295238095236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0.97100886518396412</v>
      </c>
      <c r="C15" s="46">
        <f t="shared" ref="C15:W15" si="1">C13/C14</f>
        <v>1.0316084593296604</v>
      </c>
      <c r="D15" s="46">
        <f t="shared" si="1"/>
        <v>0.94500218076439579</v>
      </c>
      <c r="E15" s="46">
        <f t="shared" si="1"/>
        <v>1.0151586541731197</v>
      </c>
      <c r="F15" s="46">
        <f t="shared" si="1"/>
        <v>1.0701908850971329</v>
      </c>
      <c r="G15" s="46">
        <f t="shared" si="1"/>
        <v>1.0716746600878579</v>
      </c>
      <c r="H15" s="46">
        <f t="shared" si="1"/>
        <v>0.99008841564106942</v>
      </c>
      <c r="I15" s="46">
        <f t="shared" si="1"/>
        <v>0.96810545533179593</v>
      </c>
      <c r="J15" s="46">
        <f t="shared" si="1"/>
        <v>1.0444792452722618</v>
      </c>
      <c r="K15" s="46">
        <f t="shared" si="1"/>
        <v>1.0197981235245226</v>
      </c>
      <c r="L15" s="46">
        <f t="shared" si="1"/>
        <v>1.1784936313942109</v>
      </c>
      <c r="M15" s="46">
        <f t="shared" si="1"/>
        <v>0.87978449731039055</v>
      </c>
      <c r="N15" s="46">
        <f t="shared" si="1"/>
        <v>1.0430382303677248</v>
      </c>
      <c r="O15" s="46">
        <f t="shared" si="1"/>
        <v>1.1278015492182847</v>
      </c>
      <c r="P15" s="46">
        <f t="shared" si="1"/>
        <v>0.88979035747839297</v>
      </c>
      <c r="Q15" s="46">
        <f t="shared" si="1"/>
        <v>0.96453926414371305</v>
      </c>
      <c r="R15" s="46">
        <f t="shared" si="1"/>
        <v>1.0253441067031119</v>
      </c>
      <c r="S15" s="46">
        <f t="shared" si="1"/>
        <v>0.99887561335271258</v>
      </c>
      <c r="T15" s="46">
        <f t="shared" si="1"/>
        <v>0.93299087255417412</v>
      </c>
      <c r="U15" s="46">
        <f t="shared" si="1"/>
        <v>0.96079775660225919</v>
      </c>
      <c r="V15" s="46">
        <f t="shared" si="1"/>
        <v>0.87142917646924689</v>
      </c>
      <c r="W15" s="46">
        <f t="shared" si="1"/>
        <v>1.0316683234503237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30464.868694006847</v>
      </c>
      <c r="C19" s="34">
        <f t="shared" si="2"/>
        <v>30847.902926257895</v>
      </c>
      <c r="D19" s="34">
        <f t="shared" ref="D19:W19" si="3">D4*1000000/D3</f>
        <v>30972.523618693798</v>
      </c>
      <c r="E19" s="34">
        <f t="shared" si="3"/>
        <v>31005.300901990078</v>
      </c>
      <c r="F19" s="34">
        <f t="shared" si="3"/>
        <v>31663.352485239855</v>
      </c>
      <c r="G19" s="34">
        <f t="shared" si="3"/>
        <v>31943.836923990079</v>
      </c>
      <c r="H19" s="34">
        <f t="shared" si="3"/>
        <v>32489.512323734223</v>
      </c>
      <c r="I19" s="34">
        <f t="shared" si="3"/>
        <v>33060.114752541362</v>
      </c>
      <c r="J19" s="34">
        <f t="shared" si="3"/>
        <v>32956.875210609469</v>
      </c>
      <c r="K19" s="34">
        <f t="shared" si="3"/>
        <v>31839.260927593888</v>
      </c>
      <c r="L19" s="34">
        <f t="shared" si="3"/>
        <v>32305.00691922714</v>
      </c>
      <c r="M19" s="34">
        <f t="shared" si="3"/>
        <v>32851.024237216094</v>
      </c>
      <c r="N19" s="34">
        <f t="shared" si="3"/>
        <v>32803.42925902248</v>
      </c>
      <c r="O19" s="34">
        <f t="shared" si="3"/>
        <v>32829.859895133937</v>
      </c>
      <c r="P19" s="34">
        <f t="shared" si="3"/>
        <v>32860.165172579065</v>
      </c>
      <c r="Q19" s="34">
        <f t="shared" si="3"/>
        <v>33079.944307209378</v>
      </c>
      <c r="R19" s="34">
        <f t="shared" si="3"/>
        <v>33351.725093349662</v>
      </c>
      <c r="S19" s="34">
        <f t="shared" si="3"/>
        <v>34028.518993368234</v>
      </c>
      <c r="T19" s="34">
        <f t="shared" si="3"/>
        <v>34551.463744955865</v>
      </c>
      <c r="U19" s="34">
        <f t="shared" si="3"/>
        <v>35108.855377433079</v>
      </c>
      <c r="V19" s="34">
        <f t="shared" si="3"/>
        <v>32392.773371688163</v>
      </c>
      <c r="W19" s="34">
        <f t="shared" si="3"/>
        <v>34305.696803138337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61004.923243716294</v>
      </c>
      <c r="C20" s="36">
        <f t="shared" si="4"/>
        <v>61590.487369078342</v>
      </c>
      <c r="D20" s="36">
        <f t="shared" ref="D20:W20" si="5">D5*1000000/D6</f>
        <v>62120.414938950555</v>
      </c>
      <c r="E20" s="36">
        <f t="shared" si="5"/>
        <v>62895.871429835599</v>
      </c>
      <c r="F20" s="36">
        <f t="shared" si="5"/>
        <v>64658.87535320843</v>
      </c>
      <c r="G20" s="36">
        <f t="shared" si="5"/>
        <v>65455.789648755643</v>
      </c>
      <c r="H20" s="36">
        <f t="shared" si="5"/>
        <v>66518.581290022194</v>
      </c>
      <c r="I20" s="36">
        <f t="shared" si="5"/>
        <v>67172.754001009249</v>
      </c>
      <c r="J20" s="36">
        <f t="shared" si="5"/>
        <v>67516.20788314614</v>
      </c>
      <c r="K20" s="36">
        <f t="shared" si="5"/>
        <v>66899.469100074348</v>
      </c>
      <c r="L20" s="36">
        <f t="shared" si="5"/>
        <v>67579.337586768379</v>
      </c>
      <c r="M20" s="36">
        <f t="shared" si="5"/>
        <v>68146.140663350729</v>
      </c>
      <c r="N20" s="36">
        <f t="shared" si="5"/>
        <v>68293.557420850833</v>
      </c>
      <c r="O20" s="36">
        <f t="shared" si="5"/>
        <v>68522.556765296802</v>
      </c>
      <c r="P20" s="36">
        <f t="shared" si="5"/>
        <v>68880.465723914152</v>
      </c>
      <c r="Q20" s="36">
        <f t="shared" si="5"/>
        <v>68992.133023422139</v>
      </c>
      <c r="R20" s="36">
        <f t="shared" si="5"/>
        <v>69300.012835379021</v>
      </c>
      <c r="S20" s="36">
        <f t="shared" si="5"/>
        <v>69759.773089188486</v>
      </c>
      <c r="T20" s="36">
        <f t="shared" si="5"/>
        <v>70217.315416840574</v>
      </c>
      <c r="U20" s="36">
        <f t="shared" si="5"/>
        <v>70781.561120766914</v>
      </c>
      <c r="V20" s="36">
        <f t="shared" si="5"/>
        <v>66161.328463958765</v>
      </c>
      <c r="W20" s="36">
        <f t="shared" si="5"/>
        <v>68388.68470941401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20026.978508523873</v>
      </c>
      <c r="C21" s="36">
        <f t="shared" si="6"/>
        <v>20406.496970404783</v>
      </c>
      <c r="D21" s="36">
        <f t="shared" ref="D21:W21" si="7">D5*1000000/D3</f>
        <v>20610.041581130768</v>
      </c>
      <c r="E21" s="36">
        <f t="shared" si="7"/>
        <v>20800.219888200834</v>
      </c>
      <c r="F21" s="36">
        <f t="shared" si="7"/>
        <v>21353.580516812741</v>
      </c>
      <c r="G21" s="36">
        <f t="shared" si="7"/>
        <v>21649.370256409569</v>
      </c>
      <c r="H21" s="36">
        <f t="shared" si="7"/>
        <v>22159.662890558</v>
      </c>
      <c r="I21" s="36">
        <f t="shared" si="7"/>
        <v>22612.534914869255</v>
      </c>
      <c r="J21" s="36">
        <f t="shared" si="7"/>
        <v>22754.62441315351</v>
      </c>
      <c r="K21" s="36">
        <f t="shared" si="7"/>
        <v>22288.308949163504</v>
      </c>
      <c r="L21" s="36">
        <f t="shared" si="7"/>
        <v>22605.928763481574</v>
      </c>
      <c r="M21" s="36">
        <f t="shared" si="7"/>
        <v>22919.283961542842</v>
      </c>
      <c r="N21" s="36">
        <f t="shared" si="7"/>
        <v>22983.183359152048</v>
      </c>
      <c r="O21" s="36">
        <f t="shared" si="7"/>
        <v>23031.185871996553</v>
      </c>
      <c r="P21" s="36">
        <f t="shared" si="7"/>
        <v>23124.297186035859</v>
      </c>
      <c r="Q21" s="36">
        <f t="shared" si="7"/>
        <v>23225.021014351692</v>
      </c>
      <c r="R21" s="36">
        <f t="shared" si="7"/>
        <v>23516.191893745239</v>
      </c>
      <c r="S21" s="36">
        <f t="shared" si="7"/>
        <v>23973.78837456711</v>
      </c>
      <c r="T21" s="36">
        <f t="shared" si="7"/>
        <v>24318.161541833539</v>
      </c>
      <c r="U21" s="36">
        <f t="shared" si="7"/>
        <v>24688.019069630398</v>
      </c>
      <c r="V21" s="36">
        <f t="shared" si="7"/>
        <v>23000.127777992078</v>
      </c>
      <c r="W21" s="36">
        <f t="shared" si="7"/>
        <v>24365.800925922209</v>
      </c>
      <c r="DA21" s="89"/>
    </row>
    <row r="22" spans="1:105" ht="12" customHeight="1" x14ac:dyDescent="0.25">
      <c r="A22" s="51" t="s">
        <v>152</v>
      </c>
      <c r="B22" s="52">
        <v>1.3765468574292024</v>
      </c>
      <c r="C22" s="52">
        <v>1.3669933818847617</v>
      </c>
      <c r="D22" s="52">
        <v>1.3543277213239517</v>
      </c>
      <c r="E22" s="52">
        <v>1.3516570603078819</v>
      </c>
      <c r="F22" s="52">
        <v>1.3558511658420223</v>
      </c>
      <c r="G22" s="52">
        <v>1.3473713794923048</v>
      </c>
      <c r="H22" s="52">
        <v>1.3401661536390315</v>
      </c>
      <c r="I22" s="52">
        <v>1.327169861400928</v>
      </c>
      <c r="J22" s="52">
        <v>1.3181751404474811</v>
      </c>
      <c r="K22" s="52">
        <v>1.3208184836359573</v>
      </c>
      <c r="L22" s="52">
        <v>1.3217858666259412</v>
      </c>
      <c r="M22" s="52">
        <v>1.3151438123854049</v>
      </c>
      <c r="N22" s="52">
        <v>1.3228265344624914</v>
      </c>
      <c r="O22" s="52">
        <v>1.3205662785032708</v>
      </c>
      <c r="P22" s="52">
        <v>1.308761120661287</v>
      </c>
      <c r="Q22" s="52">
        <v>1.2955936705554147</v>
      </c>
      <c r="R22" s="52">
        <v>1.2908786364905711</v>
      </c>
      <c r="S22" s="52">
        <v>1.2821893660741659</v>
      </c>
      <c r="T22" s="52">
        <v>1.2737056928637134</v>
      </c>
      <c r="U22" s="52">
        <v>1.2688704867051765</v>
      </c>
      <c r="V22" s="52">
        <v>1.2523126023943769</v>
      </c>
      <c r="W22" s="52">
        <v>1.2591635254599933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21.479394717519774</v>
      </c>
      <c r="C23" s="53">
        <f t="shared" si="8"/>
        <v>21.514976093979659</v>
      </c>
      <c r="D23" s="53">
        <f t="shared" ref="D23:W23" si="9">D6/D8</f>
        <v>21.388950679962004</v>
      </c>
      <c r="E23" s="53">
        <f t="shared" si="9"/>
        <v>21.168208773001826</v>
      </c>
      <c r="F23" s="53">
        <f t="shared" si="9"/>
        <v>20.9873101960859</v>
      </c>
      <c r="G23" s="53">
        <f t="shared" si="9"/>
        <v>20.888874474860049</v>
      </c>
      <c r="H23" s="53">
        <f t="shared" si="9"/>
        <v>20.880130011496004</v>
      </c>
      <c r="I23" s="53">
        <f t="shared" si="9"/>
        <v>20.858692809085184</v>
      </c>
      <c r="J23" s="53">
        <f t="shared" si="9"/>
        <v>20.701909937330633</v>
      </c>
      <c r="K23" s="53">
        <f t="shared" si="9"/>
        <v>20.440937415131977</v>
      </c>
      <c r="L23" s="53">
        <f t="shared" si="9"/>
        <v>20.378864156618228</v>
      </c>
      <c r="M23" s="53">
        <f t="shared" si="9"/>
        <v>20.322952959056931</v>
      </c>
      <c r="N23" s="53">
        <f t="shared" si="9"/>
        <v>20.275612545274925</v>
      </c>
      <c r="O23" s="53">
        <f t="shared" si="9"/>
        <v>20.223581374958098</v>
      </c>
      <c r="P23" s="53">
        <f t="shared" si="9"/>
        <v>20.125904784122813</v>
      </c>
      <c r="Q23" s="53">
        <f t="shared" si="9"/>
        <v>20.276651060068108</v>
      </c>
      <c r="R23" s="53">
        <f t="shared" si="9"/>
        <v>20.320800207187748</v>
      </c>
      <c r="S23" s="53">
        <f t="shared" si="9"/>
        <v>20.443187154253902</v>
      </c>
      <c r="T23" s="53">
        <f t="shared" si="9"/>
        <v>20.449436829889716</v>
      </c>
      <c r="U23" s="53">
        <f t="shared" si="9"/>
        <v>20.428803399532441</v>
      </c>
      <c r="V23" s="53">
        <f t="shared" si="9"/>
        <v>20.209986855578148</v>
      </c>
      <c r="W23" s="53">
        <f t="shared" si="9"/>
        <v>20.627304185888427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13.755330106881161</v>
      </c>
      <c r="C24" s="54">
        <f t="shared" si="10"/>
        <v>13.85978393405993</v>
      </c>
      <c r="D24" s="54">
        <f t="shared" ref="D24:W24" si="11">D9*1000/D3</f>
        <v>13.960389980814305</v>
      </c>
      <c r="E24" s="54">
        <f t="shared" si="11"/>
        <v>14.060610788672331</v>
      </c>
      <c r="F24" s="54">
        <f t="shared" si="11"/>
        <v>14.162120601388736</v>
      </c>
      <c r="G24" s="54">
        <f t="shared" si="11"/>
        <v>14.250321770876006</v>
      </c>
      <c r="H24" s="54">
        <f t="shared" si="11"/>
        <v>14.359174795026943</v>
      </c>
      <c r="I24" s="54">
        <f t="shared" si="11"/>
        <v>14.524845364797343</v>
      </c>
      <c r="J24" s="54">
        <f t="shared" si="11"/>
        <v>14.651892523499031</v>
      </c>
      <c r="K24" s="54">
        <f t="shared" si="11"/>
        <v>14.668852738384897</v>
      </c>
      <c r="L24" s="54">
        <f t="shared" si="11"/>
        <v>14.773076926121654</v>
      </c>
      <c r="M24" s="54">
        <f t="shared" si="11"/>
        <v>14.8941415707696</v>
      </c>
      <c r="N24" s="54">
        <f t="shared" si="11"/>
        <v>14.938224157281329</v>
      </c>
      <c r="O24" s="54">
        <f t="shared" si="11"/>
        <v>14.957781454926787</v>
      </c>
      <c r="P24" s="54">
        <f t="shared" si="11"/>
        <v>15.012726163677591</v>
      </c>
      <c r="Q24" s="54">
        <f t="shared" si="11"/>
        <v>14.941796780630916</v>
      </c>
      <c r="R24" s="54">
        <f t="shared" si="11"/>
        <v>15.029183390899638</v>
      </c>
      <c r="S24" s="54">
        <f t="shared" si="11"/>
        <v>15.129532651028972</v>
      </c>
      <c r="T24" s="54">
        <f t="shared" si="11"/>
        <v>15.242200671684424</v>
      </c>
      <c r="U24" s="54">
        <f t="shared" si="11"/>
        <v>15.366171914686875</v>
      </c>
      <c r="V24" s="54">
        <f t="shared" si="11"/>
        <v>15.481124748619346</v>
      </c>
      <c r="W24" s="54">
        <f t="shared" si="11"/>
        <v>15.545205828835059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41.900622053651752</v>
      </c>
      <c r="C25" s="54">
        <f t="shared" si="12"/>
        <v>41.831326982131252</v>
      </c>
      <c r="D25" s="54">
        <f t="shared" ref="D25:W25" si="13">D9*1000/D6</f>
        <v>42.077800517963453</v>
      </c>
      <c r="E25" s="54">
        <f t="shared" si="13"/>
        <v>42.51658747564273</v>
      </c>
      <c r="F25" s="54">
        <f t="shared" si="13"/>
        <v>42.883056074896558</v>
      </c>
      <c r="G25" s="54">
        <f t="shared" si="13"/>
        <v>43.085136113157184</v>
      </c>
      <c r="H25" s="54">
        <f t="shared" si="13"/>
        <v>43.103179889420502</v>
      </c>
      <c r="I25" s="54">
        <f t="shared" si="13"/>
        <v>43.147478523102713</v>
      </c>
      <c r="J25" s="54">
        <f t="shared" si="13"/>
        <v>43.474249609070064</v>
      </c>
      <c r="K25" s="54">
        <f t="shared" si="13"/>
        <v>44.029291892149217</v>
      </c>
      <c r="L25" s="54">
        <f t="shared" si="13"/>
        <v>44.16340346955581</v>
      </c>
      <c r="M25" s="54">
        <f t="shared" si="13"/>
        <v>44.284902977099826</v>
      </c>
      <c r="N25" s="54">
        <f t="shared" si="13"/>
        <v>44.388301364031442</v>
      </c>
      <c r="O25" s="54">
        <f t="shared" si="13"/>
        <v>44.502503454429068</v>
      </c>
      <c r="P25" s="54">
        <f t="shared" si="13"/>
        <v>44.718486430980427</v>
      </c>
      <c r="Q25" s="54">
        <f t="shared" si="13"/>
        <v>44.386027916238014</v>
      </c>
      <c r="R25" s="54">
        <f t="shared" si="13"/>
        <v>44.289594446268779</v>
      </c>
      <c r="S25" s="54">
        <f t="shared" si="13"/>
        <v>44.024446540994674</v>
      </c>
      <c r="T25" s="54">
        <f t="shared" si="13"/>
        <v>44.010991964557391</v>
      </c>
      <c r="U25" s="54">
        <f t="shared" si="13"/>
        <v>44.05544379660526</v>
      </c>
      <c r="V25" s="54">
        <f t="shared" si="13"/>
        <v>44.532438661710039</v>
      </c>
      <c r="W25" s="54">
        <f t="shared" si="13"/>
        <v>43.631489209128397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900.00000000000011</v>
      </c>
      <c r="C26" s="55">
        <f t="shared" si="14"/>
        <v>900</v>
      </c>
      <c r="D26" s="55">
        <f t="shared" ref="D26:W26" si="15">D9*1000/D8</f>
        <v>900</v>
      </c>
      <c r="E26" s="55">
        <f t="shared" si="15"/>
        <v>900</v>
      </c>
      <c r="F26" s="55">
        <f t="shared" si="15"/>
        <v>899.99999999999989</v>
      </c>
      <c r="G26" s="55">
        <f t="shared" si="15"/>
        <v>900</v>
      </c>
      <c r="H26" s="55">
        <f t="shared" si="15"/>
        <v>900</v>
      </c>
      <c r="I26" s="55">
        <f t="shared" si="15"/>
        <v>900</v>
      </c>
      <c r="J26" s="55">
        <f t="shared" si="15"/>
        <v>900</v>
      </c>
      <c r="K26" s="55">
        <f t="shared" si="15"/>
        <v>899.99999999999989</v>
      </c>
      <c r="L26" s="55">
        <f t="shared" si="15"/>
        <v>900</v>
      </c>
      <c r="M26" s="55">
        <f t="shared" si="15"/>
        <v>900</v>
      </c>
      <c r="N26" s="55">
        <f t="shared" si="15"/>
        <v>899.99999999999989</v>
      </c>
      <c r="O26" s="55">
        <f t="shared" si="15"/>
        <v>900</v>
      </c>
      <c r="P26" s="55">
        <f t="shared" si="15"/>
        <v>900</v>
      </c>
      <c r="Q26" s="55">
        <f t="shared" si="15"/>
        <v>900.00000000000011</v>
      </c>
      <c r="R26" s="55">
        <f t="shared" si="15"/>
        <v>899.99999999999989</v>
      </c>
      <c r="S26" s="55">
        <f t="shared" si="15"/>
        <v>900</v>
      </c>
      <c r="T26" s="55">
        <f t="shared" si="15"/>
        <v>900.00000000000023</v>
      </c>
      <c r="U26" s="55">
        <f t="shared" si="15"/>
        <v>899.99999999999989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900.00000000000023</v>
      </c>
      <c r="E27" s="57">
        <f t="shared" si="17"/>
        <v>900</v>
      </c>
      <c r="F27" s="57">
        <f t="shared" si="17"/>
        <v>900</v>
      </c>
      <c r="G27" s="57">
        <f t="shared" si="17"/>
        <v>900.00000000000011</v>
      </c>
      <c r="H27" s="57">
        <f t="shared" si="17"/>
        <v>900</v>
      </c>
      <c r="I27" s="57">
        <f t="shared" si="17"/>
        <v>900</v>
      </c>
      <c r="J27" s="57">
        <f t="shared" si="17"/>
        <v>900</v>
      </c>
      <c r="K27" s="57">
        <f t="shared" si="17"/>
        <v>899.99999999999989</v>
      </c>
      <c r="L27" s="57">
        <f t="shared" si="17"/>
        <v>899.99999999999989</v>
      </c>
      <c r="M27" s="57">
        <f t="shared" si="17"/>
        <v>900</v>
      </c>
      <c r="N27" s="57">
        <f t="shared" si="17"/>
        <v>899.99999999999989</v>
      </c>
      <c r="O27" s="57">
        <f t="shared" si="17"/>
        <v>899.99999999999989</v>
      </c>
      <c r="P27" s="57">
        <f t="shared" si="17"/>
        <v>900.00000000000011</v>
      </c>
      <c r="Q27" s="57">
        <f t="shared" si="17"/>
        <v>900</v>
      </c>
      <c r="R27" s="57">
        <f t="shared" si="17"/>
        <v>899.99999999999989</v>
      </c>
      <c r="S27" s="57">
        <f t="shared" si="17"/>
        <v>900.00000000000011</v>
      </c>
      <c r="T27" s="57">
        <f t="shared" si="17"/>
        <v>900</v>
      </c>
      <c r="U27" s="57">
        <f t="shared" si="17"/>
        <v>899.99999999999989</v>
      </c>
      <c r="V27" s="57">
        <f t="shared" si="17"/>
        <v>899.99999999999977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20705.520696018353</v>
      </c>
      <c r="C31" s="80">
        <f t="shared" ref="C31:W31" si="18">SUM(C32:C33,C36:C37,C44:C45)</f>
        <v>21770.016377515283</v>
      </c>
      <c r="D31" s="80">
        <f t="shared" si="18"/>
        <v>20841.777734640316</v>
      </c>
      <c r="E31" s="80">
        <f t="shared" si="18"/>
        <v>22707.755755708393</v>
      </c>
      <c r="F31" s="80">
        <f t="shared" si="18"/>
        <v>23239.050991975484</v>
      </c>
      <c r="G31" s="80">
        <f t="shared" si="18"/>
        <v>23157.832039874938</v>
      </c>
      <c r="H31" s="80">
        <f t="shared" si="18"/>
        <v>22362.600390461594</v>
      </c>
      <c r="I31" s="80">
        <f t="shared" si="18"/>
        <v>21810.365977969486</v>
      </c>
      <c r="J31" s="80">
        <f t="shared" si="18"/>
        <v>22056.383371722783</v>
      </c>
      <c r="K31" s="80">
        <f t="shared" si="18"/>
        <v>23526.424894487551</v>
      </c>
      <c r="L31" s="80">
        <f t="shared" si="18"/>
        <v>24682.326626554634</v>
      </c>
      <c r="M31" s="80">
        <f t="shared" si="18"/>
        <v>21451.029069146964</v>
      </c>
      <c r="N31" s="80">
        <f t="shared" si="18"/>
        <v>22817.832705188321</v>
      </c>
      <c r="O31" s="80">
        <f t="shared" si="18"/>
        <v>23470.693065731062</v>
      </c>
      <c r="P31" s="80">
        <f t="shared" si="18"/>
        <v>21611.422177383658</v>
      </c>
      <c r="Q31" s="80">
        <f t="shared" si="18"/>
        <v>22425.197543523042</v>
      </c>
      <c r="R31" s="80">
        <f t="shared" si="18"/>
        <v>22335.462310505616</v>
      </c>
      <c r="S31" s="80">
        <f t="shared" si="18"/>
        <v>22689.924329303714</v>
      </c>
      <c r="T31" s="80">
        <f t="shared" si="18"/>
        <v>22644.190280543124</v>
      </c>
      <c r="U31" s="80">
        <f t="shared" si="18"/>
        <v>22179.899593810202</v>
      </c>
      <c r="V31" s="80">
        <f t="shared" si="18"/>
        <v>20617.096314989718</v>
      </c>
      <c r="W31" s="80">
        <f t="shared" si="18"/>
        <v>22024.8563549961</v>
      </c>
      <c r="DA31" s="103" t="s">
        <v>198</v>
      </c>
    </row>
    <row r="32" spans="1:105" ht="12" customHeight="1" x14ac:dyDescent="0.25">
      <c r="A32" s="58" t="s">
        <v>29</v>
      </c>
      <c r="B32" s="59">
        <v>257.73860705073082</v>
      </c>
      <c r="C32" s="59">
        <v>251.07472055030092</v>
      </c>
      <c r="D32" s="59">
        <v>173.64092863284606</v>
      </c>
      <c r="E32" s="59">
        <v>196.33121238177119</v>
      </c>
      <c r="F32" s="59">
        <v>193.99071367153914</v>
      </c>
      <c r="G32" s="59">
        <v>204.59544282029231</v>
      </c>
      <c r="H32" s="59">
        <v>200.39174548581252</v>
      </c>
      <c r="I32" s="59">
        <v>190.64677558039548</v>
      </c>
      <c r="J32" s="59">
        <v>170.77480653482368</v>
      </c>
      <c r="K32" s="59">
        <v>149.6130696474635</v>
      </c>
      <c r="L32" s="59">
        <v>167.71762682717107</v>
      </c>
      <c r="M32" s="59">
        <v>46.226397248495267</v>
      </c>
      <c r="N32" s="59">
        <v>51.62269991401547</v>
      </c>
      <c r="O32" s="59">
        <v>55.54496990541702</v>
      </c>
      <c r="P32" s="59">
        <v>41.443336199484087</v>
      </c>
      <c r="Q32" s="59">
        <v>42.534393809114363</v>
      </c>
      <c r="R32" s="59">
        <v>44.112381771281171</v>
      </c>
      <c r="S32" s="59">
        <v>41.214617368873597</v>
      </c>
      <c r="T32" s="59">
        <v>36.258039552880476</v>
      </c>
      <c r="U32" s="59">
        <v>34.85717970765262</v>
      </c>
      <c r="V32" s="59">
        <v>30.631384350816845</v>
      </c>
      <c r="W32" s="59">
        <v>36.360791057609632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4962.5131556319857</v>
      </c>
      <c r="C33" s="55">
        <f t="shared" ref="C33:W33" si="19">SUM(C34:C35)</f>
        <v>5178.9744625967323</v>
      </c>
      <c r="D33" s="55">
        <f t="shared" si="19"/>
        <v>4685.8244196044716</v>
      </c>
      <c r="E33" s="55">
        <f t="shared" si="19"/>
        <v>4883.621496130695</v>
      </c>
      <c r="F33" s="55">
        <f t="shared" si="19"/>
        <v>4881.4674118658641</v>
      </c>
      <c r="G33" s="55">
        <f t="shared" si="19"/>
        <v>4543.8844368013761</v>
      </c>
      <c r="H33" s="55">
        <f t="shared" si="19"/>
        <v>4170.5243336199483</v>
      </c>
      <c r="I33" s="55">
        <f t="shared" si="19"/>
        <v>3718.9701633705927</v>
      </c>
      <c r="J33" s="55">
        <f t="shared" si="19"/>
        <v>4340.5265692175408</v>
      </c>
      <c r="K33" s="55">
        <f t="shared" si="19"/>
        <v>4185.7881341358552</v>
      </c>
      <c r="L33" s="55">
        <f t="shared" si="19"/>
        <v>3885.652364574376</v>
      </c>
      <c r="M33" s="55">
        <f t="shared" si="19"/>
        <v>3341.2128976784174</v>
      </c>
      <c r="N33" s="55">
        <f t="shared" si="19"/>
        <v>3332.5709372312986</v>
      </c>
      <c r="O33" s="55">
        <f t="shared" si="19"/>
        <v>3343.5738607050725</v>
      </c>
      <c r="P33" s="55">
        <f t="shared" si="19"/>
        <v>3017.6222699914019</v>
      </c>
      <c r="Q33" s="55">
        <f t="shared" si="19"/>
        <v>3148.6979363714527</v>
      </c>
      <c r="R33" s="55">
        <f t="shared" si="19"/>
        <v>2796.4190885640587</v>
      </c>
      <c r="S33" s="55">
        <f t="shared" si="19"/>
        <v>2925.9042132416162</v>
      </c>
      <c r="T33" s="55">
        <f t="shared" si="19"/>
        <v>2719.1756663800516</v>
      </c>
      <c r="U33" s="55">
        <f t="shared" si="19"/>
        <v>2674.2274290627679</v>
      </c>
      <c r="V33" s="55">
        <f t="shared" si="19"/>
        <v>2508.1263972484949</v>
      </c>
      <c r="W33" s="55">
        <f t="shared" si="19"/>
        <v>2516.5657781599316</v>
      </c>
      <c r="DA33" s="101"/>
    </row>
    <row r="34" spans="1:105" ht="12" customHeight="1" x14ac:dyDescent="0.25">
      <c r="A34" s="61" t="s">
        <v>52</v>
      </c>
      <c r="B34" s="55">
        <v>341.18177128116929</v>
      </c>
      <c r="C34" s="55">
        <v>160.42330180567498</v>
      </c>
      <c r="D34" s="55">
        <v>439.46921754084264</v>
      </c>
      <c r="E34" s="55">
        <v>510.89140154772139</v>
      </c>
      <c r="F34" s="55">
        <v>573.32226999140141</v>
      </c>
      <c r="G34" s="55">
        <v>469.58607050730865</v>
      </c>
      <c r="H34" s="55">
        <v>399.97411865864143</v>
      </c>
      <c r="I34" s="55">
        <v>437.75374032674108</v>
      </c>
      <c r="J34" s="55">
        <v>494.47033533963884</v>
      </c>
      <c r="K34" s="55">
        <v>483.45159071367152</v>
      </c>
      <c r="L34" s="55">
        <v>511.92742906276862</v>
      </c>
      <c r="M34" s="55">
        <v>485.79174548581256</v>
      </c>
      <c r="N34" s="55">
        <v>406.32674118658633</v>
      </c>
      <c r="O34" s="55">
        <v>346.69200343938087</v>
      </c>
      <c r="P34" s="55">
        <v>344.05511607910574</v>
      </c>
      <c r="Q34" s="55">
        <v>381.55348237317276</v>
      </c>
      <c r="R34" s="55">
        <v>358.17325881341367</v>
      </c>
      <c r="S34" s="55">
        <v>388.93662940670674</v>
      </c>
      <c r="T34" s="55">
        <v>298.22545141874463</v>
      </c>
      <c r="U34" s="55">
        <v>333.37257093723127</v>
      </c>
      <c r="V34" s="55">
        <v>273.11263972484943</v>
      </c>
      <c r="W34" s="55">
        <v>294.34926913155635</v>
      </c>
      <c r="DA34" s="101" t="s">
        <v>200</v>
      </c>
    </row>
    <row r="35" spans="1:105" ht="12" customHeight="1" x14ac:dyDescent="0.25">
      <c r="A35" s="61" t="s">
        <v>170</v>
      </c>
      <c r="B35" s="55">
        <v>4621.3313843508167</v>
      </c>
      <c r="C35" s="55">
        <v>5018.5511607910576</v>
      </c>
      <c r="D35" s="55">
        <v>4246.3552020636289</v>
      </c>
      <c r="E35" s="55">
        <v>4372.7300945829738</v>
      </c>
      <c r="F35" s="55">
        <v>4308.1451418744628</v>
      </c>
      <c r="G35" s="55">
        <v>4074.2983662940674</v>
      </c>
      <c r="H35" s="55">
        <v>3770.5502149613067</v>
      </c>
      <c r="I35" s="55">
        <v>3281.2164230438516</v>
      </c>
      <c r="J35" s="55">
        <v>3846.0562338779018</v>
      </c>
      <c r="K35" s="55">
        <v>3702.3365434221837</v>
      </c>
      <c r="L35" s="55">
        <v>3373.7249355116073</v>
      </c>
      <c r="M35" s="55">
        <v>2855.4211521926049</v>
      </c>
      <c r="N35" s="55">
        <v>2926.2441960447122</v>
      </c>
      <c r="O35" s="55">
        <v>2996.8818572656919</v>
      </c>
      <c r="P35" s="55">
        <v>2673.5671539122964</v>
      </c>
      <c r="Q35" s="55">
        <v>2767.1444539982799</v>
      </c>
      <c r="R35" s="55">
        <v>2438.245829750645</v>
      </c>
      <c r="S35" s="55">
        <v>2536.9675838349094</v>
      </c>
      <c r="T35" s="55">
        <v>2420.9502149613068</v>
      </c>
      <c r="U35" s="55">
        <v>2340.8548581255368</v>
      </c>
      <c r="V35" s="55">
        <v>2235.0137575236454</v>
      </c>
      <c r="W35" s="55">
        <v>2222.2165090283752</v>
      </c>
      <c r="DA35" s="101" t="s">
        <v>201</v>
      </c>
    </row>
    <row r="36" spans="1:105" ht="12" customHeight="1" x14ac:dyDescent="0.25">
      <c r="A36" s="60" t="s">
        <v>153</v>
      </c>
      <c r="B36" s="55">
        <v>4539.0963026655199</v>
      </c>
      <c r="C36" s="55">
        <v>4631.4795356835766</v>
      </c>
      <c r="D36" s="55">
        <v>4137.9940670679271</v>
      </c>
      <c r="E36" s="55">
        <v>5306.742562338778</v>
      </c>
      <c r="F36" s="55">
        <v>5503.6130696474629</v>
      </c>
      <c r="G36" s="55">
        <v>5609.5898538263109</v>
      </c>
      <c r="H36" s="55">
        <v>4983.893723129836</v>
      </c>
      <c r="I36" s="55">
        <v>5221.7824591573517</v>
      </c>
      <c r="J36" s="55">
        <v>4821.0180567497846</v>
      </c>
      <c r="K36" s="55">
        <v>5991.5932072226997</v>
      </c>
      <c r="L36" s="55">
        <v>6749.3625107480648</v>
      </c>
      <c r="M36" s="55">
        <v>5211.3773000859837</v>
      </c>
      <c r="N36" s="55">
        <v>5956.903611349956</v>
      </c>
      <c r="O36" s="55">
        <v>6404.6479793637136</v>
      </c>
      <c r="P36" s="55">
        <v>5501.5057609630258</v>
      </c>
      <c r="Q36" s="55">
        <v>5849.0595872742915</v>
      </c>
      <c r="R36" s="55">
        <v>5948.8623387790194</v>
      </c>
      <c r="S36" s="55">
        <v>6149.3067927772991</v>
      </c>
      <c r="T36" s="55">
        <v>6414.9878761822865</v>
      </c>
      <c r="U36" s="55">
        <v>6280.4350816852966</v>
      </c>
      <c r="V36" s="55">
        <v>5740.3435941530524</v>
      </c>
      <c r="W36" s="55">
        <v>6510.4819432502145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367.63155631986251</v>
      </c>
      <c r="C37" s="55">
        <f t="shared" ref="C37:W37" si="20">SUM(C38:C42)</f>
        <v>418.81625107480659</v>
      </c>
      <c r="D37" s="55">
        <f t="shared" si="20"/>
        <v>524.62502149613067</v>
      </c>
      <c r="E37" s="55">
        <f t="shared" si="20"/>
        <v>585.02914875322426</v>
      </c>
      <c r="F37" s="55">
        <f t="shared" si="20"/>
        <v>617.22562338779028</v>
      </c>
      <c r="G37" s="55">
        <f t="shared" si="20"/>
        <v>336.03241616509024</v>
      </c>
      <c r="H37" s="55">
        <f t="shared" si="20"/>
        <v>264.83233018056745</v>
      </c>
      <c r="I37" s="55">
        <f t="shared" si="20"/>
        <v>389.76345657781604</v>
      </c>
      <c r="J37" s="55">
        <f t="shared" si="20"/>
        <v>413.83628546861559</v>
      </c>
      <c r="K37" s="55">
        <f t="shared" si="20"/>
        <v>521.68839208942393</v>
      </c>
      <c r="L37" s="55">
        <f t="shared" si="20"/>
        <v>456.70894239036943</v>
      </c>
      <c r="M37" s="55">
        <f t="shared" si="20"/>
        <v>304.91814273430776</v>
      </c>
      <c r="N37" s="55">
        <f t="shared" si="20"/>
        <v>382.11169389509888</v>
      </c>
      <c r="O37" s="55">
        <f t="shared" si="20"/>
        <v>514.27712811693868</v>
      </c>
      <c r="P37" s="55">
        <f t="shared" si="20"/>
        <v>473.84832330180564</v>
      </c>
      <c r="Q37" s="55">
        <f t="shared" si="20"/>
        <v>451.08486672398953</v>
      </c>
      <c r="R37" s="55">
        <f t="shared" si="20"/>
        <v>513.76182287188294</v>
      </c>
      <c r="S37" s="55">
        <f t="shared" si="20"/>
        <v>566.77893379191732</v>
      </c>
      <c r="T37" s="55">
        <f t="shared" si="20"/>
        <v>544.89888220120372</v>
      </c>
      <c r="U37" s="55">
        <f t="shared" si="20"/>
        <v>569.2841788478072</v>
      </c>
      <c r="V37" s="55">
        <f t="shared" si="20"/>
        <v>587.0545141874461</v>
      </c>
      <c r="W37" s="55">
        <f t="shared" si="20"/>
        <v>670.50567497850398</v>
      </c>
      <c r="DA37" s="101"/>
    </row>
    <row r="38" spans="1:105" ht="12" customHeight="1" x14ac:dyDescent="0.25">
      <c r="A38" s="61" t="s">
        <v>171</v>
      </c>
      <c r="B38" s="55">
        <v>303.71642304385222</v>
      </c>
      <c r="C38" s="55">
        <v>354.63834909716257</v>
      </c>
      <c r="D38" s="55">
        <v>414.0632846087704</v>
      </c>
      <c r="E38" s="55">
        <v>476.44987102321574</v>
      </c>
      <c r="F38" s="55">
        <v>508.69406706792785</v>
      </c>
      <c r="G38" s="55">
        <v>288.86027515047289</v>
      </c>
      <c r="H38" s="55">
        <v>211.33086844368012</v>
      </c>
      <c r="I38" s="55">
        <v>335.5215821152193</v>
      </c>
      <c r="J38" s="55">
        <v>360.78856405846943</v>
      </c>
      <c r="K38" s="55">
        <v>468.12717110920039</v>
      </c>
      <c r="L38" s="55">
        <v>400.2337059329318</v>
      </c>
      <c r="M38" s="55">
        <v>254.71848667239891</v>
      </c>
      <c r="N38" s="55">
        <v>313.81977644024073</v>
      </c>
      <c r="O38" s="55">
        <v>436.88985382631103</v>
      </c>
      <c r="P38" s="55">
        <v>379.75193465176267</v>
      </c>
      <c r="Q38" s="55">
        <v>353.71332760103172</v>
      </c>
      <c r="R38" s="55">
        <v>392.55356835769544</v>
      </c>
      <c r="S38" s="55">
        <v>404.16895958727423</v>
      </c>
      <c r="T38" s="55">
        <v>369.68942390369733</v>
      </c>
      <c r="U38" s="55">
        <v>376.9503009458295</v>
      </c>
      <c r="V38" s="55">
        <v>396.28443680137565</v>
      </c>
      <c r="W38" s="55">
        <v>481.64703353396396</v>
      </c>
      <c r="DA38" s="101" t="s">
        <v>203</v>
      </c>
    </row>
    <row r="39" spans="1:105" ht="12" customHeight="1" x14ac:dyDescent="0.25">
      <c r="A39" s="61" t="s">
        <v>50</v>
      </c>
      <c r="B39" s="55">
        <v>63.915133276010309</v>
      </c>
      <c r="C39" s="55">
        <v>64.177901977644026</v>
      </c>
      <c r="D39" s="55">
        <v>68.907050730868434</v>
      </c>
      <c r="E39" s="55">
        <v>66.590197764402404</v>
      </c>
      <c r="F39" s="55">
        <v>66.231986242476353</v>
      </c>
      <c r="G39" s="55">
        <v>31.002235597592431</v>
      </c>
      <c r="H39" s="55">
        <v>37.283834909716248</v>
      </c>
      <c r="I39" s="55">
        <v>37.785382631126403</v>
      </c>
      <c r="J39" s="55">
        <v>36.161306964746338</v>
      </c>
      <c r="K39" s="55">
        <v>36.280653482373182</v>
      </c>
      <c r="L39" s="55">
        <v>38.740842648323287</v>
      </c>
      <c r="M39" s="55">
        <v>27.027687016337062</v>
      </c>
      <c r="N39" s="55">
        <v>41.810318142734303</v>
      </c>
      <c r="O39" s="55">
        <v>49.608770421324159</v>
      </c>
      <c r="P39" s="55">
        <v>66.525451418744623</v>
      </c>
      <c r="Q39" s="55">
        <v>69.084178847807379</v>
      </c>
      <c r="R39" s="55">
        <v>81.953310404127251</v>
      </c>
      <c r="S39" s="55">
        <v>109.58254514187441</v>
      </c>
      <c r="T39" s="55">
        <v>118.097592433362</v>
      </c>
      <c r="U39" s="55">
        <v>126.5028374892519</v>
      </c>
      <c r="V39" s="55">
        <v>137.57738607050729</v>
      </c>
      <c r="W39" s="55">
        <v>144.39750644883921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1.2295786758383489E-2</v>
      </c>
      <c r="R40" s="55">
        <v>10.451074806534823</v>
      </c>
      <c r="S40" s="55">
        <v>23.816423043852105</v>
      </c>
      <c r="T40" s="55">
        <v>27.562768701633711</v>
      </c>
      <c r="U40" s="55">
        <v>35.872484952708518</v>
      </c>
      <c r="V40" s="55">
        <v>23.041272570937224</v>
      </c>
      <c r="W40" s="55">
        <v>14.346517626827174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1.7674978503869301</v>
      </c>
      <c r="H41" s="55">
        <v>1.8152192605331039</v>
      </c>
      <c r="I41" s="55">
        <v>2.0540842648323299</v>
      </c>
      <c r="J41" s="55">
        <v>2.4840068787618228</v>
      </c>
      <c r="K41" s="55">
        <v>2.8900257953568351</v>
      </c>
      <c r="L41" s="55">
        <v>3.3438521066208078</v>
      </c>
      <c r="M41" s="55">
        <v>5.4142734307824592</v>
      </c>
      <c r="N41" s="55">
        <v>8.7239036973344799</v>
      </c>
      <c r="O41" s="55">
        <v>10.02080825451419</v>
      </c>
      <c r="P41" s="55">
        <v>10.8481513327601</v>
      </c>
      <c r="Q41" s="55">
        <v>11.552278589853829</v>
      </c>
      <c r="R41" s="55">
        <v>12.081083404987099</v>
      </c>
      <c r="S41" s="55">
        <v>12.48822012037833</v>
      </c>
      <c r="T41" s="55">
        <v>12.82631126397248</v>
      </c>
      <c r="U41" s="55">
        <v>13.23576956147893</v>
      </c>
      <c r="V41" s="55">
        <v>13.42863284608771</v>
      </c>
      <c r="W41" s="55">
        <v>13.39183147033534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41.654686156491827</v>
      </c>
      <c r="E42" s="55">
        <v>41.989079965606187</v>
      </c>
      <c r="F42" s="55">
        <v>42.299570077386072</v>
      </c>
      <c r="G42" s="55">
        <v>14.402407566638001</v>
      </c>
      <c r="H42" s="55">
        <v>14.402407566638001</v>
      </c>
      <c r="I42" s="55">
        <v>14.402407566638001</v>
      </c>
      <c r="J42" s="55">
        <v>14.402407566638001</v>
      </c>
      <c r="K42" s="55">
        <v>14.39054170249355</v>
      </c>
      <c r="L42" s="55">
        <v>14.39054170249355</v>
      </c>
      <c r="M42" s="55">
        <v>17.757695614789341</v>
      </c>
      <c r="N42" s="55">
        <v>17.757695614789341</v>
      </c>
      <c r="O42" s="55">
        <v>17.757695614789341</v>
      </c>
      <c r="P42" s="55">
        <v>16.722785898538259</v>
      </c>
      <c r="Q42" s="55">
        <v>16.722785898538259</v>
      </c>
      <c r="R42" s="55">
        <v>16.722785898538259</v>
      </c>
      <c r="S42" s="55">
        <v>16.722785898538259</v>
      </c>
      <c r="T42" s="55">
        <v>16.722785898538259</v>
      </c>
      <c r="U42" s="55">
        <v>16.722785898538259</v>
      </c>
      <c r="V42" s="55">
        <v>16.722785898538259</v>
      </c>
      <c r="W42" s="55">
        <v>16.722785898538259</v>
      </c>
      <c r="DA42" s="101" t="s">
        <v>207</v>
      </c>
    </row>
    <row r="43" spans="1:105" ht="12" customHeight="1" x14ac:dyDescent="0.25">
      <c r="A43" s="61" t="s">
        <v>157</v>
      </c>
      <c r="B43" s="55">
        <v>22.05192204460754</v>
      </c>
      <c r="C43" s="55">
        <v>26.120950868827286</v>
      </c>
      <c r="D43" s="55">
        <v>35.019446411324061</v>
      </c>
      <c r="E43" s="55">
        <v>43.204236054059344</v>
      </c>
      <c r="F43" s="55">
        <v>53.860275150472859</v>
      </c>
      <c r="G43" s="55">
        <v>70.898108340498666</v>
      </c>
      <c r="H43" s="55">
        <v>84.820378331900315</v>
      </c>
      <c r="I43" s="55">
        <v>95.627601031814265</v>
      </c>
      <c r="J43" s="55">
        <v>117.2779879621667</v>
      </c>
      <c r="K43" s="55">
        <v>134.89707652622528</v>
      </c>
      <c r="L43" s="55">
        <v>157.83516766981933</v>
      </c>
      <c r="M43" s="55">
        <v>262.04961306964753</v>
      </c>
      <c r="N43" s="55">
        <v>320.19122957867592</v>
      </c>
      <c r="O43" s="55">
        <v>371.01779879621682</v>
      </c>
      <c r="P43" s="55">
        <v>326.84247635425635</v>
      </c>
      <c r="Q43" s="55">
        <v>362.06302665520201</v>
      </c>
      <c r="R43" s="55">
        <v>406.20507308684438</v>
      </c>
      <c r="S43" s="55">
        <v>404.35202063628532</v>
      </c>
      <c r="T43" s="55">
        <v>391.81410146173727</v>
      </c>
      <c r="U43" s="55">
        <v>410.93413585554606</v>
      </c>
      <c r="V43" s="55">
        <v>391.6374032674118</v>
      </c>
      <c r="W43" s="55">
        <v>465.21530524505579</v>
      </c>
      <c r="DA43" s="101" t="s">
        <v>208</v>
      </c>
    </row>
    <row r="44" spans="1:105" ht="12" customHeight="1" x14ac:dyDescent="0.25">
      <c r="A44" s="60" t="s">
        <v>169</v>
      </c>
      <c r="B44" s="55">
        <v>1172.4650705250606</v>
      </c>
      <c r="C44" s="55">
        <v>1420.9874765972766</v>
      </c>
      <c r="D44" s="55">
        <v>1480.047810418127</v>
      </c>
      <c r="E44" s="55">
        <v>1435.4236951582425</v>
      </c>
      <c r="F44" s="55">
        <v>1455.7364847948982</v>
      </c>
      <c r="G44" s="55">
        <v>1508.565366332529</v>
      </c>
      <c r="H44" s="55">
        <v>1417.2139895099117</v>
      </c>
      <c r="I44" s="55">
        <v>703.46680997420458</v>
      </c>
      <c r="J44" s="55">
        <v>766.15855546001717</v>
      </c>
      <c r="K44" s="55">
        <v>682.32355975924327</v>
      </c>
      <c r="L44" s="55">
        <v>756.15907136715384</v>
      </c>
      <c r="M44" s="55">
        <v>642.4160791057609</v>
      </c>
      <c r="N44" s="55">
        <v>655.42846087704208</v>
      </c>
      <c r="O44" s="55">
        <v>693.94299226139287</v>
      </c>
      <c r="P44" s="55">
        <v>656.07987962166806</v>
      </c>
      <c r="Q44" s="55">
        <v>711.89535683576958</v>
      </c>
      <c r="R44" s="55">
        <v>788.34256233877909</v>
      </c>
      <c r="S44" s="55">
        <v>808.62665520206349</v>
      </c>
      <c r="T44" s="55">
        <v>804.0595012897677</v>
      </c>
      <c r="U44" s="55">
        <v>801.05846947549435</v>
      </c>
      <c r="V44" s="55">
        <v>819.6937231298366</v>
      </c>
      <c r="W44" s="55">
        <v>911.54918314703343</v>
      </c>
      <c r="DA44" s="101" t="s">
        <v>209</v>
      </c>
    </row>
    <row r="45" spans="1:105" ht="12" customHeight="1" x14ac:dyDescent="0.25">
      <c r="A45" s="62" t="s">
        <v>24</v>
      </c>
      <c r="B45" s="63">
        <v>9406.0760038251938</v>
      </c>
      <c r="C45" s="63">
        <v>9868.6839310125906</v>
      </c>
      <c r="D45" s="63">
        <v>9839.6454874208121</v>
      </c>
      <c r="E45" s="63">
        <v>10300.607640945682</v>
      </c>
      <c r="F45" s="63">
        <v>10587.017688607928</v>
      </c>
      <c r="G45" s="63">
        <v>10955.164523929341</v>
      </c>
      <c r="H45" s="63">
        <v>11325.74426853552</v>
      </c>
      <c r="I45" s="63">
        <v>11585.736313309126</v>
      </c>
      <c r="J45" s="63">
        <v>11544.069098292</v>
      </c>
      <c r="K45" s="63">
        <v>11995.418531632866</v>
      </c>
      <c r="L45" s="63">
        <v>12666.726110647502</v>
      </c>
      <c r="M45" s="63">
        <v>11904.878252293998</v>
      </c>
      <c r="N45" s="63">
        <v>12439.195301920912</v>
      </c>
      <c r="O45" s="63">
        <v>12458.706135378527</v>
      </c>
      <c r="P45" s="63">
        <v>11920.922607306273</v>
      </c>
      <c r="Q45" s="63">
        <v>12221.925402508421</v>
      </c>
      <c r="R45" s="63">
        <v>12243.964116180596</v>
      </c>
      <c r="S45" s="63">
        <v>12198.093116921942</v>
      </c>
      <c r="T45" s="63">
        <v>12124.810314936934</v>
      </c>
      <c r="U45" s="63">
        <v>11820.037255031184</v>
      </c>
      <c r="V45" s="63">
        <v>10931.24670192007</v>
      </c>
      <c r="W45" s="63">
        <v>11379.392984402808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20705.52069601835</v>
      </c>
      <c r="C47" s="82">
        <f t="shared" ref="C47:W47" si="22">SUM(C48,C53)</f>
        <v>21770.016377515283</v>
      </c>
      <c r="D47" s="82">
        <f t="shared" si="22"/>
        <v>20841.777734640313</v>
      </c>
      <c r="E47" s="82">
        <f t="shared" si="22"/>
        <v>22707.755755708396</v>
      </c>
      <c r="F47" s="82">
        <f t="shared" si="22"/>
        <v>23239.050991975484</v>
      </c>
      <c r="G47" s="82">
        <f t="shared" si="22"/>
        <v>23157.832039874935</v>
      </c>
      <c r="H47" s="82">
        <f t="shared" si="22"/>
        <v>22362.600390461597</v>
      </c>
      <c r="I47" s="82">
        <f t="shared" si="22"/>
        <v>21810.365977969486</v>
      </c>
      <c r="J47" s="82">
        <f t="shared" si="22"/>
        <v>22056.383371722779</v>
      </c>
      <c r="K47" s="82">
        <f t="shared" si="22"/>
        <v>23526.424894487554</v>
      </c>
      <c r="L47" s="82">
        <f t="shared" si="22"/>
        <v>24682.326626554648</v>
      </c>
      <c r="M47" s="82">
        <f t="shared" si="22"/>
        <v>21451.02906914696</v>
      </c>
      <c r="N47" s="82">
        <f t="shared" si="22"/>
        <v>22817.832705188324</v>
      </c>
      <c r="O47" s="82">
        <f t="shared" si="22"/>
        <v>23470.693065731051</v>
      </c>
      <c r="P47" s="82">
        <f t="shared" si="22"/>
        <v>21611.422177383654</v>
      </c>
      <c r="Q47" s="82">
        <f t="shared" si="22"/>
        <v>22425.197543523049</v>
      </c>
      <c r="R47" s="82">
        <f t="shared" si="22"/>
        <v>22335.462310505616</v>
      </c>
      <c r="S47" s="82">
        <f t="shared" si="22"/>
        <v>22689.924329303711</v>
      </c>
      <c r="T47" s="82">
        <f t="shared" si="22"/>
        <v>22644.190280543131</v>
      </c>
      <c r="U47" s="82">
        <f t="shared" si="22"/>
        <v>22179.899593810202</v>
      </c>
      <c r="V47" s="82">
        <f t="shared" si="22"/>
        <v>20617.096314989718</v>
      </c>
      <c r="W47" s="82">
        <f t="shared" si="22"/>
        <v>22024.856354996104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16500.295227406037</v>
      </c>
      <c r="C48" s="64">
        <f t="shared" ref="C48:W48" si="24">SUM(C49:C52)</f>
        <v>17397.172666760624</v>
      </c>
      <c r="D48" s="64">
        <f t="shared" si="24"/>
        <v>16291.826286620206</v>
      </c>
      <c r="E48" s="64">
        <f t="shared" si="24"/>
        <v>17968.7108421999</v>
      </c>
      <c r="F48" s="64">
        <f t="shared" si="24"/>
        <v>18295.783019637085</v>
      </c>
      <c r="G48" s="64">
        <f t="shared" si="24"/>
        <v>18050.894372065155</v>
      </c>
      <c r="H48" s="64">
        <f t="shared" si="24"/>
        <v>17109.33986068287</v>
      </c>
      <c r="I48" s="64">
        <f t="shared" si="24"/>
        <v>16403.613891868506</v>
      </c>
      <c r="J48" s="64">
        <f t="shared" si="24"/>
        <v>16520.89426550407</v>
      </c>
      <c r="K48" s="64">
        <f t="shared" si="24"/>
        <v>17893.640338998837</v>
      </c>
      <c r="L48" s="64">
        <f t="shared" si="24"/>
        <v>18957.406276248657</v>
      </c>
      <c r="M48" s="64">
        <f t="shared" si="24"/>
        <v>15646.62970342159</v>
      </c>
      <c r="N48" s="64">
        <f t="shared" si="24"/>
        <v>16938.313937637708</v>
      </c>
      <c r="O48" s="64">
        <f t="shared" si="24"/>
        <v>17526.014355306812</v>
      </c>
      <c r="P48" s="64">
        <f t="shared" si="24"/>
        <v>15512.606733615365</v>
      </c>
      <c r="Q48" s="64">
        <f t="shared" si="24"/>
        <v>16246.895966394724</v>
      </c>
      <c r="R48" s="64">
        <f t="shared" si="24"/>
        <v>16173.838766253291</v>
      </c>
      <c r="S48" s="64">
        <f t="shared" si="24"/>
        <v>16476.001070602117</v>
      </c>
      <c r="T48" s="64">
        <f t="shared" si="24"/>
        <v>16473.293937214276</v>
      </c>
      <c r="U48" s="64">
        <f t="shared" si="24"/>
        <v>16062.181586309864</v>
      </c>
      <c r="V48" s="64">
        <f t="shared" si="24"/>
        <v>14820.203350979315</v>
      </c>
      <c r="W48" s="64">
        <f t="shared" si="24"/>
        <v>16185.564197408889</v>
      </c>
      <c r="DA48" s="108" t="s">
        <v>212</v>
      </c>
    </row>
    <row r="49" spans="1:105" ht="12" customHeight="1" x14ac:dyDescent="0.25">
      <c r="A49" s="61" t="s">
        <v>32</v>
      </c>
      <c r="B49" s="65">
        <v>12553.871306199291</v>
      </c>
      <c r="C49" s="65">
        <v>13453.120619778681</v>
      </c>
      <c r="D49" s="65">
        <v>12242.118655853179</v>
      </c>
      <c r="E49" s="65">
        <v>13670.641392178268</v>
      </c>
      <c r="F49" s="65">
        <v>14103.062349523134</v>
      </c>
      <c r="G49" s="65">
        <v>13895.928848905103</v>
      </c>
      <c r="H49" s="65">
        <v>12902.814182393038</v>
      </c>
      <c r="I49" s="65">
        <v>12224.105502665032</v>
      </c>
      <c r="J49" s="65">
        <v>12228.901124551052</v>
      </c>
      <c r="K49" s="65">
        <v>13419.585596595949</v>
      </c>
      <c r="L49" s="65">
        <v>14438.507880157385</v>
      </c>
      <c r="M49" s="65">
        <v>11092.740993427291</v>
      </c>
      <c r="N49" s="65">
        <v>12350.687267945919</v>
      </c>
      <c r="O49" s="65">
        <v>12903.513568398032</v>
      </c>
      <c r="P49" s="65">
        <v>10867.544693204614</v>
      </c>
      <c r="Q49" s="65">
        <v>11471.068915743053</v>
      </c>
      <c r="R49" s="65">
        <v>11431.018174101031</v>
      </c>
      <c r="S49" s="65">
        <v>11698.58657650329</v>
      </c>
      <c r="T49" s="65">
        <v>11689.705428556979</v>
      </c>
      <c r="U49" s="65">
        <v>11332.884819501247</v>
      </c>
      <c r="V49" s="65">
        <v>10435.40376293943</v>
      </c>
      <c r="W49" s="65">
        <v>11548.459024803764</v>
      </c>
      <c r="DA49" s="109" t="s">
        <v>213</v>
      </c>
    </row>
    <row r="50" spans="1:105" ht="12" customHeight="1" x14ac:dyDescent="0.25">
      <c r="A50" s="61" t="s">
        <v>31</v>
      </c>
      <c r="B50" s="65">
        <v>293.57586269029531</v>
      </c>
      <c r="C50" s="65">
        <v>323.49421005519736</v>
      </c>
      <c r="D50" s="65">
        <v>321.4119933028955</v>
      </c>
      <c r="E50" s="65">
        <v>577.81299374808054</v>
      </c>
      <c r="F50" s="65">
        <v>346.28875051353339</v>
      </c>
      <c r="G50" s="65">
        <v>382.89739071192639</v>
      </c>
      <c r="H50" s="65">
        <v>462.95552826994026</v>
      </c>
      <c r="I50" s="65">
        <v>374.61876984791968</v>
      </c>
      <c r="J50" s="65">
        <v>384.26711519106061</v>
      </c>
      <c r="K50" s="65">
        <v>425.78646000960782</v>
      </c>
      <c r="L50" s="65">
        <v>426.54789791944569</v>
      </c>
      <c r="M50" s="65">
        <v>422.95838072146296</v>
      </c>
      <c r="N50" s="65">
        <v>440.7390943142027</v>
      </c>
      <c r="O50" s="65">
        <v>433.419932087554</v>
      </c>
      <c r="P50" s="65">
        <v>403.92372687346739</v>
      </c>
      <c r="Q50" s="65">
        <v>505.42864675527966</v>
      </c>
      <c r="R50" s="65">
        <v>438.59104497905582</v>
      </c>
      <c r="S50" s="65">
        <v>476.89501767728621</v>
      </c>
      <c r="T50" s="65">
        <v>472.92247257439828</v>
      </c>
      <c r="U50" s="65">
        <v>481.52394791105183</v>
      </c>
      <c r="V50" s="65">
        <v>484.37355590240577</v>
      </c>
      <c r="W50" s="65">
        <v>403.36427226547153</v>
      </c>
      <c r="DA50" s="109" t="s">
        <v>214</v>
      </c>
    </row>
    <row r="51" spans="1:105" ht="12" customHeight="1" x14ac:dyDescent="0.25">
      <c r="A51" s="61" t="s">
        <v>35</v>
      </c>
      <c r="B51" s="65">
        <v>1954.6549742343216</v>
      </c>
      <c r="C51" s="65">
        <v>1944.3824756376475</v>
      </c>
      <c r="D51" s="65">
        <v>1961.178916332414</v>
      </c>
      <c r="E51" s="65">
        <v>1939.2501457432083</v>
      </c>
      <c r="F51" s="65">
        <v>2005.6980354941131</v>
      </c>
      <c r="G51" s="65">
        <v>1998.3949889942198</v>
      </c>
      <c r="H51" s="65">
        <v>1977.7111048742536</v>
      </c>
      <c r="I51" s="65">
        <v>1985.3428362521427</v>
      </c>
      <c r="J51" s="65">
        <v>2037.56566273874</v>
      </c>
      <c r="K51" s="65">
        <v>2076.7975928959122</v>
      </c>
      <c r="L51" s="65">
        <v>2072.5062330017649</v>
      </c>
      <c r="M51" s="65">
        <v>2082.2020502884702</v>
      </c>
      <c r="N51" s="65">
        <v>2095.5277692365726</v>
      </c>
      <c r="O51" s="65">
        <v>2115.370238004984</v>
      </c>
      <c r="P51" s="65">
        <v>2125.6565946081178</v>
      </c>
      <c r="Q51" s="65">
        <v>2126.4175314251288</v>
      </c>
      <c r="R51" s="65">
        <v>2130.52977082286</v>
      </c>
      <c r="S51" s="65">
        <v>2114.8169858625261</v>
      </c>
      <c r="T51" s="65">
        <v>2127.3342576404616</v>
      </c>
      <c r="U51" s="65">
        <v>2055.4447509678203</v>
      </c>
      <c r="V51" s="65">
        <v>1891.7929893107184</v>
      </c>
      <c r="W51" s="65">
        <v>2011.2356516706013</v>
      </c>
      <c r="DA51" s="109" t="s">
        <v>215</v>
      </c>
    </row>
    <row r="52" spans="1:105" ht="12" customHeight="1" x14ac:dyDescent="0.25">
      <c r="A52" s="66" t="s">
        <v>34</v>
      </c>
      <c r="B52" s="67">
        <v>1698.1930842821307</v>
      </c>
      <c r="C52" s="67">
        <v>1676.175361289098</v>
      </c>
      <c r="D52" s="67">
        <v>1767.116721131717</v>
      </c>
      <c r="E52" s="67">
        <v>1781.0063105303429</v>
      </c>
      <c r="F52" s="67">
        <v>1840.7338841063065</v>
      </c>
      <c r="G52" s="67">
        <v>1773.673143453904</v>
      </c>
      <c r="H52" s="67">
        <v>1765.8590451456394</v>
      </c>
      <c r="I52" s="67">
        <v>1819.5467831034134</v>
      </c>
      <c r="J52" s="67">
        <v>1870.1603630232194</v>
      </c>
      <c r="K52" s="67">
        <v>1971.4706894973674</v>
      </c>
      <c r="L52" s="67">
        <v>2019.8442651700591</v>
      </c>
      <c r="M52" s="67">
        <v>2048.7282789843666</v>
      </c>
      <c r="N52" s="67">
        <v>2051.3598061410135</v>
      </c>
      <c r="O52" s="67">
        <v>2073.7106168162431</v>
      </c>
      <c r="P52" s="67">
        <v>2115.4817189291662</v>
      </c>
      <c r="Q52" s="67">
        <v>2143.9808724712639</v>
      </c>
      <c r="R52" s="67">
        <v>2173.6997763503468</v>
      </c>
      <c r="S52" s="67">
        <v>2185.7024905590129</v>
      </c>
      <c r="T52" s="67">
        <v>2183.3317784424362</v>
      </c>
      <c r="U52" s="67">
        <v>2192.3280679297459</v>
      </c>
      <c r="V52" s="67">
        <v>2008.6330428267611</v>
      </c>
      <c r="W52" s="67">
        <v>2222.5052486690529</v>
      </c>
      <c r="DA52" s="110" t="s">
        <v>216</v>
      </c>
    </row>
    <row r="53" spans="1:105" ht="12" customHeight="1" x14ac:dyDescent="0.25">
      <c r="A53" s="78" t="s">
        <v>33</v>
      </c>
      <c r="B53" s="68">
        <v>4205.2254686123142</v>
      </c>
      <c r="C53" s="68">
        <v>4372.8437107546597</v>
      </c>
      <c r="D53" s="68">
        <v>4549.9514480201078</v>
      </c>
      <c r="E53" s="68">
        <v>4739.0449135084973</v>
      </c>
      <c r="F53" s="68">
        <v>4943.2679723383972</v>
      </c>
      <c r="G53" s="68">
        <v>5106.9376678097815</v>
      </c>
      <c r="H53" s="68">
        <v>5253.2605297787277</v>
      </c>
      <c r="I53" s="68">
        <v>5406.7520861009798</v>
      </c>
      <c r="J53" s="68">
        <v>5535.4891062187089</v>
      </c>
      <c r="K53" s="68">
        <v>5632.7845554887172</v>
      </c>
      <c r="L53" s="68">
        <v>5724.9203503059889</v>
      </c>
      <c r="M53" s="68">
        <v>5804.3993657253704</v>
      </c>
      <c r="N53" s="68">
        <v>5879.5187675506149</v>
      </c>
      <c r="O53" s="68">
        <v>5944.6787104242412</v>
      </c>
      <c r="P53" s="68">
        <v>6098.8154437682906</v>
      </c>
      <c r="Q53" s="68">
        <v>6178.3015771283226</v>
      </c>
      <c r="R53" s="68">
        <v>6161.6235442523266</v>
      </c>
      <c r="S53" s="68">
        <v>6213.9232587015949</v>
      </c>
      <c r="T53" s="68">
        <v>6170.8963433288563</v>
      </c>
      <c r="U53" s="68">
        <v>6117.718007500338</v>
      </c>
      <c r="V53" s="68">
        <v>5796.8929640104034</v>
      </c>
      <c r="W53" s="68">
        <v>5839.2921575872169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0.79690317715984926</v>
      </c>
      <c r="C56" s="70">
        <f t="shared" ref="C56:W56" si="28">IF(C48=0,0,C48/C$47)</f>
        <v>0.79913456954166273</v>
      </c>
      <c r="D56" s="70">
        <f t="shared" si="28"/>
        <v>0.78169081803142881</v>
      </c>
      <c r="E56" s="70">
        <f t="shared" si="28"/>
        <v>0.79130280576858991</v>
      </c>
      <c r="F56" s="70">
        <f t="shared" si="28"/>
        <v>0.78728615148504455</v>
      </c>
      <c r="G56" s="70">
        <f t="shared" si="28"/>
        <v>0.77947254911356723</v>
      </c>
      <c r="H56" s="70">
        <f t="shared" si="28"/>
        <v>0.76508722429170539</v>
      </c>
      <c r="I56" s="70">
        <f t="shared" si="28"/>
        <v>0.75210172577744427</v>
      </c>
      <c r="J56" s="70">
        <f t="shared" si="28"/>
        <v>0.74903006476957412</v>
      </c>
      <c r="K56" s="70">
        <f t="shared" si="28"/>
        <v>0.7605762634675306</v>
      </c>
      <c r="L56" s="70">
        <f t="shared" si="28"/>
        <v>0.76805588723768059</v>
      </c>
      <c r="M56" s="70">
        <f t="shared" si="28"/>
        <v>0.72941161251448561</v>
      </c>
      <c r="N56" s="70">
        <f t="shared" si="28"/>
        <v>0.742327904515939</v>
      </c>
      <c r="O56" s="70">
        <f t="shared" si="28"/>
        <v>0.74671908095019524</v>
      </c>
      <c r="P56" s="70">
        <f t="shared" si="28"/>
        <v>0.71779666355550176</v>
      </c>
      <c r="Q56" s="70">
        <f t="shared" si="28"/>
        <v>0.72449288060283912</v>
      </c>
      <c r="R56" s="70">
        <f t="shared" si="28"/>
        <v>0.72413270616054504</v>
      </c>
      <c r="S56" s="70">
        <f t="shared" si="28"/>
        <v>0.72613733000967295</v>
      </c>
      <c r="T56" s="70">
        <f t="shared" si="28"/>
        <v>0.72748434512886262</v>
      </c>
      <c r="U56" s="70">
        <f t="shared" si="28"/>
        <v>0.72417738044190139</v>
      </c>
      <c r="V56" s="70">
        <f t="shared" si="28"/>
        <v>0.71883077638844051</v>
      </c>
      <c r="W56" s="70">
        <f t="shared" si="28"/>
        <v>0.73487717406780573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0.60630551100380625</v>
      </c>
      <c r="C57" s="71">
        <f t="shared" ref="C57:W57" si="30">IF(C49=0,0,C49/C$47)</f>
        <v>0.6179655718437338</v>
      </c>
      <c r="D57" s="71">
        <f t="shared" si="30"/>
        <v>0.58738361054038246</v>
      </c>
      <c r="E57" s="71">
        <f t="shared" si="30"/>
        <v>0.60202520844631113</v>
      </c>
      <c r="F57" s="71">
        <f t="shared" si="30"/>
        <v>0.60686911674633204</v>
      </c>
      <c r="G57" s="71">
        <f t="shared" si="30"/>
        <v>0.60005309758607905</v>
      </c>
      <c r="H57" s="71">
        <f t="shared" si="30"/>
        <v>0.57698183382539547</v>
      </c>
      <c r="I57" s="71">
        <f t="shared" si="30"/>
        <v>0.56047227795317711</v>
      </c>
      <c r="J57" s="71">
        <f t="shared" si="30"/>
        <v>0.55443818319865723</v>
      </c>
      <c r="K57" s="71">
        <f t="shared" si="30"/>
        <v>0.57040479617199613</v>
      </c>
      <c r="L57" s="71">
        <f t="shared" si="30"/>
        <v>0.58497353586689915</v>
      </c>
      <c r="M57" s="71">
        <f t="shared" si="30"/>
        <v>0.51711929332947448</v>
      </c>
      <c r="N57" s="71">
        <f t="shared" si="30"/>
        <v>0.54127346043419877</v>
      </c>
      <c r="O57" s="71">
        <f t="shared" si="30"/>
        <v>0.54977130552817444</v>
      </c>
      <c r="P57" s="71">
        <f t="shared" si="30"/>
        <v>0.50286115388451835</v>
      </c>
      <c r="Q57" s="71">
        <f t="shared" si="30"/>
        <v>0.51152588036202973</v>
      </c>
      <c r="R57" s="71">
        <f t="shared" si="30"/>
        <v>0.51178784728912396</v>
      </c>
      <c r="S57" s="71">
        <f t="shared" si="30"/>
        <v>0.51558508555247728</v>
      </c>
      <c r="T57" s="71">
        <f t="shared" si="30"/>
        <v>0.51623419887092548</v>
      </c>
      <c r="U57" s="71">
        <f t="shared" si="30"/>
        <v>0.51095293608380188</v>
      </c>
      <c r="V57" s="71">
        <f t="shared" si="30"/>
        <v>0.50615293266842531</v>
      </c>
      <c r="W57" s="71">
        <f t="shared" si="30"/>
        <v>0.52433754112471742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1.4178627381573149E-2</v>
      </c>
      <c r="C58" s="72">
        <f t="shared" ref="C58:W58" si="32">IF(C50=0,0,C50/C$47)</f>
        <v>1.4859621804846769E-2</v>
      </c>
      <c r="D58" s="72">
        <f t="shared" si="32"/>
        <v>1.5421524852397263E-2</v>
      </c>
      <c r="E58" s="72">
        <f t="shared" si="32"/>
        <v>2.5445623070999734E-2</v>
      </c>
      <c r="F58" s="72">
        <f t="shared" si="32"/>
        <v>1.4901157135595079E-2</v>
      </c>
      <c r="G58" s="72">
        <f t="shared" si="32"/>
        <v>1.653425027233224E-2</v>
      </c>
      <c r="H58" s="72">
        <f t="shared" si="32"/>
        <v>2.0702222469056255E-2</v>
      </c>
      <c r="I58" s="72">
        <f t="shared" si="32"/>
        <v>1.7176179905753059E-2</v>
      </c>
      <c r="J58" s="72">
        <f t="shared" si="32"/>
        <v>1.742203645606321E-2</v>
      </c>
      <c r="K58" s="72">
        <f t="shared" si="32"/>
        <v>1.8098221974617711E-2</v>
      </c>
      <c r="L58" s="72">
        <f t="shared" si="32"/>
        <v>1.7281510952072941E-2</v>
      </c>
      <c r="M58" s="72">
        <f t="shared" si="32"/>
        <v>1.9717393480660771E-2</v>
      </c>
      <c r="N58" s="72">
        <f t="shared" si="32"/>
        <v>1.9315554636965472E-2</v>
      </c>
      <c r="O58" s="72">
        <f t="shared" si="32"/>
        <v>1.8466430917644234E-2</v>
      </c>
      <c r="P58" s="72">
        <f t="shared" si="32"/>
        <v>1.869028903133332E-2</v>
      </c>
      <c r="Q58" s="72">
        <f t="shared" si="32"/>
        <v>2.2538425615843013E-2</v>
      </c>
      <c r="R58" s="72">
        <f t="shared" si="32"/>
        <v>1.9636533100672017E-2</v>
      </c>
      <c r="S58" s="72">
        <f t="shared" si="32"/>
        <v>2.1017920146229097E-2</v>
      </c>
      <c r="T58" s="72">
        <f t="shared" si="32"/>
        <v>2.0884936344169203E-2</v>
      </c>
      <c r="U58" s="72">
        <f t="shared" si="32"/>
        <v>2.1709924604231837E-2</v>
      </c>
      <c r="V58" s="72">
        <f t="shared" si="32"/>
        <v>2.3493781495808438E-2</v>
      </c>
      <c r="W58" s="72">
        <f t="shared" si="32"/>
        <v>1.8314047808714658E-2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9.4402599332370316E-2</v>
      </c>
      <c r="C59" s="72">
        <f t="shared" ref="C59:W59" si="34">IF(C51=0,0,C51/C$47)</f>
        <v>8.9314699719099125E-2</v>
      </c>
      <c r="D59" s="72">
        <f t="shared" si="34"/>
        <v>9.4098446941635619E-2</v>
      </c>
      <c r="E59" s="72">
        <f t="shared" si="34"/>
        <v>8.5400343680185536E-2</v>
      </c>
      <c r="F59" s="72">
        <f t="shared" si="34"/>
        <v>8.6307226408973703E-2</v>
      </c>
      <c r="G59" s="72">
        <f t="shared" si="34"/>
        <v>8.6294562701432057E-2</v>
      </c>
      <c r="H59" s="72">
        <f t="shared" si="34"/>
        <v>8.8438333214495665E-2</v>
      </c>
      <c r="I59" s="72">
        <f t="shared" si="34"/>
        <v>9.1027488408838481E-2</v>
      </c>
      <c r="J59" s="72">
        <f t="shared" si="34"/>
        <v>9.237986248239527E-2</v>
      </c>
      <c r="K59" s="72">
        <f t="shared" si="34"/>
        <v>8.8275103514878869E-2</v>
      </c>
      <c r="L59" s="72">
        <f t="shared" si="34"/>
        <v>8.3967215261305433E-2</v>
      </c>
      <c r="M59" s="72">
        <f t="shared" si="34"/>
        <v>9.7067699809483918E-2</v>
      </c>
      <c r="N59" s="72">
        <f t="shared" si="34"/>
        <v>9.1837283422631588E-2</v>
      </c>
      <c r="O59" s="72">
        <f t="shared" si="34"/>
        <v>9.0128153952708845E-2</v>
      </c>
      <c r="P59" s="72">
        <f t="shared" si="34"/>
        <v>9.8358015366180607E-2</v>
      </c>
      <c r="Q59" s="72">
        <f t="shared" si="34"/>
        <v>9.482268895505408E-2</v>
      </c>
      <c r="R59" s="72">
        <f t="shared" si="34"/>
        <v>9.5387762348700195E-2</v>
      </c>
      <c r="S59" s="72">
        <f t="shared" si="34"/>
        <v>9.3205114092481584E-2</v>
      </c>
      <c r="T59" s="72">
        <f t="shared" si="34"/>
        <v>9.394613944170746E-2</v>
      </c>
      <c r="U59" s="72">
        <f t="shared" si="34"/>
        <v>9.2671508375152353E-2</v>
      </c>
      <c r="V59" s="72">
        <f t="shared" si="34"/>
        <v>9.1758459116053362E-2</v>
      </c>
      <c r="W59" s="72">
        <f t="shared" si="34"/>
        <v>9.13166296866392E-2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8.2016439442099687E-2</v>
      </c>
      <c r="C60" s="73">
        <f t="shared" ref="C60:W60" si="36">IF(C52=0,0,C52/C$47)</f>
        <v>7.6994676173983104E-2</v>
      </c>
      <c r="D60" s="73">
        <f t="shared" si="36"/>
        <v>8.4787235697013533E-2</v>
      </c>
      <c r="E60" s="73">
        <f t="shared" si="36"/>
        <v>7.8431630571093494E-2</v>
      </c>
      <c r="F60" s="73">
        <f t="shared" si="36"/>
        <v>7.9208651194143748E-2</v>
      </c>
      <c r="G60" s="73">
        <f t="shared" si="36"/>
        <v>7.6590638553723736E-2</v>
      </c>
      <c r="H60" s="73">
        <f t="shared" si="36"/>
        <v>7.8964834782757995E-2</v>
      </c>
      <c r="I60" s="73">
        <f t="shared" si="36"/>
        <v>8.342577950967564E-2</v>
      </c>
      <c r="J60" s="73">
        <f t="shared" si="36"/>
        <v>8.4789982632458433E-2</v>
      </c>
      <c r="K60" s="73">
        <f t="shared" si="36"/>
        <v>8.3798141806037854E-2</v>
      </c>
      <c r="L60" s="73">
        <f t="shared" si="36"/>
        <v>8.1833625157402945E-2</v>
      </c>
      <c r="M60" s="73">
        <f t="shared" si="36"/>
        <v>9.5507225894866501E-2</v>
      </c>
      <c r="N60" s="73">
        <f t="shared" si="36"/>
        <v>8.9901606022143143E-2</v>
      </c>
      <c r="O60" s="73">
        <f t="shared" si="36"/>
        <v>8.8353190551667779E-2</v>
      </c>
      <c r="P60" s="73">
        <f t="shared" si="36"/>
        <v>9.7887205273469557E-2</v>
      </c>
      <c r="Q60" s="73">
        <f t="shared" si="36"/>
        <v>9.5605885669912349E-2</v>
      </c>
      <c r="R60" s="73">
        <f t="shared" si="36"/>
        <v>9.7320563422048992E-2</v>
      </c>
      <c r="S60" s="73">
        <f t="shared" si="36"/>
        <v>9.6329210218484937E-2</v>
      </c>
      <c r="T60" s="73">
        <f t="shared" si="36"/>
        <v>9.6419070472060525E-2</v>
      </c>
      <c r="U60" s="73">
        <f t="shared" si="36"/>
        <v>9.8843011378715359E-2</v>
      </c>
      <c r="V60" s="73">
        <f t="shared" si="36"/>
        <v>9.7425603108153444E-2</v>
      </c>
      <c r="W60" s="73">
        <f t="shared" si="36"/>
        <v>0.10090895544773446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0.20309682284015079</v>
      </c>
      <c r="C61" s="70">
        <f t="shared" ref="C61:W61" si="38">IF(C53=0,0,C53/C$47)</f>
        <v>0.20086543045833727</v>
      </c>
      <c r="D61" s="70">
        <f t="shared" si="38"/>
        <v>0.21830918196857121</v>
      </c>
      <c r="E61" s="70">
        <f t="shared" si="38"/>
        <v>0.20869719423141017</v>
      </c>
      <c r="F61" s="70">
        <f t="shared" si="38"/>
        <v>0.21271384851495539</v>
      </c>
      <c r="G61" s="70">
        <f t="shared" si="38"/>
        <v>0.22052745088643289</v>
      </c>
      <c r="H61" s="70">
        <f t="shared" si="38"/>
        <v>0.23491277570829466</v>
      </c>
      <c r="I61" s="70">
        <f t="shared" si="38"/>
        <v>0.24789827422255573</v>
      </c>
      <c r="J61" s="70">
        <f t="shared" si="38"/>
        <v>0.25096993523042593</v>
      </c>
      <c r="K61" s="70">
        <f t="shared" si="38"/>
        <v>0.2394237365324694</v>
      </c>
      <c r="L61" s="70">
        <f t="shared" si="38"/>
        <v>0.23194411276231935</v>
      </c>
      <c r="M61" s="70">
        <f t="shared" si="38"/>
        <v>0.27058838748551439</v>
      </c>
      <c r="N61" s="70">
        <f t="shared" si="38"/>
        <v>0.25767209548406095</v>
      </c>
      <c r="O61" s="70">
        <f t="shared" si="38"/>
        <v>0.25328091904980482</v>
      </c>
      <c r="P61" s="70">
        <f t="shared" si="38"/>
        <v>0.28220333644449824</v>
      </c>
      <c r="Q61" s="70">
        <f t="shared" si="38"/>
        <v>0.27550711939716083</v>
      </c>
      <c r="R61" s="70">
        <f t="shared" si="38"/>
        <v>0.27586729383945507</v>
      </c>
      <c r="S61" s="70">
        <f t="shared" si="38"/>
        <v>0.27386266999032705</v>
      </c>
      <c r="T61" s="70">
        <f t="shared" si="38"/>
        <v>0.27251565487113744</v>
      </c>
      <c r="U61" s="70">
        <f t="shared" si="38"/>
        <v>0.27582261955809867</v>
      </c>
      <c r="V61" s="70">
        <f t="shared" si="38"/>
        <v>0.28116922361155949</v>
      </c>
      <c r="W61" s="70">
        <f t="shared" si="38"/>
        <v>0.26512282593219438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27626.771731128138</v>
      </c>
      <c r="C65" s="80">
        <v>28676.596716784345</v>
      </c>
      <c r="D65" s="80">
        <v>25671.614332384201</v>
      </c>
      <c r="E65" s="80">
        <v>29223.742557681242</v>
      </c>
      <c r="F65" s="80">
        <v>29709.660442359043</v>
      </c>
      <c r="G65" s="80">
        <v>28163.678564698581</v>
      </c>
      <c r="H65" s="80">
        <v>25504.852697511171</v>
      </c>
      <c r="I65" s="80">
        <v>24791.422334061812</v>
      </c>
      <c r="J65" s="80">
        <v>25730.861386970697</v>
      </c>
      <c r="K65" s="80">
        <v>28128.010941514407</v>
      </c>
      <c r="L65" s="80">
        <v>28937.68550678678</v>
      </c>
      <c r="M65" s="80">
        <v>22850.662668159868</v>
      </c>
      <c r="N65" s="80">
        <v>24662.953891857971</v>
      </c>
      <c r="O65" s="80">
        <v>25890.214564680795</v>
      </c>
      <c r="P65" s="80">
        <v>22626.482088087585</v>
      </c>
      <c r="Q65" s="80">
        <v>23734.350343033813</v>
      </c>
      <c r="R65" s="80">
        <v>22958.019420218981</v>
      </c>
      <c r="S65" s="80">
        <v>23839.270195537036</v>
      </c>
      <c r="T65" s="80">
        <v>23769.53879768683</v>
      </c>
      <c r="U65" s="80">
        <v>23299.281931795562</v>
      </c>
      <c r="V65" s="80">
        <v>21624.752802594445</v>
      </c>
      <c r="W65" s="80">
        <v>23536.189669808944</v>
      </c>
      <c r="DA65" s="103" t="s">
        <v>218</v>
      </c>
    </row>
    <row r="66" spans="1:105" ht="12" customHeight="1" x14ac:dyDescent="0.25">
      <c r="A66" s="58" t="s">
        <v>29</v>
      </c>
      <c r="B66" s="59">
        <v>1061.545412161676</v>
      </c>
      <c r="C66" s="59">
        <v>1026.6684343210495</v>
      </c>
      <c r="D66" s="59">
        <v>716.311448641536</v>
      </c>
      <c r="E66" s="59">
        <v>807.96670128163169</v>
      </c>
      <c r="F66" s="59">
        <v>798.44872752161882</v>
      </c>
      <c r="G66" s="59">
        <v>853.69422888233055</v>
      </c>
      <c r="H66" s="59">
        <v>834.86218608221316</v>
      </c>
      <c r="I66" s="59">
        <v>791.20592928194117</v>
      </c>
      <c r="J66" s="59">
        <v>702.18197208138656</v>
      </c>
      <c r="K66" s="59">
        <v>614.7952099211949</v>
      </c>
      <c r="L66" s="59">
        <v>683.32776624102394</v>
      </c>
      <c r="M66" s="59">
        <v>186.2638783201707</v>
      </c>
      <c r="N66" s="59">
        <v>208.03388832019198</v>
      </c>
      <c r="O66" s="59">
        <v>224.07447312018502</v>
      </c>
      <c r="P66" s="59">
        <v>167.31954720017069</v>
      </c>
      <c r="Q66" s="59">
        <v>171.64091304017069</v>
      </c>
      <c r="R66" s="59">
        <v>177.89087016017072</v>
      </c>
      <c r="S66" s="59">
        <v>166.44063600016591</v>
      </c>
      <c r="T66" s="59">
        <v>145.00976040006859</v>
      </c>
      <c r="U66" s="59">
        <v>139.169860560052</v>
      </c>
      <c r="V66" s="59">
        <v>122.06747160003465</v>
      </c>
      <c r="W66" s="59">
        <v>145.34354592006619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15222.484950839997</v>
      </c>
      <c r="C67" s="55">
        <f t="shared" ref="C67:W67" si="39">SUM(C68:C69)</f>
        <v>15976.985570639999</v>
      </c>
      <c r="D67" s="55">
        <f t="shared" si="39"/>
        <v>14309.511818400002</v>
      </c>
      <c r="E67" s="55">
        <f t="shared" si="39"/>
        <v>14889.180561839998</v>
      </c>
      <c r="F67" s="55">
        <f t="shared" si="39"/>
        <v>14854.532896800001</v>
      </c>
      <c r="G67" s="55">
        <f t="shared" si="39"/>
        <v>13851.257429160001</v>
      </c>
      <c r="H67" s="55">
        <f t="shared" si="39"/>
        <v>12716.747548200001</v>
      </c>
      <c r="I67" s="55">
        <f t="shared" si="39"/>
        <v>11288.984282279998</v>
      </c>
      <c r="J67" s="55">
        <f t="shared" si="39"/>
        <v>13189.962108240001</v>
      </c>
      <c r="K67" s="55">
        <f t="shared" si="39"/>
        <v>12717.600022799998</v>
      </c>
      <c r="L67" s="55">
        <f t="shared" si="39"/>
        <v>11773.272668759999</v>
      </c>
      <c r="M67" s="55">
        <f t="shared" si="39"/>
        <v>10088.371308959999</v>
      </c>
      <c r="N67" s="55">
        <f t="shared" si="39"/>
        <v>10106.48227464</v>
      </c>
      <c r="O67" s="55">
        <f t="shared" si="39"/>
        <v>10167.798769199999</v>
      </c>
      <c r="P67" s="55">
        <f t="shared" si="39"/>
        <v>9159.7613497200018</v>
      </c>
      <c r="Q67" s="55">
        <f t="shared" si="39"/>
        <v>9551.39131404</v>
      </c>
      <c r="R67" s="55">
        <f t="shared" si="39"/>
        <v>8482.2242493600006</v>
      </c>
      <c r="S67" s="55">
        <f t="shared" si="39"/>
        <v>8868.7106827200005</v>
      </c>
      <c r="T67" s="55">
        <f t="shared" si="39"/>
        <v>8266.8214335599987</v>
      </c>
      <c r="U67" s="55">
        <f t="shared" si="39"/>
        <v>8111.9123816399988</v>
      </c>
      <c r="V67" s="55">
        <f t="shared" si="39"/>
        <v>7626.9207873599989</v>
      </c>
      <c r="W67" s="55">
        <f t="shared" si="39"/>
        <v>7628.9445270000015</v>
      </c>
      <c r="DA67" s="101"/>
    </row>
    <row r="68" spans="1:105" ht="12" customHeight="1" x14ac:dyDescent="0.25">
      <c r="A68" s="61" t="s">
        <v>52</v>
      </c>
      <c r="B68" s="55">
        <v>901.35815903999992</v>
      </c>
      <c r="C68" s="55">
        <v>423.81763668000008</v>
      </c>
      <c r="D68" s="55">
        <v>1161.0208933200001</v>
      </c>
      <c r="E68" s="55">
        <v>1349.7090757200001</v>
      </c>
      <c r="F68" s="55">
        <v>1514.6433640799999</v>
      </c>
      <c r="G68" s="55">
        <v>1240.5857277600001</v>
      </c>
      <c r="H68" s="55">
        <v>1056.6799448400002</v>
      </c>
      <c r="I68" s="55">
        <v>1156.4888241599999</v>
      </c>
      <c r="J68" s="55">
        <v>1306.3267404000001</v>
      </c>
      <c r="K68" s="55">
        <v>1277.2166407200002</v>
      </c>
      <c r="L68" s="55">
        <v>1352.44612656</v>
      </c>
      <c r="M68" s="55">
        <v>1283.3990272800002</v>
      </c>
      <c r="N68" s="55">
        <v>1073.4627527999999</v>
      </c>
      <c r="O68" s="55">
        <v>915.91548048000004</v>
      </c>
      <c r="P68" s="55">
        <v>908.94916476000014</v>
      </c>
      <c r="Q68" s="55">
        <v>1008.01500372</v>
      </c>
      <c r="R68" s="55">
        <v>946.24747380000031</v>
      </c>
      <c r="S68" s="55">
        <v>1027.5203242800001</v>
      </c>
      <c r="T68" s="55">
        <v>787.87311192000016</v>
      </c>
      <c r="U68" s="55">
        <v>880.72726068000009</v>
      </c>
      <c r="V68" s="55">
        <v>721.52830799999981</v>
      </c>
      <c r="W68" s="55">
        <v>777.63273912000022</v>
      </c>
      <c r="DA68" s="101" t="s">
        <v>220</v>
      </c>
    </row>
    <row r="69" spans="1:105" ht="12" customHeight="1" x14ac:dyDescent="0.25">
      <c r="A69" s="61" t="s">
        <v>170</v>
      </c>
      <c r="B69" s="55">
        <v>14321.126791799998</v>
      </c>
      <c r="C69" s="55">
        <v>15553.16793396</v>
      </c>
      <c r="D69" s="55">
        <v>13148.490925080001</v>
      </c>
      <c r="E69" s="55">
        <v>13539.471486119997</v>
      </c>
      <c r="F69" s="55">
        <v>13339.889532720001</v>
      </c>
      <c r="G69" s="55">
        <v>12610.671701400001</v>
      </c>
      <c r="H69" s="55">
        <v>11660.067603360001</v>
      </c>
      <c r="I69" s="55">
        <v>10132.495458119998</v>
      </c>
      <c r="J69" s="55">
        <v>11883.635367840001</v>
      </c>
      <c r="K69" s="55">
        <v>11440.383382079997</v>
      </c>
      <c r="L69" s="55">
        <v>10420.826542199999</v>
      </c>
      <c r="M69" s="55">
        <v>8804.9722816799986</v>
      </c>
      <c r="N69" s="55">
        <v>9033.0195218400004</v>
      </c>
      <c r="O69" s="55">
        <v>9251.8832887199987</v>
      </c>
      <c r="P69" s="55">
        <v>8250.8121849600011</v>
      </c>
      <c r="Q69" s="55">
        <v>8543.3763103199999</v>
      </c>
      <c r="R69" s="55">
        <v>7535.9767755600005</v>
      </c>
      <c r="S69" s="55">
        <v>7841.1903584400006</v>
      </c>
      <c r="T69" s="55">
        <v>7478.9483216399985</v>
      </c>
      <c r="U69" s="55">
        <v>7231.185120959999</v>
      </c>
      <c r="V69" s="55">
        <v>6905.392479359999</v>
      </c>
      <c r="W69" s="55">
        <v>6851.3117878800012</v>
      </c>
      <c r="DA69" s="101" t="s">
        <v>221</v>
      </c>
    </row>
    <row r="70" spans="1:105" ht="12" customHeight="1" x14ac:dyDescent="0.25">
      <c r="A70" s="60" t="s">
        <v>153</v>
      </c>
      <c r="B70" s="55">
        <v>10661.405792400001</v>
      </c>
      <c r="C70" s="55">
        <v>10878.39504972</v>
      </c>
      <c r="D70" s="55">
        <v>9719.2989471599994</v>
      </c>
      <c r="E70" s="55">
        <v>12464.449335359999</v>
      </c>
      <c r="F70" s="55">
        <v>12926.8577592</v>
      </c>
      <c r="G70" s="55">
        <v>13175.7754788</v>
      </c>
      <c r="H70" s="55">
        <v>11706.14366064</v>
      </c>
      <c r="I70" s="55">
        <v>12264.895486800002</v>
      </c>
      <c r="J70" s="55">
        <v>11323.582142400001</v>
      </c>
      <c r="K70" s="55">
        <v>14073.022968840001</v>
      </c>
      <c r="L70" s="55">
        <v>15852.867568560001</v>
      </c>
      <c r="M70" s="55">
        <v>12240.455903279999</v>
      </c>
      <c r="N70" s="55">
        <v>13991.544226439999</v>
      </c>
      <c r="O70" s="55">
        <v>15043.20386976</v>
      </c>
      <c r="P70" s="55">
        <v>12921.908123519999</v>
      </c>
      <c r="Q70" s="55">
        <v>13738.240743480004</v>
      </c>
      <c r="R70" s="55">
        <v>13972.656927240001</v>
      </c>
      <c r="S70" s="55">
        <v>14443.45981848</v>
      </c>
      <c r="T70" s="55">
        <v>15067.49016564</v>
      </c>
      <c r="U70" s="55">
        <v>14751.453261600001</v>
      </c>
      <c r="V70" s="55">
        <v>13482.889184160002</v>
      </c>
      <c r="W70" s="55">
        <v>15291.7861338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681.33557572646339</v>
      </c>
      <c r="C71" s="55">
        <f t="shared" ref="C71:W71" si="40">SUM(C72:C76)</f>
        <v>794.54766210329751</v>
      </c>
      <c r="D71" s="55">
        <f t="shared" si="40"/>
        <v>926.49211818266076</v>
      </c>
      <c r="E71" s="55">
        <f t="shared" si="40"/>
        <v>1062.145959199612</v>
      </c>
      <c r="F71" s="55">
        <f t="shared" si="40"/>
        <v>1129.8210588374243</v>
      </c>
      <c r="G71" s="55">
        <f t="shared" si="40"/>
        <v>282.95142785624938</v>
      </c>
      <c r="H71" s="55">
        <f t="shared" si="40"/>
        <v>247.09930258895741</v>
      </c>
      <c r="I71" s="55">
        <f t="shared" si="40"/>
        <v>446.3366356998697</v>
      </c>
      <c r="J71" s="55">
        <f t="shared" si="40"/>
        <v>515.13516424930958</v>
      </c>
      <c r="K71" s="55">
        <f t="shared" si="40"/>
        <v>722.5927399532136</v>
      </c>
      <c r="L71" s="55">
        <f t="shared" si="40"/>
        <v>628.21750322575713</v>
      </c>
      <c r="M71" s="55">
        <f t="shared" si="40"/>
        <v>335.57157759969931</v>
      </c>
      <c r="N71" s="55">
        <f t="shared" si="40"/>
        <v>356.89350245778041</v>
      </c>
      <c r="O71" s="55">
        <f t="shared" si="40"/>
        <v>455.13745260060938</v>
      </c>
      <c r="P71" s="55">
        <f t="shared" si="40"/>
        <v>377.49306764741419</v>
      </c>
      <c r="Q71" s="55">
        <f t="shared" si="40"/>
        <v>273.07737247363929</v>
      </c>
      <c r="R71" s="55">
        <f t="shared" si="40"/>
        <v>325.24737345880953</v>
      </c>
      <c r="S71" s="55">
        <f t="shared" si="40"/>
        <v>360.6590583368652</v>
      </c>
      <c r="T71" s="55">
        <f t="shared" si="40"/>
        <v>290.21743808676177</v>
      </c>
      <c r="U71" s="55">
        <f t="shared" si="40"/>
        <v>296.74642799551037</v>
      </c>
      <c r="V71" s="55">
        <f t="shared" si="40"/>
        <v>392.87535947440938</v>
      </c>
      <c r="W71" s="55">
        <f t="shared" si="40"/>
        <v>470.11546308887438</v>
      </c>
      <c r="DA71" s="101"/>
    </row>
    <row r="72" spans="1:105" ht="12" customHeight="1" x14ac:dyDescent="0.25">
      <c r="A72" s="61" t="s">
        <v>171</v>
      </c>
      <c r="B72" s="55">
        <v>681.33557572646339</v>
      </c>
      <c r="C72" s="55">
        <v>794.54766210329751</v>
      </c>
      <c r="D72" s="55">
        <v>926.49211818266076</v>
      </c>
      <c r="E72" s="55">
        <v>1062.145959199612</v>
      </c>
      <c r="F72" s="55">
        <v>1129.8210588374243</v>
      </c>
      <c r="G72" s="55">
        <v>282.95142785624938</v>
      </c>
      <c r="H72" s="55">
        <v>247.09930258895741</v>
      </c>
      <c r="I72" s="55">
        <v>446.3366356998697</v>
      </c>
      <c r="J72" s="55">
        <v>515.13516424930958</v>
      </c>
      <c r="K72" s="55">
        <v>722.5927399532136</v>
      </c>
      <c r="L72" s="55">
        <v>628.21750322575713</v>
      </c>
      <c r="M72" s="55">
        <v>335.57157759969931</v>
      </c>
      <c r="N72" s="55">
        <v>356.89350245778041</v>
      </c>
      <c r="O72" s="55">
        <v>455.13745260060938</v>
      </c>
      <c r="P72" s="55">
        <v>377.49306764741419</v>
      </c>
      <c r="Q72" s="55">
        <v>273.07737247363929</v>
      </c>
      <c r="R72" s="55">
        <v>325.24737345880953</v>
      </c>
      <c r="S72" s="55">
        <v>360.6590583368652</v>
      </c>
      <c r="T72" s="55">
        <v>290.21743808676177</v>
      </c>
      <c r="U72" s="55">
        <v>296.74642799551037</v>
      </c>
      <c r="V72" s="55">
        <v>392.87535947440938</v>
      </c>
      <c r="W72" s="55">
        <v>470.11546308887438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27626.771731128141</v>
      </c>
      <c r="C81" s="82">
        <f t="shared" ref="C81:W81" si="42">C82+C87</f>
        <v>28676.596716784341</v>
      </c>
      <c r="D81" s="82">
        <f t="shared" si="42"/>
        <v>25671.614332384197</v>
      </c>
      <c r="E81" s="82">
        <f t="shared" si="42"/>
        <v>29223.742557681246</v>
      </c>
      <c r="F81" s="82">
        <f t="shared" si="42"/>
        <v>29709.66044235904</v>
      </c>
      <c r="G81" s="82">
        <f t="shared" si="42"/>
        <v>28163.67856469857</v>
      </c>
      <c r="H81" s="82">
        <f t="shared" si="42"/>
        <v>25504.852697511167</v>
      </c>
      <c r="I81" s="82">
        <f t="shared" si="42"/>
        <v>24791.422334061812</v>
      </c>
      <c r="J81" s="82">
        <f t="shared" si="42"/>
        <v>25730.861386970697</v>
      </c>
      <c r="K81" s="82">
        <f t="shared" si="42"/>
        <v>28128.010941514411</v>
      </c>
      <c r="L81" s="82">
        <f t="shared" si="42"/>
        <v>28937.685506786791</v>
      </c>
      <c r="M81" s="82">
        <f t="shared" si="42"/>
        <v>22850.662668159865</v>
      </c>
      <c r="N81" s="82">
        <f t="shared" si="42"/>
        <v>24662.953891857971</v>
      </c>
      <c r="O81" s="82">
        <f t="shared" si="42"/>
        <v>25890.214564680788</v>
      </c>
      <c r="P81" s="82">
        <f t="shared" si="42"/>
        <v>22626.482088087585</v>
      </c>
      <c r="Q81" s="82">
        <f t="shared" si="42"/>
        <v>23734.350343033842</v>
      </c>
      <c r="R81" s="82">
        <f t="shared" si="42"/>
        <v>22958.019420219</v>
      </c>
      <c r="S81" s="82">
        <f t="shared" si="42"/>
        <v>23839.270195537036</v>
      </c>
      <c r="T81" s="82">
        <f t="shared" si="42"/>
        <v>23769.538797686844</v>
      </c>
      <c r="U81" s="82">
        <f t="shared" si="42"/>
        <v>23299.281931795555</v>
      </c>
      <c r="V81" s="82">
        <f t="shared" si="42"/>
        <v>21624.752802594441</v>
      </c>
      <c r="W81" s="82">
        <f t="shared" si="42"/>
        <v>23536.189669808959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27626.771731128141</v>
      </c>
      <c r="C82" s="64">
        <f t="shared" ref="C82:W82" si="44">SUM(C83:C86)</f>
        <v>28676.596716784341</v>
      </c>
      <c r="D82" s="64">
        <f t="shared" si="44"/>
        <v>25671.614332384197</v>
      </c>
      <c r="E82" s="64">
        <f t="shared" si="44"/>
        <v>29223.742557681246</v>
      </c>
      <c r="F82" s="64">
        <f t="shared" si="44"/>
        <v>29709.66044235904</v>
      </c>
      <c r="G82" s="64">
        <f t="shared" si="44"/>
        <v>28163.67856469857</v>
      </c>
      <c r="H82" s="64">
        <f t="shared" si="44"/>
        <v>25504.852697511167</v>
      </c>
      <c r="I82" s="64">
        <f t="shared" si="44"/>
        <v>24791.422334061812</v>
      </c>
      <c r="J82" s="64">
        <f t="shared" si="44"/>
        <v>25730.861386970697</v>
      </c>
      <c r="K82" s="64">
        <f t="shared" si="44"/>
        <v>28128.010941514411</v>
      </c>
      <c r="L82" s="64">
        <f t="shared" si="44"/>
        <v>28937.685506786791</v>
      </c>
      <c r="M82" s="64">
        <f t="shared" si="44"/>
        <v>22850.662668159865</v>
      </c>
      <c r="N82" s="64">
        <f t="shared" si="44"/>
        <v>24662.953891857971</v>
      </c>
      <c r="O82" s="64">
        <f t="shared" si="44"/>
        <v>25890.214564680788</v>
      </c>
      <c r="P82" s="64">
        <f t="shared" si="44"/>
        <v>22626.482088087585</v>
      </c>
      <c r="Q82" s="64">
        <f t="shared" si="44"/>
        <v>23734.350343033842</v>
      </c>
      <c r="R82" s="64">
        <f t="shared" si="44"/>
        <v>22958.019420219</v>
      </c>
      <c r="S82" s="64">
        <f t="shared" si="44"/>
        <v>23839.270195537036</v>
      </c>
      <c r="T82" s="64">
        <f t="shared" si="44"/>
        <v>23769.538797686844</v>
      </c>
      <c r="U82" s="64">
        <f t="shared" si="44"/>
        <v>23299.281931795555</v>
      </c>
      <c r="V82" s="64">
        <f t="shared" si="44"/>
        <v>21624.752802594441</v>
      </c>
      <c r="W82" s="64">
        <f t="shared" si="44"/>
        <v>23536.189669808959</v>
      </c>
      <c r="DA82" s="108" t="s">
        <v>232</v>
      </c>
    </row>
    <row r="83" spans="1:105" ht="12" customHeight="1" x14ac:dyDescent="0.25">
      <c r="A83" s="61" t="s">
        <v>32</v>
      </c>
      <c r="B83" s="65">
        <v>22811.429280835317</v>
      </c>
      <c r="C83" s="65">
        <v>24339.014498225297</v>
      </c>
      <c r="D83" s="65">
        <v>20627.157355430034</v>
      </c>
      <c r="E83" s="65">
        <v>23953.045407974434</v>
      </c>
      <c r="F83" s="65">
        <v>24283.738265266889</v>
      </c>
      <c r="G83" s="65">
        <v>23689.654747472792</v>
      </c>
      <c r="H83" s="65">
        <v>21350.481399055694</v>
      </c>
      <c r="I83" s="65">
        <v>20591.641555863876</v>
      </c>
      <c r="J83" s="65">
        <v>21414.690721649466</v>
      </c>
      <c r="K83" s="65">
        <v>23375.338821069417</v>
      </c>
      <c r="L83" s="65">
        <v>24277.178668627534</v>
      </c>
      <c r="M83" s="65">
        <v>18195.781401797074</v>
      </c>
      <c r="N83" s="65">
        <v>20408.731294445544</v>
      </c>
      <c r="O83" s="65">
        <v>21568.646618829611</v>
      </c>
      <c r="P83" s="65">
        <v>18157.452606077502</v>
      </c>
      <c r="Q83" s="65">
        <v>18974.862562141931</v>
      </c>
      <c r="R83" s="65">
        <v>18410.321930497772</v>
      </c>
      <c r="S83" s="65">
        <v>19158.167379191771</v>
      </c>
      <c r="T83" s="65">
        <v>19367.11802089612</v>
      </c>
      <c r="U83" s="65">
        <v>18896.503019882759</v>
      </c>
      <c r="V83" s="65">
        <v>17621.863109773705</v>
      </c>
      <c r="W83" s="65">
        <v>18843.852946107763</v>
      </c>
      <c r="DA83" s="109" t="s">
        <v>233</v>
      </c>
    </row>
    <row r="84" spans="1:105" ht="12" customHeight="1" x14ac:dyDescent="0.25">
      <c r="A84" s="61" t="s">
        <v>31</v>
      </c>
      <c r="B84" s="65">
        <v>3.1460538115999546</v>
      </c>
      <c r="C84" s="65">
        <v>4.0105947585624566</v>
      </c>
      <c r="D84" s="65">
        <v>4.4125631604801434</v>
      </c>
      <c r="E84" s="65">
        <v>11.788828986911325</v>
      </c>
      <c r="F84" s="65">
        <v>6.5836248198138394</v>
      </c>
      <c r="G84" s="65">
        <v>7.1550813011437198</v>
      </c>
      <c r="H84" s="65">
        <v>12.80719051465721</v>
      </c>
      <c r="I84" s="65">
        <v>11.675859571872367</v>
      </c>
      <c r="J84" s="65">
        <v>14.53382891623558</v>
      </c>
      <c r="K84" s="65">
        <v>16.860028826453455</v>
      </c>
      <c r="L84" s="65">
        <v>19.287762829481839</v>
      </c>
      <c r="M84" s="65">
        <v>25.79243212934648</v>
      </c>
      <c r="N84" s="65">
        <v>38.940354289138149</v>
      </c>
      <c r="O84" s="65">
        <v>47.485573386040436</v>
      </c>
      <c r="P84" s="65">
        <v>48.473787080640491</v>
      </c>
      <c r="Q84" s="65">
        <v>77.249901375648662</v>
      </c>
      <c r="R84" s="65">
        <v>74.207100872266338</v>
      </c>
      <c r="S84" s="65">
        <v>92.880669487105408</v>
      </c>
      <c r="T84" s="65">
        <v>100.71563528222212</v>
      </c>
      <c r="U84" s="65">
        <v>111.0792957753975</v>
      </c>
      <c r="V84" s="65">
        <v>112.9751252908766</v>
      </c>
      <c r="W84" s="65">
        <v>93.09772598179903</v>
      </c>
      <c r="DA84" s="109" t="s">
        <v>234</v>
      </c>
    </row>
    <row r="85" spans="1:105" ht="12" customHeight="1" x14ac:dyDescent="0.25">
      <c r="A85" s="61" t="s">
        <v>35</v>
      </c>
      <c r="B85" s="65">
        <v>2393.5785185406048</v>
      </c>
      <c r="C85" s="65">
        <v>2406.3718498206354</v>
      </c>
      <c r="D85" s="65">
        <v>2403.2764291089657</v>
      </c>
      <c r="E85" s="65">
        <v>2428.6420131005252</v>
      </c>
      <c r="F85" s="65">
        <v>2432.473289166488</v>
      </c>
      <c r="G85" s="65">
        <v>2323.6679136217767</v>
      </c>
      <c r="H85" s="65">
        <v>2230.0142837705021</v>
      </c>
      <c r="I85" s="65">
        <v>2178.8867967387591</v>
      </c>
      <c r="J85" s="65">
        <v>2185.0841154712416</v>
      </c>
      <c r="K85" s="65">
        <v>2263.130408644271</v>
      </c>
      <c r="L85" s="65">
        <v>2147.4236971508385</v>
      </c>
      <c r="M85" s="65">
        <v>2166.4513810808753</v>
      </c>
      <c r="N85" s="65">
        <v>2059.18259589846</v>
      </c>
      <c r="O85" s="65">
        <v>2142.7674290571276</v>
      </c>
      <c r="P85" s="65">
        <v>2153.8005795911668</v>
      </c>
      <c r="Q85" s="65">
        <v>2199.5907867943611</v>
      </c>
      <c r="R85" s="65">
        <v>2106.6691775117924</v>
      </c>
      <c r="S85" s="65">
        <v>2088.2633804447541</v>
      </c>
      <c r="T85" s="65">
        <v>1932.9667827705466</v>
      </c>
      <c r="U85" s="65">
        <v>1848.7779673094042</v>
      </c>
      <c r="V85" s="65">
        <v>1727.6706698683349</v>
      </c>
      <c r="W85" s="65">
        <v>1819.2905261477356</v>
      </c>
      <c r="DA85" s="109" t="s">
        <v>235</v>
      </c>
    </row>
    <row r="86" spans="1:105" ht="12" customHeight="1" x14ac:dyDescent="0.25">
      <c r="A86" s="66" t="s">
        <v>34</v>
      </c>
      <c r="B86" s="67">
        <v>2418.6178779406177</v>
      </c>
      <c r="C86" s="67">
        <v>1927.1997739798451</v>
      </c>
      <c r="D86" s="67">
        <v>2636.7679846847168</v>
      </c>
      <c r="E86" s="67">
        <v>2830.2663076193758</v>
      </c>
      <c r="F86" s="67">
        <v>2986.8652631058485</v>
      </c>
      <c r="G86" s="67">
        <v>2143.2008223028579</v>
      </c>
      <c r="H86" s="67">
        <v>1911.5498241703153</v>
      </c>
      <c r="I86" s="67">
        <v>2009.2181218873059</v>
      </c>
      <c r="J86" s="67">
        <v>2116.5527209337533</v>
      </c>
      <c r="K86" s="67">
        <v>2472.6816829742675</v>
      </c>
      <c r="L86" s="67">
        <v>2493.7953781789356</v>
      </c>
      <c r="M86" s="67">
        <v>2462.6374531525703</v>
      </c>
      <c r="N86" s="67">
        <v>2156.0996472248303</v>
      </c>
      <c r="O86" s="67">
        <v>2131.3149434080074</v>
      </c>
      <c r="P86" s="67">
        <v>2266.7551153382751</v>
      </c>
      <c r="Q86" s="67">
        <v>2482.6470927219011</v>
      </c>
      <c r="R86" s="67">
        <v>2366.8212113371656</v>
      </c>
      <c r="S86" s="67">
        <v>2499.9587664134042</v>
      </c>
      <c r="T86" s="67">
        <v>2368.7383587379595</v>
      </c>
      <c r="U86" s="67">
        <v>2442.9216488279926</v>
      </c>
      <c r="V86" s="67">
        <v>2162.2438976615276</v>
      </c>
      <c r="W86" s="67">
        <v>2779.9484715716617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0.82570013980796775</v>
      </c>
      <c r="C91" s="71">
        <f t="shared" ref="C91:W91" si="50">IF(C83=0,0,C83/C$81)</f>
        <v>0.84874138791998743</v>
      </c>
      <c r="D91" s="71">
        <f t="shared" si="50"/>
        <v>0.80350059362684145</v>
      </c>
      <c r="E91" s="71">
        <f t="shared" si="50"/>
        <v>0.81964332120351757</v>
      </c>
      <c r="F91" s="71">
        <f t="shared" si="50"/>
        <v>0.81736842170851431</v>
      </c>
      <c r="G91" s="71">
        <f t="shared" si="50"/>
        <v>0.84114206505560352</v>
      </c>
      <c r="H91" s="71">
        <f t="shared" si="50"/>
        <v>0.83711447591066201</v>
      </c>
      <c r="I91" s="71">
        <f t="shared" si="50"/>
        <v>0.83059540829863121</v>
      </c>
      <c r="J91" s="71">
        <f t="shared" si="50"/>
        <v>0.83225704727060534</v>
      </c>
      <c r="K91" s="71">
        <f t="shared" si="50"/>
        <v>0.83103419113683308</v>
      </c>
      <c r="L91" s="71">
        <f t="shared" si="50"/>
        <v>0.83894680045969039</v>
      </c>
      <c r="M91" s="71">
        <f t="shared" si="50"/>
        <v>0.7962911914651426</v>
      </c>
      <c r="N91" s="71">
        <f t="shared" si="50"/>
        <v>0.82750555281957194</v>
      </c>
      <c r="O91" s="71">
        <f t="shared" si="50"/>
        <v>0.83308103009132173</v>
      </c>
      <c r="P91" s="71">
        <f t="shared" si="50"/>
        <v>0.80248677348022468</v>
      </c>
      <c r="Q91" s="71">
        <f t="shared" si="50"/>
        <v>0.79946837760028067</v>
      </c>
      <c r="R91" s="71">
        <f t="shared" si="50"/>
        <v>0.80191246437765029</v>
      </c>
      <c r="S91" s="71">
        <f t="shared" si="50"/>
        <v>0.80363900497165319</v>
      </c>
      <c r="T91" s="71">
        <f t="shared" si="50"/>
        <v>0.81478728660822186</v>
      </c>
      <c r="U91" s="71">
        <f t="shared" si="50"/>
        <v>0.81103370804297159</v>
      </c>
      <c r="V91" s="71">
        <f t="shared" si="50"/>
        <v>0.81489315834674014</v>
      </c>
      <c r="W91" s="71">
        <f t="shared" si="50"/>
        <v>0.80063311905918699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1.1387699736394373E-4</v>
      </c>
      <c r="C92" s="72">
        <f t="shared" ref="C92:W92" si="52">IF(C84=0,0,C84/C$81)</f>
        <v>1.3985602260170105E-4</v>
      </c>
      <c r="D92" s="72">
        <f t="shared" si="52"/>
        <v>1.7188491161281542E-4</v>
      </c>
      <c r="E92" s="72">
        <f t="shared" si="52"/>
        <v>4.0339901583935623E-4</v>
      </c>
      <c r="F92" s="72">
        <f t="shared" si="52"/>
        <v>2.2159879048725604E-4</v>
      </c>
      <c r="G92" s="72">
        <f t="shared" si="52"/>
        <v>2.5405350670747152E-4</v>
      </c>
      <c r="H92" s="72">
        <f t="shared" si="52"/>
        <v>5.0214720573183195E-4</v>
      </c>
      <c r="I92" s="72">
        <f t="shared" si="52"/>
        <v>4.7096368310544615E-4</v>
      </c>
      <c r="J92" s="72">
        <f t="shared" si="52"/>
        <v>5.6484035639767021E-4</v>
      </c>
      <c r="K92" s="72">
        <f t="shared" si="52"/>
        <v>5.9940352204462387E-4</v>
      </c>
      <c r="L92" s="72">
        <f t="shared" si="52"/>
        <v>6.6652748800377474E-4</v>
      </c>
      <c r="M92" s="72">
        <f t="shared" si="52"/>
        <v>1.1287389124730147E-3</v>
      </c>
      <c r="N92" s="72">
        <f t="shared" si="52"/>
        <v>1.5789006645304398E-3</v>
      </c>
      <c r="O92" s="72">
        <f t="shared" si="52"/>
        <v>1.8341127790736757E-3</v>
      </c>
      <c r="P92" s="72">
        <f t="shared" si="52"/>
        <v>2.1423474887490804E-3</v>
      </c>
      <c r="Q92" s="72">
        <f t="shared" si="52"/>
        <v>3.2547721028446819E-3</v>
      </c>
      <c r="R92" s="72">
        <f t="shared" si="52"/>
        <v>3.2322954133801522E-3</v>
      </c>
      <c r="S92" s="72">
        <f t="shared" si="52"/>
        <v>3.8961205072667727E-3</v>
      </c>
      <c r="T92" s="72">
        <f t="shared" si="52"/>
        <v>4.2371724642811899E-3</v>
      </c>
      <c r="U92" s="72">
        <f t="shared" si="52"/>
        <v>4.7674986765927855E-3</v>
      </c>
      <c r="V92" s="72">
        <f t="shared" si="52"/>
        <v>5.2243429704002141E-3</v>
      </c>
      <c r="W92" s="72">
        <f t="shared" si="52"/>
        <v>3.9555139250606955E-3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8.6639819586436448E-2</v>
      </c>
      <c r="C93" s="72">
        <f t="shared" ref="C93:W93" si="54">IF(C85=0,0,C85/C$81)</f>
        <v>8.3914136450236154E-2</v>
      </c>
      <c r="D93" s="72">
        <f t="shared" si="54"/>
        <v>9.3616100568996288E-2</v>
      </c>
      <c r="E93" s="72">
        <f t="shared" si="54"/>
        <v>8.3105098818432296E-2</v>
      </c>
      <c r="F93" s="72">
        <f t="shared" si="54"/>
        <v>8.1874826334209769E-2</v>
      </c>
      <c r="G93" s="72">
        <f t="shared" si="54"/>
        <v>8.2505838443077212E-2</v>
      </c>
      <c r="H93" s="72">
        <f t="shared" si="54"/>
        <v>8.7434901515354088E-2</v>
      </c>
      <c r="I93" s="72">
        <f t="shared" si="54"/>
        <v>8.7888736974365098E-2</v>
      </c>
      <c r="J93" s="72">
        <f t="shared" si="54"/>
        <v>8.4920752656096457E-2</v>
      </c>
      <c r="K93" s="72">
        <f t="shared" si="54"/>
        <v>8.0458245460367561E-2</v>
      </c>
      <c r="L93" s="72">
        <f t="shared" si="54"/>
        <v>7.4208550529972439E-2</v>
      </c>
      <c r="M93" s="72">
        <f t="shared" si="54"/>
        <v>9.4809127093701789E-2</v>
      </c>
      <c r="N93" s="72">
        <f t="shared" si="54"/>
        <v>8.349294269159957E-2</v>
      </c>
      <c r="O93" s="72">
        <f t="shared" si="54"/>
        <v>8.2763602584440252E-2</v>
      </c>
      <c r="P93" s="72">
        <f t="shared" si="54"/>
        <v>9.5189370190477032E-2</v>
      </c>
      <c r="Q93" s="72">
        <f t="shared" si="54"/>
        <v>9.2675415800456185E-2</v>
      </c>
      <c r="R93" s="72">
        <f t="shared" si="54"/>
        <v>9.1761799611357622E-2</v>
      </c>
      <c r="S93" s="72">
        <f t="shared" si="54"/>
        <v>8.7597622046152207E-2</v>
      </c>
      <c r="T93" s="72">
        <f t="shared" si="54"/>
        <v>8.1321173255522114E-2</v>
      </c>
      <c r="U93" s="72">
        <f t="shared" si="54"/>
        <v>7.9349139287698572E-2</v>
      </c>
      <c r="V93" s="72">
        <f t="shared" si="54"/>
        <v>7.9893198578485328E-2</v>
      </c>
      <c r="W93" s="72">
        <f t="shared" si="54"/>
        <v>7.7297580945374089E-2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8.7546163608231808E-2</v>
      </c>
      <c r="C94" s="73">
        <f t="shared" ref="C94:W94" si="56">IF(C86=0,0,C86/C$81)</f>
        <v>6.7204619607174651E-2</v>
      </c>
      <c r="D94" s="73">
        <f t="shared" si="56"/>
        <v>0.10271142089254939</v>
      </c>
      <c r="E94" s="73">
        <f t="shared" si="56"/>
        <v>9.6848180962210845E-2</v>
      </c>
      <c r="F94" s="73">
        <f t="shared" si="56"/>
        <v>0.10053515316678867</v>
      </c>
      <c r="G94" s="73">
        <f t="shared" si="56"/>
        <v>7.6098042994611773E-2</v>
      </c>
      <c r="H94" s="73">
        <f t="shared" si="56"/>
        <v>7.4948475368252152E-2</v>
      </c>
      <c r="I94" s="73">
        <f t="shared" si="56"/>
        <v>8.1044891043898282E-2</v>
      </c>
      <c r="J94" s="73">
        <f t="shared" si="56"/>
        <v>8.2257359716900472E-2</v>
      </c>
      <c r="K94" s="73">
        <f t="shared" si="56"/>
        <v>8.7908159880754733E-2</v>
      </c>
      <c r="L94" s="73">
        <f t="shared" si="56"/>
        <v>8.6178121522333312E-2</v>
      </c>
      <c r="M94" s="73">
        <f t="shared" si="56"/>
        <v>0.10777094252868262</v>
      </c>
      <c r="N94" s="73">
        <f t="shared" si="56"/>
        <v>8.742260382429809E-2</v>
      </c>
      <c r="O94" s="73">
        <f t="shared" si="56"/>
        <v>8.2321254545164299E-2</v>
      </c>
      <c r="P94" s="73">
        <f t="shared" si="56"/>
        <v>0.10018150884054923</v>
      </c>
      <c r="Q94" s="73">
        <f t="shared" si="56"/>
        <v>0.10460143449641844</v>
      </c>
      <c r="R94" s="73">
        <f t="shared" si="56"/>
        <v>0.1030934405976118</v>
      </c>
      <c r="S94" s="73">
        <f t="shared" si="56"/>
        <v>0.10486725247492781</v>
      </c>
      <c r="T94" s="73">
        <f t="shared" si="56"/>
        <v>9.9654367671975011E-2</v>
      </c>
      <c r="U94" s="73">
        <f t="shared" si="56"/>
        <v>0.10484965399273699</v>
      </c>
      <c r="V94" s="73">
        <f t="shared" si="56"/>
        <v>9.9989300104374429E-2</v>
      </c>
      <c r="W94" s="73">
        <f t="shared" si="56"/>
        <v>0.11811378607037824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260230.93495420914</v>
      </c>
      <c r="C99" s="82">
        <f t="shared" ref="C99:W99" si="60">C47*11630*1000/C$8</f>
        <v>269613.71371115436</v>
      </c>
      <c r="D99" s="82">
        <f t="shared" si="60"/>
        <v>254402.32998917071</v>
      </c>
      <c r="E99" s="82">
        <f t="shared" si="60"/>
        <v>273245.88908719184</v>
      </c>
      <c r="F99" s="82">
        <f t="shared" si="60"/>
        <v>275726.41203565063</v>
      </c>
      <c r="G99" s="82">
        <f t="shared" si="60"/>
        <v>270971.40794969018</v>
      </c>
      <c r="H99" s="82">
        <f t="shared" si="60"/>
        <v>257806.8012373189</v>
      </c>
      <c r="I99" s="82">
        <f t="shared" si="60"/>
        <v>246949.94025589869</v>
      </c>
      <c r="J99" s="82">
        <f t="shared" si="60"/>
        <v>246169.37318176276</v>
      </c>
      <c r="K99" s="82">
        <f t="shared" si="60"/>
        <v>260874.68353273789</v>
      </c>
      <c r="L99" s="82">
        <f t="shared" si="60"/>
        <v>270463.92332456791</v>
      </c>
      <c r="M99" s="82">
        <f t="shared" si="60"/>
        <v>231997.7213375241</v>
      </c>
      <c r="N99" s="82">
        <f t="shared" si="60"/>
        <v>244927.51150172474</v>
      </c>
      <c r="O99" s="82">
        <f t="shared" si="60"/>
        <v>250365.68140847085</v>
      </c>
      <c r="P99" s="82">
        <f t="shared" si="60"/>
        <v>227725.28756364228</v>
      </c>
      <c r="Q99" s="82">
        <f t="shared" si="60"/>
        <v>236378.1933428575</v>
      </c>
      <c r="R99" s="82">
        <f t="shared" si="60"/>
        <v>233430.33002782051</v>
      </c>
      <c r="S99" s="82">
        <f t="shared" si="60"/>
        <v>234957.59225667443</v>
      </c>
      <c r="T99" s="82">
        <f t="shared" si="60"/>
        <v>231999.2554667826</v>
      </c>
      <c r="U99" s="82">
        <f t="shared" si="60"/>
        <v>224901.00463647259</v>
      </c>
      <c r="V99" s="82">
        <f t="shared" si="60"/>
        <v>207062.62382894938</v>
      </c>
      <c r="W99" s="82">
        <f t="shared" si="60"/>
        <v>219193.73482250897</v>
      </c>
      <c r="DA99" s="107"/>
    </row>
    <row r="100" spans="1:105" ht="12" customHeight="1" x14ac:dyDescent="0.25">
      <c r="A100" s="77" t="s">
        <v>36</v>
      </c>
      <c r="B100" s="64">
        <f t="shared" si="59"/>
        <v>207378.85886028732</v>
      </c>
      <c r="C100" s="64">
        <f t="shared" ref="C100:W100" si="61">C48*11630*1000/C$8</f>
        <v>215457.63904909239</v>
      </c>
      <c r="D100" s="64">
        <f t="shared" si="61"/>
        <v>198863.9654383364</v>
      </c>
      <c r="E100" s="64">
        <f t="shared" si="61"/>
        <v>216220.23869942781</v>
      </c>
      <c r="F100" s="64">
        <f t="shared" si="61"/>
        <v>217075.58579432705</v>
      </c>
      <c r="G100" s="64">
        <f t="shared" si="61"/>
        <v>211214.77409143728</v>
      </c>
      <c r="H100" s="64">
        <f t="shared" si="61"/>
        <v>197244.68996218371</v>
      </c>
      <c r="I100" s="64">
        <f t="shared" si="61"/>
        <v>185731.47624709815</v>
      </c>
      <c r="J100" s="64">
        <f t="shared" si="61"/>
        <v>184388.26153862121</v>
      </c>
      <c r="K100" s="64">
        <f t="shared" si="61"/>
        <v>198415.09203460434</v>
      </c>
      <c r="L100" s="64">
        <f t="shared" si="61"/>
        <v>207731.408594835</v>
      </c>
      <c r="M100" s="64">
        <f t="shared" si="61"/>
        <v>169221.83202048976</v>
      </c>
      <c r="N100" s="64">
        <f t="shared" si="61"/>
        <v>181816.52637137886</v>
      </c>
      <c r="O100" s="64">
        <f t="shared" si="61"/>
        <v>186952.83152280273</v>
      </c>
      <c r="P100" s="64">
        <f t="shared" si="61"/>
        <v>163460.45162039963</v>
      </c>
      <c r="Q100" s="64">
        <f t="shared" si="61"/>
        <v>171254.31820666164</v>
      </c>
      <c r="R100" s="64">
        <f t="shared" si="61"/>
        <v>169034.53658299483</v>
      </c>
      <c r="S100" s="64">
        <f t="shared" si="61"/>
        <v>170611.47870676298</v>
      </c>
      <c r="T100" s="64">
        <f t="shared" si="61"/>
        <v>168775.82643363604</v>
      </c>
      <c r="U100" s="64">
        <f t="shared" si="61"/>
        <v>162868.2203963926</v>
      </c>
      <c r="V100" s="64">
        <f t="shared" si="61"/>
        <v>148842.98664799129</v>
      </c>
      <c r="W100" s="64">
        <f t="shared" si="61"/>
        <v>161080.47241973339</v>
      </c>
      <c r="DA100" s="108"/>
    </row>
    <row r="101" spans="1:105" ht="12" customHeight="1" x14ac:dyDescent="0.25">
      <c r="A101" s="61" t="s">
        <v>32</v>
      </c>
      <c r="B101" s="65">
        <f t="shared" si="59"/>
        <v>157779.44999641003</v>
      </c>
      <c r="C101" s="65">
        <f t="shared" ref="C101:W101" si="62">C49*11630*1000/C$8</f>
        <v>166611.99277042621</v>
      </c>
      <c r="D101" s="65">
        <f t="shared" si="62"/>
        <v>149431.75911892494</v>
      </c>
      <c r="E101" s="65">
        <f t="shared" si="62"/>
        <v>164500.91333481428</v>
      </c>
      <c r="F101" s="65">
        <f t="shared" si="62"/>
        <v>167329.8441357105</v>
      </c>
      <c r="G101" s="65">
        <f t="shared" si="62"/>
        <v>162597.23269747267</v>
      </c>
      <c r="H101" s="65">
        <f t="shared" si="62"/>
        <v>148749.84095056751</v>
      </c>
      <c r="I101" s="65">
        <f t="shared" si="62"/>
        <v>138408.59555562455</v>
      </c>
      <c r="J101" s="65">
        <f t="shared" si="62"/>
        <v>136485.70002604878</v>
      </c>
      <c r="K101" s="65">
        <f t="shared" si="62"/>
        <v>148804.17068692535</v>
      </c>
      <c r="L101" s="65">
        <f t="shared" si="62"/>
        <v>158214.23755160638</v>
      </c>
      <c r="M101" s="65">
        <f t="shared" si="62"/>
        <v>119970.49771210883</v>
      </c>
      <c r="N101" s="65">
        <f t="shared" si="62"/>
        <v>132572.76170607554</v>
      </c>
      <c r="O101" s="65">
        <f t="shared" si="62"/>
        <v>137643.86752738597</v>
      </c>
      <c r="P101" s="65">
        <f t="shared" si="62"/>
        <v>114514.20087293691</v>
      </c>
      <c r="Q101" s="65">
        <f t="shared" si="62"/>
        <v>120913.56344809126</v>
      </c>
      <c r="R101" s="65">
        <f t="shared" si="62"/>
        <v>119466.806096928</v>
      </c>
      <c r="S101" s="65">
        <f t="shared" si="62"/>
        <v>121140.63030486157</v>
      </c>
      <c r="T101" s="65">
        <f t="shared" si="62"/>
        <v>119765.94978454568</v>
      </c>
      <c r="U101" s="65">
        <f t="shared" si="62"/>
        <v>114913.82864720239</v>
      </c>
      <c r="V101" s="65">
        <f t="shared" si="62"/>
        <v>104805.35429704167</v>
      </c>
      <c r="W101" s="65">
        <f t="shared" si="62"/>
        <v>114931.50394677772</v>
      </c>
      <c r="DA101" s="109"/>
    </row>
    <row r="102" spans="1:105" ht="12" customHeight="1" x14ac:dyDescent="0.25">
      <c r="A102" s="61" t="s">
        <v>31</v>
      </c>
      <c r="B102" s="65">
        <f t="shared" si="59"/>
        <v>3689.7174598741308</v>
      </c>
      <c r="C102" s="65">
        <f t="shared" ref="C102:W102" si="63">C50*11630*1000/C$8</f>
        <v>4006.3578191479828</v>
      </c>
      <c r="D102" s="65">
        <f t="shared" si="63"/>
        <v>3923.2718544357658</v>
      </c>
      <c r="E102" s="65">
        <f t="shared" si="63"/>
        <v>6952.911899412883</v>
      </c>
      <c r="F102" s="65">
        <f t="shared" si="63"/>
        <v>4108.6425921770642</v>
      </c>
      <c r="G102" s="65">
        <f t="shared" si="63"/>
        <v>4480.3090756864149</v>
      </c>
      <c r="H102" s="65">
        <f t="shared" si="63"/>
        <v>5337.1737532507423</v>
      </c>
      <c r="I102" s="65">
        <f t="shared" si="63"/>
        <v>4241.6566015502858</v>
      </c>
      <c r="J102" s="65">
        <f t="shared" si="63"/>
        <v>4288.7717939388986</v>
      </c>
      <c r="K102" s="65">
        <f t="shared" si="63"/>
        <v>4721.3679301336379</v>
      </c>
      <c r="L102" s="65">
        <f t="shared" si="63"/>
        <v>4674.0252530741354</v>
      </c>
      <c r="M102" s="65">
        <f t="shared" si="63"/>
        <v>4574.3903582286521</v>
      </c>
      <c r="N102" s="65">
        <f t="shared" si="63"/>
        <v>4730.9107305075531</v>
      </c>
      <c r="O102" s="65">
        <f t="shared" si="63"/>
        <v>4623.3605598784516</v>
      </c>
      <c r="P102" s="65">
        <f t="shared" si="63"/>
        <v>4256.251444307969</v>
      </c>
      <c r="Q102" s="65">
        <f t="shared" si="63"/>
        <v>5327.5923278653518</v>
      </c>
      <c r="R102" s="65">
        <f t="shared" si="63"/>
        <v>4583.7624022920909</v>
      </c>
      <c r="S102" s="65">
        <f t="shared" si="63"/>
        <v>4938.3199118010389</v>
      </c>
      <c r="T102" s="65">
        <f t="shared" si="63"/>
        <v>4845.2896823184046</v>
      </c>
      <c r="U102" s="65">
        <f t="shared" si="63"/>
        <v>4882.5838540738141</v>
      </c>
      <c r="V102" s="65">
        <f t="shared" si="63"/>
        <v>4864.6840401861145</v>
      </c>
      <c r="W102" s="65">
        <f t="shared" si="63"/>
        <v>4014.3245389101521</v>
      </c>
      <c r="DA102" s="109"/>
    </row>
    <row r="103" spans="1:105" ht="12" customHeight="1" x14ac:dyDescent="0.25">
      <c r="A103" s="61" t="s">
        <v>35</v>
      </c>
      <c r="B103" s="65">
        <f t="shared" si="59"/>
        <v>24566.476686370326</v>
      </c>
      <c r="C103" s="65">
        <f t="shared" ref="C103:W103" si="64">C51*11630*1000/C$8</f>
        <v>24080.467880262906</v>
      </c>
      <c r="D103" s="65">
        <f t="shared" si="64"/>
        <v>23938.864150314457</v>
      </c>
      <c r="E103" s="65">
        <f t="shared" si="64"/>
        <v>23335.292837244044</v>
      </c>
      <c r="F103" s="65">
        <f t="shared" si="64"/>
        <v>23797.181870494871</v>
      </c>
      <c r="G103" s="65">
        <f t="shared" si="64"/>
        <v>23383.359153609861</v>
      </c>
      <c r="H103" s="65">
        <f t="shared" si="64"/>
        <v>22800.003792789259</v>
      </c>
      <c r="I103" s="65">
        <f t="shared" si="64"/>
        <v>22479.232824207174</v>
      </c>
      <c r="J103" s="65">
        <f t="shared" si="64"/>
        <v>22741.092841908685</v>
      </c>
      <c r="K103" s="65">
        <f t="shared" si="64"/>
        <v>23028.739693263706</v>
      </c>
      <c r="L103" s="65">
        <f t="shared" si="64"/>
        <v>22710.102470211201</v>
      </c>
      <c r="M103" s="65">
        <f t="shared" si="64"/>
        <v>22519.485171275093</v>
      </c>
      <c r="N103" s="65">
        <f t="shared" si="64"/>
        <v>22493.477291783754</v>
      </c>
      <c r="O103" s="65">
        <f t="shared" si="64"/>
        <v>22564.996678457512</v>
      </c>
      <c r="P103" s="65">
        <f t="shared" si="64"/>
        <v>22398.607333452623</v>
      </c>
      <c r="Q103" s="65">
        <f t="shared" si="64"/>
        <v>22414.015903107411</v>
      </c>
      <c r="R103" s="65">
        <f t="shared" si="64"/>
        <v>22266.3968456724</v>
      </c>
      <c r="S103" s="65">
        <f t="shared" si="64"/>
        <v>21899.249193178108</v>
      </c>
      <c r="T103" s="65">
        <f t="shared" si="64"/>
        <v>21795.434404454667</v>
      </c>
      <c r="U103" s="65">
        <f t="shared" si="64"/>
        <v>20841.915334749046</v>
      </c>
      <c r="V103" s="65">
        <f t="shared" si="64"/>
        <v>18999.747303071388</v>
      </c>
      <c r="W103" s="65">
        <f t="shared" si="64"/>
        <v>20016.033112418445</v>
      </c>
      <c r="DA103" s="109"/>
    </row>
    <row r="104" spans="1:105" ht="12" customHeight="1" x14ac:dyDescent="0.25">
      <c r="A104" s="66" t="s">
        <v>34</v>
      </c>
      <c r="B104" s="67">
        <f t="shared" si="59"/>
        <v>21343.214717632873</v>
      </c>
      <c r="C104" s="67">
        <f t="shared" ref="C104:W104" si="65">C52*11630*1000/C$8</f>
        <v>20758.820579255316</v>
      </c>
      <c r="D104" s="67">
        <f t="shared" si="65"/>
        <v>21570.070314661232</v>
      </c>
      <c r="E104" s="67">
        <f t="shared" si="65"/>
        <v>21431.120627956618</v>
      </c>
      <c r="F104" s="67">
        <f t="shared" si="65"/>
        <v>21839.91719594461</v>
      </c>
      <c r="G104" s="67">
        <f t="shared" si="65"/>
        <v>20753.873164668341</v>
      </c>
      <c r="H104" s="67">
        <f t="shared" si="65"/>
        <v>20357.671465576215</v>
      </c>
      <c r="I104" s="67">
        <f t="shared" si="65"/>
        <v>20601.991265716177</v>
      </c>
      <c r="J104" s="67">
        <f t="shared" si="65"/>
        <v>20872.69687672484</v>
      </c>
      <c r="K104" s="67">
        <f t="shared" si="65"/>
        <v>21860.813724281619</v>
      </c>
      <c r="L104" s="67">
        <f t="shared" si="65"/>
        <v>22133.043319943259</v>
      </c>
      <c r="M104" s="67">
        <f t="shared" si="65"/>
        <v>22157.458778877208</v>
      </c>
      <c r="N104" s="67">
        <f t="shared" si="65"/>
        <v>22019.37664301199</v>
      </c>
      <c r="O104" s="67">
        <f t="shared" si="65"/>
        <v>22120.606757080768</v>
      </c>
      <c r="P104" s="67">
        <f t="shared" si="65"/>
        <v>22291.391969702137</v>
      </c>
      <c r="Q104" s="67">
        <f t="shared" si="65"/>
        <v>22599.14652759767</v>
      </c>
      <c r="R104" s="67">
        <f t="shared" si="65"/>
        <v>22717.571238102337</v>
      </c>
      <c r="S104" s="67">
        <f t="shared" si="65"/>
        <v>22633.279296922257</v>
      </c>
      <c r="T104" s="67">
        <f t="shared" si="65"/>
        <v>22369.152562317286</v>
      </c>
      <c r="U104" s="67">
        <f t="shared" si="65"/>
        <v>22229.892560367374</v>
      </c>
      <c r="V104" s="67">
        <f t="shared" si="65"/>
        <v>20173.201007692096</v>
      </c>
      <c r="W104" s="67">
        <f t="shared" si="65"/>
        <v>22118.610821627077</v>
      </c>
      <c r="DA104" s="110"/>
    </row>
    <row r="105" spans="1:105" ht="12" customHeight="1" x14ac:dyDescent="0.25">
      <c r="A105" s="78" t="s">
        <v>33</v>
      </c>
      <c r="B105" s="68">
        <f t="shared" si="59"/>
        <v>52852.076093921809</v>
      </c>
      <c r="C105" s="68">
        <f t="shared" ref="C105:W105" si="66">C53*11630*1000/C$8</f>
        <v>54156.074662061932</v>
      </c>
      <c r="D105" s="68">
        <f t="shared" si="66"/>
        <v>55538.364550834376</v>
      </c>
      <c r="E105" s="68">
        <f t="shared" si="66"/>
        <v>57025.650387764035</v>
      </c>
      <c r="F105" s="68">
        <f t="shared" si="66"/>
        <v>58650.826241323564</v>
      </c>
      <c r="G105" s="68">
        <f t="shared" si="66"/>
        <v>59756.633858252862</v>
      </c>
      <c r="H105" s="68">
        <f t="shared" si="66"/>
        <v>60562.11127513519</v>
      </c>
      <c r="I105" s="68">
        <f t="shared" si="66"/>
        <v>61218.464008800525</v>
      </c>
      <c r="J105" s="68">
        <f t="shared" si="66"/>
        <v>61781.111643141543</v>
      </c>
      <c r="K105" s="68">
        <f t="shared" si="66"/>
        <v>62459.591498133566</v>
      </c>
      <c r="L105" s="68">
        <f t="shared" si="66"/>
        <v>62732.514729732873</v>
      </c>
      <c r="M105" s="68">
        <f t="shared" si="66"/>
        <v>62775.889317034358</v>
      </c>
      <c r="N105" s="68">
        <f t="shared" si="66"/>
        <v>63110.985130345849</v>
      </c>
      <c r="O105" s="68">
        <f t="shared" si="66"/>
        <v>63412.849885668125</v>
      </c>
      <c r="P105" s="68">
        <f t="shared" si="66"/>
        <v>64264.835943242651</v>
      </c>
      <c r="Q105" s="68">
        <f t="shared" si="66"/>
        <v>65123.875136195813</v>
      </c>
      <c r="R105" s="68">
        <f t="shared" si="66"/>
        <v>64395.793444825737</v>
      </c>
      <c r="S105" s="68">
        <f t="shared" si="66"/>
        <v>64346.113549911439</v>
      </c>
      <c r="T105" s="68">
        <f t="shared" si="66"/>
        <v>63223.429033146582</v>
      </c>
      <c r="U105" s="68">
        <f t="shared" si="66"/>
        <v>62032.784240079949</v>
      </c>
      <c r="V105" s="68">
        <f t="shared" si="66"/>
        <v>58219.637180958089</v>
      </c>
      <c r="W105" s="68">
        <f t="shared" si="66"/>
        <v>58113.262402775617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126690.80395457757</v>
      </c>
      <c r="C107" s="85">
        <f t="shared" ref="C107:W107" si="68">SUM(C108:C111)</f>
        <v>133457.9497228234</v>
      </c>
      <c r="D107" s="85">
        <f t="shared" si="68"/>
        <v>126185.52408712286</v>
      </c>
      <c r="E107" s="85">
        <f t="shared" si="68"/>
        <v>141293.28506517826</v>
      </c>
      <c r="F107" s="85">
        <f t="shared" si="68"/>
        <v>139705.85061603875</v>
      </c>
      <c r="G107" s="85">
        <f t="shared" si="68"/>
        <v>139588.29268805878</v>
      </c>
      <c r="H107" s="85">
        <f t="shared" si="68"/>
        <v>135165.46744056419</v>
      </c>
      <c r="I107" s="85">
        <f t="shared" si="68"/>
        <v>127112.8132127483</v>
      </c>
      <c r="J107" s="85">
        <f t="shared" si="68"/>
        <v>127609.33650407547</v>
      </c>
      <c r="K107" s="85">
        <f t="shared" si="68"/>
        <v>139015.97098172276</v>
      </c>
      <c r="L107" s="85">
        <f t="shared" si="68"/>
        <v>148004.08417009475</v>
      </c>
      <c r="M107" s="85">
        <f t="shared" si="68"/>
        <v>125801.32212649057</v>
      </c>
      <c r="N107" s="85">
        <f t="shared" si="68"/>
        <v>137389.15008654009</v>
      </c>
      <c r="O107" s="85">
        <f t="shared" si="68"/>
        <v>143056.83619184582</v>
      </c>
      <c r="P107" s="85">
        <f t="shared" si="68"/>
        <v>126379.44984645612</v>
      </c>
      <c r="Q107" s="85">
        <f t="shared" si="68"/>
        <v>135816.28682935139</v>
      </c>
      <c r="R107" s="85">
        <f t="shared" si="68"/>
        <v>135020.42714807906</v>
      </c>
      <c r="S107" s="85">
        <f t="shared" si="68"/>
        <v>138503.49867642019</v>
      </c>
      <c r="T107" s="85">
        <f t="shared" si="68"/>
        <v>138895.52966254792</v>
      </c>
      <c r="U107" s="85">
        <f t="shared" si="68"/>
        <v>136613.52907395779</v>
      </c>
      <c r="V107" s="85">
        <f t="shared" si="68"/>
        <v>127710.19399461959</v>
      </c>
      <c r="W107" s="85">
        <f t="shared" si="68"/>
        <v>136956.59334576159</v>
      </c>
      <c r="DA107" s="117"/>
    </row>
    <row r="108" spans="1:105" ht="12" customHeight="1" x14ac:dyDescent="0.25">
      <c r="A108" s="61" t="s">
        <v>32</v>
      </c>
      <c r="B108" s="65">
        <v>90987.270790335722</v>
      </c>
      <c r="C108" s="65">
        <v>97067.011337429954</v>
      </c>
      <c r="D108" s="65">
        <v>89565.517599740328</v>
      </c>
      <c r="E108" s="65">
        <v>98649.472361404143</v>
      </c>
      <c r="F108" s="65">
        <v>101883.93310088833</v>
      </c>
      <c r="G108" s="65">
        <v>100675.05389809985</v>
      </c>
      <c r="H108" s="65">
        <v>94022.356779846843</v>
      </c>
      <c r="I108" s="65">
        <v>88039.182441342316</v>
      </c>
      <c r="J108" s="65">
        <v>87400.343024440896</v>
      </c>
      <c r="K108" s="65">
        <v>96684.126277896197</v>
      </c>
      <c r="L108" s="65">
        <v>105335.40671390484</v>
      </c>
      <c r="M108" s="65">
        <v>82975.192312183659</v>
      </c>
      <c r="N108" s="65">
        <v>93460.595392518953</v>
      </c>
      <c r="O108" s="65">
        <v>98750.942852363558</v>
      </c>
      <c r="P108" s="65">
        <v>82699.804464415414</v>
      </c>
      <c r="Q108" s="65">
        <v>88224.900284837102</v>
      </c>
      <c r="R108" s="65">
        <v>88830.911164148725</v>
      </c>
      <c r="S108" s="65">
        <v>90840.064454981242</v>
      </c>
      <c r="T108" s="65">
        <v>90831.624223714884</v>
      </c>
      <c r="U108" s="65">
        <v>88552.362155995288</v>
      </c>
      <c r="V108" s="65">
        <v>81779.541794445686</v>
      </c>
      <c r="W108" s="65">
        <v>91407.181424093505</v>
      </c>
      <c r="DA108" s="109"/>
    </row>
    <row r="109" spans="1:105" ht="12" customHeight="1" x14ac:dyDescent="0.25">
      <c r="A109" s="61" t="s">
        <v>31</v>
      </c>
      <c r="B109" s="65">
        <v>6668.3807518535705</v>
      </c>
      <c r="C109" s="65">
        <v>7564.6095222841623</v>
      </c>
      <c r="D109" s="65">
        <v>7733.328941020256</v>
      </c>
      <c r="E109" s="65">
        <v>14281.129358790791</v>
      </c>
      <c r="F109" s="65">
        <v>8803.2255454332208</v>
      </c>
      <c r="G109" s="65">
        <v>10033.556513542972</v>
      </c>
      <c r="H109" s="65">
        <v>12564.232335344837</v>
      </c>
      <c r="I109" s="65">
        <v>10486.29502094296</v>
      </c>
      <c r="J109" s="65">
        <v>11128.005262699435</v>
      </c>
      <c r="K109" s="65">
        <v>12452.913300485161</v>
      </c>
      <c r="L109" s="65">
        <v>12574.750783947553</v>
      </c>
      <c r="M109" s="65">
        <v>12632.035638251729</v>
      </c>
      <c r="N109" s="65">
        <v>13343.651920082648</v>
      </c>
      <c r="O109" s="65">
        <v>13365.685322178502</v>
      </c>
      <c r="P109" s="65">
        <v>12694.549230470906</v>
      </c>
      <c r="Q109" s="65">
        <v>16380.348765258477</v>
      </c>
      <c r="R109" s="65">
        <v>14556.585237797455</v>
      </c>
      <c r="S109" s="65">
        <v>16130.156895364271</v>
      </c>
      <c r="T109" s="65">
        <v>16232.119011204124</v>
      </c>
      <c r="U109" s="65">
        <v>16693.04398098612</v>
      </c>
      <c r="V109" s="65">
        <v>16980.840270440582</v>
      </c>
      <c r="W109" s="65">
        <v>14363.787792455836</v>
      </c>
      <c r="DA109" s="109"/>
    </row>
    <row r="110" spans="1:105" ht="12" customHeight="1" x14ac:dyDescent="0.25">
      <c r="A110" s="61" t="s">
        <v>35</v>
      </c>
      <c r="B110" s="65">
        <v>15072.72232687699</v>
      </c>
      <c r="C110" s="65">
        <v>14832.838292706725</v>
      </c>
      <c r="D110" s="65">
        <v>14824.160857220679</v>
      </c>
      <c r="E110" s="65">
        <v>14501.381652813054</v>
      </c>
      <c r="F110" s="65">
        <v>14906.380337957129</v>
      </c>
      <c r="G110" s="65">
        <v>14774.71517002309</v>
      </c>
      <c r="H110" s="65">
        <v>14527.531711198184</v>
      </c>
      <c r="I110" s="65">
        <v>14359.771412184857</v>
      </c>
      <c r="J110" s="65">
        <v>14662.442299546201</v>
      </c>
      <c r="K110" s="65">
        <v>14955.922259101231</v>
      </c>
      <c r="L110" s="65">
        <v>14912.105355258349</v>
      </c>
      <c r="M110" s="65">
        <v>14929.966847730795</v>
      </c>
      <c r="N110" s="65">
        <v>15146.059510100431</v>
      </c>
      <c r="O110" s="65">
        <v>15373.680707129693</v>
      </c>
      <c r="P110" s="65">
        <v>15353.169884561681</v>
      </c>
      <c r="Q110" s="65">
        <v>15479.673850553208</v>
      </c>
      <c r="R110" s="65">
        <v>15632.139299944463</v>
      </c>
      <c r="S110" s="65">
        <v>15616.987751817025</v>
      </c>
      <c r="T110" s="65">
        <v>15906.915975023625</v>
      </c>
      <c r="U110" s="65">
        <v>15498.125379198438</v>
      </c>
      <c r="V110" s="65">
        <v>14395.538257568001</v>
      </c>
      <c r="W110" s="65">
        <v>15479.6132450484</v>
      </c>
      <c r="DA110" s="109"/>
    </row>
    <row r="111" spans="1:105" ht="12" customHeight="1" x14ac:dyDescent="0.25">
      <c r="A111" s="74" t="s">
        <v>34</v>
      </c>
      <c r="B111" s="68">
        <v>13962.430085511278</v>
      </c>
      <c r="C111" s="68">
        <v>13993.490570402546</v>
      </c>
      <c r="D111" s="68">
        <v>14062.516689141596</v>
      </c>
      <c r="E111" s="68">
        <v>13861.301692170286</v>
      </c>
      <c r="F111" s="68">
        <v>14112.311631760078</v>
      </c>
      <c r="G111" s="68">
        <v>14104.967106392876</v>
      </c>
      <c r="H111" s="68">
        <v>14051.346614174321</v>
      </c>
      <c r="I111" s="68">
        <v>14227.564338278178</v>
      </c>
      <c r="J111" s="68">
        <v>14418.545917388952</v>
      </c>
      <c r="K111" s="68">
        <v>14923.009144240163</v>
      </c>
      <c r="L111" s="68">
        <v>15181.821316983975</v>
      </c>
      <c r="M111" s="68">
        <v>15264.127328324385</v>
      </c>
      <c r="N111" s="68">
        <v>15438.843263838051</v>
      </c>
      <c r="O111" s="68">
        <v>15566.527310174086</v>
      </c>
      <c r="P111" s="68">
        <v>15631.926267008126</v>
      </c>
      <c r="Q111" s="68">
        <v>15731.363928702613</v>
      </c>
      <c r="R111" s="68">
        <v>16000.79144618841</v>
      </c>
      <c r="S111" s="68">
        <v>15916.289574257653</v>
      </c>
      <c r="T111" s="68">
        <v>15924.870452605284</v>
      </c>
      <c r="U111" s="68">
        <v>15869.997557777951</v>
      </c>
      <c r="V111" s="68">
        <v>14554.27367216532</v>
      </c>
      <c r="W111" s="68">
        <v>15706.010884163848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29855.420345326947</v>
      </c>
      <c r="C113" s="82">
        <f t="shared" ref="C113:W113" si="70">C81*1000000/C$8</f>
        <v>30537.333835790465</v>
      </c>
      <c r="D113" s="82">
        <f t="shared" si="70"/>
        <v>26943.858522516872</v>
      </c>
      <c r="E113" s="82">
        <f t="shared" si="70"/>
        <v>30236.780076712203</v>
      </c>
      <c r="F113" s="82">
        <f t="shared" si="70"/>
        <v>30309.442909010875</v>
      </c>
      <c r="G113" s="82">
        <f t="shared" si="70"/>
        <v>28335.783946069507</v>
      </c>
      <c r="H113" s="82">
        <f t="shared" si="70"/>
        <v>25282.218014056576</v>
      </c>
      <c r="I113" s="82">
        <f t="shared" si="70"/>
        <v>24136.133618039159</v>
      </c>
      <c r="J113" s="82">
        <f t="shared" si="70"/>
        <v>24693.026842342191</v>
      </c>
      <c r="K113" s="82">
        <f t="shared" si="70"/>
        <v>26818.550831085573</v>
      </c>
      <c r="L113" s="82">
        <f t="shared" si="70"/>
        <v>27265.114519845956</v>
      </c>
      <c r="M113" s="82">
        <f t="shared" si="70"/>
        <v>21249.791456405754</v>
      </c>
      <c r="N113" s="82">
        <f t="shared" si="70"/>
        <v>22762.95053410836</v>
      </c>
      <c r="O113" s="82">
        <f t="shared" si="70"/>
        <v>23746.784936457309</v>
      </c>
      <c r="P113" s="82">
        <f t="shared" si="70"/>
        <v>20500.5368074781</v>
      </c>
      <c r="Q113" s="82">
        <f t="shared" si="70"/>
        <v>21511.404436040812</v>
      </c>
      <c r="R113" s="82">
        <f t="shared" si="70"/>
        <v>20630.846229646952</v>
      </c>
      <c r="S113" s="82">
        <f t="shared" si="70"/>
        <v>21226.074138858479</v>
      </c>
      <c r="T113" s="82">
        <f t="shared" si="70"/>
        <v>20939.718352600259</v>
      </c>
      <c r="U113" s="82">
        <f t="shared" si="70"/>
        <v>20313.962269426393</v>
      </c>
      <c r="V113" s="82">
        <f t="shared" si="70"/>
        <v>18674.356701942503</v>
      </c>
      <c r="W113" s="82">
        <f t="shared" si="70"/>
        <v>20140.557713997692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29855.420345326947</v>
      </c>
      <c r="C114" s="64">
        <f t="shared" ref="C114:W114" si="72">C82*1000000/C$8</f>
        <v>30537.333835790465</v>
      </c>
      <c r="D114" s="64">
        <f t="shared" si="72"/>
        <v>26943.858522516872</v>
      </c>
      <c r="E114" s="64">
        <f t="shared" si="72"/>
        <v>30236.780076712203</v>
      </c>
      <c r="F114" s="64">
        <f t="shared" si="72"/>
        <v>30309.442909010875</v>
      </c>
      <c r="G114" s="64">
        <f t="shared" si="72"/>
        <v>28335.783946069507</v>
      </c>
      <c r="H114" s="64">
        <f t="shared" si="72"/>
        <v>25282.218014056576</v>
      </c>
      <c r="I114" s="64">
        <f t="shared" si="72"/>
        <v>24136.133618039159</v>
      </c>
      <c r="J114" s="64">
        <f t="shared" si="72"/>
        <v>24693.026842342191</v>
      </c>
      <c r="K114" s="64">
        <f t="shared" si="72"/>
        <v>26818.550831085573</v>
      </c>
      <c r="L114" s="64">
        <f t="shared" si="72"/>
        <v>27265.114519845956</v>
      </c>
      <c r="M114" s="64">
        <f t="shared" si="72"/>
        <v>21249.791456405754</v>
      </c>
      <c r="N114" s="64">
        <f t="shared" si="72"/>
        <v>22762.95053410836</v>
      </c>
      <c r="O114" s="64">
        <f t="shared" si="72"/>
        <v>23746.784936457309</v>
      </c>
      <c r="P114" s="64">
        <f t="shared" si="72"/>
        <v>20500.5368074781</v>
      </c>
      <c r="Q114" s="64">
        <f t="shared" si="72"/>
        <v>21511.404436040812</v>
      </c>
      <c r="R114" s="64">
        <f t="shared" si="72"/>
        <v>20630.846229646952</v>
      </c>
      <c r="S114" s="64">
        <f t="shared" si="72"/>
        <v>21226.074138858479</v>
      </c>
      <c r="T114" s="64">
        <f t="shared" si="72"/>
        <v>20939.718352600259</v>
      </c>
      <c r="U114" s="64">
        <f t="shared" si="72"/>
        <v>20313.962269426393</v>
      </c>
      <c r="V114" s="64">
        <f t="shared" si="72"/>
        <v>18674.356701942503</v>
      </c>
      <c r="W114" s="64">
        <f t="shared" si="72"/>
        <v>20140.557713997692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24651.624753162105</v>
      </c>
      <c r="C115" s="65">
        <f t="shared" ref="C115:W115" si="74">C83*1000000/C$8</f>
        <v>25918.299103164794</v>
      </c>
      <c r="D115" s="65">
        <f t="shared" si="74"/>
        <v>21649.406317439938</v>
      </c>
      <c r="E115" s="65">
        <f t="shared" si="74"/>
        <v>24783.374844576741</v>
      </c>
      <c r="F115" s="65">
        <f t="shared" si="74"/>
        <v>24773.981513402541</v>
      </c>
      <c r="G115" s="65">
        <f t="shared" si="74"/>
        <v>23834.419823366326</v>
      </c>
      <c r="H115" s="65">
        <f t="shared" si="74"/>
        <v>21164.110682696068</v>
      </c>
      <c r="I115" s="65">
        <f t="shared" si="74"/>
        <v>20047.361757225553</v>
      </c>
      <c r="J115" s="65">
        <f t="shared" si="74"/>
        <v>20550.94560798151</v>
      </c>
      <c r="K115" s="65">
        <f t="shared" si="74"/>
        <v>22287.132697373236</v>
      </c>
      <c r="L115" s="65">
        <f t="shared" si="74"/>
        <v>22873.980590591811</v>
      </c>
      <c r="M115" s="65">
        <f t="shared" si="74"/>
        <v>16921.021757207141</v>
      </c>
      <c r="N115" s="65">
        <f t="shared" si="74"/>
        <v>18836.467965531912</v>
      </c>
      <c r="O115" s="65">
        <f t="shared" si="74"/>
        <v>19782.996056220934</v>
      </c>
      <c r="P115" s="65">
        <f t="shared" si="74"/>
        <v>16451.409637245688</v>
      </c>
      <c r="Q115" s="65">
        <f t="shared" si="74"/>
        <v>17197.687604385024</v>
      </c>
      <c r="R115" s="65">
        <f t="shared" si="74"/>
        <v>16544.132742212543</v>
      </c>
      <c r="S115" s="65">
        <f t="shared" si="74"/>
        <v>17058.101100406766</v>
      </c>
      <c r="T115" s="65">
        <f t="shared" si="74"/>
        <v>17061.416298855551</v>
      </c>
      <c r="U115" s="65">
        <f t="shared" si="74"/>
        <v>16475.308144417904</v>
      </c>
      <c r="V115" s="65">
        <f t="shared" si="74"/>
        <v>15217.605512939539</v>
      </c>
      <c r="W115" s="65">
        <f t="shared" si="74"/>
        <v>16125.197542149539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3.3998456239642292</v>
      </c>
      <c r="C116" s="65">
        <f t="shared" ref="C116:W116" si="76">C84*1000000/C$8</f>
        <v>4.270830051134002</v>
      </c>
      <c r="D116" s="65">
        <f t="shared" si="76"/>
        <v>4.6312427406510164</v>
      </c>
      <c r="E116" s="65">
        <f t="shared" si="76"/>
        <v>12.197487325096757</v>
      </c>
      <c r="F116" s="65">
        <f t="shared" si="76"/>
        <v>6.7165358889793492</v>
      </c>
      <c r="G116" s="65">
        <f t="shared" si="76"/>
        <v>7.198805276804233</v>
      </c>
      <c r="H116" s="65">
        <f t="shared" si="76"/>
        <v>12.695395130461495</v>
      </c>
      <c r="I116" s="65">
        <f t="shared" si="76"/>
        <v>11.367242384676898</v>
      </c>
      <c r="J116" s="65">
        <f t="shared" si="76"/>
        <v>13.947618082165802</v>
      </c>
      <c r="K116" s="65">
        <f t="shared" si="76"/>
        <v>16.075133824285466</v>
      </c>
      <c r="L116" s="65">
        <f t="shared" si="76"/>
        <v>18.172948291048169</v>
      </c>
      <c r="M116" s="65">
        <f t="shared" si="76"/>
        <v>23.985466498781783</v>
      </c>
      <c r="N116" s="65">
        <f t="shared" si="76"/>
        <v>35.940437724977222</v>
      </c>
      <c r="O116" s="65">
        <f t="shared" si="76"/>
        <v>43.554281713870616</v>
      </c>
      <c r="P116" s="65">
        <f t="shared" si="76"/>
        <v>43.919273547508809</v>
      </c>
      <c r="Q116" s="65">
        <f t="shared" si="76"/>
        <v>70.014719051434966</v>
      </c>
      <c r="R116" s="65">
        <f t="shared" si="76"/>
        <v>66.68498964223906</v>
      </c>
      <c r="S116" s="65">
        <f t="shared" si="76"/>
        <v>82.699342741171421</v>
      </c>
      <c r="T116" s="65">
        <f t="shared" si="76"/>
        <v>88.725198013441315</v>
      </c>
      <c r="U116" s="65">
        <f t="shared" si="76"/>
        <v>96.846788235846091</v>
      </c>
      <c r="V116" s="65">
        <f t="shared" si="76"/>
        <v>97.561244162539452</v>
      </c>
      <c r="W116" s="65">
        <f t="shared" si="76"/>
        <v>79.666256496206472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2586.668232396351</v>
      </c>
      <c r="C117" s="65">
        <f t="shared" ref="C117:W117" si="78">C85*1000000/C$8</f>
        <v>2562.5139983229346</v>
      </c>
      <c r="D117" s="65">
        <f t="shared" si="78"/>
        <v>2522.3789691607476</v>
      </c>
      <c r="E117" s="65">
        <f t="shared" si="78"/>
        <v>2512.8305962263726</v>
      </c>
      <c r="F117" s="65">
        <f t="shared" si="78"/>
        <v>2481.5803744619111</v>
      </c>
      <c r="G117" s="65">
        <f t="shared" si="78"/>
        <v>2337.8676124123513</v>
      </c>
      <c r="H117" s="65">
        <f t="shared" si="78"/>
        <v>2210.5482421487482</v>
      </c>
      <c r="I117" s="65">
        <f t="shared" si="78"/>
        <v>2121.2942991339746</v>
      </c>
      <c r="J117" s="65">
        <f t="shared" si="78"/>
        <v>2096.9504248088915</v>
      </c>
      <c r="K117" s="65">
        <f t="shared" si="78"/>
        <v>2157.7735456588275</v>
      </c>
      <c r="L117" s="65">
        <f t="shared" si="78"/>
        <v>2023.3046285514736</v>
      </c>
      <c r="M117" s="65">
        <f t="shared" si="78"/>
        <v>2014.6741789050311</v>
      </c>
      <c r="N117" s="65">
        <f t="shared" si="78"/>
        <v>1900.545724436025</v>
      </c>
      <c r="O117" s="65">
        <f t="shared" si="78"/>
        <v>1965.3694711391252</v>
      </c>
      <c r="P117" s="65">
        <f t="shared" si="78"/>
        <v>1951.4331872705332</v>
      </c>
      <c r="Q117" s="65">
        <f t="shared" si="78"/>
        <v>1993.5783505618597</v>
      </c>
      <c r="R117" s="65">
        <f t="shared" si="78"/>
        <v>1893.1235775375967</v>
      </c>
      <c r="S117" s="65">
        <f t="shared" si="78"/>
        <v>1859.3536199393304</v>
      </c>
      <c r="T117" s="65">
        <f t="shared" si="78"/>
        <v>1702.8424640736418</v>
      </c>
      <c r="U117" s="65">
        <f t="shared" si="78"/>
        <v>1611.895421601768</v>
      </c>
      <c r="V117" s="65">
        <f t="shared" si="78"/>
        <v>1491.9540883137608</v>
      </c>
      <c r="W117" s="65">
        <f t="shared" si="78"/>
        <v>1556.8163901827152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2613.7275141445257</v>
      </c>
      <c r="C118" s="67">
        <f t="shared" ref="C118:W118" si="80">C86*1000000/C$8</f>
        <v>2052.2499042516019</v>
      </c>
      <c r="D118" s="67">
        <f t="shared" si="80"/>
        <v>2767.4419931755347</v>
      </c>
      <c r="E118" s="67">
        <f t="shared" si="80"/>
        <v>2928.3771485839952</v>
      </c>
      <c r="F118" s="67">
        <f t="shared" si="80"/>
        <v>3047.164485257445</v>
      </c>
      <c r="G118" s="67">
        <f t="shared" si="80"/>
        <v>2156.2977050140275</v>
      </c>
      <c r="H118" s="67">
        <f t="shared" si="80"/>
        <v>1894.8636940813003</v>
      </c>
      <c r="I118" s="67">
        <f t="shared" si="80"/>
        <v>1956.1103192949538</v>
      </c>
      <c r="J118" s="67">
        <f t="shared" si="80"/>
        <v>2031.1831914696206</v>
      </c>
      <c r="K118" s="67">
        <f t="shared" si="80"/>
        <v>2357.5694542292181</v>
      </c>
      <c r="L118" s="67">
        <f t="shared" si="80"/>
        <v>2349.6563524116191</v>
      </c>
      <c r="M118" s="67">
        <f t="shared" si="80"/>
        <v>2290.110053794795</v>
      </c>
      <c r="N118" s="67">
        <f t="shared" si="80"/>
        <v>1989.9964064154499</v>
      </c>
      <c r="O118" s="67">
        <f t="shared" si="80"/>
        <v>1954.8651273833755</v>
      </c>
      <c r="P118" s="67">
        <f t="shared" si="80"/>
        <v>2053.774709414372</v>
      </c>
      <c r="Q118" s="67">
        <f t="shared" si="80"/>
        <v>2250.1237620424877</v>
      </c>
      <c r="R118" s="67">
        <f t="shared" si="80"/>
        <v>2126.9049202545716</v>
      </c>
      <c r="S118" s="67">
        <f t="shared" si="80"/>
        <v>2225.9200757712078</v>
      </c>
      <c r="T118" s="67">
        <f t="shared" si="80"/>
        <v>2086.7343916576292</v>
      </c>
      <c r="U118" s="67">
        <f t="shared" si="80"/>
        <v>2129.9119151708715</v>
      </c>
      <c r="V118" s="67">
        <f t="shared" si="80"/>
        <v>1867.2358565266647</v>
      </c>
      <c r="W118" s="67">
        <f t="shared" si="80"/>
        <v>2378.8775251692291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0.61091475115083982</v>
      </c>
      <c r="C121" s="86">
        <f t="shared" ref="C121:W121" si="84">IF(C107=0,"",C107/C100)</f>
        <v>0.61941618924179698</v>
      </c>
      <c r="D121" s="86">
        <f t="shared" si="84"/>
        <v>0.63453187111593823</v>
      </c>
      <c r="E121" s="86">
        <f t="shared" si="84"/>
        <v>0.65346928629374501</v>
      </c>
      <c r="F121" s="86">
        <f t="shared" si="84"/>
        <v>0.64358158981731861</v>
      </c>
      <c r="G121" s="86">
        <f t="shared" si="84"/>
        <v>0.66088318531936319</v>
      </c>
      <c r="H121" s="86">
        <f t="shared" si="84"/>
        <v>0.68526796572560955</v>
      </c>
      <c r="I121" s="86">
        <f t="shared" si="84"/>
        <v>0.68439025942827658</v>
      </c>
      <c r="J121" s="86">
        <f t="shared" si="84"/>
        <v>0.69206865686158081</v>
      </c>
      <c r="K121" s="86">
        <f t="shared" si="84"/>
        <v>0.70063204142494284</v>
      </c>
      <c r="L121" s="86">
        <f t="shared" si="84"/>
        <v>0.71247812341544337</v>
      </c>
      <c r="M121" s="86">
        <f t="shared" si="84"/>
        <v>0.74341070903462547</v>
      </c>
      <c r="N121" s="86">
        <f t="shared" si="84"/>
        <v>0.75564720561159926</v>
      </c>
      <c r="O121" s="86">
        <f t="shared" si="84"/>
        <v>0.76520283232189024</v>
      </c>
      <c r="P121" s="86">
        <f t="shared" si="84"/>
        <v>0.77315001025412644</v>
      </c>
      <c r="Q121" s="86">
        <f t="shared" si="84"/>
        <v>0.79306780845931546</v>
      </c>
      <c r="R121" s="86">
        <f t="shared" si="84"/>
        <v>0.79877420246474262</v>
      </c>
      <c r="S121" s="86">
        <f t="shared" si="84"/>
        <v>0.81180644893461062</v>
      </c>
      <c r="T121" s="86">
        <f t="shared" si="84"/>
        <v>0.82295867007448908</v>
      </c>
      <c r="U121" s="86">
        <f t="shared" si="84"/>
        <v>0.83879794806785812</v>
      </c>
      <c r="V121" s="86">
        <f t="shared" si="84"/>
        <v>0.85801956054973527</v>
      </c>
      <c r="W121" s="86">
        <f t="shared" si="84"/>
        <v>0.8502370975725021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0.57667377337420034</v>
      </c>
      <c r="C122" s="75">
        <f t="shared" ref="C122:W122" si="86">IF(C108=0,"",C108/C101)</f>
        <v>0.58259318386028836</v>
      </c>
      <c r="D122" s="75">
        <f t="shared" si="86"/>
        <v>0.59937404289311624</v>
      </c>
      <c r="E122" s="75">
        <f t="shared" si="86"/>
        <v>0.59968951151425842</v>
      </c>
      <c r="F122" s="75">
        <f t="shared" si="86"/>
        <v>0.6088808223490414</v>
      </c>
      <c r="G122" s="75">
        <f t="shared" si="86"/>
        <v>0.61916831072651268</v>
      </c>
      <c r="H122" s="75">
        <f t="shared" si="86"/>
        <v>0.63208374663803724</v>
      </c>
      <c r="I122" s="75">
        <f t="shared" si="86"/>
        <v>0.63608175552912505</v>
      </c>
      <c r="J122" s="75">
        <f t="shared" si="86"/>
        <v>0.64036263878018151</v>
      </c>
      <c r="K122" s="75">
        <f t="shared" si="86"/>
        <v>0.64974070169923892</v>
      </c>
      <c r="L122" s="75">
        <f t="shared" si="86"/>
        <v>0.66577703968991098</v>
      </c>
      <c r="M122" s="75">
        <f t="shared" si="86"/>
        <v>0.69162997482345889</v>
      </c>
      <c r="N122" s="75">
        <f t="shared" si="86"/>
        <v>0.70497585016542541</v>
      </c>
      <c r="O122" s="75">
        <f t="shared" si="86"/>
        <v>0.71743801323161616</v>
      </c>
      <c r="P122" s="75">
        <f t="shared" si="86"/>
        <v>0.72217946624958562</v>
      </c>
      <c r="Q122" s="75">
        <f t="shared" si="86"/>
        <v>0.7296526358906994</v>
      </c>
      <c r="R122" s="75">
        <f t="shared" si="86"/>
        <v>0.74356144661703605</v>
      </c>
      <c r="S122" s="75">
        <f t="shared" si="86"/>
        <v>0.74987280672367185</v>
      </c>
      <c r="T122" s="75">
        <f t="shared" si="86"/>
        <v>0.75840941759421165</v>
      </c>
      <c r="U122" s="75">
        <f t="shared" si="86"/>
        <v>0.77059796195513086</v>
      </c>
      <c r="V122" s="75">
        <f t="shared" si="86"/>
        <v>0.78029927328583115</v>
      </c>
      <c r="W122" s="75">
        <f t="shared" si="86"/>
        <v>0.79531876191598594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1.8072876377046638</v>
      </c>
      <c r="C123" s="76">
        <f t="shared" ref="C123:W123" si="88">IF(C109=0,"",C109/C102)</f>
        <v>1.888151249528905</v>
      </c>
      <c r="D123" s="76">
        <f t="shared" si="88"/>
        <v>1.9711427675542617</v>
      </c>
      <c r="E123" s="76">
        <f t="shared" si="88"/>
        <v>2.0539781843053007</v>
      </c>
      <c r="F123" s="76">
        <f t="shared" si="88"/>
        <v>2.142611665028916</v>
      </c>
      <c r="G123" s="76">
        <f t="shared" si="88"/>
        <v>2.2394786484693046</v>
      </c>
      <c r="H123" s="76">
        <f t="shared" si="88"/>
        <v>2.3540984266611651</v>
      </c>
      <c r="I123" s="76">
        <f t="shared" si="88"/>
        <v>2.4722168732636955</v>
      </c>
      <c r="J123" s="76">
        <f t="shared" si="88"/>
        <v>2.5946834658878504</v>
      </c>
      <c r="K123" s="76">
        <f t="shared" si="88"/>
        <v>2.6375646814148377</v>
      </c>
      <c r="L123" s="76">
        <f t="shared" si="88"/>
        <v>2.6903472067629632</v>
      </c>
      <c r="M123" s="76">
        <f t="shared" si="88"/>
        <v>2.7614686655520257</v>
      </c>
      <c r="N123" s="76">
        <f t="shared" si="88"/>
        <v>2.8205249856090777</v>
      </c>
      <c r="O123" s="76">
        <f t="shared" si="88"/>
        <v>2.8909026559957258</v>
      </c>
      <c r="P123" s="76">
        <f t="shared" si="88"/>
        <v>2.9825656206114801</v>
      </c>
      <c r="Q123" s="76">
        <f t="shared" si="88"/>
        <v>3.0746250383279081</v>
      </c>
      <c r="R123" s="76">
        <f t="shared" si="88"/>
        <v>3.175684941810792</v>
      </c>
      <c r="S123" s="76">
        <f t="shared" si="88"/>
        <v>3.2663248196655394</v>
      </c>
      <c r="T123" s="76">
        <f t="shared" si="88"/>
        <v>3.3500822603938261</v>
      </c>
      <c r="U123" s="76">
        <f t="shared" si="88"/>
        <v>3.4188955028510519</v>
      </c>
      <c r="V123" s="76">
        <f t="shared" si="88"/>
        <v>3.4906358008383465</v>
      </c>
      <c r="W123" s="76">
        <f t="shared" si="88"/>
        <v>3.5781331711549802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0.61354839439549969</v>
      </c>
      <c r="C124" s="76">
        <f t="shared" ref="C124:W124" si="90">IF(C110=0,"",C110/C103)</f>
        <v>0.61596968823285103</v>
      </c>
      <c r="D124" s="76">
        <f t="shared" si="90"/>
        <v>0.61925080338558802</v>
      </c>
      <c r="E124" s="76">
        <f t="shared" si="90"/>
        <v>0.62143559774267243</v>
      </c>
      <c r="F124" s="76">
        <f t="shared" si="90"/>
        <v>0.62639267200117199</v>
      </c>
      <c r="G124" s="76">
        <f t="shared" si="90"/>
        <v>0.63184742076470257</v>
      </c>
      <c r="H124" s="76">
        <f t="shared" si="90"/>
        <v>0.63717233747972746</v>
      </c>
      <c r="I124" s="76">
        <f t="shared" si="90"/>
        <v>0.6388016674982463</v>
      </c>
      <c r="J124" s="76">
        <f t="shared" si="90"/>
        <v>0.64475539506726565</v>
      </c>
      <c r="K124" s="76">
        <f t="shared" si="90"/>
        <v>0.64944597308883956</v>
      </c>
      <c r="L124" s="76">
        <f t="shared" si="90"/>
        <v>0.65662871291833802</v>
      </c>
      <c r="M124" s="76">
        <f t="shared" si="90"/>
        <v>0.66297993644964992</v>
      </c>
      <c r="N124" s="76">
        <f t="shared" si="90"/>
        <v>0.67335340435037438</v>
      </c>
      <c r="O124" s="76">
        <f t="shared" si="90"/>
        <v>0.68130657966401265</v>
      </c>
      <c r="P124" s="76">
        <f t="shared" si="90"/>
        <v>0.68545198618806602</v>
      </c>
      <c r="Q124" s="76">
        <f t="shared" si="90"/>
        <v>0.69062473755125486</v>
      </c>
      <c r="R124" s="76">
        <f t="shared" si="90"/>
        <v>0.70205069137545073</v>
      </c>
      <c r="S124" s="76">
        <f t="shared" si="90"/>
        <v>0.71312891204881645</v>
      </c>
      <c r="T124" s="76">
        <f t="shared" si="90"/>
        <v>0.72982789330285081</v>
      </c>
      <c r="U124" s="76">
        <f t="shared" si="90"/>
        <v>0.74360370101681195</v>
      </c>
      <c r="V124" s="76">
        <f t="shared" si="90"/>
        <v>0.75766998518137674</v>
      </c>
      <c r="W124" s="76">
        <f t="shared" si="90"/>
        <v>0.77336069330563117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0.65418589796485072</v>
      </c>
      <c r="C125" s="56">
        <f t="shared" ref="C125:W125" si="92">IF(C111=0,"",C111/C104)</f>
        <v>0.67409853642583661</v>
      </c>
      <c r="D125" s="56">
        <f t="shared" si="92"/>
        <v>0.65194579730151681</v>
      </c>
      <c r="E125" s="56">
        <f t="shared" si="92"/>
        <v>0.64678380252726486</v>
      </c>
      <c r="F125" s="56">
        <f t="shared" si="92"/>
        <v>0.64617056489484093</v>
      </c>
      <c r="G125" s="56">
        <f t="shared" si="92"/>
        <v>0.67963059205764798</v>
      </c>
      <c r="H125" s="56">
        <f t="shared" si="92"/>
        <v>0.69022366521310807</v>
      </c>
      <c r="I125" s="56">
        <f t="shared" si="92"/>
        <v>0.69059170809155246</v>
      </c>
      <c r="J125" s="56">
        <f t="shared" si="92"/>
        <v>0.69078500025873912</v>
      </c>
      <c r="K125" s="56">
        <f t="shared" si="92"/>
        <v>0.68263740464814537</v>
      </c>
      <c r="L125" s="56">
        <f t="shared" si="92"/>
        <v>0.68593464972366458</v>
      </c>
      <c r="M125" s="56">
        <f t="shared" si="92"/>
        <v>0.68889340969352209</v>
      </c>
      <c r="N125" s="56">
        <f t="shared" si="92"/>
        <v>0.70114806218811287</v>
      </c>
      <c r="O125" s="56">
        <f t="shared" si="92"/>
        <v>0.70371158807347212</v>
      </c>
      <c r="P125" s="56">
        <f t="shared" si="92"/>
        <v>0.70125393193276675</v>
      </c>
      <c r="Q125" s="56">
        <f t="shared" si="92"/>
        <v>0.69610433781168479</v>
      </c>
      <c r="R125" s="56">
        <f t="shared" si="92"/>
        <v>0.70433548016574865</v>
      </c>
      <c r="S125" s="56">
        <f t="shared" si="92"/>
        <v>0.70322507690796709</v>
      </c>
      <c r="T125" s="56">
        <f t="shared" si="92"/>
        <v>0.71191210343086775</v>
      </c>
      <c r="U125" s="56">
        <f t="shared" si="92"/>
        <v>0.71390347545232047</v>
      </c>
      <c r="V125" s="56">
        <f t="shared" si="92"/>
        <v>0.72146575382933709</v>
      </c>
      <c r="W125" s="56">
        <f t="shared" si="92"/>
        <v>0.71008125287899482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289.14548328245456</v>
      </c>
      <c r="C129" s="82">
        <f t="shared" ref="C129:W129" si="94">IF(C99=0,0,C99/C$26)</f>
        <v>299.57079301239372</v>
      </c>
      <c r="D129" s="82">
        <f t="shared" si="94"/>
        <v>282.66925554352304</v>
      </c>
      <c r="E129" s="82">
        <f t="shared" si="94"/>
        <v>303.60654343021315</v>
      </c>
      <c r="F129" s="82">
        <f t="shared" si="94"/>
        <v>306.36268003961186</v>
      </c>
      <c r="G129" s="82">
        <f t="shared" si="94"/>
        <v>301.07934216632242</v>
      </c>
      <c r="H129" s="82">
        <f t="shared" si="94"/>
        <v>286.45200137479878</v>
      </c>
      <c r="I129" s="82">
        <f t="shared" si="94"/>
        <v>274.38882250655411</v>
      </c>
      <c r="J129" s="82">
        <f t="shared" si="94"/>
        <v>273.52152575751415</v>
      </c>
      <c r="K129" s="82">
        <f t="shared" si="94"/>
        <v>289.86075948081992</v>
      </c>
      <c r="L129" s="82">
        <f t="shared" si="94"/>
        <v>300.51547036063101</v>
      </c>
      <c r="M129" s="82">
        <f t="shared" si="94"/>
        <v>257.77524593058234</v>
      </c>
      <c r="N129" s="82">
        <f t="shared" si="94"/>
        <v>272.14167944636085</v>
      </c>
      <c r="O129" s="82">
        <f t="shared" si="94"/>
        <v>278.18409045385647</v>
      </c>
      <c r="P129" s="82">
        <f t="shared" si="94"/>
        <v>253.02809729293588</v>
      </c>
      <c r="Q129" s="82">
        <f t="shared" si="94"/>
        <v>262.64243704761941</v>
      </c>
      <c r="R129" s="82">
        <f t="shared" si="94"/>
        <v>259.36703336424506</v>
      </c>
      <c r="S129" s="82">
        <f t="shared" si="94"/>
        <v>261.06399139630491</v>
      </c>
      <c r="T129" s="82">
        <f t="shared" si="94"/>
        <v>257.77695051864725</v>
      </c>
      <c r="U129" s="82">
        <f t="shared" si="94"/>
        <v>249.89000515163625</v>
      </c>
      <c r="V129" s="82">
        <f t="shared" si="94"/>
        <v>230.06958203216598</v>
      </c>
      <c r="W129" s="82">
        <f t="shared" si="94"/>
        <v>243.54859424723219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230.42095428920811</v>
      </c>
      <c r="C130" s="64">
        <f t="shared" ref="C130:W130" si="96">IF(C100=0,0,C100/C$26)</f>
        <v>239.39737672121376</v>
      </c>
      <c r="D130" s="64">
        <f t="shared" si="96"/>
        <v>220.95996159815155</v>
      </c>
      <c r="E130" s="64">
        <f t="shared" si="96"/>
        <v>240.2447096660309</v>
      </c>
      <c r="F130" s="64">
        <f t="shared" si="96"/>
        <v>241.19509532703009</v>
      </c>
      <c r="G130" s="64">
        <f t="shared" si="96"/>
        <v>234.68308232381921</v>
      </c>
      <c r="H130" s="64">
        <f t="shared" si="96"/>
        <v>219.16076662464857</v>
      </c>
      <c r="I130" s="64">
        <f t="shared" si="96"/>
        <v>206.36830694122017</v>
      </c>
      <c r="J130" s="64">
        <f t="shared" si="96"/>
        <v>204.87584615402358</v>
      </c>
      <c r="K130" s="64">
        <f t="shared" si="96"/>
        <v>220.46121337178263</v>
      </c>
      <c r="L130" s="64">
        <f t="shared" si="96"/>
        <v>230.81267621648334</v>
      </c>
      <c r="M130" s="64">
        <f t="shared" si="96"/>
        <v>188.02425780054418</v>
      </c>
      <c r="N130" s="64">
        <f t="shared" si="96"/>
        <v>202.01836263486541</v>
      </c>
      <c r="O130" s="64">
        <f t="shared" si="96"/>
        <v>207.7253683586697</v>
      </c>
      <c r="P130" s="64">
        <f t="shared" si="96"/>
        <v>181.62272402266626</v>
      </c>
      <c r="Q130" s="64">
        <f t="shared" si="96"/>
        <v>190.28257578517957</v>
      </c>
      <c r="R130" s="64">
        <f t="shared" si="96"/>
        <v>187.81615175888317</v>
      </c>
      <c r="S130" s="64">
        <f t="shared" si="96"/>
        <v>189.56830967418108</v>
      </c>
      <c r="T130" s="64">
        <f t="shared" si="96"/>
        <v>187.52869603737332</v>
      </c>
      <c r="U130" s="64">
        <f t="shared" si="96"/>
        <v>180.96468932932513</v>
      </c>
      <c r="V130" s="64">
        <f t="shared" si="96"/>
        <v>165.38109627554587</v>
      </c>
      <c r="W130" s="64">
        <f t="shared" si="96"/>
        <v>178.97830268859266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175.31049999601112</v>
      </c>
      <c r="C131" s="65">
        <f t="shared" ref="C131:W131" si="98">IF(C101=0,0,C101/C$26)</f>
        <v>185.12443641158467</v>
      </c>
      <c r="D131" s="65">
        <f t="shared" si="98"/>
        <v>166.0352879099166</v>
      </c>
      <c r="E131" s="65">
        <f t="shared" si="98"/>
        <v>182.7787925942381</v>
      </c>
      <c r="F131" s="65">
        <f t="shared" si="98"/>
        <v>185.92204903967837</v>
      </c>
      <c r="G131" s="65">
        <f t="shared" si="98"/>
        <v>180.66359188608075</v>
      </c>
      <c r="H131" s="65">
        <f t="shared" si="98"/>
        <v>165.27760105618611</v>
      </c>
      <c r="I131" s="65">
        <f t="shared" si="98"/>
        <v>153.78732839513839</v>
      </c>
      <c r="J131" s="65">
        <f t="shared" si="98"/>
        <v>151.65077780672087</v>
      </c>
      <c r="K131" s="65">
        <f t="shared" si="98"/>
        <v>165.33796742991709</v>
      </c>
      <c r="L131" s="65">
        <f t="shared" si="98"/>
        <v>175.79359727956265</v>
      </c>
      <c r="M131" s="65">
        <f t="shared" si="98"/>
        <v>133.30055301345425</v>
      </c>
      <c r="N131" s="65">
        <f t="shared" si="98"/>
        <v>147.30306856230618</v>
      </c>
      <c r="O131" s="65">
        <f t="shared" si="98"/>
        <v>152.93763058598441</v>
      </c>
      <c r="P131" s="65">
        <f t="shared" si="98"/>
        <v>127.2380009699299</v>
      </c>
      <c r="Q131" s="65">
        <f t="shared" si="98"/>
        <v>134.34840383121249</v>
      </c>
      <c r="R131" s="65">
        <f t="shared" si="98"/>
        <v>132.74089566325335</v>
      </c>
      <c r="S131" s="65">
        <f t="shared" si="98"/>
        <v>134.60070033873507</v>
      </c>
      <c r="T131" s="65">
        <f t="shared" si="98"/>
        <v>133.07327753838405</v>
      </c>
      <c r="U131" s="65">
        <f t="shared" si="98"/>
        <v>127.6820318302249</v>
      </c>
      <c r="V131" s="65">
        <f t="shared" si="98"/>
        <v>116.45039366337964</v>
      </c>
      <c r="W131" s="65">
        <f t="shared" si="98"/>
        <v>127.70167105197525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4.0996860665268118</v>
      </c>
      <c r="C132" s="65">
        <f t="shared" ref="C132:W132" si="100">IF(C102=0,0,C102/C$26)</f>
        <v>4.4515086879422032</v>
      </c>
      <c r="D132" s="65">
        <f t="shared" si="100"/>
        <v>4.3591909493730734</v>
      </c>
      <c r="E132" s="65">
        <f t="shared" si="100"/>
        <v>7.7254576660143144</v>
      </c>
      <c r="F132" s="65">
        <f t="shared" si="100"/>
        <v>4.5651584357522941</v>
      </c>
      <c r="G132" s="65">
        <f t="shared" si="100"/>
        <v>4.9781211952071276</v>
      </c>
      <c r="H132" s="65">
        <f t="shared" si="100"/>
        <v>5.9301930591674914</v>
      </c>
      <c r="I132" s="65">
        <f t="shared" si="100"/>
        <v>4.712951779500318</v>
      </c>
      <c r="J132" s="65">
        <f t="shared" si="100"/>
        <v>4.7653019932654432</v>
      </c>
      <c r="K132" s="65">
        <f t="shared" si="100"/>
        <v>5.2459643668151541</v>
      </c>
      <c r="L132" s="65">
        <f t="shared" si="100"/>
        <v>5.1933613923045954</v>
      </c>
      <c r="M132" s="65">
        <f t="shared" si="100"/>
        <v>5.0826559535873912</v>
      </c>
      <c r="N132" s="65">
        <f t="shared" si="100"/>
        <v>5.2565674783417267</v>
      </c>
      <c r="O132" s="65">
        <f t="shared" si="100"/>
        <v>5.1370672887538351</v>
      </c>
      <c r="P132" s="65">
        <f t="shared" si="100"/>
        <v>4.7291682714532985</v>
      </c>
      <c r="Q132" s="65">
        <f t="shared" si="100"/>
        <v>5.9195470309615015</v>
      </c>
      <c r="R132" s="65">
        <f t="shared" si="100"/>
        <v>5.0930693358801014</v>
      </c>
      <c r="S132" s="65">
        <f t="shared" si="100"/>
        <v>5.4870221242233761</v>
      </c>
      <c r="T132" s="65">
        <f t="shared" si="100"/>
        <v>5.3836552025760041</v>
      </c>
      <c r="U132" s="65">
        <f t="shared" si="100"/>
        <v>5.4250931711931276</v>
      </c>
      <c r="V132" s="65">
        <f t="shared" si="100"/>
        <v>5.4052044890956825</v>
      </c>
      <c r="W132" s="65">
        <f t="shared" si="100"/>
        <v>4.460360598789058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27.296085207078136</v>
      </c>
      <c r="C133" s="65">
        <f t="shared" ref="C133:W133" si="102">IF(C103=0,0,C103/C$26)</f>
        <v>26.756075422514339</v>
      </c>
      <c r="D133" s="65">
        <f t="shared" si="102"/>
        <v>26.598737944793843</v>
      </c>
      <c r="E133" s="65">
        <f t="shared" si="102"/>
        <v>25.928103152493382</v>
      </c>
      <c r="F133" s="65">
        <f t="shared" si="102"/>
        <v>26.441313189438748</v>
      </c>
      <c r="G133" s="65">
        <f t="shared" si="102"/>
        <v>25.981510170677623</v>
      </c>
      <c r="H133" s="65">
        <f t="shared" si="102"/>
        <v>25.333337547543621</v>
      </c>
      <c r="I133" s="65">
        <f t="shared" si="102"/>
        <v>24.976925360230194</v>
      </c>
      <c r="J133" s="65">
        <f t="shared" si="102"/>
        <v>25.267880935454095</v>
      </c>
      <c r="K133" s="65">
        <f t="shared" si="102"/>
        <v>25.587488548070787</v>
      </c>
      <c r="L133" s="65">
        <f t="shared" si="102"/>
        <v>25.233447189123556</v>
      </c>
      <c r="M133" s="65">
        <f t="shared" si="102"/>
        <v>25.02165019030566</v>
      </c>
      <c r="N133" s="65">
        <f t="shared" si="102"/>
        <v>24.992752546426399</v>
      </c>
      <c r="O133" s="65">
        <f t="shared" si="102"/>
        <v>25.072218531619459</v>
      </c>
      <c r="P133" s="65">
        <f t="shared" si="102"/>
        <v>24.887341481614026</v>
      </c>
      <c r="Q133" s="65">
        <f t="shared" si="102"/>
        <v>24.904462114563788</v>
      </c>
      <c r="R133" s="65">
        <f t="shared" si="102"/>
        <v>24.740440939636002</v>
      </c>
      <c r="S133" s="65">
        <f t="shared" si="102"/>
        <v>24.33249910353123</v>
      </c>
      <c r="T133" s="65">
        <f t="shared" si="102"/>
        <v>24.217149338282958</v>
      </c>
      <c r="U133" s="65">
        <f t="shared" si="102"/>
        <v>23.157683705276721</v>
      </c>
      <c r="V133" s="65">
        <f t="shared" si="102"/>
        <v>21.110830336745988</v>
      </c>
      <c r="W133" s="65">
        <f t="shared" si="102"/>
        <v>22.240036791576049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23.714683019592076</v>
      </c>
      <c r="C134" s="67">
        <f t="shared" ref="C134:W134" si="104">IF(C104=0,0,C104/C$26)</f>
        <v>23.065356199172573</v>
      </c>
      <c r="D134" s="67">
        <f t="shared" si="104"/>
        <v>23.966744794068035</v>
      </c>
      <c r="E134" s="67">
        <f t="shared" si="104"/>
        <v>23.812356253285131</v>
      </c>
      <c r="F134" s="67">
        <f t="shared" si="104"/>
        <v>24.266574662160682</v>
      </c>
      <c r="G134" s="67">
        <f t="shared" si="104"/>
        <v>23.059859071853712</v>
      </c>
      <c r="H134" s="67">
        <f t="shared" si="104"/>
        <v>22.619634961751352</v>
      </c>
      <c r="I134" s="67">
        <f t="shared" si="104"/>
        <v>22.891101406351307</v>
      </c>
      <c r="J134" s="67">
        <f t="shared" si="104"/>
        <v>23.191885418583155</v>
      </c>
      <c r="K134" s="67">
        <f t="shared" si="104"/>
        <v>24.289793026979581</v>
      </c>
      <c r="L134" s="67">
        <f t="shared" si="104"/>
        <v>24.592270355492509</v>
      </c>
      <c r="M134" s="67">
        <f t="shared" si="104"/>
        <v>24.619398643196899</v>
      </c>
      <c r="N134" s="67">
        <f t="shared" si="104"/>
        <v>24.465974047791104</v>
      </c>
      <c r="O134" s="67">
        <f t="shared" si="104"/>
        <v>24.578451952311966</v>
      </c>
      <c r="P134" s="67">
        <f t="shared" si="104"/>
        <v>24.768213299669043</v>
      </c>
      <c r="Q134" s="67">
        <f t="shared" si="104"/>
        <v>25.110162808441853</v>
      </c>
      <c r="R134" s="67">
        <f t="shared" si="104"/>
        <v>25.24174582011371</v>
      </c>
      <c r="S134" s="67">
        <f t="shared" si="104"/>
        <v>25.148088107691397</v>
      </c>
      <c r="T134" s="67">
        <f t="shared" si="104"/>
        <v>24.854613958130312</v>
      </c>
      <c r="U134" s="67">
        <f t="shared" si="104"/>
        <v>24.69988062263042</v>
      </c>
      <c r="V134" s="67">
        <f t="shared" si="104"/>
        <v>22.41466778632455</v>
      </c>
      <c r="W134" s="67">
        <f t="shared" si="104"/>
        <v>24.576234246252309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58.724528993246444</v>
      </c>
      <c r="C135" s="68">
        <f t="shared" ref="C135:W135" si="106">IF(C105=0,0,C105/C$26)</f>
        <v>60.173416291179926</v>
      </c>
      <c r="D135" s="68">
        <f t="shared" si="106"/>
        <v>61.709293945371527</v>
      </c>
      <c r="E135" s="68">
        <f t="shared" si="106"/>
        <v>63.361833764182265</v>
      </c>
      <c r="F135" s="68">
        <f t="shared" si="106"/>
        <v>65.167584712581743</v>
      </c>
      <c r="G135" s="68">
        <f t="shared" si="106"/>
        <v>66.396259842503184</v>
      </c>
      <c r="H135" s="68">
        <f t="shared" si="106"/>
        <v>67.29123475015021</v>
      </c>
      <c r="I135" s="68">
        <f t="shared" si="106"/>
        <v>68.020515565333923</v>
      </c>
      <c r="J135" s="68">
        <f t="shared" si="106"/>
        <v>68.645679603490606</v>
      </c>
      <c r="K135" s="68">
        <f t="shared" si="106"/>
        <v>69.399546109037303</v>
      </c>
      <c r="L135" s="68">
        <f t="shared" si="106"/>
        <v>69.702794144147632</v>
      </c>
      <c r="M135" s="68">
        <f t="shared" si="106"/>
        <v>69.750988130038181</v>
      </c>
      <c r="N135" s="68">
        <f t="shared" si="106"/>
        <v>70.1233168114954</v>
      </c>
      <c r="O135" s="68">
        <f t="shared" si="106"/>
        <v>70.458722095186801</v>
      </c>
      <c r="P135" s="68">
        <f t="shared" si="106"/>
        <v>71.405373270269607</v>
      </c>
      <c r="Q135" s="68">
        <f t="shared" si="106"/>
        <v>72.359861262439779</v>
      </c>
      <c r="R135" s="68">
        <f t="shared" si="106"/>
        <v>71.550881605361937</v>
      </c>
      <c r="S135" s="68">
        <f t="shared" si="106"/>
        <v>71.49568172212382</v>
      </c>
      <c r="T135" s="68">
        <f t="shared" si="106"/>
        <v>70.24825448127396</v>
      </c>
      <c r="U135" s="68">
        <f t="shared" si="106"/>
        <v>68.925315822311063</v>
      </c>
      <c r="V135" s="68">
        <f t="shared" si="106"/>
        <v>64.688485756620096</v>
      </c>
      <c r="W135" s="68">
        <f t="shared" si="106"/>
        <v>64.570291558639582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140.76755994953061</v>
      </c>
      <c r="C137" s="85">
        <f t="shared" ref="C137:W137" si="108">IF(C107=0,0,C107/C$26)</f>
        <v>148.28661080313711</v>
      </c>
      <c r="D137" s="85">
        <f t="shared" si="108"/>
        <v>140.20613787458095</v>
      </c>
      <c r="E137" s="85">
        <f t="shared" si="108"/>
        <v>156.99253896130918</v>
      </c>
      <c r="F137" s="85">
        <f t="shared" si="108"/>
        <v>155.22872290670975</v>
      </c>
      <c r="G137" s="85">
        <f t="shared" si="108"/>
        <v>155.09810298673199</v>
      </c>
      <c r="H137" s="85">
        <f t="shared" si="108"/>
        <v>150.18385271173798</v>
      </c>
      <c r="I137" s="85">
        <f t="shared" si="108"/>
        <v>141.23645912527587</v>
      </c>
      <c r="J137" s="85">
        <f t="shared" si="108"/>
        <v>141.78815167119498</v>
      </c>
      <c r="K137" s="85">
        <f t="shared" si="108"/>
        <v>154.46218997969197</v>
      </c>
      <c r="L137" s="85">
        <f t="shared" si="108"/>
        <v>164.44898241121638</v>
      </c>
      <c r="M137" s="85">
        <f t="shared" si="108"/>
        <v>139.77924680721173</v>
      </c>
      <c r="N137" s="85">
        <f t="shared" si="108"/>
        <v>152.65461120726678</v>
      </c>
      <c r="O137" s="85">
        <f t="shared" si="108"/>
        <v>158.95204021316204</v>
      </c>
      <c r="P137" s="85">
        <f t="shared" si="108"/>
        <v>140.42161094050681</v>
      </c>
      <c r="Q137" s="85">
        <f t="shared" si="108"/>
        <v>150.90698536594596</v>
      </c>
      <c r="R137" s="85">
        <f t="shared" si="108"/>
        <v>150.02269683119897</v>
      </c>
      <c r="S137" s="85">
        <f t="shared" si="108"/>
        <v>153.89277630713354</v>
      </c>
      <c r="T137" s="85">
        <f t="shared" si="108"/>
        <v>154.32836629171987</v>
      </c>
      <c r="U137" s="85">
        <f t="shared" si="108"/>
        <v>151.79281008217535</v>
      </c>
      <c r="V137" s="85">
        <f t="shared" si="108"/>
        <v>141.90021554957733</v>
      </c>
      <c r="W137" s="85">
        <f t="shared" si="108"/>
        <v>152.17399260640175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101.09696754481746</v>
      </c>
      <c r="C138" s="65">
        <f t="shared" ref="C138:W138" si="110">IF(C108=0,0,C108/C$26)</f>
        <v>107.85223481936661</v>
      </c>
      <c r="D138" s="65">
        <f t="shared" si="110"/>
        <v>99.517241777489247</v>
      </c>
      <c r="E138" s="65">
        <f t="shared" si="110"/>
        <v>109.61052484600461</v>
      </c>
      <c r="F138" s="65">
        <f t="shared" si="110"/>
        <v>113.20437011209816</v>
      </c>
      <c r="G138" s="65">
        <f t="shared" si="110"/>
        <v>111.86117099788872</v>
      </c>
      <c r="H138" s="65">
        <f t="shared" si="110"/>
        <v>104.46928531094093</v>
      </c>
      <c r="I138" s="65">
        <f t="shared" si="110"/>
        <v>97.82131382371368</v>
      </c>
      <c r="J138" s="65">
        <f t="shared" si="110"/>
        <v>97.11149224937877</v>
      </c>
      <c r="K138" s="65">
        <f t="shared" si="110"/>
        <v>107.42680697544023</v>
      </c>
      <c r="L138" s="65">
        <f t="shared" si="110"/>
        <v>117.03934079322761</v>
      </c>
      <c r="M138" s="65">
        <f t="shared" si="110"/>
        <v>92.194658124648512</v>
      </c>
      <c r="N138" s="65">
        <f t="shared" si="110"/>
        <v>103.84510599168775</v>
      </c>
      <c r="O138" s="65">
        <f t="shared" si="110"/>
        <v>109.72326983595951</v>
      </c>
      <c r="P138" s="65">
        <f t="shared" si="110"/>
        <v>91.888671627128232</v>
      </c>
      <c r="Q138" s="65">
        <f t="shared" si="110"/>
        <v>98.027666983152329</v>
      </c>
      <c r="R138" s="65">
        <f t="shared" si="110"/>
        <v>98.701012404609713</v>
      </c>
      <c r="S138" s="65">
        <f t="shared" si="110"/>
        <v>100.93340494997916</v>
      </c>
      <c r="T138" s="65">
        <f t="shared" si="110"/>
        <v>100.92402691523873</v>
      </c>
      <c r="U138" s="65">
        <f t="shared" si="110"/>
        <v>98.39151350666144</v>
      </c>
      <c r="V138" s="65">
        <f t="shared" si="110"/>
        <v>90.866157549384099</v>
      </c>
      <c r="W138" s="65">
        <f t="shared" si="110"/>
        <v>101.56353491565945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7.4093119465039665</v>
      </c>
      <c r="C139" s="65">
        <f t="shared" ref="C139:W139" si="112">IF(C109=0,0,C109/C$26)</f>
        <v>8.4051216914268476</v>
      </c>
      <c r="D139" s="65">
        <f t="shared" si="112"/>
        <v>8.5925877122447289</v>
      </c>
      <c r="E139" s="65">
        <f t="shared" si="112"/>
        <v>15.867921509767546</v>
      </c>
      <c r="F139" s="65">
        <f t="shared" si="112"/>
        <v>9.7813617171480249</v>
      </c>
      <c r="G139" s="65">
        <f t="shared" si="112"/>
        <v>11.148396126158858</v>
      </c>
      <c r="H139" s="65">
        <f t="shared" si="112"/>
        <v>13.960258150383153</v>
      </c>
      <c r="I139" s="65">
        <f t="shared" si="112"/>
        <v>11.651438912158845</v>
      </c>
      <c r="J139" s="65">
        <f t="shared" si="112"/>
        <v>12.364450291888261</v>
      </c>
      <c r="K139" s="65">
        <f t="shared" si="112"/>
        <v>13.836570333872404</v>
      </c>
      <c r="L139" s="65">
        <f t="shared" si="112"/>
        <v>13.971945315497281</v>
      </c>
      <c r="M139" s="65">
        <f t="shared" si="112"/>
        <v>14.035595153613032</v>
      </c>
      <c r="N139" s="65">
        <f t="shared" si="112"/>
        <v>14.826279911202944</v>
      </c>
      <c r="O139" s="65">
        <f t="shared" si="112"/>
        <v>14.850761469087224</v>
      </c>
      <c r="P139" s="65">
        <f t="shared" si="112"/>
        <v>14.10505470052323</v>
      </c>
      <c r="Q139" s="65">
        <f t="shared" si="112"/>
        <v>18.20038751695386</v>
      </c>
      <c r="R139" s="65">
        <f t="shared" si="112"/>
        <v>16.173983597552731</v>
      </c>
      <c r="S139" s="65">
        <f t="shared" si="112"/>
        <v>17.922396550404745</v>
      </c>
      <c r="T139" s="65">
        <f t="shared" si="112"/>
        <v>18.035687790226799</v>
      </c>
      <c r="U139" s="65">
        <f t="shared" si="112"/>
        <v>18.547826645540134</v>
      </c>
      <c r="V139" s="65">
        <f t="shared" si="112"/>
        <v>18.867600300489535</v>
      </c>
      <c r="W139" s="65">
        <f t="shared" si="112"/>
        <v>15.959764213839819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16.747469252085544</v>
      </c>
      <c r="C140" s="65">
        <f t="shared" ref="C140:W140" si="114">IF(C110=0,0,C110/C$26)</f>
        <v>16.480931436340807</v>
      </c>
      <c r="D140" s="65">
        <f t="shared" si="114"/>
        <v>16.47128984135631</v>
      </c>
      <c r="E140" s="65">
        <f t="shared" si="114"/>
        <v>16.112646280903395</v>
      </c>
      <c r="F140" s="65">
        <f t="shared" si="114"/>
        <v>16.562644819952368</v>
      </c>
      <c r="G140" s="65">
        <f t="shared" si="114"/>
        <v>16.416350188914546</v>
      </c>
      <c r="H140" s="65">
        <f t="shared" si="114"/>
        <v>16.141701901331317</v>
      </c>
      <c r="I140" s="65">
        <f t="shared" si="114"/>
        <v>15.955301569094285</v>
      </c>
      <c r="J140" s="65">
        <f t="shared" si="114"/>
        <v>16.291602555051334</v>
      </c>
      <c r="K140" s="65">
        <f t="shared" si="114"/>
        <v>16.617691399001369</v>
      </c>
      <c r="L140" s="65">
        <f t="shared" si="114"/>
        <v>16.569005950287053</v>
      </c>
      <c r="M140" s="65">
        <f t="shared" si="114"/>
        <v>16.588852053034216</v>
      </c>
      <c r="N140" s="65">
        <f t="shared" si="114"/>
        <v>16.828955011222703</v>
      </c>
      <c r="O140" s="65">
        <f t="shared" si="114"/>
        <v>17.081867452366325</v>
      </c>
      <c r="P140" s="65">
        <f t="shared" si="114"/>
        <v>17.059077649512979</v>
      </c>
      <c r="Q140" s="65">
        <f t="shared" si="114"/>
        <v>17.199637611725784</v>
      </c>
      <c r="R140" s="65">
        <f t="shared" si="114"/>
        <v>17.369043666604963</v>
      </c>
      <c r="S140" s="65">
        <f t="shared" si="114"/>
        <v>17.352208613130028</v>
      </c>
      <c r="T140" s="65">
        <f t="shared" si="114"/>
        <v>17.674351083359578</v>
      </c>
      <c r="U140" s="65">
        <f t="shared" si="114"/>
        <v>17.220139310220489</v>
      </c>
      <c r="V140" s="65">
        <f t="shared" si="114"/>
        <v>15.99504250840889</v>
      </c>
      <c r="W140" s="65">
        <f t="shared" si="114"/>
        <v>17.199570272275999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15.51381120612364</v>
      </c>
      <c r="C141" s="68">
        <f t="shared" ref="C141:W141" si="116">IF(C111=0,0,C111/C$26)</f>
        <v>15.548322856002828</v>
      </c>
      <c r="D141" s="68">
        <f t="shared" si="116"/>
        <v>15.625018543490661</v>
      </c>
      <c r="E141" s="68">
        <f t="shared" si="116"/>
        <v>15.401446324633651</v>
      </c>
      <c r="F141" s="68">
        <f t="shared" si="116"/>
        <v>15.6803462575112</v>
      </c>
      <c r="G141" s="68">
        <f t="shared" si="116"/>
        <v>15.672185673769862</v>
      </c>
      <c r="H141" s="68">
        <f t="shared" si="116"/>
        <v>15.612607349082579</v>
      </c>
      <c r="I141" s="68">
        <f t="shared" si="116"/>
        <v>15.808404820309088</v>
      </c>
      <c r="J141" s="68">
        <f t="shared" si="116"/>
        <v>16.020606574876613</v>
      </c>
      <c r="K141" s="68">
        <f t="shared" si="116"/>
        <v>16.58112127137796</v>
      </c>
      <c r="L141" s="68">
        <f t="shared" si="116"/>
        <v>16.868690352204418</v>
      </c>
      <c r="M141" s="68">
        <f t="shared" si="116"/>
        <v>16.960141475915982</v>
      </c>
      <c r="N141" s="68">
        <f t="shared" si="116"/>
        <v>17.154270293153392</v>
      </c>
      <c r="O141" s="68">
        <f t="shared" si="116"/>
        <v>17.296141455748984</v>
      </c>
      <c r="P141" s="68">
        <f t="shared" si="116"/>
        <v>17.368806963342362</v>
      </c>
      <c r="Q141" s="68">
        <f t="shared" si="116"/>
        <v>17.479293254114012</v>
      </c>
      <c r="R141" s="68">
        <f t="shared" si="116"/>
        <v>17.778657162431568</v>
      </c>
      <c r="S141" s="68">
        <f t="shared" si="116"/>
        <v>17.684766193619616</v>
      </c>
      <c r="T141" s="68">
        <f t="shared" si="116"/>
        <v>17.694300502894755</v>
      </c>
      <c r="U141" s="68">
        <f t="shared" si="116"/>
        <v>17.633330619753281</v>
      </c>
      <c r="V141" s="68">
        <f t="shared" si="116"/>
        <v>16.171415191294798</v>
      </c>
      <c r="W141" s="68">
        <f t="shared" si="116"/>
        <v>17.451123204626498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33.172689272585494</v>
      </c>
      <c r="C143" s="82">
        <f t="shared" ref="C143:W143" si="118">IF(C113=0,0,C113/C$26)</f>
        <v>33.930370928656075</v>
      </c>
      <c r="D143" s="82">
        <f t="shared" si="118"/>
        <v>29.937620580574301</v>
      </c>
      <c r="E143" s="82">
        <f t="shared" si="118"/>
        <v>33.596422307458006</v>
      </c>
      <c r="F143" s="82">
        <f t="shared" si="118"/>
        <v>33.677158787789864</v>
      </c>
      <c r="G143" s="82">
        <f t="shared" si="118"/>
        <v>31.484204384521675</v>
      </c>
      <c r="H143" s="82">
        <f t="shared" si="118"/>
        <v>28.091353348951753</v>
      </c>
      <c r="I143" s="82">
        <f t="shared" si="118"/>
        <v>26.817926242265731</v>
      </c>
      <c r="J143" s="82">
        <f t="shared" si="118"/>
        <v>27.436696491491322</v>
      </c>
      <c r="K143" s="82">
        <f t="shared" si="118"/>
        <v>29.798389812317307</v>
      </c>
      <c r="L143" s="82">
        <f t="shared" si="118"/>
        <v>30.294571688717728</v>
      </c>
      <c r="M143" s="82">
        <f t="shared" si="118"/>
        <v>23.610879396006393</v>
      </c>
      <c r="N143" s="82">
        <f t="shared" si="118"/>
        <v>25.292167260120404</v>
      </c>
      <c r="O143" s="82">
        <f t="shared" si="118"/>
        <v>26.385316596063674</v>
      </c>
      <c r="P143" s="82">
        <f t="shared" si="118"/>
        <v>22.778374230531224</v>
      </c>
      <c r="Q143" s="82">
        <f t="shared" si="118"/>
        <v>23.901560484489789</v>
      </c>
      <c r="R143" s="82">
        <f t="shared" si="118"/>
        <v>22.923162477385503</v>
      </c>
      <c r="S143" s="82">
        <f t="shared" si="118"/>
        <v>23.584526820953865</v>
      </c>
      <c r="T143" s="82">
        <f t="shared" si="118"/>
        <v>23.266353725111394</v>
      </c>
      <c r="U143" s="82">
        <f t="shared" si="118"/>
        <v>22.571069188251549</v>
      </c>
      <c r="V143" s="82">
        <f t="shared" si="118"/>
        <v>20.749285224380557</v>
      </c>
      <c r="W143" s="82">
        <f t="shared" si="118"/>
        <v>22.378397459997437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33.172689272585494</v>
      </c>
      <c r="C144" s="64">
        <f t="shared" ref="C144:W144" si="120">IF(C114=0,0,C114/C$26)</f>
        <v>33.930370928656075</v>
      </c>
      <c r="D144" s="64">
        <f t="shared" si="120"/>
        <v>29.937620580574301</v>
      </c>
      <c r="E144" s="64">
        <f t="shared" si="120"/>
        <v>33.596422307458006</v>
      </c>
      <c r="F144" s="64">
        <f t="shared" si="120"/>
        <v>33.677158787789864</v>
      </c>
      <c r="G144" s="64">
        <f t="shared" si="120"/>
        <v>31.484204384521675</v>
      </c>
      <c r="H144" s="64">
        <f t="shared" si="120"/>
        <v>28.091353348951753</v>
      </c>
      <c r="I144" s="64">
        <f t="shared" si="120"/>
        <v>26.817926242265731</v>
      </c>
      <c r="J144" s="64">
        <f t="shared" si="120"/>
        <v>27.436696491491322</v>
      </c>
      <c r="K144" s="64">
        <f t="shared" si="120"/>
        <v>29.798389812317307</v>
      </c>
      <c r="L144" s="64">
        <f t="shared" si="120"/>
        <v>30.294571688717728</v>
      </c>
      <c r="M144" s="64">
        <f t="shared" si="120"/>
        <v>23.610879396006393</v>
      </c>
      <c r="N144" s="64">
        <f t="shared" si="120"/>
        <v>25.292167260120404</v>
      </c>
      <c r="O144" s="64">
        <f t="shared" si="120"/>
        <v>26.385316596063674</v>
      </c>
      <c r="P144" s="64">
        <f t="shared" si="120"/>
        <v>22.778374230531224</v>
      </c>
      <c r="Q144" s="64">
        <f t="shared" si="120"/>
        <v>23.901560484489789</v>
      </c>
      <c r="R144" s="64">
        <f t="shared" si="120"/>
        <v>22.923162477385503</v>
      </c>
      <c r="S144" s="64">
        <f t="shared" si="120"/>
        <v>23.584526820953865</v>
      </c>
      <c r="T144" s="64">
        <f t="shared" si="120"/>
        <v>23.266353725111394</v>
      </c>
      <c r="U144" s="64">
        <f t="shared" si="120"/>
        <v>22.571069188251549</v>
      </c>
      <c r="V144" s="64">
        <f t="shared" si="120"/>
        <v>20.749285224380557</v>
      </c>
      <c r="W144" s="64">
        <f t="shared" si="120"/>
        <v>22.378397459997437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27.390694170180112</v>
      </c>
      <c r="C145" s="65">
        <f t="shared" ref="C145:W145" si="122">IF(C115=0,0,C115/C$26)</f>
        <v>28.798110114627548</v>
      </c>
      <c r="D145" s="65">
        <f t="shared" si="122"/>
        <v>24.054895908266598</v>
      </c>
      <c r="E145" s="65">
        <f t="shared" si="122"/>
        <v>27.537083160640822</v>
      </c>
      <c r="F145" s="65">
        <f t="shared" si="122"/>
        <v>27.526646126002827</v>
      </c>
      <c r="G145" s="65">
        <f t="shared" si="122"/>
        <v>26.482688692629253</v>
      </c>
      <c r="H145" s="65">
        <f t="shared" si="122"/>
        <v>23.515678536328963</v>
      </c>
      <c r="I145" s="65">
        <f t="shared" si="122"/>
        <v>22.274846396917283</v>
      </c>
      <c r="J145" s="65">
        <f t="shared" si="122"/>
        <v>22.834384008868344</v>
      </c>
      <c r="K145" s="65">
        <f t="shared" si="122"/>
        <v>24.763480774859154</v>
      </c>
      <c r="L145" s="65">
        <f t="shared" si="122"/>
        <v>25.415533989546457</v>
      </c>
      <c r="M145" s="65">
        <f t="shared" si="122"/>
        <v>18.801135285785712</v>
      </c>
      <c r="N145" s="65">
        <f t="shared" si="122"/>
        <v>20.929408850591017</v>
      </c>
      <c r="O145" s="65">
        <f t="shared" si="122"/>
        <v>21.981106729134371</v>
      </c>
      <c r="P145" s="65">
        <f t="shared" si="122"/>
        <v>18.279344041384096</v>
      </c>
      <c r="Q145" s="65">
        <f t="shared" si="122"/>
        <v>19.108541782650025</v>
      </c>
      <c r="R145" s="65">
        <f t="shared" si="122"/>
        <v>18.382369713569496</v>
      </c>
      <c r="S145" s="65">
        <f t="shared" si="122"/>
        <v>18.953445667118629</v>
      </c>
      <c r="T145" s="65">
        <f t="shared" si="122"/>
        <v>18.957129220950609</v>
      </c>
      <c r="U145" s="65">
        <f t="shared" si="122"/>
        <v>18.305897938242119</v>
      </c>
      <c r="V145" s="65">
        <f t="shared" si="122"/>
        <v>16.908450569932821</v>
      </c>
      <c r="W145" s="65">
        <f t="shared" si="122"/>
        <v>17.916886157943932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3.7776062488491429E-3</v>
      </c>
      <c r="C146" s="65">
        <f t="shared" ref="C146:W146" si="124">IF(C116=0,0,C116/C$26)</f>
        <v>4.7453667234822246E-3</v>
      </c>
      <c r="D146" s="65">
        <f t="shared" si="124"/>
        <v>5.1458252673900178E-3</v>
      </c>
      <c r="E146" s="65">
        <f t="shared" si="124"/>
        <v>1.3552763694551953E-2</v>
      </c>
      <c r="F146" s="65">
        <f t="shared" si="124"/>
        <v>7.4628176544214997E-3</v>
      </c>
      <c r="G146" s="65">
        <f t="shared" si="124"/>
        <v>7.9986725297824818E-3</v>
      </c>
      <c r="H146" s="65">
        <f t="shared" si="124"/>
        <v>1.4105994589401661E-2</v>
      </c>
      <c r="I146" s="65">
        <f t="shared" si="124"/>
        <v>1.2630269316307664E-2</v>
      </c>
      <c r="J146" s="65">
        <f t="shared" si="124"/>
        <v>1.5497353424628669E-2</v>
      </c>
      <c r="K146" s="65">
        <f t="shared" si="124"/>
        <v>1.786125980476163E-2</v>
      </c>
      <c r="L146" s="65">
        <f t="shared" si="124"/>
        <v>2.0192164767831297E-2</v>
      </c>
      <c r="M146" s="65">
        <f t="shared" si="124"/>
        <v>2.6650518331979758E-2</v>
      </c>
      <c r="N146" s="65">
        <f t="shared" si="124"/>
        <v>3.9933819694419143E-2</v>
      </c>
      <c r="O146" s="65">
        <f t="shared" si="124"/>
        <v>4.8393646348745128E-2</v>
      </c>
      <c r="P146" s="65">
        <f t="shared" si="124"/>
        <v>4.8799192830565344E-2</v>
      </c>
      <c r="Q146" s="65">
        <f t="shared" si="124"/>
        <v>7.779413227937218E-2</v>
      </c>
      <c r="R146" s="65">
        <f t="shared" si="124"/>
        <v>7.4094432935821186E-2</v>
      </c>
      <c r="S146" s="65">
        <f t="shared" si="124"/>
        <v>9.1888158601301576E-2</v>
      </c>
      <c r="T146" s="65">
        <f t="shared" si="124"/>
        <v>9.8583553348268099E-2</v>
      </c>
      <c r="U146" s="65">
        <f t="shared" si="124"/>
        <v>0.10760754248427346</v>
      </c>
      <c r="V146" s="65">
        <f t="shared" si="124"/>
        <v>0.10840138240282161</v>
      </c>
      <c r="W146" s="65">
        <f t="shared" si="124"/>
        <v>8.851806277356275E-2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2.874075813773723</v>
      </c>
      <c r="C147" s="65">
        <f t="shared" ref="C147:W147" si="126">IF(C117=0,0,C117/C$26)</f>
        <v>2.8472377759143717</v>
      </c>
      <c r="D147" s="65">
        <f t="shared" si="126"/>
        <v>2.8026432990674972</v>
      </c>
      <c r="E147" s="65">
        <f t="shared" si="126"/>
        <v>2.7920339958070808</v>
      </c>
      <c r="F147" s="65">
        <f t="shared" si="126"/>
        <v>2.7573115271799016</v>
      </c>
      <c r="G147" s="65">
        <f t="shared" si="126"/>
        <v>2.5976306804581681</v>
      </c>
      <c r="H147" s="65">
        <f t="shared" si="126"/>
        <v>2.4561647134986089</v>
      </c>
      <c r="I147" s="65">
        <f t="shared" si="126"/>
        <v>2.3569936657044162</v>
      </c>
      <c r="J147" s="65">
        <f t="shared" si="126"/>
        <v>2.3299449164543238</v>
      </c>
      <c r="K147" s="65">
        <f t="shared" si="126"/>
        <v>2.397526161843142</v>
      </c>
      <c r="L147" s="65">
        <f t="shared" si="126"/>
        <v>2.2481162539460819</v>
      </c>
      <c r="M147" s="65">
        <f t="shared" si="126"/>
        <v>2.2385268654500345</v>
      </c>
      <c r="N147" s="65">
        <f t="shared" si="126"/>
        <v>2.1117174715955835</v>
      </c>
      <c r="O147" s="65">
        <f t="shared" si="126"/>
        <v>2.1837438568212502</v>
      </c>
      <c r="P147" s="65">
        <f t="shared" si="126"/>
        <v>2.168259096967259</v>
      </c>
      <c r="Q147" s="65">
        <f t="shared" si="126"/>
        <v>2.2150870561798439</v>
      </c>
      <c r="R147" s="65">
        <f t="shared" si="126"/>
        <v>2.1034706417084412</v>
      </c>
      <c r="S147" s="65">
        <f t="shared" si="126"/>
        <v>2.0659484665992562</v>
      </c>
      <c r="T147" s="65">
        <f t="shared" si="126"/>
        <v>1.8920471823040461</v>
      </c>
      <c r="U147" s="65">
        <f t="shared" si="126"/>
        <v>1.7909949128908536</v>
      </c>
      <c r="V147" s="65">
        <f t="shared" si="126"/>
        <v>1.6577267647930676</v>
      </c>
      <c r="W147" s="65">
        <f t="shared" si="126"/>
        <v>1.7297959890919057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2.9041416823828059</v>
      </c>
      <c r="C148" s="67">
        <f t="shared" ref="C148:W148" si="128">IF(C118=0,0,C118/C$26)</f>
        <v>2.2802776713906687</v>
      </c>
      <c r="D148" s="67">
        <f t="shared" si="128"/>
        <v>3.0749355479728164</v>
      </c>
      <c r="E148" s="67">
        <f t="shared" si="128"/>
        <v>3.2537523873155503</v>
      </c>
      <c r="F148" s="67">
        <f t="shared" si="128"/>
        <v>3.3857383169527169</v>
      </c>
      <c r="G148" s="67">
        <f t="shared" si="128"/>
        <v>2.3958863389044751</v>
      </c>
      <c r="H148" s="67">
        <f t="shared" si="128"/>
        <v>2.1054041045347782</v>
      </c>
      <c r="I148" s="67">
        <f t="shared" si="128"/>
        <v>2.1734559103277262</v>
      </c>
      <c r="J148" s="67">
        <f t="shared" si="128"/>
        <v>2.256870212744023</v>
      </c>
      <c r="K148" s="67">
        <f t="shared" si="128"/>
        <v>2.6195216158102426</v>
      </c>
      <c r="L148" s="67">
        <f t="shared" si="128"/>
        <v>2.6107292804573548</v>
      </c>
      <c r="M148" s="67">
        <f t="shared" si="128"/>
        <v>2.5445667264386613</v>
      </c>
      <c r="N148" s="67">
        <f t="shared" si="128"/>
        <v>2.2111071182393891</v>
      </c>
      <c r="O148" s="67">
        <f t="shared" si="128"/>
        <v>2.1720723637593062</v>
      </c>
      <c r="P148" s="67">
        <f t="shared" si="128"/>
        <v>2.2819718993493021</v>
      </c>
      <c r="Q148" s="67">
        <f t="shared" si="128"/>
        <v>2.5001375133805417</v>
      </c>
      <c r="R148" s="67">
        <f t="shared" si="128"/>
        <v>2.3632276891717465</v>
      </c>
      <c r="S148" s="67">
        <f t="shared" si="128"/>
        <v>2.4732445286346754</v>
      </c>
      <c r="T148" s="67">
        <f t="shared" si="128"/>
        <v>2.3185937685084763</v>
      </c>
      <c r="U148" s="67">
        <f t="shared" si="128"/>
        <v>2.3665687946343019</v>
      </c>
      <c r="V148" s="67">
        <f t="shared" si="128"/>
        <v>2.0747065072518498</v>
      </c>
      <c r="W148" s="67">
        <f t="shared" si="128"/>
        <v>2.6431972501880323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12115.37561353861</v>
      </c>
      <c r="C153" s="82">
        <f t="shared" ref="C153:W153" si="132">IF(C99=0,0,C99/C$23)</f>
        <v>12531.443796797799</v>
      </c>
      <c r="D153" s="82">
        <f t="shared" si="132"/>
        <v>11894.100547321597</v>
      </c>
      <c r="E153" s="82">
        <f t="shared" si="132"/>
        <v>12908.314161928181</v>
      </c>
      <c r="F153" s="82">
        <f t="shared" si="132"/>
        <v>13137.767987394267</v>
      </c>
      <c r="G153" s="82">
        <f t="shared" si="132"/>
        <v>12972.044438095827</v>
      </c>
      <c r="H153" s="82">
        <f t="shared" si="132"/>
        <v>12346.99214494248</v>
      </c>
      <c r="I153" s="82">
        <f t="shared" si="132"/>
        <v>11839.185826080986</v>
      </c>
      <c r="J153" s="82">
        <f t="shared" si="132"/>
        <v>11891.143084235859</v>
      </c>
      <c r="K153" s="82">
        <f t="shared" si="132"/>
        <v>12762.363987261078</v>
      </c>
      <c r="L153" s="82">
        <f t="shared" si="132"/>
        <v>13271.785966379888</v>
      </c>
      <c r="M153" s="82">
        <f t="shared" si="132"/>
        <v>11415.551755933886</v>
      </c>
      <c r="N153" s="82">
        <f t="shared" si="132"/>
        <v>12079.906880978706</v>
      </c>
      <c r="O153" s="82">
        <f t="shared" si="132"/>
        <v>12379.888446389956</v>
      </c>
      <c r="P153" s="82">
        <f t="shared" si="132"/>
        <v>11315.033535450946</v>
      </c>
      <c r="Q153" s="82">
        <f t="shared" si="132"/>
        <v>11657.654542784419</v>
      </c>
      <c r="R153" s="82">
        <f t="shared" si="132"/>
        <v>11487.260720434277</v>
      </c>
      <c r="S153" s="82">
        <f t="shared" si="132"/>
        <v>11493.19773300532</v>
      </c>
      <c r="T153" s="82">
        <f t="shared" si="132"/>
        <v>11345.019297924293</v>
      </c>
      <c r="U153" s="82">
        <f t="shared" si="132"/>
        <v>11009.015077291309</v>
      </c>
      <c r="V153" s="82">
        <f t="shared" si="132"/>
        <v>10245.559549772697</v>
      </c>
      <c r="W153" s="82">
        <f t="shared" si="132"/>
        <v>10626.387861796502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9654.781318913876</v>
      </c>
      <c r="C154" s="64">
        <f t="shared" ref="C154:W154" si="134">IF(C100=0,0,C100/C$23)</f>
        <v>10014.309944289547</v>
      </c>
      <c r="D154" s="64">
        <f t="shared" si="134"/>
        <v>9297.5091865838858</v>
      </c>
      <c r="E154" s="64">
        <f t="shared" si="134"/>
        <v>10214.385214076194</v>
      </c>
      <c r="F154" s="64">
        <f t="shared" si="134"/>
        <v>10343.182797899051</v>
      </c>
      <c r="G154" s="64">
        <f t="shared" si="134"/>
        <v>10111.352545377023</v>
      </c>
      <c r="H154" s="64">
        <f t="shared" si="134"/>
        <v>9446.5259485255319</v>
      </c>
      <c r="I154" s="64">
        <f t="shared" si="134"/>
        <v>8904.2720915953651</v>
      </c>
      <c r="J154" s="64">
        <f t="shared" si="134"/>
        <v>8906.8236745694576</v>
      </c>
      <c r="K154" s="64">
        <f t="shared" si="134"/>
        <v>9706.7511144436066</v>
      </c>
      <c r="L154" s="64">
        <f t="shared" si="134"/>
        <v>10193.473345636501</v>
      </c>
      <c r="M154" s="64">
        <f t="shared" si="134"/>
        <v>8326.636014038304</v>
      </c>
      <c r="N154" s="64">
        <f t="shared" si="134"/>
        <v>8967.2519617045946</v>
      </c>
      <c r="O154" s="64">
        <f t="shared" si="134"/>
        <v>9244.2989229542472</v>
      </c>
      <c r="P154" s="64">
        <f t="shared" si="134"/>
        <v>8121.8933197653032</v>
      </c>
      <c r="Q154" s="64">
        <f t="shared" si="134"/>
        <v>8445.8877207746555</v>
      </c>
      <c r="R154" s="64">
        <f t="shared" si="134"/>
        <v>8318.3011918598058</v>
      </c>
      <c r="S154" s="64">
        <f t="shared" si="134"/>
        <v>8345.6399151177102</v>
      </c>
      <c r="T154" s="64">
        <f t="shared" si="134"/>
        <v>8253.3239344247631</v>
      </c>
      <c r="U154" s="64">
        <f t="shared" si="134"/>
        <v>7972.4796999182145</v>
      </c>
      <c r="V154" s="64">
        <f t="shared" si="134"/>
        <v>7364.8235256971093</v>
      </c>
      <c r="W154" s="64">
        <f t="shared" si="134"/>
        <v>7809.0898824254473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7345.6190023695799</v>
      </c>
      <c r="C155" s="65">
        <f t="shared" ref="C155:W155" si="136">IF(C101=0,0,C101/C$23)</f>
        <v>7744.0008319157623</v>
      </c>
      <c r="D155" s="65">
        <f t="shared" si="136"/>
        <v>6986.3997236160994</v>
      </c>
      <c r="E155" s="65">
        <f t="shared" si="136"/>
        <v>7771.1305240252832</v>
      </c>
      <c r="F155" s="65">
        <f t="shared" si="136"/>
        <v>7972.9056545281946</v>
      </c>
      <c r="G155" s="65">
        <f t="shared" si="136"/>
        <v>7783.9154471036691</v>
      </c>
      <c r="H155" s="65">
        <f t="shared" si="136"/>
        <v>7123.9901700166665</v>
      </c>
      <c r="I155" s="65">
        <f t="shared" si="136"/>
        <v>6635.5354490545778</v>
      </c>
      <c r="J155" s="65">
        <f t="shared" si="136"/>
        <v>6592.9037677790066</v>
      </c>
      <c r="K155" s="65">
        <f t="shared" si="136"/>
        <v>7279.7136288264792</v>
      </c>
      <c r="L155" s="65">
        <f t="shared" si="136"/>
        <v>7763.6435640219333</v>
      </c>
      <c r="M155" s="65">
        <f t="shared" si="136"/>
        <v>5903.2020569945735</v>
      </c>
      <c r="N155" s="65">
        <f t="shared" si="136"/>
        <v>6538.5329991902317</v>
      </c>
      <c r="O155" s="65">
        <f t="shared" si="136"/>
        <v>6806.1074334649675</v>
      </c>
      <c r="P155" s="65">
        <f t="shared" si="136"/>
        <v>5689.890819878884</v>
      </c>
      <c r="Q155" s="65">
        <f t="shared" si="136"/>
        <v>5963.1920029542152</v>
      </c>
      <c r="R155" s="65">
        <f t="shared" si="136"/>
        <v>5879.0404353599688</v>
      </c>
      <c r="S155" s="65">
        <f t="shared" si="136"/>
        <v>5925.7213364430863</v>
      </c>
      <c r="T155" s="65">
        <f t="shared" si="136"/>
        <v>5856.6869484391354</v>
      </c>
      <c r="U155" s="65">
        <f t="shared" si="136"/>
        <v>5625.0885771328367</v>
      </c>
      <c r="V155" s="65">
        <f t="shared" si="136"/>
        <v>5185.8200129464412</v>
      </c>
      <c r="W155" s="65">
        <f t="shared" si="136"/>
        <v>5571.8140824919228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171.77939641216213</v>
      </c>
      <c r="C156" s="65">
        <f t="shared" ref="C156:W156" si="138">IF(C102=0,0,C102/C$23)</f>
        <v>186.21251548910834</v>
      </c>
      <c r="D156" s="65">
        <f t="shared" si="138"/>
        <v>183.4251671874319</v>
      </c>
      <c r="E156" s="65">
        <f t="shared" si="138"/>
        <v>328.46009664647232</v>
      </c>
      <c r="F156" s="65">
        <f t="shared" si="138"/>
        <v>195.76794519115268</v>
      </c>
      <c r="G156" s="65">
        <f t="shared" si="138"/>
        <v>214.48302928329181</v>
      </c>
      <c r="H156" s="65">
        <f t="shared" si="138"/>
        <v>255.61017820828926</v>
      </c>
      <c r="I156" s="65">
        <f t="shared" si="138"/>
        <v>203.35198568640868</v>
      </c>
      <c r="J156" s="65">
        <f t="shared" si="138"/>
        <v>207.16792831782098</v>
      </c>
      <c r="K156" s="65">
        <f t="shared" si="138"/>
        <v>230.97609636231815</v>
      </c>
      <c r="L156" s="65">
        <f t="shared" si="138"/>
        <v>229.35651453156194</v>
      </c>
      <c r="M156" s="65">
        <f t="shared" si="138"/>
        <v>225.08492577059641</v>
      </c>
      <c r="N156" s="65">
        <f t="shared" si="138"/>
        <v>233.33010136899935</v>
      </c>
      <c r="O156" s="65">
        <f t="shared" si="138"/>
        <v>228.6123547634021</v>
      </c>
      <c r="P156" s="65">
        <f t="shared" si="138"/>
        <v>211.4812471768075</v>
      </c>
      <c r="Q156" s="65">
        <f t="shared" si="138"/>
        <v>262.74517976774104</v>
      </c>
      <c r="R156" s="65">
        <f t="shared" si="138"/>
        <v>225.56997537285716</v>
      </c>
      <c r="S156" s="65">
        <f t="shared" si="138"/>
        <v>241.5631121771271</v>
      </c>
      <c r="T156" s="65">
        <f t="shared" si="138"/>
        <v>236.94000586052007</v>
      </c>
      <c r="U156" s="65">
        <f t="shared" si="138"/>
        <v>239.00488729484582</v>
      </c>
      <c r="V156" s="65">
        <f t="shared" si="138"/>
        <v>240.70693736465324</v>
      </c>
      <c r="W156" s="65">
        <f t="shared" si="138"/>
        <v>194.61217533488627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1143.7229498060556</v>
      </c>
      <c r="C157" s="65">
        <f t="shared" ref="C157:W157" si="140">IF(C103=0,0,C103/C$23)</f>
        <v>1119.2421397577627</v>
      </c>
      <c r="D157" s="65">
        <f t="shared" si="140"/>
        <v>1119.2163892706205</v>
      </c>
      <c r="E157" s="65">
        <f t="shared" si="140"/>
        <v>1102.374465760473</v>
      </c>
      <c r="F157" s="65">
        <f t="shared" si="140"/>
        <v>1133.8843161966038</v>
      </c>
      <c r="G157" s="65">
        <f t="shared" si="140"/>
        <v>1119.4169021290231</v>
      </c>
      <c r="H157" s="65">
        <f t="shared" si="140"/>
        <v>1091.9474055111834</v>
      </c>
      <c r="I157" s="65">
        <f t="shared" si="140"/>
        <v>1077.6913505536718</v>
      </c>
      <c r="J157" s="65">
        <f t="shared" si="140"/>
        <v>1098.5021628801942</v>
      </c>
      <c r="K157" s="65">
        <f t="shared" si="140"/>
        <v>1126.599002070034</v>
      </c>
      <c r="L157" s="65">
        <f t="shared" si="140"/>
        <v>1114.3949091409927</v>
      </c>
      <c r="M157" s="65">
        <f t="shared" si="140"/>
        <v>1108.0813510046175</v>
      </c>
      <c r="N157" s="65">
        <f t="shared" si="140"/>
        <v>1109.3858319474391</v>
      </c>
      <c r="O157" s="65">
        <f t="shared" si="140"/>
        <v>1115.7764918135954</v>
      </c>
      <c r="P157" s="65">
        <f t="shared" si="140"/>
        <v>1112.9242423487331</v>
      </c>
      <c r="Q157" s="65">
        <f t="shared" si="140"/>
        <v>1105.4101506559202</v>
      </c>
      <c r="R157" s="65">
        <f t="shared" si="140"/>
        <v>1095.7440956383434</v>
      </c>
      <c r="S157" s="65">
        <f t="shared" si="140"/>
        <v>1071.2248059922115</v>
      </c>
      <c r="T157" s="65">
        <f t="shared" si="140"/>
        <v>1065.8207649316575</v>
      </c>
      <c r="U157" s="65">
        <f t="shared" si="140"/>
        <v>1020.2220329373799</v>
      </c>
      <c r="V157" s="65">
        <f t="shared" si="140"/>
        <v>940.1167570689081</v>
      </c>
      <c r="W157" s="65">
        <f t="shared" si="140"/>
        <v>970.36592528226902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993.65997032608061</v>
      </c>
      <c r="C158" s="67">
        <f t="shared" ref="C158:W158" si="142">IF(C104=0,0,C104/C$23)</f>
        <v>964.85445712691592</v>
      </c>
      <c r="D158" s="67">
        <f t="shared" si="142"/>
        <v>1008.4679065097339</v>
      </c>
      <c r="E158" s="67">
        <f t="shared" si="142"/>
        <v>1012.4201276439654</v>
      </c>
      <c r="F158" s="67">
        <f t="shared" si="142"/>
        <v>1040.6248819831005</v>
      </c>
      <c r="G158" s="67">
        <f t="shared" si="142"/>
        <v>993.53716686103962</v>
      </c>
      <c r="H158" s="67">
        <f t="shared" si="142"/>
        <v>974.97819478939368</v>
      </c>
      <c r="I158" s="67">
        <f t="shared" si="142"/>
        <v>987.69330630070931</v>
      </c>
      <c r="J158" s="67">
        <f t="shared" si="142"/>
        <v>1008.2498155924366</v>
      </c>
      <c r="K158" s="67">
        <f t="shared" si="142"/>
        <v>1069.4623871847746</v>
      </c>
      <c r="L158" s="67">
        <f t="shared" si="142"/>
        <v>1086.0783579420124</v>
      </c>
      <c r="M158" s="67">
        <f t="shared" si="142"/>
        <v>1090.2676802685178</v>
      </c>
      <c r="N158" s="67">
        <f t="shared" si="142"/>
        <v>1086.0030291979235</v>
      </c>
      <c r="O158" s="67">
        <f t="shared" si="142"/>
        <v>1093.802642912282</v>
      </c>
      <c r="P158" s="67">
        <f t="shared" si="142"/>
        <v>1107.5970103608788</v>
      </c>
      <c r="Q158" s="67">
        <f t="shared" si="142"/>
        <v>1114.5403873967816</v>
      </c>
      <c r="R158" s="67">
        <f t="shared" si="142"/>
        <v>1117.9466854886364</v>
      </c>
      <c r="S158" s="67">
        <f t="shared" si="142"/>
        <v>1107.1306605052839</v>
      </c>
      <c r="T158" s="67">
        <f t="shared" si="142"/>
        <v>1093.8762151934491</v>
      </c>
      <c r="U158" s="67">
        <f t="shared" si="142"/>
        <v>1088.1642025531537</v>
      </c>
      <c r="V158" s="67">
        <f t="shared" si="142"/>
        <v>998.17981831710597</v>
      </c>
      <c r="W158" s="67">
        <f t="shared" si="142"/>
        <v>1072.2976993163695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2460.5942946247342</v>
      </c>
      <c r="C159" s="68">
        <f t="shared" ref="C159:W159" si="144">IF(C105=0,0,C105/C$23)</f>
        <v>2517.1338525082506</v>
      </c>
      <c r="D159" s="68">
        <f t="shared" si="144"/>
        <v>2596.5913607377133</v>
      </c>
      <c r="E159" s="68">
        <f t="shared" si="144"/>
        <v>2693.9289478519881</v>
      </c>
      <c r="F159" s="68">
        <f t="shared" si="144"/>
        <v>2794.5851894952148</v>
      </c>
      <c r="G159" s="68">
        <f t="shared" si="144"/>
        <v>2860.6918927188017</v>
      </c>
      <c r="H159" s="68">
        <f t="shared" si="144"/>
        <v>2900.4661964169486</v>
      </c>
      <c r="I159" s="68">
        <f t="shared" si="144"/>
        <v>2934.913734485619</v>
      </c>
      <c r="J159" s="68">
        <f t="shared" si="144"/>
        <v>2984.3194096664006</v>
      </c>
      <c r="K159" s="68">
        <f t="shared" si="144"/>
        <v>3055.6128728174717</v>
      </c>
      <c r="L159" s="68">
        <f t="shared" si="144"/>
        <v>3078.3126207433843</v>
      </c>
      <c r="M159" s="68">
        <f t="shared" si="144"/>
        <v>3088.9157418955824</v>
      </c>
      <c r="N159" s="68">
        <f t="shared" si="144"/>
        <v>3112.6549192741099</v>
      </c>
      <c r="O159" s="68">
        <f t="shared" si="144"/>
        <v>3135.5895234357081</v>
      </c>
      <c r="P159" s="68">
        <f t="shared" si="144"/>
        <v>3193.1402156856439</v>
      </c>
      <c r="Q159" s="68">
        <f t="shared" si="144"/>
        <v>3211.7668220097617</v>
      </c>
      <c r="R159" s="68">
        <f t="shared" si="144"/>
        <v>3168.9595285744726</v>
      </c>
      <c r="S159" s="68">
        <f t="shared" si="144"/>
        <v>3147.5578178876103</v>
      </c>
      <c r="T159" s="68">
        <f t="shared" si="144"/>
        <v>3091.6953634995307</v>
      </c>
      <c r="U159" s="68">
        <f t="shared" si="144"/>
        <v>3036.5353773730922</v>
      </c>
      <c r="V159" s="68">
        <f t="shared" si="144"/>
        <v>2880.7360240755879</v>
      </c>
      <c r="W159" s="68">
        <f t="shared" si="144"/>
        <v>2817.2979793710574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5898.2483268600481</v>
      </c>
      <c r="C161" s="85">
        <f t="shared" ref="C161:W161" si="146">IF(C107=0,0,C107/C$23)</f>
        <v>6203.0257035780642</v>
      </c>
      <c r="D161" s="85">
        <f t="shared" si="146"/>
        <v>5899.5659008806979</v>
      </c>
      <c r="E161" s="85">
        <f t="shared" si="146"/>
        <v>6674.7870157717516</v>
      </c>
      <c r="F161" s="85">
        <f t="shared" si="146"/>
        <v>6656.6820288430135</v>
      </c>
      <c r="G161" s="85">
        <f t="shared" si="146"/>
        <v>6682.4228780758176</v>
      </c>
      <c r="H161" s="85">
        <f t="shared" si="146"/>
        <v>6473.4016199202752</v>
      </c>
      <c r="I161" s="85">
        <f t="shared" si="146"/>
        <v>6093.9970867869151</v>
      </c>
      <c r="J161" s="85">
        <f t="shared" si="146"/>
        <v>6164.1334973622152</v>
      </c>
      <c r="K161" s="85">
        <f t="shared" si="146"/>
        <v>6800.8608489164635</v>
      </c>
      <c r="L161" s="85">
        <f t="shared" si="146"/>
        <v>7262.6267603844362</v>
      </c>
      <c r="M161" s="85">
        <f t="shared" si="146"/>
        <v>6190.1103830694628</v>
      </c>
      <c r="N161" s="85">
        <f t="shared" si="146"/>
        <v>6776.0788868772088</v>
      </c>
      <c r="O161" s="85">
        <f t="shared" si="146"/>
        <v>7073.7637186747907</v>
      </c>
      <c r="P161" s="85">
        <f t="shared" si="146"/>
        <v>6279.4419034594657</v>
      </c>
      <c r="Q161" s="85">
        <f t="shared" si="146"/>
        <v>6698.1616652081984</v>
      </c>
      <c r="R161" s="85">
        <f t="shared" si="146"/>
        <v>6644.444400389335</v>
      </c>
      <c r="S161" s="85">
        <f t="shared" si="146"/>
        <v>6775.0443035786529</v>
      </c>
      <c r="T161" s="85">
        <f t="shared" si="146"/>
        <v>6792.1444887681528</v>
      </c>
      <c r="U161" s="85">
        <f t="shared" si="146"/>
        <v>6687.2996133040515</v>
      </c>
      <c r="V161" s="85">
        <f t="shared" si="146"/>
        <v>6319.1626450449849</v>
      </c>
      <c r="W161" s="85">
        <f t="shared" si="146"/>
        <v>6639.5779163162042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4236.0258278656938</v>
      </c>
      <c r="C162" s="65">
        <f t="shared" ref="C162:W162" si="148">IF(C108=0,0,C108/C$23)</f>
        <v>4511.6021004825261</v>
      </c>
      <c r="D162" s="65">
        <f t="shared" si="148"/>
        <v>4187.4666476111315</v>
      </c>
      <c r="E162" s="65">
        <f t="shared" si="148"/>
        <v>4660.2654678662657</v>
      </c>
      <c r="F162" s="65">
        <f t="shared" si="148"/>
        <v>4854.5493514404488</v>
      </c>
      <c r="G162" s="65">
        <f t="shared" si="148"/>
        <v>4819.5537782211868</v>
      </c>
      <c r="H162" s="65">
        <f t="shared" si="148"/>
        <v>4502.9583976766817</v>
      </c>
      <c r="I162" s="65">
        <f t="shared" si="148"/>
        <v>4220.7430373103771</v>
      </c>
      <c r="J162" s="65">
        <f t="shared" si="148"/>
        <v>4221.849253958766</v>
      </c>
      <c r="K162" s="65">
        <f t="shared" si="148"/>
        <v>4729.9262413632296</v>
      </c>
      <c r="L162" s="65">
        <f t="shared" si="148"/>
        <v>5168.8556292621524</v>
      </c>
      <c r="M162" s="65">
        <f t="shared" si="148"/>
        <v>4082.8314900569476</v>
      </c>
      <c r="N162" s="65">
        <f t="shared" si="148"/>
        <v>4609.5078599388225</v>
      </c>
      <c r="O162" s="65">
        <f t="shared" si="148"/>
        <v>4882.9601949060407</v>
      </c>
      <c r="P162" s="65">
        <f t="shared" si="148"/>
        <v>4109.1223153185501</v>
      </c>
      <c r="Q162" s="65">
        <f t="shared" si="148"/>
        <v>4351.0587632778825</v>
      </c>
      <c r="R162" s="65">
        <f t="shared" si="148"/>
        <v>4371.4278108363078</v>
      </c>
      <c r="S162" s="65">
        <f t="shared" si="148"/>
        <v>4443.5372904209253</v>
      </c>
      <c r="T162" s="65">
        <f t="shared" si="148"/>
        <v>4441.7665375973456</v>
      </c>
      <c r="U162" s="65">
        <f t="shared" si="148"/>
        <v>4334.6817933556504</v>
      </c>
      <c r="V162" s="65">
        <f t="shared" si="148"/>
        <v>4046.4915874932276</v>
      </c>
      <c r="W162" s="65">
        <f t="shared" si="148"/>
        <v>4431.3682777135309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310.4547795480695</v>
      </c>
      <c r="C163" s="65">
        <f t="shared" ref="C163:W163" si="150">IF(C109=0,0,C109/C$23)</f>
        <v>351.59739379868046</v>
      </c>
      <c r="D163" s="65">
        <f t="shared" si="150"/>
        <v>361.55719168893768</v>
      </c>
      <c r="E163" s="65">
        <f t="shared" si="150"/>
        <v>674.64987292666467</v>
      </c>
      <c r="F163" s="65">
        <f t="shared" si="150"/>
        <v>419.45468300530518</v>
      </c>
      <c r="G163" s="65">
        <f t="shared" si="150"/>
        <v>480.33016453894862</v>
      </c>
      <c r="H163" s="65">
        <f t="shared" si="150"/>
        <v>601.73151835871374</v>
      </c>
      <c r="I163" s="65">
        <f t="shared" si="150"/>
        <v>502.73021022561699</v>
      </c>
      <c r="J163" s="65">
        <f t="shared" si="150"/>
        <v>537.53519826848947</v>
      </c>
      <c r="K163" s="65">
        <f t="shared" si="150"/>
        <v>609.21439401632051</v>
      </c>
      <c r="L163" s="65">
        <f t="shared" si="150"/>
        <v>617.04865822287672</v>
      </c>
      <c r="M163" s="65">
        <f t="shared" si="150"/>
        <v>621.56496960360573</v>
      </c>
      <c r="N163" s="65">
        <f t="shared" si="150"/>
        <v>658.11338080596158</v>
      </c>
      <c r="O163" s="65">
        <f t="shared" si="150"/>
        <v>660.89606357895627</v>
      </c>
      <c r="P163" s="65">
        <f t="shared" si="150"/>
        <v>630.75669723358465</v>
      </c>
      <c r="Q163" s="65">
        <f t="shared" si="150"/>
        <v>807.84290841386394</v>
      </c>
      <c r="R163" s="65">
        <f t="shared" si="150"/>
        <v>716.33917411621371</v>
      </c>
      <c r="S163" s="65">
        <f t="shared" si="150"/>
        <v>789.02358881980115</v>
      </c>
      <c r="T163" s="65">
        <f t="shared" si="150"/>
        <v>793.76851041093755</v>
      </c>
      <c r="U163" s="65">
        <f t="shared" si="150"/>
        <v>817.13273433177085</v>
      </c>
      <c r="V163" s="65">
        <f t="shared" si="150"/>
        <v>840.2202530752121</v>
      </c>
      <c r="W163" s="65">
        <f t="shared" si="150"/>
        <v>696.34828007638566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701.72937948679021</v>
      </c>
      <c r="C164" s="65">
        <f t="shared" ref="C164:W164" si="152">IF(C110=0,0,C110/C$23)</f>
        <v>689.4192318836582</v>
      </c>
      <c r="D164" s="65">
        <f t="shared" si="152"/>
        <v>693.07564821814867</v>
      </c>
      <c r="E164" s="65">
        <f t="shared" si="152"/>
        <v>685.05473506611861</v>
      </c>
      <c r="F164" s="65">
        <f t="shared" si="152"/>
        <v>710.25682656261233</v>
      </c>
      <c r="G164" s="65">
        <f t="shared" si="152"/>
        <v>707.30068237063676</v>
      </c>
      <c r="H164" s="65">
        <f t="shared" si="152"/>
        <v>695.75868077448467</v>
      </c>
      <c r="I164" s="65">
        <f t="shared" si="152"/>
        <v>688.43103178212266</v>
      </c>
      <c r="J164" s="65">
        <f t="shared" si="152"/>
        <v>708.26519601006532</v>
      </c>
      <c r="K164" s="65">
        <f t="shared" si="152"/>
        <v>731.66518518028874</v>
      </c>
      <c r="L164" s="65">
        <f t="shared" si="152"/>
        <v>731.74369487199817</v>
      </c>
      <c r="M164" s="65">
        <f t="shared" si="152"/>
        <v>734.63570367008356</v>
      </c>
      <c r="N164" s="65">
        <f t="shared" si="152"/>
        <v>747.0087266798804</v>
      </c>
      <c r="O164" s="65">
        <f t="shared" si="152"/>
        <v>760.1858653070318</v>
      </c>
      <c r="P164" s="65">
        <f t="shared" si="152"/>
        <v>762.85613239478755</v>
      </c>
      <c r="Q164" s="65">
        <f t="shared" si="152"/>
        <v>763.42359518323792</v>
      </c>
      <c r="R164" s="65">
        <f t="shared" si="152"/>
        <v>769.26789991346698</v>
      </c>
      <c r="S164" s="65">
        <f t="shared" si="152"/>
        <v>763.92138045693025</v>
      </c>
      <c r="T164" s="65">
        <f t="shared" si="152"/>
        <v>777.86572350850463</v>
      </c>
      <c r="U164" s="65">
        <f t="shared" si="152"/>
        <v>758.64087955113155</v>
      </c>
      <c r="V164" s="65">
        <f t="shared" si="152"/>
        <v>712.29824939716354</v>
      </c>
      <c r="W164" s="65">
        <f t="shared" si="152"/>
        <v>750.44286473645593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650.03833995949401</v>
      </c>
      <c r="C165" s="68">
        <f t="shared" ref="C165:W165" si="154">IF(C111=0,0,C111/C$23)</f>
        <v>650.40697741319912</v>
      </c>
      <c r="D165" s="68">
        <f t="shared" si="154"/>
        <v>657.4664133624799</v>
      </c>
      <c r="E165" s="68">
        <f t="shared" si="154"/>
        <v>654.81693991270288</v>
      </c>
      <c r="F165" s="68">
        <f t="shared" si="154"/>
        <v>672.42116783464712</v>
      </c>
      <c r="G165" s="68">
        <f t="shared" si="154"/>
        <v>675.2382529450465</v>
      </c>
      <c r="H165" s="68">
        <f t="shared" si="154"/>
        <v>672.95302311039495</v>
      </c>
      <c r="I165" s="68">
        <f t="shared" si="154"/>
        <v>682.09280746879972</v>
      </c>
      <c r="J165" s="68">
        <f t="shared" si="154"/>
        <v>696.48384912489496</v>
      </c>
      <c r="K165" s="68">
        <f t="shared" si="154"/>
        <v>730.05502835662458</v>
      </c>
      <c r="L165" s="68">
        <f t="shared" si="154"/>
        <v>744.9787780274072</v>
      </c>
      <c r="M165" s="68">
        <f t="shared" si="154"/>
        <v>751.07821973882596</v>
      </c>
      <c r="N165" s="68">
        <f t="shared" si="154"/>
        <v>761.44891945254471</v>
      </c>
      <c r="O165" s="68">
        <f t="shared" si="154"/>
        <v>769.72159488276293</v>
      </c>
      <c r="P165" s="68">
        <f t="shared" si="154"/>
        <v>776.70675851254373</v>
      </c>
      <c r="Q165" s="68">
        <f t="shared" si="154"/>
        <v>775.83639833321524</v>
      </c>
      <c r="R165" s="68">
        <f t="shared" si="154"/>
        <v>787.40951552334582</v>
      </c>
      <c r="S165" s="68">
        <f t="shared" si="154"/>
        <v>778.56204388099661</v>
      </c>
      <c r="T165" s="68">
        <f t="shared" si="154"/>
        <v>778.74371725136484</v>
      </c>
      <c r="U165" s="68">
        <f t="shared" si="154"/>
        <v>776.84420606549929</v>
      </c>
      <c r="V165" s="68">
        <f t="shared" si="154"/>
        <v>720.15255507938161</v>
      </c>
      <c r="W165" s="68">
        <f t="shared" si="154"/>
        <v>761.41849378983136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1389.9563157138327</v>
      </c>
      <c r="C167" s="82">
        <f t="shared" ref="C167:W167" si="156">IF(C113=0,0,C113/C$23)</f>
        <v>1419.3524409416123</v>
      </c>
      <c r="D167" s="82">
        <f t="shared" si="156"/>
        <v>1259.7092267718826</v>
      </c>
      <c r="E167" s="82">
        <f t="shared" si="156"/>
        <v>1428.405227903673</v>
      </c>
      <c r="F167" s="82">
        <f t="shared" si="156"/>
        <v>1444.1794887399881</v>
      </c>
      <c r="G167" s="82">
        <f t="shared" si="156"/>
        <v>1356.5012313215766</v>
      </c>
      <c r="H167" s="82">
        <f t="shared" si="156"/>
        <v>1210.8266567371425</v>
      </c>
      <c r="I167" s="82">
        <f t="shared" si="156"/>
        <v>1157.1258965723134</v>
      </c>
      <c r="J167" s="82">
        <f t="shared" si="156"/>
        <v>1192.7897917193907</v>
      </c>
      <c r="K167" s="82">
        <f t="shared" si="156"/>
        <v>1312.0020029625641</v>
      </c>
      <c r="L167" s="82">
        <f t="shared" si="156"/>
        <v>1337.9113924262238</v>
      </c>
      <c r="M167" s="82">
        <f t="shared" si="156"/>
        <v>1045.6055032561485</v>
      </c>
      <c r="N167" s="82">
        <f t="shared" si="156"/>
        <v>1122.6763424917137</v>
      </c>
      <c r="O167" s="82">
        <f t="shared" si="156"/>
        <v>1174.2126429625282</v>
      </c>
      <c r="P167" s="82">
        <f t="shared" si="156"/>
        <v>1018.6144189478046</v>
      </c>
      <c r="Q167" s="82">
        <f t="shared" si="156"/>
        <v>1060.8953309062151</v>
      </c>
      <c r="R167" s="82">
        <f t="shared" si="156"/>
        <v>1015.2575695493299</v>
      </c>
      <c r="S167" s="82">
        <f t="shared" si="156"/>
        <v>1038.2957402237387</v>
      </c>
      <c r="T167" s="82">
        <f t="shared" si="156"/>
        <v>1023.9753068404274</v>
      </c>
      <c r="U167" s="82">
        <f t="shared" si="156"/>
        <v>994.37847005230481</v>
      </c>
      <c r="V167" s="82">
        <f t="shared" si="156"/>
        <v>924.0162715290536</v>
      </c>
      <c r="W167" s="82">
        <f t="shared" si="156"/>
        <v>976.40280729346455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1389.9563157138327</v>
      </c>
      <c r="C168" s="64">
        <f t="shared" ref="C168:W168" si="158">IF(C114=0,0,C114/C$23)</f>
        <v>1419.3524409416123</v>
      </c>
      <c r="D168" s="64">
        <f t="shared" si="158"/>
        <v>1259.7092267718826</v>
      </c>
      <c r="E168" s="64">
        <f t="shared" si="158"/>
        <v>1428.405227903673</v>
      </c>
      <c r="F168" s="64">
        <f t="shared" si="158"/>
        <v>1444.1794887399881</v>
      </c>
      <c r="G168" s="64">
        <f t="shared" si="158"/>
        <v>1356.5012313215766</v>
      </c>
      <c r="H168" s="64">
        <f t="shared" si="158"/>
        <v>1210.8266567371425</v>
      </c>
      <c r="I168" s="64">
        <f t="shared" si="158"/>
        <v>1157.1258965723134</v>
      </c>
      <c r="J168" s="64">
        <f t="shared" si="158"/>
        <v>1192.7897917193907</v>
      </c>
      <c r="K168" s="64">
        <f t="shared" si="158"/>
        <v>1312.0020029625641</v>
      </c>
      <c r="L168" s="64">
        <f t="shared" si="158"/>
        <v>1337.9113924262238</v>
      </c>
      <c r="M168" s="64">
        <f t="shared" si="158"/>
        <v>1045.6055032561485</v>
      </c>
      <c r="N168" s="64">
        <f t="shared" si="158"/>
        <v>1122.6763424917137</v>
      </c>
      <c r="O168" s="64">
        <f t="shared" si="158"/>
        <v>1174.2126429625282</v>
      </c>
      <c r="P168" s="64">
        <f t="shared" si="158"/>
        <v>1018.6144189478046</v>
      </c>
      <c r="Q168" s="64">
        <f t="shared" si="158"/>
        <v>1060.8953309062151</v>
      </c>
      <c r="R168" s="64">
        <f t="shared" si="158"/>
        <v>1015.2575695493299</v>
      </c>
      <c r="S168" s="64">
        <f t="shared" si="158"/>
        <v>1038.2957402237387</v>
      </c>
      <c r="T168" s="64">
        <f t="shared" si="158"/>
        <v>1023.9753068404274</v>
      </c>
      <c r="U168" s="64">
        <f t="shared" si="158"/>
        <v>994.37847005230481</v>
      </c>
      <c r="V168" s="64">
        <f t="shared" si="158"/>
        <v>924.0162715290536</v>
      </c>
      <c r="W168" s="64">
        <f t="shared" si="158"/>
        <v>976.40280729346455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1147.6871242118796</v>
      </c>
      <c r="C169" s="65">
        <f t="shared" ref="C169:W169" si="160">IF(C115=0,0,C115/C$23)</f>
        <v>1204.6631606724061</v>
      </c>
      <c r="D169" s="65">
        <f t="shared" si="160"/>
        <v>1012.1771115084172</v>
      </c>
      <c r="E169" s="65">
        <f t="shared" si="160"/>
        <v>1170.7828050234339</v>
      </c>
      <c r="F169" s="65">
        <f t="shared" si="160"/>
        <v>1180.4267093752132</v>
      </c>
      <c r="G169" s="65">
        <f t="shared" si="160"/>
        <v>1141.0102469643</v>
      </c>
      <c r="H169" s="65">
        <f t="shared" si="160"/>
        <v>1013.600522173172</v>
      </c>
      <c r="I169" s="65">
        <f t="shared" si="160"/>
        <v>961.10345651640023</v>
      </c>
      <c r="J169" s="65">
        <f t="shared" si="160"/>
        <v>992.70771007090036</v>
      </c>
      <c r="K169" s="65">
        <f t="shared" si="160"/>
        <v>1090.3185233018992</v>
      </c>
      <c r="L169" s="65">
        <f t="shared" si="160"/>
        <v>1122.4364819745497</v>
      </c>
      <c r="M169" s="65">
        <f t="shared" si="160"/>
        <v>832.60645199034832</v>
      </c>
      <c r="N169" s="65">
        <f t="shared" si="160"/>
        <v>929.02090743106089</v>
      </c>
      <c r="O169" s="65">
        <f t="shared" si="160"/>
        <v>978.21427814547633</v>
      </c>
      <c r="P169" s="65">
        <f t="shared" si="160"/>
        <v>817.42459848185763</v>
      </c>
      <c r="Q169" s="65">
        <f t="shared" si="160"/>
        <v>848.15226900330447</v>
      </c>
      <c r="R169" s="65">
        <f t="shared" si="160"/>
        <v>814.1476995753668</v>
      </c>
      <c r="S169" s="65">
        <f t="shared" si="160"/>
        <v>834.41495553971129</v>
      </c>
      <c r="T169" s="65">
        <f t="shared" si="160"/>
        <v>834.32206181433321</v>
      </c>
      <c r="U169" s="65">
        <f t="shared" si="160"/>
        <v>806.47445776461768</v>
      </c>
      <c r="V169" s="65">
        <f t="shared" si="160"/>
        <v>752.97453787008953</v>
      </c>
      <c r="W169" s="65">
        <f t="shared" si="160"/>
        <v>781.74042506151272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0.15828405170054108</v>
      </c>
      <c r="C170" s="65">
        <f t="shared" ref="C170:W170" si="162">IF(C116=0,0,C116/C$23)</f>
        <v>0.19850498706010972</v>
      </c>
      <c r="D170" s="65">
        <f t="shared" si="162"/>
        <v>0.21652500910153313</v>
      </c>
      <c r="E170" s="65">
        <f t="shared" si="162"/>
        <v>0.57621726315613309</v>
      </c>
      <c r="F170" s="65">
        <f t="shared" si="162"/>
        <v>0.32002842795128517</v>
      </c>
      <c r="G170" s="65">
        <f t="shared" si="162"/>
        <v>0.34462389467024951</v>
      </c>
      <c r="H170" s="65">
        <f t="shared" si="162"/>
        <v>0.60801322230617205</v>
      </c>
      <c r="I170" s="65">
        <f t="shared" si="162"/>
        <v>0.54496427406638814</v>
      </c>
      <c r="J170" s="65">
        <f t="shared" si="162"/>
        <v>0.67373581106228353</v>
      </c>
      <c r="K170" s="65">
        <f t="shared" si="162"/>
        <v>0.7864186215053619</v>
      </c>
      <c r="L170" s="65">
        <f t="shared" si="162"/>
        <v>0.89175471956548336</v>
      </c>
      <c r="M170" s="65">
        <f t="shared" si="162"/>
        <v>1.1802156186211439</v>
      </c>
      <c r="N170" s="65">
        <f t="shared" si="162"/>
        <v>1.7725944232127706</v>
      </c>
      <c r="O170" s="65">
        <f t="shared" si="162"/>
        <v>2.1536384138074487</v>
      </c>
      <c r="P170" s="65">
        <f t="shared" si="162"/>
        <v>2.1822260424364335</v>
      </c>
      <c r="Q170" s="65">
        <f t="shared" si="162"/>
        <v>3.4529725270717258</v>
      </c>
      <c r="R170" s="65">
        <f t="shared" si="162"/>
        <v>3.2816123854537804</v>
      </c>
      <c r="S170" s="65">
        <f t="shared" si="162"/>
        <v>4.0453253260934412</v>
      </c>
      <c r="T170" s="65">
        <f t="shared" si="162"/>
        <v>4.3387599742481422</v>
      </c>
      <c r="U170" s="65">
        <f t="shared" si="162"/>
        <v>4.7406980400067216</v>
      </c>
      <c r="V170" s="65">
        <f t="shared" si="162"/>
        <v>4.8273779126982275</v>
      </c>
      <c r="W170" s="65">
        <f t="shared" si="162"/>
        <v>3.8621749007176533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120.42556442647438</v>
      </c>
      <c r="C171" s="65">
        <f t="shared" ref="C171:W171" si="164">IF(C117=0,0,C117/C$23)</f>
        <v>119.10373440015022</v>
      </c>
      <c r="D171" s="65">
        <f t="shared" si="164"/>
        <v>117.92906566116915</v>
      </c>
      <c r="E171" s="65">
        <f t="shared" si="164"/>
        <v>118.70775761770005</v>
      </c>
      <c r="F171" s="65">
        <f t="shared" si="164"/>
        <v>118.24194483601438</v>
      </c>
      <c r="G171" s="65">
        <f t="shared" si="164"/>
        <v>111.91927143925328</v>
      </c>
      <c r="H171" s="65">
        <f t="shared" si="164"/>
        <v>105.86850948397752</v>
      </c>
      <c r="I171" s="65">
        <f t="shared" si="164"/>
        <v>101.69833357007043</v>
      </c>
      <c r="J171" s="65">
        <f t="shared" si="164"/>
        <v>101.29260687331917</v>
      </c>
      <c r="K171" s="65">
        <f t="shared" si="164"/>
        <v>105.56137919885587</v>
      </c>
      <c r="L171" s="65">
        <f t="shared" si="164"/>
        <v>99.284465169487206</v>
      </c>
      <c r="M171" s="65">
        <f t="shared" si="164"/>
        <v>99.132945048086185</v>
      </c>
      <c r="N171" s="65">
        <f t="shared" si="164"/>
        <v>93.735551524875262</v>
      </c>
      <c r="O171" s="65">
        <f t="shared" si="164"/>
        <v>97.182068531775926</v>
      </c>
      <c r="P171" s="65">
        <f t="shared" si="164"/>
        <v>96.961265006580234</v>
      </c>
      <c r="Q171" s="65">
        <f t="shared" si="164"/>
        <v>98.318915912496024</v>
      </c>
      <c r="R171" s="65">
        <f t="shared" si="164"/>
        <v>93.161861650899596</v>
      </c>
      <c r="S171" s="65">
        <f t="shared" si="164"/>
        <v>90.952237824248868</v>
      </c>
      <c r="T171" s="65">
        <f t="shared" si="164"/>
        <v>83.270873336946821</v>
      </c>
      <c r="U171" s="65">
        <f t="shared" si="164"/>
        <v>78.903075724868927</v>
      </c>
      <c r="V171" s="65">
        <f t="shared" si="164"/>
        <v>73.822615471022303</v>
      </c>
      <c r="W171" s="65">
        <f t="shared" si="164"/>
        <v>75.47357503205707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121.68534302377832</v>
      </c>
      <c r="C172" s="67">
        <f t="shared" ref="C172:W172" si="166">IF(C118=0,0,C118/C$23)</f>
        <v>95.387040881995887</v>
      </c>
      <c r="D172" s="67">
        <f t="shared" si="166"/>
        <v>129.38652459319479</v>
      </c>
      <c r="E172" s="67">
        <f t="shared" si="166"/>
        <v>138.33844799938296</v>
      </c>
      <c r="F172" s="67">
        <f t="shared" si="166"/>
        <v>145.19080610080925</v>
      </c>
      <c r="G172" s="67">
        <f t="shared" si="166"/>
        <v>103.22708902335314</v>
      </c>
      <c r="H172" s="67">
        <f t="shared" si="166"/>
        <v>90.74961185768683</v>
      </c>
      <c r="I172" s="67">
        <f t="shared" si="166"/>
        <v>93.779142211776232</v>
      </c>
      <c r="J172" s="67">
        <f t="shared" si="166"/>
        <v>98.115738964108715</v>
      </c>
      <c r="K172" s="67">
        <f t="shared" si="166"/>
        <v>115.33568184030352</v>
      </c>
      <c r="L172" s="67">
        <f t="shared" si="166"/>
        <v>115.29869056262127</v>
      </c>
      <c r="M172" s="67">
        <f t="shared" si="166"/>
        <v>112.68589059909263</v>
      </c>
      <c r="N172" s="67">
        <f t="shared" si="166"/>
        <v>98.14728911256509</v>
      </c>
      <c r="O172" s="67">
        <f t="shared" si="166"/>
        <v>96.662657871468411</v>
      </c>
      <c r="P172" s="67">
        <f t="shared" si="166"/>
        <v>102.04632941693039</v>
      </c>
      <c r="Q172" s="67">
        <f t="shared" si="166"/>
        <v>110.97117346334261</v>
      </c>
      <c r="R172" s="67">
        <f t="shared" si="166"/>
        <v>104.66639593760958</v>
      </c>
      <c r="S172" s="67">
        <f t="shared" si="166"/>
        <v>108.88322153368485</v>
      </c>
      <c r="T172" s="67">
        <f t="shared" si="166"/>
        <v>102.04361171489938</v>
      </c>
      <c r="U172" s="67">
        <f t="shared" si="166"/>
        <v>104.26023852281133</v>
      </c>
      <c r="V172" s="67">
        <f t="shared" si="166"/>
        <v>92.391740275243677</v>
      </c>
      <c r="W172" s="67">
        <f t="shared" si="166"/>
        <v>115.32663229917699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925351.95993153588</v>
      </c>
      <c r="C3" s="125">
        <f t="shared" si="0"/>
        <v>939066.81149664428</v>
      </c>
      <c r="D3" s="125">
        <f t="shared" si="0"/>
        <v>952781.66306175245</v>
      </c>
      <c r="E3" s="125">
        <f t="shared" si="0"/>
        <v>966496.51462686085</v>
      </c>
      <c r="F3" s="125">
        <f t="shared" si="0"/>
        <v>980211.36619196902</v>
      </c>
      <c r="G3" s="125">
        <f t="shared" si="0"/>
        <v>993926.21775707742</v>
      </c>
      <c r="H3" s="125">
        <f t="shared" si="0"/>
        <v>1008805.9791008371</v>
      </c>
      <c r="I3" s="125">
        <f t="shared" si="0"/>
        <v>1027149.6970638616</v>
      </c>
      <c r="J3" s="125">
        <f t="shared" si="0"/>
        <v>1042029.4584076221</v>
      </c>
      <c r="K3" s="125">
        <f t="shared" si="0"/>
        <v>1048826.6543064301</v>
      </c>
      <c r="L3" s="125">
        <f t="shared" si="0"/>
        <v>1061344.7262700247</v>
      </c>
      <c r="M3" s="125">
        <f t="shared" si="0"/>
        <v>1075335.8551794882</v>
      </c>
      <c r="N3" s="125">
        <f t="shared" si="0"/>
        <v>1083469.1159611584</v>
      </c>
      <c r="O3" s="125">
        <f t="shared" si="0"/>
        <v>1090261.8874074514</v>
      </c>
      <c r="P3" s="125">
        <f t="shared" si="0"/>
        <v>1103701.9323237422</v>
      </c>
      <c r="Q3" s="125">
        <f t="shared" si="0"/>
        <v>1103338.0183800852</v>
      </c>
      <c r="R3" s="125">
        <f t="shared" si="0"/>
        <v>1112800.6657927509</v>
      </c>
      <c r="S3" s="125">
        <f t="shared" si="0"/>
        <v>1123112.5473124862</v>
      </c>
      <c r="T3" s="125">
        <f t="shared" si="0"/>
        <v>1135141.2849703007</v>
      </c>
      <c r="U3" s="125">
        <f t="shared" si="0"/>
        <v>1146959.0039980644</v>
      </c>
      <c r="V3" s="125">
        <f t="shared" si="0"/>
        <v>1157991.8466666667</v>
      </c>
      <c r="W3" s="125">
        <f t="shared" si="0"/>
        <v>1168596.7193178225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925351.95993153588</v>
      </c>
      <c r="C4" s="140">
        <f t="shared" si="1"/>
        <v>939066.81149664428</v>
      </c>
      <c r="D4" s="140">
        <f t="shared" si="1"/>
        <v>952781.66306175245</v>
      </c>
      <c r="E4" s="140">
        <f t="shared" si="1"/>
        <v>966496.51462686085</v>
      </c>
      <c r="F4" s="140">
        <f t="shared" si="1"/>
        <v>980211.36619196902</v>
      </c>
      <c r="G4" s="140">
        <f t="shared" si="1"/>
        <v>993926.21775707742</v>
      </c>
      <c r="H4" s="140">
        <f t="shared" si="1"/>
        <v>1008805.9791008371</v>
      </c>
      <c r="I4" s="140">
        <f t="shared" si="1"/>
        <v>1027149.6970638616</v>
      </c>
      <c r="J4" s="140">
        <f t="shared" si="1"/>
        <v>1042029.4584076221</v>
      </c>
      <c r="K4" s="140">
        <f t="shared" si="1"/>
        <v>1048826.6543064301</v>
      </c>
      <c r="L4" s="140">
        <f t="shared" si="1"/>
        <v>1061344.7262700247</v>
      </c>
      <c r="M4" s="140">
        <f t="shared" si="1"/>
        <v>1075335.8551794882</v>
      </c>
      <c r="N4" s="140">
        <f t="shared" si="1"/>
        <v>1083469.1159611584</v>
      </c>
      <c r="O4" s="140">
        <f t="shared" si="1"/>
        <v>1090261.8874074514</v>
      </c>
      <c r="P4" s="140">
        <f t="shared" si="1"/>
        <v>1103701.9323237422</v>
      </c>
      <c r="Q4" s="140">
        <f t="shared" si="1"/>
        <v>1103338.0183800852</v>
      </c>
      <c r="R4" s="140">
        <f t="shared" ref="R4:W4" si="2">SUM(R5:R14)</f>
        <v>1112800.6657927509</v>
      </c>
      <c r="S4" s="140">
        <f t="shared" si="2"/>
        <v>1123112.5473124862</v>
      </c>
      <c r="T4" s="140">
        <f t="shared" si="2"/>
        <v>1135141.2849703007</v>
      </c>
      <c r="U4" s="140">
        <f t="shared" si="2"/>
        <v>1146959.0039980644</v>
      </c>
      <c r="V4" s="140">
        <f t="shared" si="2"/>
        <v>1157991.8466666667</v>
      </c>
      <c r="W4" s="140">
        <f t="shared" si="2"/>
        <v>1168596.7193178225</v>
      </c>
      <c r="DA4" s="170" t="s">
        <v>245</v>
      </c>
    </row>
    <row r="5" spans="1:105" ht="12" customHeight="1" x14ac:dyDescent="0.25">
      <c r="A5" s="132" t="s">
        <v>29</v>
      </c>
      <c r="B5" s="141">
        <v>17650.443539484095</v>
      </c>
      <c r="C5" s="141">
        <v>15951.223127218125</v>
      </c>
      <c r="D5" s="141">
        <v>13895.879555075493</v>
      </c>
      <c r="E5" s="141">
        <v>13063.339582388366</v>
      </c>
      <c r="F5" s="141">
        <v>12864.95441755663</v>
      </c>
      <c r="G5" s="141">
        <v>13520.768673405157</v>
      </c>
      <c r="H5" s="141">
        <v>14078.712134827576</v>
      </c>
      <c r="I5" s="141">
        <v>14068.688075980801</v>
      </c>
      <c r="J5" s="141">
        <v>13258.121827847528</v>
      </c>
      <c r="K5" s="141">
        <v>11315.678155024589</v>
      </c>
      <c r="L5" s="141">
        <v>9355.3013681140292</v>
      </c>
      <c r="M5" s="141">
        <v>6263.9383264926828</v>
      </c>
      <c r="N5" s="141">
        <v>4861.2770513408523</v>
      </c>
      <c r="O5" s="141">
        <v>4131.9233498057538</v>
      </c>
      <c r="P5" s="141">
        <v>3980.9642611422091</v>
      </c>
      <c r="Q5" s="141">
        <v>3842.2249059039696</v>
      </c>
      <c r="R5" s="141">
        <v>3700.9188752555515</v>
      </c>
      <c r="S5" s="141">
        <v>3491.1112129728081</v>
      </c>
      <c r="T5" s="141">
        <v>3262.3944699357176</v>
      </c>
      <c r="U5" s="141">
        <v>3169.7206464323795</v>
      </c>
      <c r="V5" s="141">
        <v>3158.2006128786115</v>
      </c>
      <c r="W5" s="141">
        <v>3291.1121661285824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259270.26636694511</v>
      </c>
      <c r="C7" s="141">
        <v>256521.20833070268</v>
      </c>
      <c r="D7" s="141">
        <v>241494.2126878681</v>
      </c>
      <c r="E7" s="141">
        <v>229159.58600508526</v>
      </c>
      <c r="F7" s="141">
        <v>218589.46930041056</v>
      </c>
      <c r="G7" s="141">
        <v>210864.54565450404</v>
      </c>
      <c r="H7" s="141">
        <v>210343.45355847201</v>
      </c>
      <c r="I7" s="141">
        <v>210384.8236570014</v>
      </c>
      <c r="J7" s="141">
        <v>211678.88709808889</v>
      </c>
      <c r="K7" s="141">
        <v>207944.38084669854</v>
      </c>
      <c r="L7" s="141">
        <v>195382.50225391422</v>
      </c>
      <c r="M7" s="141">
        <v>189326.67372726553</v>
      </c>
      <c r="N7" s="141">
        <v>184519.76958677132</v>
      </c>
      <c r="O7" s="141">
        <v>184938.88731768876</v>
      </c>
      <c r="P7" s="141">
        <v>184548.72463318179</v>
      </c>
      <c r="Q7" s="141">
        <v>181044.2835933732</v>
      </c>
      <c r="R7" s="141">
        <v>173629.38434779111</v>
      </c>
      <c r="S7" s="141">
        <v>171161.75168435989</v>
      </c>
      <c r="T7" s="141">
        <v>170526.51958754953</v>
      </c>
      <c r="U7" s="141">
        <v>172141.24430069706</v>
      </c>
      <c r="V7" s="141">
        <v>174556.09360292027</v>
      </c>
      <c r="W7" s="141">
        <v>170462.51068200628</v>
      </c>
      <c r="DA7" s="171" t="s">
        <v>248</v>
      </c>
    </row>
    <row r="8" spans="1:105" ht="12" customHeight="1" x14ac:dyDescent="0.25">
      <c r="A8" s="132" t="s">
        <v>73</v>
      </c>
      <c r="B8" s="141">
        <v>46.388623794074988</v>
      </c>
      <c r="C8" s="141">
        <v>76.483779790406999</v>
      </c>
      <c r="D8" s="141">
        <v>166.73003224706619</v>
      </c>
      <c r="E8" s="141">
        <v>322.09708419504545</v>
      </c>
      <c r="F8" s="141">
        <v>563.00352956830818</v>
      </c>
      <c r="G8" s="141">
        <v>939.72748278084282</v>
      </c>
      <c r="H8" s="141">
        <v>1319.9934367520966</v>
      </c>
      <c r="I8" s="141">
        <v>1647.2470895842523</v>
      </c>
      <c r="J8" s="141">
        <v>1828.1448186981224</v>
      </c>
      <c r="K8" s="141">
        <v>2128.2839901405673</v>
      </c>
      <c r="L8" s="141">
        <v>2795.9738972680761</v>
      </c>
      <c r="M8" s="141">
        <v>4333.0119950946009</v>
      </c>
      <c r="N8" s="141">
        <v>5778.7267008013896</v>
      </c>
      <c r="O8" s="141">
        <v>7620.8600844514067</v>
      </c>
      <c r="P8" s="141">
        <v>9461.0535482033392</v>
      </c>
      <c r="Q8" s="141">
        <v>11177.998416865517</v>
      </c>
      <c r="R8" s="141">
        <v>12480.649743533713</v>
      </c>
      <c r="S8" s="141">
        <v>13332.71502414836</v>
      </c>
      <c r="T8" s="141">
        <v>13926.949648517482</v>
      </c>
      <c r="U8" s="141">
        <v>14372.197088433351</v>
      </c>
      <c r="V8" s="141">
        <v>14530.885023048182</v>
      </c>
      <c r="W8" s="141">
        <v>14663.492462138855</v>
      </c>
      <c r="DA8" s="171" t="s">
        <v>249</v>
      </c>
    </row>
    <row r="9" spans="1:105" ht="12" customHeight="1" x14ac:dyDescent="0.25">
      <c r="A9" s="132" t="s">
        <v>78</v>
      </c>
      <c r="B9" s="141">
        <v>230204.63745579356</v>
      </c>
      <c r="C9" s="141">
        <v>225191.61923685434</v>
      </c>
      <c r="D9" s="141">
        <v>240401.60282050414</v>
      </c>
      <c r="E9" s="141">
        <v>267959.84947469359</v>
      </c>
      <c r="F9" s="141">
        <v>288458.90678455849</v>
      </c>
      <c r="G9" s="141">
        <v>309880.01890736271</v>
      </c>
      <c r="H9" s="141">
        <v>317529.80073313077</v>
      </c>
      <c r="I9" s="141">
        <v>340915.93114244362</v>
      </c>
      <c r="J9" s="141">
        <v>358779.06530300458</v>
      </c>
      <c r="K9" s="141">
        <v>373097.43671967561</v>
      </c>
      <c r="L9" s="141">
        <v>391788.97449907818</v>
      </c>
      <c r="M9" s="141">
        <v>404118.4030139175</v>
      </c>
      <c r="N9" s="141">
        <v>417455.84975766129</v>
      </c>
      <c r="O9" s="141">
        <v>425466.06570058037</v>
      </c>
      <c r="P9" s="141">
        <v>437038.61449312337</v>
      </c>
      <c r="Q9" s="141">
        <v>436285.63837341871</v>
      </c>
      <c r="R9" s="141">
        <v>449201.93692800094</v>
      </c>
      <c r="S9" s="141">
        <v>466199.54744262516</v>
      </c>
      <c r="T9" s="141">
        <v>485396.60976439732</v>
      </c>
      <c r="U9" s="141">
        <v>498357.06618160306</v>
      </c>
      <c r="V9" s="141">
        <v>506850.9259726993</v>
      </c>
      <c r="W9" s="141">
        <v>520566.68080312718</v>
      </c>
      <c r="DA9" s="171" t="s">
        <v>250</v>
      </c>
    </row>
    <row r="10" spans="1:105" ht="12" customHeight="1" x14ac:dyDescent="0.25">
      <c r="A10" s="132" t="s">
        <v>128</v>
      </c>
      <c r="B10" s="141">
        <v>17631.690223757716</v>
      </c>
      <c r="C10" s="141">
        <v>20229.327866572148</v>
      </c>
      <c r="D10" s="141">
        <v>24027.681094653653</v>
      </c>
      <c r="E10" s="141">
        <v>25179.314738949186</v>
      </c>
      <c r="F10" s="141">
        <v>23695.015453414122</v>
      </c>
      <c r="G10" s="141">
        <v>19250.325483015713</v>
      </c>
      <c r="H10" s="141">
        <v>18452.077978092238</v>
      </c>
      <c r="I10" s="141">
        <v>20159.369584233558</v>
      </c>
      <c r="J10" s="141">
        <v>22987.762384132544</v>
      </c>
      <c r="K10" s="141">
        <v>23713.698450544292</v>
      </c>
      <c r="L10" s="141">
        <v>22851.751531669648</v>
      </c>
      <c r="M10" s="141">
        <v>21625.558768568939</v>
      </c>
      <c r="N10" s="141">
        <v>22610.11919841095</v>
      </c>
      <c r="O10" s="141">
        <v>25346.237905440976</v>
      </c>
      <c r="P10" s="141">
        <v>27007.955894774212</v>
      </c>
      <c r="Q10" s="141">
        <v>27095.200038013343</v>
      </c>
      <c r="R10" s="141">
        <v>27355.155198036551</v>
      </c>
      <c r="S10" s="141">
        <v>27230.425735161414</v>
      </c>
      <c r="T10" s="141">
        <v>27131.568922283699</v>
      </c>
      <c r="U10" s="141">
        <v>28117.785255860301</v>
      </c>
      <c r="V10" s="141">
        <v>30273.946380072561</v>
      </c>
      <c r="W10" s="141">
        <v>32342.891826241717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1989.5584773408866</v>
      </c>
      <c r="E11" s="141">
        <v>2248.5493534123671</v>
      </c>
      <c r="F11" s="141">
        <v>2267.2800471647693</v>
      </c>
      <c r="G11" s="141">
        <v>2197.9682950022175</v>
      </c>
      <c r="H11" s="141">
        <v>1727.0772194499323</v>
      </c>
      <c r="I11" s="141">
        <v>1512.9135151984251</v>
      </c>
      <c r="J11" s="141">
        <v>1504.9653280898879</v>
      </c>
      <c r="K11" s="141">
        <v>1508.4302662043308</v>
      </c>
      <c r="L11" s="141">
        <v>1560.570189849273</v>
      </c>
      <c r="M11" s="141">
        <v>1767.6378330577093</v>
      </c>
      <c r="N11" s="141">
        <v>1818.3425783301559</v>
      </c>
      <c r="O11" s="141">
        <v>1843.9550820503107</v>
      </c>
      <c r="P11" s="141">
        <v>1872.7404803602726</v>
      </c>
      <c r="Q11" s="141">
        <v>1867.0733346083694</v>
      </c>
      <c r="R11" s="141">
        <v>1873.7894306953513</v>
      </c>
      <c r="S11" s="141">
        <v>1872.8152104733558</v>
      </c>
      <c r="T11" s="141">
        <v>1913.1782203114158</v>
      </c>
      <c r="U11" s="141">
        <v>1951.5761373938924</v>
      </c>
      <c r="V11" s="141">
        <v>2011.9497372746987</v>
      </c>
      <c r="W11" s="141">
        <v>2060.5574035886207</v>
      </c>
      <c r="DA11" s="171" t="s">
        <v>252</v>
      </c>
    </row>
    <row r="12" spans="1:105" ht="12" customHeight="1" x14ac:dyDescent="0.25">
      <c r="A12" s="132" t="s">
        <v>169</v>
      </c>
      <c r="B12" s="141">
        <v>114444.63201809285</v>
      </c>
      <c r="C12" s="141">
        <v>126023.09172380826</v>
      </c>
      <c r="D12" s="141">
        <v>130993.43382437201</v>
      </c>
      <c r="E12" s="141">
        <v>129469.32797853083</v>
      </c>
      <c r="F12" s="141">
        <v>128243.95530864532</v>
      </c>
      <c r="G12" s="141">
        <v>122667.31863792296</v>
      </c>
      <c r="H12" s="141">
        <v>112277.76013358046</v>
      </c>
      <c r="I12" s="141">
        <v>88071.878520715167</v>
      </c>
      <c r="J12" s="141">
        <v>75411.082058144821</v>
      </c>
      <c r="K12" s="141">
        <v>64988.513890644666</v>
      </c>
      <c r="L12" s="141">
        <v>63600.601907226148</v>
      </c>
      <c r="M12" s="141">
        <v>62915.781084699534</v>
      </c>
      <c r="N12" s="141">
        <v>62176.289541518272</v>
      </c>
      <c r="O12" s="141">
        <v>63368.059081657069</v>
      </c>
      <c r="P12" s="141">
        <v>67340.971864130959</v>
      </c>
      <c r="Q12" s="141">
        <v>71517.199258204724</v>
      </c>
      <c r="R12" s="141">
        <v>75884.49080082553</v>
      </c>
      <c r="S12" s="141">
        <v>78040.037301212666</v>
      </c>
      <c r="T12" s="141">
        <v>79891.128956282424</v>
      </c>
      <c r="U12" s="141">
        <v>82931.401497085259</v>
      </c>
      <c r="V12" s="141">
        <v>88225.999499090161</v>
      </c>
      <c r="W12" s="141">
        <v>91480.168591102803</v>
      </c>
      <c r="DA12" s="171" t="s">
        <v>253</v>
      </c>
    </row>
    <row r="13" spans="1:105" ht="12" customHeight="1" x14ac:dyDescent="0.25">
      <c r="A13" s="132" t="s">
        <v>77</v>
      </c>
      <c r="B13" s="141">
        <v>10315.222137993169</v>
      </c>
      <c r="C13" s="141">
        <v>11497.209864702836</v>
      </c>
      <c r="D13" s="141">
        <v>13613.40952325219</v>
      </c>
      <c r="E13" s="141">
        <v>15377.915267175547</v>
      </c>
      <c r="F13" s="141">
        <v>17684.772887380965</v>
      </c>
      <c r="G13" s="141">
        <v>20641.045441365768</v>
      </c>
      <c r="H13" s="141">
        <v>24192.10825913079</v>
      </c>
      <c r="I13" s="141">
        <v>27515.957942086508</v>
      </c>
      <c r="J13" s="141">
        <v>30439.09676007945</v>
      </c>
      <c r="K13" s="141">
        <v>34690.748279656509</v>
      </c>
      <c r="L13" s="141">
        <v>41545.442148749418</v>
      </c>
      <c r="M13" s="141">
        <v>54493.76555348016</v>
      </c>
      <c r="N13" s="141">
        <v>62316.63953188993</v>
      </c>
      <c r="O13" s="141">
        <v>67315.348744850256</v>
      </c>
      <c r="P13" s="141">
        <v>69277.111472395045</v>
      </c>
      <c r="Q13" s="141">
        <v>70713.315439122671</v>
      </c>
      <c r="R13" s="141">
        <v>72081.686431847309</v>
      </c>
      <c r="S13" s="141">
        <v>72111.765024287539</v>
      </c>
      <c r="T13" s="141">
        <v>72448.254080127852</v>
      </c>
      <c r="U13" s="141">
        <v>73239.736396803521</v>
      </c>
      <c r="V13" s="141">
        <v>73634.969605938313</v>
      </c>
      <c r="W13" s="141">
        <v>74322.084592054001</v>
      </c>
      <c r="DA13" s="171" t="s">
        <v>254</v>
      </c>
    </row>
    <row r="14" spans="1:105" ht="12" customHeight="1" x14ac:dyDescent="0.25">
      <c r="A14" s="60" t="s">
        <v>76</v>
      </c>
      <c r="B14" s="142">
        <v>275788.67956567527</v>
      </c>
      <c r="C14" s="142">
        <v>283576.64756699553</v>
      </c>
      <c r="D14" s="142">
        <v>286199.15504643897</v>
      </c>
      <c r="E14" s="142">
        <v>283716.53514243074</v>
      </c>
      <c r="F14" s="142">
        <v>287844.00846326991</v>
      </c>
      <c r="G14" s="142">
        <v>293964.49918171787</v>
      </c>
      <c r="H14" s="142">
        <v>308884.99564740137</v>
      </c>
      <c r="I14" s="142">
        <v>322872.88753661793</v>
      </c>
      <c r="J14" s="142">
        <v>326142.33282953617</v>
      </c>
      <c r="K14" s="142">
        <v>329439.48370784108</v>
      </c>
      <c r="L14" s="142">
        <v>332463.60847415589</v>
      </c>
      <c r="M14" s="142">
        <v>330491.08487691148</v>
      </c>
      <c r="N14" s="142">
        <v>321932.10201443412</v>
      </c>
      <c r="O14" s="142">
        <v>310230.55014092661</v>
      </c>
      <c r="P14" s="142">
        <v>303173.79567643121</v>
      </c>
      <c r="Q14" s="142">
        <v>299795.0850205748</v>
      </c>
      <c r="R14" s="142">
        <v>296592.65403676475</v>
      </c>
      <c r="S14" s="142">
        <v>289672.37867724517</v>
      </c>
      <c r="T14" s="142">
        <v>280644.68132089532</v>
      </c>
      <c r="U14" s="142">
        <v>272678.27649375563</v>
      </c>
      <c r="V14" s="142">
        <v>264748.87623274454</v>
      </c>
      <c r="W14" s="142">
        <v>259407.22079143426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639248.05822786735</v>
      </c>
      <c r="C15" s="144">
        <f t="shared" si="3"/>
        <v>643992.95406494592</v>
      </c>
      <c r="D15" s="144">
        <f t="shared" si="3"/>
        <v>652969.09849206137</v>
      </c>
      <c r="E15" s="144">
        <f t="shared" si="3"/>
        <v>667402.06421725464</v>
      </c>
      <c r="F15" s="144">
        <f t="shared" si="3"/>
        <v>674682.5848413182</v>
      </c>
      <c r="G15" s="144">
        <f t="shared" si="3"/>
        <v>679320.67313399375</v>
      </c>
      <c r="H15" s="144">
        <f t="shared" si="3"/>
        <v>675728.87519430497</v>
      </c>
      <c r="I15" s="144">
        <f t="shared" si="3"/>
        <v>676760.85158515722</v>
      </c>
      <c r="J15" s="144">
        <f t="shared" si="3"/>
        <v>685448.02881800639</v>
      </c>
      <c r="K15" s="144">
        <f t="shared" si="3"/>
        <v>684696.42231893248</v>
      </c>
      <c r="L15" s="144">
        <f t="shared" si="3"/>
        <v>687335.67564711953</v>
      </c>
      <c r="M15" s="144">
        <f t="shared" si="3"/>
        <v>690351.00474909646</v>
      </c>
      <c r="N15" s="144">
        <f t="shared" si="3"/>
        <v>699220.37441483431</v>
      </c>
      <c r="O15" s="144">
        <f t="shared" si="3"/>
        <v>712715.98852167465</v>
      </c>
      <c r="P15" s="144">
        <f t="shared" si="3"/>
        <v>731251.02517491602</v>
      </c>
      <c r="Q15" s="144">
        <f t="shared" si="3"/>
        <v>732829.61792038777</v>
      </c>
      <c r="R15" s="144">
        <f t="shared" ref="R15:W15" si="4">SUM(R5:R12)</f>
        <v>744126.32532413886</v>
      </c>
      <c r="S15" s="144">
        <f t="shared" si="4"/>
        <v>761328.4036109536</v>
      </c>
      <c r="T15" s="144">
        <f t="shared" si="4"/>
        <v>782048.34956927761</v>
      </c>
      <c r="U15" s="144">
        <f t="shared" si="4"/>
        <v>801040.99110750528</v>
      </c>
      <c r="V15" s="144">
        <f t="shared" si="4"/>
        <v>819608.00082798372</v>
      </c>
      <c r="W15" s="144">
        <f t="shared" si="4"/>
        <v>834867.41393433418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261805.22481647192</v>
      </c>
      <c r="C16" s="140">
        <f t="shared" si="5"/>
        <v>286452.00900485663</v>
      </c>
      <c r="D16" s="140">
        <f t="shared" si="5"/>
        <v>310389.23371168686</v>
      </c>
      <c r="E16" s="140">
        <f t="shared" si="5"/>
        <v>332626.44746294816</v>
      </c>
      <c r="F16" s="140">
        <f t="shared" si="5"/>
        <v>352623.7935325267</v>
      </c>
      <c r="G16" s="140">
        <f t="shared" si="5"/>
        <v>374290.3873502792</v>
      </c>
      <c r="H16" s="140">
        <f t="shared" si="5"/>
        <v>415461.7295658355</v>
      </c>
      <c r="I16" s="140">
        <f t="shared" si="5"/>
        <v>451517.88801262574</v>
      </c>
      <c r="J16" s="140">
        <f t="shared" si="5"/>
        <v>478726.04698283743</v>
      </c>
      <c r="K16" s="140">
        <f t="shared" si="5"/>
        <v>504708.13528406213</v>
      </c>
      <c r="L16" s="140">
        <f t="shared" si="5"/>
        <v>523111.2748175115</v>
      </c>
      <c r="M16" s="140">
        <f t="shared" si="5"/>
        <v>541159.73315586359</v>
      </c>
      <c r="N16" s="140">
        <f t="shared" si="5"/>
        <v>548245.4177554443</v>
      </c>
      <c r="O16" s="140">
        <f t="shared" si="5"/>
        <v>555489.45761633723</v>
      </c>
      <c r="P16" s="140">
        <f t="shared" si="5"/>
        <v>567554.71171949094</v>
      </c>
      <c r="Q16" s="140">
        <f t="shared" si="5"/>
        <v>585739.69102894457</v>
      </c>
      <c r="R16" s="140">
        <f t="shared" ref="R16:W16" si="6">SUM(R17:R18)</f>
        <v>592569.69126460608</v>
      </c>
      <c r="S16" s="140">
        <f t="shared" si="6"/>
        <v>608239.67364286934</v>
      </c>
      <c r="T16" s="140">
        <f t="shared" si="6"/>
        <v>622137.5422927211</v>
      </c>
      <c r="U16" s="140">
        <f t="shared" si="6"/>
        <v>634838.31493630563</v>
      </c>
      <c r="V16" s="140">
        <f t="shared" si="6"/>
        <v>625515.76710433874</v>
      </c>
      <c r="W16" s="140">
        <f t="shared" si="6"/>
        <v>639937.71234767814</v>
      </c>
      <c r="DA16" s="170" t="s">
        <v>256</v>
      </c>
    </row>
    <row r="17" spans="1:105" ht="12.95" customHeight="1" x14ac:dyDescent="0.25">
      <c r="A17" s="132" t="s">
        <v>73</v>
      </c>
      <c r="B17" s="141">
        <v>837.97608896489282</v>
      </c>
      <c r="C17" s="141">
        <v>1020.8925352252331</v>
      </c>
      <c r="D17" s="141">
        <v>1181.9741157588794</v>
      </c>
      <c r="E17" s="141">
        <v>1611.1496004991548</v>
      </c>
      <c r="F17" s="141">
        <v>1717.6376057796319</v>
      </c>
      <c r="G17" s="141">
        <v>1706.67766780381</v>
      </c>
      <c r="H17" s="141">
        <v>2687.6903886840119</v>
      </c>
      <c r="I17" s="141">
        <v>3140.1227909898048</v>
      </c>
      <c r="J17" s="141">
        <v>3859.4513890727562</v>
      </c>
      <c r="K17" s="141">
        <v>4188.0346340502947</v>
      </c>
      <c r="L17" s="141">
        <v>4865.0689969871928</v>
      </c>
      <c r="M17" s="141">
        <v>6630.6284484379403</v>
      </c>
      <c r="N17" s="141">
        <v>9604.6980547873864</v>
      </c>
      <c r="O17" s="141">
        <v>11864.467775374093</v>
      </c>
      <c r="P17" s="141">
        <v>13007.513750367181</v>
      </c>
      <c r="Q17" s="141">
        <v>16882.601041945043</v>
      </c>
      <c r="R17" s="141">
        <v>18546.238909093674</v>
      </c>
      <c r="S17" s="141">
        <v>21733.952710819995</v>
      </c>
      <c r="T17" s="141">
        <v>24063.042442215148</v>
      </c>
      <c r="U17" s="141">
        <v>26542.20062383292</v>
      </c>
      <c r="V17" s="141">
        <v>28455.839366925502</v>
      </c>
      <c r="W17" s="141">
        <v>29582.334927448839</v>
      </c>
      <c r="DA17" s="171" t="s">
        <v>257</v>
      </c>
    </row>
    <row r="18" spans="1:105" ht="12" customHeight="1" x14ac:dyDescent="0.25">
      <c r="A18" s="132" t="s">
        <v>72</v>
      </c>
      <c r="B18" s="141">
        <v>260967.24872750702</v>
      </c>
      <c r="C18" s="141">
        <v>285431.11646963138</v>
      </c>
      <c r="D18" s="141">
        <v>309207.25959592796</v>
      </c>
      <c r="E18" s="141">
        <v>331015.29786244902</v>
      </c>
      <c r="F18" s="141">
        <v>350906.15592674707</v>
      </c>
      <c r="G18" s="141">
        <v>372583.70968247537</v>
      </c>
      <c r="H18" s="141">
        <v>412774.03917715151</v>
      </c>
      <c r="I18" s="141">
        <v>448377.76522163593</v>
      </c>
      <c r="J18" s="141">
        <v>474866.59559376468</v>
      </c>
      <c r="K18" s="141">
        <v>500520.10065001185</v>
      </c>
      <c r="L18" s="141">
        <v>518246.20582052431</v>
      </c>
      <c r="M18" s="141">
        <v>534529.10470742569</v>
      </c>
      <c r="N18" s="141">
        <v>538640.71970065695</v>
      </c>
      <c r="O18" s="141">
        <v>543624.98984096316</v>
      </c>
      <c r="P18" s="141">
        <v>554547.19796912372</v>
      </c>
      <c r="Q18" s="141">
        <v>568857.08998699952</v>
      </c>
      <c r="R18" s="141">
        <v>574023.45235551242</v>
      </c>
      <c r="S18" s="141">
        <v>586505.72093204933</v>
      </c>
      <c r="T18" s="141">
        <v>598074.49985050596</v>
      </c>
      <c r="U18" s="141">
        <v>608296.11431247275</v>
      </c>
      <c r="V18" s="141">
        <v>597059.92773741321</v>
      </c>
      <c r="W18" s="141">
        <v>610355.37742022926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925351.95993153588</v>
      </c>
      <c r="C19" s="140">
        <f t="shared" si="7"/>
        <v>939066.81149664416</v>
      </c>
      <c r="D19" s="140">
        <f t="shared" si="7"/>
        <v>952781.66306175233</v>
      </c>
      <c r="E19" s="140">
        <f t="shared" si="7"/>
        <v>966496.51462686039</v>
      </c>
      <c r="F19" s="140">
        <f t="shared" si="7"/>
        <v>980211.36619196879</v>
      </c>
      <c r="G19" s="140">
        <f t="shared" si="7"/>
        <v>993926.21775707719</v>
      </c>
      <c r="H19" s="140">
        <f t="shared" si="7"/>
        <v>1008805.9791008371</v>
      </c>
      <c r="I19" s="140">
        <f t="shared" si="7"/>
        <v>1027149.6970638616</v>
      </c>
      <c r="J19" s="140">
        <f t="shared" si="7"/>
        <v>1042029.4584076221</v>
      </c>
      <c r="K19" s="140">
        <f t="shared" si="7"/>
        <v>1048826.6543064304</v>
      </c>
      <c r="L19" s="140">
        <f t="shared" si="7"/>
        <v>1061344.7262700251</v>
      </c>
      <c r="M19" s="140">
        <f t="shared" si="7"/>
        <v>1075335.8551794884</v>
      </c>
      <c r="N19" s="140">
        <f t="shared" si="7"/>
        <v>1083469.1159611582</v>
      </c>
      <c r="O19" s="140">
        <f t="shared" si="7"/>
        <v>1090261.8874074509</v>
      </c>
      <c r="P19" s="140">
        <f t="shared" si="7"/>
        <v>1103701.9323237422</v>
      </c>
      <c r="Q19" s="140">
        <f t="shared" si="7"/>
        <v>1103338.0183800845</v>
      </c>
      <c r="R19" s="140">
        <f t="shared" ref="R19:W19" si="8">SUM(R20:R26)</f>
        <v>1112800.6657927507</v>
      </c>
      <c r="S19" s="140">
        <f t="shared" si="8"/>
        <v>1123112.547312486</v>
      </c>
      <c r="T19" s="140">
        <f t="shared" si="8"/>
        <v>1135141.2849703007</v>
      </c>
      <c r="U19" s="140">
        <f t="shared" si="8"/>
        <v>1146959.003998064</v>
      </c>
      <c r="V19" s="140">
        <f t="shared" si="8"/>
        <v>1157991.8466666671</v>
      </c>
      <c r="W19" s="140">
        <f t="shared" si="8"/>
        <v>1168596.7193178218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23944.633329478962</v>
      </c>
      <c r="C21" s="141">
        <v>25344.329451031041</v>
      </c>
      <c r="D21" s="141">
        <v>27605.053903670771</v>
      </c>
      <c r="E21" s="141">
        <v>29217.340584012891</v>
      </c>
      <c r="F21" s="141">
        <v>29968.640325802451</v>
      </c>
      <c r="G21" s="141">
        <v>30425.465289554919</v>
      </c>
      <c r="H21" s="141">
        <v>31311.407319945643</v>
      </c>
      <c r="I21" s="141">
        <v>32113.996529414122</v>
      </c>
      <c r="J21" s="141">
        <v>32331.058997421678</v>
      </c>
      <c r="K21" s="141">
        <v>32059.651635638544</v>
      </c>
      <c r="L21" s="141">
        <v>31155.476053847564</v>
      </c>
      <c r="M21" s="141">
        <v>30393.73301718368</v>
      </c>
      <c r="N21" s="141">
        <v>29580.822638475922</v>
      </c>
      <c r="O21" s="141">
        <v>28930.436352714212</v>
      </c>
      <c r="P21" s="141">
        <v>28364.147135297979</v>
      </c>
      <c r="Q21" s="141">
        <v>27589.112204707795</v>
      </c>
      <c r="R21" s="141">
        <v>25881.068155781129</v>
      </c>
      <c r="S21" s="141">
        <v>23424.082183656647</v>
      </c>
      <c r="T21" s="141">
        <v>19345.40941372174</v>
      </c>
      <c r="U21" s="141">
        <v>17341.722399061604</v>
      </c>
      <c r="V21" s="141">
        <v>16426.677975890587</v>
      </c>
      <c r="W21" s="141">
        <v>16315.693929964009</v>
      </c>
      <c r="DA21" s="171" t="s">
        <v>261</v>
      </c>
    </row>
    <row r="22" spans="1:105" ht="12" customHeight="1" x14ac:dyDescent="0.25">
      <c r="A22" s="132" t="s">
        <v>168</v>
      </c>
      <c r="B22" s="141">
        <v>166632.96228707451</v>
      </c>
      <c r="C22" s="141">
        <v>168627.89251874483</v>
      </c>
      <c r="D22" s="141">
        <v>169915.72286446849</v>
      </c>
      <c r="E22" s="141">
        <v>171310.77079733417</v>
      </c>
      <c r="F22" s="141">
        <v>170555.85020245949</v>
      </c>
      <c r="G22" s="141">
        <v>168972.92308419372</v>
      </c>
      <c r="H22" s="141">
        <v>165657.33113580808</v>
      </c>
      <c r="I22" s="141">
        <v>161767.92922467852</v>
      </c>
      <c r="J22" s="141">
        <v>158289.13739296611</v>
      </c>
      <c r="K22" s="141">
        <v>153859.76256200561</v>
      </c>
      <c r="L22" s="141">
        <v>150722.98176287199</v>
      </c>
      <c r="M22" s="141">
        <v>150680.88793691664</v>
      </c>
      <c r="N22" s="141">
        <v>156565.26624731059</v>
      </c>
      <c r="O22" s="141">
        <v>161591.86985917127</v>
      </c>
      <c r="P22" s="141">
        <v>163518.28120277906</v>
      </c>
      <c r="Q22" s="141">
        <v>164196.87807149367</v>
      </c>
      <c r="R22" s="141">
        <v>157154.23416842517</v>
      </c>
      <c r="S22" s="141">
        <v>153900.79980756665</v>
      </c>
      <c r="T22" s="141">
        <v>147309.89635884025</v>
      </c>
      <c r="U22" s="141">
        <v>142733.53297148243</v>
      </c>
      <c r="V22" s="141">
        <v>139518.34488059516</v>
      </c>
      <c r="W22" s="141">
        <v>131351.31439458457</v>
      </c>
      <c r="DA22" s="171" t="s">
        <v>262</v>
      </c>
    </row>
    <row r="23" spans="1:105" ht="12" customHeight="1" x14ac:dyDescent="0.25">
      <c r="A23" s="132" t="s">
        <v>153</v>
      </c>
      <c r="B23" s="141">
        <v>171303.16243532315</v>
      </c>
      <c r="C23" s="141">
        <v>172614.50584609224</v>
      </c>
      <c r="D23" s="141">
        <v>175343.84290842013</v>
      </c>
      <c r="E23" s="141">
        <v>176999.6306530681</v>
      </c>
      <c r="F23" s="141">
        <v>173999.76976624192</v>
      </c>
      <c r="G23" s="141">
        <v>169363.86978278807</v>
      </c>
      <c r="H23" s="141">
        <v>165584.21737424145</v>
      </c>
      <c r="I23" s="141">
        <v>166324.81105325356</v>
      </c>
      <c r="J23" s="141">
        <v>168036.15438855125</v>
      </c>
      <c r="K23" s="141">
        <v>175424.22394183581</v>
      </c>
      <c r="L23" s="141">
        <v>176319.14566056992</v>
      </c>
      <c r="M23" s="141">
        <v>178364.32265079117</v>
      </c>
      <c r="N23" s="141">
        <v>178606.85856858865</v>
      </c>
      <c r="O23" s="141">
        <v>180266.50798228048</v>
      </c>
      <c r="P23" s="141">
        <v>179380.14427236893</v>
      </c>
      <c r="Q23" s="141">
        <v>180353.65439206047</v>
      </c>
      <c r="R23" s="141">
        <v>187275.42340969434</v>
      </c>
      <c r="S23" s="141">
        <v>188951.23292079149</v>
      </c>
      <c r="T23" s="141">
        <v>191152.41295492803</v>
      </c>
      <c r="U23" s="141">
        <v>196667.16622551059</v>
      </c>
      <c r="V23" s="141">
        <v>203740.96264387664</v>
      </c>
      <c r="W23" s="141">
        <v>207573.5322820736</v>
      </c>
      <c r="DA23" s="171" t="s">
        <v>263</v>
      </c>
    </row>
    <row r="24" spans="1:105" ht="12" customHeight="1" x14ac:dyDescent="0.25">
      <c r="A24" s="132" t="s">
        <v>128</v>
      </c>
      <c r="B24" s="141">
        <v>7766.9556071825682</v>
      </c>
      <c r="C24" s="141">
        <v>7810.2110491129015</v>
      </c>
      <c r="D24" s="141">
        <v>8123.4263560183299</v>
      </c>
      <c r="E24" s="141">
        <v>8512.2788548754943</v>
      </c>
      <c r="F24" s="141">
        <v>8953.7924993319411</v>
      </c>
      <c r="G24" s="141">
        <v>9563.9845648627397</v>
      </c>
      <c r="H24" s="141">
        <v>10279.261018292886</v>
      </c>
      <c r="I24" s="141">
        <v>11353.500939118867</v>
      </c>
      <c r="J24" s="141">
        <v>12079.887374974818</v>
      </c>
      <c r="K24" s="141">
        <v>12343.913474452265</v>
      </c>
      <c r="L24" s="141">
        <v>11935.063939958605</v>
      </c>
      <c r="M24" s="141">
        <v>10492.950203476035</v>
      </c>
      <c r="N24" s="141">
        <v>10077.397270793839</v>
      </c>
      <c r="O24" s="141">
        <v>10120.488306178346</v>
      </c>
      <c r="P24" s="141">
        <v>9524.7457852207008</v>
      </c>
      <c r="Q24" s="141">
        <v>8802.741048228876</v>
      </c>
      <c r="R24" s="141">
        <v>8615.6289285488165</v>
      </c>
      <c r="S24" s="141">
        <v>8899.1996441428018</v>
      </c>
      <c r="T24" s="141">
        <v>9552.5393285366008</v>
      </c>
      <c r="U24" s="141">
        <v>10642.434492299348</v>
      </c>
      <c r="V24" s="141">
        <v>12160.229582000447</v>
      </c>
      <c r="W24" s="141">
        <v>13223.653326931935</v>
      </c>
      <c r="DA24" s="171" t="s">
        <v>264</v>
      </c>
    </row>
    <row r="25" spans="1:105" ht="12" customHeight="1" x14ac:dyDescent="0.25">
      <c r="A25" s="132" t="s">
        <v>169</v>
      </c>
      <c r="B25" s="141">
        <v>70833.491786271581</v>
      </c>
      <c r="C25" s="141">
        <v>72141.613673295753</v>
      </c>
      <c r="D25" s="141">
        <v>73504.29019072243</v>
      </c>
      <c r="E25" s="141">
        <v>75279.842657658897</v>
      </c>
      <c r="F25" s="141">
        <v>76151.633796531634</v>
      </c>
      <c r="G25" s="141">
        <v>73102.980322035466</v>
      </c>
      <c r="H25" s="141">
        <v>66241.350865159169</v>
      </c>
      <c r="I25" s="141">
        <v>52614.499228466986</v>
      </c>
      <c r="J25" s="141">
        <v>47262.689223828347</v>
      </c>
      <c r="K25" s="141">
        <v>45463.11717561866</v>
      </c>
      <c r="L25" s="141">
        <v>46000.843405694177</v>
      </c>
      <c r="M25" s="141">
        <v>47418.876035243949</v>
      </c>
      <c r="N25" s="141">
        <v>50705.097677574391</v>
      </c>
      <c r="O25" s="141">
        <v>52589.371855331774</v>
      </c>
      <c r="P25" s="141">
        <v>52729.947220618094</v>
      </c>
      <c r="Q25" s="141">
        <v>53706.058439042288</v>
      </c>
      <c r="R25" s="141">
        <v>56356.333614690288</v>
      </c>
      <c r="S25" s="141">
        <v>58911.756952546639</v>
      </c>
      <c r="T25" s="141">
        <v>62722.708500304296</v>
      </c>
      <c r="U25" s="141">
        <v>62994.872203392122</v>
      </c>
      <c r="V25" s="141">
        <v>63136.966372325282</v>
      </c>
      <c r="W25" s="141">
        <v>62490.824055346442</v>
      </c>
      <c r="DA25" s="171" t="s">
        <v>265</v>
      </c>
    </row>
    <row r="26" spans="1:105" ht="12" customHeight="1" x14ac:dyDescent="0.25">
      <c r="A26" s="132" t="s">
        <v>24</v>
      </c>
      <c r="B26" s="142">
        <v>484870.75448620506</v>
      </c>
      <c r="C26" s="142">
        <v>492528.2589583674</v>
      </c>
      <c r="D26" s="142">
        <v>498289.32683845214</v>
      </c>
      <c r="E26" s="142">
        <v>505176.65107991081</v>
      </c>
      <c r="F26" s="142">
        <v>520581.67960160132</v>
      </c>
      <c r="G26" s="142">
        <v>542496.99471364229</v>
      </c>
      <c r="H26" s="142">
        <v>569732.41138738999</v>
      </c>
      <c r="I26" s="142">
        <v>602974.96008892963</v>
      </c>
      <c r="J26" s="142">
        <v>624030.53102987981</v>
      </c>
      <c r="K26" s="142">
        <v>629675.98551687947</v>
      </c>
      <c r="L26" s="142">
        <v>645211.21544708288</v>
      </c>
      <c r="M26" s="142">
        <v>657985.08533587691</v>
      </c>
      <c r="N26" s="142">
        <v>657933.67355841491</v>
      </c>
      <c r="O26" s="142">
        <v>656763.21305177477</v>
      </c>
      <c r="P26" s="142">
        <v>670184.66670745739</v>
      </c>
      <c r="Q26" s="142">
        <v>668689.57422455156</v>
      </c>
      <c r="R26" s="142">
        <v>677517.97751561075</v>
      </c>
      <c r="S26" s="142">
        <v>689025.47580378165</v>
      </c>
      <c r="T26" s="142">
        <v>705058.31841396983</v>
      </c>
      <c r="U26" s="142">
        <v>716579.27570631786</v>
      </c>
      <c r="V26" s="142">
        <v>723008.66521197907</v>
      </c>
      <c r="W26" s="142">
        <v>737641.70132892136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1769.5119646727931</v>
      </c>
      <c r="H27" s="151">
        <v>1826.3036073999965</v>
      </c>
      <c r="I27" s="151">
        <v>2209.9861584640817</v>
      </c>
      <c r="J27" s="151">
        <v>2556.0925553819584</v>
      </c>
      <c r="K27" s="151">
        <v>2845.0104159698403</v>
      </c>
      <c r="L27" s="151">
        <v>4747.8287976281581</v>
      </c>
      <c r="M27" s="151">
        <v>5270.0455812664013</v>
      </c>
      <c r="N27" s="151">
        <v>8971.645851174826</v>
      </c>
      <c r="O27" s="151">
        <v>10302.784917341314</v>
      </c>
      <c r="P27" s="151">
        <v>10151.112540056329</v>
      </c>
      <c r="Q27" s="151">
        <v>11117.614464296374</v>
      </c>
      <c r="R27" s="151">
        <v>11285.780988355684</v>
      </c>
      <c r="S27" s="151">
        <v>12064.817761914044</v>
      </c>
      <c r="T27" s="151">
        <v>12152.370642444856</v>
      </c>
      <c r="U27" s="151">
        <v>12585.893951015745</v>
      </c>
      <c r="V27" s="151">
        <v>13892.629174708538</v>
      </c>
      <c r="W27" s="151">
        <v>12973.225376889641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925351.95993153588</v>
      </c>
      <c r="C29" s="140">
        <f t="shared" si="9"/>
        <v>939066.81149664428</v>
      </c>
      <c r="D29" s="140">
        <f t="shared" si="9"/>
        <v>952781.66306175222</v>
      </c>
      <c r="E29" s="140">
        <f t="shared" si="9"/>
        <v>966496.5146268605</v>
      </c>
      <c r="F29" s="140">
        <f t="shared" si="9"/>
        <v>980211.36619196902</v>
      </c>
      <c r="G29" s="140">
        <f t="shared" si="9"/>
        <v>993926.21775707731</v>
      </c>
      <c r="H29" s="140">
        <f t="shared" si="9"/>
        <v>1008805.9791008371</v>
      </c>
      <c r="I29" s="140">
        <f t="shared" si="9"/>
        <v>1027149.6970638616</v>
      </c>
      <c r="J29" s="140">
        <f t="shared" si="9"/>
        <v>1042029.4584076218</v>
      </c>
      <c r="K29" s="140">
        <f t="shared" si="9"/>
        <v>1048826.6543064297</v>
      </c>
      <c r="L29" s="140">
        <f t="shared" si="9"/>
        <v>1061344.7262700251</v>
      </c>
      <c r="M29" s="140">
        <f t="shared" si="9"/>
        <v>1075335.8551794887</v>
      </c>
      <c r="N29" s="140">
        <f t="shared" si="9"/>
        <v>1083469.1159611591</v>
      </c>
      <c r="O29" s="140">
        <f t="shared" si="9"/>
        <v>1090261.8874074523</v>
      </c>
      <c r="P29" s="140">
        <f t="shared" si="9"/>
        <v>1103701.9323237427</v>
      </c>
      <c r="Q29" s="140">
        <f t="shared" si="9"/>
        <v>1103338.018380085</v>
      </c>
      <c r="R29" s="140">
        <f t="shared" ref="R29:W29" si="10">SUM(R30:R33)</f>
        <v>1112800.6657927514</v>
      </c>
      <c r="S29" s="140">
        <f t="shared" si="10"/>
        <v>1123112.5473124867</v>
      </c>
      <c r="T29" s="140">
        <f t="shared" si="10"/>
        <v>1135141.2849703</v>
      </c>
      <c r="U29" s="140">
        <f t="shared" si="10"/>
        <v>1146959.0039980649</v>
      </c>
      <c r="V29" s="140">
        <f t="shared" si="10"/>
        <v>1157991.8466666669</v>
      </c>
      <c r="W29" s="140">
        <f t="shared" si="10"/>
        <v>1168596.7193178232</v>
      </c>
      <c r="DA29" s="170" t="s">
        <v>268</v>
      </c>
    </row>
    <row r="30" spans="1:105" ht="12" customHeight="1" x14ac:dyDescent="0.25">
      <c r="A30" s="132" t="s">
        <v>52</v>
      </c>
      <c r="B30" s="141">
        <v>103963.78393955498</v>
      </c>
      <c r="C30" s="141">
        <v>109962.46601588899</v>
      </c>
      <c r="D30" s="141">
        <v>164289.74698408606</v>
      </c>
      <c r="E30" s="141">
        <v>196514.19471981737</v>
      </c>
      <c r="F30" s="141">
        <v>204103.48860190023</v>
      </c>
      <c r="G30" s="141">
        <v>198147.56793570364</v>
      </c>
      <c r="H30" s="141">
        <v>182830.11612043189</v>
      </c>
      <c r="I30" s="141">
        <v>180996.99660943783</v>
      </c>
      <c r="J30" s="141">
        <v>189213.12799070895</v>
      </c>
      <c r="K30" s="141">
        <v>191970.02152268714</v>
      </c>
      <c r="L30" s="141">
        <v>190671.92923357093</v>
      </c>
      <c r="M30" s="141">
        <v>176986.5057147331</v>
      </c>
      <c r="N30" s="141">
        <v>155698.54346377359</v>
      </c>
      <c r="O30" s="141">
        <v>137954.34531172534</v>
      </c>
      <c r="P30" s="141">
        <v>130709.95065866612</v>
      </c>
      <c r="Q30" s="141">
        <v>133759.76960620895</v>
      </c>
      <c r="R30" s="141">
        <v>132409.98818386008</v>
      </c>
      <c r="S30" s="141">
        <v>133357.48558356034</v>
      </c>
      <c r="T30" s="141">
        <v>124845.5489324779</v>
      </c>
      <c r="U30" s="141">
        <v>123968.23228234239</v>
      </c>
      <c r="V30" s="141">
        <v>119222.79656336291</v>
      </c>
      <c r="W30" s="141">
        <v>115919.72024794453</v>
      </c>
      <c r="DA30" s="171" t="s">
        <v>269</v>
      </c>
    </row>
    <row r="31" spans="1:105" ht="12" customHeight="1" x14ac:dyDescent="0.25">
      <c r="A31" s="132" t="s">
        <v>153</v>
      </c>
      <c r="B31" s="141">
        <v>346963.60988565802</v>
      </c>
      <c r="C31" s="141">
        <v>345499.086409582</v>
      </c>
      <c r="D31" s="141">
        <v>345433.24190694466</v>
      </c>
      <c r="E31" s="141">
        <v>334026.02200352907</v>
      </c>
      <c r="F31" s="141">
        <v>307438.07244044956</v>
      </c>
      <c r="G31" s="141">
        <v>256846.3893710142</v>
      </c>
      <c r="H31" s="141">
        <v>227871.44273196542</v>
      </c>
      <c r="I31" s="141">
        <v>218747.83077844535</v>
      </c>
      <c r="J31" s="141">
        <v>226069.1517611098</v>
      </c>
      <c r="K31" s="141">
        <v>249245.85719544848</v>
      </c>
      <c r="L31" s="141">
        <v>254469.94690489973</v>
      </c>
      <c r="M31" s="141">
        <v>258259.30887274747</v>
      </c>
      <c r="N31" s="141">
        <v>256239.00991065905</v>
      </c>
      <c r="O31" s="141">
        <v>268967.39641325473</v>
      </c>
      <c r="P31" s="141">
        <v>284513.27002896427</v>
      </c>
      <c r="Q31" s="141">
        <v>297943.27295890782</v>
      </c>
      <c r="R31" s="141">
        <v>301699.92212529964</v>
      </c>
      <c r="S31" s="141">
        <v>307365.62203362759</v>
      </c>
      <c r="T31" s="141">
        <v>312832.59416814923</v>
      </c>
      <c r="U31" s="141">
        <v>325449.94258308748</v>
      </c>
      <c r="V31" s="141">
        <v>341455.65800780652</v>
      </c>
      <c r="W31" s="141">
        <v>349095.38229389285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474424.5661063228</v>
      </c>
      <c r="C33" s="153">
        <v>483605.2590711732</v>
      </c>
      <c r="D33" s="153">
        <v>443058.67417072156</v>
      </c>
      <c r="E33" s="153">
        <v>435956.29790351412</v>
      </c>
      <c r="F33" s="153">
        <v>468669.80514961929</v>
      </c>
      <c r="G33" s="153">
        <v>538932.26045035943</v>
      </c>
      <c r="H33" s="153">
        <v>598104.42024843977</v>
      </c>
      <c r="I33" s="153">
        <v>627404.86967597844</v>
      </c>
      <c r="J33" s="153">
        <v>626747.17865580309</v>
      </c>
      <c r="K33" s="153">
        <v>607610.77558829403</v>
      </c>
      <c r="L33" s="153">
        <v>616202.85013155453</v>
      </c>
      <c r="M33" s="153">
        <v>640090.04059200815</v>
      </c>
      <c r="N33" s="153">
        <v>671531.56258672639</v>
      </c>
      <c r="O33" s="153">
        <v>683340.14568247215</v>
      </c>
      <c r="P33" s="153">
        <v>688478.71163611219</v>
      </c>
      <c r="Q33" s="153">
        <v>671634.97581496835</v>
      </c>
      <c r="R33" s="153">
        <v>678690.7554835917</v>
      </c>
      <c r="S33" s="153">
        <v>682389.43969529879</v>
      </c>
      <c r="T33" s="153">
        <v>697463.14186967292</v>
      </c>
      <c r="U33" s="153">
        <v>697540.82913263503</v>
      </c>
      <c r="V33" s="153">
        <v>697313.39209549746</v>
      </c>
      <c r="W33" s="153">
        <v>703581.61677598581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16500.295227406037</v>
      </c>
      <c r="C3" s="126">
        <f t="shared" si="0"/>
        <v>17397.172666760624</v>
      </c>
      <c r="D3" s="126">
        <f t="shared" si="0"/>
        <v>16291.826286620208</v>
      </c>
      <c r="E3" s="126">
        <f t="shared" si="0"/>
        <v>17968.710842199896</v>
      </c>
      <c r="F3" s="126">
        <f t="shared" si="0"/>
        <v>18295.783019637085</v>
      </c>
      <c r="G3" s="126">
        <f t="shared" si="0"/>
        <v>18050.894372065159</v>
      </c>
      <c r="H3" s="126">
        <f t="shared" si="0"/>
        <v>17109.33986068287</v>
      </c>
      <c r="I3" s="126">
        <f t="shared" si="0"/>
        <v>16403.61389186851</v>
      </c>
      <c r="J3" s="126">
        <f t="shared" si="0"/>
        <v>16520.89426550407</v>
      </c>
      <c r="K3" s="126">
        <f t="shared" si="0"/>
        <v>17893.640338998837</v>
      </c>
      <c r="L3" s="126">
        <f t="shared" si="0"/>
        <v>18957.406276248657</v>
      </c>
      <c r="M3" s="126">
        <f t="shared" si="0"/>
        <v>15646.62970342159</v>
      </c>
      <c r="N3" s="126">
        <f t="shared" si="0"/>
        <v>16938.313937637708</v>
      </c>
      <c r="O3" s="126">
        <f t="shared" si="0"/>
        <v>17526.014355306812</v>
      </c>
      <c r="P3" s="126">
        <f t="shared" si="0"/>
        <v>15512.606733615363</v>
      </c>
      <c r="Q3" s="126">
        <f t="shared" si="0"/>
        <v>16246.895966394721</v>
      </c>
      <c r="R3" s="126">
        <f t="shared" ref="R3:W3" si="1">SUM(R4,R16,R19,R29)</f>
        <v>16173.838766253295</v>
      </c>
      <c r="S3" s="126">
        <f t="shared" si="1"/>
        <v>16476.001070602117</v>
      </c>
      <c r="T3" s="126">
        <f t="shared" si="1"/>
        <v>16473.293937214276</v>
      </c>
      <c r="U3" s="126">
        <f t="shared" si="1"/>
        <v>16062.181586309867</v>
      </c>
      <c r="V3" s="126">
        <f t="shared" si="1"/>
        <v>14820.203350979316</v>
      </c>
      <c r="W3" s="126">
        <f t="shared" si="1"/>
        <v>16185.56419740889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12553.871306199291</v>
      </c>
      <c r="C4" s="131">
        <f t="shared" si="2"/>
        <v>13453.120619778681</v>
      </c>
      <c r="D4" s="131">
        <f t="shared" si="2"/>
        <v>12242.118655853181</v>
      </c>
      <c r="E4" s="131">
        <f t="shared" si="2"/>
        <v>13670.641392178266</v>
      </c>
      <c r="F4" s="131">
        <f t="shared" si="2"/>
        <v>14103.062349523134</v>
      </c>
      <c r="G4" s="131">
        <f t="shared" si="2"/>
        <v>13895.928848905107</v>
      </c>
      <c r="H4" s="131">
        <f t="shared" si="2"/>
        <v>12902.814182393036</v>
      </c>
      <c r="I4" s="131">
        <f t="shared" si="2"/>
        <v>12224.105502665034</v>
      </c>
      <c r="J4" s="131">
        <f t="shared" si="2"/>
        <v>12228.901124551052</v>
      </c>
      <c r="K4" s="131">
        <f t="shared" si="2"/>
        <v>13419.585596595949</v>
      </c>
      <c r="L4" s="131">
        <f t="shared" si="2"/>
        <v>14438.507880157387</v>
      </c>
      <c r="M4" s="131">
        <f t="shared" si="2"/>
        <v>11092.740993427291</v>
      </c>
      <c r="N4" s="131">
        <f t="shared" si="2"/>
        <v>12350.687267945919</v>
      </c>
      <c r="O4" s="131">
        <f t="shared" si="2"/>
        <v>12903.513568398032</v>
      </c>
      <c r="P4" s="131">
        <f t="shared" si="2"/>
        <v>10867.544693204612</v>
      </c>
      <c r="Q4" s="131">
        <f t="shared" si="2"/>
        <v>11471.06891574305</v>
      </c>
      <c r="R4" s="131">
        <f t="shared" ref="R4:W4" si="3">SUM(R5:R15)</f>
        <v>11431.018174101033</v>
      </c>
      <c r="S4" s="131">
        <f t="shared" si="3"/>
        <v>11698.58657650329</v>
      </c>
      <c r="T4" s="131">
        <f t="shared" si="3"/>
        <v>11689.705428556977</v>
      </c>
      <c r="U4" s="131">
        <f t="shared" si="3"/>
        <v>11332.884819501249</v>
      </c>
      <c r="V4" s="131">
        <f t="shared" si="3"/>
        <v>10435.40376293943</v>
      </c>
      <c r="W4" s="131">
        <f t="shared" si="3"/>
        <v>11548.459024803766</v>
      </c>
      <c r="DA4" s="156" t="s">
        <v>213</v>
      </c>
    </row>
    <row r="5" spans="1:105" ht="12" customHeight="1" x14ac:dyDescent="0.25">
      <c r="A5" s="132" t="s">
        <v>29</v>
      </c>
      <c r="B5" s="133">
        <v>257.73860705073082</v>
      </c>
      <c r="C5" s="133">
        <v>251.07472055030092</v>
      </c>
      <c r="D5" s="133">
        <v>173.64092863284606</v>
      </c>
      <c r="E5" s="133">
        <v>196.33121238177119</v>
      </c>
      <c r="F5" s="133">
        <v>193.99071367153908</v>
      </c>
      <c r="G5" s="133">
        <v>204.59544282029225</v>
      </c>
      <c r="H5" s="133">
        <v>200.39174548581246</v>
      </c>
      <c r="I5" s="133">
        <v>190.64677558039546</v>
      </c>
      <c r="J5" s="133">
        <v>170.77480653482374</v>
      </c>
      <c r="K5" s="133">
        <v>149.61306964746342</v>
      </c>
      <c r="L5" s="133">
        <v>167.71762682717113</v>
      </c>
      <c r="M5" s="133">
        <v>46.226397248495267</v>
      </c>
      <c r="N5" s="133">
        <v>51.62269991401547</v>
      </c>
      <c r="O5" s="133">
        <v>55.544969905417034</v>
      </c>
      <c r="P5" s="133">
        <v>41.443336199484101</v>
      </c>
      <c r="Q5" s="133">
        <v>42.534393809114356</v>
      </c>
      <c r="R5" s="133">
        <v>44.112381771281164</v>
      </c>
      <c r="S5" s="133">
        <v>41.214617368873597</v>
      </c>
      <c r="T5" s="133">
        <v>36.258039552880469</v>
      </c>
      <c r="U5" s="133">
        <v>34.857179707652591</v>
      </c>
      <c r="V5" s="133">
        <v>30.63138435081688</v>
      </c>
      <c r="W5" s="133">
        <v>36.36079105760961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4216.6040104215826</v>
      </c>
      <c r="C7" s="133">
        <v>4608.6315167456296</v>
      </c>
      <c r="D7" s="133">
        <v>3840.1385421851778</v>
      </c>
      <c r="E7" s="133">
        <v>3967.7908208292492</v>
      </c>
      <c r="F7" s="133">
        <v>3899.3847055725269</v>
      </c>
      <c r="G7" s="133">
        <v>3670.2829388790506</v>
      </c>
      <c r="H7" s="133">
        <v>3385.2749544023573</v>
      </c>
      <c r="I7" s="133">
        <v>2916.2635699502544</v>
      </c>
      <c r="J7" s="133">
        <v>3476.1031537484591</v>
      </c>
      <c r="K7" s="133">
        <v>3337.206735340882</v>
      </c>
      <c r="L7" s="133">
        <v>3030.4431546244973</v>
      </c>
      <c r="M7" s="133">
        <v>2526.2671754415078</v>
      </c>
      <c r="N7" s="133">
        <v>2557.1405805714257</v>
      </c>
      <c r="O7" s="133">
        <v>2625.1905918812486</v>
      </c>
      <c r="P7" s="133">
        <v>2306.3975970777383</v>
      </c>
      <c r="Q7" s="133">
        <v>2377.473900197298</v>
      </c>
      <c r="R7" s="133">
        <v>2112.7651994858602</v>
      </c>
      <c r="S7" s="133">
        <v>2210.521525424112</v>
      </c>
      <c r="T7" s="133">
        <v>2130.6637606549643</v>
      </c>
      <c r="U7" s="133">
        <v>2080.9291538200946</v>
      </c>
      <c r="V7" s="133">
        <v>1976.891545546516</v>
      </c>
      <c r="W7" s="133">
        <v>1986.4875081368091</v>
      </c>
      <c r="DA7" s="157" t="s">
        <v>276</v>
      </c>
    </row>
    <row r="8" spans="1:105" ht="12" customHeight="1" x14ac:dyDescent="0.25">
      <c r="A8" s="132" t="s">
        <v>73</v>
      </c>
      <c r="B8" s="133">
        <v>0.27355581530832851</v>
      </c>
      <c r="C8" s="133">
        <v>0.5275294823817851</v>
      </c>
      <c r="D8" s="133">
        <v>0.92407875684133201</v>
      </c>
      <c r="E8" s="133">
        <v>1.8798660534643958</v>
      </c>
      <c r="F8" s="133">
        <v>2.99027329173148</v>
      </c>
      <c r="G8" s="133">
        <v>6.4172285258013169</v>
      </c>
      <c r="H8" s="133">
        <v>7.7970564813571865</v>
      </c>
      <c r="I8" s="133">
        <v>9.520948674282705</v>
      </c>
      <c r="J8" s="133">
        <v>10.821242640765515</v>
      </c>
      <c r="K8" s="133">
        <v>9.7604622468588662</v>
      </c>
      <c r="L8" s="133">
        <v>10.501664254788755</v>
      </c>
      <c r="M8" s="133">
        <v>21.181038353288244</v>
      </c>
      <c r="N8" s="133">
        <v>24.828438842721678</v>
      </c>
      <c r="O8" s="133">
        <v>34.261432981866896</v>
      </c>
      <c r="P8" s="133">
        <v>35.654139218573107</v>
      </c>
      <c r="Q8" s="133">
        <v>43.937567030562512</v>
      </c>
      <c r="R8" s="133">
        <v>48.270939778688152</v>
      </c>
      <c r="S8" s="133">
        <v>50.046672567072775</v>
      </c>
      <c r="T8" s="133">
        <v>51.607277426389601</v>
      </c>
      <c r="U8" s="133">
        <v>52.196322732903816</v>
      </c>
      <c r="V8" s="133">
        <v>45.8024380031584</v>
      </c>
      <c r="W8" s="133">
        <v>52.637176761620076</v>
      </c>
      <c r="DA8" s="157" t="s">
        <v>277</v>
      </c>
    </row>
    <row r="9" spans="1:105" ht="12" customHeight="1" x14ac:dyDescent="0.25">
      <c r="A9" s="132" t="s">
        <v>78</v>
      </c>
      <c r="B9" s="133">
        <v>3474.9873604681979</v>
      </c>
      <c r="C9" s="133">
        <v>3573.8566647851985</v>
      </c>
      <c r="D9" s="133">
        <v>3089.4258913025897</v>
      </c>
      <c r="E9" s="133">
        <v>4241.672904455254</v>
      </c>
      <c r="F9" s="133">
        <v>4447.9640353727154</v>
      </c>
      <c r="G9" s="133">
        <v>4794.5148380807659</v>
      </c>
      <c r="H9" s="133">
        <v>4206.6812690486377</v>
      </c>
      <c r="I9" s="133">
        <v>4442.8552048496622</v>
      </c>
      <c r="J9" s="133">
        <v>4060.9496858520074</v>
      </c>
      <c r="K9" s="133">
        <v>5030.589146033516</v>
      </c>
      <c r="L9" s="133">
        <v>5834.344697674791</v>
      </c>
      <c r="M9" s="133">
        <v>4218.4860573262667</v>
      </c>
      <c r="N9" s="133">
        <v>5107.5831845084404</v>
      </c>
      <c r="O9" s="133">
        <v>5461.6334895285827</v>
      </c>
      <c r="P9" s="133">
        <v>4494.6982148104644</v>
      </c>
      <c r="Q9" s="133">
        <v>4781.5187302453478</v>
      </c>
      <c r="R9" s="133">
        <v>4880.3544810975473</v>
      </c>
      <c r="S9" s="133">
        <v>5097.039959604781</v>
      </c>
      <c r="T9" s="133">
        <v>5341.0632381650512</v>
      </c>
      <c r="U9" s="133">
        <v>5222.1685130857231</v>
      </c>
      <c r="V9" s="133">
        <v>4785.0658999381494</v>
      </c>
      <c r="W9" s="133">
        <v>5241.7915647161826</v>
      </c>
      <c r="DA9" s="157" t="s">
        <v>278</v>
      </c>
    </row>
    <row r="10" spans="1:105" ht="12" customHeight="1" x14ac:dyDescent="0.25">
      <c r="A10" s="132" t="s">
        <v>128</v>
      </c>
      <c r="B10" s="133">
        <v>282.45627343078257</v>
      </c>
      <c r="C10" s="133">
        <v>334.23045620183592</v>
      </c>
      <c r="D10" s="133">
        <v>393.4935387391676</v>
      </c>
      <c r="E10" s="133">
        <v>455.62645731925647</v>
      </c>
      <c r="F10" s="133">
        <v>486.72912580160477</v>
      </c>
      <c r="G10" s="133">
        <v>266.81970662852063</v>
      </c>
      <c r="H10" s="133">
        <v>189.46853946038578</v>
      </c>
      <c r="I10" s="133">
        <v>309.96340548979606</v>
      </c>
      <c r="J10" s="133">
        <v>335.76759482496215</v>
      </c>
      <c r="K10" s="133">
        <v>441.13993640640882</v>
      </c>
      <c r="L10" s="133">
        <v>371.65840963423693</v>
      </c>
      <c r="M10" s="133">
        <v>237.42975193504492</v>
      </c>
      <c r="N10" s="133">
        <v>295.53886121639778</v>
      </c>
      <c r="O10" s="133">
        <v>413.38676287890814</v>
      </c>
      <c r="P10" s="133">
        <v>360.84417942175929</v>
      </c>
      <c r="Q10" s="133">
        <v>338.40459044727561</v>
      </c>
      <c r="R10" s="133">
        <v>375.69765819765286</v>
      </c>
      <c r="S10" s="133">
        <v>386.91788601863476</v>
      </c>
      <c r="T10" s="133">
        <v>352.49053691106531</v>
      </c>
      <c r="U10" s="133">
        <v>358.62113643780867</v>
      </c>
      <c r="V10" s="133">
        <v>376.33140351977056</v>
      </c>
      <c r="W10" s="133">
        <v>458.53684717089942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41.654686156491834</v>
      </c>
      <c r="E11" s="133">
        <v>41.989079965606187</v>
      </c>
      <c r="F11" s="133">
        <v>42.299570077386072</v>
      </c>
      <c r="G11" s="133">
        <v>14.402407566637995</v>
      </c>
      <c r="H11" s="133">
        <v>14.402407566638002</v>
      </c>
      <c r="I11" s="133">
        <v>14.402407566638001</v>
      </c>
      <c r="J11" s="133">
        <v>14.402407566638001</v>
      </c>
      <c r="K11" s="133">
        <v>14.390541702493556</v>
      </c>
      <c r="L11" s="133">
        <v>14.390541702493557</v>
      </c>
      <c r="M11" s="133">
        <v>17.757695614789331</v>
      </c>
      <c r="N11" s="133">
        <v>17.757695614789341</v>
      </c>
      <c r="O11" s="133">
        <v>17.757695614789352</v>
      </c>
      <c r="P11" s="133">
        <v>16.722785898538259</v>
      </c>
      <c r="Q11" s="133">
        <v>16.722785898538266</v>
      </c>
      <c r="R11" s="133">
        <v>16.722785898538252</v>
      </c>
      <c r="S11" s="133">
        <v>16.722785898538248</v>
      </c>
      <c r="T11" s="133">
        <v>16.722785898538259</v>
      </c>
      <c r="U11" s="133">
        <v>16.722785898538262</v>
      </c>
      <c r="V11" s="133">
        <v>16.722785898538262</v>
      </c>
      <c r="W11" s="133">
        <v>16.722785898538255</v>
      </c>
      <c r="DA11" s="157" t="s">
        <v>280</v>
      </c>
    </row>
    <row r="12" spans="1:105" ht="12" customHeight="1" x14ac:dyDescent="0.25">
      <c r="A12" s="132" t="s">
        <v>169</v>
      </c>
      <c r="B12" s="133">
        <v>1060.6257260527698</v>
      </c>
      <c r="C12" s="133">
        <v>1305.7443370585165</v>
      </c>
      <c r="D12" s="133">
        <v>1366.1934813342459</v>
      </c>
      <c r="E12" s="133">
        <v>1318.8132375469811</v>
      </c>
      <c r="F12" s="133">
        <v>1336.1296318431262</v>
      </c>
      <c r="G12" s="133">
        <v>1389.3417299058692</v>
      </c>
      <c r="H12" s="133">
        <v>1299.4529393241439</v>
      </c>
      <c r="I12" s="133">
        <v>643.75410702261797</v>
      </c>
      <c r="J12" s="133">
        <v>699.71892996179702</v>
      </c>
      <c r="K12" s="133">
        <v>606.01009711585948</v>
      </c>
      <c r="L12" s="133">
        <v>687.10634216095173</v>
      </c>
      <c r="M12" s="133">
        <v>576.11345233705538</v>
      </c>
      <c r="N12" s="133">
        <v>572.87756979424216</v>
      </c>
      <c r="O12" s="133">
        <v>607.53995378592685</v>
      </c>
      <c r="P12" s="133">
        <v>578.85875029029444</v>
      </c>
      <c r="Q12" s="133">
        <v>630.47284754859334</v>
      </c>
      <c r="R12" s="133">
        <v>699.20349143951603</v>
      </c>
      <c r="S12" s="133">
        <v>720.77427093455628</v>
      </c>
      <c r="T12" s="133">
        <v>701.12447064082994</v>
      </c>
      <c r="U12" s="133">
        <v>705.64795925096507</v>
      </c>
      <c r="V12" s="133">
        <v>725.79803063389761</v>
      </c>
      <c r="W12" s="133">
        <v>827.56659990642902</v>
      </c>
      <c r="DA12" s="157" t="s">
        <v>281</v>
      </c>
    </row>
    <row r="13" spans="1:105" ht="12" customHeight="1" x14ac:dyDescent="0.25">
      <c r="A13" s="132" t="s">
        <v>77</v>
      </c>
      <c r="B13" s="133">
        <v>57.039183265387216</v>
      </c>
      <c r="C13" s="133">
        <v>63.452345895757425</v>
      </c>
      <c r="D13" s="133">
        <v>76.158319609085538</v>
      </c>
      <c r="E13" s="133">
        <v>84.681160122028643</v>
      </c>
      <c r="F13" s="133">
        <v>93.674873667541647</v>
      </c>
      <c r="G13" s="133">
        <v>107.64317169356811</v>
      </c>
      <c r="H13" s="133">
        <v>113.66527565883732</v>
      </c>
      <c r="I13" s="133">
        <v>114.92117555527524</v>
      </c>
      <c r="J13" s="133">
        <v>129.09152162079835</v>
      </c>
      <c r="K13" s="133">
        <v>134.68243684284303</v>
      </c>
      <c r="L13" s="133">
        <v>139.38095923048226</v>
      </c>
      <c r="M13" s="133">
        <v>196.47559047368168</v>
      </c>
      <c r="N13" s="133">
        <v>219.10312919541116</v>
      </c>
      <c r="O13" s="133">
        <v>233.11592041615469</v>
      </c>
      <c r="P13" s="133">
        <v>193.6793059180651</v>
      </c>
      <c r="Q13" s="133">
        <v>201.7126447612325</v>
      </c>
      <c r="R13" s="133">
        <v>215.45374855308032</v>
      </c>
      <c r="S13" s="133">
        <v>202.44373768985724</v>
      </c>
      <c r="T13" s="133">
        <v>184.05150579362925</v>
      </c>
      <c r="U13" s="133">
        <v>184.19155424325223</v>
      </c>
      <c r="V13" s="133">
        <v>169.18355063814258</v>
      </c>
      <c r="W13" s="133">
        <v>192.12167349299409</v>
      </c>
      <c r="DA13" s="157" t="s">
        <v>282</v>
      </c>
    </row>
    <row r="14" spans="1:105" ht="12" customHeight="1" x14ac:dyDescent="0.25">
      <c r="A14" s="60" t="s">
        <v>76</v>
      </c>
      <c r="B14" s="65">
        <v>3122.2222092128886</v>
      </c>
      <c r="C14" s="65">
        <v>3228.8875278982614</v>
      </c>
      <c r="D14" s="65">
        <v>3186.0613705818791</v>
      </c>
      <c r="E14" s="65">
        <v>3274.50305519115</v>
      </c>
      <c r="F14" s="65">
        <v>3511.0992972409085</v>
      </c>
      <c r="G14" s="65">
        <v>3352.4783948269865</v>
      </c>
      <c r="H14" s="65">
        <v>3405.6021058884735</v>
      </c>
      <c r="I14" s="65">
        <v>3504.8887985677425</v>
      </c>
      <c r="J14" s="65">
        <v>3252.8087025000996</v>
      </c>
      <c r="K14" s="65">
        <v>3608.31462635556</v>
      </c>
      <c r="L14" s="65">
        <v>4088.668577394656</v>
      </c>
      <c r="M14" s="65">
        <v>3181.0877628819353</v>
      </c>
      <c r="N14" s="65">
        <v>3421.2846176013786</v>
      </c>
      <c r="O14" s="65">
        <v>3365.6797709656717</v>
      </c>
      <c r="P14" s="65">
        <v>2763.8912542950939</v>
      </c>
      <c r="Q14" s="65">
        <v>2958.8718063001861</v>
      </c>
      <c r="R14" s="65">
        <v>2959.4845917448756</v>
      </c>
      <c r="S14" s="65">
        <v>2889.5107201352112</v>
      </c>
      <c r="T14" s="65">
        <v>2789.4185602726093</v>
      </c>
      <c r="U14" s="65">
        <v>2591.8619408869608</v>
      </c>
      <c r="V14" s="65">
        <v>2228.2264118753524</v>
      </c>
      <c r="W14" s="65">
        <v>2648.114357155474</v>
      </c>
      <c r="DA14" s="109" t="s">
        <v>283</v>
      </c>
    </row>
    <row r="15" spans="1:105" ht="12" customHeight="1" x14ac:dyDescent="0.25">
      <c r="A15" s="134" t="s">
        <v>80</v>
      </c>
      <c r="B15" s="135">
        <v>81.924380481643553</v>
      </c>
      <c r="C15" s="135">
        <v>86.715521160798744</v>
      </c>
      <c r="D15" s="135">
        <v>74.427818554855008</v>
      </c>
      <c r="E15" s="135">
        <v>87.353598313504776</v>
      </c>
      <c r="F15" s="135">
        <v>88.800122984051342</v>
      </c>
      <c r="G15" s="135">
        <v>89.43298997761228</v>
      </c>
      <c r="H15" s="135">
        <v>80.077889076393035</v>
      </c>
      <c r="I15" s="135">
        <v>76.889109408368142</v>
      </c>
      <c r="J15" s="135">
        <v>78.463079300702148</v>
      </c>
      <c r="K15" s="135">
        <v>87.878544904063162</v>
      </c>
      <c r="L15" s="135">
        <v>94.295906653317374</v>
      </c>
      <c r="M15" s="135">
        <v>71.716071815226726</v>
      </c>
      <c r="N15" s="135">
        <v>82.950490687096078</v>
      </c>
      <c r="O15" s="135">
        <v>89.402980439466759</v>
      </c>
      <c r="P15" s="135">
        <v>75.355130074602513</v>
      </c>
      <c r="Q15" s="135">
        <v>79.419649504903461</v>
      </c>
      <c r="R15" s="135">
        <v>78.95289613399197</v>
      </c>
      <c r="S15" s="135">
        <v>83.394400861654077</v>
      </c>
      <c r="T15" s="135">
        <v>86.305253241020523</v>
      </c>
      <c r="U15" s="135">
        <v>85.688273437347675</v>
      </c>
      <c r="V15" s="135">
        <v>80.750312535087716</v>
      </c>
      <c r="W15" s="135">
        <v>88.119720507207532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293.57586269029531</v>
      </c>
      <c r="C16" s="131">
        <f t="shared" si="4"/>
        <v>323.49421005519736</v>
      </c>
      <c r="D16" s="131">
        <f t="shared" si="4"/>
        <v>321.4119933028955</v>
      </c>
      <c r="E16" s="131">
        <f t="shared" si="4"/>
        <v>577.81299374808054</v>
      </c>
      <c r="F16" s="131">
        <f t="shared" si="4"/>
        <v>346.28875051353339</v>
      </c>
      <c r="G16" s="131">
        <f t="shared" si="4"/>
        <v>382.89739071192639</v>
      </c>
      <c r="H16" s="131">
        <f t="shared" si="4"/>
        <v>462.95552826994026</v>
      </c>
      <c r="I16" s="131">
        <f t="shared" si="4"/>
        <v>374.61876984791968</v>
      </c>
      <c r="J16" s="131">
        <f t="shared" si="4"/>
        <v>384.26711519106061</v>
      </c>
      <c r="K16" s="131">
        <f t="shared" si="4"/>
        <v>425.78646000960782</v>
      </c>
      <c r="L16" s="131">
        <f t="shared" si="4"/>
        <v>426.54789791944569</v>
      </c>
      <c r="M16" s="131">
        <f t="shared" si="4"/>
        <v>422.95838072146296</v>
      </c>
      <c r="N16" s="131">
        <f t="shared" si="4"/>
        <v>440.7390943142027</v>
      </c>
      <c r="O16" s="131">
        <f t="shared" si="4"/>
        <v>433.419932087554</v>
      </c>
      <c r="P16" s="131">
        <f t="shared" si="4"/>
        <v>403.92372687346739</v>
      </c>
      <c r="Q16" s="131">
        <f t="shared" si="4"/>
        <v>505.42864675527966</v>
      </c>
      <c r="R16" s="131">
        <f t="shared" ref="R16:W16" si="5">SUM(R17:R18)</f>
        <v>438.59104497905582</v>
      </c>
      <c r="S16" s="131">
        <f t="shared" si="5"/>
        <v>476.89501767728621</v>
      </c>
      <c r="T16" s="131">
        <f t="shared" si="5"/>
        <v>472.92247257439828</v>
      </c>
      <c r="U16" s="131">
        <f t="shared" si="5"/>
        <v>481.52394791105183</v>
      </c>
      <c r="V16" s="131">
        <f t="shared" si="5"/>
        <v>484.37355590240577</v>
      </c>
      <c r="W16" s="131">
        <f t="shared" si="5"/>
        <v>403.36427226547153</v>
      </c>
      <c r="DA16" s="156" t="s">
        <v>214</v>
      </c>
    </row>
    <row r="17" spans="1:105" ht="12.95" customHeight="1" x14ac:dyDescent="0.25">
      <c r="A17" s="132" t="s">
        <v>73</v>
      </c>
      <c r="B17" s="133">
        <v>1.3582938268051914</v>
      </c>
      <c r="C17" s="133">
        <v>1.73117256924528</v>
      </c>
      <c r="D17" s="133">
        <v>1.9099337301077579</v>
      </c>
      <c r="E17" s="133">
        <v>5.0820777793145133</v>
      </c>
      <c r="F17" s="133">
        <v>2.836711816247584</v>
      </c>
      <c r="G17" s="133">
        <v>3.063113442647392</v>
      </c>
      <c r="H17" s="133">
        <v>5.4934553562635839</v>
      </c>
      <c r="I17" s="133">
        <v>5.0069709599686441</v>
      </c>
      <c r="J17" s="133">
        <v>6.234194533138691</v>
      </c>
      <c r="K17" s="133">
        <v>7.2216273133880842</v>
      </c>
      <c r="L17" s="133">
        <v>8.2589050199334189</v>
      </c>
      <c r="M17" s="133">
        <v>11.03808601276541</v>
      </c>
      <c r="N17" s="133">
        <v>16.695229769721315</v>
      </c>
      <c r="O17" s="133">
        <v>20.373590971559032</v>
      </c>
      <c r="P17" s="133">
        <v>20.887283585934618</v>
      </c>
      <c r="Q17" s="133">
        <v>33.277624900903859</v>
      </c>
      <c r="R17" s="133">
        <v>32.028936769248794</v>
      </c>
      <c r="S17" s="133">
        <v>40.248655049245443</v>
      </c>
      <c r="T17" s="133">
        <v>43.669107866760015</v>
      </c>
      <c r="U17" s="133">
        <v>48.244612887815777</v>
      </c>
      <c r="V17" s="133">
        <v>49.251970413787873</v>
      </c>
      <c r="W17" s="133">
        <v>40.515485766608037</v>
      </c>
      <c r="DA17" s="157" t="s">
        <v>285</v>
      </c>
    </row>
    <row r="18" spans="1:105" ht="12" customHeight="1" x14ac:dyDescent="0.25">
      <c r="A18" s="132" t="s">
        <v>72</v>
      </c>
      <c r="B18" s="133">
        <v>292.2175688634901</v>
      </c>
      <c r="C18" s="133">
        <v>321.76303748595205</v>
      </c>
      <c r="D18" s="133">
        <v>319.50205957278774</v>
      </c>
      <c r="E18" s="133">
        <v>572.730915968766</v>
      </c>
      <c r="F18" s="133">
        <v>343.45203869728579</v>
      </c>
      <c r="G18" s="133">
        <v>379.83427726927897</v>
      </c>
      <c r="H18" s="133">
        <v>457.46207291367665</v>
      </c>
      <c r="I18" s="133">
        <v>369.61179888795101</v>
      </c>
      <c r="J18" s="133">
        <v>378.03292065792192</v>
      </c>
      <c r="K18" s="133">
        <v>418.56483269621975</v>
      </c>
      <c r="L18" s="133">
        <v>418.28899289951227</v>
      </c>
      <c r="M18" s="133">
        <v>411.92029470869755</v>
      </c>
      <c r="N18" s="133">
        <v>424.04386454448138</v>
      </c>
      <c r="O18" s="133">
        <v>413.04634111599495</v>
      </c>
      <c r="P18" s="133">
        <v>383.03644328753279</v>
      </c>
      <c r="Q18" s="133">
        <v>472.15102185437581</v>
      </c>
      <c r="R18" s="133">
        <v>406.56210820980704</v>
      </c>
      <c r="S18" s="133">
        <v>436.64636262804078</v>
      </c>
      <c r="T18" s="133">
        <v>429.2533647076383</v>
      </c>
      <c r="U18" s="133">
        <v>433.27933502323606</v>
      </c>
      <c r="V18" s="133">
        <v>435.12158548861788</v>
      </c>
      <c r="W18" s="133">
        <v>362.84878649886349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1954.6549742343216</v>
      </c>
      <c r="C19" s="131">
        <f t="shared" si="6"/>
        <v>1944.3824756376475</v>
      </c>
      <c r="D19" s="131">
        <f t="shared" si="6"/>
        <v>1961.178916332414</v>
      </c>
      <c r="E19" s="131">
        <f t="shared" si="6"/>
        <v>1939.2501457432083</v>
      </c>
      <c r="F19" s="131">
        <f t="shared" si="6"/>
        <v>2005.6980354941131</v>
      </c>
      <c r="G19" s="131">
        <f t="shared" si="6"/>
        <v>1998.3949889942196</v>
      </c>
      <c r="H19" s="131">
        <f t="shared" si="6"/>
        <v>1977.7111048742534</v>
      </c>
      <c r="I19" s="131">
        <f t="shared" si="6"/>
        <v>1985.3428362521424</v>
      </c>
      <c r="J19" s="131">
        <f t="shared" si="6"/>
        <v>2037.5656627387402</v>
      </c>
      <c r="K19" s="131">
        <f t="shared" si="6"/>
        <v>2076.7975928959127</v>
      </c>
      <c r="L19" s="131">
        <f t="shared" si="6"/>
        <v>2072.5062330017654</v>
      </c>
      <c r="M19" s="131">
        <f t="shared" si="6"/>
        <v>2082.2020502884707</v>
      </c>
      <c r="N19" s="131">
        <f t="shared" si="6"/>
        <v>2095.527769236573</v>
      </c>
      <c r="O19" s="131">
        <f t="shared" si="6"/>
        <v>2115.3702380049845</v>
      </c>
      <c r="P19" s="131">
        <f t="shared" si="6"/>
        <v>2125.6565946081182</v>
      </c>
      <c r="Q19" s="131">
        <f t="shared" si="6"/>
        <v>2126.4175314251288</v>
      </c>
      <c r="R19" s="131">
        <f t="shared" ref="R19:W19" si="7">SUM(R20:R27)</f>
        <v>2130.52977082286</v>
      </c>
      <c r="S19" s="131">
        <f t="shared" si="7"/>
        <v>2114.8169858625256</v>
      </c>
      <c r="T19" s="131">
        <f t="shared" si="7"/>
        <v>2127.3342576404621</v>
      </c>
      <c r="U19" s="131">
        <f t="shared" si="7"/>
        <v>2055.4447509678203</v>
      </c>
      <c r="V19" s="131">
        <f t="shared" si="7"/>
        <v>1891.7929893107187</v>
      </c>
      <c r="W19" s="131">
        <f t="shared" si="7"/>
        <v>2011.2356516706011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54.142868791224046</v>
      </c>
      <c r="C21" s="133">
        <v>56.739624689747224</v>
      </c>
      <c r="D21" s="133">
        <v>62.915188965041708</v>
      </c>
      <c r="E21" s="133">
        <v>66.717680107809528</v>
      </c>
      <c r="F21" s="133">
        <v>67.749703394789421</v>
      </c>
      <c r="G21" s="133">
        <v>65.393830862519735</v>
      </c>
      <c r="H21" s="133">
        <v>68.494049754993469</v>
      </c>
      <c r="I21" s="133">
        <v>69.956555284033939</v>
      </c>
      <c r="J21" s="133">
        <v>70.781475567767146</v>
      </c>
      <c r="K21" s="133">
        <v>72.098093238563962</v>
      </c>
      <c r="L21" s="133">
        <v>67.445516622082536</v>
      </c>
      <c r="M21" s="133">
        <v>66.490107092010376</v>
      </c>
      <c r="N21" s="133">
        <v>64.488602253484785</v>
      </c>
      <c r="O21" s="133">
        <v>62.912815852952264</v>
      </c>
      <c r="P21" s="133">
        <v>62.532266472483833</v>
      </c>
      <c r="Q21" s="133">
        <v>59.878751399976572</v>
      </c>
      <c r="R21" s="133">
        <v>57.544891015052244</v>
      </c>
      <c r="S21" s="133">
        <v>55.926809140274244</v>
      </c>
      <c r="T21" s="133">
        <v>35.367494760525638</v>
      </c>
      <c r="U21" s="133">
        <v>34.05797897084576</v>
      </c>
      <c r="V21" s="133">
        <v>31.565861714665868</v>
      </c>
      <c r="W21" s="133">
        <v>31.75794940793482</v>
      </c>
      <c r="DA21" s="157" t="s">
        <v>288</v>
      </c>
    </row>
    <row r="22" spans="1:105" ht="12" customHeight="1" x14ac:dyDescent="0.25">
      <c r="A22" s="132" t="s">
        <v>168</v>
      </c>
      <c r="B22" s="133">
        <v>404.72737392923455</v>
      </c>
      <c r="C22" s="133">
        <v>409.91964404542716</v>
      </c>
      <c r="D22" s="133">
        <v>406.21665987845057</v>
      </c>
      <c r="E22" s="133">
        <v>404.93927375372539</v>
      </c>
      <c r="F22" s="133">
        <v>408.76043630193601</v>
      </c>
      <c r="G22" s="133">
        <v>404.01542741501589</v>
      </c>
      <c r="H22" s="133">
        <v>385.27526055894799</v>
      </c>
      <c r="I22" s="133">
        <v>364.95285309359684</v>
      </c>
      <c r="J22" s="133">
        <v>369.95308012944088</v>
      </c>
      <c r="K22" s="133">
        <v>365.129808081303</v>
      </c>
      <c r="L22" s="133">
        <v>343.28178088710956</v>
      </c>
      <c r="M22" s="133">
        <v>329.15397675109745</v>
      </c>
      <c r="N22" s="133">
        <v>369.10361547328955</v>
      </c>
      <c r="O22" s="133">
        <v>371.69126538444146</v>
      </c>
      <c r="P22" s="133">
        <v>367.16955683455672</v>
      </c>
      <c r="Q22" s="133">
        <v>389.6828495877445</v>
      </c>
      <c r="R22" s="133">
        <v>335.93170507132174</v>
      </c>
      <c r="S22" s="133">
        <v>350.26248145465092</v>
      </c>
      <c r="T22" s="133">
        <v>317.84922300797734</v>
      </c>
      <c r="U22" s="133">
        <v>295.79818925815073</v>
      </c>
      <c r="V22" s="133">
        <v>281.16348454806524</v>
      </c>
      <c r="W22" s="133">
        <v>250.07551851839389</v>
      </c>
      <c r="DA22" s="157" t="s">
        <v>289</v>
      </c>
    </row>
    <row r="23" spans="1:105" ht="12" customHeight="1" x14ac:dyDescent="0.25">
      <c r="A23" s="132" t="s">
        <v>153</v>
      </c>
      <c r="B23" s="133">
        <v>409.56635200355208</v>
      </c>
      <c r="C23" s="133">
        <v>405.90364387538102</v>
      </c>
      <c r="D23" s="133">
        <v>403.93490181991365</v>
      </c>
      <c r="E23" s="133">
        <v>410.45636494154706</v>
      </c>
      <c r="F23" s="133">
        <v>404.59173587216111</v>
      </c>
      <c r="G23" s="133">
        <v>376.22447534681413</v>
      </c>
      <c r="H23" s="133">
        <v>356.90508474666206</v>
      </c>
      <c r="I23" s="133">
        <v>357.2530145874191</v>
      </c>
      <c r="J23" s="133">
        <v>351.42235079363701</v>
      </c>
      <c r="K23" s="133">
        <v>386.66579078287145</v>
      </c>
      <c r="L23" s="133">
        <v>369.98252760714757</v>
      </c>
      <c r="M23" s="133">
        <v>407.86048591067146</v>
      </c>
      <c r="N23" s="133">
        <v>312.39451996388112</v>
      </c>
      <c r="O23" s="133">
        <v>345.21249888257006</v>
      </c>
      <c r="P23" s="133">
        <v>360.52961526095635</v>
      </c>
      <c r="Q23" s="133">
        <v>356.02376713473853</v>
      </c>
      <c r="R23" s="133">
        <v>391.40275870083309</v>
      </c>
      <c r="S23" s="133">
        <v>369.46541813753595</v>
      </c>
      <c r="T23" s="133">
        <v>370.78848112670352</v>
      </c>
      <c r="U23" s="133">
        <v>366.74777388066724</v>
      </c>
      <c r="V23" s="133">
        <v>333.35929645256761</v>
      </c>
      <c r="W23" s="133">
        <v>412.02840628947052</v>
      </c>
      <c r="DA23" s="157" t="s">
        <v>290</v>
      </c>
    </row>
    <row r="24" spans="1:105" ht="12" customHeight="1" x14ac:dyDescent="0.25">
      <c r="A24" s="132" t="s">
        <v>128</v>
      </c>
      <c r="B24" s="133">
        <v>21.26014961306964</v>
      </c>
      <c r="C24" s="133">
        <v>20.407892895326601</v>
      </c>
      <c r="D24" s="133">
        <v>20.569745869602809</v>
      </c>
      <c r="E24" s="133">
        <v>20.823413703959211</v>
      </c>
      <c r="F24" s="133">
        <v>21.964941266323013</v>
      </c>
      <c r="G24" s="133">
        <v>22.040568521952167</v>
      </c>
      <c r="H24" s="133">
        <v>21.862328983294365</v>
      </c>
      <c r="I24" s="133">
        <v>25.558176625423364</v>
      </c>
      <c r="J24" s="133">
        <v>25.020969233507426</v>
      </c>
      <c r="K24" s="133">
        <v>26.987234702791621</v>
      </c>
      <c r="L24" s="133">
        <v>28.575296298694692</v>
      </c>
      <c r="M24" s="133">
        <v>17.28873473735386</v>
      </c>
      <c r="N24" s="133">
        <v>18.28091522384322</v>
      </c>
      <c r="O24" s="133">
        <v>23.503090947402868</v>
      </c>
      <c r="P24" s="133">
        <v>18.907755230003559</v>
      </c>
      <c r="Q24" s="133">
        <v>15.308737153756084</v>
      </c>
      <c r="R24" s="133">
        <v>16.8559101600429</v>
      </c>
      <c r="S24" s="133">
        <v>17.251073568639256</v>
      </c>
      <c r="T24" s="133">
        <v>17.198886992632175</v>
      </c>
      <c r="U24" s="133">
        <v>18.32916450802097</v>
      </c>
      <c r="V24" s="133">
        <v>19.953033281604657</v>
      </c>
      <c r="W24" s="133">
        <v>23.110186363064859</v>
      </c>
      <c r="DA24" s="157" t="s">
        <v>291</v>
      </c>
    </row>
    <row r="25" spans="1:105" ht="12" customHeight="1" x14ac:dyDescent="0.25">
      <c r="A25" s="132" t="s">
        <v>169</v>
      </c>
      <c r="B25" s="133">
        <v>111.83934447229088</v>
      </c>
      <c r="C25" s="133">
        <v>115.24313953876008</v>
      </c>
      <c r="D25" s="133">
        <v>113.854329083881</v>
      </c>
      <c r="E25" s="133">
        <v>116.61045761126147</v>
      </c>
      <c r="F25" s="133">
        <v>119.60685295177157</v>
      </c>
      <c r="G25" s="133">
        <v>119.22363642665967</v>
      </c>
      <c r="H25" s="133">
        <v>117.76105018576746</v>
      </c>
      <c r="I25" s="133">
        <v>59.712702951586536</v>
      </c>
      <c r="J25" s="133">
        <v>66.439625498220124</v>
      </c>
      <c r="K25" s="133">
        <v>76.313462643383218</v>
      </c>
      <c r="L25" s="133">
        <v>69.052729206201889</v>
      </c>
      <c r="M25" s="133">
        <v>66.302626768705039</v>
      </c>
      <c r="N25" s="133">
        <v>82.550891082800192</v>
      </c>
      <c r="O25" s="133">
        <v>86.403038475465848</v>
      </c>
      <c r="P25" s="133">
        <v>77.221129331373064</v>
      </c>
      <c r="Q25" s="133">
        <v>81.422509287175686</v>
      </c>
      <c r="R25" s="133">
        <v>89.139070899263359</v>
      </c>
      <c r="S25" s="133">
        <v>87.852384267507205</v>
      </c>
      <c r="T25" s="133">
        <v>102.93503064893773</v>
      </c>
      <c r="U25" s="133">
        <v>95.410510224529474</v>
      </c>
      <c r="V25" s="133">
        <v>93.895692495940324</v>
      </c>
      <c r="W25" s="133">
        <v>83.982583240603546</v>
      </c>
      <c r="DA25" s="157" t="s">
        <v>292</v>
      </c>
    </row>
    <row r="26" spans="1:105" ht="12" customHeight="1" x14ac:dyDescent="0.25">
      <c r="A26" s="132" t="s">
        <v>24</v>
      </c>
      <c r="B26" s="65">
        <v>953.11888542495035</v>
      </c>
      <c r="C26" s="65">
        <v>936.16853059300536</v>
      </c>
      <c r="D26" s="65">
        <v>953.68809071552437</v>
      </c>
      <c r="E26" s="65">
        <v>919.70295562490571</v>
      </c>
      <c r="F26" s="65">
        <v>983.02436570713212</v>
      </c>
      <c r="G26" s="65">
        <v>1009.7295525708711</v>
      </c>
      <c r="H26" s="65">
        <v>1025.5981113840551</v>
      </c>
      <c r="I26" s="65">
        <v>1105.8554494452503</v>
      </c>
      <c r="J26" s="65">
        <v>1151.4641546374057</v>
      </c>
      <c r="K26" s="65">
        <v>1146.7131776516424</v>
      </c>
      <c r="L26" s="65">
        <v>1190.8245302739081</v>
      </c>
      <c r="M26" s="65">
        <v>1189.69184559785</v>
      </c>
      <c r="N26" s="65">
        <v>1239.9853215419394</v>
      </c>
      <c r="O26" s="65">
        <v>1215.6267202076376</v>
      </c>
      <c r="P26" s="65">
        <v>1228.4481201459846</v>
      </c>
      <c r="Q26" s="65">
        <v>1212.5486382718836</v>
      </c>
      <c r="R26" s="65">
        <v>1227.5743515713593</v>
      </c>
      <c r="S26" s="65">
        <v>1221.5705991735399</v>
      </c>
      <c r="T26" s="65">
        <v>1270.368829839713</v>
      </c>
      <c r="U26" s="65">
        <v>1231.8653645641275</v>
      </c>
      <c r="V26" s="65">
        <v>1118.4269879717872</v>
      </c>
      <c r="W26" s="65">
        <v>1196.8891763807983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1.7674978503869301</v>
      </c>
      <c r="H27" s="146">
        <v>1.8152192605331039</v>
      </c>
      <c r="I27" s="146">
        <v>2.0540842648323299</v>
      </c>
      <c r="J27" s="146">
        <v>2.4840068787618224</v>
      </c>
      <c r="K27" s="146">
        <v>2.8900257953568351</v>
      </c>
      <c r="L27" s="146">
        <v>3.3438521066208091</v>
      </c>
      <c r="M27" s="146">
        <v>5.4142734307824574</v>
      </c>
      <c r="N27" s="146">
        <v>8.7239036973344817</v>
      </c>
      <c r="O27" s="146">
        <v>10.020808254514188</v>
      </c>
      <c r="P27" s="146">
        <v>10.8481513327601</v>
      </c>
      <c r="Q27" s="146">
        <v>11.55227858985382</v>
      </c>
      <c r="R27" s="146">
        <v>12.081083404987094</v>
      </c>
      <c r="S27" s="146">
        <v>12.488220120378326</v>
      </c>
      <c r="T27" s="146">
        <v>12.826311263972483</v>
      </c>
      <c r="U27" s="146">
        <v>13.235769561478923</v>
      </c>
      <c r="V27" s="146">
        <v>13.428632846087705</v>
      </c>
      <c r="W27" s="146">
        <v>13.391831470335338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1698.1930842821307</v>
      </c>
      <c r="C29" s="131">
        <f t="shared" si="8"/>
        <v>1676.175361289098</v>
      </c>
      <c r="D29" s="131">
        <f t="shared" si="8"/>
        <v>1767.116721131717</v>
      </c>
      <c r="E29" s="131">
        <f t="shared" si="8"/>
        <v>1781.0063105303429</v>
      </c>
      <c r="F29" s="131">
        <f t="shared" si="8"/>
        <v>1840.7338841063065</v>
      </c>
      <c r="G29" s="131">
        <f t="shared" si="8"/>
        <v>1773.673143453904</v>
      </c>
      <c r="H29" s="131">
        <f t="shared" si="8"/>
        <v>1765.8590451456394</v>
      </c>
      <c r="I29" s="131">
        <f t="shared" si="8"/>
        <v>1819.5467831034134</v>
      </c>
      <c r="J29" s="131">
        <f t="shared" si="8"/>
        <v>1870.1603630232194</v>
      </c>
      <c r="K29" s="131">
        <f t="shared" si="8"/>
        <v>1971.4706894973674</v>
      </c>
      <c r="L29" s="131">
        <f t="shared" si="8"/>
        <v>2019.8442651700591</v>
      </c>
      <c r="M29" s="131">
        <f t="shared" si="8"/>
        <v>2048.7282789843666</v>
      </c>
      <c r="N29" s="131">
        <f t="shared" si="8"/>
        <v>2051.3598061410135</v>
      </c>
      <c r="O29" s="131">
        <f t="shared" si="8"/>
        <v>2073.7106168162431</v>
      </c>
      <c r="P29" s="131">
        <f t="shared" si="8"/>
        <v>2115.4817189291662</v>
      </c>
      <c r="Q29" s="131">
        <f t="shared" si="8"/>
        <v>2143.9808724712639</v>
      </c>
      <c r="R29" s="131">
        <f t="shared" ref="R29:W29" si="9">SUM(R30:R33)</f>
        <v>2173.6997763503468</v>
      </c>
      <c r="S29" s="131">
        <f t="shared" si="9"/>
        <v>2185.7024905590129</v>
      </c>
      <c r="T29" s="131">
        <f t="shared" si="9"/>
        <v>2183.3317784424362</v>
      </c>
      <c r="U29" s="131">
        <f t="shared" si="9"/>
        <v>2192.3280679297459</v>
      </c>
      <c r="V29" s="131">
        <f t="shared" si="9"/>
        <v>2008.6330428267611</v>
      </c>
      <c r="W29" s="131">
        <f t="shared" si="9"/>
        <v>2222.5052486690529</v>
      </c>
      <c r="DA29" s="156" t="s">
        <v>216</v>
      </c>
    </row>
    <row r="30" spans="1:105" ht="12" customHeight="1" x14ac:dyDescent="0.25">
      <c r="A30" s="132" t="s">
        <v>52</v>
      </c>
      <c r="B30" s="133">
        <v>287.03890248994526</v>
      </c>
      <c r="C30" s="133">
        <v>103.68367711592775</v>
      </c>
      <c r="D30" s="133">
        <v>376.55402857580088</v>
      </c>
      <c r="E30" s="133">
        <v>444.17372143991196</v>
      </c>
      <c r="F30" s="133">
        <v>505.57256659661198</v>
      </c>
      <c r="G30" s="133">
        <v>404.1922396447888</v>
      </c>
      <c r="H30" s="133">
        <v>331.48006890364792</v>
      </c>
      <c r="I30" s="133">
        <v>367.79718504270716</v>
      </c>
      <c r="J30" s="133">
        <v>423.68885977187165</v>
      </c>
      <c r="K30" s="133">
        <v>411.35349747510764</v>
      </c>
      <c r="L30" s="133">
        <v>444.48191244068607</v>
      </c>
      <c r="M30" s="133">
        <v>419.30163839380236</v>
      </c>
      <c r="N30" s="133">
        <v>341.83813893310139</v>
      </c>
      <c r="O30" s="133">
        <v>283.77918758642852</v>
      </c>
      <c r="P30" s="133">
        <v>281.52284960662206</v>
      </c>
      <c r="Q30" s="133">
        <v>321.67473097319606</v>
      </c>
      <c r="R30" s="133">
        <v>300.6283677983613</v>
      </c>
      <c r="S30" s="133">
        <v>333.00982026643271</v>
      </c>
      <c r="T30" s="133">
        <v>262.85795665821922</v>
      </c>
      <c r="U30" s="133">
        <v>299.31459196638525</v>
      </c>
      <c r="V30" s="133">
        <v>241.54677801018346</v>
      </c>
      <c r="W30" s="133">
        <v>262.59131972362184</v>
      </c>
      <c r="DA30" s="157" t="s">
        <v>295</v>
      </c>
    </row>
    <row r="31" spans="1:105" ht="12" customHeight="1" x14ac:dyDescent="0.25">
      <c r="A31" s="132" t="s">
        <v>153</v>
      </c>
      <c r="B31" s="133">
        <v>716.82587382766644</v>
      </c>
      <c r="C31" s="133">
        <v>713.63842694901382</v>
      </c>
      <c r="D31" s="133">
        <v>710.70631218934295</v>
      </c>
      <c r="E31" s="133">
        <v>714.24154687360192</v>
      </c>
      <c r="F31" s="133">
        <v>711.46229953708348</v>
      </c>
      <c r="G31" s="133">
        <v>460.3724340278734</v>
      </c>
      <c r="H31" s="133">
        <v>444.30069240663215</v>
      </c>
      <c r="I31" s="133">
        <v>444.93170271714808</v>
      </c>
      <c r="J31" s="133">
        <v>427.75188989498275</v>
      </c>
      <c r="K31" s="133">
        <v>593.63683432843823</v>
      </c>
      <c r="L31" s="133">
        <v>565.01555883973344</v>
      </c>
      <c r="M31" s="133">
        <v>579.83931949932833</v>
      </c>
      <c r="N31" s="133">
        <v>537.21255640792117</v>
      </c>
      <c r="O31" s="133">
        <v>592.77573742045979</v>
      </c>
      <c r="P31" s="133">
        <v>656.26195950584281</v>
      </c>
      <c r="Q31" s="133">
        <v>703.38607681055248</v>
      </c>
      <c r="R31" s="133">
        <v>678.75853283683205</v>
      </c>
      <c r="S31" s="133">
        <v>702.0886325605386</v>
      </c>
      <c r="T31" s="133">
        <v>725.95736403075068</v>
      </c>
      <c r="U31" s="133">
        <v>717.58069658743455</v>
      </c>
      <c r="V31" s="133">
        <v>664.44137541589748</v>
      </c>
      <c r="W31" s="133">
        <v>907.90681616517918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694.3283079645189</v>
      </c>
      <c r="C33" s="68">
        <v>858.85325722415655</v>
      </c>
      <c r="D33" s="68">
        <v>679.85638036657315</v>
      </c>
      <c r="E33" s="68">
        <v>622.5910422168289</v>
      </c>
      <c r="F33" s="68">
        <v>623.69901797261105</v>
      </c>
      <c r="G33" s="68">
        <v>909.10846978124187</v>
      </c>
      <c r="H33" s="68">
        <v>990.07828383535923</v>
      </c>
      <c r="I33" s="68">
        <v>1006.817895343558</v>
      </c>
      <c r="J33" s="68">
        <v>1018.7196133563651</v>
      </c>
      <c r="K33" s="68">
        <v>966.48035769382159</v>
      </c>
      <c r="L33" s="68">
        <v>1010.3467938896396</v>
      </c>
      <c r="M33" s="68">
        <v>1049.5873210912359</v>
      </c>
      <c r="N33" s="68">
        <v>1172.309110799991</v>
      </c>
      <c r="O33" s="68">
        <v>1197.1556918093547</v>
      </c>
      <c r="P33" s="68">
        <v>1177.6969098167012</v>
      </c>
      <c r="Q33" s="68">
        <v>1118.9200646875156</v>
      </c>
      <c r="R33" s="68">
        <v>1194.3128757151533</v>
      </c>
      <c r="S33" s="68">
        <v>1150.6040377320414</v>
      </c>
      <c r="T33" s="68">
        <v>1194.5164577534663</v>
      </c>
      <c r="U33" s="68">
        <v>1175.432779375926</v>
      </c>
      <c r="V33" s="68">
        <v>1102.6448894006801</v>
      </c>
      <c r="W33" s="68">
        <v>1052.0071127802521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10080.27375276615</v>
      </c>
      <c r="C3" s="126">
        <f t="shared" si="0"/>
        <v>10776.090396826417</v>
      </c>
      <c r="D3" s="126">
        <f t="shared" si="0"/>
        <v>10337.683017544947</v>
      </c>
      <c r="E3" s="126">
        <f t="shared" si="0"/>
        <v>11742.000649671048</v>
      </c>
      <c r="F3" s="126">
        <f t="shared" si="0"/>
        <v>11774.829122730742</v>
      </c>
      <c r="G3" s="126">
        <f t="shared" si="0"/>
        <v>11929.53257047379</v>
      </c>
      <c r="H3" s="126">
        <f t="shared" si="0"/>
        <v>11724.482521238237</v>
      </c>
      <c r="I3" s="126">
        <f t="shared" si="0"/>
        <v>11226.47356701717</v>
      </c>
      <c r="J3" s="126">
        <f t="shared" si="0"/>
        <v>11433.5931044796</v>
      </c>
      <c r="K3" s="126">
        <f t="shared" si="0"/>
        <v>12536.85775923646</v>
      </c>
      <c r="L3" s="126">
        <f t="shared" si="0"/>
        <v>13506.737248525791</v>
      </c>
      <c r="M3" s="126">
        <f t="shared" si="0"/>
        <v>11631.872081822872</v>
      </c>
      <c r="N3" s="126">
        <f t="shared" si="0"/>
        <v>12799.38959474794</v>
      </c>
      <c r="O3" s="126">
        <f t="shared" si="0"/>
        <v>13410.95582399488</v>
      </c>
      <c r="P3" s="126">
        <f t="shared" si="0"/>
        <v>11993.572055162949</v>
      </c>
      <c r="Q3" s="126">
        <f t="shared" si="0"/>
        <v>12884.890178335154</v>
      </c>
      <c r="R3" s="126">
        <f t="shared" ref="R3:W3" si="1">SUM(R4,R16,R19,R29)</f>
        <v>12919.245161307304</v>
      </c>
      <c r="S3" s="126">
        <f t="shared" si="1"/>
        <v>13375.323921768344</v>
      </c>
      <c r="T3" s="126">
        <f t="shared" si="1"/>
        <v>13556.84007031601</v>
      </c>
      <c r="U3" s="126">
        <f t="shared" si="1"/>
        <v>13472.924956090048</v>
      </c>
      <c r="V3" s="126">
        <f t="shared" si="1"/>
        <v>12716.024366464986</v>
      </c>
      <c r="W3" s="126">
        <f t="shared" si="1"/>
        <v>13761.56712577834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7239.4883366000468</v>
      </c>
      <c r="C4" s="131">
        <f t="shared" si="2"/>
        <v>7837.6963747333612</v>
      </c>
      <c r="D4" s="131">
        <f t="shared" si="2"/>
        <v>7337.6081523359626</v>
      </c>
      <c r="E4" s="131">
        <f t="shared" si="2"/>
        <v>8198.1402585619908</v>
      </c>
      <c r="F4" s="131">
        <f t="shared" si="2"/>
        <v>8587.0842010174511</v>
      </c>
      <c r="G4" s="131">
        <f t="shared" si="2"/>
        <v>8603.9187913523892</v>
      </c>
      <c r="H4" s="131">
        <f t="shared" si="2"/>
        <v>8155.6591305813963</v>
      </c>
      <c r="I4" s="131">
        <f t="shared" si="2"/>
        <v>7775.5304879084115</v>
      </c>
      <c r="J4" s="131">
        <f t="shared" si="2"/>
        <v>7830.9313934994425</v>
      </c>
      <c r="K4" s="131">
        <f t="shared" si="2"/>
        <v>8719.2509620452511</v>
      </c>
      <c r="L4" s="131">
        <f t="shared" si="2"/>
        <v>9612.8270339906358</v>
      </c>
      <c r="M4" s="131">
        <f t="shared" si="2"/>
        <v>7672.0721740072659</v>
      </c>
      <c r="N4" s="131">
        <f t="shared" si="2"/>
        <v>8706.9362568474662</v>
      </c>
      <c r="O4" s="131">
        <f t="shared" si="2"/>
        <v>9257.4711382186815</v>
      </c>
      <c r="P4" s="131">
        <f t="shared" si="2"/>
        <v>7848.3176259820239</v>
      </c>
      <c r="Q4" s="131">
        <f t="shared" si="2"/>
        <v>8369.8956708557853</v>
      </c>
      <c r="R4" s="131">
        <f t="shared" ref="R4:W4" si="3">SUM(R5:R15)</f>
        <v>8499.6644098401866</v>
      </c>
      <c r="S4" s="131">
        <f t="shared" si="3"/>
        <v>8772.4519508223912</v>
      </c>
      <c r="T4" s="131">
        <f t="shared" si="3"/>
        <v>8865.582685919795</v>
      </c>
      <c r="U4" s="131">
        <f t="shared" si="3"/>
        <v>8733.0979449799015</v>
      </c>
      <c r="V4" s="131">
        <f t="shared" si="3"/>
        <v>8142.7379726658646</v>
      </c>
      <c r="W4" s="131">
        <f t="shared" si="3"/>
        <v>9184.706133644424</v>
      </c>
      <c r="DA4" s="156" t="s">
        <v>301</v>
      </c>
    </row>
    <row r="5" spans="1:105" ht="12" customHeight="1" x14ac:dyDescent="0.25">
      <c r="A5" s="132" t="s">
        <v>29</v>
      </c>
      <c r="B5" s="133">
        <v>140.8071225195832</v>
      </c>
      <c r="C5" s="133">
        <v>137.16652442037048</v>
      </c>
      <c r="D5" s="133">
        <v>94.863085481046596</v>
      </c>
      <c r="E5" s="133">
        <v>107.25918554691739</v>
      </c>
      <c r="F5" s="133">
        <v>106.92184894637775</v>
      </c>
      <c r="G5" s="133">
        <v>115.59981347494042</v>
      </c>
      <c r="H5" s="133">
        <v>115.92515179374753</v>
      </c>
      <c r="I5" s="133">
        <v>112.40484198625262</v>
      </c>
      <c r="J5" s="133">
        <v>102.0936675900417</v>
      </c>
      <c r="K5" s="133">
        <v>90.417469545948805</v>
      </c>
      <c r="L5" s="133">
        <v>102.60120876450927</v>
      </c>
      <c r="M5" s="133">
        <v>28.728611820850997</v>
      </c>
      <c r="N5" s="133">
        <v>32.724857480398519</v>
      </c>
      <c r="O5" s="133">
        <v>36.864033408862973</v>
      </c>
      <c r="P5" s="133">
        <v>27.505048963129806</v>
      </c>
      <c r="Q5" s="133">
        <v>28.229160381911974</v>
      </c>
      <c r="R5" s="133">
        <v>29.276436980342964</v>
      </c>
      <c r="S5" s="133">
        <v>27.359694790775773</v>
      </c>
      <c r="T5" s="133">
        <v>24.090179593657155</v>
      </c>
      <c r="U5" s="133">
        <v>23.480713811187655</v>
      </c>
      <c r="V5" s="133">
        <v>21.357260430464109</v>
      </c>
      <c r="W5" s="133">
        <v>26.570243265517032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1967.1971233286195</v>
      </c>
      <c r="C7" s="133">
        <v>2168.1159012372559</v>
      </c>
      <c r="D7" s="133">
        <v>1812.6745738648488</v>
      </c>
      <c r="E7" s="133">
        <v>1883.2458440246221</v>
      </c>
      <c r="F7" s="133">
        <v>1864.6802199620511</v>
      </c>
      <c r="G7" s="133">
        <v>1773.5276213368513</v>
      </c>
      <c r="H7" s="133">
        <v>1662.4111986075275</v>
      </c>
      <c r="I7" s="133">
        <v>1457.6895108958108</v>
      </c>
      <c r="J7" s="133">
        <v>1772.1470923101322</v>
      </c>
      <c r="K7" s="133">
        <v>1733.8474427455403</v>
      </c>
      <c r="L7" s="133">
        <v>1601.6222259104425</v>
      </c>
      <c r="M7" s="133">
        <v>1368.0764529894363</v>
      </c>
      <c r="N7" s="133">
        <v>1427.6289178499896</v>
      </c>
      <c r="O7" s="133">
        <v>1514.973831582201</v>
      </c>
      <c r="P7" s="133">
        <v>1339.329961216637</v>
      </c>
      <c r="Q7" s="133">
        <v>1390.4453588923991</v>
      </c>
      <c r="R7" s="133">
        <v>1244.1578401493448</v>
      </c>
      <c r="S7" s="133">
        <v>1321.4590864478107</v>
      </c>
      <c r="T7" s="133">
        <v>1293.3580396233122</v>
      </c>
      <c r="U7" s="133">
        <v>1287.7512996128494</v>
      </c>
      <c r="V7" s="133">
        <v>1249.7327209857933</v>
      </c>
      <c r="W7" s="133">
        <v>1279.3589728037068</v>
      </c>
      <c r="DA7" s="157" t="s">
        <v>304</v>
      </c>
    </row>
    <row r="8" spans="1:105" ht="12" customHeight="1" x14ac:dyDescent="0.25">
      <c r="A8" s="132" t="s">
        <v>73</v>
      </c>
      <c r="B8" s="133">
        <v>0.27999269119250147</v>
      </c>
      <c r="C8" s="133">
        <v>0.55839028626301057</v>
      </c>
      <c r="D8" s="133">
        <v>1.0385854993151031</v>
      </c>
      <c r="E8" s="133">
        <v>2.228552553201812</v>
      </c>
      <c r="F8" s="133">
        <v>3.7228826818001428</v>
      </c>
      <c r="G8" s="133">
        <v>8.3853463584297128</v>
      </c>
      <c r="H8" s="133">
        <v>10.56716429901142</v>
      </c>
      <c r="I8" s="133">
        <v>13.278070989148967</v>
      </c>
      <c r="J8" s="133">
        <v>15.359783996906783</v>
      </c>
      <c r="K8" s="133">
        <v>14.261804200847052</v>
      </c>
      <c r="L8" s="133">
        <v>16.155118533610203</v>
      </c>
      <c r="M8" s="133">
        <v>35.138537060528648</v>
      </c>
      <c r="N8" s="133">
        <v>43.314227294993884</v>
      </c>
      <c r="O8" s="133">
        <v>62.852666590081512</v>
      </c>
      <c r="P8" s="133">
        <v>68.109952550819685</v>
      </c>
      <c r="Q8" s="133">
        <v>87.034205528047409</v>
      </c>
      <c r="R8" s="133">
        <v>98.110647355580099</v>
      </c>
      <c r="S8" s="133">
        <v>103.77377218873937</v>
      </c>
      <c r="T8" s="133">
        <v>108.92257744676702</v>
      </c>
      <c r="U8" s="133">
        <v>112.03756757492225</v>
      </c>
      <c r="V8" s="133">
        <v>99.80649669707654</v>
      </c>
      <c r="W8" s="133">
        <v>116.45186097748368</v>
      </c>
      <c r="DA8" s="157" t="s">
        <v>305</v>
      </c>
    </row>
    <row r="9" spans="1:105" ht="12" customHeight="1" x14ac:dyDescent="0.25">
      <c r="A9" s="132" t="s">
        <v>78</v>
      </c>
      <c r="B9" s="133">
        <v>1782.0500202178678</v>
      </c>
      <c r="C9" s="133">
        <v>1849.5251895535125</v>
      </c>
      <c r="D9" s="133">
        <v>1636.3056373985639</v>
      </c>
      <c r="E9" s="133">
        <v>2311.6080125357744</v>
      </c>
      <c r="F9" s="133">
        <v>2479.8179625461198</v>
      </c>
      <c r="G9" s="133">
        <v>2732.3661804722396</v>
      </c>
      <c r="H9" s="133">
        <v>2437.0965310480005</v>
      </c>
      <c r="I9" s="133">
        <v>2630.4783747939837</v>
      </c>
      <c r="J9" s="133">
        <v>2451.5926591262878</v>
      </c>
      <c r="K9" s="133">
        <v>3094.0893052123929</v>
      </c>
      <c r="L9" s="133">
        <v>3660.4624985939645</v>
      </c>
      <c r="M9" s="133">
        <v>2698.0796233072415</v>
      </c>
      <c r="N9" s="133">
        <v>3336.5791308674156</v>
      </c>
      <c r="O9" s="133">
        <v>3637.065981890994</v>
      </c>
      <c r="P9" s="133">
        <v>3019.5505089526641</v>
      </c>
      <c r="Q9" s="133">
        <v>3240.3594949508815</v>
      </c>
      <c r="R9" s="133">
        <v>3355.788644206003</v>
      </c>
      <c r="S9" s="133">
        <v>3568.5084840001514</v>
      </c>
      <c r="T9" s="133">
        <v>3812.5535559697323</v>
      </c>
      <c r="U9" s="133">
        <v>3792.9647487427846</v>
      </c>
      <c r="V9" s="133">
        <v>3527.6110279103991</v>
      </c>
      <c r="W9" s="133">
        <v>3919.9250263429813</v>
      </c>
      <c r="DA9" s="157" t="s">
        <v>306</v>
      </c>
    </row>
    <row r="10" spans="1:105" ht="12" customHeight="1" x14ac:dyDescent="0.25">
      <c r="A10" s="132" t="s">
        <v>128</v>
      </c>
      <c r="B10" s="133">
        <v>130.08677158848548</v>
      </c>
      <c r="C10" s="133">
        <v>159.57959076113886</v>
      </c>
      <c r="D10" s="133">
        <v>194.58476967686477</v>
      </c>
      <c r="E10" s="133">
        <v>229.00137305548247</v>
      </c>
      <c r="F10" s="133">
        <v>245.90689369643965</v>
      </c>
      <c r="G10" s="133">
        <v>135.57452116923804</v>
      </c>
      <c r="H10" s="133">
        <v>96.271399285134152</v>
      </c>
      <c r="I10" s="133">
        <v>160.23105767537407</v>
      </c>
      <c r="J10" s="133">
        <v>177.54913693753787</v>
      </c>
      <c r="K10" s="133">
        <v>236.63296629700898</v>
      </c>
      <c r="L10" s="133">
        <v>201.60812469044694</v>
      </c>
      <c r="M10" s="133">
        <v>130.33002437808358</v>
      </c>
      <c r="N10" s="133">
        <v>164.68898398400583</v>
      </c>
      <c r="O10" s="133">
        <v>233.06946464079161</v>
      </c>
      <c r="P10" s="133">
        <v>203.53185762985004</v>
      </c>
      <c r="Q10" s="133">
        <v>190.9425488079527</v>
      </c>
      <c r="R10" s="133">
        <v>212.08322744009979</v>
      </c>
      <c r="S10" s="133">
        <v>218.53885543929695</v>
      </c>
      <c r="T10" s="133">
        <v>199.18831037253628</v>
      </c>
      <c r="U10" s="133">
        <v>202.73285276828105</v>
      </c>
      <c r="V10" s="133">
        <v>212.83593018544138</v>
      </c>
      <c r="W10" s="133">
        <v>259.44450370486078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34.07349589997326</v>
      </c>
      <c r="E11" s="133">
        <v>34.370045392500906</v>
      </c>
      <c r="F11" s="133">
        <v>34.627902976034129</v>
      </c>
      <c r="G11" s="133">
        <v>11.790338536149873</v>
      </c>
      <c r="H11" s="133">
        <v>11.790338536149877</v>
      </c>
      <c r="I11" s="133">
        <v>11.790338536149877</v>
      </c>
      <c r="J11" s="133">
        <v>11.790338536149877</v>
      </c>
      <c r="K11" s="133">
        <v>11.781655490321223</v>
      </c>
      <c r="L11" s="133">
        <v>11.798535489048774</v>
      </c>
      <c r="M11" s="133">
        <v>14.639278080908086</v>
      </c>
      <c r="N11" s="133">
        <v>14.658591805068601</v>
      </c>
      <c r="O11" s="133">
        <v>14.669081341238329</v>
      </c>
      <c r="P11" s="133">
        <v>13.903515659739526</v>
      </c>
      <c r="Q11" s="133">
        <v>14.035775538726693</v>
      </c>
      <c r="R11" s="133">
        <v>14.208555745843244</v>
      </c>
      <c r="S11" s="133">
        <v>14.426601730540636</v>
      </c>
      <c r="T11" s="133">
        <v>14.708404071608305</v>
      </c>
      <c r="U11" s="133">
        <v>14.751329572234342</v>
      </c>
      <c r="V11" s="133">
        <v>14.768537208462707</v>
      </c>
      <c r="W11" s="133">
        <v>14.785239148301352</v>
      </c>
      <c r="DA11" s="157" t="s">
        <v>308</v>
      </c>
    </row>
    <row r="12" spans="1:105" ht="12" customHeight="1" x14ac:dyDescent="0.25">
      <c r="A12" s="132" t="s">
        <v>169</v>
      </c>
      <c r="B12" s="133">
        <v>845.81974123543034</v>
      </c>
      <c r="C12" s="133">
        <v>1046.731671778896</v>
      </c>
      <c r="D12" s="133">
        <v>1098.9668242859163</v>
      </c>
      <c r="E12" s="133">
        <v>1063.1908852775834</v>
      </c>
      <c r="F12" s="133">
        <v>1079.7936270150026</v>
      </c>
      <c r="G12" s="133">
        <v>1124.7738626489461</v>
      </c>
      <c r="H12" s="133">
        <v>1053.1850919936853</v>
      </c>
      <c r="I12" s="133">
        <v>522.41540424013965</v>
      </c>
      <c r="J12" s="133">
        <v>567.9725734180563</v>
      </c>
      <c r="K12" s="133">
        <v>492.30963365843706</v>
      </c>
      <c r="L12" s="133">
        <v>560.39907432317489</v>
      </c>
      <c r="M12" s="133">
        <v>473.58184872058052</v>
      </c>
      <c r="N12" s="133">
        <v>475.10985768046766</v>
      </c>
      <c r="O12" s="133">
        <v>508.60206777328079</v>
      </c>
      <c r="P12" s="133">
        <v>486.45980736357382</v>
      </c>
      <c r="Q12" s="133">
        <v>532.85258772887823</v>
      </c>
      <c r="R12" s="133">
        <v>595.06217987657703</v>
      </c>
      <c r="S12" s="133">
        <v>618.11331921108865</v>
      </c>
      <c r="T12" s="133">
        <v>604.49900047889332</v>
      </c>
      <c r="U12" s="133">
        <v>610.997159403316</v>
      </c>
      <c r="V12" s="133">
        <v>631.1531722463543</v>
      </c>
      <c r="W12" s="133">
        <v>721.6822691806417</v>
      </c>
      <c r="DA12" s="157" t="s">
        <v>309</v>
      </c>
    </row>
    <row r="13" spans="1:105" ht="12" customHeight="1" x14ac:dyDescent="0.25">
      <c r="A13" s="132" t="s">
        <v>77</v>
      </c>
      <c r="B13" s="133">
        <v>79.084668434110583</v>
      </c>
      <c r="C13" s="133">
        <v>89.542435960703486</v>
      </c>
      <c r="D13" s="133">
        <v>111.06325927793583</v>
      </c>
      <c r="E13" s="133">
        <v>127.53670967635057</v>
      </c>
      <c r="F13" s="133">
        <v>146.80253942794585</v>
      </c>
      <c r="G13" s="133">
        <v>176.57316220143838</v>
      </c>
      <c r="H13" s="133">
        <v>195.7155461730834</v>
      </c>
      <c r="I13" s="133">
        <v>206.79165427222324</v>
      </c>
      <c r="J13" s="133">
        <v>241.83096822682379</v>
      </c>
      <c r="K13" s="133">
        <v>265.07817141508013</v>
      </c>
      <c r="L13" s="133">
        <v>291.56267262148015</v>
      </c>
      <c r="M13" s="133">
        <v>444.56770483608881</v>
      </c>
      <c r="N13" s="133">
        <v>520.80857032181484</v>
      </c>
      <c r="O13" s="133">
        <v>575.54248560415692</v>
      </c>
      <c r="P13" s="133">
        <v>488.06596894007487</v>
      </c>
      <c r="Q13" s="133">
        <v>520.67903291894959</v>
      </c>
      <c r="R13" s="133">
        <v>571.81911406303277</v>
      </c>
      <c r="S13" s="133">
        <v>553.06865870447598</v>
      </c>
      <c r="T13" s="133">
        <v>518.55030723498908</v>
      </c>
      <c r="U13" s="133">
        <v>535.2844452567798</v>
      </c>
      <c r="V13" s="133">
        <v>506.81689521163628</v>
      </c>
      <c r="W13" s="133">
        <v>593.52229452218626</v>
      </c>
      <c r="DA13" s="157" t="s">
        <v>310</v>
      </c>
    </row>
    <row r="14" spans="1:105" ht="12" customHeight="1" x14ac:dyDescent="0.25">
      <c r="A14" s="60" t="s">
        <v>76</v>
      </c>
      <c r="B14" s="65">
        <v>2212.2385161031148</v>
      </c>
      <c r="C14" s="65">
        <v>2299.7611495744213</v>
      </c>
      <c r="D14" s="65">
        <v>2279.6101023966439</v>
      </c>
      <c r="E14" s="65">
        <v>2352.3460521860538</v>
      </c>
      <c r="F14" s="65">
        <v>2536.0102007816281</v>
      </c>
      <c r="G14" s="65">
        <v>2435.8949551765422</v>
      </c>
      <c r="H14" s="65">
        <v>2492.6188197686633</v>
      </c>
      <c r="I14" s="65">
        <v>2583.5621251109596</v>
      </c>
      <c r="J14" s="65">
        <v>2412.1320940568048</v>
      </c>
      <c r="K14" s="65">
        <v>2692.9539685756122</v>
      </c>
      <c r="L14" s="65">
        <v>3072.3216684106401</v>
      </c>
      <c r="M14" s="65">
        <v>2407.2140209983208</v>
      </c>
      <c r="N14" s="65">
        <v>2608.4726288762154</v>
      </c>
      <c r="O14" s="65">
        <v>2584.4285449476079</v>
      </c>
      <c r="P14" s="65">
        <v>2126.5058746309332</v>
      </c>
      <c r="Q14" s="65">
        <v>2285.8978566031346</v>
      </c>
      <c r="R14" s="65">
        <v>2300.2048678893734</v>
      </c>
      <c r="S14" s="65">
        <v>2263.8090774478583</v>
      </c>
      <c r="T14" s="65">
        <v>2203.4070578872793</v>
      </c>
      <c r="U14" s="65">
        <v>2067.4095548001978</v>
      </c>
      <c r="V14" s="65">
        <v>1797.9056192551488</v>
      </c>
      <c r="W14" s="65">
        <v>2164.8460031915379</v>
      </c>
      <c r="DA14" s="109" t="s">
        <v>311</v>
      </c>
    </row>
    <row r="15" spans="1:105" ht="12" customHeight="1" x14ac:dyDescent="0.25">
      <c r="A15" s="134" t="s">
        <v>80</v>
      </c>
      <c r="B15" s="135">
        <v>81.924380481643553</v>
      </c>
      <c r="C15" s="135">
        <v>86.715521160798744</v>
      </c>
      <c r="D15" s="135">
        <v>74.427818554855008</v>
      </c>
      <c r="E15" s="135">
        <v>87.353598313504776</v>
      </c>
      <c r="F15" s="135">
        <v>88.800122984051342</v>
      </c>
      <c r="G15" s="135">
        <v>89.43298997761228</v>
      </c>
      <c r="H15" s="135">
        <v>80.077889076393035</v>
      </c>
      <c r="I15" s="135">
        <v>76.889109408368142</v>
      </c>
      <c r="J15" s="135">
        <v>78.463079300702148</v>
      </c>
      <c r="K15" s="135">
        <v>87.878544904063162</v>
      </c>
      <c r="L15" s="135">
        <v>94.295906653317374</v>
      </c>
      <c r="M15" s="135">
        <v>71.716071815226726</v>
      </c>
      <c r="N15" s="135">
        <v>82.950490687096078</v>
      </c>
      <c r="O15" s="135">
        <v>89.402980439466759</v>
      </c>
      <c r="P15" s="135">
        <v>75.355130074602513</v>
      </c>
      <c r="Q15" s="135">
        <v>79.419649504903461</v>
      </c>
      <c r="R15" s="135">
        <v>78.95289613399197</v>
      </c>
      <c r="S15" s="135">
        <v>83.394400861654077</v>
      </c>
      <c r="T15" s="135">
        <v>86.305253241020523</v>
      </c>
      <c r="U15" s="135">
        <v>85.688273437347675</v>
      </c>
      <c r="V15" s="135">
        <v>80.750312535087716</v>
      </c>
      <c r="W15" s="135">
        <v>88.119720507207532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530.5760273686526</v>
      </c>
      <c r="C16" s="131">
        <f t="shared" si="4"/>
        <v>610.80599693108695</v>
      </c>
      <c r="D16" s="131">
        <f t="shared" si="4"/>
        <v>633.54892600420123</v>
      </c>
      <c r="E16" s="131">
        <f t="shared" si="4"/>
        <v>1186.8152837666928</v>
      </c>
      <c r="F16" s="131">
        <f t="shared" si="4"/>
        <v>741.96231631858473</v>
      </c>
      <c r="G16" s="131">
        <f t="shared" si="4"/>
        <v>857.49053105396843</v>
      </c>
      <c r="H16" s="131">
        <f t="shared" si="4"/>
        <v>1089.842880714355</v>
      </c>
      <c r="I16" s="131">
        <f t="shared" si="4"/>
        <v>926.13884385931578</v>
      </c>
      <c r="J16" s="131">
        <f t="shared" si="4"/>
        <v>997.05153027066694</v>
      </c>
      <c r="K16" s="131">
        <f t="shared" si="4"/>
        <v>1123.0393287459926</v>
      </c>
      <c r="L16" s="131">
        <f t="shared" si="4"/>
        <v>1147.561945718194</v>
      </c>
      <c r="M16" s="131">
        <f t="shared" si="4"/>
        <v>1167.9863151949437</v>
      </c>
      <c r="N16" s="131">
        <f t="shared" si="4"/>
        <v>1243.1156276479244</v>
      </c>
      <c r="O16" s="131">
        <f t="shared" si="4"/>
        <v>1252.9748328333969</v>
      </c>
      <c r="P16" s="131">
        <f t="shared" si="4"/>
        <v>1204.729021122065</v>
      </c>
      <c r="Q16" s="131">
        <f t="shared" si="4"/>
        <v>1554.0035724019747</v>
      </c>
      <c r="R16" s="131">
        <f t="shared" ref="R16:W16" si="5">SUM(R17:R18)</f>
        <v>1392.826977153047</v>
      </c>
      <c r="S16" s="131">
        <f t="shared" si="5"/>
        <v>1557.6940326141557</v>
      </c>
      <c r="T16" s="131">
        <f t="shared" si="5"/>
        <v>1584.3291859130782</v>
      </c>
      <c r="U16" s="131">
        <f t="shared" si="5"/>
        <v>1646.2800600281794</v>
      </c>
      <c r="V16" s="131">
        <f t="shared" si="5"/>
        <v>1690.7716752123119</v>
      </c>
      <c r="W16" s="131">
        <f t="shared" si="5"/>
        <v>1443.2910826518721</v>
      </c>
      <c r="DA16" s="156" t="s">
        <v>313</v>
      </c>
    </row>
    <row r="17" spans="1:105" ht="12.95" customHeight="1" x14ac:dyDescent="0.25">
      <c r="A17" s="132" t="s">
        <v>73</v>
      </c>
      <c r="B17" s="133">
        <v>1.6982473311011634</v>
      </c>
      <c r="C17" s="133">
        <v>2.1768694596709874</v>
      </c>
      <c r="D17" s="133">
        <v>2.4125794761841766</v>
      </c>
      <c r="E17" s="133">
        <v>6.4583165454370786</v>
      </c>
      <c r="F17" s="133">
        <v>3.6141093875883521</v>
      </c>
      <c r="G17" s="133">
        <v>3.9099546408535599</v>
      </c>
      <c r="H17" s="133">
        <v>7.0503695363410319</v>
      </c>
      <c r="I17" s="133">
        <v>6.4409180669758825</v>
      </c>
      <c r="J17" s="133">
        <v>8.038153571488035</v>
      </c>
      <c r="K17" s="133">
        <v>9.3189123392411748</v>
      </c>
      <c r="L17" s="133">
        <v>10.672631055681522</v>
      </c>
      <c r="M17" s="133">
        <v>14.310918444455577</v>
      </c>
      <c r="N17" s="133">
        <v>21.778102291689091</v>
      </c>
      <c r="O17" s="133">
        <v>26.761721584910983</v>
      </c>
      <c r="P17" s="133">
        <v>27.610543800719917</v>
      </c>
      <c r="Q17" s="133">
        <v>44.790502898497891</v>
      </c>
      <c r="R17" s="133">
        <v>43.592652491102506</v>
      </c>
      <c r="S17" s="133">
        <v>55.660409544892467</v>
      </c>
      <c r="T17" s="133">
        <v>61.278795860380178</v>
      </c>
      <c r="U17" s="133">
        <v>68.830093227126625</v>
      </c>
      <c r="V17" s="133">
        <v>71.5103767485855</v>
      </c>
      <c r="W17" s="133">
        <v>59.952852006559141</v>
      </c>
      <c r="DA17" s="157" t="s">
        <v>314</v>
      </c>
    </row>
    <row r="18" spans="1:105" ht="12" customHeight="1" x14ac:dyDescent="0.25">
      <c r="A18" s="132" t="s">
        <v>72</v>
      </c>
      <c r="B18" s="133">
        <v>528.87778003755147</v>
      </c>
      <c r="C18" s="133">
        <v>608.62912747141593</v>
      </c>
      <c r="D18" s="133">
        <v>631.13634652801704</v>
      </c>
      <c r="E18" s="133">
        <v>1180.3569672212557</v>
      </c>
      <c r="F18" s="133">
        <v>738.34820693099641</v>
      </c>
      <c r="G18" s="133">
        <v>853.58057641311484</v>
      </c>
      <c r="H18" s="133">
        <v>1082.7925111780139</v>
      </c>
      <c r="I18" s="133">
        <v>919.6979257923399</v>
      </c>
      <c r="J18" s="133">
        <v>989.01337669917893</v>
      </c>
      <c r="K18" s="133">
        <v>1113.7204164067514</v>
      </c>
      <c r="L18" s="133">
        <v>1136.8893146625126</v>
      </c>
      <c r="M18" s="133">
        <v>1153.6753967504881</v>
      </c>
      <c r="N18" s="133">
        <v>1221.3375253562353</v>
      </c>
      <c r="O18" s="133">
        <v>1226.213111248486</v>
      </c>
      <c r="P18" s="133">
        <v>1177.1184773213452</v>
      </c>
      <c r="Q18" s="133">
        <v>1509.2130695034768</v>
      </c>
      <c r="R18" s="133">
        <v>1349.2343246619446</v>
      </c>
      <c r="S18" s="133">
        <v>1502.0336230692633</v>
      </c>
      <c r="T18" s="133">
        <v>1523.050390052698</v>
      </c>
      <c r="U18" s="133">
        <v>1577.4499668010528</v>
      </c>
      <c r="V18" s="133">
        <v>1619.2612984637265</v>
      </c>
      <c r="W18" s="133">
        <v>1383.3382306453129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1199.2754210386452</v>
      </c>
      <c r="C19" s="131">
        <f t="shared" si="6"/>
        <v>1197.680667323941</v>
      </c>
      <c r="D19" s="131">
        <f t="shared" si="6"/>
        <v>1214.4616195217241</v>
      </c>
      <c r="E19" s="131">
        <f t="shared" si="6"/>
        <v>1205.1190734924949</v>
      </c>
      <c r="F19" s="131">
        <f t="shared" si="6"/>
        <v>1256.3545516806585</v>
      </c>
      <c r="G19" s="131">
        <f t="shared" si="6"/>
        <v>1262.6807194651042</v>
      </c>
      <c r="H19" s="131">
        <f t="shared" si="6"/>
        <v>1260.1428075523427</v>
      </c>
      <c r="I19" s="131">
        <f t="shared" si="6"/>
        <v>1268.2403143535664</v>
      </c>
      <c r="J19" s="131">
        <f t="shared" si="6"/>
        <v>1313.731453854612</v>
      </c>
      <c r="K19" s="131">
        <f t="shared" si="6"/>
        <v>1348.767833626845</v>
      </c>
      <c r="L19" s="131">
        <f t="shared" si="6"/>
        <v>1360.8671002911824</v>
      </c>
      <c r="M19" s="131">
        <f t="shared" si="6"/>
        <v>1380.4581829755809</v>
      </c>
      <c r="N19" s="131">
        <f t="shared" si="6"/>
        <v>1411.0307573261916</v>
      </c>
      <c r="O19" s="131">
        <f t="shared" si="6"/>
        <v>1441.215661578223</v>
      </c>
      <c r="P19" s="131">
        <f t="shared" si="6"/>
        <v>1457.0355347278942</v>
      </c>
      <c r="Q19" s="131">
        <f t="shared" si="6"/>
        <v>1468.5565495648661</v>
      </c>
      <c r="R19" s="131">
        <f t="shared" ref="R19:W19" si="7">SUM(R20:R27)</f>
        <v>1495.7398986021688</v>
      </c>
      <c r="S19" s="131">
        <f t="shared" si="7"/>
        <v>1508.1371363104997</v>
      </c>
      <c r="T19" s="131">
        <f t="shared" si="7"/>
        <v>1552.5878796047232</v>
      </c>
      <c r="U19" s="131">
        <f t="shared" si="7"/>
        <v>1528.43632405525</v>
      </c>
      <c r="V19" s="131">
        <f t="shared" si="7"/>
        <v>1433.3547661772852</v>
      </c>
      <c r="W19" s="131">
        <f t="shared" si="7"/>
        <v>1555.4105979769786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30.329531636475053</v>
      </c>
      <c r="C21" s="133">
        <v>31.922894936464207</v>
      </c>
      <c r="D21" s="133">
        <v>35.582617321957919</v>
      </c>
      <c r="E21" s="133">
        <v>37.899504204928277</v>
      </c>
      <c r="F21" s="133">
        <v>38.625820279976864</v>
      </c>
      <c r="G21" s="133">
        <v>37.416481908290386</v>
      </c>
      <c r="H21" s="133">
        <v>39.359598420854418</v>
      </c>
      <c r="I21" s="133">
        <v>40.383002076158952</v>
      </c>
      <c r="J21" s="133">
        <v>41.039207713405595</v>
      </c>
      <c r="K21" s="133">
        <v>41.991839752173846</v>
      </c>
      <c r="L21" s="133">
        <v>39.4630162489632</v>
      </c>
      <c r="M21" s="133">
        <v>39.156940160868892</v>
      </c>
      <c r="N21" s="133">
        <v>38.334711240173029</v>
      </c>
      <c r="O21" s="133">
        <v>37.869015702607783</v>
      </c>
      <c r="P21" s="133">
        <v>37.917415808547211</v>
      </c>
      <c r="Q21" s="133">
        <v>36.706423960799818</v>
      </c>
      <c r="R21" s="133">
        <v>35.636296176710225</v>
      </c>
      <c r="S21" s="133">
        <v>35.035861471969149</v>
      </c>
      <c r="T21" s="133">
        <v>22.344769556013869</v>
      </c>
      <c r="U21" s="133">
        <v>21.672219790950873</v>
      </c>
      <c r="V21" s="133">
        <v>20.557017402800923</v>
      </c>
      <c r="W21" s="133">
        <v>21.485882955965273</v>
      </c>
      <c r="DA21" s="157" t="s">
        <v>318</v>
      </c>
    </row>
    <row r="22" spans="1:105" ht="12" customHeight="1" x14ac:dyDescent="0.25">
      <c r="A22" s="132" t="s">
        <v>168</v>
      </c>
      <c r="B22" s="133">
        <v>213.65700597209872</v>
      </c>
      <c r="C22" s="133">
        <v>217.0550394586478</v>
      </c>
      <c r="D22" s="133">
        <v>215.77530490741117</v>
      </c>
      <c r="E22" s="133">
        <v>215.85105879545478</v>
      </c>
      <c r="F22" s="133">
        <v>218.63077161328911</v>
      </c>
      <c r="G22" s="133">
        <v>216.8788913016875</v>
      </c>
      <c r="H22" s="133">
        <v>207.59332213461857</v>
      </c>
      <c r="I22" s="133">
        <v>197.46689907339112</v>
      </c>
      <c r="J22" s="133">
        <v>201.17935959381632</v>
      </c>
      <c r="K22" s="133">
        <v>199.69413802155694</v>
      </c>
      <c r="L22" s="133">
        <v>189.13147502678399</v>
      </c>
      <c r="M22" s="133">
        <v>183.33865643853864</v>
      </c>
      <c r="N22" s="133">
        <v>209.30622630697283</v>
      </c>
      <c r="O22" s="133">
        <v>215.19487732224991</v>
      </c>
      <c r="P22" s="133">
        <v>214.69167832007614</v>
      </c>
      <c r="Q22" s="133">
        <v>230.8724888317908</v>
      </c>
      <c r="R22" s="133">
        <v>200.85195448562567</v>
      </c>
      <c r="S22" s="133">
        <v>213.55830507612598</v>
      </c>
      <c r="T22" s="133">
        <v>196.96622600596433</v>
      </c>
      <c r="U22" s="133">
        <v>186.99107926598379</v>
      </c>
      <c r="V22" s="133">
        <v>181.71338317450366</v>
      </c>
      <c r="W22" s="133">
        <v>164.22905958571772</v>
      </c>
      <c r="DA22" s="157" t="s">
        <v>319</v>
      </c>
    </row>
    <row r="23" spans="1:105" ht="12" customHeight="1" x14ac:dyDescent="0.25">
      <c r="A23" s="132" t="s">
        <v>153</v>
      </c>
      <c r="B23" s="133">
        <v>220.88689402922301</v>
      </c>
      <c r="C23" s="133">
        <v>220.69443499257503</v>
      </c>
      <c r="D23" s="133">
        <v>221.71611944891825</v>
      </c>
      <c r="E23" s="133">
        <v>227.45651954567003</v>
      </c>
      <c r="F23" s="133">
        <v>225.98199830074168</v>
      </c>
      <c r="G23" s="133">
        <v>211.80753803875575</v>
      </c>
      <c r="H23" s="133">
        <v>202.84333135102526</v>
      </c>
      <c r="I23" s="133">
        <v>205.7280311427113</v>
      </c>
      <c r="J23" s="133">
        <v>205.37133307197223</v>
      </c>
      <c r="K23" s="133">
        <v>230.18903494293858</v>
      </c>
      <c r="L23" s="133">
        <v>223.8862416201699</v>
      </c>
      <c r="M23" s="133">
        <v>251.53427331861889</v>
      </c>
      <c r="N23" s="133">
        <v>196.80613104452377</v>
      </c>
      <c r="O23" s="133">
        <v>222.39236250271364</v>
      </c>
      <c r="P23" s="133">
        <v>233.81407699306084</v>
      </c>
      <c r="Q23" s="133">
        <v>233.51522064962091</v>
      </c>
      <c r="R23" s="133">
        <v>261.69881045985875</v>
      </c>
      <c r="S23" s="133">
        <v>251.77058602026236</v>
      </c>
      <c r="T23" s="133">
        <v>257.64669239640102</v>
      </c>
      <c r="U23" s="133">
        <v>260.23626297283107</v>
      </c>
      <c r="V23" s="133">
        <v>241.47261510508841</v>
      </c>
      <c r="W23" s="133">
        <v>304.01416847535972</v>
      </c>
      <c r="DA23" s="157" t="s">
        <v>320</v>
      </c>
    </row>
    <row r="24" spans="1:105" ht="12" customHeight="1" x14ac:dyDescent="0.25">
      <c r="A24" s="132" t="s">
        <v>128</v>
      </c>
      <c r="B24" s="133">
        <v>10.090671409571696</v>
      </c>
      <c r="C24" s="133">
        <v>9.8576432928626208</v>
      </c>
      <c r="D24" s="133">
        <v>10.193052662353702</v>
      </c>
      <c r="E24" s="133">
        <v>10.608720009950497</v>
      </c>
      <c r="F24" s="133">
        <v>11.518259944348326</v>
      </c>
      <c r="G24" s="133">
        <v>11.930808829894257</v>
      </c>
      <c r="H24" s="133">
        <v>12.225588164457188</v>
      </c>
      <c r="I24" s="133">
        <v>14.815417179878773</v>
      </c>
      <c r="J24" s="133">
        <v>14.938844921350638</v>
      </c>
      <c r="K24" s="133">
        <v>16.511772328176075</v>
      </c>
      <c r="L24" s="133">
        <v>17.817717498165901</v>
      </c>
      <c r="M24" s="133">
        <v>10.966296959015562</v>
      </c>
      <c r="N24" s="133">
        <v>11.845429427458585</v>
      </c>
      <c r="O24" s="133">
        <v>15.685294522964435</v>
      </c>
      <c r="P24" s="133">
        <v>12.653685138677513</v>
      </c>
      <c r="Q24" s="133">
        <v>10.279656848210124</v>
      </c>
      <c r="R24" s="133">
        <v>11.444778153319557</v>
      </c>
      <c r="S24" s="133">
        <v>12.02043580209352</v>
      </c>
      <c r="T24" s="133">
        <v>12.366042534277316</v>
      </c>
      <c r="U24" s="133">
        <v>13.622796086816303</v>
      </c>
      <c r="V24" s="133">
        <v>15.300791247864014</v>
      </c>
      <c r="W24" s="133">
        <v>18.141071323842819</v>
      </c>
      <c r="DA24" s="157" t="s">
        <v>321</v>
      </c>
    </row>
    <row r="25" spans="1:105" ht="12" customHeight="1" x14ac:dyDescent="0.25">
      <c r="A25" s="132" t="s">
        <v>169</v>
      </c>
      <c r="B25" s="133">
        <v>90.287837960391457</v>
      </c>
      <c r="C25" s="133">
        <v>93.320148041288292</v>
      </c>
      <c r="D25" s="133">
        <v>92.490726623547573</v>
      </c>
      <c r="E25" s="133">
        <v>95.058855928843784</v>
      </c>
      <c r="F25" s="133">
        <v>97.818049566023646</v>
      </c>
      <c r="G25" s="133">
        <v>97.699174662809739</v>
      </c>
      <c r="H25" s="133">
        <v>96.614440600385294</v>
      </c>
      <c r="I25" s="133">
        <v>49.053414311820546</v>
      </c>
      <c r="J25" s="133">
        <v>54.597915381597417</v>
      </c>
      <c r="K25" s="133">
        <v>62.866351898248411</v>
      </c>
      <c r="L25" s="133">
        <v>57.298358728269214</v>
      </c>
      <c r="M25" s="133">
        <v>55.466882841166097</v>
      </c>
      <c r="N25" s="133">
        <v>69.735939707420741</v>
      </c>
      <c r="O25" s="133">
        <v>73.609084382191568</v>
      </c>
      <c r="P25" s="133">
        <v>65.923544436687152</v>
      </c>
      <c r="Q25" s="133">
        <v>69.7782478235074</v>
      </c>
      <c r="R25" s="133">
        <v>76.848035130174509</v>
      </c>
      <c r="S25" s="133">
        <v>76.263015870842722</v>
      </c>
      <c r="T25" s="133">
        <v>89.972174745197677</v>
      </c>
      <c r="U25" s="133">
        <v>83.7572155662195</v>
      </c>
      <c r="V25" s="133">
        <v>82.71316855446473</v>
      </c>
      <c r="W25" s="133">
        <v>74.147816179541579</v>
      </c>
      <c r="DA25" s="157" t="s">
        <v>322</v>
      </c>
    </row>
    <row r="26" spans="1:105" ht="12" customHeight="1" x14ac:dyDescent="0.25">
      <c r="A26" s="132" t="s">
        <v>24</v>
      </c>
      <c r="B26" s="65">
        <v>634.02348003088537</v>
      </c>
      <c r="C26" s="65">
        <v>624.83050660210301</v>
      </c>
      <c r="D26" s="65">
        <v>638.70379855753561</v>
      </c>
      <c r="E26" s="65">
        <v>618.24441500764738</v>
      </c>
      <c r="F26" s="65">
        <v>663.77965197627873</v>
      </c>
      <c r="G26" s="65">
        <v>685.18032687327968</v>
      </c>
      <c r="H26" s="65">
        <v>699.69130762046893</v>
      </c>
      <c r="I26" s="65">
        <v>758.73946630477337</v>
      </c>
      <c r="J26" s="65">
        <v>794.12078629370797</v>
      </c>
      <c r="K26" s="65">
        <v>794.62467088839446</v>
      </c>
      <c r="L26" s="65">
        <v>829.92643906220951</v>
      </c>
      <c r="M26" s="65">
        <v>834.58085982659043</v>
      </c>
      <c r="N26" s="65">
        <v>876.27841590230821</v>
      </c>
      <c r="O26" s="65">
        <v>866.44421889098157</v>
      </c>
      <c r="P26" s="65">
        <v>881.1869826980851</v>
      </c>
      <c r="Q26" s="65">
        <v>875.85223286108328</v>
      </c>
      <c r="R26" s="65">
        <v>897.17894079149289</v>
      </c>
      <c r="S26" s="65">
        <v>907.00071194882742</v>
      </c>
      <c r="T26" s="65">
        <v>960.46566310289654</v>
      </c>
      <c r="U26" s="65">
        <v>948.92098081096947</v>
      </c>
      <c r="V26" s="65">
        <v>878.16915784647574</v>
      </c>
      <c r="W26" s="65">
        <v>960.00076798621615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1.7674978503869301</v>
      </c>
      <c r="H27" s="146">
        <v>1.8152192605331039</v>
      </c>
      <c r="I27" s="146">
        <v>2.0540842648323299</v>
      </c>
      <c r="J27" s="146">
        <v>2.4840068787618224</v>
      </c>
      <c r="K27" s="146">
        <v>2.8900257953568351</v>
      </c>
      <c r="L27" s="146">
        <v>3.3438521066208091</v>
      </c>
      <c r="M27" s="146">
        <v>5.4142734307824574</v>
      </c>
      <c r="N27" s="146">
        <v>8.7239036973344817</v>
      </c>
      <c r="O27" s="146">
        <v>10.020808254514188</v>
      </c>
      <c r="P27" s="146">
        <v>10.8481513327601</v>
      </c>
      <c r="Q27" s="146">
        <v>11.55227858985382</v>
      </c>
      <c r="R27" s="146">
        <v>12.081083404987094</v>
      </c>
      <c r="S27" s="146">
        <v>12.488220120378326</v>
      </c>
      <c r="T27" s="146">
        <v>12.826311263972483</v>
      </c>
      <c r="U27" s="146">
        <v>13.235769561478923</v>
      </c>
      <c r="V27" s="146">
        <v>13.428632846087705</v>
      </c>
      <c r="W27" s="146">
        <v>13.391831470335338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1110.933967758805</v>
      </c>
      <c r="C29" s="131">
        <f t="shared" si="8"/>
        <v>1129.9073578380289</v>
      </c>
      <c r="D29" s="131">
        <f t="shared" si="8"/>
        <v>1152.0643196830588</v>
      </c>
      <c r="E29" s="131">
        <f t="shared" si="8"/>
        <v>1151.9260338498698</v>
      </c>
      <c r="F29" s="131">
        <f t="shared" si="8"/>
        <v>1189.4280537140467</v>
      </c>
      <c r="G29" s="131">
        <f t="shared" si="8"/>
        <v>1205.4425286023265</v>
      </c>
      <c r="H29" s="131">
        <f t="shared" si="8"/>
        <v>1218.8377023901426</v>
      </c>
      <c r="I29" s="131">
        <f t="shared" si="8"/>
        <v>1256.5639208958758</v>
      </c>
      <c r="J29" s="131">
        <f t="shared" si="8"/>
        <v>1291.8787268548786</v>
      </c>
      <c r="K29" s="131">
        <f t="shared" si="8"/>
        <v>1345.7996348183719</v>
      </c>
      <c r="L29" s="131">
        <f t="shared" si="8"/>
        <v>1385.4811685257773</v>
      </c>
      <c r="M29" s="131">
        <f t="shared" si="8"/>
        <v>1411.3554096450821</v>
      </c>
      <c r="N29" s="131">
        <f t="shared" si="8"/>
        <v>1438.3069529263548</v>
      </c>
      <c r="O29" s="131">
        <f t="shared" si="8"/>
        <v>1459.2941913645786</v>
      </c>
      <c r="P29" s="131">
        <f t="shared" si="8"/>
        <v>1483.489873330966</v>
      </c>
      <c r="Q29" s="131">
        <f t="shared" si="8"/>
        <v>1492.4343855125271</v>
      </c>
      <c r="R29" s="131">
        <f t="shared" ref="R29:W29" si="9">SUM(R30:R33)</f>
        <v>1531.0138757119025</v>
      </c>
      <c r="S29" s="131">
        <f t="shared" si="9"/>
        <v>1537.0408020212972</v>
      </c>
      <c r="T29" s="131">
        <f t="shared" si="9"/>
        <v>1554.3403188784118</v>
      </c>
      <c r="U29" s="131">
        <f t="shared" si="9"/>
        <v>1565.1106270267171</v>
      </c>
      <c r="V29" s="131">
        <f t="shared" si="9"/>
        <v>1449.1599524095245</v>
      </c>
      <c r="W29" s="131">
        <f t="shared" si="9"/>
        <v>1578.1593115050641</v>
      </c>
      <c r="DA29" s="156" t="s">
        <v>325</v>
      </c>
    </row>
    <row r="30" spans="1:105" ht="12" customHeight="1" x14ac:dyDescent="0.25">
      <c r="A30" s="132" t="s">
        <v>52</v>
      </c>
      <c r="B30" s="133">
        <v>166.23296865647126</v>
      </c>
      <c r="C30" s="133">
        <v>60.149434792911812</v>
      </c>
      <c r="D30" s="133">
        <v>219.40358240947108</v>
      </c>
      <c r="E30" s="133">
        <v>259.31922736214938</v>
      </c>
      <c r="F30" s="133">
        <v>295.47418212295815</v>
      </c>
      <c r="G30" s="133">
        <v>236.38780629890101</v>
      </c>
      <c r="H30" s="133">
        <v>193.96777146277671</v>
      </c>
      <c r="I30" s="133">
        <v>215.44891481780218</v>
      </c>
      <c r="J30" s="133">
        <v>248.60981363511269</v>
      </c>
      <c r="K30" s="133">
        <v>241.76900737673711</v>
      </c>
      <c r="L30" s="133">
        <v>261.57368573786329</v>
      </c>
      <c r="M30" s="133">
        <v>246.85811397680826</v>
      </c>
      <c r="N30" s="133">
        <v>201.35417025963551</v>
      </c>
      <c r="O30" s="133">
        <v>167.34207491319663</v>
      </c>
      <c r="P30" s="133">
        <v>166.28850613520103</v>
      </c>
      <c r="Q30" s="133">
        <v>190.19451166271611</v>
      </c>
      <c r="R30" s="133">
        <v>177.87129230227524</v>
      </c>
      <c r="S30" s="133">
        <v>197.22905252350603</v>
      </c>
      <c r="T30" s="133">
        <v>155.79012275232751</v>
      </c>
      <c r="U30" s="133">
        <v>177.9151039799336</v>
      </c>
      <c r="V30" s="133">
        <v>144.04131215045618</v>
      </c>
      <c r="W30" s="133">
        <v>157.12893876907793</v>
      </c>
      <c r="DA30" s="157" t="s">
        <v>326</v>
      </c>
    </row>
    <row r="31" spans="1:105" ht="12" customHeight="1" x14ac:dyDescent="0.25">
      <c r="A31" s="132" t="s">
        <v>153</v>
      </c>
      <c r="B31" s="133">
        <v>417.32517223241814</v>
      </c>
      <c r="C31" s="133">
        <v>415.94757281090955</v>
      </c>
      <c r="D31" s="133">
        <v>414.79812945788348</v>
      </c>
      <c r="E31" s="133">
        <v>417.34136649053232</v>
      </c>
      <c r="F31" s="133">
        <v>416.0560398266901</v>
      </c>
      <c r="G31" s="133">
        <v>269.37289212870161</v>
      </c>
      <c r="H31" s="133">
        <v>260.1295236735026</v>
      </c>
      <c r="I31" s="133">
        <v>261.20606287308016</v>
      </c>
      <c r="J31" s="133">
        <v>252.13452675268096</v>
      </c>
      <c r="K31" s="133">
        <v>351.51169413919854</v>
      </c>
      <c r="L31" s="133">
        <v>335.45081388299553</v>
      </c>
      <c r="M31" s="133">
        <v>344.48957520469759</v>
      </c>
      <c r="N31" s="133">
        <v>319.40543432702924</v>
      </c>
      <c r="O31" s="133">
        <v>352.82784367791692</v>
      </c>
      <c r="P31" s="133">
        <v>390.91590134185566</v>
      </c>
      <c r="Q31" s="133">
        <v>419.16692507079154</v>
      </c>
      <c r="R31" s="133">
        <v>404.70644797764061</v>
      </c>
      <c r="S31" s="133">
        <v>419.11492453637749</v>
      </c>
      <c r="T31" s="133">
        <v>434.36449998310735</v>
      </c>
      <c r="U31" s="133">
        <v>431.2031845219804</v>
      </c>
      <c r="V31" s="133">
        <v>401.46462550068935</v>
      </c>
      <c r="W31" s="133">
        <v>551.36825105842047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527.37582686991573</v>
      </c>
      <c r="C33" s="68">
        <v>653.81035023420759</v>
      </c>
      <c r="D33" s="68">
        <v>517.86260781570434</v>
      </c>
      <c r="E33" s="68">
        <v>475.26543999718803</v>
      </c>
      <c r="F33" s="68">
        <v>477.89783176439835</v>
      </c>
      <c r="G33" s="68">
        <v>699.68183017472381</v>
      </c>
      <c r="H33" s="68">
        <v>764.7404072538634</v>
      </c>
      <c r="I33" s="68">
        <v>779.90894320499342</v>
      </c>
      <c r="J33" s="68">
        <v>791.13438646708482</v>
      </c>
      <c r="K33" s="68">
        <v>752.51893330243638</v>
      </c>
      <c r="L33" s="68">
        <v>788.45666890491839</v>
      </c>
      <c r="M33" s="68">
        <v>820.00772046357633</v>
      </c>
      <c r="N33" s="68">
        <v>917.54734833968996</v>
      </c>
      <c r="O33" s="68">
        <v>939.12427277346524</v>
      </c>
      <c r="P33" s="68">
        <v>926.28546585390939</v>
      </c>
      <c r="Q33" s="68">
        <v>883.07294877901961</v>
      </c>
      <c r="R33" s="68">
        <v>948.4361354319866</v>
      </c>
      <c r="S33" s="68">
        <v>920.69682496141377</v>
      </c>
      <c r="T33" s="68">
        <v>964.18569614297689</v>
      </c>
      <c r="U33" s="68">
        <v>955.99233852480313</v>
      </c>
      <c r="V33" s="68">
        <v>903.65401475837882</v>
      </c>
      <c r="W33" s="68">
        <v>869.66212167756578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0.61091475115083993</v>
      </c>
      <c r="C3" s="127">
        <f>IF(SER_hh_tes!C3=0,"",SER_hh_tes!C3/SER_hh_fec!C3)</f>
        <v>0.61941618924179709</v>
      </c>
      <c r="D3" s="127">
        <f>IF(SER_hh_tes!D3=0,"",SER_hh_tes!D3/SER_hh_fec!D3)</f>
        <v>0.63453187111593812</v>
      </c>
      <c r="E3" s="127">
        <f>IF(SER_hh_tes!E3=0,"",SER_hh_tes!E3/SER_hh_fec!E3)</f>
        <v>0.65346928629374523</v>
      </c>
      <c r="F3" s="127">
        <f>IF(SER_hh_tes!F3=0,"",SER_hh_tes!F3/SER_hh_fec!F3)</f>
        <v>0.64358158981731883</v>
      </c>
      <c r="G3" s="127">
        <f>IF(SER_hh_tes!G3=0,"",SER_hh_tes!G3/SER_hh_fec!G3)</f>
        <v>0.6608831853193633</v>
      </c>
      <c r="H3" s="127">
        <f>IF(SER_hh_tes!H3=0,"",SER_hh_tes!H3/SER_hh_fec!H3)</f>
        <v>0.68526796572560966</v>
      </c>
      <c r="I3" s="127">
        <f>IF(SER_hh_tes!I3=0,"",SER_hh_tes!I3/SER_hh_fec!I3)</f>
        <v>0.68439025942827647</v>
      </c>
      <c r="J3" s="127">
        <f>IF(SER_hh_tes!J3=0,"",SER_hh_tes!J3/SER_hh_fec!J3)</f>
        <v>0.69206865686158114</v>
      </c>
      <c r="K3" s="127">
        <f>IF(SER_hh_tes!K3=0,"",SER_hh_tes!K3/SER_hh_fec!K3)</f>
        <v>0.70063204142494273</v>
      </c>
      <c r="L3" s="127">
        <f>IF(SER_hh_tes!L3=0,"",SER_hh_tes!L3/SER_hh_fec!L3)</f>
        <v>0.71247812341544337</v>
      </c>
      <c r="M3" s="127">
        <f>IF(SER_hh_tes!M3=0,"",SER_hh_tes!M3/SER_hh_fec!M3)</f>
        <v>0.74341070903462525</v>
      </c>
      <c r="N3" s="127">
        <f>IF(SER_hh_tes!N3=0,"",SER_hh_tes!N3/SER_hh_fec!N3)</f>
        <v>0.75564720561159937</v>
      </c>
      <c r="O3" s="127">
        <f>IF(SER_hh_tes!O3=0,"",SER_hh_tes!O3/SER_hh_fec!O3)</f>
        <v>0.76520283232189024</v>
      </c>
      <c r="P3" s="127">
        <f>IF(SER_hh_tes!P3=0,"",SER_hh_tes!P3/SER_hh_fec!P3)</f>
        <v>0.77315001025412644</v>
      </c>
      <c r="Q3" s="127">
        <f>IF(SER_hh_tes!Q3=0,"",SER_hh_tes!Q3/SER_hh_fec!Q3)</f>
        <v>0.79306780845931546</v>
      </c>
      <c r="R3" s="127">
        <f>IF(SER_hh_tes!R3=0,"",SER_hh_tes!R3/SER_hh_fec!R3)</f>
        <v>0.79877420246474218</v>
      </c>
      <c r="S3" s="127">
        <f>IF(SER_hh_tes!S3=0,"",SER_hh_tes!S3/SER_hh_fec!S3)</f>
        <v>0.8118064489346104</v>
      </c>
      <c r="T3" s="127">
        <f>IF(SER_hh_tes!T3=0,"",SER_hh_tes!T3/SER_hh_fec!T3)</f>
        <v>0.82295867007448942</v>
      </c>
      <c r="U3" s="127">
        <f>IF(SER_hh_tes!U3=0,"",SER_hh_tes!U3/SER_hh_fec!U3)</f>
        <v>0.8387979480678579</v>
      </c>
      <c r="V3" s="127">
        <f>IF(SER_hh_tes!V3=0,"",SER_hh_tes!V3/SER_hh_fec!V3)</f>
        <v>0.85801956054973516</v>
      </c>
      <c r="W3" s="127">
        <f>IF(SER_hh_tes!W3=0,"",SER_hh_tes!W3/SER_hh_fec!W3)</f>
        <v>0.8502370975725021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0.57667377337420034</v>
      </c>
      <c r="C4" s="136">
        <f>IF(SER_hh_tes!C4=0,"",SER_hh_tes!C4/SER_hh_fec!C4)</f>
        <v>0.58259318386028858</v>
      </c>
      <c r="D4" s="136">
        <f>IF(SER_hh_tes!D4=0,"",SER_hh_tes!D4/SER_hh_fec!D4)</f>
        <v>0.59937404289311624</v>
      </c>
      <c r="E4" s="136">
        <f>IF(SER_hh_tes!E4=0,"",SER_hh_tes!E4/SER_hh_fec!E4)</f>
        <v>0.59968951151425876</v>
      </c>
      <c r="F4" s="136">
        <f>IF(SER_hh_tes!F4=0,"",SER_hh_tes!F4/SER_hh_fec!F4)</f>
        <v>0.60888082234904151</v>
      </c>
      <c r="G4" s="136">
        <f>IF(SER_hh_tes!G4=0,"",SER_hh_tes!G4/SER_hh_fec!G4)</f>
        <v>0.61916831072651268</v>
      </c>
      <c r="H4" s="136">
        <f>IF(SER_hh_tes!H4=0,"",SER_hh_tes!H4/SER_hh_fec!H4)</f>
        <v>0.63208374663803746</v>
      </c>
      <c r="I4" s="136">
        <f>IF(SER_hh_tes!I4=0,"",SER_hh_tes!I4/SER_hh_fec!I4)</f>
        <v>0.63608175552912494</v>
      </c>
      <c r="J4" s="136">
        <f>IF(SER_hh_tes!J4=0,"",SER_hh_tes!J4/SER_hh_fec!J4)</f>
        <v>0.64036263878018163</v>
      </c>
      <c r="K4" s="136">
        <f>IF(SER_hh_tes!K4=0,"",SER_hh_tes!K4/SER_hh_fec!K4)</f>
        <v>0.64974070169923892</v>
      </c>
      <c r="L4" s="136">
        <f>IF(SER_hh_tes!L4=0,"",SER_hh_tes!L4/SER_hh_fec!L4)</f>
        <v>0.66577703968991087</v>
      </c>
      <c r="M4" s="136">
        <f>IF(SER_hh_tes!M4=0,"",SER_hh_tes!M4/SER_hh_fec!M4)</f>
        <v>0.69162997482345878</v>
      </c>
      <c r="N4" s="136">
        <f>IF(SER_hh_tes!N4=0,"",SER_hh_tes!N4/SER_hh_fec!N4)</f>
        <v>0.70497585016542508</v>
      </c>
      <c r="O4" s="136">
        <f>IF(SER_hh_tes!O4=0,"",SER_hh_tes!O4/SER_hh_fec!O4)</f>
        <v>0.71743801323161582</v>
      </c>
      <c r="P4" s="136">
        <f>IF(SER_hh_tes!P4=0,"",SER_hh_tes!P4/SER_hh_fec!P4)</f>
        <v>0.72217946624958562</v>
      </c>
      <c r="Q4" s="136">
        <f>IF(SER_hh_tes!Q4=0,"",SER_hh_tes!Q4/SER_hh_fec!Q4)</f>
        <v>0.72965263589069951</v>
      </c>
      <c r="R4" s="136">
        <f>IF(SER_hh_tes!R4=0,"",SER_hh_tes!R4/SER_hh_fec!R4)</f>
        <v>0.74356144661703538</v>
      </c>
      <c r="S4" s="136">
        <f>IF(SER_hh_tes!S4=0,"",SER_hh_tes!S4/SER_hh_fec!S4)</f>
        <v>0.74987280672367163</v>
      </c>
      <c r="T4" s="136">
        <f>IF(SER_hh_tes!T4=0,"",SER_hh_tes!T4/SER_hh_fec!T4)</f>
        <v>0.75840941759421199</v>
      </c>
      <c r="U4" s="136">
        <f>IF(SER_hh_tes!U4=0,"",SER_hh_tes!U4/SER_hh_fec!U4)</f>
        <v>0.77059796195513075</v>
      </c>
      <c r="V4" s="136">
        <f>IF(SER_hh_tes!V4=0,"",SER_hh_tes!V4/SER_hh_fec!V4)</f>
        <v>0.78029927328583115</v>
      </c>
      <c r="W4" s="136">
        <f>IF(SER_hh_tes!W4=0,"",SER_hh_tes!W4/SER_hh_fec!W4)</f>
        <v>0.79531876191598583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0.54631754292001766</v>
      </c>
      <c r="C5" s="137">
        <f>IF(SER_hh_tes!C5=0,"",SER_hh_tes!C5/SER_hh_fec!C5)</f>
        <v>0.54631754292001766</v>
      </c>
      <c r="D5" s="137">
        <f>IF(SER_hh_tes!D5=0,"",SER_hh_tes!D5/SER_hh_fec!D5)</f>
        <v>0.54631754292001766</v>
      </c>
      <c r="E5" s="137">
        <f>IF(SER_hh_tes!E5=0,"",SER_hh_tes!E5/SER_hh_fec!E5)</f>
        <v>0.54631754292001766</v>
      </c>
      <c r="F5" s="137">
        <f>IF(SER_hh_tes!F5=0,"",SER_hh_tes!F5/SER_hh_fec!F5)</f>
        <v>0.55116993449189289</v>
      </c>
      <c r="G5" s="137">
        <f>IF(SER_hh_tes!G5=0,"",SER_hh_tes!G5/SER_hh_fec!G5)</f>
        <v>0.56501656088439012</v>
      </c>
      <c r="H5" s="137">
        <f>IF(SER_hh_tes!H5=0,"",SER_hh_tes!H5/SER_hh_fec!H5)</f>
        <v>0.57849264954855595</v>
      </c>
      <c r="I5" s="137">
        <f>IF(SER_hh_tes!I5=0,"",SER_hh_tes!I5/SER_hh_fec!I5)</f>
        <v>0.58959739363046126</v>
      </c>
      <c r="J5" s="137">
        <f>IF(SER_hh_tes!J5=0,"",SER_hh_tes!J5/SER_hh_fec!J5)</f>
        <v>0.59782628164900398</v>
      </c>
      <c r="K5" s="137">
        <f>IF(SER_hh_tes!K5=0,"",SER_hh_tes!K5/SER_hh_fec!K5)</f>
        <v>0.60434205219504877</v>
      </c>
      <c r="L5" s="137">
        <f>IF(SER_hh_tes!L5=0,"",SER_hh_tes!L5/SER_hh_fec!L5)</f>
        <v>0.61174970517700733</v>
      </c>
      <c r="M5" s="137">
        <f>IF(SER_hh_tes!M5=0,"",SER_hh_tes!M5/SER_hh_fec!M5)</f>
        <v>0.62147633237383981</v>
      </c>
      <c r="N5" s="137">
        <f>IF(SER_hh_tes!N5=0,"",SER_hh_tes!N5/SER_hh_fec!N5)</f>
        <v>0.63392378807978189</v>
      </c>
      <c r="O5" s="137">
        <f>IF(SER_hh_tes!O5=0,"",SER_hh_tes!O5/SER_hh_fec!O5)</f>
        <v>0.66367905989751563</v>
      </c>
      <c r="P5" s="137">
        <f>IF(SER_hh_tes!P5=0,"",SER_hh_tes!P5/SER_hh_fec!P5)</f>
        <v>0.66367844593245362</v>
      </c>
      <c r="Q5" s="137">
        <f>IF(SER_hh_tes!Q5=0,"",SER_hh_tes!Q5/SER_hh_fec!Q5)</f>
        <v>0.66367844593245318</v>
      </c>
      <c r="R5" s="137">
        <f>IF(SER_hh_tes!R5=0,"",SER_hh_tes!R5/SER_hh_fec!R5)</f>
        <v>0.66367844593245329</v>
      </c>
      <c r="S5" s="137">
        <f>IF(SER_hh_tes!S5=0,"",SER_hh_tes!S5/SER_hh_fec!S5)</f>
        <v>0.66383473964842776</v>
      </c>
      <c r="T5" s="137">
        <f>IF(SER_hh_tes!T5=0,"",SER_hh_tes!T5/SER_hh_fec!T5)</f>
        <v>0.66440932523455598</v>
      </c>
      <c r="U5" s="137">
        <f>IF(SER_hh_tes!U5=0,"",SER_hh_tes!U5/SER_hh_fec!U5)</f>
        <v>0.6736263234180323</v>
      </c>
      <c r="V5" s="137">
        <f>IF(SER_hh_tes!V5=0,"",SER_hh_tes!V5/SER_hh_fec!V5)</f>
        <v>0.69723458090768764</v>
      </c>
      <c r="W5" s="137">
        <f>IF(SER_hh_tes!W5=0,"",SER_hh_tes!W5/SER_hh_fec!W5)</f>
        <v>0.73073886713354097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0.46653589439904175</v>
      </c>
      <c r="C7" s="137">
        <f>IF(SER_hh_tes!C7=0,"",SER_hh_tes!C7/SER_hh_fec!C7)</f>
        <v>0.4704467895424766</v>
      </c>
      <c r="D7" s="137">
        <f>IF(SER_hh_tes!D7=0,"",SER_hh_tes!D7/SER_hh_fec!D7)</f>
        <v>0.47203363992002523</v>
      </c>
      <c r="E7" s="137">
        <f>IF(SER_hh_tes!E7=0,"",SER_hh_tes!E7/SER_hh_fec!E7)</f>
        <v>0.47463334864790901</v>
      </c>
      <c r="F7" s="137">
        <f>IF(SER_hh_tes!F7=0,"",SER_hh_tes!F7/SER_hh_fec!F7)</f>
        <v>0.47819857766208002</v>
      </c>
      <c r="G7" s="137">
        <f>IF(SER_hh_tes!G7=0,"",SER_hh_tes!G7/SER_hh_fec!G7)</f>
        <v>0.48321277974240001</v>
      </c>
      <c r="H7" s="137">
        <f>IF(SER_hh_tes!H7=0,"",SER_hh_tes!H7/SER_hh_fec!H7)</f>
        <v>0.49107124856894013</v>
      </c>
      <c r="I7" s="137">
        <f>IF(SER_hh_tes!I7=0,"",SER_hh_tes!I7/SER_hh_fec!I7)</f>
        <v>0.49984834221300378</v>
      </c>
      <c r="J7" s="137">
        <f>IF(SER_hh_tes!J7=0,"",SER_hh_tes!J7/SER_hh_fec!J7)</f>
        <v>0.50980854535318831</v>
      </c>
      <c r="K7" s="137">
        <f>IF(SER_hh_tes!K7=0,"",SER_hh_tes!K7/SER_hh_fec!K7)</f>
        <v>0.5195505044335933</v>
      </c>
      <c r="L7" s="137">
        <f>IF(SER_hh_tes!L7=0,"",SER_hh_tes!L7/SER_hh_fec!L7)</f>
        <v>0.52851089566433385</v>
      </c>
      <c r="M7" s="137">
        <f>IF(SER_hh_tes!M7=0,"",SER_hh_tes!M7/SER_hh_fec!M7)</f>
        <v>0.54154068353848672</v>
      </c>
      <c r="N7" s="137">
        <f>IF(SER_hh_tes!N7=0,"",SER_hh_tes!N7/SER_hh_fec!N7)</f>
        <v>0.55829113530041741</v>
      </c>
      <c r="O7" s="137">
        <f>IF(SER_hh_tes!O7=0,"",SER_hh_tes!O7/SER_hh_fec!O7)</f>
        <v>0.57709098770483913</v>
      </c>
      <c r="P7" s="137">
        <f>IF(SER_hh_tes!P7=0,"",SER_hh_tes!P7/SER_hh_fec!P7)</f>
        <v>0.58070211437681019</v>
      </c>
      <c r="Q7" s="137">
        <f>IF(SER_hh_tes!Q7=0,"",SER_hh_tes!Q7/SER_hh_fec!Q7)</f>
        <v>0.58484148186737661</v>
      </c>
      <c r="R7" s="137">
        <f>IF(SER_hh_tes!R7=0,"",SER_hh_tes!R7/SER_hh_fec!R7)</f>
        <v>0.58887653036509202</v>
      </c>
      <c r="S7" s="137">
        <f>IF(SER_hh_tes!S7=0,"",SER_hh_tes!S7/SER_hh_fec!S7)</f>
        <v>0.59780421554333185</v>
      </c>
      <c r="T7" s="137">
        <f>IF(SER_hh_tes!T7=0,"",SER_hh_tes!T7/SER_hh_fec!T7)</f>
        <v>0.60702118443396946</v>
      </c>
      <c r="U7" s="137">
        <f>IF(SER_hh_tes!U7=0,"",SER_hh_tes!U7/SER_hh_fec!U7)</f>
        <v>0.61883476294656259</v>
      </c>
      <c r="V7" s="137">
        <f>IF(SER_hh_tes!V7=0,"",SER_hh_tes!V7/SER_hh_fec!V7)</f>
        <v>0.63217060328936858</v>
      </c>
      <c r="W7" s="137">
        <f>IF(SER_hh_tes!W7=0,"",SER_hh_tes!W7/SER_hh_fec!W7)</f>
        <v>0.64403071630873687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1.0235303931554804</v>
      </c>
      <c r="C8" s="137">
        <f>IF(SER_hh_tes!C8=0,"",SER_hh_tes!C8/SER_hh_fec!C8)</f>
        <v>1.0585006239687109</v>
      </c>
      <c r="D8" s="137">
        <f>IF(SER_hh_tes!D8=0,"",SER_hh_tes!D8/SER_hh_fec!D8)</f>
        <v>1.1239144841562811</v>
      </c>
      <c r="E8" s="137">
        <f>IF(SER_hh_tes!E8=0,"",SER_hh_tes!E8/SER_hh_fec!E8)</f>
        <v>1.1854847578607122</v>
      </c>
      <c r="F8" s="137">
        <f>IF(SER_hh_tes!F8=0,"",SER_hh_tes!F8/SER_hh_fec!F8)</f>
        <v>1.2449974696608599</v>
      </c>
      <c r="G8" s="137">
        <f>IF(SER_hh_tes!G8=0,"",SER_hh_tes!G8/SER_hh_fec!G8)</f>
        <v>1.3066928074503374</v>
      </c>
      <c r="H8" s="137">
        <f>IF(SER_hh_tes!H8=0,"",SER_hh_tes!H8/SER_hh_fec!H8)</f>
        <v>1.3552760999330427</v>
      </c>
      <c r="I8" s="137">
        <f>IF(SER_hh_tes!I8=0,"",SER_hh_tes!I8/SER_hh_fec!I8)</f>
        <v>1.3946163815602459</v>
      </c>
      <c r="J8" s="137">
        <f>IF(SER_hh_tes!J8=0,"",SER_hh_tes!J8/SER_hh_fec!J8)</f>
        <v>1.4194103678115291</v>
      </c>
      <c r="K8" s="137">
        <f>IF(SER_hh_tes!K8=0,"",SER_hh_tes!K8/SER_hh_fec!K8)</f>
        <v>1.461181226886751</v>
      </c>
      <c r="L8" s="137">
        <f>IF(SER_hh_tes!L8=0,"",SER_hh_tes!L8/SER_hh_fec!L8)</f>
        <v>1.5383388900710167</v>
      </c>
      <c r="M8" s="137">
        <f>IF(SER_hh_tes!M8=0,"",SER_hh_tes!M8/SER_hh_fec!M8)</f>
        <v>1.6589619675124934</v>
      </c>
      <c r="N8" s="137">
        <f>IF(SER_hh_tes!N8=0,"",SER_hh_tes!N8/SER_hh_fec!N8)</f>
        <v>1.744540910097987</v>
      </c>
      <c r="O8" s="137">
        <f>IF(SER_hh_tes!O8=0,"",SER_hh_tes!O8/SER_hh_fec!O8)</f>
        <v>1.8345019784591825</v>
      </c>
      <c r="P8" s="137">
        <f>IF(SER_hh_tes!P8=0,"",SER_hh_tes!P8/SER_hh_fec!P8)</f>
        <v>1.9102958041780338</v>
      </c>
      <c r="Q8" s="137">
        <f>IF(SER_hh_tes!Q8=0,"",SER_hh_tes!Q8/SER_hh_fec!Q8)</f>
        <v>1.9808608307216311</v>
      </c>
      <c r="R8" s="137">
        <f>IF(SER_hh_tes!R8=0,"",SER_hh_tes!R8/SER_hh_fec!R8)</f>
        <v>2.0324992180677701</v>
      </c>
      <c r="S8" s="137">
        <f>IF(SER_hh_tes!S8=0,"",SER_hh_tes!S8/SER_hh_fec!S8)</f>
        <v>2.0735398951780719</v>
      </c>
      <c r="T8" s="137">
        <f>IF(SER_hh_tes!T8=0,"",SER_hh_tes!T8/SER_hh_fec!T8)</f>
        <v>2.1106049936877507</v>
      </c>
      <c r="U8" s="137">
        <f>IF(SER_hh_tes!U8=0,"",SER_hh_tes!U8/SER_hh_fec!U8)</f>
        <v>2.1464647643519794</v>
      </c>
      <c r="V8" s="137">
        <f>IF(SER_hh_tes!V8=0,"",SER_hh_tes!V8/SER_hh_fec!V8)</f>
        <v>2.1790651556625473</v>
      </c>
      <c r="W8" s="137">
        <f>IF(SER_hh_tes!W8=0,"",SER_hh_tes!W8/SER_hh_fec!W8)</f>
        <v>2.2123500564033574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0.51282201497785174</v>
      </c>
      <c r="C9" s="137">
        <f>IF(SER_hh_tes!C9=0,"",SER_hh_tes!C9/SER_hh_fec!C9)</f>
        <v>0.51751521200548078</v>
      </c>
      <c r="D9" s="137">
        <f>IF(SER_hh_tes!D9=0,"",SER_hh_tes!D9/SER_hh_fec!D9)</f>
        <v>0.52964715612862656</v>
      </c>
      <c r="E9" s="137">
        <f>IF(SER_hh_tes!E9=0,"",SER_hh_tes!E9/SER_hh_fec!E9)</f>
        <v>0.54497554729120434</v>
      </c>
      <c r="F9" s="137">
        <f>IF(SER_hh_tes!F9=0,"",SER_hh_tes!F9/SER_hh_fec!F9)</f>
        <v>0.557517538996541</v>
      </c>
      <c r="G9" s="137">
        <f>IF(SER_hh_tes!G9=0,"",SER_hh_tes!G9/SER_hh_fec!G9)</f>
        <v>0.56989419633666205</v>
      </c>
      <c r="H9" s="137">
        <f>IF(SER_hh_tes!H9=0,"",SER_hh_tes!H9/SER_hh_fec!H9)</f>
        <v>0.57933947812479791</v>
      </c>
      <c r="I9" s="137">
        <f>IF(SER_hh_tes!I9=0,"",SER_hh_tes!I9/SER_hh_fec!I9)</f>
        <v>0.59206934583928084</v>
      </c>
      <c r="J9" s="137">
        <f>IF(SER_hh_tes!J9=0,"",SER_hh_tes!J9/SER_hh_fec!J9)</f>
        <v>0.60369934344850951</v>
      </c>
      <c r="K9" s="137">
        <f>IF(SER_hh_tes!K9=0,"",SER_hh_tes!K9/SER_hh_fec!K9)</f>
        <v>0.61505505923734582</v>
      </c>
      <c r="L9" s="137">
        <f>IF(SER_hh_tes!L9=0,"",SER_hh_tes!L9/SER_hh_fec!L9)</f>
        <v>0.62739908049190141</v>
      </c>
      <c r="M9" s="137">
        <f>IF(SER_hh_tes!M9=0,"",SER_hh_tes!M9/SER_hh_fec!M9)</f>
        <v>0.63958481470419293</v>
      </c>
      <c r="N9" s="137">
        <f>IF(SER_hh_tes!N9=0,"",SER_hh_tes!N9/SER_hh_fec!N9)</f>
        <v>0.65325987073248848</v>
      </c>
      <c r="O9" s="137">
        <f>IF(SER_hh_tes!O9=0,"",SER_hh_tes!O9/SER_hh_fec!O9)</f>
        <v>0.66593007181170716</v>
      </c>
      <c r="P9" s="137">
        <f>IF(SER_hh_tes!P9=0,"",SER_hh_tes!P9/SER_hh_fec!P9)</f>
        <v>0.67180272504235183</v>
      </c>
      <c r="Q9" s="137">
        <f>IF(SER_hh_tes!Q9=0,"",SER_hh_tes!Q9/SER_hh_fec!Q9)</f>
        <v>0.67768415805925608</v>
      </c>
      <c r="R9" s="137">
        <f>IF(SER_hh_tes!R9=0,"",SER_hh_tes!R9/SER_hh_fec!R9)</f>
        <v>0.68761165960455328</v>
      </c>
      <c r="S9" s="137">
        <f>IF(SER_hh_tes!S9=0,"",SER_hh_tes!S9/SER_hh_fec!S9)</f>
        <v>0.70011389203957697</v>
      </c>
      <c r="T9" s="137">
        <f>IF(SER_hh_tes!T9=0,"",SER_hh_tes!T9/SER_hh_fec!T9)</f>
        <v>0.71381921276025817</v>
      </c>
      <c r="U9" s="137">
        <f>IF(SER_hh_tes!U9=0,"",SER_hh_tes!U9/SER_hh_fec!U9)</f>
        <v>0.72631986869791043</v>
      </c>
      <c r="V9" s="137">
        <f>IF(SER_hh_tes!V9=0,"",SER_hh_tes!V9/SER_hh_fec!V9)</f>
        <v>0.73721263231839629</v>
      </c>
      <c r="W9" s="137">
        <f>IF(SER_hh_tes!W9=0,"",SER_hh_tes!W9/SER_hh_fec!W9)</f>
        <v>0.74782161364999378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0.46055543397361975</v>
      </c>
      <c r="C10" s="137">
        <f>IF(SER_hh_tes!C10=0,"",SER_hh_tes!C10/SER_hh_fec!C10)</f>
        <v>0.47745376820109875</v>
      </c>
      <c r="D10" s="137">
        <f>IF(SER_hh_tes!D10=0,"",SER_hh_tes!D10/SER_hh_fec!D10)</f>
        <v>0.4945056284795768</v>
      </c>
      <c r="E10" s="137">
        <f>IF(SER_hh_tes!E10=0,"",SER_hh_tes!E10/SER_hh_fec!E10)</f>
        <v>0.50260771598481102</v>
      </c>
      <c r="F10" s="137">
        <f>IF(SER_hh_tes!F10=0,"",SER_hh_tes!F10/SER_hh_fec!F10)</f>
        <v>0.5052232970267605</v>
      </c>
      <c r="G10" s="137">
        <f>IF(SER_hh_tes!G10=0,"",SER_hh_tes!G10/SER_hh_fec!G10)</f>
        <v>0.50811284849357652</v>
      </c>
      <c r="H10" s="137">
        <f>IF(SER_hh_tes!H10=0,"",SER_hh_tes!H10/SER_hh_fec!H10)</f>
        <v>0.50811284849357607</v>
      </c>
      <c r="I10" s="137">
        <f>IF(SER_hh_tes!I10=0,"",SER_hh_tes!I10/SER_hh_fec!I10)</f>
        <v>0.5169354021716891</v>
      </c>
      <c r="J10" s="137">
        <f>IF(SER_hh_tes!J10=0,"",SER_hh_tes!J10/SER_hh_fec!J10)</f>
        <v>0.5287858020667402</v>
      </c>
      <c r="K10" s="137">
        <f>IF(SER_hh_tes!K10=0,"",SER_hh_tes!K10/SER_hh_fec!K10)</f>
        <v>0.53641247769280676</v>
      </c>
      <c r="L10" s="137">
        <f>IF(SER_hh_tes!L10=0,"",SER_hh_tes!L10/SER_hh_fec!L10)</f>
        <v>0.54245543613248814</v>
      </c>
      <c r="M10" s="137">
        <f>IF(SER_hh_tes!M10=0,"",SER_hh_tes!M10/SER_hh_fec!M10)</f>
        <v>0.54892035777276449</v>
      </c>
      <c r="N10" s="137">
        <f>IF(SER_hh_tes!N10=0,"",SER_hh_tes!N10/SER_hh_fec!N10)</f>
        <v>0.55724984290109381</v>
      </c>
      <c r="O10" s="137">
        <f>IF(SER_hh_tes!O10=0,"",SER_hh_tes!O10/SER_hh_fec!O10)</f>
        <v>0.56380485678266334</v>
      </c>
      <c r="P10" s="137">
        <f>IF(SER_hh_tes!P10=0,"",SER_hh_tes!P10/SER_hh_fec!P10)</f>
        <v>0.56404362114418205</v>
      </c>
      <c r="Q10" s="137">
        <f>IF(SER_hh_tes!Q10=0,"",SER_hh_tes!Q10/SER_hh_fec!Q10)</f>
        <v>0.56424337670946012</v>
      </c>
      <c r="R10" s="137">
        <f>IF(SER_hh_tes!R10=0,"",SER_hh_tes!R10/SER_hh_fec!R10)</f>
        <v>0.56450505562779885</v>
      </c>
      <c r="S10" s="137">
        <f>IF(SER_hh_tes!S10=0,"",SER_hh_tes!S10/SER_hh_fec!S10)</f>
        <v>0.56481972877514297</v>
      </c>
      <c r="T10" s="137">
        <f>IF(SER_hh_tes!T10=0,"",SER_hh_tes!T10/SER_hh_fec!T10)</f>
        <v>0.56508839107584963</v>
      </c>
      <c r="U10" s="137">
        <f>IF(SER_hh_tes!U10=0,"",SER_hh_tes!U10/SER_hh_fec!U10)</f>
        <v>0.56531205824071262</v>
      </c>
      <c r="V10" s="137">
        <f>IF(SER_hh_tes!V10=0,"",SER_hh_tes!V10/SER_hh_fec!V10)</f>
        <v>0.56555453038151804</v>
      </c>
      <c r="W10" s="137">
        <f>IF(SER_hh_tes!W10=0,"",SER_hh_tes!W10/SER_hh_fec!W10)</f>
        <v>0.56580949885618304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>
        <f>IF(SER_hh_tes!D11=0,"",SER_hh_tes!D11/SER_hh_fec!D11)</f>
        <v>0.81799910271711274</v>
      </c>
      <c r="E11" s="137">
        <f>IF(SER_hh_tes!E11=0,"",SER_hh_tes!E11/SER_hh_fec!E11)</f>
        <v>0.81854723705910837</v>
      </c>
      <c r="F11" s="137">
        <f>IF(SER_hh_tes!F11=0,"",SER_hh_tes!F11/SER_hh_fec!F11)</f>
        <v>0.8186348682193032</v>
      </c>
      <c r="G11" s="137">
        <f>IF(SER_hh_tes!G11=0,"",SER_hh_tes!G11/SER_hh_fec!G11)</f>
        <v>0.8186366398532724</v>
      </c>
      <c r="H11" s="137">
        <f>IF(SER_hh_tes!H11=0,"",SER_hh_tes!H11/SER_hh_fec!H11)</f>
        <v>0.81863663985327217</v>
      </c>
      <c r="I11" s="137">
        <f>IF(SER_hh_tes!I11=0,"",SER_hh_tes!I11/SER_hh_fec!I11)</f>
        <v>0.81863663985327229</v>
      </c>
      <c r="J11" s="137">
        <f>IF(SER_hh_tes!J11=0,"",SER_hh_tes!J11/SER_hh_fec!J11)</f>
        <v>0.81863663985327229</v>
      </c>
      <c r="K11" s="137">
        <f>IF(SER_hh_tes!K11=0,"",SER_hh_tes!K11/SER_hh_fec!K11)</f>
        <v>0.81870826921544781</v>
      </c>
      <c r="L11" s="137">
        <f>IF(SER_hh_tes!L11=0,"",SER_hh_tes!L11/SER_hh_fec!L11)</f>
        <v>0.81988126180158694</v>
      </c>
      <c r="M11" s="137">
        <f>IF(SER_hh_tes!M11=0,"",SER_hh_tes!M11/SER_hh_fec!M11)</f>
        <v>0.82439064158279074</v>
      </c>
      <c r="N11" s="137">
        <f>IF(SER_hh_tes!N11=0,"",SER_hh_tes!N11/SER_hh_fec!N11)</f>
        <v>0.82547826717225192</v>
      </c>
      <c r="O11" s="137">
        <f>IF(SER_hh_tes!O11=0,"",SER_hh_tes!O11/SER_hh_fec!O11)</f>
        <v>0.8260689708534763</v>
      </c>
      <c r="P11" s="137">
        <f>IF(SER_hh_tes!P11=0,"",SER_hh_tes!P11/SER_hh_fec!P11)</f>
        <v>0.83141144927023403</v>
      </c>
      <c r="Q11" s="137">
        <f>IF(SER_hh_tes!Q11=0,"",SER_hh_tes!Q11/SER_hh_fec!Q11)</f>
        <v>0.83932041131696578</v>
      </c>
      <c r="R11" s="137">
        <f>IF(SER_hh_tes!R11=0,"",SER_hh_tes!R11/SER_hh_fec!R11)</f>
        <v>0.8496524342325773</v>
      </c>
      <c r="S11" s="137">
        <f>IF(SER_hh_tes!S11=0,"",SER_hh_tes!S11/SER_hh_fec!S11)</f>
        <v>0.86269128948195628</v>
      </c>
      <c r="T11" s="137">
        <f>IF(SER_hh_tes!T11=0,"",SER_hh_tes!T11/SER_hh_fec!T11)</f>
        <v>0.87954268869124064</v>
      </c>
      <c r="U11" s="137">
        <f>IF(SER_hh_tes!U11=0,"",SER_hh_tes!U11/SER_hh_fec!U11)</f>
        <v>0.88210957562541981</v>
      </c>
      <c r="V11" s="137">
        <f>IF(SER_hh_tes!V11=0,"",SER_hh_tes!V11/SER_hh_fec!V11)</f>
        <v>0.88313856901998744</v>
      </c>
      <c r="W11" s="137">
        <f>IF(SER_hh_tes!W11=0,"",SER_hh_tes!W11/SER_hh_fec!W11)</f>
        <v>0.88413732245377463</v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0.79747239809394166</v>
      </c>
      <c r="C12" s="137">
        <f>IF(SER_hh_tes!C12=0,"",SER_hh_tes!C12/SER_hh_fec!C12)</f>
        <v>0.80163600336716379</v>
      </c>
      <c r="D12" s="137">
        <f>IF(SER_hh_tes!D12=0,"",SER_hh_tes!D12/SER_hh_fec!D12)</f>
        <v>0.80440057671234688</v>
      </c>
      <c r="E12" s="137">
        <f>IF(SER_hh_tes!E12=0,"",SER_hh_tes!E12/SER_hh_fec!E12)</f>
        <v>0.80617243974221831</v>
      </c>
      <c r="F12" s="137">
        <f>IF(SER_hh_tes!F12=0,"",SER_hh_tes!F12/SER_hh_fec!F12)</f>
        <v>0.80815034805079466</v>
      </c>
      <c r="G12" s="137">
        <f>IF(SER_hh_tes!G12=0,"",SER_hh_tes!G12/SER_hh_fec!G12)</f>
        <v>0.80957322337475013</v>
      </c>
      <c r="H12" s="137">
        <f>IF(SER_hh_tes!H12=0,"",SER_hh_tes!H12/SER_hh_fec!H12)</f>
        <v>0.81048344277974038</v>
      </c>
      <c r="I12" s="137">
        <f>IF(SER_hh_tes!I12=0,"",SER_hh_tes!I12/SER_hh_fec!I12)</f>
        <v>0.81151389721818867</v>
      </c>
      <c r="J12" s="137">
        <f>IF(SER_hh_tes!J12=0,"",SER_hh_tes!J12/SER_hh_fec!J12)</f>
        <v>0.81171531753337911</v>
      </c>
      <c r="K12" s="137">
        <f>IF(SER_hh_tes!K12=0,"",SER_hh_tes!K12/SER_hh_fec!K12)</f>
        <v>0.81237859897293974</v>
      </c>
      <c r="L12" s="137">
        <f>IF(SER_hh_tes!L12=0,"",SER_hh_tes!L12/SER_hh_fec!L12)</f>
        <v>0.81559292927018823</v>
      </c>
      <c r="M12" s="137">
        <f>IF(SER_hh_tes!M12=0,"",SER_hh_tes!M12/SER_hh_fec!M12)</f>
        <v>0.82202879797278416</v>
      </c>
      <c r="N12" s="137">
        <f>IF(SER_hh_tes!N12=0,"",SER_hh_tes!N12/SER_hh_fec!N12)</f>
        <v>0.82933925629364524</v>
      </c>
      <c r="O12" s="137">
        <f>IF(SER_hh_tes!O12=0,"",SER_hh_tes!O12/SER_hh_fec!O12)</f>
        <v>0.83714999252953182</v>
      </c>
      <c r="P12" s="137">
        <f>IF(SER_hh_tes!P12=0,"",SER_hh_tes!P12/SER_hh_fec!P12)</f>
        <v>0.84037739279162138</v>
      </c>
      <c r="Q12" s="137">
        <f>IF(SER_hh_tes!Q12=0,"",SER_hh_tes!Q12/SER_hh_fec!Q12)</f>
        <v>0.84516341948859097</v>
      </c>
      <c r="R12" s="137">
        <f>IF(SER_hh_tes!R12=0,"",SER_hh_tes!R12/SER_hh_fec!R12)</f>
        <v>0.8510572203400566</v>
      </c>
      <c r="S12" s="137">
        <f>IF(SER_hh_tes!S12=0,"",SER_hh_tes!S12/SER_hh_fec!S12)</f>
        <v>0.85756851227450537</v>
      </c>
      <c r="T12" s="137">
        <f>IF(SER_hh_tes!T12=0,"",SER_hh_tes!T12/SER_hh_fec!T12)</f>
        <v>0.86218499823059858</v>
      </c>
      <c r="U12" s="137">
        <f>IF(SER_hh_tes!U12=0,"",SER_hh_tes!U12/SER_hh_fec!U12)</f>
        <v>0.86586682692582362</v>
      </c>
      <c r="V12" s="137">
        <f>IF(SER_hh_tes!V12=0,"",SER_hh_tes!V12/SER_hh_fec!V12)</f>
        <v>0.86959890438820509</v>
      </c>
      <c r="W12" s="137">
        <f>IF(SER_hh_tes!W12=0,"",SER_hh_tes!W12/SER_hh_fec!W12)</f>
        <v>0.87205340242373308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1.3864972095787549</v>
      </c>
      <c r="C13" s="137">
        <f>IF(SER_hh_tes!C13=0,"",SER_hh_tes!C13/SER_hh_fec!C13)</f>
        <v>1.4111761306320829</v>
      </c>
      <c r="D13" s="137">
        <f>IF(SER_hh_tes!D13=0,"",SER_hh_tes!D13/SER_hh_fec!D13)</f>
        <v>1.4583207697860787</v>
      </c>
      <c r="E13" s="137">
        <f>IF(SER_hh_tes!E13=0,"",SER_hh_tes!E13/SER_hh_fec!E13)</f>
        <v>1.5060812758418225</v>
      </c>
      <c r="F13" s="137">
        <f>IF(SER_hh_tes!F13=0,"",SER_hh_tes!F13/SER_hh_fec!F13)</f>
        <v>1.5671495853728912</v>
      </c>
      <c r="G13" s="137">
        <f>IF(SER_hh_tes!G13=0,"",SER_hh_tes!G13/SER_hh_fec!G13)</f>
        <v>1.6403563683918185</v>
      </c>
      <c r="H13" s="137">
        <f>IF(SER_hh_tes!H13=0,"",SER_hh_tes!H13/SER_hh_fec!H13)</f>
        <v>1.7218587210443876</v>
      </c>
      <c r="I13" s="137">
        <f>IF(SER_hh_tes!I13=0,"",SER_hh_tes!I13/SER_hh_fec!I13)</f>
        <v>1.7994216755358525</v>
      </c>
      <c r="J13" s="137">
        <f>IF(SER_hh_tes!J13=0,"",SER_hh_tes!J13/SER_hh_fec!J13)</f>
        <v>1.8733295974091426</v>
      </c>
      <c r="K13" s="137">
        <f>IF(SER_hh_tes!K13=0,"",SER_hh_tes!K13/SER_hh_fec!K13)</f>
        <v>1.9681717796982843</v>
      </c>
      <c r="L13" s="137">
        <f>IF(SER_hh_tes!L13=0,"",SER_hh_tes!L13/SER_hh_fec!L13)</f>
        <v>2.0918400492519793</v>
      </c>
      <c r="M13" s="137">
        <f>IF(SER_hh_tes!M13=0,"",SER_hh_tes!M13/SER_hh_fec!M13)</f>
        <v>2.2627121453829635</v>
      </c>
      <c r="N13" s="137">
        <f>IF(SER_hh_tes!N13=0,"",SER_hh_tes!N13/SER_hh_fec!N13)</f>
        <v>2.3770019726980811</v>
      </c>
      <c r="O13" s="137">
        <f>IF(SER_hh_tes!O13=0,"",SER_hh_tes!O13/SER_hh_fec!O13)</f>
        <v>2.4689111090169558</v>
      </c>
      <c r="P13" s="137">
        <f>IF(SER_hh_tes!P13=0,"",SER_hh_tes!P13/SER_hh_fec!P13)</f>
        <v>2.5199696303463019</v>
      </c>
      <c r="Q13" s="137">
        <f>IF(SER_hh_tes!Q13=0,"",SER_hh_tes!Q13/SER_hh_fec!Q13)</f>
        <v>2.5812909921203899</v>
      </c>
      <c r="R13" s="137">
        <f>IF(SER_hh_tes!R13=0,"",SER_hh_tes!R13/SER_hh_fec!R13)</f>
        <v>2.6540225821234964</v>
      </c>
      <c r="S13" s="137">
        <f>IF(SER_hh_tes!S13=0,"",SER_hh_tes!S13/SER_hh_fec!S13)</f>
        <v>2.7319622973557931</v>
      </c>
      <c r="T13" s="137">
        <f>IF(SER_hh_tes!T13=0,"",SER_hh_tes!T13/SER_hh_fec!T13)</f>
        <v>2.8174195315545099</v>
      </c>
      <c r="U13" s="137">
        <f>IF(SER_hh_tes!U13=0,"",SER_hh_tes!U13/SER_hh_fec!U13)</f>
        <v>2.9061291515563052</v>
      </c>
      <c r="V13" s="137">
        <f>IF(SER_hh_tes!V13=0,"",SER_hh_tes!V13/SER_hh_fec!V13)</f>
        <v>2.9956629548202303</v>
      </c>
      <c r="W13" s="137">
        <f>IF(SER_hh_tes!W13=0,"",SER_hh_tes!W13/SER_hh_fec!W13)</f>
        <v>3.0893042087926101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0.70854614689990936</v>
      </c>
      <c r="C14" s="138">
        <f>IF(SER_hh_tes!C14=0,"",SER_hh_tes!C14/SER_hh_fec!C14)</f>
        <v>0.71224566656596289</v>
      </c>
      <c r="D14" s="138">
        <f>IF(SER_hh_tes!D14=0,"",SER_hh_tes!D14/SER_hh_fec!D14)</f>
        <v>0.71549472444101492</v>
      </c>
      <c r="E14" s="138">
        <f>IF(SER_hh_tes!E14=0,"",SER_hh_tes!E14/SER_hh_fec!E14)</f>
        <v>0.7183826102885511</v>
      </c>
      <c r="F14" s="138">
        <f>IF(SER_hh_tes!F14=0,"",SER_hh_tes!F14/SER_hh_fec!F14)</f>
        <v>0.72228381657404994</v>
      </c>
      <c r="G14" s="138">
        <f>IF(SER_hh_tes!G14=0,"",SER_hh_tes!G14/SER_hh_fec!G14)</f>
        <v>0.72659527319705608</v>
      </c>
      <c r="H14" s="138">
        <f>IF(SER_hh_tes!H14=0,"",SER_hh_tes!H14/SER_hh_fec!H14)</f>
        <v>0.73191721823838085</v>
      </c>
      <c r="I14" s="138">
        <f>IF(SER_hh_tes!I14=0,"",SER_hh_tes!I14/SER_hh_fec!I14)</f>
        <v>0.73713098291926438</v>
      </c>
      <c r="J14" s="138">
        <f>IF(SER_hh_tes!J14=0,"",SER_hh_tes!J14/SER_hh_fec!J14)</f>
        <v>0.74155362785485879</v>
      </c>
      <c r="K14" s="138">
        <f>IF(SER_hh_tes!K14=0,"",SER_hh_tes!K14/SER_hh_fec!K14)</f>
        <v>0.74631905679897081</v>
      </c>
      <c r="L14" s="138">
        <f>IF(SER_hh_tes!L14=0,"",SER_hh_tes!L14/SER_hh_fec!L14)</f>
        <v>0.75142350382636214</v>
      </c>
      <c r="M14" s="138">
        <f>IF(SER_hh_tes!M14=0,"",SER_hh_tes!M14/SER_hh_fec!M14)</f>
        <v>0.75672669238697254</v>
      </c>
      <c r="N14" s="138">
        <f>IF(SER_hh_tes!N14=0,"",SER_hh_tes!N14/SER_hh_fec!N14)</f>
        <v>0.76242491357091013</v>
      </c>
      <c r="O14" s="138">
        <f>IF(SER_hh_tes!O14=0,"",SER_hh_tes!O14/SER_hh_fec!O14)</f>
        <v>0.76787713651263101</v>
      </c>
      <c r="P14" s="138">
        <f>IF(SER_hh_tes!P14=0,"",SER_hh_tes!P14/SER_hh_fec!P14)</f>
        <v>0.76938840170586953</v>
      </c>
      <c r="Q14" s="138">
        <f>IF(SER_hh_tes!Q14=0,"",SER_hh_tes!Q14/SER_hh_fec!Q14)</f>
        <v>0.77255724689926752</v>
      </c>
      <c r="R14" s="138">
        <f>IF(SER_hh_tes!R14=0,"",SER_hh_tes!R14/SER_hh_fec!R14)</f>
        <v>0.77723157414149635</v>
      </c>
      <c r="S14" s="138">
        <f>IF(SER_hh_tes!S14=0,"",SER_hh_tes!S14/SER_hh_fec!S14)</f>
        <v>0.78345758043836777</v>
      </c>
      <c r="T14" s="138">
        <f>IF(SER_hh_tes!T14=0,"",SER_hh_tes!T14/SER_hh_fec!T14)</f>
        <v>0.78991625325384685</v>
      </c>
      <c r="U14" s="138">
        <f>IF(SER_hh_tes!U14=0,"",SER_hh_tes!U14/SER_hh_fec!U14)</f>
        <v>0.79765419684842853</v>
      </c>
      <c r="V14" s="138">
        <f>IF(SER_hh_tes!V14=0,"",SER_hh_tes!V14/SER_hh_fec!V14)</f>
        <v>0.80687743833983605</v>
      </c>
      <c r="W14" s="138">
        <f>IF(SER_hh_tes!W14=0,"",SER_hh_tes!W14/SER_hh_fec!W14)</f>
        <v>0.8175047264639097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1.8072876377046641</v>
      </c>
      <c r="C16" s="136">
        <f>IF(SER_hh_tes!C16=0,"",SER_hh_tes!C16/SER_hh_fec!C16)</f>
        <v>1.888151249528905</v>
      </c>
      <c r="D16" s="136">
        <f>IF(SER_hh_tes!D16=0,"",SER_hh_tes!D16/SER_hh_fec!D16)</f>
        <v>1.9711427675542617</v>
      </c>
      <c r="E16" s="136">
        <f>IF(SER_hh_tes!E16=0,"",SER_hh_tes!E16/SER_hh_fec!E16)</f>
        <v>2.0539781843053011</v>
      </c>
      <c r="F16" s="136">
        <f>IF(SER_hh_tes!F16=0,"",SER_hh_tes!F16/SER_hh_fec!F16)</f>
        <v>2.142611665028916</v>
      </c>
      <c r="G16" s="136">
        <f>IF(SER_hh_tes!G16=0,"",SER_hh_tes!G16/SER_hh_fec!G16)</f>
        <v>2.2394786484693054</v>
      </c>
      <c r="H16" s="136">
        <f>IF(SER_hh_tes!H16=0,"",SER_hh_tes!H16/SER_hh_fec!H16)</f>
        <v>2.3540984266611655</v>
      </c>
      <c r="I16" s="136">
        <f>IF(SER_hh_tes!I16=0,"",SER_hh_tes!I16/SER_hh_fec!I16)</f>
        <v>2.4722168732636951</v>
      </c>
      <c r="J16" s="136">
        <f>IF(SER_hh_tes!J16=0,"",SER_hh_tes!J16/SER_hh_fec!J16)</f>
        <v>2.5946834658878504</v>
      </c>
      <c r="K16" s="136">
        <f>IF(SER_hh_tes!K16=0,"",SER_hh_tes!K16/SER_hh_fec!K16)</f>
        <v>2.6375646814148372</v>
      </c>
      <c r="L16" s="136">
        <f>IF(SER_hh_tes!L16=0,"",SER_hh_tes!L16/SER_hh_fec!L16)</f>
        <v>2.6903472067629628</v>
      </c>
      <c r="M16" s="136">
        <f>IF(SER_hh_tes!M16=0,"",SER_hh_tes!M16/SER_hh_fec!M16)</f>
        <v>2.7614686655520253</v>
      </c>
      <c r="N16" s="136">
        <f>IF(SER_hh_tes!N16=0,"",SER_hh_tes!N16/SER_hh_fec!N16)</f>
        <v>2.8205249856090773</v>
      </c>
      <c r="O16" s="136">
        <f>IF(SER_hh_tes!O16=0,"",SER_hh_tes!O16/SER_hh_fec!O16)</f>
        <v>2.8909026559957258</v>
      </c>
      <c r="P16" s="136">
        <f>IF(SER_hh_tes!P16=0,"",SER_hh_tes!P16/SER_hh_fec!P16)</f>
        <v>2.9825656206114792</v>
      </c>
      <c r="Q16" s="136">
        <f>IF(SER_hh_tes!Q16=0,"",SER_hh_tes!Q16/SER_hh_fec!Q16)</f>
        <v>3.0746250383279086</v>
      </c>
      <c r="R16" s="136">
        <f>IF(SER_hh_tes!R16=0,"",SER_hh_tes!R16/SER_hh_fec!R16)</f>
        <v>3.1756849418107911</v>
      </c>
      <c r="S16" s="136">
        <f>IF(SER_hh_tes!S16=0,"",SER_hh_tes!S16/SER_hh_fec!S16)</f>
        <v>3.2663248196655386</v>
      </c>
      <c r="T16" s="136">
        <f>IF(SER_hh_tes!T16=0,"",SER_hh_tes!T16/SER_hh_fec!T16)</f>
        <v>3.3500822603938278</v>
      </c>
      <c r="U16" s="136">
        <f>IF(SER_hh_tes!U16=0,"",SER_hh_tes!U16/SER_hh_fec!U16)</f>
        <v>3.4188955028510519</v>
      </c>
      <c r="V16" s="136">
        <f>IF(SER_hh_tes!V16=0,"",SER_hh_tes!V16/SER_hh_fec!V16)</f>
        <v>3.4906358008383469</v>
      </c>
      <c r="W16" s="136">
        <f>IF(SER_hh_tes!W16=0,"",SER_hh_tes!W16/SER_hh_fec!W16)</f>
        <v>3.5781331711549793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1.2502797977780464</v>
      </c>
      <c r="C17" s="137">
        <f>IF(SER_hh_tes!C17=0,"",SER_hh_tes!C17/SER_hh_fec!C17)</f>
        <v>1.2574537618858026</v>
      </c>
      <c r="D17" s="137">
        <f>IF(SER_hh_tes!D17=0,"",SER_hh_tes!D17/SER_hh_fec!D17)</f>
        <v>1.2631744432557142</v>
      </c>
      <c r="E17" s="137">
        <f>IF(SER_hh_tes!E17=0,"",SER_hh_tes!E17/SER_hh_fec!E17)</f>
        <v>1.2708023816015261</v>
      </c>
      <c r="F17" s="137">
        <f>IF(SER_hh_tes!F17=0,"",SER_hh_tes!F17/SER_hh_fec!F17)</f>
        <v>1.2740488360108124</v>
      </c>
      <c r="G17" s="137">
        <f>IF(SER_hh_tes!G17=0,"",SER_hh_tes!G17/SER_hh_fec!G17)</f>
        <v>1.2764641969884924</v>
      </c>
      <c r="H17" s="137">
        <f>IF(SER_hh_tes!H17=0,"",SER_hh_tes!H17/SER_hh_fec!H17)</f>
        <v>1.2834125480426941</v>
      </c>
      <c r="I17" s="137">
        <f>IF(SER_hh_tes!I17=0,"",SER_hh_tes!I17/SER_hh_fec!I17)</f>
        <v>1.28639013856318</v>
      </c>
      <c r="J17" s="137">
        <f>IF(SER_hh_tes!J17=0,"",SER_hh_tes!J17/SER_hh_fec!J17)</f>
        <v>1.2893652145052836</v>
      </c>
      <c r="K17" s="137">
        <f>IF(SER_hh_tes!K17=0,"",SER_hh_tes!K17/SER_hh_fec!K17)</f>
        <v>1.2904172335181241</v>
      </c>
      <c r="L17" s="137">
        <f>IF(SER_hh_tes!L17=0,"",SER_hh_tes!L17/SER_hh_fec!L17)</f>
        <v>1.2922573912549442</v>
      </c>
      <c r="M17" s="137">
        <f>IF(SER_hh_tes!M17=0,"",SER_hh_tes!M17/SER_hh_fec!M17)</f>
        <v>1.2965036173758002</v>
      </c>
      <c r="N17" s="137">
        <f>IF(SER_hh_tes!N17=0,"",SER_hh_tes!N17/SER_hh_fec!N17)</f>
        <v>1.3044505881066781</v>
      </c>
      <c r="O17" s="137">
        <f>IF(SER_hh_tes!O17=0,"",SER_hh_tes!O17/SER_hh_fec!O17)</f>
        <v>1.3135495663120755</v>
      </c>
      <c r="P17" s="137">
        <f>IF(SER_hh_tes!P17=0,"",SER_hh_tes!P17/SER_hh_fec!P17)</f>
        <v>1.3218829383497577</v>
      </c>
      <c r="Q17" s="137">
        <f>IF(SER_hh_tes!Q17=0,"",SER_hh_tes!Q17/SER_hh_fec!Q17)</f>
        <v>1.3459645341840887</v>
      </c>
      <c r="R17" s="137">
        <f>IF(SER_hh_tes!R17=0,"",SER_hh_tes!R17/SER_hh_fec!R17)</f>
        <v>1.3610396375366451</v>
      </c>
      <c r="S17" s="137">
        <f>IF(SER_hh_tes!S17=0,"",SER_hh_tes!S17/SER_hh_fec!S17)</f>
        <v>1.3829135278381421</v>
      </c>
      <c r="T17" s="137">
        <f>IF(SER_hh_tes!T17=0,"",SER_hh_tes!T17/SER_hh_fec!T17)</f>
        <v>1.4032527535792476</v>
      </c>
      <c r="U17" s="137">
        <f>IF(SER_hh_tes!U17=0,"",SER_hh_tes!U17/SER_hh_fec!U17)</f>
        <v>1.4266897194755963</v>
      </c>
      <c r="V17" s="137">
        <f>IF(SER_hh_tes!V17=0,"",SER_hh_tes!V17/SER_hh_fec!V17)</f>
        <v>1.4519292557799166</v>
      </c>
      <c r="W17" s="137">
        <f>IF(SER_hh_tes!W17=0,"",SER_hh_tes!W17/SER_hh_fec!W17)</f>
        <v>1.479751528882592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1.8098767370302009</v>
      </c>
      <c r="C18" s="137">
        <f>IF(SER_hh_tes!C18=0,"",SER_hh_tes!C18/SER_hh_fec!C18)</f>
        <v>1.8915445733818579</v>
      </c>
      <c r="D18" s="137">
        <f>IF(SER_hh_tes!D18=0,"",SER_hh_tes!D18/SER_hh_fec!D18)</f>
        <v>1.9753748923306516</v>
      </c>
      <c r="E18" s="137">
        <f>IF(SER_hh_tes!E18=0,"",SER_hh_tes!E18/SER_hh_fec!E18)</f>
        <v>2.0609276264137044</v>
      </c>
      <c r="F18" s="137">
        <f>IF(SER_hh_tes!F18=0,"",SER_hh_tes!F18/SER_hh_fec!F18)</f>
        <v>2.1497854830955512</v>
      </c>
      <c r="G18" s="137">
        <f>IF(SER_hh_tes!G18=0,"",SER_hh_tes!G18/SER_hh_fec!G18)</f>
        <v>2.247244726172986</v>
      </c>
      <c r="H18" s="137">
        <f>IF(SER_hh_tes!H18=0,"",SER_hh_tes!H18/SER_hh_fec!H18)</f>
        <v>2.3669558096509946</v>
      </c>
      <c r="I18" s="137">
        <f>IF(SER_hh_tes!I18=0,"",SER_hh_tes!I18/SER_hh_fec!I18)</f>
        <v>2.4882807544548902</v>
      </c>
      <c r="J18" s="137">
        <f>IF(SER_hh_tes!J18=0,"",SER_hh_tes!J18/SER_hh_fec!J18)</f>
        <v>2.6162096543812039</v>
      </c>
      <c r="K18" s="137">
        <f>IF(SER_hh_tes!K18=0,"",SER_hh_tes!K18/SER_hh_fec!K18)</f>
        <v>2.6608074291206689</v>
      </c>
      <c r="L18" s="137">
        <f>IF(SER_hh_tes!L18=0,"",SER_hh_tes!L18/SER_hh_fec!L18)</f>
        <v>2.7179517844392174</v>
      </c>
      <c r="M18" s="137">
        <f>IF(SER_hh_tes!M18=0,"",SER_hh_tes!M18/SER_hh_fec!M18)</f>
        <v>2.8007248284922355</v>
      </c>
      <c r="N18" s="137">
        <f>IF(SER_hh_tes!N18=0,"",SER_hh_tes!N18/SER_hh_fec!N18)</f>
        <v>2.8802150614022608</v>
      </c>
      <c r="O18" s="137">
        <f>IF(SER_hh_tes!O18=0,"",SER_hh_tes!O18/SER_hh_fec!O18)</f>
        <v>2.9687059033991807</v>
      </c>
      <c r="P18" s="137">
        <f>IF(SER_hh_tes!P18=0,"",SER_hh_tes!P18/SER_hh_fec!P18)</f>
        <v>3.0731239754064896</v>
      </c>
      <c r="Q18" s="137">
        <f>IF(SER_hh_tes!Q18=0,"",SER_hh_tes!Q18/SER_hh_fec!Q18)</f>
        <v>3.1964625716069279</v>
      </c>
      <c r="R18" s="137">
        <f>IF(SER_hh_tes!R18=0,"",SER_hh_tes!R18/SER_hh_fec!R18)</f>
        <v>3.318642582317755</v>
      </c>
      <c r="S18" s="137">
        <f>IF(SER_hh_tes!S18=0,"",SER_hh_tes!S18/SER_hh_fec!S18)</f>
        <v>3.4399316051300248</v>
      </c>
      <c r="T18" s="137">
        <f>IF(SER_hh_tes!T18=0,"",SER_hh_tes!T18/SER_hh_fec!T18)</f>
        <v>3.548138501115857</v>
      </c>
      <c r="U18" s="137">
        <f>IF(SER_hh_tes!U18=0,"",SER_hh_tes!U18/SER_hh_fec!U18)</f>
        <v>3.6407228300340169</v>
      </c>
      <c r="V18" s="137">
        <f>IF(SER_hh_tes!V18=0,"",SER_hh_tes!V18/SER_hh_fec!V18)</f>
        <v>3.7213996098248816</v>
      </c>
      <c r="W18" s="137">
        <f>IF(SER_hh_tes!W18=0,"",SER_hh_tes!W18/SER_hh_fec!W18)</f>
        <v>3.81243725242456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0.61354839439549991</v>
      </c>
      <c r="C19" s="136">
        <f>IF(SER_hh_tes!C19=0,"",SER_hh_tes!C19/SER_hh_fec!C19)</f>
        <v>0.61596968823285114</v>
      </c>
      <c r="D19" s="136">
        <f>IF(SER_hh_tes!D19=0,"",SER_hh_tes!D19/SER_hh_fec!D19)</f>
        <v>0.61925080338558791</v>
      </c>
      <c r="E19" s="136">
        <f>IF(SER_hh_tes!E19=0,"",SER_hh_tes!E19/SER_hh_fec!E19)</f>
        <v>0.62143559774267221</v>
      </c>
      <c r="F19" s="136">
        <f>IF(SER_hh_tes!F19=0,"",SER_hh_tes!F19/SER_hh_fec!F19)</f>
        <v>0.62639267200117166</v>
      </c>
      <c r="G19" s="136">
        <f>IF(SER_hh_tes!G19=0,"",SER_hh_tes!G19/SER_hh_fec!G19)</f>
        <v>0.63184742076470279</v>
      </c>
      <c r="H19" s="136">
        <f>IF(SER_hh_tes!H19=0,"",SER_hh_tes!H19/SER_hh_fec!H19)</f>
        <v>0.63717233747972757</v>
      </c>
      <c r="I19" s="136">
        <f>IF(SER_hh_tes!I19=0,"",SER_hh_tes!I19/SER_hh_fec!I19)</f>
        <v>0.6388016674982463</v>
      </c>
      <c r="J19" s="136">
        <f>IF(SER_hh_tes!J19=0,"",SER_hh_tes!J19/SER_hh_fec!J19)</f>
        <v>0.64475539506726598</v>
      </c>
      <c r="K19" s="136">
        <f>IF(SER_hh_tes!K19=0,"",SER_hh_tes!K19/SER_hh_fec!K19)</f>
        <v>0.64944597308883922</v>
      </c>
      <c r="L19" s="136">
        <f>IF(SER_hh_tes!L19=0,"",SER_hh_tes!L19/SER_hh_fec!L19)</f>
        <v>0.65662871291833802</v>
      </c>
      <c r="M19" s="136">
        <f>IF(SER_hh_tes!M19=0,"",SER_hh_tes!M19/SER_hh_fec!M19)</f>
        <v>0.66297993644964992</v>
      </c>
      <c r="N19" s="136">
        <f>IF(SER_hh_tes!N19=0,"",SER_hh_tes!N19/SER_hh_fec!N19)</f>
        <v>0.67335340435037416</v>
      </c>
      <c r="O19" s="136">
        <f>IF(SER_hh_tes!O19=0,"",SER_hh_tes!O19/SER_hh_fec!O19)</f>
        <v>0.68130657966401198</v>
      </c>
      <c r="P19" s="136">
        <f>IF(SER_hh_tes!P19=0,"",SER_hh_tes!P19/SER_hh_fec!P19)</f>
        <v>0.68545198618806547</v>
      </c>
      <c r="Q19" s="136">
        <f>IF(SER_hh_tes!Q19=0,"",SER_hh_tes!Q19/SER_hh_fec!Q19)</f>
        <v>0.69062473755125453</v>
      </c>
      <c r="R19" s="136">
        <f>IF(SER_hh_tes!R19=0,"",SER_hh_tes!R19/SER_hh_fec!R19)</f>
        <v>0.7020506913754504</v>
      </c>
      <c r="S19" s="136">
        <f>IF(SER_hh_tes!S19=0,"",SER_hh_tes!S19/SER_hh_fec!S19)</f>
        <v>0.71312891204881623</v>
      </c>
      <c r="T19" s="136">
        <f>IF(SER_hh_tes!T19=0,"",SER_hh_tes!T19/SER_hh_fec!T19)</f>
        <v>0.72982789330285114</v>
      </c>
      <c r="U19" s="136">
        <f>IF(SER_hh_tes!U19=0,"",SER_hh_tes!U19/SER_hh_fec!U19)</f>
        <v>0.74360370101681172</v>
      </c>
      <c r="V19" s="136">
        <f>IF(SER_hh_tes!V19=0,"",SER_hh_tes!V19/SER_hh_fec!V19)</f>
        <v>0.75766998518137707</v>
      </c>
      <c r="W19" s="136">
        <f>IF(SER_hh_tes!W19=0,"",SER_hh_tes!W19/SER_hh_fec!W19)</f>
        <v>0.77336069330563095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0.56017592553926754</v>
      </c>
      <c r="C21" s="137">
        <f>IF(SER_hh_tes!C21=0,"",SER_hh_tes!C21/SER_hh_fec!C21)</f>
        <v>0.56262083351835479</v>
      </c>
      <c r="D21" s="137">
        <f>IF(SER_hh_tes!D21=0,"",SER_hh_tes!D21/SER_hh_fec!D21)</f>
        <v>0.56556481681600124</v>
      </c>
      <c r="E21" s="137">
        <f>IF(SER_hh_tes!E21=0,"",SER_hh_tes!E21/SER_hh_fec!E21)</f>
        <v>0.5680578842622559</v>
      </c>
      <c r="F21" s="137">
        <f>IF(SER_hh_tes!F21=0,"",SER_hh_tes!F21/SER_hh_fec!F21)</f>
        <v>0.57012530453303134</v>
      </c>
      <c r="G21" s="137">
        <f>IF(SER_hh_tes!G21=0,"",SER_hh_tes!G21/SER_hh_fec!G21)</f>
        <v>0.57217143291318517</v>
      </c>
      <c r="H21" s="137">
        <f>IF(SER_hh_tes!H21=0,"",SER_hh_tes!H21/SER_hh_fec!H21)</f>
        <v>0.5746425939427674</v>
      </c>
      <c r="I21" s="137">
        <f>IF(SER_hh_tes!I21=0,"",SER_hh_tes!I21/SER_hh_fec!I21)</f>
        <v>0.57725829855684008</v>
      </c>
      <c r="J21" s="137">
        <f>IF(SER_hh_tes!J21=0,"",SER_hh_tes!J21/SER_hh_fec!J21)</f>
        <v>0.57980152835488852</v>
      </c>
      <c r="K21" s="137">
        <f>IF(SER_hh_tes!K21=0,"",SER_hh_tes!K21/SER_hh_fec!K21)</f>
        <v>0.58242649515331668</v>
      </c>
      <c r="L21" s="137">
        <f>IF(SER_hh_tes!L21=0,"",SER_hh_tes!L21/SER_hh_fec!L21)</f>
        <v>0.58510955546661936</v>
      </c>
      <c r="M21" s="137">
        <f>IF(SER_hh_tes!M21=0,"",SER_hh_tes!M21/SER_hh_fec!M21)</f>
        <v>0.5889137779050756</v>
      </c>
      <c r="N21" s="137">
        <f>IF(SER_hh_tes!N21=0,"",SER_hh_tes!N21/SER_hh_fec!N21)</f>
        <v>0.59444165171220664</v>
      </c>
      <c r="O21" s="137">
        <f>IF(SER_hh_tes!O21=0,"",SER_hh_tes!O21/SER_hh_fec!O21)</f>
        <v>0.60192848133073562</v>
      </c>
      <c r="P21" s="137">
        <f>IF(SER_hh_tes!P21=0,"",SER_hh_tes!P21/SER_hh_fec!P21)</f>
        <v>0.60636560846922238</v>
      </c>
      <c r="Q21" s="137">
        <f>IF(SER_hh_tes!Q21=0,"",SER_hh_tes!Q21/SER_hh_fec!Q21)</f>
        <v>0.61301251449966243</v>
      </c>
      <c r="R21" s="137">
        <f>IF(SER_hh_tes!R21=0,"",SER_hh_tes!R21/SER_hh_fec!R21)</f>
        <v>0.61927819391279582</v>
      </c>
      <c r="S21" s="137">
        <f>IF(SER_hh_tes!S21=0,"",SER_hh_tes!S21/SER_hh_fec!S21)</f>
        <v>0.62645915278472375</v>
      </c>
      <c r="T21" s="137">
        <f>IF(SER_hh_tes!T21=0,"",SER_hh_tes!T21/SER_hh_fec!T21)</f>
        <v>0.63178830469364511</v>
      </c>
      <c r="U21" s="137">
        <f>IF(SER_hh_tes!U21=0,"",SER_hh_tes!U21/SER_hh_fec!U21)</f>
        <v>0.63633311329197428</v>
      </c>
      <c r="V21" s="137">
        <f>IF(SER_hh_tes!V21=0,"",SER_hh_tes!V21/SER_hh_fec!V21)</f>
        <v>0.65124207881991369</v>
      </c>
      <c r="W21" s="137">
        <f>IF(SER_hh_tes!W21=0,"",SER_hh_tes!W21/SER_hh_fec!W21)</f>
        <v>0.67655133144701596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0.52790352156772091</v>
      </c>
      <c r="C22" s="137">
        <f>IF(SER_hh_tes!C22=0,"",SER_hh_tes!C22/SER_hh_fec!C22)</f>
        <v>0.52950631327781361</v>
      </c>
      <c r="D22" s="137">
        <f>IF(SER_hh_tes!D22=0,"",SER_hh_tes!D22/SER_hh_fec!D22)</f>
        <v>0.53118280518572558</v>
      </c>
      <c r="E22" s="137">
        <f>IF(SER_hh_tes!E22=0,"",SER_hh_tes!E22/SER_hh_fec!E22)</f>
        <v>0.53304550283440855</v>
      </c>
      <c r="F22" s="137">
        <f>IF(SER_hh_tes!F22=0,"",SER_hh_tes!F22/SER_hh_fec!F22)</f>
        <v>0.53486284923082617</v>
      </c>
      <c r="G22" s="137">
        <f>IF(SER_hh_tes!G22=0,"",SER_hh_tes!G22/SER_hh_fec!G22)</f>
        <v>0.53680843993836769</v>
      </c>
      <c r="H22" s="137">
        <f>IF(SER_hh_tes!H22=0,"",SER_hh_tes!H22/SER_hh_fec!H22)</f>
        <v>0.53881819931403652</v>
      </c>
      <c r="I22" s="137">
        <f>IF(SER_hh_tes!I22=0,"",SER_hh_tes!I22/SER_hh_fec!I22)</f>
        <v>0.54107509339774418</v>
      </c>
      <c r="J22" s="137">
        <f>IF(SER_hh_tes!J22=0,"",SER_hh_tes!J22/SER_hh_fec!J22)</f>
        <v>0.5437969580451304</v>
      </c>
      <c r="K22" s="137">
        <f>IF(SER_hh_tes!K22=0,"",SER_hh_tes!K22/SER_hh_fec!K22)</f>
        <v>0.54691272419229953</v>
      </c>
      <c r="L22" s="137">
        <f>IF(SER_hh_tes!L22=0,"",SER_hh_tes!L22/SER_hh_fec!L22)</f>
        <v>0.55095110069060471</v>
      </c>
      <c r="M22" s="137">
        <f>IF(SER_hh_tes!M22=0,"",SER_hh_tes!M22/SER_hh_fec!M22)</f>
        <v>0.55699967002731154</v>
      </c>
      <c r="N22" s="137">
        <f>IF(SER_hh_tes!N22=0,"",SER_hh_tes!N22/SER_hh_fec!N22)</f>
        <v>0.56706631290670584</v>
      </c>
      <c r="O22" s="137">
        <f>IF(SER_hh_tes!O22=0,"",SER_hh_tes!O22/SER_hh_fec!O22)</f>
        <v>0.57896135143147143</v>
      </c>
      <c r="P22" s="137">
        <f>IF(SER_hh_tes!P22=0,"",SER_hh_tes!P22/SER_hh_fec!P22)</f>
        <v>0.58472080357363143</v>
      </c>
      <c r="Q22" s="137">
        <f>IF(SER_hh_tes!Q22=0,"",SER_hh_tes!Q22/SER_hh_fec!Q22)</f>
        <v>0.59246253479216948</v>
      </c>
      <c r="R22" s="137">
        <f>IF(SER_hh_tes!R22=0,"",SER_hh_tes!R22/SER_hh_fec!R22)</f>
        <v>0.59789520147549857</v>
      </c>
      <c r="S22" s="137">
        <f>IF(SER_hh_tes!S22=0,"",SER_hh_tes!S22/SER_hh_fec!S22)</f>
        <v>0.60970933623610424</v>
      </c>
      <c r="T22" s="137">
        <f>IF(SER_hh_tes!T22=0,"",SER_hh_tes!T22/SER_hh_fec!T22)</f>
        <v>0.61968446593000137</v>
      </c>
      <c r="U22" s="137">
        <f>IF(SER_hh_tes!U22=0,"",SER_hh_tes!U22/SER_hh_fec!U22)</f>
        <v>0.63215761981149865</v>
      </c>
      <c r="V22" s="137">
        <f>IF(SER_hh_tes!V22=0,"",SER_hh_tes!V22/SER_hh_fec!V22)</f>
        <v>0.6462908349090386</v>
      </c>
      <c r="W22" s="137">
        <f>IF(SER_hh_tes!W22=0,"",SER_hh_tes!W22/SER_hh_fec!W22)</f>
        <v>0.65671786090343798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0.53931894783023415</v>
      </c>
      <c r="C23" s="137">
        <f>IF(SER_hh_tes!C23=0,"",SER_hh_tes!C23/SER_hh_fec!C23)</f>
        <v>0.54371139141665792</v>
      </c>
      <c r="D23" s="137">
        <f>IF(SER_hh_tes!D23=0,"",SER_hh_tes!D23/SER_hh_fec!D23)</f>
        <v>0.54889072088097501</v>
      </c>
      <c r="E23" s="137">
        <f>IF(SER_hh_tes!E23=0,"",SER_hh_tes!E23/SER_hh_fec!E23)</f>
        <v>0.55415517695300454</v>
      </c>
      <c r="F23" s="137">
        <f>IF(SER_hh_tes!F23=0,"",SER_hh_tes!F23/SER_hh_fec!F23)</f>
        <v>0.55854328762697525</v>
      </c>
      <c r="G23" s="137">
        <f>IF(SER_hh_tes!G23=0,"",SER_hh_tes!G23/SER_hh_fec!G23)</f>
        <v>0.56298181516103041</v>
      </c>
      <c r="H23" s="137">
        <f>IF(SER_hh_tes!H23=0,"",SER_hh_tes!H23/SER_hh_fec!H23)</f>
        <v>0.56833970716614268</v>
      </c>
      <c r="I23" s="137">
        <f>IF(SER_hh_tes!I23=0,"",SER_hh_tes!I23/SER_hh_fec!I23)</f>
        <v>0.57586086818693605</v>
      </c>
      <c r="J23" s="137">
        <f>IF(SER_hh_tes!J23=0,"",SER_hh_tes!J23/SER_hh_fec!J23)</f>
        <v>0.58440031662235059</v>
      </c>
      <c r="K23" s="137">
        <f>IF(SER_hh_tes!K23=0,"",SER_hh_tes!K23/SER_hh_fec!K23)</f>
        <v>0.59531781820388419</v>
      </c>
      <c r="L23" s="137">
        <f>IF(SER_hh_tes!L23=0,"",SER_hh_tes!L23/SER_hh_fec!L23)</f>
        <v>0.60512652602312977</v>
      </c>
      <c r="M23" s="137">
        <f>IF(SER_hh_tes!M23=0,"",SER_hh_tes!M23/SER_hh_fec!M23)</f>
        <v>0.61671645576793943</v>
      </c>
      <c r="N23" s="137">
        <f>IF(SER_hh_tes!N23=0,"",SER_hh_tes!N23/SER_hh_fec!N23)</f>
        <v>0.62999226448427581</v>
      </c>
      <c r="O23" s="137">
        <f>IF(SER_hh_tes!O23=0,"",SER_hh_tes!O23/SER_hh_fec!O23)</f>
        <v>0.64421874417230818</v>
      </c>
      <c r="P23" s="137">
        <f>IF(SER_hh_tes!P23=0,"",SER_hh_tes!P23/SER_hh_fec!P23)</f>
        <v>0.64852946081509266</v>
      </c>
      <c r="Q23" s="137">
        <f>IF(SER_hh_tes!Q23=0,"",SER_hh_tes!Q23/SER_hh_fec!Q23)</f>
        <v>0.65589784223940928</v>
      </c>
      <c r="R23" s="137">
        <f>IF(SER_hh_tes!R23=0,"",SER_hh_tes!R23/SER_hh_fec!R23)</f>
        <v>0.66861769530829251</v>
      </c>
      <c r="S23" s="137">
        <f>IF(SER_hh_tes!S23=0,"",SER_hh_tes!S23/SER_hh_fec!S23)</f>
        <v>0.6814456067077409</v>
      </c>
      <c r="T23" s="137">
        <f>IF(SER_hh_tes!T23=0,"",SER_hh_tes!T23/SER_hh_fec!T23)</f>
        <v>0.69486164082955859</v>
      </c>
      <c r="U23" s="137">
        <f>IF(SER_hh_tes!U23=0,"",SER_hh_tes!U23/SER_hh_fec!U23)</f>
        <v>0.70957830287337209</v>
      </c>
      <c r="V23" s="137">
        <f>IF(SER_hh_tes!V23=0,"",SER_hh_tes!V23/SER_hh_fec!V23)</f>
        <v>0.7243614252691063</v>
      </c>
      <c r="W23" s="137">
        <f>IF(SER_hh_tes!W23=0,"",SER_hh_tes!W23/SER_hh_fec!W23)</f>
        <v>0.73784759457039617</v>
      </c>
      <c r="DA23" s="164" t="s">
        <v>347</v>
      </c>
    </row>
    <row r="24" spans="1:105" ht="12" customHeight="1" x14ac:dyDescent="0.25">
      <c r="A24" s="132" t="s">
        <v>128</v>
      </c>
      <c r="B24" s="137">
        <f>IF(SER_hh_tes!B24=0,"",SER_hh_tes!B24/SER_hh_fec!B24)</f>
        <v>0.47462842892547064</v>
      </c>
      <c r="C24" s="137">
        <f>IF(SER_hh_tes!C24=0,"",SER_hh_tes!C24/SER_hh_fec!C24)</f>
        <v>0.48303092060621394</v>
      </c>
      <c r="D24" s="137">
        <f>IF(SER_hh_tes!D24=0,"",SER_hh_tes!D24/SER_hh_fec!D24)</f>
        <v>0.49553614939971669</v>
      </c>
      <c r="E24" s="137">
        <f>IF(SER_hh_tes!E24=0,"",SER_hh_tes!E24/SER_hh_fec!E24)</f>
        <v>0.50946113642901081</v>
      </c>
      <c r="F24" s="137">
        <f>IF(SER_hh_tes!F24=0,"",SER_hh_tes!F24/SER_hh_fec!F24)</f>
        <v>0.52439293165824674</v>
      </c>
      <c r="G24" s="137">
        <f>IF(SER_hh_tes!G24=0,"",SER_hh_tes!G24/SER_hh_fec!G24)</f>
        <v>0.54131130138550199</v>
      </c>
      <c r="H24" s="137">
        <f>IF(SER_hh_tes!H24=0,"",SER_hh_tes!H24/SER_hh_fec!H24)</f>
        <v>0.5592079496104515</v>
      </c>
      <c r="I24" s="137">
        <f>IF(SER_hh_tes!I24=0,"",SER_hh_tes!I24/SER_hh_fec!I24)</f>
        <v>0.57967426225318064</v>
      </c>
      <c r="J24" s="137">
        <f>IF(SER_hh_tes!J24=0,"",SER_hh_tes!J24/SER_hh_fec!J24)</f>
        <v>0.59705300709714026</v>
      </c>
      <c r="K24" s="137">
        <f>IF(SER_hh_tes!K24=0,"",SER_hh_tes!K24/SER_hh_fec!K24)</f>
        <v>0.61183639265078393</v>
      </c>
      <c r="L24" s="137">
        <f>IF(SER_hh_tes!L24=0,"",SER_hh_tes!L24/SER_hh_fec!L24)</f>
        <v>0.62353570412425807</v>
      </c>
      <c r="M24" s="137">
        <f>IF(SER_hh_tes!M24=0,"",SER_hh_tes!M24/SER_hh_fec!M24)</f>
        <v>0.63430303753356199</v>
      </c>
      <c r="N24" s="137">
        <f>IF(SER_hh_tes!N24=0,"",SER_hh_tes!N24/SER_hh_fec!N24)</f>
        <v>0.64796697990311591</v>
      </c>
      <c r="O24" s="137">
        <f>IF(SER_hh_tes!O24=0,"",SER_hh_tes!O24/SER_hh_fec!O24)</f>
        <v>0.6673715622369103</v>
      </c>
      <c r="P24" s="137">
        <f>IF(SER_hh_tes!P24=0,"",SER_hh_tes!P24/SER_hh_fec!P24)</f>
        <v>0.66923254425243217</v>
      </c>
      <c r="Q24" s="137">
        <f>IF(SER_hh_tes!Q24=0,"",SER_hh_tes!Q24/SER_hh_fec!Q24)</f>
        <v>0.67148953861866734</v>
      </c>
      <c r="R24" s="137">
        <f>IF(SER_hh_tes!R24=0,"",SER_hh_tes!R24/SER_hh_fec!R24)</f>
        <v>0.67897716852155021</v>
      </c>
      <c r="S24" s="137">
        <f>IF(SER_hh_tes!S24=0,"",SER_hh_tes!S24/SER_hh_fec!S24)</f>
        <v>0.69679349254793521</v>
      </c>
      <c r="T24" s="137">
        <f>IF(SER_hh_tes!T24=0,"",SER_hh_tes!T24/SER_hh_fec!T24)</f>
        <v>0.71900248775253883</v>
      </c>
      <c r="U24" s="137">
        <f>IF(SER_hh_tes!U24=0,"",SER_hh_tes!U24/SER_hh_fec!U24)</f>
        <v>0.74323060829394993</v>
      </c>
      <c r="V24" s="137">
        <f>IF(SER_hh_tes!V24=0,"",SER_hh_tes!V24/SER_hh_fec!V24)</f>
        <v>0.76684036115803533</v>
      </c>
      <c r="W24" s="137">
        <f>IF(SER_hh_tes!W24=0,"",SER_hh_tes!W24/SER_hh_fec!W24)</f>
        <v>0.78498161108887576</v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0.80729942031054214</v>
      </c>
      <c r="C25" s="137">
        <f>IF(SER_hh_tes!C25=0,"",SER_hh_tes!C25/SER_hh_fec!C25)</f>
        <v>0.80976749171174434</v>
      </c>
      <c r="D25" s="137">
        <f>IF(SER_hh_tes!D25=0,"",SER_hh_tes!D25/SER_hh_fec!D25)</f>
        <v>0.81236020946911902</v>
      </c>
      <c r="E25" s="137">
        <f>IF(SER_hh_tes!E25=0,"",SER_hh_tes!E25/SER_hh_fec!E25)</f>
        <v>0.81518294221721355</v>
      </c>
      <c r="F25" s="137">
        <f>IF(SER_hh_tes!F25=0,"",SER_hh_tes!F25/SER_hh_fec!F25)</f>
        <v>0.81782980784107995</v>
      </c>
      <c r="G25" s="137">
        <f>IF(SER_hh_tes!G25=0,"",SER_hh_tes!G25/SER_hh_fec!G25)</f>
        <v>0.81946145572324758</v>
      </c>
      <c r="H25" s="137">
        <f>IF(SER_hh_tes!H25=0,"",SER_hh_tes!H25/SER_hh_fec!H25)</f>
        <v>0.82042781079122939</v>
      </c>
      <c r="I25" s="137">
        <f>IF(SER_hh_tes!I25=0,"",SER_hh_tes!I25/SER_hh_fec!I25)</f>
        <v>0.82149043481739126</v>
      </c>
      <c r="J25" s="137">
        <f>IF(SER_hh_tes!J25=0,"",SER_hh_tes!J25/SER_hh_fec!J25)</f>
        <v>0.82176735603454087</v>
      </c>
      <c r="K25" s="137">
        <f>IF(SER_hh_tes!K25=0,"",SER_hh_tes!K25/SER_hh_fec!K25)</f>
        <v>0.82379110737021777</v>
      </c>
      <c r="L25" s="137">
        <f>IF(SER_hh_tes!L25=0,"",SER_hh_tes!L25/SER_hh_fec!L25)</f>
        <v>0.82977688770515723</v>
      </c>
      <c r="M25" s="137">
        <f>IF(SER_hh_tes!M25=0,"",SER_hh_tes!M25/SER_hh_fec!M25)</f>
        <v>0.83657142325085931</v>
      </c>
      <c r="N25" s="137">
        <f>IF(SER_hh_tes!N25=0,"",SER_hh_tes!N25/SER_hh_fec!N25)</f>
        <v>0.84476301579197011</v>
      </c>
      <c r="O25" s="137">
        <f>IF(SER_hh_tes!O25=0,"",SER_hh_tes!O25/SER_hh_fec!O25)</f>
        <v>0.85192703498607725</v>
      </c>
      <c r="P25" s="137">
        <f>IF(SER_hh_tes!P25=0,"",SER_hh_tes!P25/SER_hh_fec!P25)</f>
        <v>0.8536982689516821</v>
      </c>
      <c r="Q25" s="137">
        <f>IF(SER_hh_tes!Q25=0,"",SER_hh_tes!Q25/SER_hh_fec!Q25)</f>
        <v>0.85698965107303204</v>
      </c>
      <c r="R25" s="137">
        <f>IF(SER_hh_tes!R25=0,"",SER_hh_tes!R25/SER_hh_fec!R25)</f>
        <v>0.86211393449479601</v>
      </c>
      <c r="S25" s="137">
        <f>IF(SER_hh_tes!S25=0,"",SER_hh_tes!S25/SER_hh_fec!S25)</f>
        <v>0.8680813447091511</v>
      </c>
      <c r="T25" s="137">
        <f>IF(SER_hh_tes!T25=0,"",SER_hh_tes!T25/SER_hh_fec!T25)</f>
        <v>0.87406759562786585</v>
      </c>
      <c r="U25" s="137">
        <f>IF(SER_hh_tes!U25=0,"",SER_hh_tes!U25/SER_hh_fec!U25)</f>
        <v>0.87786152038296106</v>
      </c>
      <c r="V25" s="137">
        <f>IF(SER_hh_tes!V25=0,"",SER_hh_tes!V25/SER_hh_fec!V25)</f>
        <v>0.88090482487299315</v>
      </c>
      <c r="W25" s="137">
        <f>IF(SER_hh_tes!W25=0,"",SER_hh_tes!W25/SER_hh_fec!W25)</f>
        <v>0.88289515895354009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0.66520923016671152</v>
      </c>
      <c r="C26" s="138">
        <f>IF(SER_hh_tes!C26=0,"",SER_hh_tes!C26/SER_hh_fec!C26)</f>
        <v>0.66743378588715341</v>
      </c>
      <c r="D26" s="138">
        <f>IF(SER_hh_tes!D26=0,"",SER_hh_tes!D26/SER_hh_fec!D26)</f>
        <v>0.6697198012385106</v>
      </c>
      <c r="E26" s="138">
        <f>IF(SER_hh_tes!E26=0,"",SER_hh_tes!E26/SER_hh_fec!E26)</f>
        <v>0.67222184209201774</v>
      </c>
      <c r="F26" s="138">
        <f>IF(SER_hh_tes!F26=0,"",SER_hh_tes!F26/SER_hh_fec!F26)</f>
        <v>0.67524231863652051</v>
      </c>
      <c r="G26" s="138">
        <f>IF(SER_hh_tes!G26=0,"",SER_hh_tes!G26/SER_hh_fec!G26)</f>
        <v>0.67857806590759173</v>
      </c>
      <c r="H26" s="138">
        <f>IF(SER_hh_tes!H26=0,"",SER_hh_tes!H26/SER_hh_fec!H26)</f>
        <v>0.68222757028698933</v>
      </c>
      <c r="I26" s="138">
        <f>IF(SER_hh_tes!I26=0,"",SER_hh_tes!I26/SER_hh_fec!I26)</f>
        <v>0.68611088970569634</v>
      </c>
      <c r="J26" s="138">
        <f>IF(SER_hh_tes!J26=0,"",SER_hh_tes!J26/SER_hh_fec!J26)</f>
        <v>0.68966175203584634</v>
      </c>
      <c r="K26" s="138">
        <f>IF(SER_hh_tes!K26=0,"",SER_hh_tes!K26/SER_hh_fec!K26)</f>
        <v>0.69295852387055401</v>
      </c>
      <c r="L26" s="138">
        <f>IF(SER_hh_tes!L26=0,"",SER_hh_tes!L26/SER_hh_fec!L26)</f>
        <v>0.69693428205691532</v>
      </c>
      <c r="M26" s="138">
        <f>IF(SER_hh_tes!M26=0,"",SER_hh_tes!M26/SER_hh_fec!M26)</f>
        <v>0.70151011197962154</v>
      </c>
      <c r="N26" s="138">
        <f>IF(SER_hh_tes!N26=0,"",SER_hh_tes!N26/SER_hh_fec!N26)</f>
        <v>0.70668450721065279</v>
      </c>
      <c r="O26" s="138">
        <f>IF(SER_hh_tes!O26=0,"",SER_hh_tes!O26/SER_hh_fec!O26)</f>
        <v>0.7127551611756171</v>
      </c>
      <c r="P26" s="138">
        <f>IF(SER_hh_tes!P26=0,"",SER_hh_tes!P26/SER_hh_fec!P26)</f>
        <v>0.7173172136836905</v>
      </c>
      <c r="Q26" s="138">
        <f>IF(SER_hh_tes!Q26=0,"",SER_hh_tes!Q26/SER_hh_fec!Q26)</f>
        <v>0.72232338169076837</v>
      </c>
      <c r="R26" s="138">
        <f>IF(SER_hh_tes!R26=0,"",SER_hh_tes!R26/SER_hh_fec!R26)</f>
        <v>0.73085507174620989</v>
      </c>
      <c r="S26" s="138">
        <f>IF(SER_hh_tes!S26=0,"",SER_hh_tes!S26/SER_hh_fec!S26)</f>
        <v>0.7424873458500586</v>
      </c>
      <c r="T26" s="138">
        <f>IF(SER_hh_tes!T26=0,"",SER_hh_tes!T26/SER_hh_fec!T26)</f>
        <v>0.75605260499352922</v>
      </c>
      <c r="U26" s="138">
        <f>IF(SER_hh_tes!U26=0,"",SER_hh_tes!U26/SER_hh_fec!U26)</f>
        <v>0.7703122501108125</v>
      </c>
      <c r="V26" s="138">
        <f>IF(SER_hh_tes!V26=0,"",SER_hh_tes!V26/SER_hh_fec!V26)</f>
        <v>0.78518237425492809</v>
      </c>
      <c r="W26" s="138">
        <f>IF(SER_hh_tes!W26=0,"",SER_hh_tes!W26/SER_hh_fec!W26)</f>
        <v>0.80207991427335412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0.65418589796485072</v>
      </c>
      <c r="C29" s="136">
        <f>IF(SER_hh_tes!C29=0,"",SER_hh_tes!C29/SER_hh_fec!C29)</f>
        <v>0.67409853642583661</v>
      </c>
      <c r="D29" s="136">
        <f>IF(SER_hh_tes!D29=0,"",SER_hh_tes!D29/SER_hh_fec!D29)</f>
        <v>0.65194579730151647</v>
      </c>
      <c r="E29" s="136">
        <f>IF(SER_hh_tes!E29=0,"",SER_hh_tes!E29/SER_hh_fec!E29)</f>
        <v>0.64678380252726475</v>
      </c>
      <c r="F29" s="136">
        <f>IF(SER_hh_tes!F29=0,"",SER_hh_tes!F29/SER_hh_fec!F29)</f>
        <v>0.64617056489484093</v>
      </c>
      <c r="G29" s="136">
        <f>IF(SER_hh_tes!G29=0,"",SER_hh_tes!G29/SER_hh_fec!G29)</f>
        <v>0.67963059205764809</v>
      </c>
      <c r="H29" s="136">
        <f>IF(SER_hh_tes!H29=0,"",SER_hh_tes!H29/SER_hh_fec!H29)</f>
        <v>0.69022366521310807</v>
      </c>
      <c r="I29" s="136">
        <f>IF(SER_hh_tes!I29=0,"",SER_hh_tes!I29/SER_hh_fec!I29)</f>
        <v>0.69059170809155246</v>
      </c>
      <c r="J29" s="136">
        <f>IF(SER_hh_tes!J29=0,"",SER_hh_tes!J29/SER_hh_fec!J29)</f>
        <v>0.69078500025873923</v>
      </c>
      <c r="K29" s="136">
        <f>IF(SER_hh_tes!K29=0,"",SER_hh_tes!K29/SER_hh_fec!K29)</f>
        <v>0.68263740464814504</v>
      </c>
      <c r="L29" s="136">
        <f>IF(SER_hh_tes!L29=0,"",SER_hh_tes!L29/SER_hh_fec!L29)</f>
        <v>0.68593464972366469</v>
      </c>
      <c r="M29" s="136">
        <f>IF(SER_hh_tes!M29=0,"",SER_hh_tes!M29/SER_hh_fec!M29)</f>
        <v>0.68889340969352231</v>
      </c>
      <c r="N29" s="136">
        <f>IF(SER_hh_tes!N29=0,"",SER_hh_tes!N29/SER_hh_fec!N29)</f>
        <v>0.7011480621881131</v>
      </c>
      <c r="O29" s="136">
        <f>IF(SER_hh_tes!O29=0,"",SER_hh_tes!O29/SER_hh_fec!O29)</f>
        <v>0.70371158807347245</v>
      </c>
      <c r="P29" s="136">
        <f>IF(SER_hh_tes!P29=0,"",SER_hh_tes!P29/SER_hh_fec!P29)</f>
        <v>0.70125393193276686</v>
      </c>
      <c r="Q29" s="136">
        <f>IF(SER_hh_tes!Q29=0,"",SER_hh_tes!Q29/SER_hh_fec!Q29)</f>
        <v>0.69610433781168468</v>
      </c>
      <c r="R29" s="136">
        <f>IF(SER_hh_tes!R29=0,"",SER_hh_tes!R29/SER_hh_fec!R29)</f>
        <v>0.70433548016574887</v>
      </c>
      <c r="S29" s="136">
        <f>IF(SER_hh_tes!S29=0,"",SER_hh_tes!S29/SER_hh_fec!S29)</f>
        <v>0.70322507690796721</v>
      </c>
      <c r="T29" s="136">
        <f>IF(SER_hh_tes!T29=0,"",SER_hh_tes!T29/SER_hh_fec!T29)</f>
        <v>0.71191210343086764</v>
      </c>
      <c r="U29" s="136">
        <f>IF(SER_hh_tes!U29=0,"",SER_hh_tes!U29/SER_hh_fec!U29)</f>
        <v>0.7139034754523208</v>
      </c>
      <c r="V29" s="136">
        <f>IF(SER_hh_tes!V29=0,"",SER_hh_tes!V29/SER_hh_fec!V29)</f>
        <v>0.7214657538293372</v>
      </c>
      <c r="W29" s="136">
        <f>IF(SER_hh_tes!W29=0,"",SER_hh_tes!W29/SER_hh_fec!W29)</f>
        <v>0.71008125287899537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0.57913044961664828</v>
      </c>
      <c r="C30" s="137">
        <f>IF(SER_hh_tes!C30=0,"",SER_hh_tes!C30/SER_hh_fec!C30)</f>
        <v>0.58012443680656978</v>
      </c>
      <c r="D30" s="137">
        <f>IF(SER_hh_tes!D30=0,"",SER_hh_tes!D30/SER_hh_fec!D30)</f>
        <v>0.58266162558211698</v>
      </c>
      <c r="E30" s="137">
        <f>IF(SER_hh_tes!E30=0,"",SER_hh_tes!E30/SER_hh_fec!E30)</f>
        <v>0.58382388431601573</v>
      </c>
      <c r="F30" s="137">
        <f>IF(SER_hh_tes!F30=0,"",SER_hh_tes!F30/SER_hh_fec!F30)</f>
        <v>0.58443476099191149</v>
      </c>
      <c r="G30" s="137">
        <f>IF(SER_hh_tes!G30=0,"",SER_hh_tes!G30/SER_hh_fec!G30)</f>
        <v>0.58484004172530069</v>
      </c>
      <c r="H30" s="137">
        <f>IF(SER_hh_tes!H30=0,"",SER_hh_tes!H30/SER_hh_fec!H30)</f>
        <v>0.58515666448457804</v>
      </c>
      <c r="I30" s="137">
        <f>IF(SER_hh_tes!I30=0,"",SER_hh_tes!I30/SER_hh_fec!I30)</f>
        <v>0.58578184820197876</v>
      </c>
      <c r="J30" s="137">
        <f>IF(SER_hh_tes!J30=0,"",SER_hh_tes!J30/SER_hh_fec!J30)</f>
        <v>0.58677448769592999</v>
      </c>
      <c r="K30" s="137">
        <f>IF(SER_hh_tes!K30=0,"",SER_hh_tes!K30/SER_hh_fec!K30)</f>
        <v>0.58774024983552586</v>
      </c>
      <c r="L30" s="137">
        <f>IF(SER_hh_tes!L30=0,"",SER_hh_tes!L30/SER_hh_fec!L30)</f>
        <v>0.58849118134310807</v>
      </c>
      <c r="M30" s="137">
        <f>IF(SER_hh_tes!M30=0,"",SER_hh_tes!M30/SER_hh_fec!M30)</f>
        <v>0.58873634484815085</v>
      </c>
      <c r="N30" s="137">
        <f>IF(SER_hh_tes!N30=0,"",SER_hh_tes!N30/SER_hh_fec!N30)</f>
        <v>0.5890336604571822</v>
      </c>
      <c r="O30" s="137">
        <f>IF(SER_hh_tes!O30=0,"",SER_hh_tes!O30/SER_hh_fec!O30)</f>
        <v>0.58969114802413225</v>
      </c>
      <c r="P30" s="137">
        <f>IF(SER_hh_tes!P30=0,"",SER_hh_tes!P30/SER_hh_fec!P30)</f>
        <v>0.59067498914407679</v>
      </c>
      <c r="Q30" s="137">
        <f>IF(SER_hh_tes!Q30=0,"",SER_hh_tes!Q30/SER_hh_fec!Q30)</f>
        <v>0.59126345139794112</v>
      </c>
      <c r="R30" s="137">
        <f>IF(SER_hh_tes!R30=0,"",SER_hh_tes!R30/SER_hh_fec!R30)</f>
        <v>0.59166503016634076</v>
      </c>
      <c r="S30" s="137">
        <f>IF(SER_hh_tes!S30=0,"",SER_hh_tes!S30/SER_hh_fec!S30)</f>
        <v>0.59226197103048817</v>
      </c>
      <c r="T30" s="137">
        <f>IF(SER_hh_tes!T30=0,"",SER_hh_tes!T30/SER_hh_fec!T30)</f>
        <v>0.59267797989806881</v>
      </c>
      <c r="U30" s="137">
        <f>IF(SER_hh_tes!U30=0,"",SER_hh_tes!U30/SER_hh_fec!U30)</f>
        <v>0.59440838754668701</v>
      </c>
      <c r="V30" s="137">
        <f>IF(SER_hh_tes!V30=0,"",SER_hh_tes!V30/SER_hh_fec!V30)</f>
        <v>0.59632884916553719</v>
      </c>
      <c r="W30" s="137">
        <f>IF(SER_hh_tes!W30=0,"",SER_hh_tes!W30/SER_hh_fec!W30)</f>
        <v>0.59837826678527162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0.58218486172103234</v>
      </c>
      <c r="C31" s="137">
        <f>IF(SER_hh_tes!C31=0,"",SER_hh_tes!C31/SER_hh_fec!C31)</f>
        <v>0.58285478626647313</v>
      </c>
      <c r="D31" s="137">
        <f>IF(SER_hh_tes!D31=0,"",SER_hh_tes!D31/SER_hh_fec!D31)</f>
        <v>0.58364210693456586</v>
      </c>
      <c r="E31" s="137">
        <f>IF(SER_hh_tes!E31=0,"",SER_hh_tes!E31/SER_hh_fec!E31)</f>
        <v>0.58431404378158991</v>
      </c>
      <c r="F31" s="137">
        <f>IF(SER_hh_tes!F31=0,"",SER_hh_tes!F31/SER_hh_fec!F31)</f>
        <v>0.58479000236189471</v>
      </c>
      <c r="G31" s="137">
        <f>IF(SER_hh_tes!G31=0,"",SER_hh_tes!G31/SER_hh_fec!G31)</f>
        <v>0.58511950807287549</v>
      </c>
      <c r="H31" s="137">
        <f>IF(SER_hh_tes!H31=0,"",SER_hh_tes!H31/SER_hh_fec!H31)</f>
        <v>0.58548079739526326</v>
      </c>
      <c r="I31" s="137">
        <f>IF(SER_hh_tes!I31=0,"",SER_hh_tes!I31/SER_hh_fec!I31)</f>
        <v>0.58707001833747507</v>
      </c>
      <c r="J31" s="137">
        <f>IF(SER_hh_tes!J31=0,"",SER_hh_tes!J31/SER_hh_fec!J31)</f>
        <v>0.58944105849440531</v>
      </c>
      <c r="K31" s="137">
        <f>IF(SER_hh_tes!K31=0,"",SER_hh_tes!K31/SER_hh_fec!K31)</f>
        <v>0.5921325527868434</v>
      </c>
      <c r="L31" s="137">
        <f>IF(SER_hh_tes!L31=0,"",SER_hh_tes!L31/SER_hh_fec!L31)</f>
        <v>0.59370190543398127</v>
      </c>
      <c r="M31" s="137">
        <f>IF(SER_hh_tes!M31=0,"",SER_hh_tes!M31/SER_hh_fec!M31)</f>
        <v>0.59411213351683823</v>
      </c>
      <c r="N31" s="137">
        <f>IF(SER_hh_tes!N31=0,"",SER_hh_tes!N31/SER_hh_fec!N31)</f>
        <v>0.59456062691970168</v>
      </c>
      <c r="O31" s="137">
        <f>IF(SER_hh_tes!O31=0,"",SER_hh_tes!O31/SER_hh_fec!O31)</f>
        <v>0.59521303151389571</v>
      </c>
      <c r="P31" s="137">
        <f>IF(SER_hh_tes!P31=0,"",SER_hh_tes!P31/SER_hh_fec!P31)</f>
        <v>0.59567051796848092</v>
      </c>
      <c r="Q31" s="137">
        <f>IF(SER_hh_tes!Q31=0,"",SER_hh_tes!Q31/SER_hh_fec!Q31)</f>
        <v>0.59592724236378147</v>
      </c>
      <c r="R31" s="137">
        <f>IF(SER_hh_tes!R31=0,"",SER_hh_tes!R31/SER_hh_fec!R31)</f>
        <v>0.59624509807072834</v>
      </c>
      <c r="S31" s="137">
        <f>IF(SER_hh_tes!S31=0,"",SER_hh_tes!S31/SER_hh_fec!S31)</f>
        <v>0.59695443723088437</v>
      </c>
      <c r="T31" s="137">
        <f>IF(SER_hh_tes!T31=0,"",SER_hh_tes!T31/SER_hh_fec!T31)</f>
        <v>0.59833334780347813</v>
      </c>
      <c r="U31" s="137">
        <f>IF(SER_hh_tes!U31=0,"",SER_hh_tes!U31/SER_hh_fec!U31)</f>
        <v>0.60091246402339626</v>
      </c>
      <c r="V31" s="137">
        <f>IF(SER_hh_tes!V31=0,"",SER_hh_tes!V31/SER_hh_fec!V31)</f>
        <v>0.60421376566051199</v>
      </c>
      <c r="W31" s="137">
        <f>IF(SER_hh_tes!W31=0,"",SER_hh_tes!W31/SER_hh_fec!W31)</f>
        <v>0.60729608065648422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0.7595482149013365</v>
      </c>
      <c r="C33" s="150">
        <f>IF(SER_hh_tes!C33=0,"",SER_hh_tes!C33/SER_hh_fec!C33)</f>
        <v>0.76125967356442859</v>
      </c>
      <c r="D33" s="150">
        <f>IF(SER_hh_tes!D33=0,"",SER_hh_tes!D33/SER_hh_fec!D33)</f>
        <v>0.76172353863396403</v>
      </c>
      <c r="E33" s="150">
        <f>IF(SER_hh_tes!E33=0,"",SER_hh_tes!E33/SER_hh_fec!E33)</f>
        <v>0.76336697409736909</v>
      </c>
      <c r="F33" s="150">
        <f>IF(SER_hh_tes!F33=0,"",SER_hh_tes!F33/SER_hh_fec!F33)</f>
        <v>0.76623149627178766</v>
      </c>
      <c r="G33" s="150">
        <f>IF(SER_hh_tes!G33=0,"",SER_hh_tes!G33/SER_hh_fec!G33)</f>
        <v>0.76963514633527474</v>
      </c>
      <c r="H33" s="150">
        <f>IF(SER_hh_tes!H33=0,"",SER_hh_tes!H33/SER_hh_fec!H33)</f>
        <v>0.77240398031094737</v>
      </c>
      <c r="I33" s="150">
        <f>IF(SER_hh_tes!I33=0,"",SER_hh_tes!I33/SER_hh_fec!I33)</f>
        <v>0.77462761320791174</v>
      </c>
      <c r="J33" s="150">
        <f>IF(SER_hh_tes!J33=0,"",SER_hh_tes!J33/SER_hh_fec!J33)</f>
        <v>0.77659679473583754</v>
      </c>
      <c r="K33" s="150">
        <f>IF(SER_hh_tes!K33=0,"",SER_hh_tes!K33/SER_hh_fec!K33)</f>
        <v>0.77861792773323224</v>
      </c>
      <c r="L33" s="150">
        <f>IF(SER_hh_tes!L33=0,"",SER_hh_tes!L33/SER_hh_fec!L33)</f>
        <v>0.7803822149714682</v>
      </c>
      <c r="M33" s="150">
        <f>IF(SER_hh_tes!M33=0,"",SER_hh_tes!M33/SER_hh_fec!M33)</f>
        <v>0.78126679313449587</v>
      </c>
      <c r="N33" s="150">
        <f>IF(SER_hh_tes!N33=0,"",SER_hh_tes!N33/SER_hh_fec!N33)</f>
        <v>0.7826837989116624</v>
      </c>
      <c r="O33" s="150">
        <f>IF(SER_hh_tes!O33=0,"",SER_hh_tes!O33/SER_hh_fec!O33)</f>
        <v>0.78446293928076594</v>
      </c>
      <c r="P33" s="150">
        <f>IF(SER_hh_tes!P33=0,"",SER_hh_tes!P33/SER_hh_fec!P33)</f>
        <v>0.78652279557910876</v>
      </c>
      <c r="Q33" s="150">
        <f>IF(SER_hh_tes!Q33=0,"",SER_hh_tes!Q33/SER_hh_fec!Q33)</f>
        <v>0.78921897698352406</v>
      </c>
      <c r="R33" s="150">
        <f>IF(SER_hh_tes!R33=0,"",SER_hh_tes!R33/SER_hh_fec!R33)</f>
        <v>0.79412702878553831</v>
      </c>
      <c r="S33" s="150">
        <f>IF(SER_hh_tes!S33=0,"",SER_hh_tes!S33/SER_hh_fec!S33)</f>
        <v>0.80018563708172075</v>
      </c>
      <c r="T33" s="150">
        <f>IF(SER_hh_tes!T33=0,"",SER_hh_tes!T33/SER_hh_fec!T33)</f>
        <v>0.80717656913352731</v>
      </c>
      <c r="U33" s="150">
        <f>IF(SER_hh_tes!U33=0,"",SER_hh_tes!U33/SER_hh_fec!U33)</f>
        <v>0.81331093985006042</v>
      </c>
      <c r="V33" s="150">
        <f>IF(SER_hh_tes!V33=0,"",SER_hh_tes!V33/SER_hh_fec!V33)</f>
        <v>0.81953312752353236</v>
      </c>
      <c r="W33" s="150">
        <f>IF(SER_hh_tes!W33=0,"",SER_hh_tes!W33/SER_hh_fec!W33)</f>
        <v>0.82666943133037984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27626.771731128141</v>
      </c>
      <c r="C3" s="126">
        <f t="shared" si="0"/>
        <v>28676.596716784341</v>
      </c>
      <c r="D3" s="126">
        <f t="shared" si="0"/>
        <v>25671.614332384197</v>
      </c>
      <c r="E3" s="126">
        <f t="shared" si="0"/>
        <v>29223.742557681246</v>
      </c>
      <c r="F3" s="126">
        <f t="shared" si="0"/>
        <v>29709.66044235904</v>
      </c>
      <c r="G3" s="126">
        <f t="shared" si="0"/>
        <v>28163.67856469857</v>
      </c>
      <c r="H3" s="126">
        <f t="shared" si="0"/>
        <v>25504.852697511167</v>
      </c>
      <c r="I3" s="126">
        <f t="shared" si="0"/>
        <v>24791.422334061812</v>
      </c>
      <c r="J3" s="126">
        <f t="shared" si="0"/>
        <v>25730.861386970697</v>
      </c>
      <c r="K3" s="126">
        <f t="shared" si="0"/>
        <v>28128.010941514411</v>
      </c>
      <c r="L3" s="126">
        <f t="shared" si="0"/>
        <v>28937.685506786791</v>
      </c>
      <c r="M3" s="126">
        <f t="shared" si="0"/>
        <v>22850.662668159865</v>
      </c>
      <c r="N3" s="126">
        <f t="shared" si="0"/>
        <v>24662.953891857971</v>
      </c>
      <c r="O3" s="126">
        <f t="shared" si="0"/>
        <v>25890.214564680788</v>
      </c>
      <c r="P3" s="126">
        <f t="shared" si="0"/>
        <v>22626.482088087585</v>
      </c>
      <c r="Q3" s="126">
        <f t="shared" si="0"/>
        <v>23734.350343033842</v>
      </c>
      <c r="R3" s="126">
        <f t="shared" ref="R3:W3" si="1">SUM(R4,R16,R19,R29)</f>
        <v>22958.019420219</v>
      </c>
      <c r="S3" s="126">
        <f t="shared" si="1"/>
        <v>23839.270195537036</v>
      </c>
      <c r="T3" s="126">
        <f t="shared" si="1"/>
        <v>23769.538797686844</v>
      </c>
      <c r="U3" s="126">
        <f t="shared" si="1"/>
        <v>23299.281931795555</v>
      </c>
      <c r="V3" s="126">
        <f t="shared" si="1"/>
        <v>21624.752802594441</v>
      </c>
      <c r="W3" s="126">
        <f t="shared" si="1"/>
        <v>23536.189669808959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22811.429280835317</v>
      </c>
      <c r="C4" s="131">
        <f t="shared" si="2"/>
        <v>24339.014498225297</v>
      </c>
      <c r="D4" s="131">
        <f t="shared" si="2"/>
        <v>20627.157355430034</v>
      </c>
      <c r="E4" s="131">
        <f t="shared" si="2"/>
        <v>23953.045407974434</v>
      </c>
      <c r="F4" s="131">
        <f t="shared" si="2"/>
        <v>24283.738265266889</v>
      </c>
      <c r="G4" s="131">
        <f t="shared" si="2"/>
        <v>23689.654747472792</v>
      </c>
      <c r="H4" s="131">
        <f t="shared" si="2"/>
        <v>21350.481399055694</v>
      </c>
      <c r="I4" s="131">
        <f t="shared" si="2"/>
        <v>20591.641555863876</v>
      </c>
      <c r="J4" s="131">
        <f t="shared" si="2"/>
        <v>21414.690721649466</v>
      </c>
      <c r="K4" s="131">
        <f t="shared" si="2"/>
        <v>23375.338821069417</v>
      </c>
      <c r="L4" s="131">
        <f t="shared" si="2"/>
        <v>24277.178668627534</v>
      </c>
      <c r="M4" s="131">
        <f t="shared" si="2"/>
        <v>18195.781401797074</v>
      </c>
      <c r="N4" s="131">
        <f t="shared" si="2"/>
        <v>20408.731294445544</v>
      </c>
      <c r="O4" s="131">
        <f t="shared" si="2"/>
        <v>21568.646618829611</v>
      </c>
      <c r="P4" s="131">
        <f t="shared" si="2"/>
        <v>18157.452606077502</v>
      </c>
      <c r="Q4" s="131">
        <f t="shared" si="2"/>
        <v>18974.862562141931</v>
      </c>
      <c r="R4" s="131">
        <f t="shared" ref="R4:W4" si="3">SUM(R5:R15)</f>
        <v>18410.321930497772</v>
      </c>
      <c r="S4" s="131">
        <f t="shared" si="3"/>
        <v>19158.167379191771</v>
      </c>
      <c r="T4" s="131">
        <f t="shared" si="3"/>
        <v>19367.11802089612</v>
      </c>
      <c r="U4" s="131">
        <f t="shared" si="3"/>
        <v>18896.503019882759</v>
      </c>
      <c r="V4" s="131">
        <f t="shared" si="3"/>
        <v>17621.863109773705</v>
      </c>
      <c r="W4" s="131">
        <f t="shared" si="3"/>
        <v>18843.852946107763</v>
      </c>
      <c r="DA4" s="156" t="s">
        <v>233</v>
      </c>
    </row>
    <row r="5" spans="1:105" ht="12" customHeight="1" x14ac:dyDescent="0.25">
      <c r="A5" s="132" t="s">
        <v>29</v>
      </c>
      <c r="B5" s="133">
        <v>1061.545412161676</v>
      </c>
      <c r="C5" s="133">
        <v>1026.6684343210495</v>
      </c>
      <c r="D5" s="133">
        <v>716.311448641536</v>
      </c>
      <c r="E5" s="133">
        <v>807.96670128163169</v>
      </c>
      <c r="F5" s="133">
        <v>798.44872752161859</v>
      </c>
      <c r="G5" s="133">
        <v>853.69422888233032</v>
      </c>
      <c r="H5" s="133">
        <v>834.86218608221282</v>
      </c>
      <c r="I5" s="133">
        <v>791.20592928194094</v>
      </c>
      <c r="J5" s="133">
        <v>702.1819720813869</v>
      </c>
      <c r="K5" s="133">
        <v>614.79520992119456</v>
      </c>
      <c r="L5" s="133">
        <v>683.32776624102405</v>
      </c>
      <c r="M5" s="133">
        <v>186.26387832017068</v>
      </c>
      <c r="N5" s="133">
        <v>208.03388832019198</v>
      </c>
      <c r="O5" s="133">
        <v>224.07447312018505</v>
      </c>
      <c r="P5" s="133">
        <v>167.31954720017072</v>
      </c>
      <c r="Q5" s="133">
        <v>171.64091304017066</v>
      </c>
      <c r="R5" s="133">
        <v>177.89087016017069</v>
      </c>
      <c r="S5" s="133">
        <v>166.44063600016588</v>
      </c>
      <c r="T5" s="133">
        <v>145.00976040006856</v>
      </c>
      <c r="U5" s="133">
        <v>139.16986056005189</v>
      </c>
      <c r="V5" s="133">
        <v>122.06747160003479</v>
      </c>
      <c r="W5" s="133">
        <v>145.34354592006611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13066.909866828921</v>
      </c>
      <c r="C7" s="133">
        <v>14282.771586687793</v>
      </c>
      <c r="D7" s="133">
        <v>11890.674324284935</v>
      </c>
      <c r="E7" s="133">
        <v>12285.640668299631</v>
      </c>
      <c r="F7" s="133">
        <v>12074.189588534335</v>
      </c>
      <c r="G7" s="133">
        <v>11360.172729704453</v>
      </c>
      <c r="H7" s="133">
        <v>10468.64053624545</v>
      </c>
      <c r="I7" s="133">
        <v>9005.5100205156014</v>
      </c>
      <c r="J7" s="133">
        <v>10740.545605204159</v>
      </c>
      <c r="K7" s="133">
        <v>10312.116154159587</v>
      </c>
      <c r="L7" s="133">
        <v>9360.4911674728337</v>
      </c>
      <c r="M7" s="133">
        <v>7789.9935842389195</v>
      </c>
      <c r="N7" s="133">
        <v>7893.634036288754</v>
      </c>
      <c r="O7" s="133">
        <v>8104.4092238227367</v>
      </c>
      <c r="P7" s="133">
        <v>7117.7016704012512</v>
      </c>
      <c r="Q7" s="133">
        <v>7340.2615153361176</v>
      </c>
      <c r="R7" s="133">
        <v>6502.1315810484548</v>
      </c>
      <c r="S7" s="133">
        <v>6768.6771026839888</v>
      </c>
      <c r="T7" s="133">
        <v>6508.0823598047236</v>
      </c>
      <c r="U7" s="133">
        <v>6331.2201034329419</v>
      </c>
      <c r="V7" s="133">
        <v>6045.5621449382807</v>
      </c>
      <c r="W7" s="133">
        <v>6085.2500550042714</v>
      </c>
      <c r="DA7" s="157" t="s">
        <v>359</v>
      </c>
    </row>
    <row r="8" spans="1:105" ht="12" customHeight="1" x14ac:dyDescent="0.25">
      <c r="A8" s="132" t="s">
        <v>73</v>
      </c>
      <c r="B8" s="133">
        <v>0.63360467260632836</v>
      </c>
      <c r="C8" s="133">
        <v>1.2221236719051725</v>
      </c>
      <c r="D8" s="133">
        <v>2.134920084159305</v>
      </c>
      <c r="E8" s="133">
        <v>4.3607005608601419</v>
      </c>
      <c r="F8" s="133">
        <v>6.9400202546875711</v>
      </c>
      <c r="G8" s="133">
        <v>14.989909022253814</v>
      </c>
      <c r="H8" s="133">
        <v>18.177700797445585</v>
      </c>
      <c r="I8" s="133">
        <v>22.202097955172764</v>
      </c>
      <c r="J8" s="133">
        <v>25.22765184274375</v>
      </c>
      <c r="K8" s="133">
        <v>22.78733970894238</v>
      </c>
      <c r="L8" s="133">
        <v>24.525479948290482</v>
      </c>
      <c r="M8" s="133">
        <v>49.493226771785473</v>
      </c>
      <c r="N8" s="133">
        <v>57.91044617638228</v>
      </c>
      <c r="O8" s="133">
        <v>79.854542699050313</v>
      </c>
      <c r="P8" s="133">
        <v>82.743701253160964</v>
      </c>
      <c r="Q8" s="133">
        <v>101.99564211401147</v>
      </c>
      <c r="R8" s="133">
        <v>111.83782100426616</v>
      </c>
      <c r="S8" s="133">
        <v>115.49127412939022</v>
      </c>
      <c r="T8" s="133">
        <v>119.02372146102523</v>
      </c>
      <c r="U8" s="133">
        <v>120.17778616481759</v>
      </c>
      <c r="V8" s="133">
        <v>105.06252092171809</v>
      </c>
      <c r="W8" s="133">
        <v>120.95131937545784</v>
      </c>
      <c r="DA8" s="157" t="s">
        <v>360</v>
      </c>
    </row>
    <row r="9" spans="1:105" ht="12" customHeight="1" x14ac:dyDescent="0.25">
      <c r="A9" s="132" t="s">
        <v>78</v>
      </c>
      <c r="B9" s="133">
        <v>8048.6983117465024</v>
      </c>
      <c r="C9" s="133">
        <v>8279.527449935129</v>
      </c>
      <c r="D9" s="133">
        <v>7137.5706183408829</v>
      </c>
      <c r="E9" s="133">
        <v>9839.3528514203881</v>
      </c>
      <c r="F9" s="133">
        <v>10323.123502779985</v>
      </c>
      <c r="G9" s="133">
        <v>11199.436164649031</v>
      </c>
      <c r="H9" s="133">
        <v>9807.2642723340305</v>
      </c>
      <c r="I9" s="133">
        <v>10360.386326329273</v>
      </c>
      <c r="J9" s="133">
        <v>9467.3253550043919</v>
      </c>
      <c r="K9" s="133">
        <v>11744.704390785975</v>
      </c>
      <c r="L9" s="133">
        <v>13625.469299210259</v>
      </c>
      <c r="M9" s="133">
        <v>9857.2356834645525</v>
      </c>
      <c r="N9" s="133">
        <v>11913.049506315547</v>
      </c>
      <c r="O9" s="133">
        <v>12729.655672223387</v>
      </c>
      <c r="P9" s="133">
        <v>10430.989906374098</v>
      </c>
      <c r="Q9" s="133">
        <v>11099.705926646147</v>
      </c>
      <c r="R9" s="133">
        <v>11307.18012528384</v>
      </c>
      <c r="S9" s="133">
        <v>11762.293256044988</v>
      </c>
      <c r="T9" s="133">
        <v>12318.286390360981</v>
      </c>
      <c r="U9" s="133">
        <v>12023.618102250652</v>
      </c>
      <c r="V9" s="133">
        <v>10976.076998114921</v>
      </c>
      <c r="W9" s="133">
        <v>12044.749446095757</v>
      </c>
      <c r="DA9" s="157" t="s">
        <v>361</v>
      </c>
    </row>
    <row r="10" spans="1:105" ht="12" customHeight="1" x14ac:dyDescent="0.25">
      <c r="A10" s="132" t="s">
        <v>128</v>
      </c>
      <c r="B10" s="133">
        <v>633.64208542561096</v>
      </c>
      <c r="C10" s="133">
        <v>748.82490360942199</v>
      </c>
      <c r="D10" s="133">
        <v>880.46604407851976</v>
      </c>
      <c r="E10" s="133">
        <v>1015.7244864119228</v>
      </c>
      <c r="F10" s="133">
        <v>1081.0364261762668</v>
      </c>
      <c r="G10" s="133">
        <v>261.36171521472664</v>
      </c>
      <c r="H10" s="133">
        <v>221.53670359655294</v>
      </c>
      <c r="I10" s="133">
        <v>412.33718178188877</v>
      </c>
      <c r="J10" s="133">
        <v>479.4101375167802</v>
      </c>
      <c r="K10" s="133">
        <v>680.93572649372004</v>
      </c>
      <c r="L10" s="133">
        <v>583.36495575512879</v>
      </c>
      <c r="M10" s="133">
        <v>312.79502900164556</v>
      </c>
      <c r="N10" s="133">
        <v>336.10341734466618</v>
      </c>
      <c r="O10" s="133">
        <v>430.65270696425478</v>
      </c>
      <c r="P10" s="133">
        <v>358.6977808488212</v>
      </c>
      <c r="Q10" s="133">
        <v>261.25856500548349</v>
      </c>
      <c r="R10" s="133">
        <v>311.28153300104049</v>
      </c>
      <c r="S10" s="133">
        <v>345.26511033324073</v>
      </c>
      <c r="T10" s="133">
        <v>276.71578886932122</v>
      </c>
      <c r="U10" s="133">
        <v>282.3171674742967</v>
      </c>
      <c r="V10" s="133">
        <v>373.09397419875063</v>
      </c>
      <c r="W10" s="133">
        <v>447.55857971220939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3.1460538115999546</v>
      </c>
      <c r="C16" s="131">
        <f t="shared" si="4"/>
        <v>4.0105947585624566</v>
      </c>
      <c r="D16" s="131">
        <f t="shared" si="4"/>
        <v>4.4125631604801434</v>
      </c>
      <c r="E16" s="131">
        <f t="shared" si="4"/>
        <v>11.788828986911325</v>
      </c>
      <c r="F16" s="131">
        <f t="shared" si="4"/>
        <v>6.5836248198138394</v>
      </c>
      <c r="G16" s="131">
        <f t="shared" si="4"/>
        <v>7.1550813011437198</v>
      </c>
      <c r="H16" s="131">
        <f t="shared" si="4"/>
        <v>12.80719051465721</v>
      </c>
      <c r="I16" s="131">
        <f t="shared" si="4"/>
        <v>11.675859571872367</v>
      </c>
      <c r="J16" s="131">
        <f t="shared" si="4"/>
        <v>14.53382891623558</v>
      </c>
      <c r="K16" s="131">
        <f t="shared" si="4"/>
        <v>16.860028826453455</v>
      </c>
      <c r="L16" s="131">
        <f t="shared" si="4"/>
        <v>19.287762829481839</v>
      </c>
      <c r="M16" s="131">
        <f t="shared" si="4"/>
        <v>25.79243212934648</v>
      </c>
      <c r="N16" s="131">
        <f t="shared" si="4"/>
        <v>38.940354289138149</v>
      </c>
      <c r="O16" s="131">
        <f t="shared" si="4"/>
        <v>47.485573386040436</v>
      </c>
      <c r="P16" s="131">
        <f t="shared" si="4"/>
        <v>48.473787080640491</v>
      </c>
      <c r="Q16" s="131">
        <f t="shared" si="4"/>
        <v>77.249901375648662</v>
      </c>
      <c r="R16" s="131">
        <f t="shared" ref="R16:W16" si="5">SUM(R17:R18)</f>
        <v>74.207100872266338</v>
      </c>
      <c r="S16" s="131">
        <f t="shared" si="5"/>
        <v>92.880669487105408</v>
      </c>
      <c r="T16" s="131">
        <f t="shared" si="5"/>
        <v>100.71563528222212</v>
      </c>
      <c r="U16" s="131">
        <f t="shared" si="5"/>
        <v>111.0792957753975</v>
      </c>
      <c r="V16" s="131">
        <f t="shared" si="5"/>
        <v>112.9751252908766</v>
      </c>
      <c r="W16" s="131">
        <f t="shared" si="5"/>
        <v>93.09772598179903</v>
      </c>
      <c r="DA16" s="156" t="s">
        <v>234</v>
      </c>
    </row>
    <row r="17" spans="1:105" ht="12.95" customHeight="1" x14ac:dyDescent="0.25">
      <c r="A17" s="132" t="s">
        <v>73</v>
      </c>
      <c r="B17" s="133">
        <v>3.1460538115999546</v>
      </c>
      <c r="C17" s="133">
        <v>4.0105947585624566</v>
      </c>
      <c r="D17" s="133">
        <v>4.4125631604801434</v>
      </c>
      <c r="E17" s="133">
        <v>11.788828986911325</v>
      </c>
      <c r="F17" s="133">
        <v>6.5836248198138394</v>
      </c>
      <c r="G17" s="133">
        <v>7.1550813011437198</v>
      </c>
      <c r="H17" s="133">
        <v>12.80719051465721</v>
      </c>
      <c r="I17" s="133">
        <v>11.675859571872367</v>
      </c>
      <c r="J17" s="133">
        <v>14.53382891623558</v>
      </c>
      <c r="K17" s="133">
        <v>16.860028826453455</v>
      </c>
      <c r="L17" s="133">
        <v>19.287762829481839</v>
      </c>
      <c r="M17" s="133">
        <v>25.79243212934648</v>
      </c>
      <c r="N17" s="133">
        <v>38.940354289138149</v>
      </c>
      <c r="O17" s="133">
        <v>47.485573386040436</v>
      </c>
      <c r="P17" s="133">
        <v>48.473787080640491</v>
      </c>
      <c r="Q17" s="133">
        <v>77.249901375648662</v>
      </c>
      <c r="R17" s="133">
        <v>74.207100872266338</v>
      </c>
      <c r="S17" s="133">
        <v>92.880669487105408</v>
      </c>
      <c r="T17" s="133">
        <v>100.71563528222212</v>
      </c>
      <c r="U17" s="133">
        <v>111.0792957753975</v>
      </c>
      <c r="V17" s="133">
        <v>112.9751252908766</v>
      </c>
      <c r="W17" s="133">
        <v>93.09772598179903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2393.5785185406048</v>
      </c>
      <c r="C19" s="131">
        <f t="shared" si="6"/>
        <v>2406.3718498206354</v>
      </c>
      <c r="D19" s="131">
        <f t="shared" si="6"/>
        <v>2403.2764291089657</v>
      </c>
      <c r="E19" s="131">
        <f t="shared" si="6"/>
        <v>2428.6420131005252</v>
      </c>
      <c r="F19" s="131">
        <f t="shared" si="6"/>
        <v>2432.473289166488</v>
      </c>
      <c r="G19" s="131">
        <f t="shared" si="6"/>
        <v>2323.6679136217767</v>
      </c>
      <c r="H19" s="131">
        <f t="shared" si="6"/>
        <v>2230.0142837705021</v>
      </c>
      <c r="I19" s="131">
        <f t="shared" si="6"/>
        <v>2178.8867967387591</v>
      </c>
      <c r="J19" s="131">
        <f t="shared" si="6"/>
        <v>2185.0841154712416</v>
      </c>
      <c r="K19" s="131">
        <f t="shared" si="6"/>
        <v>2263.1304086442706</v>
      </c>
      <c r="L19" s="131">
        <f t="shared" si="6"/>
        <v>2147.4236971508385</v>
      </c>
      <c r="M19" s="131">
        <f t="shared" si="6"/>
        <v>2166.4513810808749</v>
      </c>
      <c r="N19" s="131">
        <f t="shared" si="6"/>
        <v>2059.18259589846</v>
      </c>
      <c r="O19" s="131">
        <f t="shared" si="6"/>
        <v>2142.7674290571276</v>
      </c>
      <c r="P19" s="131">
        <f t="shared" si="6"/>
        <v>2153.8005795911668</v>
      </c>
      <c r="Q19" s="131">
        <f t="shared" si="6"/>
        <v>2199.5907867943606</v>
      </c>
      <c r="R19" s="131">
        <f t="shared" ref="R19:W19" si="7">SUM(R20:R27)</f>
        <v>2106.6691775117924</v>
      </c>
      <c r="S19" s="131">
        <f t="shared" si="7"/>
        <v>2088.2633804447541</v>
      </c>
      <c r="T19" s="131">
        <f t="shared" si="7"/>
        <v>1932.9667827705466</v>
      </c>
      <c r="U19" s="131">
        <f t="shared" si="7"/>
        <v>1848.7779673094039</v>
      </c>
      <c r="V19" s="131">
        <f t="shared" si="7"/>
        <v>1727.6706698683349</v>
      </c>
      <c r="W19" s="131">
        <f t="shared" si="7"/>
        <v>1819.2905261477356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143.03846408776613</v>
      </c>
      <c r="C21" s="133">
        <v>149.89875767080227</v>
      </c>
      <c r="D21" s="133">
        <v>166.21380060322593</v>
      </c>
      <c r="E21" s="133">
        <v>176.25949092056288</v>
      </c>
      <c r="F21" s="133">
        <v>178.98596310735508</v>
      </c>
      <c r="G21" s="133">
        <v>172.76205225582973</v>
      </c>
      <c r="H21" s="133">
        <v>180.95243002146441</v>
      </c>
      <c r="I21" s="133">
        <v>184.81618067347503</v>
      </c>
      <c r="J21" s="133">
        <v>186.99551348339747</v>
      </c>
      <c r="K21" s="133">
        <v>190.47384726263959</v>
      </c>
      <c r="L21" s="133">
        <v>178.18234095479451</v>
      </c>
      <c r="M21" s="133">
        <v>175.65827241525514</v>
      </c>
      <c r="N21" s="133">
        <v>170.37055522629566</v>
      </c>
      <c r="O21" s="133">
        <v>166.2075311476917</v>
      </c>
      <c r="P21" s="133">
        <v>165.20216885147408</v>
      </c>
      <c r="Q21" s="133">
        <v>158.19192486405726</v>
      </c>
      <c r="R21" s="133">
        <v>152.02616726184891</v>
      </c>
      <c r="S21" s="133">
        <v>147.75140400486364</v>
      </c>
      <c r="T21" s="133">
        <v>93.436351676985694</v>
      </c>
      <c r="U21" s="133">
        <v>89.976780150091486</v>
      </c>
      <c r="V21" s="133">
        <v>83.392928340813711</v>
      </c>
      <c r="W21" s="133">
        <v>83.900399208700307</v>
      </c>
      <c r="DA21" s="157" t="s">
        <v>371</v>
      </c>
    </row>
    <row r="22" spans="1:105" ht="12" customHeight="1" x14ac:dyDescent="0.25">
      <c r="A22" s="132" t="s">
        <v>168</v>
      </c>
      <c r="B22" s="133">
        <v>1254.216924971078</v>
      </c>
      <c r="C22" s="133">
        <v>1270.3963472722032</v>
      </c>
      <c r="D22" s="133">
        <v>1257.8166007950654</v>
      </c>
      <c r="E22" s="133">
        <v>1253.8308178203679</v>
      </c>
      <c r="F22" s="133">
        <v>1265.6999441856663</v>
      </c>
      <c r="G22" s="133">
        <v>1250.498971695544</v>
      </c>
      <c r="H22" s="133">
        <v>1191.4270671145466</v>
      </c>
      <c r="I22" s="133">
        <v>1126.9854376043957</v>
      </c>
      <c r="J22" s="133">
        <v>1143.0897626358365</v>
      </c>
      <c r="K22" s="133">
        <v>1128.2672279204146</v>
      </c>
      <c r="L22" s="133">
        <v>1060.3353747271633</v>
      </c>
      <c r="M22" s="133">
        <v>1014.9786974410792</v>
      </c>
      <c r="N22" s="133">
        <v>1139.3854855512561</v>
      </c>
      <c r="O22" s="133">
        <v>1147.4740648972568</v>
      </c>
      <c r="P22" s="133">
        <v>1133.1105145587462</v>
      </c>
      <c r="Q22" s="133">
        <v>1203.1147949838953</v>
      </c>
      <c r="R22" s="133">
        <v>1033.8451945115519</v>
      </c>
      <c r="S22" s="133">
        <v>1072.5132557560169</v>
      </c>
      <c r="T22" s="133">
        <v>970.86596183527911</v>
      </c>
      <c r="U22" s="133">
        <v>899.96501752705717</v>
      </c>
      <c r="V22" s="133">
        <v>859.83033442171529</v>
      </c>
      <c r="W22" s="133">
        <v>766.06173287573165</v>
      </c>
      <c r="DA22" s="157" t="s">
        <v>372</v>
      </c>
    </row>
    <row r="23" spans="1:105" ht="12" customHeight="1" x14ac:dyDescent="0.25">
      <c r="A23" s="132" t="s">
        <v>153</v>
      </c>
      <c r="B23" s="133">
        <v>948.62963918090816</v>
      </c>
      <c r="C23" s="133">
        <v>940.35398638375443</v>
      </c>
      <c r="D23" s="133">
        <v>933.21995360653307</v>
      </c>
      <c r="E23" s="133">
        <v>952.1302315719056</v>
      </c>
      <c r="F23" s="133">
        <v>939.00274921230948</v>
      </c>
      <c r="G23" s="133">
        <v>878.81717702888034</v>
      </c>
      <c r="H23" s="133">
        <v>832.07218764208631</v>
      </c>
      <c r="I23" s="133">
        <v>833.08572454290766</v>
      </c>
      <c r="J23" s="133">
        <v>819.27381261947835</v>
      </c>
      <c r="K23" s="133">
        <v>902.73232000172277</v>
      </c>
      <c r="L23" s="133">
        <v>864.0534339982529</v>
      </c>
      <c r="M23" s="133">
        <v>953.03786262648714</v>
      </c>
      <c r="N23" s="133">
        <v>728.63647000779383</v>
      </c>
      <c r="O23" s="133">
        <v>804.6010873758247</v>
      </c>
      <c r="P23" s="133">
        <v>836.69260938235323</v>
      </c>
      <c r="Q23" s="133">
        <v>826.46525947825239</v>
      </c>
      <c r="R23" s="133">
        <v>906.83197528062237</v>
      </c>
      <c r="S23" s="133">
        <v>852.60477268024931</v>
      </c>
      <c r="T23" s="133">
        <v>855.1628200408411</v>
      </c>
      <c r="U23" s="133">
        <v>844.4069091110415</v>
      </c>
      <c r="V23" s="133">
        <v>764.66602183014766</v>
      </c>
      <c r="W23" s="133">
        <v>946.77151068663829</v>
      </c>
      <c r="DA23" s="157" t="s">
        <v>373</v>
      </c>
    </row>
    <row r="24" spans="1:105" ht="12" customHeight="1" x14ac:dyDescent="0.25">
      <c r="A24" s="132" t="s">
        <v>128</v>
      </c>
      <c r="B24" s="133">
        <v>47.693490300852396</v>
      </c>
      <c r="C24" s="133">
        <v>45.722758493875418</v>
      </c>
      <c r="D24" s="133">
        <v>46.026074104141124</v>
      </c>
      <c r="E24" s="133">
        <v>46.421472787688906</v>
      </c>
      <c r="F24" s="133">
        <v>48.784632661157154</v>
      </c>
      <c r="G24" s="133">
        <v>21.589712641522627</v>
      </c>
      <c r="H24" s="133">
        <v>25.56259899240451</v>
      </c>
      <c r="I24" s="133">
        <v>33.999453917981107</v>
      </c>
      <c r="J24" s="133">
        <v>35.725026732529543</v>
      </c>
      <c r="K24" s="133">
        <v>41.657013459493655</v>
      </c>
      <c r="L24" s="133">
        <v>44.852547470628018</v>
      </c>
      <c r="M24" s="133">
        <v>22.776548598053584</v>
      </c>
      <c r="N24" s="133">
        <v>20.79008511311449</v>
      </c>
      <c r="O24" s="133">
        <v>24.484745636354639</v>
      </c>
      <c r="P24" s="133">
        <v>18.79528679859315</v>
      </c>
      <c r="Q24" s="133">
        <v>11.818807468155736</v>
      </c>
      <c r="R24" s="133">
        <v>13.965840457769314</v>
      </c>
      <c r="S24" s="133">
        <v>15.393948003624272</v>
      </c>
      <c r="T24" s="133">
        <v>13.501649217440653</v>
      </c>
      <c r="U24" s="133">
        <v>14.429260521213775</v>
      </c>
      <c r="V24" s="133">
        <v>19.781385275658323</v>
      </c>
      <c r="W24" s="133">
        <v>22.556883376665304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2418.6178779406177</v>
      </c>
      <c r="C29" s="131">
        <f t="shared" si="8"/>
        <v>1927.1997739798451</v>
      </c>
      <c r="D29" s="131">
        <f t="shared" si="8"/>
        <v>2636.7679846847168</v>
      </c>
      <c r="E29" s="131">
        <f t="shared" si="8"/>
        <v>2830.2663076193758</v>
      </c>
      <c r="F29" s="131">
        <f t="shared" si="8"/>
        <v>2986.8652631058485</v>
      </c>
      <c r="G29" s="131">
        <f t="shared" si="8"/>
        <v>2143.2008223028579</v>
      </c>
      <c r="H29" s="131">
        <f t="shared" si="8"/>
        <v>1911.5498241703153</v>
      </c>
      <c r="I29" s="131">
        <f t="shared" si="8"/>
        <v>2009.2181218873059</v>
      </c>
      <c r="J29" s="131">
        <f t="shared" si="8"/>
        <v>2116.5527209337533</v>
      </c>
      <c r="K29" s="131">
        <f t="shared" si="8"/>
        <v>2472.6816829742675</v>
      </c>
      <c r="L29" s="131">
        <f t="shared" si="8"/>
        <v>2493.7953781789356</v>
      </c>
      <c r="M29" s="131">
        <f t="shared" si="8"/>
        <v>2462.6374531525703</v>
      </c>
      <c r="N29" s="131">
        <f t="shared" si="8"/>
        <v>2156.0996472248303</v>
      </c>
      <c r="O29" s="131">
        <f t="shared" si="8"/>
        <v>2131.3149434080074</v>
      </c>
      <c r="P29" s="131">
        <f t="shared" si="8"/>
        <v>2266.7551153382751</v>
      </c>
      <c r="Q29" s="131">
        <f t="shared" si="8"/>
        <v>2482.6470927219011</v>
      </c>
      <c r="R29" s="131">
        <f t="shared" ref="R29:W29" si="9">SUM(R30:R33)</f>
        <v>2366.8212113371656</v>
      </c>
      <c r="S29" s="131">
        <f t="shared" si="9"/>
        <v>2499.9587664134042</v>
      </c>
      <c r="T29" s="131">
        <f t="shared" si="9"/>
        <v>2368.7383587379595</v>
      </c>
      <c r="U29" s="131">
        <f t="shared" si="9"/>
        <v>2442.9216488279926</v>
      </c>
      <c r="V29" s="131">
        <f t="shared" si="9"/>
        <v>2162.2438976615276</v>
      </c>
      <c r="W29" s="131">
        <f t="shared" si="9"/>
        <v>2779.9484715716617</v>
      </c>
      <c r="DA29" s="156" t="s">
        <v>236</v>
      </c>
    </row>
    <row r="30" spans="1:105" ht="12" customHeight="1" x14ac:dyDescent="0.25">
      <c r="A30" s="132" t="s">
        <v>52</v>
      </c>
      <c r="B30" s="133">
        <v>758.31969495223382</v>
      </c>
      <c r="C30" s="133">
        <v>273.91887900919778</v>
      </c>
      <c r="D30" s="133">
        <v>994.80709271677415</v>
      </c>
      <c r="E30" s="133">
        <v>1173.4495847994376</v>
      </c>
      <c r="F30" s="133">
        <v>1335.6574009726448</v>
      </c>
      <c r="G30" s="133">
        <v>1067.8236755041701</v>
      </c>
      <c r="H30" s="133">
        <v>875.72751481853561</v>
      </c>
      <c r="I30" s="133">
        <v>971.67264348652498</v>
      </c>
      <c r="J30" s="133">
        <v>1119.3312269166026</v>
      </c>
      <c r="K30" s="133">
        <v>1086.7427934573607</v>
      </c>
      <c r="L30" s="133">
        <v>1174.2637856052054</v>
      </c>
      <c r="M30" s="133">
        <v>1107.7407548647454</v>
      </c>
      <c r="N30" s="133">
        <v>903.09219757370386</v>
      </c>
      <c r="O30" s="133">
        <v>749.70794933230809</v>
      </c>
      <c r="P30" s="133">
        <v>743.7469959085264</v>
      </c>
      <c r="Q30" s="133">
        <v>849.82307885594241</v>
      </c>
      <c r="R30" s="133">
        <v>794.22130653815111</v>
      </c>
      <c r="S30" s="133">
        <v>879.76892027513691</v>
      </c>
      <c r="T30" s="133">
        <v>694.4367602430151</v>
      </c>
      <c r="U30" s="133">
        <v>790.75048052990792</v>
      </c>
      <c r="V30" s="133">
        <v>638.1353796591859</v>
      </c>
      <c r="W30" s="133">
        <v>693.73233991130076</v>
      </c>
      <c r="DA30" s="157" t="s">
        <v>378</v>
      </c>
    </row>
    <row r="31" spans="1:105" ht="12" customHeight="1" x14ac:dyDescent="0.25">
      <c r="A31" s="132" t="s">
        <v>153</v>
      </c>
      <c r="B31" s="133">
        <v>1660.298182988384</v>
      </c>
      <c r="C31" s="133">
        <v>1653.2808949706473</v>
      </c>
      <c r="D31" s="133">
        <v>1641.9608919679429</v>
      </c>
      <c r="E31" s="133">
        <v>1656.8167228199384</v>
      </c>
      <c r="F31" s="133">
        <v>1651.2078621332039</v>
      </c>
      <c r="G31" s="133">
        <v>1075.3771467986876</v>
      </c>
      <c r="H31" s="133">
        <v>1035.8223093517797</v>
      </c>
      <c r="I31" s="133">
        <v>1037.5454784007809</v>
      </c>
      <c r="J31" s="133">
        <v>997.22149401715058</v>
      </c>
      <c r="K31" s="133">
        <v>1385.9388895169066</v>
      </c>
      <c r="L31" s="133">
        <v>1319.5315925737302</v>
      </c>
      <c r="M31" s="133">
        <v>1354.8966982878248</v>
      </c>
      <c r="N31" s="133">
        <v>1253.0074496511263</v>
      </c>
      <c r="O31" s="133">
        <v>1381.6069940756993</v>
      </c>
      <c r="P31" s="133">
        <v>1523.0081194297486</v>
      </c>
      <c r="Q31" s="133">
        <v>1632.8240138659587</v>
      </c>
      <c r="R31" s="133">
        <v>1572.5999047990142</v>
      </c>
      <c r="S31" s="133">
        <v>1620.1898461382675</v>
      </c>
      <c r="T31" s="133">
        <v>1674.3015984949443</v>
      </c>
      <c r="U31" s="133">
        <v>1652.1711682980845</v>
      </c>
      <c r="V31" s="133">
        <v>1524.1085180023415</v>
      </c>
      <c r="W31" s="133">
        <v>2086.216131660361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207378.85886028729</v>
      </c>
      <c r="C3" s="126">
        <f>IF(SER_hh_fec!C3=0,0,11630*1000*SER_hh_fec!C3/SER_hh_num!C3)</f>
        <v>215457.63904909237</v>
      </c>
      <c r="D3" s="126">
        <f>IF(SER_hh_fec!D3=0,0,11630*1000*SER_hh_fec!D3/SER_hh_num!D3)</f>
        <v>198863.9654383364</v>
      </c>
      <c r="E3" s="126">
        <f>IF(SER_hh_fec!E3=0,0,11630*1000*SER_hh_fec!E3/SER_hh_num!E3)</f>
        <v>216220.23869942772</v>
      </c>
      <c r="F3" s="126">
        <f>IF(SER_hh_fec!F3=0,0,11630*1000*SER_hh_fec!F3/SER_hh_num!F3)</f>
        <v>217075.58579432705</v>
      </c>
      <c r="G3" s="126">
        <f>IF(SER_hh_fec!G3=0,0,11630*1000*SER_hh_fec!G3/SER_hh_num!G3)</f>
        <v>211214.77409143728</v>
      </c>
      <c r="H3" s="126">
        <f>IF(SER_hh_fec!H3=0,0,11630*1000*SER_hh_fec!H3/SER_hh_num!H3)</f>
        <v>197244.68996218371</v>
      </c>
      <c r="I3" s="126">
        <f>IF(SER_hh_fec!I3=0,0,11630*1000*SER_hh_fec!I3/SER_hh_num!I3)</f>
        <v>185731.47624709827</v>
      </c>
      <c r="J3" s="126">
        <f>IF(SER_hh_fec!J3=0,0,11630*1000*SER_hh_fec!J3/SER_hh_num!J3)</f>
        <v>184388.26153862113</v>
      </c>
      <c r="K3" s="126">
        <f>IF(SER_hh_fec!K3=0,0,11630*1000*SER_hh_fec!K3/SER_hh_num!K3)</f>
        <v>198415.09203460434</v>
      </c>
      <c r="L3" s="126">
        <f>IF(SER_hh_fec!L3=0,0,11630*1000*SER_hh_fec!L3/SER_hh_num!L3)</f>
        <v>207731.40859483508</v>
      </c>
      <c r="M3" s="126">
        <f>IF(SER_hh_fec!M3=0,0,11630*1000*SER_hh_fec!M3/SER_hh_num!M3)</f>
        <v>169221.83202048979</v>
      </c>
      <c r="N3" s="126">
        <f>IF(SER_hh_fec!N3=0,0,11630*1000*SER_hh_fec!N3/SER_hh_num!N3)</f>
        <v>181816.52637137889</v>
      </c>
      <c r="O3" s="126">
        <f>IF(SER_hh_fec!O3=0,0,11630*1000*SER_hh_fec!O3/SER_hh_num!O3)</f>
        <v>186952.83152280276</v>
      </c>
      <c r="P3" s="126">
        <f>IF(SER_hh_fec!P3=0,0,11630*1000*SER_hh_fec!P3/SER_hh_num!P3)</f>
        <v>163460.45162039963</v>
      </c>
      <c r="Q3" s="126">
        <f>IF(SER_hh_fec!Q3=0,0,11630*1000*SER_hh_fec!Q3/SER_hh_num!Q3)</f>
        <v>171254.31820666161</v>
      </c>
      <c r="R3" s="126">
        <f>IF(SER_hh_fec!R3=0,0,11630*1000*SER_hh_fec!R3/SER_hh_num!R3)</f>
        <v>169034.53658299489</v>
      </c>
      <c r="S3" s="126">
        <f>IF(SER_hh_fec!S3=0,0,11630*1000*SER_hh_fec!S3/SER_hh_num!S3)</f>
        <v>170611.47870676304</v>
      </c>
      <c r="T3" s="126">
        <f>IF(SER_hh_fec!T3=0,0,11630*1000*SER_hh_fec!T3/SER_hh_num!T3)</f>
        <v>168775.82643363602</v>
      </c>
      <c r="U3" s="126">
        <f>IF(SER_hh_fec!U3=0,0,11630*1000*SER_hh_fec!U3/SER_hh_num!U3)</f>
        <v>162868.22039639266</v>
      </c>
      <c r="V3" s="126">
        <f>IF(SER_hh_fec!V3=0,0,11630*1000*SER_hh_fec!V3/SER_hh_num!V3)</f>
        <v>148842.98664799129</v>
      </c>
      <c r="W3" s="126">
        <f>IF(SER_hh_fec!W3=0,0,11630*1000*SER_hh_fec!W3/SER_hh_num!W3)</f>
        <v>161080.47241973336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157779.44999641</v>
      </c>
      <c r="C4" s="131">
        <f>IF(SER_hh_fec!C4=0,0,11630*1000*SER_hh_fec!C4/SER_hh_num!C4)</f>
        <v>166611.99277042618</v>
      </c>
      <c r="D4" s="131">
        <f>IF(SER_hh_fec!D4=0,0,11630*1000*SER_hh_fec!D4/SER_hh_num!D4)</f>
        <v>149431.75911892494</v>
      </c>
      <c r="E4" s="131">
        <f>IF(SER_hh_fec!E4=0,0,11630*1000*SER_hh_fec!E4/SER_hh_num!E4)</f>
        <v>164500.91333481422</v>
      </c>
      <c r="F4" s="131">
        <f>IF(SER_hh_fec!F4=0,0,11630*1000*SER_hh_fec!F4/SER_hh_num!F4)</f>
        <v>167329.8441357105</v>
      </c>
      <c r="G4" s="131">
        <f>IF(SER_hh_fec!G4=0,0,11630*1000*SER_hh_fec!G4/SER_hh_num!G4)</f>
        <v>162597.23269747265</v>
      </c>
      <c r="H4" s="131">
        <f>IF(SER_hh_fec!H4=0,0,11630*1000*SER_hh_fec!H4/SER_hh_num!H4)</f>
        <v>148749.84095056748</v>
      </c>
      <c r="I4" s="131">
        <f>IF(SER_hh_fec!I4=0,0,11630*1000*SER_hh_fec!I4/SER_hh_num!I4)</f>
        <v>138408.5955556246</v>
      </c>
      <c r="J4" s="131">
        <f>IF(SER_hh_fec!J4=0,0,11630*1000*SER_hh_fec!J4/SER_hh_num!J4)</f>
        <v>136485.70002604875</v>
      </c>
      <c r="K4" s="131">
        <f>IF(SER_hh_fec!K4=0,0,11630*1000*SER_hh_fec!K4/SER_hh_num!K4)</f>
        <v>148804.17068692535</v>
      </c>
      <c r="L4" s="131">
        <f>IF(SER_hh_fec!L4=0,0,11630*1000*SER_hh_fec!L4/SER_hh_num!L4)</f>
        <v>158214.23755160646</v>
      </c>
      <c r="M4" s="131">
        <f>IF(SER_hh_fec!M4=0,0,11630*1000*SER_hh_fec!M4/SER_hh_num!M4)</f>
        <v>119970.49771210883</v>
      </c>
      <c r="N4" s="131">
        <f>IF(SER_hh_fec!N4=0,0,11630*1000*SER_hh_fec!N4/SER_hh_num!N4)</f>
        <v>132572.76170607557</v>
      </c>
      <c r="O4" s="131">
        <f>IF(SER_hh_fec!O4=0,0,11630*1000*SER_hh_fec!O4/SER_hh_num!O4)</f>
        <v>137643.86752738603</v>
      </c>
      <c r="P4" s="131">
        <f>IF(SER_hh_fec!P4=0,0,11630*1000*SER_hh_fec!P4/SER_hh_num!P4)</f>
        <v>114514.20087293693</v>
      </c>
      <c r="Q4" s="131">
        <f>IF(SER_hh_fec!Q4=0,0,11630*1000*SER_hh_fec!Q4/SER_hh_num!Q4)</f>
        <v>120913.56344809123</v>
      </c>
      <c r="R4" s="131">
        <f>IF(SER_hh_fec!R4=0,0,11630*1000*SER_hh_fec!R4/SER_hh_num!R4)</f>
        <v>119466.80609692806</v>
      </c>
      <c r="S4" s="131">
        <f>IF(SER_hh_fec!S4=0,0,11630*1000*SER_hh_fec!S4/SER_hh_num!S4)</f>
        <v>121140.63030486158</v>
      </c>
      <c r="T4" s="131">
        <f>IF(SER_hh_fec!T4=0,0,11630*1000*SER_hh_fec!T4/SER_hh_num!T4)</f>
        <v>119765.94978454564</v>
      </c>
      <c r="U4" s="131">
        <f>IF(SER_hh_fec!U4=0,0,11630*1000*SER_hh_fec!U4/SER_hh_num!U4)</f>
        <v>114913.82864720242</v>
      </c>
      <c r="V4" s="131">
        <f>IF(SER_hh_fec!V4=0,0,11630*1000*SER_hh_fec!V4/SER_hh_num!V4)</f>
        <v>104805.35429704167</v>
      </c>
      <c r="W4" s="131">
        <f>IF(SER_hh_fec!W4=0,0,11630*1000*SER_hh_fec!W4/SER_hh_num!W4)</f>
        <v>114931.5039467777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169825.76065550893</v>
      </c>
      <c r="C5" s="133">
        <f>IF(SER_hh_fec!C5=0,0,11630*1000*SER_hh_fec!C5/SER_hh_num!C5)</f>
        <v>183057.99979799066</v>
      </c>
      <c r="D5" s="133">
        <f>IF(SER_hh_fec!D5=0,0,11630*1000*SER_hh_fec!D5/SER_hh_num!D5)</f>
        <v>145326.82094688955</v>
      </c>
      <c r="E5" s="133">
        <f>IF(SER_hh_fec!E5=0,0,11630*1000*SER_hh_fec!E5/SER_hh_num!E5)</f>
        <v>174789.30143393992</v>
      </c>
      <c r="F5" s="133">
        <f>IF(SER_hh_fec!F5=0,0,11630*1000*SER_hh_fec!F5/SER_hh_num!F5)</f>
        <v>175368.82967273588</v>
      </c>
      <c r="G5" s="133">
        <f>IF(SER_hh_fec!G5=0,0,11630*1000*SER_hh_fec!G5/SER_hh_num!G5)</f>
        <v>175984.44714761505</v>
      </c>
      <c r="H5" s="133">
        <f>IF(SER_hh_fec!H5=0,0,11630*1000*SER_hh_fec!H5/SER_hh_num!H5)</f>
        <v>165537.5845234257</v>
      </c>
      <c r="I5" s="133">
        <f>IF(SER_hh_fec!I5=0,0,11630*1000*SER_hh_fec!I5/SER_hh_num!I5)</f>
        <v>157599.76964628417</v>
      </c>
      <c r="J5" s="133">
        <f>IF(SER_hh_fec!J5=0,0,11630*1000*SER_hh_fec!J5/SER_hh_num!J5)</f>
        <v>149803.34513357293</v>
      </c>
      <c r="K5" s="133">
        <f>IF(SER_hh_fec!K5=0,0,11630*1000*SER_hh_fec!K5/SER_hh_num!K5)</f>
        <v>153768.95455685735</v>
      </c>
      <c r="L5" s="133">
        <f>IF(SER_hh_fec!L5=0,0,11630*1000*SER_hh_fec!L5/SER_hh_num!L5)</f>
        <v>208497.3987741477</v>
      </c>
      <c r="M5" s="133">
        <f>IF(SER_hh_fec!M5=0,0,11630*1000*SER_hh_fec!M5/SER_hh_num!M5)</f>
        <v>85826.675164763539</v>
      </c>
      <c r="N5" s="133">
        <f>IF(SER_hh_fec!N5=0,0,11630*1000*SER_hh_fec!N5/SER_hh_num!N5)</f>
        <v>123500.8812827081</v>
      </c>
      <c r="O5" s="133">
        <f>IF(SER_hh_fec!O5=0,0,11630*1000*SER_hh_fec!O5/SER_hh_num!O5)</f>
        <v>156340.75110090527</v>
      </c>
      <c r="P5" s="133">
        <f>IF(SER_hh_fec!P5=0,0,11630*1000*SER_hh_fec!P5/SER_hh_num!P5)</f>
        <v>121072.6769653817</v>
      </c>
      <c r="Q5" s="133">
        <f>IF(SER_hh_fec!Q5=0,0,11630*1000*SER_hh_fec!Q5/SER_hh_num!Q5)</f>
        <v>128747.01822891249</v>
      </c>
      <c r="R5" s="133">
        <f>IF(SER_hh_fec!R5=0,0,11630*1000*SER_hh_fec!R5/SER_hh_num!R5)</f>
        <v>138621.52003117738</v>
      </c>
      <c r="S5" s="133">
        <f>IF(SER_hh_fec!S5=0,0,11630*1000*SER_hh_fec!S5/SER_hh_num!S5)</f>
        <v>137298.97753438694</v>
      </c>
      <c r="T5" s="133">
        <f>IF(SER_hh_fec!T5=0,0,11630*1000*SER_hh_fec!T5/SER_hh_num!T5)</f>
        <v>129255.06215939259</v>
      </c>
      <c r="U5" s="133">
        <f>IF(SER_hh_fec!U5=0,0,11630*1000*SER_hh_fec!U5/SER_hh_num!U5)</f>
        <v>127894.23587099947</v>
      </c>
      <c r="V5" s="133">
        <f>IF(SER_hh_fec!V5=0,0,11630*1000*SER_hh_fec!V5/SER_hh_num!V5)</f>
        <v>112799.35750354211</v>
      </c>
      <c r="W5" s="133">
        <f>IF(SER_hh_fec!W5=0,0,11630*1000*SER_hh_fec!W5/SER_hh_num!W5)</f>
        <v>128490.30317232833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189142.80194319689</v>
      </c>
      <c r="C7" s="133">
        <f>IF(SER_hh_fec!C7=0,0,11630*1000*SER_hh_fec!C7/SER_hh_num!C7)</f>
        <v>208943.28733495425</v>
      </c>
      <c r="D7" s="133">
        <f>IF(SER_hh_fec!D7=0,0,11630*1000*SER_hh_fec!D7/SER_hh_num!D7)</f>
        <v>184935.32722184871</v>
      </c>
      <c r="E7" s="133">
        <f>IF(SER_hh_fec!E7=0,0,11630*1000*SER_hh_fec!E7/SER_hh_num!E7)</f>
        <v>201367.99882864233</v>
      </c>
      <c r="F7" s="133">
        <f>IF(SER_hh_fec!F7=0,0,11630*1000*SER_hh_fec!F7/SER_hh_num!F7)</f>
        <v>207465.82290056965</v>
      </c>
      <c r="G7" s="133">
        <f>IF(SER_hh_fec!G7=0,0,11630*1000*SER_hh_fec!G7/SER_hh_num!G7)</f>
        <v>202430.38224691522</v>
      </c>
      <c r="H7" s="133">
        <f>IF(SER_hh_fec!H7=0,0,11630*1000*SER_hh_fec!H7/SER_hh_num!H7)</f>
        <v>187173.62985939087</v>
      </c>
      <c r="I7" s="133">
        <f>IF(SER_hh_fec!I7=0,0,11630*1000*SER_hh_fec!I7/SER_hh_num!I7)</f>
        <v>161210.03753491401</v>
      </c>
      <c r="J7" s="133">
        <f>IF(SER_hh_fec!J7=0,0,11630*1000*SER_hh_fec!J7/SER_hh_num!J7)</f>
        <v>190983.05094244599</v>
      </c>
      <c r="K7" s="133">
        <f>IF(SER_hh_fec!K7=0,0,11630*1000*SER_hh_fec!K7/SER_hh_num!K7)</f>
        <v>186644.6891903627</v>
      </c>
      <c r="L7" s="133">
        <f>IF(SER_hh_fec!L7=0,0,11630*1000*SER_hh_fec!L7/SER_hh_num!L7)</f>
        <v>180384.90387680987</v>
      </c>
      <c r="M7" s="133">
        <f>IF(SER_hh_fec!M7=0,0,11630*1000*SER_hh_fec!M7/SER_hh_num!M7)</f>
        <v>155184.0882849333</v>
      </c>
      <c r="N7" s="133">
        <f>IF(SER_hh_fec!N7=0,0,11630*1000*SER_hh_fec!N7/SER_hh_num!N7)</f>
        <v>161172.67552765133</v>
      </c>
      <c r="O7" s="133">
        <f>IF(SER_hh_fec!O7=0,0,11630*1000*SER_hh_fec!O7/SER_hh_num!O7)</f>
        <v>165086.78637788442</v>
      </c>
      <c r="P7" s="133">
        <f>IF(SER_hh_fec!P7=0,0,11630*1000*SER_hh_fec!P7/SER_hh_num!P7)</f>
        <v>145345.91938974179</v>
      </c>
      <c r="Q7" s="133">
        <f>IF(SER_hh_fec!Q7=0,0,11630*1000*SER_hh_fec!Q7/SER_hh_num!Q7)</f>
        <v>152725.18364289662</v>
      </c>
      <c r="R7" s="133">
        <f>IF(SER_hh_fec!R7=0,0,11630*1000*SER_hh_fec!R7/SER_hh_num!R7)</f>
        <v>141516.71021768008</v>
      </c>
      <c r="S7" s="133">
        <f>IF(SER_hh_fec!S7=0,0,11630*1000*SER_hh_fec!S7/SER_hh_num!S7)</f>
        <v>150199.24187321551</v>
      </c>
      <c r="T7" s="133">
        <f>IF(SER_hh_fec!T7=0,0,11630*1000*SER_hh_fec!T7/SER_hh_num!T7)</f>
        <v>145312.41003658203</v>
      </c>
      <c r="U7" s="133">
        <f>IF(SER_hh_fec!U7=0,0,11630*1000*SER_hh_fec!U7/SER_hh_num!U7)</f>
        <v>140589.23622425389</v>
      </c>
      <c r="V7" s="133">
        <f>IF(SER_hh_fec!V7=0,0,11630*1000*SER_hh_fec!V7/SER_hh_num!V7)</f>
        <v>131712.66725873467</v>
      </c>
      <c r="W7" s="133">
        <f>IF(SER_hh_fec!W7=0,0,11630*1000*SER_hh_fec!W7/SER_hh_num!W7)</f>
        <v>135530.38511047687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68582.636686070735</v>
      </c>
      <c r="C8" s="133">
        <f>IF(SER_hh_fec!C8=0,0,11630*1000*SER_hh_fec!C8/SER_hh_num!C8)</f>
        <v>80215.280898939905</v>
      </c>
      <c r="D8" s="133">
        <f>IF(SER_hh_fec!D8=0,0,11630*1000*SER_hh_fec!D8/SER_hh_num!D8)</f>
        <v>64457.709251440501</v>
      </c>
      <c r="E8" s="133">
        <f>IF(SER_hh_fec!E8=0,0,11630*1000*SER_hh_fec!E8/SER_hh_num!E8)</f>
        <v>67876.560436517058</v>
      </c>
      <c r="F8" s="133">
        <f>IF(SER_hh_fec!F8=0,0,11630*1000*SER_hh_fec!F8/SER_hh_num!F8)</f>
        <v>61770.267070088936</v>
      </c>
      <c r="G8" s="133">
        <f>IF(SER_hh_fec!G8=0,0,11630*1000*SER_hh_fec!G8/SER_hh_num!G8)</f>
        <v>79419.160472158503</v>
      </c>
      <c r="H8" s="133">
        <f>IF(SER_hh_fec!H8=0,0,11630*1000*SER_hh_fec!H8/SER_hh_num!H8)</f>
        <v>68697.134662506913</v>
      </c>
      <c r="I8" s="133">
        <f>IF(SER_hh_fec!I8=0,0,11630*1000*SER_hh_fec!I8/SER_hh_num!I8)</f>
        <v>67220.415068303191</v>
      </c>
      <c r="J8" s="133">
        <f>IF(SER_hh_fec!J8=0,0,11630*1000*SER_hh_fec!J8/SER_hh_num!J8)</f>
        <v>68840.854742418771</v>
      </c>
      <c r="K8" s="133">
        <f>IF(SER_hh_fec!K8=0,0,11630*1000*SER_hh_fec!K8/SER_hh_num!K8)</f>
        <v>53336.009882530438</v>
      </c>
      <c r="L8" s="133">
        <f>IF(SER_hh_fec!L8=0,0,11630*1000*SER_hh_fec!L8/SER_hh_num!L8)</f>
        <v>43682.223000196725</v>
      </c>
      <c r="M8" s="133">
        <f>IF(SER_hh_fec!M8=0,0,11630*1000*SER_hh_fec!M8/SER_hh_num!M8)</f>
        <v>56850.864093526267</v>
      </c>
      <c r="N8" s="133">
        <f>IF(SER_hh_fec!N8=0,0,11630*1000*SER_hh_fec!N8/SER_hh_num!N8)</f>
        <v>49968.575897664246</v>
      </c>
      <c r="O8" s="133">
        <f>IF(SER_hh_fec!O8=0,0,11630*1000*SER_hh_fec!O8/SER_hh_num!O8)</f>
        <v>52285.498114848997</v>
      </c>
      <c r="P8" s="133">
        <f>IF(SER_hh_fec!P8=0,0,11630*1000*SER_hh_fec!P8/SER_hh_num!P8)</f>
        <v>43827.850355074777</v>
      </c>
      <c r="Q8" s="133">
        <f>IF(SER_hh_fec!Q8=0,0,11630*1000*SER_hh_fec!Q8/SER_hh_num!Q8)</f>
        <v>45714.258090647731</v>
      </c>
      <c r="R8" s="133">
        <f>IF(SER_hh_fec!R8=0,0,11630*1000*SER_hh_fec!R8/SER_hh_num!R8)</f>
        <v>44980.913747459555</v>
      </c>
      <c r="S8" s="133">
        <f>IF(SER_hh_fec!S8=0,0,11630*1000*SER_hh_fec!S8/SER_hh_num!S8)</f>
        <v>43655.234579067663</v>
      </c>
      <c r="T8" s="133">
        <f>IF(SER_hh_fec!T8=0,0,11630*1000*SER_hh_fec!T8/SER_hh_num!T8)</f>
        <v>43095.771264801071</v>
      </c>
      <c r="U8" s="133">
        <f>IF(SER_hh_fec!U8=0,0,11630*1000*SER_hh_fec!U8/SER_hh_num!U8)</f>
        <v>42237.330148514018</v>
      </c>
      <c r="V8" s="133">
        <f>IF(SER_hh_fec!V8=0,0,11630*1000*SER_hh_fec!V8/SER_hh_num!V8)</f>
        <v>36658.631124795043</v>
      </c>
      <c r="W8" s="133">
        <f>IF(SER_hh_fec!W8=0,0,11630*1000*SER_hh_fec!W8/SER_hh_num!W8)</f>
        <v>41747.923785432817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175557.29306281201</v>
      </c>
      <c r="C9" s="133">
        <f>IF(SER_hh_fec!C9=0,0,11630*1000*SER_hh_fec!C9/SER_hh_num!C9)</f>
        <v>184571.49139167252</v>
      </c>
      <c r="D9" s="133">
        <f>IF(SER_hh_fec!D9=0,0,11630*1000*SER_hh_fec!D9/SER_hh_num!D9)</f>
        <v>149458.33428022638</v>
      </c>
      <c r="E9" s="133">
        <f>IF(SER_hh_fec!E9=0,0,11630*1000*SER_hh_fec!E9/SER_hh_num!E9)</f>
        <v>184097.19208128398</v>
      </c>
      <c r="F9" s="133">
        <f>IF(SER_hh_fec!F9=0,0,11630*1000*SER_hh_fec!F9/SER_hh_num!F9)</f>
        <v>179331.68473809745</v>
      </c>
      <c r="G9" s="133">
        <f>IF(SER_hh_fec!G9=0,0,11630*1000*SER_hh_fec!G9/SER_hh_num!G9)</f>
        <v>179941.28102705642</v>
      </c>
      <c r="H9" s="133">
        <f>IF(SER_hh_fec!H9=0,0,11630*1000*SER_hh_fec!H9/SER_hh_num!H9)</f>
        <v>154075.94199372103</v>
      </c>
      <c r="I9" s="133">
        <f>IF(SER_hh_fec!I9=0,0,11630*1000*SER_hh_fec!I9/SER_hh_num!I9)</f>
        <v>151563.48328823718</v>
      </c>
      <c r="J9" s="133">
        <f>IF(SER_hh_fec!J9=0,0,11630*1000*SER_hh_fec!J9/SER_hh_num!J9)</f>
        <v>131637.68294722555</v>
      </c>
      <c r="K9" s="133">
        <f>IF(SER_hh_fec!K9=0,0,11630*1000*SER_hh_fec!K9/SER_hh_num!K9)</f>
        <v>156810.91857065668</v>
      </c>
      <c r="L9" s="133">
        <f>IF(SER_hh_fec!L9=0,0,11630*1000*SER_hh_fec!L9/SER_hh_num!L9)</f>
        <v>173188.71446219695</v>
      </c>
      <c r="M9" s="133">
        <f>IF(SER_hh_fec!M9=0,0,11630*1000*SER_hh_fec!M9/SER_hh_num!M9)</f>
        <v>121402.52084737369</v>
      </c>
      <c r="N9" s="133">
        <f>IF(SER_hh_fec!N9=0,0,11630*1000*SER_hh_fec!N9/SER_hh_num!N9)</f>
        <v>142293.35262714932</v>
      </c>
      <c r="O9" s="133">
        <f>IF(SER_hh_fec!O9=0,0,11630*1000*SER_hh_fec!O9/SER_hh_num!O9)</f>
        <v>149292.27640899204</v>
      </c>
      <c r="P9" s="133">
        <f>IF(SER_hh_fec!P9=0,0,11630*1000*SER_hh_fec!P9/SER_hh_num!P9)</f>
        <v>119608.05865832296</v>
      </c>
      <c r="Q9" s="133">
        <f>IF(SER_hh_fec!Q9=0,0,11630*1000*SER_hh_fec!Q9/SER_hh_num!Q9)</f>
        <v>127460.21858541528</v>
      </c>
      <c r="R9" s="133">
        <f>IF(SER_hh_fec!R9=0,0,11630*1000*SER_hh_fec!R9/SER_hh_num!R9)</f>
        <v>126354.135966831</v>
      </c>
      <c r="S9" s="133">
        <f>IF(SER_hh_fec!S9=0,0,11630*1000*SER_hh_fec!S9/SER_hh_num!S9)</f>
        <v>127152.79338081935</v>
      </c>
      <c r="T9" s="133">
        <f>IF(SER_hh_fec!T9=0,0,11630*1000*SER_hh_fec!T9/SER_hh_num!T9)</f>
        <v>127970.74435688744</v>
      </c>
      <c r="U9" s="133">
        <f>IF(SER_hh_fec!U9=0,0,11630*1000*SER_hh_fec!U9/SER_hh_num!U9)</f>
        <v>121868.08200097908</v>
      </c>
      <c r="V9" s="133">
        <f>IF(SER_hh_fec!V9=0,0,11630*1000*SER_hh_fec!V9/SER_hh_num!V9)</f>
        <v>109796.22126462917</v>
      </c>
      <c r="W9" s="133">
        <f>IF(SER_hh_fec!W9=0,0,11630*1000*SER_hh_fec!W9/SER_hh_num!W9)</f>
        <v>117107.06456202178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186310.3547255891</v>
      </c>
      <c r="C10" s="133">
        <f>IF(SER_hh_fec!C10=0,0,11630*1000*SER_hh_fec!C10/SER_hh_num!C10)</f>
        <v>192151.72304615079</v>
      </c>
      <c r="D10" s="133">
        <f>IF(SER_hh_fec!D10=0,0,11630*1000*SER_hh_fec!D10/SER_hh_num!D10)</f>
        <v>190460.73724337836</v>
      </c>
      <c r="E10" s="133">
        <f>IF(SER_hh_fec!E10=0,0,11630*1000*SER_hh_fec!E10/SER_hh_num!E10)</f>
        <v>210447.97102544556</v>
      </c>
      <c r="F10" s="133">
        <f>IF(SER_hh_fec!F10=0,0,11630*1000*SER_hh_fec!F10/SER_hh_num!F10)</f>
        <v>238896.64660493145</v>
      </c>
      <c r="G10" s="133">
        <f>IF(SER_hh_fec!G10=0,0,11630*1000*SER_hh_fec!G10/SER_hh_num!G10)</f>
        <v>161197.95952684165</v>
      </c>
      <c r="H10" s="133">
        <f>IF(SER_hh_fec!H10=0,0,11630*1000*SER_hh_fec!H10/SER_hh_num!H10)</f>
        <v>119418.48048444616</v>
      </c>
      <c r="I10" s="133">
        <f>IF(SER_hh_fec!I10=0,0,11630*1000*SER_hh_fec!I10/SER_hh_num!I10)</f>
        <v>178818.80635124943</v>
      </c>
      <c r="J10" s="133">
        <f>IF(SER_hh_fec!J10=0,0,11630*1000*SER_hh_fec!J10/SER_hh_num!J10)</f>
        <v>169871.99809015539</v>
      </c>
      <c r="K10" s="133">
        <f>IF(SER_hh_fec!K10=0,0,11630*1000*SER_hh_fec!K10/SER_hh_num!K10)</f>
        <v>216349.94942295796</v>
      </c>
      <c r="L10" s="133">
        <f>IF(SER_hh_fec!L10=0,0,11630*1000*SER_hh_fec!L10/SER_hh_num!L10)</f>
        <v>189149.05923320109</v>
      </c>
      <c r="M10" s="133">
        <f>IF(SER_hh_fec!M10=0,0,11630*1000*SER_hh_fec!M10/SER_hh_num!M10)</f>
        <v>127687.24473459239</v>
      </c>
      <c r="N10" s="133">
        <f>IF(SER_hh_fec!N10=0,0,11630*1000*SER_hh_fec!N10/SER_hh_num!N10)</f>
        <v>152016.75523180206</v>
      </c>
      <c r="O10" s="133">
        <f>IF(SER_hh_fec!O10=0,0,11630*1000*SER_hh_fec!O10/SER_hh_num!O10)</f>
        <v>189680.53839854689</v>
      </c>
      <c r="P10" s="133">
        <f>IF(SER_hh_fec!P10=0,0,11630*1000*SER_hh_fec!P10/SER_hh_num!P10)</f>
        <v>155384.50310810332</v>
      </c>
      <c r="Q10" s="133">
        <f>IF(SER_hh_fec!Q10=0,0,11630*1000*SER_hh_fec!Q10/SER_hh_num!Q10)</f>
        <v>145252.49421965081</v>
      </c>
      <c r="R10" s="133">
        <f>IF(SER_hh_fec!R10=0,0,11630*1000*SER_hh_fec!R10/SER_hh_num!R10)</f>
        <v>159727.25189116527</v>
      </c>
      <c r="S10" s="133">
        <f>IF(SER_hh_fec!S10=0,0,11630*1000*SER_hh_fec!S10/SER_hh_num!S10)</f>
        <v>165250.99747472047</v>
      </c>
      <c r="T10" s="133">
        <f>IF(SER_hh_fec!T10=0,0,11630*1000*SER_hh_fec!T10/SER_hh_num!T10)</f>
        <v>151095.75697661616</v>
      </c>
      <c r="U10" s="133">
        <f>IF(SER_hh_fec!U10=0,0,11630*1000*SER_hh_fec!U10/SER_hh_num!U10)</f>
        <v>148331.87531732945</v>
      </c>
      <c r="V10" s="133">
        <f>IF(SER_hh_fec!V10=0,0,11630*1000*SER_hh_fec!V10/SER_hh_num!V10)</f>
        <v>144570.98417191693</v>
      </c>
      <c r="W10" s="133">
        <f>IF(SER_hh_fec!W10=0,0,11630*1000*SER_hh_fec!W10/SER_hh_num!W10)</f>
        <v>164882.70626038313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243493.21998691696</v>
      </c>
      <c r="E11" s="133">
        <f>IF(SER_hh_fec!E11=0,0,11630*1000*SER_hh_fec!E11/SER_hh_num!E11)</f>
        <v>217176.90975246445</v>
      </c>
      <c r="F11" s="133">
        <f>IF(SER_hh_fec!F11=0,0,11630*1000*SER_hh_fec!F11/SER_hh_num!F11)</f>
        <v>216975.40214107002</v>
      </c>
      <c r="G11" s="133">
        <f>IF(SER_hh_fec!G11=0,0,11630*1000*SER_hh_fec!G11/SER_hh_num!G11)</f>
        <v>76206.740734552266</v>
      </c>
      <c r="H11" s="133">
        <f>IF(SER_hh_fec!H11=0,0,11630*1000*SER_hh_fec!H11/SER_hh_num!H11)</f>
        <v>96984.6617821455</v>
      </c>
      <c r="I11" s="133">
        <f>IF(SER_hh_fec!I11=0,0,11630*1000*SER_hh_fec!I11/SER_hh_num!I11)</f>
        <v>110713.53274151405</v>
      </c>
      <c r="J11" s="133">
        <f>IF(SER_hh_fec!J11=0,0,11630*1000*SER_hh_fec!J11/SER_hh_num!J11)</f>
        <v>111298.24513139586</v>
      </c>
      <c r="K11" s="133">
        <f>IF(SER_hh_fec!K11=0,0,11630*1000*SER_hh_fec!K11/SER_hh_num!K11)</f>
        <v>110951.10178419699</v>
      </c>
      <c r="L11" s="133">
        <f>IF(SER_hh_fec!L11=0,0,11630*1000*SER_hh_fec!L11/SER_hh_num!L11)</f>
        <v>107244.13492491783</v>
      </c>
      <c r="M11" s="133">
        <f>IF(SER_hh_fec!M11=0,0,11630*1000*SER_hh_fec!M11/SER_hh_num!M11)</f>
        <v>116835.01910725252</v>
      </c>
      <c r="N11" s="133">
        <f>IF(SER_hh_fec!N11=0,0,11630*1000*SER_hh_fec!N11/SER_hh_num!N11)</f>
        <v>113577.05773444298</v>
      </c>
      <c r="O11" s="133">
        <f>IF(SER_hh_fec!O11=0,0,11630*1000*SER_hh_fec!O11/SER_hh_num!O11)</f>
        <v>111999.47439628867</v>
      </c>
      <c r="P11" s="133">
        <f>IF(SER_hh_fec!P11=0,0,11630*1000*SER_hh_fec!P11/SER_hh_num!P11)</f>
        <v>103851.01515111441</v>
      </c>
      <c r="Q11" s="133">
        <f>IF(SER_hh_fec!Q11=0,0,11630*1000*SER_hh_fec!Q11/SER_hh_num!Q11)</f>
        <v>104166.23514190712</v>
      </c>
      <c r="R11" s="133">
        <f>IF(SER_hh_fec!R11=0,0,11630*1000*SER_hh_fec!R11/SER_hh_num!R11)</f>
        <v>103792.87918591118</v>
      </c>
      <c r="S11" s="133">
        <f>IF(SER_hh_fec!S11=0,0,11630*1000*SER_hh_fec!S11/SER_hh_num!S11)</f>
        <v>103846.87123020712</v>
      </c>
      <c r="T11" s="133">
        <f>IF(SER_hh_fec!T11=0,0,11630*1000*SER_hh_fec!T11/SER_hh_num!T11)</f>
        <v>101655.97639322</v>
      </c>
      <c r="U11" s="133">
        <f>IF(SER_hh_fec!U11=0,0,11630*1000*SER_hh_fec!U11/SER_hh_num!U11)</f>
        <v>99655.860857016785</v>
      </c>
      <c r="V11" s="133">
        <f>IF(SER_hh_fec!V11=0,0,11630*1000*SER_hh_fec!V11/SER_hh_num!V11)</f>
        <v>96665.436713862669</v>
      </c>
      <c r="W11" s="133">
        <f>IF(SER_hh_fec!W11=0,0,11630*1000*SER_hh_fec!W11/SER_hh_num!W11)</f>
        <v>94385.140477662717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107782.05125465062</v>
      </c>
      <c r="C12" s="133">
        <f>IF(SER_hh_fec!C12=0,0,11630*1000*SER_hh_fec!C12/SER_hh_num!C12)</f>
        <v>120500.191133794</v>
      </c>
      <c r="D12" s="133">
        <f>IF(SER_hh_fec!D12=0,0,11630*1000*SER_hh_fec!D12/SER_hh_num!D12)</f>
        <v>121294.85978068224</v>
      </c>
      <c r="E12" s="133">
        <f>IF(SER_hh_fec!E12=0,0,11630*1000*SER_hh_fec!E12/SER_hh_num!E12)</f>
        <v>118466.65300691738</v>
      </c>
      <c r="F12" s="133">
        <f>IF(SER_hh_fec!F12=0,0,11630*1000*SER_hh_fec!F12/SER_hh_num!F12)</f>
        <v>121168.96723075425</v>
      </c>
      <c r="G12" s="133">
        <f>IF(SER_hh_fec!G12=0,0,11630*1000*SER_hh_fec!G12/SER_hh_num!G12)</f>
        <v>131722.48727877511</v>
      </c>
      <c r="H12" s="133">
        <f>IF(SER_hh_fec!H12=0,0,11630*1000*SER_hh_fec!H12/SER_hh_num!H12)</f>
        <v>134600.4557479576</v>
      </c>
      <c r="I12" s="133">
        <f>IF(SER_hh_fec!I12=0,0,11630*1000*SER_hh_fec!I12/SER_hh_num!I12)</f>
        <v>85008.52247533339</v>
      </c>
      <c r="J12" s="133">
        <f>IF(SER_hh_fec!J12=0,0,11630*1000*SER_hh_fec!J12/SER_hh_num!J12)</f>
        <v>107911.60839173741</v>
      </c>
      <c r="K12" s="133">
        <f>IF(SER_hh_fec!K12=0,0,11630*1000*SER_hh_fec!K12/SER_hh_num!K12)</f>
        <v>108448.35506343248</v>
      </c>
      <c r="L12" s="133">
        <f>IF(SER_hh_fec!L12=0,0,11630*1000*SER_hh_fec!L12/SER_hh_num!L12)</f>
        <v>125644.20020723018</v>
      </c>
      <c r="M12" s="133">
        <f>IF(SER_hh_fec!M12=0,0,11630*1000*SER_hh_fec!M12/SER_hh_num!M12)</f>
        <v>106494.73526617906</v>
      </c>
      <c r="N12" s="133">
        <f>IF(SER_hh_fec!N12=0,0,11630*1000*SER_hh_fec!N12/SER_hh_num!N12)</f>
        <v>107156.05877797036</v>
      </c>
      <c r="O12" s="133">
        <f>IF(SER_hh_fec!O12=0,0,11630*1000*SER_hh_fec!O12/SER_hh_num!O12)</f>
        <v>111502.38408636395</v>
      </c>
      <c r="P12" s="133">
        <f>IF(SER_hh_fec!P12=0,0,11630*1000*SER_hh_fec!P12/SER_hh_num!P12)</f>
        <v>99970.747072956627</v>
      </c>
      <c r="Q12" s="133">
        <f>IF(SER_hh_fec!Q12=0,0,11630*1000*SER_hh_fec!Q12/SER_hh_num!Q12)</f>
        <v>102526.37537604551</v>
      </c>
      <c r="R12" s="133">
        <f>IF(SER_hh_fec!R12=0,0,11630*1000*SER_hh_fec!R12/SER_hh_num!R12)</f>
        <v>107159.40134308851</v>
      </c>
      <c r="S12" s="133">
        <f>IF(SER_hh_fec!S12=0,0,11630*1000*SER_hh_fec!S12/SER_hh_num!S12)</f>
        <v>107414.15638506661</v>
      </c>
      <c r="T12" s="133">
        <f>IF(SER_hh_fec!T12=0,0,11630*1000*SER_hh_fec!T12/SER_hh_num!T12)</f>
        <v>102064.8687792969</v>
      </c>
      <c r="U12" s="133">
        <f>IF(SER_hh_fec!U12=0,0,11630*1000*SER_hh_fec!U12/SER_hh_num!U12)</f>
        <v>98957.519322486783</v>
      </c>
      <c r="V12" s="133">
        <f>IF(SER_hh_fec!V12=0,0,11630*1000*SER_hh_fec!V12/SER_hh_num!V12)</f>
        <v>95675.097411158014</v>
      </c>
      <c r="W12" s="133">
        <f>IF(SER_hh_fec!W12=0,0,11630*1000*SER_hh_fec!W12/SER_hh_num!W12)</f>
        <v>105209.68320392712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64309.395619618852</v>
      </c>
      <c r="C13" s="133">
        <f>IF(SER_hh_fec!C13=0,0,11630*1000*SER_hh_fec!C13/SER_hh_num!C13)</f>
        <v>64185.205928371768</v>
      </c>
      <c r="D13" s="133">
        <f>IF(SER_hh_fec!D13=0,0,11630*1000*SER_hh_fec!D13/SER_hh_num!D13)</f>
        <v>65062.41184773155</v>
      </c>
      <c r="E13" s="133">
        <f>IF(SER_hh_fec!E13=0,0,11630*1000*SER_hh_fec!E13/SER_hh_num!E13)</f>
        <v>64042.614041537665</v>
      </c>
      <c r="F13" s="133">
        <f>IF(SER_hh_fec!F13=0,0,11630*1000*SER_hh_fec!F13/SER_hh_num!F13)</f>
        <v>61603.210156624766</v>
      </c>
      <c r="G13" s="133">
        <f>IF(SER_hh_fec!G13=0,0,11630*1000*SER_hh_fec!G13/SER_hh_num!G13)</f>
        <v>60650.517453313769</v>
      </c>
      <c r="H13" s="133">
        <f>IF(SER_hh_fec!H13=0,0,11630*1000*SER_hh_fec!H13/SER_hh_num!H13)</f>
        <v>54642.908412636796</v>
      </c>
      <c r="I13" s="133">
        <f>IF(SER_hh_fec!I13=0,0,11630*1000*SER_hh_fec!I13/SER_hh_num!I13)</f>
        <v>48573.023498614304</v>
      </c>
      <c r="J13" s="133">
        <f>IF(SER_hh_fec!J13=0,0,11630*1000*SER_hh_fec!J13/SER_hh_num!J13)</f>
        <v>49322.567232641035</v>
      </c>
      <c r="K13" s="133">
        <f>IF(SER_hh_fec!K13=0,0,11630*1000*SER_hh_fec!K13/SER_hh_num!K13)</f>
        <v>45152.002137723095</v>
      </c>
      <c r="L13" s="133">
        <f>IF(SER_hh_fec!L13=0,0,11630*1000*SER_hh_fec!L13/SER_hh_num!L13)</f>
        <v>39017.530492193917</v>
      </c>
      <c r="M13" s="133">
        <f>IF(SER_hh_fec!M13=0,0,11630*1000*SER_hh_fec!M13/SER_hh_num!M13)</f>
        <v>41931.606193857333</v>
      </c>
      <c r="N13" s="133">
        <f>IF(SER_hh_fec!N13=0,0,11630*1000*SER_hh_fec!N13/SER_hh_num!N13)</f>
        <v>40890.674010729206</v>
      </c>
      <c r="O13" s="133">
        <f>IF(SER_hh_fec!O13=0,0,11630*1000*SER_hh_fec!O13/SER_hh_num!O13)</f>
        <v>40275.185451628306</v>
      </c>
      <c r="P13" s="133">
        <f>IF(SER_hh_fec!P13=0,0,11630*1000*SER_hh_fec!P13/SER_hh_num!P13)</f>
        <v>32514.206784222668</v>
      </c>
      <c r="Q13" s="133">
        <f>IF(SER_hh_fec!Q13=0,0,11630*1000*SER_hh_fec!Q13/SER_hh_num!Q13)</f>
        <v>33175.054005108032</v>
      </c>
      <c r="R13" s="133">
        <f>IF(SER_hh_fec!R13=0,0,11630*1000*SER_hh_fec!R13/SER_hh_num!R13)</f>
        <v>34762.32618449445</v>
      </c>
      <c r="S13" s="133">
        <f>IF(SER_hh_fec!S13=0,0,11630*1000*SER_hh_fec!S13/SER_hh_num!S13)</f>
        <v>32649.605352747381</v>
      </c>
      <c r="T13" s="133">
        <f>IF(SER_hh_fec!T13=0,0,11630*1000*SER_hh_fec!T13/SER_hh_num!T13)</f>
        <v>29545.487873489561</v>
      </c>
      <c r="U13" s="133">
        <f>IF(SER_hh_fec!U13=0,0,11630*1000*SER_hh_fec!U13/SER_hh_num!U13)</f>
        <v>29248.436453172642</v>
      </c>
      <c r="V13" s="133">
        <f>IF(SER_hh_fec!V13=0,0,11630*1000*SER_hh_fec!V13/SER_hh_num!V13)</f>
        <v>26721.063435638604</v>
      </c>
      <c r="W13" s="133">
        <f>IF(SER_hh_fec!W13=0,0,11630*1000*SER_hh_fec!W13/SER_hh_num!W13)</f>
        <v>30063.406792042602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131664.01300564923</v>
      </c>
      <c r="C14" s="65">
        <f>IF(SER_hh_fec!C14=0,0,11630*1000*SER_hh_fec!C14/SER_hh_num!C14)</f>
        <v>132422.61755910298</v>
      </c>
      <c r="D14" s="65">
        <f>IF(SER_hh_fec!D14=0,0,11630*1000*SER_hh_fec!D14/SER_hh_num!D14)</f>
        <v>129468.91381931177</v>
      </c>
      <c r="E14" s="65">
        <f>IF(SER_hh_fec!E14=0,0,11630*1000*SER_hh_fec!E14/SER_hh_num!E14)</f>
        <v>134227.18035364064</v>
      </c>
      <c r="F14" s="65">
        <f>IF(SER_hh_fec!F14=0,0,11630*1000*SER_hh_fec!F14/SER_hh_num!F14)</f>
        <v>141861.85442912343</v>
      </c>
      <c r="G14" s="65">
        <f>IF(SER_hh_fec!G14=0,0,11630*1000*SER_hh_fec!G14/SER_hh_num!G14)</f>
        <v>132632.76293691542</v>
      </c>
      <c r="H14" s="65">
        <f>IF(SER_hh_fec!H14=0,0,11630*1000*SER_hh_fec!H14/SER_hh_num!H14)</f>
        <v>128226.21056250765</v>
      </c>
      <c r="I14" s="65">
        <f>IF(SER_hh_fec!I14=0,0,11630*1000*SER_hh_fec!I14/SER_hh_num!I14)</f>
        <v>126247.38186702011</v>
      </c>
      <c r="J14" s="65">
        <f>IF(SER_hh_fec!J14=0,0,11630*1000*SER_hh_fec!J14/SER_hh_num!J14)</f>
        <v>115992.80866691026</v>
      </c>
      <c r="K14" s="65">
        <f>IF(SER_hh_fec!K14=0,0,11630*1000*SER_hh_fec!K14/SER_hh_num!K14)</f>
        <v>127382.11774800795</v>
      </c>
      <c r="L14" s="65">
        <f>IF(SER_hh_fec!L14=0,0,11630*1000*SER_hh_fec!L14/SER_hh_num!L14)</f>
        <v>143026.82863046724</v>
      </c>
      <c r="M14" s="65">
        <f>IF(SER_hh_fec!M14=0,0,11630*1000*SER_hh_fec!M14/SER_hh_num!M14)</f>
        <v>111942.65859272957</v>
      </c>
      <c r="N14" s="65">
        <f>IF(SER_hh_fec!N14=0,0,11630*1000*SER_hh_fec!N14/SER_hh_num!N14)</f>
        <v>123596.0621936362</v>
      </c>
      <c r="O14" s="65">
        <f>IF(SER_hh_fec!O14=0,0,11630*1000*SER_hh_fec!O14/SER_hh_num!O14)</f>
        <v>126173.44010301233</v>
      </c>
      <c r="P14" s="65">
        <f>IF(SER_hh_fec!P14=0,0,11630*1000*SER_hh_fec!P14/SER_hh_num!P14)</f>
        <v>106025.17679911354</v>
      </c>
      <c r="Q14" s="65">
        <f>IF(SER_hh_fec!Q14=0,0,11630*1000*SER_hh_fec!Q14/SER_hh_num!Q14)</f>
        <v>114784.00022772056</v>
      </c>
      <c r="R14" s="65">
        <f>IF(SER_hh_fec!R14=0,0,11630*1000*SER_hh_fec!R14/SER_hh_num!R14)</f>
        <v>116047.39811838513</v>
      </c>
      <c r="S14" s="65">
        <f>IF(SER_hh_fec!S14=0,0,11630*1000*SER_hh_fec!S14/SER_hh_num!S14)</f>
        <v>116010.40399027974</v>
      </c>
      <c r="T14" s="65">
        <f>IF(SER_hh_fec!T14=0,0,11630*1000*SER_hh_fec!T14/SER_hh_num!T14)</f>
        <v>115594.34407693893</v>
      </c>
      <c r="U14" s="65">
        <f>IF(SER_hh_fec!U14=0,0,11630*1000*SER_hh_fec!U14/SER_hh_num!U14)</f>
        <v>110545.49251269615</v>
      </c>
      <c r="V14" s="65">
        <f>IF(SER_hh_fec!V14=0,0,11630*1000*SER_hh_fec!V14/SER_hh_num!V14)</f>
        <v>97882.467109430669</v>
      </c>
      <c r="W14" s="65">
        <f>IF(SER_hh_fec!W14=0,0,11630*1000*SER_hh_fec!W14/SER_hh_num!W14)</f>
        <v>118722.8708582468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1490.4707691139906</v>
      </c>
      <c r="C15" s="135">
        <f>IF(SER_hh_fec!C15=0,0,11630*1000*SER_hh_fec!C15/SER_hh_num!C15)</f>
        <v>1566.0132688321048</v>
      </c>
      <c r="D15" s="135">
        <f>IF(SER_hh_fec!D15=0,0,11630*1000*SER_hh_fec!D15/SER_hh_num!D15)</f>
        <v>1325.6301589032814</v>
      </c>
      <c r="E15" s="135">
        <f>IF(SER_hh_fec!E15=0,0,11630*1000*SER_hh_fec!E15/SER_hh_num!E15)</f>
        <v>1522.2043845152907</v>
      </c>
      <c r="F15" s="135">
        <f>IF(SER_hh_fec!F15=0,0,11630*1000*SER_hh_fec!F15/SER_hh_num!F15)</f>
        <v>1530.7130397435906</v>
      </c>
      <c r="G15" s="135">
        <f>IF(SER_hh_fec!G15=0,0,11630*1000*SER_hh_fec!G15/SER_hh_num!G15)</f>
        <v>1531.0967479337603</v>
      </c>
      <c r="H15" s="135">
        <f>IF(SER_hh_fec!H15=0,0,11630*1000*SER_hh_fec!H15/SER_hh_num!H15)</f>
        <v>1378.2241430642655</v>
      </c>
      <c r="I15" s="135">
        <f>IF(SER_hh_fec!I15=0,0,11630*1000*SER_hh_fec!I15/SER_hh_num!I15)</f>
        <v>1321.3239807308819</v>
      </c>
      <c r="J15" s="135">
        <f>IF(SER_hh_fec!J15=0,0,11630*1000*SER_hh_fec!J15/SER_hh_num!J15)</f>
        <v>1331.2834436780488</v>
      </c>
      <c r="K15" s="135">
        <f>IF(SER_hh_fec!K15=0,0,11630*1000*SER_hh_fec!K15/SER_hh_num!K15)</f>
        <v>1492.6724368923208</v>
      </c>
      <c r="L15" s="135">
        <f>IF(SER_hh_fec!L15=0,0,11630*1000*SER_hh_fec!L15/SER_hh_num!L15)</f>
        <v>1595.525204399707</v>
      </c>
      <c r="M15" s="135">
        <f>IF(SER_hh_fec!M15=0,0,11630*1000*SER_hh_fec!M15/SER_hh_num!M15)</f>
        <v>1208.1649906690868</v>
      </c>
      <c r="N15" s="135">
        <f>IF(SER_hh_fec!N15=0,0,11630*1000*SER_hh_fec!N15/SER_hh_num!N15)</f>
        <v>1379.6997942147786</v>
      </c>
      <c r="O15" s="135">
        <f>IF(SER_hh_fec!O15=0,0,11630*1000*SER_hh_fec!O15/SER_hh_num!O15)</f>
        <v>1458.8653534596242</v>
      </c>
      <c r="P15" s="135">
        <f>IF(SER_hh_fec!P15=0,0,11630*1000*SER_hh_fec!P15/SER_hh_num!P15)</f>
        <v>1198.466918467562</v>
      </c>
      <c r="Q15" s="135">
        <f>IF(SER_hh_fec!Q15=0,0,11630*1000*SER_hh_fec!Q15/SER_hh_num!Q15)</f>
        <v>1260.3891834546043</v>
      </c>
      <c r="R15" s="135">
        <f>IF(SER_hh_fec!R15=0,0,11630*1000*SER_hh_fec!R15/SER_hh_num!R15)</f>
        <v>1233.9600828372147</v>
      </c>
      <c r="S15" s="135">
        <f>IF(SER_hh_fec!S15=0,0,11630*1000*SER_hh_fec!S15/SER_hh_num!S15)</f>
        <v>1273.9270956146456</v>
      </c>
      <c r="T15" s="135">
        <f>IF(SER_hh_fec!T15=0,0,11630*1000*SER_hh_fec!T15/SER_hh_num!T15)</f>
        <v>1283.4629671501577</v>
      </c>
      <c r="U15" s="135">
        <f>IF(SER_hh_fec!U15=0,0,11630*1000*SER_hh_fec!U15/SER_hh_num!U15)</f>
        <v>1244.0744370628704</v>
      </c>
      <c r="V15" s="135">
        <f>IF(SER_hh_fec!V15=0,0,11630*1000*SER_hh_fec!V15/SER_hh_num!V15)</f>
        <v>1145.8235325110868</v>
      </c>
      <c r="W15" s="135">
        <f>IF(SER_hh_fec!W15=0,0,11630*1000*SER_hh_fec!W15/SER_hh_num!W15)</f>
        <v>1227.5390467922023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13041.325991418176</v>
      </c>
      <c r="C16" s="131">
        <f>IF(SER_hh_fec!C16=0,0,11630*1000*SER_hh_fec!C16/SER_hh_num!C16)</f>
        <v>13133.919625881061</v>
      </c>
      <c r="D16" s="131">
        <f>IF(SER_hh_fec!D16=0,0,11630*1000*SER_hh_fec!D16/SER_hh_num!D16)</f>
        <v>12043.012695423688</v>
      </c>
      <c r="E16" s="131">
        <f>IF(SER_hh_fec!E16=0,0,11630*1000*SER_hh_fec!E16/SER_hh_num!E16)</f>
        <v>20202.738442915685</v>
      </c>
      <c r="F16" s="131">
        <f>IF(SER_hh_fec!F16=0,0,11630*1000*SER_hh_fec!F16/SER_hh_num!F16)</f>
        <v>11421.061886173895</v>
      </c>
      <c r="G16" s="131">
        <f>IF(SER_hh_fec!G16=0,0,11630*1000*SER_hh_fec!G16/SER_hh_num!G16)</f>
        <v>11897.437937171169</v>
      </c>
      <c r="H16" s="131">
        <f>IF(SER_hh_fec!H16=0,0,11630*1000*SER_hh_fec!H16/SER_hh_num!H16)</f>
        <v>12959.491598434246</v>
      </c>
      <c r="I16" s="131">
        <f>IF(SER_hh_fec!I16=0,0,11630*1000*SER_hh_fec!I16/SER_hh_num!I16)</f>
        <v>9649.2661952065919</v>
      </c>
      <c r="J16" s="131">
        <f>IF(SER_hh_fec!J16=0,0,11630*1000*SER_hh_fec!J16/SER_hh_num!J16)</f>
        <v>9335.2483697889365</v>
      </c>
      <c r="K16" s="131">
        <f>IF(SER_hh_fec!K16=0,0,11630*1000*SER_hh_fec!K16/SER_hh_num!K16)</f>
        <v>9811.4062043495505</v>
      </c>
      <c r="L16" s="131">
        <f>IF(SER_hh_fec!L16=0,0,11630*1000*SER_hh_fec!L16/SER_hh_num!L16)</f>
        <v>9483.1679063574429</v>
      </c>
      <c r="M16" s="131">
        <f>IF(SER_hh_fec!M16=0,0,11630*1000*SER_hh_fec!M16/SER_hh_num!M16)</f>
        <v>9089.7486756906455</v>
      </c>
      <c r="N16" s="131">
        <f>IF(SER_hh_fec!N16=0,0,11630*1000*SER_hh_fec!N16/SER_hh_num!N16)</f>
        <v>9349.4546436148048</v>
      </c>
      <c r="O16" s="131">
        <f>IF(SER_hh_fec!O16=0,0,11630*1000*SER_hh_fec!O16/SER_hh_num!O16)</f>
        <v>9074.2924839803563</v>
      </c>
      <c r="P16" s="131">
        <f>IF(SER_hh_fec!P16=0,0,11630*1000*SER_hh_fec!P16/SER_hh_num!P16)</f>
        <v>8276.9693327119985</v>
      </c>
      <c r="Q16" s="131">
        <f>IF(SER_hh_fec!Q16=0,0,11630*1000*SER_hh_fec!Q16/SER_hh_num!Q16)</f>
        <v>10035.405235110544</v>
      </c>
      <c r="R16" s="131">
        <f>IF(SER_hh_fec!R16=0,0,11630*1000*SER_hh_fec!R16/SER_hh_num!R16)</f>
        <v>8607.9560401085419</v>
      </c>
      <c r="S16" s="131">
        <f>IF(SER_hh_fec!S16=0,0,11630*1000*SER_hh_fec!S16/SER_hh_num!S16)</f>
        <v>9118.5913973171155</v>
      </c>
      <c r="T16" s="131">
        <f>IF(SER_hh_fec!T16=0,0,11630*1000*SER_hh_fec!T16/SER_hh_num!T16)</f>
        <v>8840.6308607758201</v>
      </c>
      <c r="U16" s="131">
        <f>IF(SER_hh_fec!U16=0,0,11630*1000*SER_hh_fec!U16/SER_hh_num!U16)</f>
        <v>8821.3382564462936</v>
      </c>
      <c r="V16" s="131">
        <f>IF(SER_hh_fec!V16=0,0,11630*1000*SER_hh_fec!V16/SER_hh_num!V16)</f>
        <v>9005.7913027879385</v>
      </c>
      <c r="W16" s="131">
        <f>IF(SER_hh_fec!W16=0,0,11630*1000*SER_hh_fec!W16/SER_hh_num!W16)</f>
        <v>7330.5985815987424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18851.322148412986</v>
      </c>
      <c r="C17" s="133">
        <f>IF(SER_hh_fec!C17=0,0,11630*1000*SER_hh_fec!C17/SER_hh_num!C17)</f>
        <v>19721.504747686955</v>
      </c>
      <c r="D17" s="133">
        <f>IF(SER_hh_fec!D17=0,0,11630*1000*SER_hh_fec!D17/SER_hh_num!D17)</f>
        <v>18792.737493148743</v>
      </c>
      <c r="E17" s="133">
        <f>IF(SER_hh_fec!E17=0,0,11630*1000*SER_hh_fec!E17/SER_hh_num!E17)</f>
        <v>36684.715407629708</v>
      </c>
      <c r="F17" s="133">
        <f>IF(SER_hh_fec!F17=0,0,11630*1000*SER_hh_fec!F17/SER_hh_num!F17)</f>
        <v>19207.170541649197</v>
      </c>
      <c r="G17" s="133">
        <f>IF(SER_hh_fec!G17=0,0,11630*1000*SER_hh_fec!G17/SER_hh_num!G17)</f>
        <v>20873.308422574555</v>
      </c>
      <c r="H17" s="133">
        <f>IF(SER_hh_fec!H17=0,0,11630*1000*SER_hh_fec!H17/SER_hh_num!H17)</f>
        <v>23770.924680289434</v>
      </c>
      <c r="I17" s="133">
        <f>IF(SER_hh_fec!I17=0,0,11630*1000*SER_hh_fec!I17/SER_hh_num!I17)</f>
        <v>18544.20229410207</v>
      </c>
      <c r="J17" s="133">
        <f>IF(SER_hh_fec!J17=0,0,11630*1000*SER_hh_fec!J17/SER_hh_num!J17)</f>
        <v>18786.007416930359</v>
      </c>
      <c r="K17" s="133">
        <f>IF(SER_hh_fec!K17=0,0,11630*1000*SER_hh_fec!K17/SER_hh_num!K17)</f>
        <v>20054.162153257592</v>
      </c>
      <c r="L17" s="133">
        <f>IF(SER_hh_fec!L17=0,0,11630*1000*SER_hh_fec!L17/SER_hh_num!L17)</f>
        <v>19743.001680203819</v>
      </c>
      <c r="M17" s="133">
        <f>IF(SER_hh_fec!M17=0,0,11630*1000*SER_hh_fec!M17/SER_hh_num!M17)</f>
        <v>19360.599274523389</v>
      </c>
      <c r="N17" s="133">
        <f>IF(SER_hh_fec!N17=0,0,11630*1000*SER_hh_fec!N17/SER_hh_num!N17)</f>
        <v>20215.682066660971</v>
      </c>
      <c r="O17" s="133">
        <f>IF(SER_hh_fec!O17=0,0,11630*1000*SER_hh_fec!O17/SER_hh_num!O17)</f>
        <v>19970.964352150266</v>
      </c>
      <c r="P17" s="133">
        <f>IF(SER_hh_fec!P17=0,0,11630*1000*SER_hh_fec!P17/SER_hh_num!P17)</f>
        <v>18675.291279054953</v>
      </c>
      <c r="Q17" s="133">
        <f>IF(SER_hh_fec!Q17=0,0,11630*1000*SER_hh_fec!Q17/SER_hh_num!Q17)</f>
        <v>22924.12031984637</v>
      </c>
      <c r="R17" s="133">
        <f>IF(SER_hh_fec!R17=0,0,11630*1000*SER_hh_fec!R17/SER_hh_num!R17)</f>
        <v>20084.747988645791</v>
      </c>
      <c r="S17" s="133">
        <f>IF(SER_hh_fec!S17=0,0,11630*1000*SER_hh_fec!S17/SER_hh_num!S17)</f>
        <v>21537.355144317142</v>
      </c>
      <c r="T17" s="133">
        <f>IF(SER_hh_fec!T17=0,0,11630*1000*SER_hh_fec!T17/SER_hh_num!T17)</f>
        <v>21105.881590410656</v>
      </c>
      <c r="U17" s="133">
        <f>IF(SER_hh_fec!U17=0,0,11630*1000*SER_hh_fec!U17/SER_hh_num!U17)</f>
        <v>21139.34921362493</v>
      </c>
      <c r="V17" s="133">
        <f>IF(SER_hh_fec!V17=0,0,11630*1000*SER_hh_fec!V17/SER_hh_num!V17)</f>
        <v>20129.450708740096</v>
      </c>
      <c r="W17" s="133">
        <f>IF(SER_hh_fec!W17=0,0,11630*1000*SER_hh_fec!W17/SER_hh_num!W17)</f>
        <v>15928.259233805078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13022.669865485597</v>
      </c>
      <c r="C18" s="133">
        <f>IF(SER_hh_fec!C18=0,0,11630*1000*SER_hh_fec!C18/SER_hh_num!C18)</f>
        <v>13110.358016484042</v>
      </c>
      <c r="D18" s="133">
        <f>IF(SER_hh_fec!D18=0,0,11630*1000*SER_hh_fec!D18/SER_hh_num!D18)</f>
        <v>12017.211231351232</v>
      </c>
      <c r="E18" s="133">
        <f>IF(SER_hh_fec!E18=0,0,11630*1000*SER_hh_fec!E18/SER_hh_num!E18)</f>
        <v>20122.515774133859</v>
      </c>
      <c r="F18" s="133">
        <f>IF(SER_hh_fec!F18=0,0,11630*1000*SER_hh_fec!F18/SER_hh_num!F18)</f>
        <v>11382.949949966875</v>
      </c>
      <c r="G18" s="133">
        <f>IF(SER_hh_fec!G18=0,0,11630*1000*SER_hh_fec!G18/SER_hh_num!G18)</f>
        <v>11856.322565488406</v>
      </c>
      <c r="H18" s="133">
        <f>IF(SER_hh_fec!H18=0,0,11630*1000*SER_hh_fec!H18/SER_hh_num!H18)</f>
        <v>12889.095250737744</v>
      </c>
      <c r="I18" s="133">
        <f>IF(SER_hh_fec!I18=0,0,11630*1000*SER_hh_fec!I18/SER_hh_num!I18)</f>
        <v>9586.9723132726103</v>
      </c>
      <c r="J18" s="133">
        <f>IF(SER_hh_fec!J18=0,0,11630*1000*SER_hh_fec!J18/SER_hh_num!J18)</f>
        <v>9258.4378603306432</v>
      </c>
      <c r="K18" s="133">
        <f>IF(SER_hh_fec!K18=0,0,11630*1000*SER_hh_fec!K18/SER_hh_num!K18)</f>
        <v>9725.701321355953</v>
      </c>
      <c r="L18" s="133">
        <f>IF(SER_hh_fec!L18=0,0,11630*1000*SER_hh_fec!L18/SER_hh_num!L18)</f>
        <v>9386.8530686475297</v>
      </c>
      <c r="M18" s="133">
        <f>IF(SER_hh_fec!M18=0,0,11630*1000*SER_hh_fec!M18/SER_hh_num!M18)</f>
        <v>8962.3427148729425</v>
      </c>
      <c r="N18" s="133">
        <f>IF(SER_hh_fec!N18=0,0,11630*1000*SER_hh_fec!N18/SER_hh_num!N18)</f>
        <v>9155.6950009145457</v>
      </c>
      <c r="O18" s="133">
        <f>IF(SER_hh_fec!O18=0,0,11630*1000*SER_hh_fec!O18/SER_hh_num!O18)</f>
        <v>8836.475579579861</v>
      </c>
      <c r="P18" s="133">
        <f>IF(SER_hh_fec!P18=0,0,11630*1000*SER_hh_fec!P18/SER_hh_num!P18)</f>
        <v>8033.0652679306077</v>
      </c>
      <c r="Q18" s="133">
        <f>IF(SER_hh_fec!Q18=0,0,11630*1000*SER_hh_fec!Q18/SER_hh_num!Q18)</f>
        <v>9652.8925820224595</v>
      </c>
      <c r="R18" s="133">
        <f>IF(SER_hh_fec!R18=0,0,11630*1000*SER_hh_fec!R18/SER_hh_num!R18)</f>
        <v>8237.1500660423299</v>
      </c>
      <c r="S18" s="133">
        <f>IF(SER_hh_fec!S18=0,0,11630*1000*SER_hh_fec!S18/SER_hh_num!S18)</f>
        <v>8658.3932877825373</v>
      </c>
      <c r="T18" s="133">
        <f>IF(SER_hh_fec!T18=0,0,11630*1000*SER_hh_fec!T18/SER_hh_num!T18)</f>
        <v>8347.1484452149052</v>
      </c>
      <c r="U18" s="133">
        <f>IF(SER_hh_fec!U18=0,0,11630*1000*SER_hh_fec!U18/SER_hh_num!U18)</f>
        <v>8283.8580549139515</v>
      </c>
      <c r="V18" s="133">
        <f>IF(SER_hh_fec!V18=0,0,11630*1000*SER_hh_fec!V18/SER_hh_num!V18)</f>
        <v>8475.6383809067429</v>
      </c>
      <c r="W18" s="133">
        <f>IF(SER_hh_fec!W18=0,0,11630*1000*SER_hh_fec!W18/SER_hh_num!W18)</f>
        <v>6913.8923700779696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24566.476686370323</v>
      </c>
      <c r="C19" s="131">
        <f>IF(SER_hh_fec!C19=0,0,11630*1000*SER_hh_fec!C19/SER_hh_num!C19)</f>
        <v>24080.467880262906</v>
      </c>
      <c r="D19" s="131">
        <f>IF(SER_hh_fec!D19=0,0,11630*1000*SER_hh_fec!D19/SER_hh_num!D19)</f>
        <v>23938.864150314461</v>
      </c>
      <c r="E19" s="131">
        <f>IF(SER_hh_fec!E19=0,0,11630*1000*SER_hh_fec!E19/SER_hh_num!E19)</f>
        <v>23335.292837244051</v>
      </c>
      <c r="F19" s="131">
        <f>IF(SER_hh_fec!F19=0,0,11630*1000*SER_hh_fec!F19/SER_hh_num!F19)</f>
        <v>23797.181870494878</v>
      </c>
      <c r="G19" s="131">
        <f>IF(SER_hh_fec!G19=0,0,11630*1000*SER_hh_fec!G19/SER_hh_num!G19)</f>
        <v>23383.359153609854</v>
      </c>
      <c r="H19" s="131">
        <f>IF(SER_hh_fec!H19=0,0,11630*1000*SER_hh_fec!H19/SER_hh_num!H19)</f>
        <v>22800.003792789255</v>
      </c>
      <c r="I19" s="131">
        <f>IF(SER_hh_fec!I19=0,0,11630*1000*SER_hh_fec!I19/SER_hh_num!I19)</f>
        <v>22479.232824207174</v>
      </c>
      <c r="J19" s="131">
        <f>IF(SER_hh_fec!J19=0,0,11630*1000*SER_hh_fec!J19/SER_hh_num!J19)</f>
        <v>22741.092841908678</v>
      </c>
      <c r="K19" s="131">
        <f>IF(SER_hh_fec!K19=0,0,11630*1000*SER_hh_fec!K19/SER_hh_num!K19)</f>
        <v>23028.739693263706</v>
      </c>
      <c r="L19" s="131">
        <f>IF(SER_hh_fec!L19=0,0,11630*1000*SER_hh_fec!L19/SER_hh_num!L19)</f>
        <v>22710.102470211204</v>
      </c>
      <c r="M19" s="131">
        <f>IF(SER_hh_fec!M19=0,0,11630*1000*SER_hh_fec!M19/SER_hh_num!M19)</f>
        <v>22519.485171275097</v>
      </c>
      <c r="N19" s="131">
        <f>IF(SER_hh_fec!N19=0,0,11630*1000*SER_hh_fec!N19/SER_hh_num!N19)</f>
        <v>22493.477291783765</v>
      </c>
      <c r="O19" s="131">
        <f>IF(SER_hh_fec!O19=0,0,11630*1000*SER_hh_fec!O19/SER_hh_num!O19)</f>
        <v>22564.996678457534</v>
      </c>
      <c r="P19" s="131">
        <f>IF(SER_hh_fec!P19=0,0,11630*1000*SER_hh_fec!P19/SER_hh_num!P19)</f>
        <v>22398.607333452634</v>
      </c>
      <c r="Q19" s="131">
        <f>IF(SER_hh_fec!Q19=0,0,11630*1000*SER_hh_fec!Q19/SER_hh_num!Q19)</f>
        <v>22414.015903107425</v>
      </c>
      <c r="R19" s="131">
        <f>IF(SER_hh_fec!R19=0,0,11630*1000*SER_hh_fec!R19/SER_hh_num!R19)</f>
        <v>22266.396845672411</v>
      </c>
      <c r="S19" s="131">
        <f>IF(SER_hh_fec!S19=0,0,11630*1000*SER_hh_fec!S19/SER_hh_num!S19)</f>
        <v>21899.249193178111</v>
      </c>
      <c r="T19" s="131">
        <f>IF(SER_hh_fec!T19=0,0,11630*1000*SER_hh_fec!T19/SER_hh_num!T19)</f>
        <v>21795.434404454667</v>
      </c>
      <c r="U19" s="131">
        <f>IF(SER_hh_fec!U19=0,0,11630*1000*SER_hh_fec!U19/SER_hh_num!U19)</f>
        <v>20841.915334749054</v>
      </c>
      <c r="V19" s="131">
        <f>IF(SER_hh_fec!V19=0,0,11630*1000*SER_hh_fec!V19/SER_hh_num!V19)</f>
        <v>18999.747303071381</v>
      </c>
      <c r="W19" s="131">
        <f>IF(SER_hh_fec!W19=0,0,11630*1000*SER_hh_fec!W19/SER_hh_num!W19)</f>
        <v>20016.033112418452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26297.39847662297</v>
      </c>
      <c r="C21" s="133">
        <f>IF(SER_hh_fec!C21=0,0,11630*1000*SER_hh_fec!C21/SER_hh_num!C21)</f>
        <v>26036.665772387019</v>
      </c>
      <c r="D21" s="133">
        <f>IF(SER_hh_fec!D21=0,0,11630*1000*SER_hh_fec!D21/SER_hh_num!D21)</f>
        <v>26506.148121164766</v>
      </c>
      <c r="E21" s="133">
        <f>IF(SER_hh_fec!E21=0,0,11630*1000*SER_hh_fec!E21/SER_hh_num!E21)</f>
        <v>26557.058381911575</v>
      </c>
      <c r="F21" s="133">
        <f>IF(SER_hh_fec!F21=0,0,11630*1000*SER_hh_fec!F21/SER_hh_num!F21)</f>
        <v>26291.785076515749</v>
      </c>
      <c r="G21" s="133">
        <f>IF(SER_hh_fec!G21=0,0,11630*1000*SER_hh_fec!G21/SER_hh_num!G21)</f>
        <v>24996.503609500924</v>
      </c>
      <c r="H21" s="133">
        <f>IF(SER_hh_fec!H21=0,0,11630*1000*SER_hh_fec!H21/SER_hh_num!H21)</f>
        <v>25440.753604937516</v>
      </c>
      <c r="I21" s="133">
        <f>IF(SER_hh_fec!I21=0,0,11630*1000*SER_hh_fec!I21/SER_hh_num!I21)</f>
        <v>25334.583853744898</v>
      </c>
      <c r="J21" s="133">
        <f>IF(SER_hh_fec!J21=0,0,11630*1000*SER_hh_fec!J21/SER_hh_num!J21)</f>
        <v>25461.230976652485</v>
      </c>
      <c r="K21" s="133">
        <f>IF(SER_hh_fec!K21=0,0,11630*1000*SER_hh_fec!K21/SER_hh_num!K21)</f>
        <v>26154.39599575668</v>
      </c>
      <c r="L21" s="133">
        <f>IF(SER_hh_fec!L21=0,0,11630*1000*SER_hh_fec!L21/SER_hh_num!L21)</f>
        <v>25176.677029717575</v>
      </c>
      <c r="M21" s="133">
        <f>IF(SER_hh_fec!M21=0,0,11630*1000*SER_hh_fec!M21/SER_hh_num!M21)</f>
        <v>25442.085216807427</v>
      </c>
      <c r="N21" s="133">
        <f>IF(SER_hh_fec!N21=0,0,11630*1000*SER_hh_fec!N21/SER_hh_num!N21)</f>
        <v>25354.347084063043</v>
      </c>
      <c r="O21" s="133">
        <f>IF(SER_hh_fec!O21=0,0,11630*1000*SER_hh_fec!O21/SER_hh_num!O21)</f>
        <v>25290.874961213296</v>
      </c>
      <c r="P21" s="133">
        <f>IF(SER_hh_fec!P21=0,0,11630*1000*SER_hh_fec!P21/SER_hh_num!P21)</f>
        <v>25639.771772652908</v>
      </c>
      <c r="Q21" s="133">
        <f>IF(SER_hh_fec!Q21=0,0,11630*1000*SER_hh_fec!Q21/SER_hh_num!Q21)</f>
        <v>25241.474738824538</v>
      </c>
      <c r="R21" s="133">
        <f>IF(SER_hh_fec!R21=0,0,11630*1000*SER_hh_fec!R21/SER_hh_num!R21)</f>
        <v>25858.557246431341</v>
      </c>
      <c r="S21" s="133">
        <f>IF(SER_hh_fec!S21=0,0,11630*1000*SER_hh_fec!S21/SER_hh_num!S21)</f>
        <v>27767.525113756812</v>
      </c>
      <c r="T21" s="133">
        <f>IF(SER_hh_fec!T21=0,0,11630*1000*SER_hh_fec!T21/SER_hh_num!T21)</f>
        <v>21262.096617772288</v>
      </c>
      <c r="U21" s="133">
        <f>IF(SER_hh_fec!U21=0,0,11630*1000*SER_hh_fec!U21/SER_hh_num!U21)</f>
        <v>22840.539498681494</v>
      </c>
      <c r="V21" s="133">
        <f>IF(SER_hh_fec!V21=0,0,11630*1000*SER_hh_fec!V21/SER_hh_num!V21)</f>
        <v>22348.460977951374</v>
      </c>
      <c r="W21" s="133">
        <f>IF(SER_hh_fec!W21=0,0,11630*1000*SER_hh_fec!W21/SER_hh_num!W21)</f>
        <v>22637.403790467935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28247.588557465813</v>
      </c>
      <c r="C22" s="133">
        <f>IF(SER_hh_fec!C22=0,0,11630*1000*SER_hh_fec!C22/SER_hh_num!C22)</f>
        <v>28271.511842077805</v>
      </c>
      <c r="D22" s="133">
        <f>IF(SER_hh_fec!D22=0,0,11630*1000*SER_hh_fec!D22/SER_hh_num!D22)</f>
        <v>27803.782220640456</v>
      </c>
      <c r="E22" s="133">
        <f>IF(SER_hh_fec!E22=0,0,11630*1000*SER_hh_fec!E22/SER_hh_num!E22)</f>
        <v>27490.645987036278</v>
      </c>
      <c r="F22" s="133">
        <f>IF(SER_hh_fec!F22=0,0,11630*1000*SER_hh_fec!F22/SER_hh_num!F22)</f>
        <v>27872.886614844261</v>
      </c>
      <c r="G22" s="133">
        <f>IF(SER_hh_fec!G22=0,0,11630*1000*SER_hh_fec!G22/SER_hh_num!G22)</f>
        <v>27807.410412705147</v>
      </c>
      <c r="H22" s="133">
        <f>IF(SER_hh_fec!H22=0,0,11630*1000*SER_hh_fec!H22/SER_hh_num!H22)</f>
        <v>27048.312619664175</v>
      </c>
      <c r="I22" s="133">
        <f>IF(SER_hh_fec!I22=0,0,11630*1000*SER_hh_fec!I22/SER_hh_num!I22)</f>
        <v>26237.596672103697</v>
      </c>
      <c r="J22" s="133">
        <f>IF(SER_hh_fec!J22=0,0,11630*1000*SER_hh_fec!J22/SER_hh_num!J22)</f>
        <v>27181.614561610404</v>
      </c>
      <c r="K22" s="133">
        <f>IF(SER_hh_fec!K22=0,0,11630*1000*SER_hh_fec!K22/SER_hh_num!K22)</f>
        <v>27599.546478399297</v>
      </c>
      <c r="L22" s="133">
        <f>IF(SER_hh_fec!L22=0,0,11630*1000*SER_hh_fec!L22/SER_hh_num!L22)</f>
        <v>26488.111268911583</v>
      </c>
      <c r="M22" s="133">
        <f>IF(SER_hh_fec!M22=0,0,11630*1000*SER_hh_fec!M22/SER_hh_num!M22)</f>
        <v>25405.084891840441</v>
      </c>
      <c r="N22" s="133">
        <f>IF(SER_hh_fec!N22=0,0,11630*1000*SER_hh_fec!N22/SER_hh_num!N22)</f>
        <v>27417.799304052827</v>
      </c>
      <c r="O22" s="133">
        <f>IF(SER_hh_fec!O22=0,0,11630*1000*SER_hh_fec!O22/SER_hh_num!O22)</f>
        <v>26751.156603289419</v>
      </c>
      <c r="P22" s="133">
        <f>IF(SER_hh_fec!P22=0,0,11630*1000*SER_hh_fec!P22/SER_hh_num!P22)</f>
        <v>26114.400876623946</v>
      </c>
      <c r="Q22" s="133">
        <f>IF(SER_hh_fec!Q22=0,0,11630*1000*SER_hh_fec!Q22/SER_hh_num!Q22)</f>
        <v>27601.082273514148</v>
      </c>
      <c r="R22" s="133">
        <f>IF(SER_hh_fec!R22=0,0,11630*1000*SER_hh_fec!R22/SER_hh_num!R22)</f>
        <v>24860.200239927282</v>
      </c>
      <c r="S22" s="133">
        <f>IF(SER_hh_fec!S22=0,0,11630*1000*SER_hh_fec!S22/SER_hh_num!S22)</f>
        <v>26468.690639756576</v>
      </c>
      <c r="T22" s="133">
        <f>IF(SER_hh_fec!T22=0,0,11630*1000*SER_hh_fec!T22/SER_hh_num!T22)</f>
        <v>25093.945179202754</v>
      </c>
      <c r="U22" s="133">
        <f>IF(SER_hh_fec!U22=0,0,11630*1000*SER_hh_fec!U22/SER_hh_num!U22)</f>
        <v>24101.785119826167</v>
      </c>
      <c r="V22" s="133">
        <f>IF(SER_hh_fec!V22=0,0,11630*1000*SER_hh_fec!V22/SER_hh_num!V22)</f>
        <v>23437.285814224102</v>
      </c>
      <c r="W22" s="133">
        <f>IF(SER_hh_fec!W22=0,0,11630*1000*SER_hh_fec!W22/SER_hh_num!W22)</f>
        <v>22141.980792305108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27806.005482238052</v>
      </c>
      <c r="C23" s="133">
        <f>IF(SER_hh_fec!C23=0,0,11630*1000*SER_hh_fec!C23/SER_hh_num!C23)</f>
        <v>27347.987674221011</v>
      </c>
      <c r="D23" s="133">
        <f>IF(SER_hh_fec!D23=0,0,11630*1000*SER_hh_fec!D23/SER_hh_num!D23)</f>
        <v>26791.718661140432</v>
      </c>
      <c r="E23" s="133">
        <f>IF(SER_hh_fec!E23=0,0,11630*1000*SER_hh_fec!E23/SER_hh_num!E23)</f>
        <v>26969.59031302615</v>
      </c>
      <c r="F23" s="133">
        <f>IF(SER_hh_fec!F23=0,0,11630*1000*SER_hh_fec!F23/SER_hh_num!F23)</f>
        <v>27042.575369580394</v>
      </c>
      <c r="G23" s="133">
        <f>IF(SER_hh_fec!G23=0,0,11630*1000*SER_hh_fec!G23/SER_hh_num!G23)</f>
        <v>25834.852816572311</v>
      </c>
      <c r="H23" s="133">
        <f>IF(SER_hh_fec!H23=0,0,11630*1000*SER_hh_fec!H23/SER_hh_num!H23)</f>
        <v>25067.643531643651</v>
      </c>
      <c r="I23" s="133">
        <f>IF(SER_hh_fec!I23=0,0,11630*1000*SER_hh_fec!I23/SER_hh_num!I23)</f>
        <v>24980.353402123459</v>
      </c>
      <c r="J23" s="133">
        <f>IF(SER_hh_fec!J23=0,0,11630*1000*SER_hh_fec!J23/SER_hh_num!J23)</f>
        <v>24322.396299783803</v>
      </c>
      <c r="K23" s="133">
        <f>IF(SER_hh_fec!K23=0,0,11630*1000*SER_hh_fec!K23/SER_hh_num!K23)</f>
        <v>25634.562010636619</v>
      </c>
      <c r="L23" s="133">
        <f>IF(SER_hh_fec!L23=0,0,11630*1000*SER_hh_fec!L23/SER_hh_num!L23)</f>
        <v>24404.024758346925</v>
      </c>
      <c r="M23" s="133">
        <f>IF(SER_hh_fec!M23=0,0,11630*1000*SER_hh_fec!M23/SER_hh_num!M23)</f>
        <v>26593.981243816132</v>
      </c>
      <c r="N23" s="133">
        <f>IF(SER_hh_fec!N23=0,0,11630*1000*SER_hh_fec!N23/SER_hh_num!N23)</f>
        <v>20341.59436147708</v>
      </c>
      <c r="O23" s="133">
        <f>IF(SER_hh_fec!O23=0,0,11630*1000*SER_hh_fec!O23/SER_hh_num!O23)</f>
        <v>22271.587811524765</v>
      </c>
      <c r="P23" s="133">
        <f>IF(SER_hh_fec!P23=0,0,11630*1000*SER_hh_fec!P23/SER_hh_num!P23)</f>
        <v>23374.713196341156</v>
      </c>
      <c r="Q23" s="133">
        <f>IF(SER_hh_fec!Q23=0,0,11630*1000*SER_hh_fec!Q23/SER_hh_num!Q23)</f>
        <v>22957.984553925871</v>
      </c>
      <c r="R23" s="133">
        <f>IF(SER_hh_fec!R23=0,0,11630*1000*SER_hh_fec!R23/SER_hh_num!R23)</f>
        <v>24306.521383387531</v>
      </c>
      <c r="S23" s="133">
        <f>IF(SER_hh_fec!S23=0,0,11630*1000*SER_hh_fec!S23/SER_hh_num!S23)</f>
        <v>22740.697409160592</v>
      </c>
      <c r="T23" s="133">
        <f>IF(SER_hh_fec!T23=0,0,11630*1000*SER_hh_fec!T23/SER_hh_num!T23)</f>
        <v>22559.328280728296</v>
      </c>
      <c r="U23" s="133">
        <f>IF(SER_hh_fec!U23=0,0,11630*1000*SER_hh_fec!U23/SER_hh_num!U23)</f>
        <v>21687.792080866886</v>
      </c>
      <c r="V23" s="133">
        <f>IF(SER_hh_fec!V23=0,0,11630*1000*SER_hh_fec!V23/SER_hh_num!V23)</f>
        <v>19028.910865214675</v>
      </c>
      <c r="W23" s="133">
        <f>IF(SER_hh_fec!W23=0,0,11630*1000*SER_hh_fec!W23/SER_hh_num!W23)</f>
        <v>23085.266760478877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31834.292933430432</v>
      </c>
      <c r="C24" s="133">
        <f>IF(SER_hh_fec!C24=0,0,11630*1000*SER_hh_fec!C24/SER_hh_num!C24)</f>
        <v>30388.909195943728</v>
      </c>
      <c r="D24" s="133">
        <f>IF(SER_hh_fec!D24=0,0,11630*1000*SER_hh_fec!D24/SER_hh_num!D24)</f>
        <v>29448.921425409037</v>
      </c>
      <c r="E24" s="133">
        <f>IF(SER_hh_fec!E24=0,0,11630*1000*SER_hh_fec!E24/SER_hh_num!E24)</f>
        <v>28450.231190245453</v>
      </c>
      <c r="F24" s="133">
        <f>IF(SER_hh_fec!F24=0,0,11630*1000*SER_hh_fec!F24/SER_hh_num!F24)</f>
        <v>28530.063316342923</v>
      </c>
      <c r="G24" s="133">
        <f>IF(SER_hh_fec!G24=0,0,11630*1000*SER_hh_fec!G24/SER_hh_num!G24)</f>
        <v>26801.780175602209</v>
      </c>
      <c r="H24" s="133">
        <f>IF(SER_hh_fec!H24=0,0,11630*1000*SER_hh_fec!H24/SER_hh_num!H24)</f>
        <v>24735.132771046137</v>
      </c>
      <c r="I24" s="133">
        <f>IF(SER_hh_fec!I24=0,0,11630*1000*SER_hh_fec!I24/SER_hh_num!I24)</f>
        <v>26180.611227107744</v>
      </c>
      <c r="J24" s="133">
        <f>IF(SER_hh_fec!J24=0,0,11630*1000*SER_hh_fec!J24/SER_hh_num!J24)</f>
        <v>24089.121293343014</v>
      </c>
      <c r="K24" s="133">
        <f>IF(SER_hh_fec!K24=0,0,11630*1000*SER_hh_fec!K24/SER_hh_num!K24)</f>
        <v>25426.420903148264</v>
      </c>
      <c r="L24" s="133">
        <f>IF(SER_hh_fec!L24=0,0,11630*1000*SER_hh_fec!L24/SER_hh_num!L24)</f>
        <v>27844.902853111311</v>
      </c>
      <c r="M24" s="133">
        <f>IF(SER_hh_fec!M24=0,0,11630*1000*SER_hh_fec!M24/SER_hh_num!M24)</f>
        <v>19162.197579934851</v>
      </c>
      <c r="N24" s="133">
        <f>IF(SER_hh_fec!N24=0,0,11630*1000*SER_hh_fec!N24/SER_hh_num!N24)</f>
        <v>21097.416162154408</v>
      </c>
      <c r="O24" s="133">
        <f>IF(SER_hh_fec!O24=0,0,11630*1000*SER_hh_fec!O24/SER_hh_num!O24)</f>
        <v>27008.67185938315</v>
      </c>
      <c r="P24" s="133">
        <f>IF(SER_hh_fec!P24=0,0,11630*1000*SER_hh_fec!P24/SER_hh_num!P24)</f>
        <v>23086.935681385861</v>
      </c>
      <c r="Q24" s="133">
        <f>IF(SER_hh_fec!Q24=0,0,11630*1000*SER_hh_fec!Q24/SER_hh_num!Q24)</f>
        <v>20225.587930251029</v>
      </c>
      <c r="R24" s="133">
        <f>IF(SER_hh_fec!R24=0,0,11630*1000*SER_hh_fec!R24/SER_hh_num!R24)</f>
        <v>22753.328490241533</v>
      </c>
      <c r="S24" s="133">
        <f>IF(SER_hh_fec!S24=0,0,11630*1000*SER_hh_fec!S24/SER_hh_num!S24)</f>
        <v>22544.722404932611</v>
      </c>
      <c r="T24" s="133">
        <f>IF(SER_hh_fec!T24=0,0,11630*1000*SER_hh_fec!T24/SER_hh_num!T24)</f>
        <v>20939.254877158895</v>
      </c>
      <c r="U24" s="133">
        <f>IF(SER_hh_fec!U24=0,0,11630*1000*SER_hh_fec!U24/SER_hh_num!U24)</f>
        <v>20030.020704616796</v>
      </c>
      <c r="V24" s="133">
        <f>IF(SER_hh_fec!V24=0,0,11630*1000*SER_hh_fec!V24/SER_hh_num!V24)</f>
        <v>19083.009535325535</v>
      </c>
      <c r="W24" s="133">
        <f>IF(SER_hh_fec!W24=0,0,11630*1000*SER_hh_fec!W24/SER_hh_num!W24)</f>
        <v>20325.053958806624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18362.663528396508</v>
      </c>
      <c r="C25" s="133">
        <f>IF(SER_hh_fec!C25=0,0,11630*1000*SER_hh_fec!C25/SER_hh_num!C25)</f>
        <v>18578.427132298853</v>
      </c>
      <c r="D25" s="133">
        <f>IF(SER_hh_fec!D25=0,0,11630*1000*SER_hh_fec!D25/SER_hh_num!D25)</f>
        <v>18014.266157931892</v>
      </c>
      <c r="E25" s="133">
        <f>IF(SER_hh_fec!E25=0,0,11630*1000*SER_hh_fec!E25/SER_hh_num!E25)</f>
        <v>18015.176096824569</v>
      </c>
      <c r="F25" s="133">
        <f>IF(SER_hh_fec!F25=0,0,11630*1000*SER_hh_fec!F25/SER_hh_num!F25)</f>
        <v>18266.550965219849</v>
      </c>
      <c r="G25" s="133">
        <f>IF(SER_hh_fec!G25=0,0,11630*1000*SER_hh_fec!G25/SER_hh_num!G25)</f>
        <v>18967.364744007533</v>
      </c>
      <c r="H25" s="133">
        <f>IF(SER_hh_fec!H25=0,0,11630*1000*SER_hh_fec!H25/SER_hh_num!H25)</f>
        <v>20675.318298510436</v>
      </c>
      <c r="I25" s="133">
        <f>IF(SER_hh_fec!I25=0,0,11630*1000*SER_hh_fec!I25/SER_hh_num!I25)</f>
        <v>13198.99923995125</v>
      </c>
      <c r="J25" s="133">
        <f>IF(SER_hh_fec!J25=0,0,11630*1000*SER_hh_fec!J25/SER_hh_num!J25)</f>
        <v>16348.897137125512</v>
      </c>
      <c r="K25" s="133">
        <f>IF(SER_hh_fec!K25=0,0,11630*1000*SER_hh_fec!K25/SER_hh_num!K25)</f>
        <v>19521.88115729373</v>
      </c>
      <c r="L25" s="133">
        <f>IF(SER_hh_fec!L25=0,0,11630*1000*SER_hh_fec!L25/SER_hh_num!L25)</f>
        <v>17458.01122787064</v>
      </c>
      <c r="M25" s="133">
        <f>IF(SER_hh_fec!M25=0,0,11630*1000*SER_hh_fec!M25/SER_hh_num!M25)</f>
        <v>16261.447208215606</v>
      </c>
      <c r="N25" s="133">
        <f>IF(SER_hh_fec!N25=0,0,11630*1000*SER_hh_fec!N25/SER_hh_num!N25)</f>
        <v>18934.326276183863</v>
      </c>
      <c r="O25" s="133">
        <f>IF(SER_hh_fec!O25=0,0,11630*1000*SER_hh_fec!O25/SER_hh_num!O25)</f>
        <v>19107.802622818155</v>
      </c>
      <c r="P25" s="133">
        <f>IF(SER_hh_fec!P25=0,0,11630*1000*SER_hh_fec!P25/SER_hh_num!P25)</f>
        <v>17031.720710175621</v>
      </c>
      <c r="Q25" s="133">
        <f>IF(SER_hh_fec!Q25=0,0,11630*1000*SER_hh_fec!Q25/SER_hh_num!Q25)</f>
        <v>17631.973198790187</v>
      </c>
      <c r="R25" s="133">
        <f>IF(SER_hh_fec!R25=0,0,11630*1000*SER_hh_fec!R25/SER_hh_num!R25)</f>
        <v>18395.224246600061</v>
      </c>
      <c r="S25" s="133">
        <f>IF(SER_hh_fec!S25=0,0,11630*1000*SER_hh_fec!S25/SER_hh_num!S25)</f>
        <v>17343.282256105616</v>
      </c>
      <c r="T25" s="133">
        <f>IF(SER_hh_fec!T25=0,0,11630*1000*SER_hh_fec!T25/SER_hh_num!T25)</f>
        <v>19086.140172683037</v>
      </c>
      <c r="U25" s="133">
        <f>IF(SER_hh_fec!U25=0,0,11630*1000*SER_hh_fec!U25/SER_hh_num!U25)</f>
        <v>17614.516786836615</v>
      </c>
      <c r="V25" s="133">
        <f>IF(SER_hh_fec!V25=0,0,11630*1000*SER_hh_fec!V25/SER_hh_num!V25)</f>
        <v>17295.840558573997</v>
      </c>
      <c r="W25" s="133">
        <f>IF(SER_hh_fec!W25=0,0,11630*1000*SER_hh_fec!W25/SER_hh_num!W25)</f>
        <v>15629.773776437432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22861.293519833322</v>
      </c>
      <c r="C26" s="65">
        <f>IF(SER_hh_fec!C26=0,0,11630*1000*SER_hh_fec!C26/SER_hh_num!C26)</f>
        <v>22105.614881514779</v>
      </c>
      <c r="D26" s="65">
        <f>IF(SER_hh_fec!D26=0,0,11630*1000*SER_hh_fec!D26/SER_hh_num!D26)</f>
        <v>22258.940534396461</v>
      </c>
      <c r="E26" s="65">
        <f>IF(SER_hh_fec!E26=0,0,11630*1000*SER_hh_fec!E26/SER_hh_num!E26)</f>
        <v>21173.079458547058</v>
      </c>
      <c r="F26" s="65">
        <f>IF(SER_hh_fec!F26=0,0,11630*1000*SER_hh_fec!F26/SER_hh_num!F26)</f>
        <v>21961.151959714065</v>
      </c>
      <c r="G26" s="65">
        <f>IF(SER_hh_fec!G26=0,0,11630*1000*SER_hh_fec!G26/SER_hh_num!G26)</f>
        <v>21646.48801897579</v>
      </c>
      <c r="H26" s="65">
        <f>IF(SER_hh_fec!H26=0,0,11630*1000*SER_hh_fec!H26/SER_hh_num!H26)</f>
        <v>20935.628370432147</v>
      </c>
      <c r="I26" s="65">
        <f>IF(SER_hh_fec!I26=0,0,11630*1000*SER_hh_fec!I26/SER_hh_num!I26)</f>
        <v>21329.407899710204</v>
      </c>
      <c r="J26" s="65">
        <f>IF(SER_hh_fec!J26=0,0,11630*1000*SER_hh_fec!J26/SER_hh_num!J26)</f>
        <v>21459.732260747056</v>
      </c>
      <c r="K26" s="65">
        <f>IF(SER_hh_fec!K26=0,0,11630*1000*SER_hh_fec!K26/SER_hh_num!K26)</f>
        <v>21179.58213880637</v>
      </c>
      <c r="L26" s="65">
        <f>IF(SER_hh_fec!L26=0,0,11630*1000*SER_hh_fec!L26/SER_hh_num!L26)</f>
        <v>21464.737368969996</v>
      </c>
      <c r="M26" s="65">
        <f>IF(SER_hh_fec!M26=0,0,11630*1000*SER_hh_fec!M26/SER_hh_num!M26)</f>
        <v>21028.008799379051</v>
      </c>
      <c r="N26" s="65">
        <f>IF(SER_hh_fec!N26=0,0,11630*1000*SER_hh_fec!N26/SER_hh_num!N26)</f>
        <v>21918.667289875957</v>
      </c>
      <c r="O26" s="65">
        <f>IF(SER_hh_fec!O26=0,0,11630*1000*SER_hh_fec!O26/SER_hh_num!O26)</f>
        <v>21526.386489159682</v>
      </c>
      <c r="P26" s="65">
        <f>IF(SER_hh_fec!P26=0,0,11630*1000*SER_hh_fec!P26/SER_hh_num!P26)</f>
        <v>21317.783511054513</v>
      </c>
      <c r="Q26" s="65">
        <f>IF(SER_hh_fec!Q26=0,0,11630*1000*SER_hh_fec!Q26/SER_hh_num!Q26)</f>
        <v>21088.919592406353</v>
      </c>
      <c r="R26" s="65">
        <f>IF(SER_hh_fec!R26=0,0,11630*1000*SER_hh_fec!R26/SER_hh_num!R26)</f>
        <v>21072.045587817567</v>
      </c>
      <c r="S26" s="65">
        <f>IF(SER_hh_fec!S26=0,0,11630*1000*SER_hh_fec!S26/SER_hh_num!S26)</f>
        <v>20618.781985985745</v>
      </c>
      <c r="T26" s="65">
        <f>IF(SER_hh_fec!T26=0,0,11630*1000*SER_hh_fec!T26/SER_hh_num!T26)</f>
        <v>20954.847429175621</v>
      </c>
      <c r="U26" s="65">
        <f>IF(SER_hh_fec!U26=0,0,11630*1000*SER_hh_fec!U26/SER_hh_num!U26)</f>
        <v>19993.034512140148</v>
      </c>
      <c r="V26" s="65">
        <f>IF(SER_hh_fec!V26=0,0,11630*1000*SER_hh_fec!V26/SER_hh_num!V26)</f>
        <v>17990.525557945104</v>
      </c>
      <c r="W26" s="65">
        <f>IF(SER_hh_fec!W26=0,0,11630*1000*SER_hh_fec!W26/SER_hh_num!W26)</f>
        <v>18870.707955137292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20.68161562976703</v>
      </c>
      <c r="H27" s="146">
        <f>IF(SER_hh_fec!H27=0,0,11630*1000*SER_hh_fec!H27/SER_hh_num!H19)</f>
        <v>20.9267197432915</v>
      </c>
      <c r="I27" s="146">
        <f>IF(SER_hh_fec!I27=0,0,11630*1000*SER_hh_fec!I27/SER_hh_num!I19)</f>
        <v>23.257564178120699</v>
      </c>
      <c r="J27" s="146">
        <f>IF(SER_hh_fec!J27=0,0,11630*1000*SER_hh_fec!J27/SER_hh_num!J19)</f>
        <v>27.723784358406466</v>
      </c>
      <c r="K27" s="146">
        <f>IF(SER_hh_fec!K27=0,0,11630*1000*SER_hh_fec!K27/SER_hh_num!K19)</f>
        <v>32.04628702178276</v>
      </c>
      <c r="L27" s="146">
        <f>IF(SER_hh_fec!L27=0,0,11630*1000*SER_hh_fec!L27/SER_hh_num!L19)</f>
        <v>36.641252401254171</v>
      </c>
      <c r="M27" s="146">
        <f>IF(SER_hh_fec!M27=0,0,11630*1000*SER_hh_fec!M27/SER_hh_num!M19)</f>
        <v>58.556589270883883</v>
      </c>
      <c r="N27" s="146">
        <f>IF(SER_hh_fec!N27=0,0,11630*1000*SER_hh_fec!N27/SER_hh_num!N19)</f>
        <v>93.642724564414138</v>
      </c>
      <c r="O27" s="146">
        <f>IF(SER_hh_fec!O27=0,0,11630*1000*SER_hh_fec!O27/SER_hh_num!O19)</f>
        <v>106.89358340969514</v>
      </c>
      <c r="P27" s="146">
        <f>IF(SER_hh_fec!P27=0,0,11630*1000*SER_hh_fec!P27/SER_hh_num!P19)</f>
        <v>114.30984789015758</v>
      </c>
      <c r="Q27" s="146">
        <f>IF(SER_hh_fec!Q27=0,0,11630*1000*SER_hh_fec!Q27/SER_hh_num!Q19)</f>
        <v>121.76957356844855</v>
      </c>
      <c r="R27" s="146">
        <f>IF(SER_hh_fec!R27=0,0,11630*1000*SER_hh_fec!R27/SER_hh_num!R19)</f>
        <v>126.26070806662095</v>
      </c>
      <c r="S27" s="146">
        <f>IF(SER_hh_fec!S27=0,0,11630*1000*SER_hh_fec!S27/SER_hh_num!S19)</f>
        <v>129.31740487410838</v>
      </c>
      <c r="T27" s="146">
        <f>IF(SER_hh_fec!T27=0,0,11630*1000*SER_hh_fec!T27/SER_hh_num!T19)</f>
        <v>131.41095471996931</v>
      </c>
      <c r="U27" s="146">
        <f>IF(SER_hh_fec!U27=0,0,11630*1000*SER_hh_fec!U27/SER_hh_num!U19)</f>
        <v>134.2088073448349</v>
      </c>
      <c r="V27" s="146">
        <f>IF(SER_hh_fec!V27=0,0,11630*1000*SER_hh_fec!V27/SER_hh_num!V19)</f>
        <v>134.86709811434073</v>
      </c>
      <c r="W27" s="146">
        <f>IF(SER_hh_fec!W27=0,0,11630*1000*SER_hh_fec!W27/SER_hh_num!W19)</f>
        <v>133.27694441151488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11616.762367470672</v>
      </c>
      <c r="H28" s="147">
        <f>IF(SER_hh_fec!H27=0,0,11630*1000*SER_hh_fec!H27/SER_hh_num!H27)</f>
        <v>11559.414280550274</v>
      </c>
      <c r="I28" s="147">
        <f>IF(SER_hh_fec!I27=0,0,11630*1000*SER_hh_fec!I27/SER_hh_num!I27)</f>
        <v>10809.569964276434</v>
      </c>
      <c r="J28" s="147">
        <f>IF(SER_hh_fec!J27=0,0,11630*1000*SER_hh_fec!J27/SER_hh_num!J27)</f>
        <v>11302.016407493935</v>
      </c>
      <c r="K28" s="147">
        <f>IF(SER_hh_fec!K27=0,0,11630*1000*SER_hh_fec!K27/SER_hh_num!K27)</f>
        <v>11814.016501075721</v>
      </c>
      <c r="L28" s="147">
        <f>IF(SER_hh_fec!L27=0,0,11630*1000*SER_hh_fec!L27/SER_hh_num!L27)</f>
        <v>8190.9019169830917</v>
      </c>
      <c r="M28" s="147">
        <f>IF(SER_hh_fec!M27=0,0,11630*1000*SER_hh_fec!M27/SER_hh_num!M27)</f>
        <v>11948.283753718248</v>
      </c>
      <c r="N28" s="147">
        <f>IF(SER_hh_fec!N27=0,0,11630*1000*SER_hh_fec!N27/SER_hh_num!N27)</f>
        <v>11308.850313871237</v>
      </c>
      <c r="O28" s="147">
        <f>IF(SER_hh_fec!O27=0,0,11630*1000*SER_hh_fec!O27/SER_hh_num!O27)</f>
        <v>11311.698820756734</v>
      </c>
      <c r="P28" s="147">
        <f>IF(SER_hh_fec!P27=0,0,11630*1000*SER_hh_fec!P27/SER_hh_num!P27)</f>
        <v>12428.588443104767</v>
      </c>
      <c r="Q28" s="147">
        <f>IF(SER_hh_fec!Q27=0,0,11630*1000*SER_hh_fec!Q27/SER_hh_num!Q27)</f>
        <v>12084.696805368403</v>
      </c>
      <c r="R28" s="147">
        <f>IF(SER_hh_fec!R27=0,0,11630*1000*SER_hh_fec!R27/SER_hh_num!R27)</f>
        <v>12449.55933000707</v>
      </c>
      <c r="S28" s="147">
        <f>IF(SER_hh_fec!S27=0,0,11630*1000*SER_hh_fec!S27/SER_hh_num!S27)</f>
        <v>12038.142876760568</v>
      </c>
      <c r="T28" s="147">
        <f>IF(SER_hh_fec!T27=0,0,11630*1000*SER_hh_fec!T27/SER_hh_num!T27)</f>
        <v>12274.971228987255</v>
      </c>
      <c r="U28" s="147">
        <f>IF(SER_hh_fec!U27=0,0,11630*1000*SER_hh_fec!U27/SER_hh_num!U27)</f>
        <v>12230.517800253418</v>
      </c>
      <c r="V28" s="147">
        <f>IF(SER_hh_fec!V27=0,0,11630*1000*SER_hh_fec!V27/SER_hh_num!V27)</f>
        <v>11241.572637979556</v>
      </c>
      <c r="W28" s="147">
        <f>IF(SER_hh_fec!W27=0,0,11630*1000*SER_hh_fec!W27/SER_hh_num!W27)</f>
        <v>12005.264340620026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21343.214717632873</v>
      </c>
      <c r="C29" s="131">
        <f>IF(SER_hh_fec!C29=0,0,11630*1000*SER_hh_fec!C29/SER_hh_num!C29)</f>
        <v>20758.820579255313</v>
      </c>
      <c r="D29" s="131">
        <f>IF(SER_hh_fec!D29=0,0,11630*1000*SER_hh_fec!D29/SER_hh_num!D29)</f>
        <v>21570.07031466124</v>
      </c>
      <c r="E29" s="131">
        <f>IF(SER_hh_fec!E29=0,0,11630*1000*SER_hh_fec!E29/SER_hh_num!E29)</f>
        <v>21431.120627956621</v>
      </c>
      <c r="F29" s="131">
        <f>IF(SER_hh_fec!F29=0,0,11630*1000*SER_hh_fec!F29/SER_hh_num!F29)</f>
        <v>21839.91719594461</v>
      </c>
      <c r="G29" s="131">
        <f>IF(SER_hh_fec!G29=0,0,11630*1000*SER_hh_fec!G29/SER_hh_num!G29)</f>
        <v>20753.873164668337</v>
      </c>
      <c r="H29" s="131">
        <f>IF(SER_hh_fec!H29=0,0,11630*1000*SER_hh_fec!H29/SER_hh_num!H29)</f>
        <v>20357.671465576212</v>
      </c>
      <c r="I29" s="131">
        <f>IF(SER_hh_fec!I29=0,0,11630*1000*SER_hh_fec!I29/SER_hh_num!I29)</f>
        <v>20601.99126571618</v>
      </c>
      <c r="J29" s="131">
        <f>IF(SER_hh_fec!J29=0,0,11630*1000*SER_hh_fec!J29/SER_hh_num!J29)</f>
        <v>20872.696876724836</v>
      </c>
      <c r="K29" s="131">
        <f>IF(SER_hh_fec!K29=0,0,11630*1000*SER_hh_fec!K29/SER_hh_num!K29)</f>
        <v>21860.81372428163</v>
      </c>
      <c r="L29" s="131">
        <f>IF(SER_hh_fec!L29=0,0,11630*1000*SER_hh_fec!L29/SER_hh_num!L29)</f>
        <v>22133.043319943259</v>
      </c>
      <c r="M29" s="131">
        <f>IF(SER_hh_fec!M29=0,0,11630*1000*SER_hh_fec!M29/SER_hh_num!M29)</f>
        <v>22157.458778877201</v>
      </c>
      <c r="N29" s="131">
        <f>IF(SER_hh_fec!N29=0,0,11630*1000*SER_hh_fec!N29/SER_hh_num!N29)</f>
        <v>22019.376643011979</v>
      </c>
      <c r="O29" s="131">
        <f>IF(SER_hh_fec!O29=0,0,11630*1000*SER_hh_fec!O29/SER_hh_num!O29)</f>
        <v>22120.606757080754</v>
      </c>
      <c r="P29" s="131">
        <f>IF(SER_hh_fec!P29=0,0,11630*1000*SER_hh_fec!P29/SER_hh_num!P29)</f>
        <v>22291.39196970213</v>
      </c>
      <c r="Q29" s="131">
        <f>IF(SER_hh_fec!Q29=0,0,11630*1000*SER_hh_fec!Q29/SER_hh_num!Q29)</f>
        <v>22599.146527597673</v>
      </c>
      <c r="R29" s="131">
        <f>IF(SER_hh_fec!R29=0,0,11630*1000*SER_hh_fec!R29/SER_hh_num!R29)</f>
        <v>22717.57123810233</v>
      </c>
      <c r="S29" s="131">
        <f>IF(SER_hh_fec!S29=0,0,11630*1000*SER_hh_fec!S29/SER_hh_num!S29)</f>
        <v>22633.279296922254</v>
      </c>
      <c r="T29" s="131">
        <f>IF(SER_hh_fec!T29=0,0,11630*1000*SER_hh_fec!T29/SER_hh_num!T29)</f>
        <v>22369.152562317297</v>
      </c>
      <c r="U29" s="131">
        <f>IF(SER_hh_fec!U29=0,0,11630*1000*SER_hh_fec!U29/SER_hh_num!U29)</f>
        <v>22229.892560367363</v>
      </c>
      <c r="V29" s="131">
        <f>IF(SER_hh_fec!V29=0,0,11630*1000*SER_hh_fec!V29/SER_hh_num!V29)</f>
        <v>20173.201007692089</v>
      </c>
      <c r="W29" s="131">
        <f>IF(SER_hh_fec!W29=0,0,11630*1000*SER_hh_fec!W29/SER_hh_num!W29)</f>
        <v>22118.610821627059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32109.858928364363</v>
      </c>
      <c r="C30" s="133">
        <f>IF(SER_hh_fec!C30=0,0,11630*1000*SER_hh_fec!C30/SER_hh_num!C30)</f>
        <v>10965.934182341836</v>
      </c>
      <c r="D30" s="133">
        <f>IF(SER_hh_fec!D30=0,0,11630*1000*SER_hh_fec!D30/SER_hh_num!D30)</f>
        <v>26656.096516849389</v>
      </c>
      <c r="E30" s="133">
        <f>IF(SER_hh_fec!E30=0,0,11630*1000*SER_hh_fec!E30/SER_hh_num!E30)</f>
        <v>26286.856212658309</v>
      </c>
      <c r="F30" s="133">
        <f>IF(SER_hh_fec!F30=0,0,11630*1000*SER_hh_fec!F30/SER_hh_num!F30)</f>
        <v>28807.978686670307</v>
      </c>
      <c r="G30" s="133">
        <f>IF(SER_hh_fec!G30=0,0,11630*1000*SER_hh_fec!G30/SER_hh_num!G30)</f>
        <v>23723.509685439232</v>
      </c>
      <c r="H30" s="133">
        <f>IF(SER_hh_fec!H30=0,0,11630*1000*SER_hh_fec!H30/SER_hh_num!H30)</f>
        <v>21085.766848225521</v>
      </c>
      <c r="I30" s="133">
        <f>IF(SER_hh_fec!I30=0,0,11630*1000*SER_hh_fec!I30/SER_hh_num!I30)</f>
        <v>23632.885308460645</v>
      </c>
      <c r="J30" s="133">
        <f>IF(SER_hh_fec!J30=0,0,11630*1000*SER_hh_fec!J30/SER_hh_num!J30)</f>
        <v>26042.06955126721</v>
      </c>
      <c r="K30" s="133">
        <f>IF(SER_hh_fec!K30=0,0,11630*1000*SER_hh_fec!K30/SER_hh_num!K30)</f>
        <v>24920.772200205858</v>
      </c>
      <c r="L30" s="133">
        <f>IF(SER_hh_fec!L30=0,0,11630*1000*SER_hh_fec!L30/SER_hh_num!L30)</f>
        <v>27111.094236387649</v>
      </c>
      <c r="M30" s="133">
        <f>IF(SER_hh_fec!M30=0,0,11630*1000*SER_hh_fec!M30/SER_hh_num!M30)</f>
        <v>27552.824068857713</v>
      </c>
      <c r="N30" s="133">
        <f>IF(SER_hh_fec!N30=0,0,11630*1000*SER_hh_fec!N30/SER_hh_num!N30)</f>
        <v>25533.813402159205</v>
      </c>
      <c r="O30" s="133">
        <f>IF(SER_hh_fec!O30=0,0,11630*1000*SER_hh_fec!O30/SER_hh_num!O30)</f>
        <v>23923.508492411747</v>
      </c>
      <c r="P30" s="133">
        <f>IF(SER_hh_fec!P30=0,0,11630*1000*SER_hh_fec!P30/SER_hh_num!P30)</f>
        <v>25048.672457041739</v>
      </c>
      <c r="Q30" s="133">
        <f>IF(SER_hh_fec!Q30=0,0,11630*1000*SER_hh_fec!Q30/SER_hh_num!Q30)</f>
        <v>27968.627130803718</v>
      </c>
      <c r="R30" s="133">
        <f>IF(SER_hh_fec!R30=0,0,11630*1000*SER_hh_fec!R30/SER_hh_num!R30)</f>
        <v>26405.167506246471</v>
      </c>
      <c r="S30" s="133">
        <f>IF(SER_hh_fec!S30=0,0,11630*1000*SER_hh_fec!S30/SER_hh_num!S30)</f>
        <v>29041.520937134745</v>
      </c>
      <c r="T30" s="133">
        <f>IF(SER_hh_fec!T30=0,0,11630*1000*SER_hh_fec!T30/SER_hh_num!T30)</f>
        <v>24486.560090247778</v>
      </c>
      <c r="U30" s="133">
        <f>IF(SER_hh_fec!U30=0,0,11630*1000*SER_hh_fec!U30/SER_hh_num!U30)</f>
        <v>28080.005986056851</v>
      </c>
      <c r="V30" s="133">
        <f>IF(SER_hh_fec!V30=0,0,11630*1000*SER_hh_fec!V30/SER_hh_num!V30)</f>
        <v>23562.515804311337</v>
      </c>
      <c r="W30" s="133">
        <f>IF(SER_hh_fec!W30=0,0,11630*1000*SER_hh_fec!W30/SER_hh_num!W30)</f>
        <v>26345.276212309305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24027.54835114587</v>
      </c>
      <c r="C31" s="133">
        <f>IF(SER_hh_fec!C31=0,0,11630*1000*SER_hh_fec!C31/SER_hh_num!C31)</f>
        <v>24022.103767817229</v>
      </c>
      <c r="D31" s="133">
        <f>IF(SER_hh_fec!D31=0,0,11630*1000*SER_hh_fec!D31/SER_hh_num!D31)</f>
        <v>23927.964677437394</v>
      </c>
      <c r="E31" s="133">
        <f>IF(SER_hh_fec!E31=0,0,11630*1000*SER_hh_fec!E31/SER_hh_num!E31)</f>
        <v>24868.209788913475</v>
      </c>
      <c r="F31" s="133">
        <f>IF(SER_hh_fec!F31=0,0,11630*1000*SER_hh_fec!F31/SER_hh_num!F31)</f>
        <v>26913.734131672991</v>
      </c>
      <c r="G31" s="133">
        <f>IF(SER_hh_fec!G31=0,0,11630*1000*SER_hh_fec!G31/SER_hh_num!G31)</f>
        <v>20845.655727751473</v>
      </c>
      <c r="H31" s="133">
        <f>IF(SER_hh_fec!H31=0,0,11630*1000*SER_hh_fec!H31/SER_hh_num!H31)</f>
        <v>22676.018507361139</v>
      </c>
      <c r="I31" s="133">
        <f>IF(SER_hh_fec!I31=0,0,11630*1000*SER_hh_fec!I31/SER_hh_num!I31)</f>
        <v>23655.346360172065</v>
      </c>
      <c r="J31" s="133">
        <f>IF(SER_hh_fec!J31=0,0,11630*1000*SER_hh_fec!J31/SER_hh_num!J31)</f>
        <v>22005.454705892542</v>
      </c>
      <c r="K31" s="133">
        <f>IF(SER_hh_fec!K31=0,0,11630*1000*SER_hh_fec!K31/SER_hh_num!K31)</f>
        <v>27699.54317766615</v>
      </c>
      <c r="L31" s="133">
        <f>IF(SER_hh_fec!L31=0,0,11630*1000*SER_hh_fec!L31/SER_hh_num!L31)</f>
        <v>25822.817308017347</v>
      </c>
      <c r="M31" s="133">
        <f>IF(SER_hh_fec!M31=0,0,11630*1000*SER_hh_fec!M31/SER_hh_num!M31)</f>
        <v>26111.474220276566</v>
      </c>
      <c r="N31" s="133">
        <f>IF(SER_hh_fec!N31=0,0,11630*1000*SER_hh_fec!N31/SER_hh_num!N31)</f>
        <v>24382.634139909027</v>
      </c>
      <c r="O31" s="133">
        <f>IF(SER_hh_fec!O31=0,0,11630*1000*SER_hh_fec!O31/SER_hh_num!O31)</f>
        <v>25631.291815041011</v>
      </c>
      <c r="P31" s="133">
        <f>IF(SER_hh_fec!P31=0,0,11630*1000*SER_hh_fec!P31/SER_hh_num!P31)</f>
        <v>26825.90723545499</v>
      </c>
      <c r="Q31" s="133">
        <f>IF(SER_hh_fec!Q31=0,0,11630*1000*SER_hh_fec!Q31/SER_hh_num!Q31)</f>
        <v>27456.16637713099</v>
      </c>
      <c r="R31" s="133">
        <f>IF(SER_hh_fec!R31=0,0,11630*1000*SER_hh_fec!R31/SER_hh_num!R31)</f>
        <v>26164.944562411583</v>
      </c>
      <c r="S31" s="133">
        <f>IF(SER_hh_fec!S31=0,0,11630*1000*SER_hh_fec!S31/SER_hh_num!S31)</f>
        <v>26565.400328946787</v>
      </c>
      <c r="T31" s="133">
        <f>IF(SER_hh_fec!T31=0,0,11630*1000*SER_hh_fec!T31/SER_hh_num!T31)</f>
        <v>26988.505357403821</v>
      </c>
      <c r="U31" s="133">
        <f>IF(SER_hh_fec!U31=0,0,11630*1000*SER_hh_fec!U31/SER_hh_num!U31)</f>
        <v>25642.848282823907</v>
      </c>
      <c r="V31" s="133">
        <f>IF(SER_hh_fec!V31=0,0,11630*1000*SER_hh_fec!V31/SER_hh_num!V31)</f>
        <v>22630.91272574613</v>
      </c>
      <c r="W31" s="133">
        <f>IF(SER_hh_fec!W31=0,0,11630*1000*SER_hh_fec!W31/SER_hh_num!W31)</f>
        <v>30246.622578100352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17020.700019605785</v>
      </c>
      <c r="C33" s="68">
        <f>IF(SER_hh_fec!C33=0,0,11630*1000*SER_hh_fec!C33/SER_hh_num!C33)</f>
        <v>20654.166169948367</v>
      </c>
      <c r="D33" s="68">
        <f>IF(SER_hh_fec!D33=0,0,11630*1000*SER_hh_fec!D33/SER_hh_num!D33)</f>
        <v>17845.784688590898</v>
      </c>
      <c r="E33" s="68">
        <f>IF(SER_hh_fec!E33=0,0,11630*1000*SER_hh_fec!E33/SER_hh_num!E33)</f>
        <v>16608.852437278565</v>
      </c>
      <c r="F33" s="68">
        <f>IF(SER_hh_fec!F33=0,0,11630*1000*SER_hh_fec!F33/SER_hh_num!F33)</f>
        <v>15477.036282945097</v>
      </c>
      <c r="G33" s="68">
        <f>IF(SER_hh_fec!G33=0,0,11630*1000*SER_hh_fec!G33/SER_hh_num!G33)</f>
        <v>19618.293947963997</v>
      </c>
      <c r="H33" s="68">
        <f>IF(SER_hh_fec!H33=0,0,11630*1000*SER_hh_fec!H33/SER_hh_num!H33)</f>
        <v>19251.839730965883</v>
      </c>
      <c r="I33" s="68">
        <f>IF(SER_hh_fec!I33=0,0,11630*1000*SER_hh_fec!I33/SER_hh_num!I33)</f>
        <v>18663.055849236254</v>
      </c>
      <c r="J33" s="68">
        <f>IF(SER_hh_fec!J33=0,0,11630*1000*SER_hh_fec!J33/SER_hh_num!J33)</f>
        <v>18903.490126185392</v>
      </c>
      <c r="K33" s="68">
        <f>IF(SER_hh_fec!K33=0,0,11630*1000*SER_hh_fec!K33/SER_hh_num!K33)</f>
        <v>18498.95856289961</v>
      </c>
      <c r="L33" s="68">
        <f>IF(SER_hh_fec!L33=0,0,11630*1000*SER_hh_fec!L33/SER_hh_num!L33)</f>
        <v>19068.93681265496</v>
      </c>
      <c r="M33" s="68">
        <f>IF(SER_hh_fec!M33=0,0,11630*1000*SER_hh_fec!M33/SER_hh_num!M33)</f>
        <v>19070.286631864026</v>
      </c>
      <c r="N33" s="68">
        <f>IF(SER_hh_fec!N33=0,0,11630*1000*SER_hh_fec!N33/SER_hh_num!N33)</f>
        <v>20302.776098991042</v>
      </c>
      <c r="O33" s="68">
        <f>IF(SER_hh_fec!O33=0,0,11630*1000*SER_hh_fec!O33/SER_hh_num!O33)</f>
        <v>20374.802773862437</v>
      </c>
      <c r="P33" s="68">
        <f>IF(SER_hh_fec!P33=0,0,11630*1000*SER_hh_fec!P33/SER_hh_num!P33)</f>
        <v>19894.028427719099</v>
      </c>
      <c r="Q33" s="68">
        <f>IF(SER_hh_fec!Q33=0,0,11630*1000*SER_hh_fec!Q33/SER_hh_num!Q33)</f>
        <v>19375.167793377139</v>
      </c>
      <c r="R33" s="68">
        <f>IF(SER_hh_fec!R33=0,0,11630*1000*SER_hh_fec!R33/SER_hh_num!R33)</f>
        <v>20465.666627019556</v>
      </c>
      <c r="S33" s="68">
        <f>IF(SER_hh_fec!S33=0,0,11630*1000*SER_hh_fec!S33/SER_hh_num!S33)</f>
        <v>19609.806630065632</v>
      </c>
      <c r="T33" s="68">
        <f>IF(SER_hh_fec!T33=0,0,11630*1000*SER_hh_fec!T33/SER_hh_num!T33)</f>
        <v>19918.223013810093</v>
      </c>
      <c r="U33" s="68">
        <f>IF(SER_hh_fec!U33=0,0,11630*1000*SER_hh_fec!U33/SER_hh_num!U33)</f>
        <v>19597.825178406383</v>
      </c>
      <c r="V33" s="68">
        <f>IF(SER_hh_fec!V33=0,0,11630*1000*SER_hh_fec!V33/SER_hh_num!V33)</f>
        <v>18390.239179536205</v>
      </c>
      <c r="W33" s="68">
        <f>IF(SER_hh_fec!W33=0,0,11630*1000*SER_hh_fec!W33/SER_hh_num!W33)</f>
        <v>17389.372362651993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126690.80395457757</v>
      </c>
      <c r="C3" s="126">
        <f>IF(SER_hh_tes!C3=0,0,11630*1000*SER_hh_tes!C3/SER_hh_num!C3)</f>
        <v>133457.9497228234</v>
      </c>
      <c r="D3" s="126">
        <f>IF(SER_hh_tes!D3=0,0,11630*1000*SER_hh_tes!D3/SER_hh_num!D3)</f>
        <v>126185.52408712285</v>
      </c>
      <c r="E3" s="126">
        <f>IF(SER_hh_tes!E3=0,0,11630*1000*SER_hh_tes!E3/SER_hh_num!E3)</f>
        <v>141293.28506517826</v>
      </c>
      <c r="F3" s="126">
        <f>IF(SER_hh_tes!F3=0,0,11630*1000*SER_hh_tes!F3/SER_hh_num!F3)</f>
        <v>139705.85061603878</v>
      </c>
      <c r="G3" s="126">
        <f>IF(SER_hh_tes!G3=0,0,11630*1000*SER_hh_tes!G3/SER_hh_num!G3)</f>
        <v>139588.29268805878</v>
      </c>
      <c r="H3" s="126">
        <f>IF(SER_hh_tes!H3=0,0,11630*1000*SER_hh_tes!H3/SER_hh_num!H3)</f>
        <v>135165.46744056419</v>
      </c>
      <c r="I3" s="126">
        <f>IF(SER_hh_tes!I3=0,0,11630*1000*SER_hh_tes!I3/SER_hh_num!I3)</f>
        <v>127112.81321274835</v>
      </c>
      <c r="J3" s="126">
        <f>IF(SER_hh_tes!J3=0,0,11630*1000*SER_hh_tes!J3/SER_hh_num!J3)</f>
        <v>127609.33650407546</v>
      </c>
      <c r="K3" s="126">
        <f>IF(SER_hh_tes!K3=0,0,11630*1000*SER_hh_tes!K3/SER_hh_num!K3)</f>
        <v>139015.97098172276</v>
      </c>
      <c r="L3" s="126">
        <f>IF(SER_hh_tes!L3=0,0,11630*1000*SER_hh_tes!L3/SER_hh_num!L3)</f>
        <v>148004.08417009481</v>
      </c>
      <c r="M3" s="126">
        <f>IF(SER_hh_tes!M3=0,0,11630*1000*SER_hh_tes!M3/SER_hh_num!M3)</f>
        <v>125801.32212649057</v>
      </c>
      <c r="N3" s="126">
        <f>IF(SER_hh_tes!N3=0,0,11630*1000*SER_hh_tes!N3/SER_hh_num!N3)</f>
        <v>137389.15008654015</v>
      </c>
      <c r="O3" s="126">
        <f>IF(SER_hh_tes!O3=0,0,11630*1000*SER_hh_tes!O3/SER_hh_num!O3)</f>
        <v>143056.83619184585</v>
      </c>
      <c r="P3" s="126">
        <f>IF(SER_hh_tes!P3=0,0,11630*1000*SER_hh_tes!P3/SER_hh_num!P3)</f>
        <v>126379.44984645613</v>
      </c>
      <c r="Q3" s="126">
        <f>IF(SER_hh_tes!Q3=0,0,11630*1000*SER_hh_tes!Q3/SER_hh_num!Q3)</f>
        <v>135816.28682935139</v>
      </c>
      <c r="R3" s="126">
        <f>IF(SER_hh_tes!R3=0,0,11630*1000*SER_hh_tes!R3/SER_hh_num!R3)</f>
        <v>135020.427148079</v>
      </c>
      <c r="S3" s="126">
        <f>IF(SER_hh_tes!S3=0,0,11630*1000*SER_hh_tes!S3/SER_hh_num!S3)</f>
        <v>138503.49867642019</v>
      </c>
      <c r="T3" s="126">
        <f>IF(SER_hh_tes!T3=0,0,11630*1000*SER_hh_tes!T3/SER_hh_num!T3)</f>
        <v>138895.52966254792</v>
      </c>
      <c r="U3" s="126">
        <f>IF(SER_hh_tes!U3=0,0,11630*1000*SER_hh_tes!U3/SER_hh_num!U3)</f>
        <v>136613.52907395782</v>
      </c>
      <c r="V3" s="126">
        <f>IF(SER_hh_tes!V3=0,0,11630*1000*SER_hh_tes!V3/SER_hh_num!V3)</f>
        <v>127710.19399461959</v>
      </c>
      <c r="W3" s="126">
        <f>IF(SER_hh_tes!W3=0,0,11630*1000*SER_hh_tes!W3/SER_hh_num!W3)</f>
        <v>136956.59334576156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90987.270790335708</v>
      </c>
      <c r="C4" s="131">
        <f>IF(SER_hh_tes!C4=0,0,11630*1000*SER_hh_tes!C4/SER_hh_num!C4)</f>
        <v>97067.011337429969</v>
      </c>
      <c r="D4" s="131">
        <f>IF(SER_hh_tes!D4=0,0,11630*1000*SER_hh_tes!D4/SER_hh_num!D4)</f>
        <v>89565.517599740328</v>
      </c>
      <c r="E4" s="131">
        <f>IF(SER_hh_tes!E4=0,0,11630*1000*SER_hh_tes!E4/SER_hh_num!E4)</f>
        <v>98649.472361404158</v>
      </c>
      <c r="F4" s="131">
        <f>IF(SER_hh_tes!F4=0,0,11630*1000*SER_hh_tes!F4/SER_hh_num!F4)</f>
        <v>101883.93310088837</v>
      </c>
      <c r="G4" s="131">
        <f>IF(SER_hh_tes!G4=0,0,11630*1000*SER_hh_tes!G4/SER_hh_num!G4)</f>
        <v>100675.05389809984</v>
      </c>
      <c r="H4" s="131">
        <f>IF(SER_hh_tes!H4=0,0,11630*1000*SER_hh_tes!H4/SER_hh_num!H4)</f>
        <v>94022.356779846858</v>
      </c>
      <c r="I4" s="131">
        <f>IF(SER_hh_tes!I4=0,0,11630*1000*SER_hh_tes!I4/SER_hh_num!I4)</f>
        <v>88039.182441342346</v>
      </c>
      <c r="J4" s="131">
        <f>IF(SER_hh_tes!J4=0,0,11630*1000*SER_hh_tes!J4/SER_hh_num!J4)</f>
        <v>87400.343024440881</v>
      </c>
      <c r="K4" s="131">
        <f>IF(SER_hh_tes!K4=0,0,11630*1000*SER_hh_tes!K4/SER_hh_num!K4)</f>
        <v>96684.126277896197</v>
      </c>
      <c r="L4" s="131">
        <f>IF(SER_hh_tes!L4=0,0,11630*1000*SER_hh_tes!L4/SER_hh_num!L4)</f>
        <v>105335.40671390489</v>
      </c>
      <c r="M4" s="131">
        <f>IF(SER_hh_tes!M4=0,0,11630*1000*SER_hh_tes!M4/SER_hh_num!M4)</f>
        <v>82975.192312183644</v>
      </c>
      <c r="N4" s="131">
        <f>IF(SER_hh_tes!N4=0,0,11630*1000*SER_hh_tes!N4/SER_hh_num!N4)</f>
        <v>93460.595392518953</v>
      </c>
      <c r="O4" s="131">
        <f>IF(SER_hh_tes!O4=0,0,11630*1000*SER_hh_tes!O4/SER_hh_num!O4)</f>
        <v>98750.942852363558</v>
      </c>
      <c r="P4" s="131">
        <f>IF(SER_hh_tes!P4=0,0,11630*1000*SER_hh_tes!P4/SER_hh_num!P4)</f>
        <v>82699.804464415429</v>
      </c>
      <c r="Q4" s="131">
        <f>IF(SER_hh_tes!Q4=0,0,11630*1000*SER_hh_tes!Q4/SER_hh_num!Q4)</f>
        <v>88224.900284837102</v>
      </c>
      <c r="R4" s="131">
        <f>IF(SER_hh_tes!R4=0,0,11630*1000*SER_hh_tes!R4/SER_hh_num!R4)</f>
        <v>88830.911164148696</v>
      </c>
      <c r="S4" s="131">
        <f>IF(SER_hh_tes!S4=0,0,11630*1000*SER_hh_tes!S4/SER_hh_num!S4)</f>
        <v>90840.064454981228</v>
      </c>
      <c r="T4" s="131">
        <f>IF(SER_hh_tes!T4=0,0,11630*1000*SER_hh_tes!T4/SER_hh_num!T4)</f>
        <v>90831.624223714898</v>
      </c>
      <c r="U4" s="131">
        <f>IF(SER_hh_tes!U4=0,0,11630*1000*SER_hh_tes!U4/SER_hh_num!U4)</f>
        <v>88552.362155995288</v>
      </c>
      <c r="V4" s="131">
        <f>IF(SER_hh_tes!V4=0,0,11630*1000*SER_hh_tes!V4/SER_hh_num!V4)</f>
        <v>81779.541794445686</v>
      </c>
      <c r="W4" s="131">
        <f>IF(SER_hh_tes!W4=0,0,11630*1000*SER_hh_tes!W4/SER_hh_num!W4)</f>
        <v>91407.181424093491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92778.792285840638</v>
      </c>
      <c r="C5" s="133">
        <f>IF(SER_hh_tes!C5=0,0,11630*1000*SER_hh_tes!C5/SER_hh_num!C5)</f>
        <v>100007.79666149137</v>
      </c>
      <c r="D5" s="133">
        <f>IF(SER_hh_tes!D5=0,0,11630*1000*SER_hh_tes!D5/SER_hh_num!D5)</f>
        <v>79394.591740082062</v>
      </c>
      <c r="E5" s="133">
        <f>IF(SER_hh_tes!E5=0,0,11630*1000*SER_hh_tes!E5/SER_hh_num!E5)</f>
        <v>95490.461688096388</v>
      </c>
      <c r="F5" s="133">
        <f>IF(SER_hh_tes!F5=0,0,11630*1000*SER_hh_tes!F5/SER_hh_num!F5)</f>
        <v>96658.026362641758</v>
      </c>
      <c r="G5" s="133">
        <f>IF(SER_hh_tes!G5=0,0,11630*1000*SER_hh_tes!G5/SER_hh_num!G5)</f>
        <v>99434.127096486161</v>
      </c>
      <c r="H5" s="133">
        <f>IF(SER_hh_tes!H5=0,0,11630*1000*SER_hh_tes!H5/SER_hh_num!H5)</f>
        <v>95762.275870824567</v>
      </c>
      <c r="I5" s="133">
        <f>IF(SER_hh_tes!I5=0,0,11630*1000*SER_hh_tes!I5/SER_hh_num!I5)</f>
        <v>92920.413420210229</v>
      </c>
      <c r="J5" s="133">
        <f>IF(SER_hh_tes!J5=0,0,11630*1000*SER_hh_tes!J5/SER_hh_num!J5)</f>
        <v>89556.376799786332</v>
      </c>
      <c r="K5" s="133">
        <f>IF(SER_hh_tes!K5=0,0,11630*1000*SER_hh_tes!K5/SER_hh_num!K5)</f>
        <v>92929.045560778381</v>
      </c>
      <c r="L5" s="133">
        <f>IF(SER_hh_tes!L5=0,0,11630*1000*SER_hh_tes!L5/SER_hh_num!L5)</f>
        <v>127548.22223025777</v>
      </c>
      <c r="M5" s="133">
        <f>IF(SER_hh_tes!M5=0,0,11630*1000*SER_hh_tes!M5/SER_hh_num!M5)</f>
        <v>53339.24730123816</v>
      </c>
      <c r="N5" s="133">
        <f>IF(SER_hh_tes!N5=0,0,11630*1000*SER_hh_tes!N5/SER_hh_num!N5)</f>
        <v>78290.146493925757</v>
      </c>
      <c r="O5" s="133">
        <f>IF(SER_hh_tes!O5=0,0,11630*1000*SER_hh_tes!O5/SER_hh_num!O5)</f>
        <v>103760.08271432029</v>
      </c>
      <c r="P5" s="133">
        <f>IF(SER_hh_tes!P5=0,0,11630*1000*SER_hh_tes!P5/SER_hh_num!P5)</f>
        <v>80353.3260932665</v>
      </c>
      <c r="Q5" s="133">
        <f>IF(SER_hh_tes!Q5=0,0,11630*1000*SER_hh_tes!Q5/SER_hh_num!Q5)</f>
        <v>85446.620976601873</v>
      </c>
      <c r="R5" s="133">
        <f>IF(SER_hh_tes!R5=0,0,11630*1000*SER_hh_tes!R5/SER_hh_num!R5)</f>
        <v>92000.114987086257</v>
      </c>
      <c r="S5" s="133">
        <f>IF(SER_hh_tes!S5=0,0,11630*1000*SER_hh_tes!S5/SER_hh_num!S5)</f>
        <v>91143.831005535088</v>
      </c>
      <c r="T5" s="133">
        <f>IF(SER_hh_tes!T5=0,0,11630*1000*SER_hh_tes!T5/SER_hh_num!T5)</f>
        <v>85878.268632472638</v>
      </c>
      <c r="U5" s="133">
        <f>IF(SER_hh_tes!U5=0,0,11630*1000*SER_hh_tes!U5/SER_hh_num!U5)</f>
        <v>86152.923896139982</v>
      </c>
      <c r="V5" s="133">
        <f>IF(SER_hh_tes!V5=0,0,11630*1000*SER_hh_tes!V5/SER_hh_num!V5)</f>
        <v>78647.61275563862</v>
      </c>
      <c r="W5" s="133">
        <f>IF(SER_hh_tes!W5=0,0,11630*1000*SER_hh_tes!W5/SER_hh_num!W5)</f>
        <v>93892.858577792431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88241.906273710178</v>
      </c>
      <c r="C7" s="133">
        <f>IF(SER_hh_tes!C7=0,0,11630*1000*SER_hh_tes!C7/SER_hh_num!C7)</f>
        <v>98296.698723180438</v>
      </c>
      <c r="D7" s="133">
        <f>IF(SER_hh_tes!D7=0,0,11630*1000*SER_hh_tes!D7/SER_hh_num!D7)</f>
        <v>87295.69565833018</v>
      </c>
      <c r="E7" s="133">
        <f>IF(SER_hh_tes!E7=0,0,11630*1000*SER_hh_tes!E7/SER_hh_num!E7)</f>
        <v>95575.967594566726</v>
      </c>
      <c r="F7" s="133">
        <f>IF(SER_hh_tes!F7=0,0,11630*1000*SER_hh_tes!F7/SER_hh_num!F7)</f>
        <v>99209.861424545394</v>
      </c>
      <c r="G7" s="133">
        <f>IF(SER_hh_tes!G7=0,0,11630*1000*SER_hh_tes!G7/SER_hh_num!G7)</f>
        <v>97816.947709848479</v>
      </c>
      <c r="H7" s="133">
        <f>IF(SER_hh_tes!H7=0,0,11630*1000*SER_hh_tes!H7/SER_hh_num!H7)</f>
        <v>91915.588114231738</v>
      </c>
      <c r="I7" s="133">
        <f>IF(SER_hh_tes!I7=0,0,11630*1000*SER_hh_tes!I7/SER_hh_num!I7)</f>
        <v>80580.570009922885</v>
      </c>
      <c r="J7" s="133">
        <f>IF(SER_hh_tes!J7=0,0,11630*1000*SER_hh_tes!J7/SER_hh_num!J7)</f>
        <v>97364.791388082231</v>
      </c>
      <c r="K7" s="133">
        <f>IF(SER_hh_tes!K7=0,0,11630*1000*SER_hh_tes!K7/SER_hh_num!K7)</f>
        <v>96971.342418704182</v>
      </c>
      <c r="L7" s="133">
        <f>IF(SER_hh_tes!L7=0,0,11630*1000*SER_hh_tes!L7/SER_hh_num!L7)</f>
        <v>95335.387112257566</v>
      </c>
      <c r="M7" s="133">
        <f>IF(SER_hh_tes!M7=0,0,11630*1000*SER_hh_tes!M7/SER_hh_num!M7)</f>
        <v>84038.497244119659</v>
      </c>
      <c r="N7" s="133">
        <f>IF(SER_hh_tes!N7=0,0,11630*1000*SER_hh_tes!N7/SER_hh_num!N7)</f>
        <v>89981.275999738253</v>
      </c>
      <c r="O7" s="133">
        <f>IF(SER_hh_tes!O7=0,0,11630*1000*SER_hh_tes!O7/SER_hh_num!O7)</f>
        <v>95270.096607831103</v>
      </c>
      <c r="P7" s="133">
        <f>IF(SER_hh_tes!P7=0,0,11630*1000*SER_hh_tes!P7/SER_hh_num!P7)</f>
        <v>84402.682705664469</v>
      </c>
      <c r="Q7" s="133">
        <f>IF(SER_hh_tes!Q7=0,0,11630*1000*SER_hh_tes!Q7/SER_hh_num!Q7)</f>
        <v>89320.02272017888</v>
      </c>
      <c r="R7" s="133">
        <f>IF(SER_hh_tes!R7=0,0,11630*1000*SER_hh_tes!R7/SER_hh_num!R7)</f>
        <v>83335.86930166962</v>
      </c>
      <c r="S7" s="133">
        <f>IF(SER_hh_tes!S7=0,0,11630*1000*SER_hh_tes!S7/SER_hh_num!S7)</f>
        <v>89789.739963220767</v>
      </c>
      <c r="T7" s="133">
        <f>IF(SER_hh_tes!T7=0,0,11630*1000*SER_hh_tes!T7/SER_hh_num!T7)</f>
        <v>88207.711253360671</v>
      </c>
      <c r="U7" s="133">
        <f>IF(SER_hh_tes!U7=0,0,11630*1000*SER_hh_tes!U7/SER_hh_num!U7)</f>
        <v>87001.506671674462</v>
      </c>
      <c r="V7" s="133">
        <f>IF(SER_hh_tes!V7=0,0,11630*1000*SER_hh_tes!V7/SER_hh_num!V7)</f>
        <v>83264.876321806165</v>
      </c>
      <c r="W7" s="133">
        <f>IF(SER_hh_tes!W7=0,0,11630*1000*SER_hh_tes!W7/SER_hh_num!W7)</f>
        <v>87285.731004299378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70196.413090933449</v>
      </c>
      <c r="C8" s="133">
        <f>IF(SER_hh_tes!C8=0,0,11630*1000*SER_hh_tes!C8/SER_hh_num!C8)</f>
        <v>84907.924883353306</v>
      </c>
      <c r="D8" s="133">
        <f>IF(SER_hh_tes!D8=0,0,11630*1000*SER_hh_tes!D8/SER_hh_num!D8)</f>
        <v>72444.953043228292</v>
      </c>
      <c r="E8" s="133">
        <f>IF(SER_hh_tes!E8=0,0,11630*1000*SER_hh_tes!E8/SER_hh_num!E8)</f>
        <v>80466.627813502419</v>
      </c>
      <c r="F8" s="133">
        <f>IF(SER_hh_tes!F8=0,0,11630*1000*SER_hh_tes!F8/SER_hh_num!F8)</f>
        <v>76903.826202536264</v>
      </c>
      <c r="G8" s="133">
        <f>IF(SER_hh_tes!G8=0,0,11630*1000*SER_hh_tes!G8/SER_hh_num!G8)</f>
        <v>103776.44576271366</v>
      </c>
      <c r="H8" s="133">
        <f>IF(SER_hh_tes!H8=0,0,11630*1000*SER_hh_tes!H8/SER_hh_num!H8)</f>
        <v>93103.584741977407</v>
      </c>
      <c r="I8" s="133">
        <f>IF(SER_hh_tes!I8=0,0,11630*1000*SER_hh_tes!I8/SER_hh_num!I8)</f>
        <v>93746.692029534825</v>
      </c>
      <c r="J8" s="133">
        <f>IF(SER_hh_tes!J8=0,0,11630*1000*SER_hh_tes!J8/SER_hh_num!J8)</f>
        <v>97713.422950396678</v>
      </c>
      <c r="K8" s="133">
        <f>IF(SER_hh_tes!K8=0,0,11630*1000*SER_hh_tes!K8/SER_hh_num!K8)</f>
        <v>77933.57635739971</v>
      </c>
      <c r="L8" s="133">
        <f>IF(SER_hh_tes!L8=0,0,11630*1000*SER_hh_tes!L8/SER_hh_num!L8)</f>
        <v>67198.062445957257</v>
      </c>
      <c r="M8" s="133">
        <f>IF(SER_hh_tes!M8=0,0,11630*1000*SER_hh_tes!M8/SER_hh_num!M8)</f>
        <v>94313.421351381709</v>
      </c>
      <c r="N8" s="133">
        <f>IF(SER_hh_tes!N8=0,0,11630*1000*SER_hh_tes!N8/SER_hh_num!N8)</f>
        <v>87172.224872811508</v>
      </c>
      <c r="O8" s="133">
        <f>IF(SER_hh_tes!O8=0,0,11630*1000*SER_hh_tes!O8/SER_hh_num!O8)</f>
        <v>95917.84973641434</v>
      </c>
      <c r="P8" s="133">
        <f>IF(SER_hh_tes!P8=0,0,11630*1000*SER_hh_tes!P8/SER_hh_num!P8)</f>
        <v>83724.158639442103</v>
      </c>
      <c r="Q8" s="133">
        <f>IF(SER_hh_tes!Q8=0,0,11630*1000*SER_hh_tes!Q8/SER_hh_num!Q8)</f>
        <v>90553.583257263512</v>
      </c>
      <c r="R8" s="133">
        <f>IF(SER_hh_tes!R8=0,0,11630*1000*SER_hh_tes!R8/SER_hh_num!R8)</f>
        <v>91423.672019685371</v>
      </c>
      <c r="S8" s="133">
        <f>IF(SER_hh_tes!S8=0,0,11630*1000*SER_hh_tes!S8/SER_hh_num!S8)</f>
        <v>90520.870533054098</v>
      </c>
      <c r="T8" s="133">
        <f>IF(SER_hh_tes!T8=0,0,11630*1000*SER_hh_tes!T8/SER_hh_num!T8)</f>
        <v>90958.150038314212</v>
      </c>
      <c r="U8" s="133">
        <f>IF(SER_hh_tes!U8=0,0,11630*1000*SER_hh_tes!U8/SER_hh_num!U8)</f>
        <v>90660.940904086892</v>
      </c>
      <c r="V8" s="133">
        <f>IF(SER_hh_tes!V8=0,0,11630*1000*SER_hh_tes!V8/SER_hh_num!V8)</f>
        <v>79881.545738327419</v>
      </c>
      <c r="W8" s="133">
        <f>IF(SER_hh_tes!W8=0,0,11630*1000*SER_hh_tes!W8/SER_hh_num!W8)</f>
        <v>92361.021541425362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90029.644772528482</v>
      </c>
      <c r="C9" s="133">
        <f>IF(SER_hh_tes!C9=0,0,11630*1000*SER_hh_tes!C9/SER_hh_num!C9)</f>
        <v>95518.554497729187</v>
      </c>
      <c r="D9" s="133">
        <f>IF(SER_hh_tes!D9=0,0,11630*1000*SER_hh_tes!D9/SER_hh_num!D9)</f>
        <v>79160.181711243509</v>
      </c>
      <c r="E9" s="133">
        <f>IF(SER_hh_tes!E9=0,0,11630*1000*SER_hh_tes!E9/SER_hh_num!E9)</f>
        <v>100328.4680092717</v>
      </c>
      <c r="F9" s="133">
        <f>IF(SER_hh_tes!F9=0,0,11630*1000*SER_hh_tes!F9/SER_hh_num!F9)</f>
        <v>99980.559539287642</v>
      </c>
      <c r="G9" s="133">
        <f>IF(SER_hh_tes!G9=0,0,11630*1000*SER_hh_tes!G9/SER_hh_num!G9)</f>
        <v>102547.49173870377</v>
      </c>
      <c r="H9" s="133">
        <f>IF(SER_hh_tes!H9=0,0,11630*1000*SER_hh_tes!H9/SER_hh_num!H9)</f>
        <v>89262.275826228986</v>
      </c>
      <c r="I9" s="133">
        <f>IF(SER_hh_tes!I9=0,0,11630*1000*SER_hh_tes!I9/SER_hh_num!I9)</f>
        <v>89736.092403589369</v>
      </c>
      <c r="J9" s="133">
        <f>IF(SER_hh_tes!J9=0,0,11630*1000*SER_hh_tes!J9/SER_hh_num!J9)</f>
        <v>79469.582768323118</v>
      </c>
      <c r="K9" s="133">
        <f>IF(SER_hh_tes!K9=0,0,11630*1000*SER_hh_tes!K9/SER_hh_num!K9)</f>
        <v>96447.348810537864</v>
      </c>
      <c r="L9" s="133">
        <f>IF(SER_hh_tes!L9=0,0,11630*1000*SER_hh_tes!L9/SER_hh_num!L9)</f>
        <v>108658.44020515685</v>
      </c>
      <c r="M9" s="133">
        <f>IF(SER_hh_tes!M9=0,0,11630*1000*SER_hh_tes!M9/SER_hh_num!M9)</f>
        <v>77647.208800789405</v>
      </c>
      <c r="N9" s="133">
        <f>IF(SER_hh_tes!N9=0,0,11630*1000*SER_hh_tes!N9/SER_hh_num!N9)</f>
        <v>92954.537143303969</v>
      </c>
      <c r="O9" s="133">
        <f>IF(SER_hh_tes!O9=0,0,11630*1000*SER_hh_tes!O9/SER_hh_num!O9)</f>
        <v>99418.216349973314</v>
      </c>
      <c r="P9" s="133">
        <f>IF(SER_hh_tes!P9=0,0,11630*1000*SER_hh_tes!P9/SER_hh_num!P9)</f>
        <v>80353.019743686833</v>
      </c>
      <c r="Q9" s="133">
        <f>IF(SER_hh_tes!Q9=0,0,11630*1000*SER_hh_tes!Q9/SER_hh_num!Q9)</f>
        <v>86377.770918105904</v>
      </c>
      <c r="R9" s="133">
        <f>IF(SER_hh_tes!R9=0,0,11630*1000*SER_hh_tes!R9/SER_hh_num!R9)</f>
        <v>86882.577130052043</v>
      </c>
      <c r="S9" s="133">
        <f>IF(SER_hh_tes!S9=0,0,11630*1000*SER_hh_tes!S9/SER_hh_num!S9)</f>
        <v>89021.437057549585</v>
      </c>
      <c r="T9" s="133">
        <f>IF(SER_hh_tes!T9=0,0,11630*1000*SER_hh_tes!T9/SER_hh_num!T9)</f>
        <v>91347.97599317765</v>
      </c>
      <c r="U9" s="133">
        <f>IF(SER_hh_tes!U9=0,0,11630*1000*SER_hh_tes!U9/SER_hh_num!U9)</f>
        <v>88515.209317417306</v>
      </c>
      <c r="V9" s="133">
        <f>IF(SER_hh_tes!V9=0,0,11630*1000*SER_hh_tes!V9/SER_hh_num!V9)</f>
        <v>80943.161297110346</v>
      </c>
      <c r="W9" s="133">
        <f>IF(SER_hh_tes!W9=0,0,11630*1000*SER_hh_tes!W9/SER_hh_num!W9)</f>
        <v>87575.193990585132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85806.246274422723</v>
      </c>
      <c r="C10" s="133">
        <f>IF(SER_hh_tes!C10=0,0,11630*1000*SER_hh_tes!C10/SER_hh_num!C10)</f>
        <v>91743.564234718608</v>
      </c>
      <c r="D10" s="133">
        <f>IF(SER_hh_tes!D10=0,0,11630*1000*SER_hh_tes!D10/SER_hh_num!D10)</f>
        <v>94183.906571220345</v>
      </c>
      <c r="E10" s="133">
        <f>IF(SER_hh_tes!E10=0,0,11630*1000*SER_hh_tes!E10/SER_hh_num!E10)</f>
        <v>105772.77405073687</v>
      </c>
      <c r="F10" s="133">
        <f>IF(SER_hh_tes!F10=0,0,11630*1000*SER_hh_tes!F10/SER_hh_num!F10)</f>
        <v>120696.15144638033</v>
      </c>
      <c r="G10" s="133">
        <f>IF(SER_hh_tes!G10=0,0,11630*1000*SER_hh_tes!G10/SER_hh_num!G10)</f>
        <v>81906.754386535758</v>
      </c>
      <c r="H10" s="133">
        <f>IF(SER_hh_tes!H10=0,0,11630*1000*SER_hh_tes!H10/SER_hh_num!H10)</f>
        <v>60678.064281726474</v>
      </c>
      <c r="I10" s="133">
        <f>IF(SER_hh_tes!I10=0,0,11630*1000*SER_hh_tes!I10/SER_hh_num!I10)</f>
        <v>92437.771577044521</v>
      </c>
      <c r="J10" s="133">
        <f>IF(SER_hh_tes!J10=0,0,11630*1000*SER_hh_tes!J10/SER_hh_num!J10)</f>
        <v>89825.900758782591</v>
      </c>
      <c r="K10" s="133">
        <f>IF(SER_hh_tes!K10=0,0,11630*1000*SER_hh_tes!K10/SER_hh_num!K10)</f>
        <v>116052.81241868233</v>
      </c>
      <c r="L10" s="133">
        <f>IF(SER_hh_tes!L10=0,0,11630*1000*SER_hh_tes!L10/SER_hh_num!L10)</f>
        <v>102604.93542039594</v>
      </c>
      <c r="M10" s="133">
        <f>IF(SER_hh_tes!M10=0,0,11630*1000*SER_hh_tes!M10/SER_hh_num!M10)</f>
        <v>70090.12806273099</v>
      </c>
      <c r="N10" s="133">
        <f>IF(SER_hh_tes!N10=0,0,11630*1000*SER_hh_tes!N10/SER_hh_num!N10)</f>
        <v>84711.312971255727</v>
      </c>
      <c r="O10" s="133">
        <f>IF(SER_hh_tes!O10=0,0,11630*1000*SER_hh_tes!O10/SER_hh_num!O10)</f>
        <v>106942.8087862512</v>
      </c>
      <c r="P10" s="133">
        <f>IF(SER_hh_tes!P10=0,0,11630*1000*SER_hh_tes!P10/SER_hh_num!P10)</f>
        <v>87643.637802783996</v>
      </c>
      <c r="Q10" s="133">
        <f>IF(SER_hh_tes!Q10=0,0,11630*1000*SER_hh_tes!Q10/SER_hh_num!Q10)</f>
        <v>81957.75781396711</v>
      </c>
      <c r="R10" s="133">
        <f>IF(SER_hh_tes!R10=0,0,11630*1000*SER_hh_tes!R10/SER_hh_num!R10)</f>
        <v>90166.841214097687</v>
      </c>
      <c r="S10" s="133">
        <f>IF(SER_hh_tes!S10=0,0,11630*1000*SER_hh_tes!S10/SER_hh_num!S10)</f>
        <v>93337.023573493454</v>
      </c>
      <c r="T10" s="133">
        <f>IF(SER_hh_tes!T10=0,0,11630*1000*SER_hh_tes!T10/SER_hh_num!T10)</f>
        <v>85382.458208303608</v>
      </c>
      <c r="U10" s="133">
        <f>IF(SER_hh_tes!U10=0,0,11630*1000*SER_hh_tes!U10/SER_hh_num!U10)</f>
        <v>83853.797738344278</v>
      </c>
      <c r="V10" s="133">
        <f>IF(SER_hh_tes!V10=0,0,11630*1000*SER_hh_tes!V10/SER_hh_num!V10)</f>
        <v>81762.775060142332</v>
      </c>
      <c r="W10" s="133">
        <f>IF(SER_hh_tes!W10=0,0,11630*1000*SER_hh_tes!W10/SER_hh_num!W10)</f>
        <v>93292.20139923862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199177.23546699862</v>
      </c>
      <c r="E11" s="133">
        <f>IF(SER_hh_tes!E11=0,0,11630*1000*SER_hh_tes!E11/SER_hh_num!E11)</f>
        <v>177769.55943091511</v>
      </c>
      <c r="F11" s="133">
        <f>IF(SER_hh_tes!F11=0,0,11630*1000*SER_hh_tes!F11/SER_hh_num!F11)</f>
        <v>177623.62973858518</v>
      </c>
      <c r="G11" s="133">
        <f>IF(SER_hh_tes!G11=0,0,11630*1000*SER_hh_tes!G11/SER_hh_num!G11)</f>
        <v>62385.630169103366</v>
      </c>
      <c r="H11" s="133">
        <f>IF(SER_hh_tes!H11=0,0,11630*1000*SER_hh_tes!H11/SER_hh_num!H11)</f>
        <v>79395.19763864165</v>
      </c>
      <c r="I11" s="133">
        <f>IF(SER_hh_tes!I11=0,0,11630*1000*SER_hh_tes!I11/SER_hh_num!I11)</f>
        <v>90634.154429798306</v>
      </c>
      <c r="J11" s="133">
        <f>IF(SER_hh_tes!J11=0,0,11630*1000*SER_hh_tes!J11/SER_hh_num!J11)</f>
        <v>91112.821415931729</v>
      </c>
      <c r="K11" s="133">
        <f>IF(SER_hh_tes!K11=0,0,11630*1000*SER_hh_tes!K11/SER_hh_num!K11)</f>
        <v>90836.584509286899</v>
      </c>
      <c r="L11" s="133">
        <f>IF(SER_hh_tes!L11=0,0,11630*1000*SER_hh_tes!L11/SER_hh_num!L11)</f>
        <v>87927.456663061268</v>
      </c>
      <c r="M11" s="133">
        <f>IF(SER_hh_tes!M11=0,0,11630*1000*SER_hh_tes!M11/SER_hh_num!M11)</f>
        <v>96317.696361165537</v>
      </c>
      <c r="N11" s="133">
        <f>IF(SER_hh_tes!N11=0,0,11630*1000*SER_hh_tes!N11/SER_hh_num!N11)</f>
        <v>93755.392809150799</v>
      </c>
      <c r="O11" s="133">
        <f>IF(SER_hh_tes!O11=0,0,11630*1000*SER_hh_tes!O11/SER_hh_num!O11)</f>
        <v>92519.290550672464</v>
      </c>
      <c r="P11" s="133">
        <f>IF(SER_hh_tes!P11=0,0,11630*1000*SER_hh_tes!P11/SER_hh_num!P11)</f>
        <v>86342.923014973072</v>
      </c>
      <c r="Q11" s="133">
        <f>IF(SER_hh_tes!Q11=0,0,11630*1000*SER_hh_tes!Q11/SER_hh_num!Q11)</f>
        <v>87428.847324645263</v>
      </c>
      <c r="R11" s="133">
        <f>IF(SER_hh_tes!R11=0,0,11630*1000*SER_hh_tes!R11/SER_hh_num!R11)</f>
        <v>88187.872456317229</v>
      </c>
      <c r="S11" s="133">
        <f>IF(SER_hh_tes!S11=0,0,11630*1000*SER_hh_tes!S11/SER_hh_num!S11)</f>
        <v>89587.791250254042</v>
      </c>
      <c r="T11" s="133">
        <f>IF(SER_hh_tes!T11=0,0,11630*1000*SER_hh_tes!T11/SER_hh_num!T11)</f>
        <v>89410.770798426005</v>
      </c>
      <c r="U11" s="133">
        <f>IF(SER_hh_tes!U11=0,0,11630*1000*SER_hh_tes!U11/SER_hh_num!U11)</f>
        <v>87907.389129168951</v>
      </c>
      <c r="V11" s="133">
        <f>IF(SER_hh_tes!V11=0,0,11630*1000*SER_hh_tes!V11/SER_hh_num!V11)</f>
        <v>85368.975453172839</v>
      </c>
      <c r="W11" s="133">
        <f>IF(SER_hh_tes!W11=0,0,11630*1000*SER_hh_tes!W11/SER_hh_num!W11)</f>
        <v>83449.425381344088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85953.210885530352</v>
      </c>
      <c r="C12" s="133">
        <f>IF(SER_hh_tes!C12=0,0,11630*1000*SER_hh_tes!C12/SER_hh_num!C12)</f>
        <v>96597.291625473968</v>
      </c>
      <c r="D12" s="133">
        <f>IF(SER_hh_tes!D12=0,0,11630*1000*SER_hh_tes!D12/SER_hh_num!D12)</f>
        <v>97569.655159824033</v>
      </c>
      <c r="E12" s="133">
        <f>IF(SER_hh_tes!E12=0,0,11630*1000*SER_hh_tes!E12/SER_hh_num!E12)</f>
        <v>95504.55068268138</v>
      </c>
      <c r="F12" s="133">
        <f>IF(SER_hh_tes!F12=0,0,11630*1000*SER_hh_tes!F12/SER_hh_num!F12)</f>
        <v>97922.743040489382</v>
      </c>
      <c r="G12" s="133">
        <f>IF(SER_hh_tes!G12=0,0,11630*1000*SER_hh_tes!G12/SER_hh_num!G12)</f>
        <v>106638.99861721748</v>
      </c>
      <c r="H12" s="133">
        <f>IF(SER_hh_tes!H12=0,0,11630*1000*SER_hh_tes!H12/SER_hh_num!H12)</f>
        <v>109091.44077432677</v>
      </c>
      <c r="I12" s="133">
        <f>IF(SER_hh_tes!I12=0,0,11630*1000*SER_hh_tes!I12/SER_hh_num!I12)</f>
        <v>68985.597370717776</v>
      </c>
      <c r="J12" s="133">
        <f>IF(SER_hh_tes!J12=0,0,11630*1000*SER_hh_tes!J12/SER_hh_num!J12)</f>
        <v>87593.505471236786</v>
      </c>
      <c r="K12" s="133">
        <f>IF(SER_hh_tes!K12=0,0,11630*1000*SER_hh_tes!K12/SER_hh_num!K12)</f>
        <v>88101.122747351183</v>
      </c>
      <c r="L12" s="133">
        <f>IF(SER_hh_tes!L12=0,0,11630*1000*SER_hh_tes!L12/SER_hh_num!L12)</f>
        <v>102474.52129282487</v>
      </c>
      <c r="M12" s="133">
        <f>IF(SER_hh_tes!M12=0,0,11630*1000*SER_hh_tes!M12/SER_hh_num!M12)</f>
        <v>87541.739221287062</v>
      </c>
      <c r="N12" s="133">
        <f>IF(SER_hh_tes!N12=0,0,11630*1000*SER_hh_tes!N12/SER_hh_num!N12)</f>
        <v>88868.726094280093</v>
      </c>
      <c r="O12" s="133">
        <f>IF(SER_hh_tes!O12=0,0,11630*1000*SER_hh_tes!O12/SER_hh_num!O12)</f>
        <v>93344.220004924573</v>
      </c>
      <c r="P12" s="133">
        <f>IF(SER_hh_tes!P12=0,0,11630*1000*SER_hh_tes!P12/SER_hh_num!P12)</f>
        <v>84013.155780601897</v>
      </c>
      <c r="Q12" s="133">
        <f>IF(SER_hh_tes!Q12=0,0,11630*1000*SER_hh_tes!Q12/SER_hh_num!Q12)</f>
        <v>86651.542000589485</v>
      </c>
      <c r="R12" s="133">
        <f>IF(SER_hh_tes!R12=0,0,11630*1000*SER_hh_tes!R12/SER_hh_num!R12)</f>
        <v>91198.782240353437</v>
      </c>
      <c r="S12" s="133">
        <f>IF(SER_hh_tes!S12=0,0,11630*1000*SER_hh_tes!S12/SER_hh_num!S12)</f>
        <v>92114.998288362636</v>
      </c>
      <c r="T12" s="133">
        <f>IF(SER_hh_tes!T12=0,0,11630*1000*SER_hh_tes!T12/SER_hh_num!T12)</f>
        <v>87998.798707884373</v>
      </c>
      <c r="U12" s="133">
        <f>IF(SER_hh_tes!U12=0,0,11630*1000*SER_hh_tes!U12/SER_hh_num!U12)</f>
        <v>85684.033256212511</v>
      </c>
      <c r="V12" s="133">
        <f>IF(SER_hh_tes!V12=0,0,11630*1000*SER_hh_tes!V12/SER_hh_num!V12)</f>
        <v>83198.959885977805</v>
      </c>
      <c r="W12" s="133">
        <f>IF(SER_hh_tes!W12=0,0,11630*1000*SER_hh_tes!W12/SER_hh_num!W12)</f>
        <v>91748.462205907723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89164.797576297744</v>
      </c>
      <c r="C13" s="133">
        <f>IF(SER_hh_tes!C13=0,0,11630*1000*SER_hh_tes!C13/SER_hh_num!C13)</f>
        <v>90576.630545823107</v>
      </c>
      <c r="D13" s="133">
        <f>IF(SER_hh_tes!D13=0,0,11630*1000*SER_hh_tes!D13/SER_hh_num!D13)</f>
        <v>94881.866529922743</v>
      </c>
      <c r="E13" s="133">
        <f>IF(SER_hh_tes!E13=0,0,11630*1000*SER_hh_tes!E13/SER_hh_num!E13)</f>
        <v>96453.381863924471</v>
      </c>
      <c r="F13" s="133">
        <f>IF(SER_hh_tes!F13=0,0,11630*1000*SER_hh_tes!F13/SER_hh_num!F13)</f>
        <v>96541.445254593578</v>
      </c>
      <c r="G13" s="133">
        <f>IF(SER_hh_tes!G13=0,0,11630*1000*SER_hh_tes!G13/SER_hh_num!G13)</f>
        <v>99488.462550802375</v>
      </c>
      <c r="H13" s="133">
        <f>IF(SER_hh_tes!H13=0,0,11630*1000*SER_hh_tes!H13/SER_hh_num!H13)</f>
        <v>94087.368393528421</v>
      </c>
      <c r="I13" s="133">
        <f>IF(SER_hh_tes!I13=0,0,11630*1000*SER_hh_tes!I13/SER_hh_num!I13)</f>
        <v>87403.351329718906</v>
      </c>
      <c r="J13" s="133">
        <f>IF(SER_hh_tes!J13=0,0,11630*1000*SER_hh_tes!J13/SER_hh_num!J13)</f>
        <v>92397.425017108806</v>
      </c>
      <c r="K13" s="133">
        <f>IF(SER_hh_tes!K13=0,0,11630*1000*SER_hh_tes!K13/SER_hh_num!K13)</f>
        <v>88866.896404343206</v>
      </c>
      <c r="L13" s="133">
        <f>IF(SER_hh_tes!L13=0,0,11630*1000*SER_hh_tes!L13/SER_hh_num!L13)</f>
        <v>81618.432906481539</v>
      </c>
      <c r="M13" s="133">
        <f>IF(SER_hh_tes!M13=0,0,11630*1000*SER_hh_tes!M13/SER_hh_num!M13)</f>
        <v>94879.154610256475</v>
      </c>
      <c r="N13" s="133">
        <f>IF(SER_hh_tes!N13=0,0,11630*1000*SER_hh_tes!N13/SER_hh_num!N13)</f>
        <v>97197.212788457473</v>
      </c>
      <c r="O13" s="133">
        <f>IF(SER_hh_tes!O13=0,0,11630*1000*SER_hh_tes!O13/SER_hh_num!O13)</f>
        <v>99435.852779243229</v>
      </c>
      <c r="P13" s="133">
        <f>IF(SER_hh_tes!P13=0,0,11630*1000*SER_hh_tes!P13/SER_hh_num!P13)</f>
        <v>81934.813651040822</v>
      </c>
      <c r="Q13" s="133">
        <f>IF(SER_hh_tes!Q13=0,0,11630*1000*SER_hh_tes!Q13/SER_hh_num!Q13)</f>
        <v>85634.468066492816</v>
      </c>
      <c r="R13" s="133">
        <f>IF(SER_hh_tes!R13=0,0,11630*1000*SER_hh_tes!R13/SER_hh_num!R13)</f>
        <v>92259.998700791199</v>
      </c>
      <c r="S13" s="133">
        <f>IF(SER_hh_tes!S13=0,0,11630*1000*SER_hh_tes!S13/SER_hh_num!S13)</f>
        <v>89197.490847251742</v>
      </c>
      <c r="T13" s="133">
        <f>IF(SER_hh_tes!T13=0,0,11630*1000*SER_hh_tes!T13/SER_hh_num!T13)</f>
        <v>83242.034604076427</v>
      </c>
      <c r="U13" s="133">
        <f>IF(SER_hh_tes!U13=0,0,11630*1000*SER_hh_tes!U13/SER_hh_num!U13)</f>
        <v>84999.733814007137</v>
      </c>
      <c r="V13" s="133">
        <f>IF(SER_hh_tes!V13=0,0,11630*1000*SER_hh_tes!V13/SER_hh_num!V13)</f>
        <v>80047.299847543953</v>
      </c>
      <c r="W13" s="133">
        <f>IF(SER_hh_tes!W13=0,0,11630*1000*SER_hh_tes!W13/SER_hh_num!W13)</f>
        <v>92875.009133301559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93290.029100532309</v>
      </c>
      <c r="C14" s="65">
        <f>IF(SER_hh_tes!C14=0,0,11630*1000*SER_hh_tes!C14/SER_hh_num!C14)</f>
        <v>94317.435511792894</v>
      </c>
      <c r="D14" s="65">
        <f>IF(SER_hh_tes!D14=0,0,11630*1000*SER_hh_tes!D14/SER_hh_num!D14)</f>
        <v>92634.324816825989</v>
      </c>
      <c r="E14" s="65">
        <f>IF(SER_hh_tes!E14=0,0,11630*1000*SER_hh_tes!E14/SER_hh_num!E14)</f>
        <v>96426.472194120477</v>
      </c>
      <c r="F14" s="65">
        <f>IF(SER_hh_tes!F14=0,0,11630*1000*SER_hh_tes!F14/SER_hh_num!F14)</f>
        <v>102464.52164333955</v>
      </c>
      <c r="G14" s="65">
        <f>IF(SER_hh_tes!G14=0,0,11630*1000*SER_hh_tes!G14/SER_hh_num!G14)</f>
        <v>96370.338621028437</v>
      </c>
      <c r="H14" s="65">
        <f>IF(SER_hh_tes!H14=0,0,11630*1000*SER_hh_tes!H14/SER_hh_num!H14)</f>
        <v>93850.971340159478</v>
      </c>
      <c r="I14" s="65">
        <f>IF(SER_hh_tes!I14=0,0,11630*1000*SER_hh_tes!I14/SER_hh_num!I14)</f>
        <v>93060.85668662026</v>
      </c>
      <c r="J14" s="65">
        <f>IF(SER_hh_tes!J14=0,0,11630*1000*SER_hh_tes!J14/SER_hh_num!J14)</f>
        <v>86014.888072021815</v>
      </c>
      <c r="K14" s="65">
        <f>IF(SER_hh_tes!K14=0,0,11630*1000*SER_hh_tes!K14/SER_hh_num!K14)</f>
        <v>95067.701970748734</v>
      </c>
      <c r="L14" s="65">
        <f>IF(SER_hh_tes!L14=0,0,11630*1000*SER_hh_tes!L14/SER_hh_num!L14)</f>
        <v>107473.72071067835</v>
      </c>
      <c r="M14" s="65">
        <f>IF(SER_hh_tes!M14=0,0,11630*1000*SER_hh_tes!M14/SER_hh_num!M14)</f>
        <v>84709.997773880343</v>
      </c>
      <c r="N14" s="65">
        <f>IF(SER_hh_tes!N14=0,0,11630*1000*SER_hh_tes!N14/SER_hh_num!N14)</f>
        <v>94232.717035687907</v>
      </c>
      <c r="O14" s="65">
        <f>IF(SER_hh_tes!O14=0,0,11630*1000*SER_hh_tes!O14/SER_hh_num!O14)</f>
        <v>96885.69989024906</v>
      </c>
      <c r="P14" s="65">
        <f>IF(SER_hh_tes!P14=0,0,11630*1000*SER_hh_tes!P14/SER_hh_num!P14)</f>
        <v>81574.541318052201</v>
      </c>
      <c r="Q14" s="65">
        <f>IF(SER_hh_tes!Q14=0,0,11630*1000*SER_hh_tes!Q14/SER_hh_num!Q14)</f>
        <v>88677.211204012696</v>
      </c>
      <c r="R14" s="65">
        <f>IF(SER_hh_tes!R14=0,0,11630*1000*SER_hh_tes!R14/SER_hh_num!R14)</f>
        <v>90195.701914577396</v>
      </c>
      <c r="S14" s="65">
        <f>IF(SER_hh_tes!S14=0,0,11630*1000*SER_hh_tes!S14/SER_hh_num!S14)</f>
        <v>90889.230415902144</v>
      </c>
      <c r="T14" s="65">
        <f>IF(SER_hh_tes!T14=0,0,11630*1000*SER_hh_tes!T14/SER_hh_num!T14)</f>
        <v>91309.851170591588</v>
      </c>
      <c r="U14" s="65">
        <f>IF(SER_hh_tes!U14=0,0,11630*1000*SER_hh_tes!U14/SER_hh_num!U14)</f>
        <v>88177.076045428621</v>
      </c>
      <c r="V14" s="65">
        <f>IF(SER_hh_tes!V14=0,0,11630*1000*SER_hh_tes!V14/SER_hh_num!V14)</f>
        <v>78979.154319640686</v>
      </c>
      <c r="W14" s="65">
        <f>IF(SER_hh_tes!W14=0,0,11630*1000*SER_hh_tes!W14/SER_hh_num!W14)</f>
        <v>97056.508065981121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1490.4707691139906</v>
      </c>
      <c r="C15" s="135">
        <f>IF(SER_hh_tes!C15=0,0,11630*1000*SER_hh_tes!C15/SER_hh_num!C15)</f>
        <v>1566.0132688321048</v>
      </c>
      <c r="D15" s="135">
        <f>IF(SER_hh_tes!D15=0,0,11630*1000*SER_hh_tes!D15/SER_hh_num!D15)</f>
        <v>1325.6301589032814</v>
      </c>
      <c r="E15" s="135">
        <f>IF(SER_hh_tes!E15=0,0,11630*1000*SER_hh_tes!E15/SER_hh_num!E15)</f>
        <v>1522.2043845152907</v>
      </c>
      <c r="F15" s="135">
        <f>IF(SER_hh_tes!F15=0,0,11630*1000*SER_hh_tes!F15/SER_hh_num!F15)</f>
        <v>1530.7130397435906</v>
      </c>
      <c r="G15" s="135">
        <f>IF(SER_hh_tes!G15=0,0,11630*1000*SER_hh_tes!G15/SER_hh_num!G15)</f>
        <v>1531.0967479337603</v>
      </c>
      <c r="H15" s="135">
        <f>IF(SER_hh_tes!H15=0,0,11630*1000*SER_hh_tes!H15/SER_hh_num!H15)</f>
        <v>1378.2241430642655</v>
      </c>
      <c r="I15" s="135">
        <f>IF(SER_hh_tes!I15=0,0,11630*1000*SER_hh_tes!I15/SER_hh_num!I15)</f>
        <v>1321.3239807308819</v>
      </c>
      <c r="J15" s="135">
        <f>IF(SER_hh_tes!J15=0,0,11630*1000*SER_hh_tes!J15/SER_hh_num!J15)</f>
        <v>1331.2834436780488</v>
      </c>
      <c r="K15" s="135">
        <f>IF(SER_hh_tes!K15=0,0,11630*1000*SER_hh_tes!K15/SER_hh_num!K15)</f>
        <v>1492.6724368923208</v>
      </c>
      <c r="L15" s="135">
        <f>IF(SER_hh_tes!L15=0,0,11630*1000*SER_hh_tes!L15/SER_hh_num!L15)</f>
        <v>1595.525204399707</v>
      </c>
      <c r="M15" s="135">
        <f>IF(SER_hh_tes!M15=0,0,11630*1000*SER_hh_tes!M15/SER_hh_num!M15)</f>
        <v>1208.1649906690868</v>
      </c>
      <c r="N15" s="135">
        <f>IF(SER_hh_tes!N15=0,0,11630*1000*SER_hh_tes!N15/SER_hh_num!N15)</f>
        <v>1379.6997942147786</v>
      </c>
      <c r="O15" s="135">
        <f>IF(SER_hh_tes!O15=0,0,11630*1000*SER_hh_tes!O15/SER_hh_num!O15)</f>
        <v>1458.8653534596242</v>
      </c>
      <c r="P15" s="135">
        <f>IF(SER_hh_tes!P15=0,0,11630*1000*SER_hh_tes!P15/SER_hh_num!P15)</f>
        <v>1198.466918467562</v>
      </c>
      <c r="Q15" s="135">
        <f>IF(SER_hh_tes!Q15=0,0,11630*1000*SER_hh_tes!Q15/SER_hh_num!Q15)</f>
        <v>1260.3891834546043</v>
      </c>
      <c r="R15" s="135">
        <f>IF(SER_hh_tes!R15=0,0,11630*1000*SER_hh_tes!R15/SER_hh_num!R15)</f>
        <v>1233.9600828372147</v>
      </c>
      <c r="S15" s="135">
        <f>IF(SER_hh_tes!S15=0,0,11630*1000*SER_hh_tes!S15/SER_hh_num!S15)</f>
        <v>1273.9270956146456</v>
      </c>
      <c r="T15" s="135">
        <f>IF(SER_hh_tes!T15=0,0,11630*1000*SER_hh_tes!T15/SER_hh_num!T15)</f>
        <v>1283.4629671501577</v>
      </c>
      <c r="U15" s="135">
        <f>IF(SER_hh_tes!U15=0,0,11630*1000*SER_hh_tes!U15/SER_hh_num!U15)</f>
        <v>1244.0744370628704</v>
      </c>
      <c r="V15" s="135">
        <f>IF(SER_hh_tes!V15=0,0,11630*1000*SER_hh_tes!V15/SER_hh_num!V15)</f>
        <v>1145.8235325110868</v>
      </c>
      <c r="W15" s="135">
        <f>IF(SER_hh_tes!W15=0,0,11630*1000*SER_hh_tes!W15/SER_hh_num!W15)</f>
        <v>1227.5390467922023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23569.427243566592</v>
      </c>
      <c r="C16" s="131">
        <f>IF(SER_hh_tes!C16=0,0,11630*1000*SER_hh_tes!C16/SER_hh_num!C16)</f>
        <v>24798.826752819536</v>
      </c>
      <c r="D16" s="131">
        <f>IF(SER_hh_tes!D16=0,0,11630*1000*SER_hh_tes!D16/SER_hh_num!D16)</f>
        <v>23738.497374148556</v>
      </c>
      <c r="E16" s="131">
        <f>IF(SER_hh_tes!E16=0,0,11630*1000*SER_hh_tes!E16/SER_hh_num!E16)</f>
        <v>41495.984024974859</v>
      </c>
      <c r="F16" s="131">
        <f>IF(SER_hh_tes!F16=0,0,11630*1000*SER_hh_tes!F16/SER_hh_num!F16)</f>
        <v>24470.900424333344</v>
      </c>
      <c r="G16" s="131">
        <f>IF(SER_hh_tes!G16=0,0,11630*1000*SER_hh_tes!G16/SER_hh_num!G16)</f>
        <v>26644.058231783529</v>
      </c>
      <c r="H16" s="131">
        <f>IF(SER_hh_tes!H16=0,0,11630*1000*SER_hh_tes!H16/SER_hh_num!H16)</f>
        <v>30507.918782202643</v>
      </c>
      <c r="I16" s="131">
        <f>IF(SER_hh_tes!I16=0,0,11630*1000*SER_hh_tes!I16/SER_hh_num!I16)</f>
        <v>23855.078702402716</v>
      </c>
      <c r="J16" s="131">
        <f>IF(SER_hh_tes!J16=0,0,11630*1000*SER_hh_tes!J16/SER_hh_num!J16)</f>
        <v>24222.014595047862</v>
      </c>
      <c r="K16" s="131">
        <f>IF(SER_hh_tes!K16=0,0,11630*1000*SER_hh_tes!K16/SER_hh_num!K16)</f>
        <v>25878.218479606781</v>
      </c>
      <c r="L16" s="131">
        <f>IF(SER_hh_tes!L16=0,0,11630*1000*SER_hh_tes!L16/SER_hh_num!L16)</f>
        <v>25513.014288132919</v>
      </c>
      <c r="M16" s="131">
        <f>IF(SER_hh_tes!M16=0,0,11630*1000*SER_hh_tes!M16/SER_hh_num!M16)</f>
        <v>25101.056145662737</v>
      </c>
      <c r="N16" s="131">
        <f>IF(SER_hh_tes!N16=0,0,11630*1000*SER_hh_tes!N16/SER_hh_num!N16)</f>
        <v>26370.370424134369</v>
      </c>
      <c r="O16" s="131">
        <f>IF(SER_hh_tes!O16=0,0,11630*1000*SER_hh_tes!O16/SER_hh_num!O16)</f>
        <v>26232.896243220861</v>
      </c>
      <c r="P16" s="131">
        <f>IF(SER_hh_tes!P16=0,0,11630*1000*SER_hh_tes!P16/SER_hh_num!P16)</f>
        <v>24686.604174602347</v>
      </c>
      <c r="Q16" s="131">
        <f>IF(SER_hh_tes!Q16=0,0,11630*1000*SER_hh_tes!Q16/SER_hh_num!Q16)</f>
        <v>30855.108205637847</v>
      </c>
      <c r="R16" s="131">
        <f>IF(SER_hh_tes!R16=0,0,11630*1000*SER_hh_tes!R16/SER_hh_num!R16)</f>
        <v>27336.15637634194</v>
      </c>
      <c r="S16" s="131">
        <f>IF(SER_hh_tes!S16=0,0,11630*1000*SER_hh_tes!S16/SER_hh_num!S16)</f>
        <v>29784.281401445562</v>
      </c>
      <c r="T16" s="131">
        <f>IF(SER_hh_tes!T16=0,0,11630*1000*SER_hh_tes!T16/SER_hh_num!T16)</f>
        <v>29616.840617375288</v>
      </c>
      <c r="U16" s="131">
        <f>IF(SER_hh_tes!U16=0,0,11630*1000*SER_hh_tes!U16/SER_hh_num!U16)</f>
        <v>30159.233694092174</v>
      </c>
      <c r="V16" s="131">
        <f>IF(SER_hh_tes!V16=0,0,11630*1000*SER_hh_tes!V16/SER_hh_num!V16)</f>
        <v>31435.937536390193</v>
      </c>
      <c r="W16" s="131">
        <f>IF(SER_hh_tes!W16=0,0,11630*1000*SER_hh_tes!W16/SER_hh_num!W16)</f>
        <v>26229.857949240104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23569.427243566599</v>
      </c>
      <c r="C17" s="133">
        <f>IF(SER_hh_tes!C17=0,0,11630*1000*SER_hh_tes!C17/SER_hh_num!C17)</f>
        <v>24798.880335027676</v>
      </c>
      <c r="D17" s="133">
        <f>IF(SER_hh_tes!D17=0,0,11630*1000*SER_hh_tes!D17/SER_hh_num!D17)</f>
        <v>23738.505720158948</v>
      </c>
      <c r="E17" s="133">
        <f>IF(SER_hh_tes!E17=0,0,11630*1000*SER_hh_tes!E17/SER_hh_num!E17)</f>
        <v>46619.023708390036</v>
      </c>
      <c r="F17" s="133">
        <f>IF(SER_hh_tes!F17=0,0,11630*1000*SER_hh_tes!F17/SER_hh_num!F17)</f>
        <v>24470.873271649325</v>
      </c>
      <c r="G17" s="133">
        <f>IF(SER_hh_tes!G17=0,0,11630*1000*SER_hh_tes!G17/SER_hh_num!G17)</f>
        <v>26644.030874114771</v>
      </c>
      <c r="H17" s="133">
        <f>IF(SER_hh_tes!H17=0,0,11630*1000*SER_hh_tes!H17/SER_hh_num!H17)</f>
        <v>30507.903013261228</v>
      </c>
      <c r="I17" s="133">
        <f>IF(SER_hh_tes!I17=0,0,11630*1000*SER_hh_tes!I17/SER_hh_num!I17)</f>
        <v>23855.078958653605</v>
      </c>
      <c r="J17" s="133">
        <f>IF(SER_hh_tes!J17=0,0,11630*1000*SER_hh_tes!J17/SER_hh_num!J17)</f>
        <v>24222.024482828263</v>
      </c>
      <c r="K17" s="133">
        <f>IF(SER_hh_tes!K17=0,0,11630*1000*SER_hh_tes!K17/SER_hh_num!K17)</f>
        <v>25878.236446330528</v>
      </c>
      <c r="L17" s="133">
        <f>IF(SER_hh_tes!L17=0,0,11630*1000*SER_hh_tes!L17/SER_hh_num!L17)</f>
        <v>25513.03984680217</v>
      </c>
      <c r="M17" s="133">
        <f>IF(SER_hh_tes!M17=0,0,11630*1000*SER_hh_tes!M17/SER_hh_num!M17)</f>
        <v>25101.086993982863</v>
      </c>
      <c r="N17" s="133">
        <f>IF(SER_hh_tes!N17=0,0,11630*1000*SER_hh_tes!N17/SER_hh_num!N17)</f>
        <v>26370.358360833536</v>
      </c>
      <c r="O17" s="133">
        <f>IF(SER_hh_tes!O17=0,0,11630*1000*SER_hh_tes!O17/SER_hh_num!O17)</f>
        <v>26232.8515636009</v>
      </c>
      <c r="P17" s="133">
        <f>IF(SER_hh_tes!P17=0,0,11630*1000*SER_hh_tes!P17/SER_hh_num!P17)</f>
        <v>24686.54891049477</v>
      </c>
      <c r="Q17" s="133">
        <f>IF(SER_hh_tes!Q17=0,0,11630*1000*SER_hh_tes!Q17/SER_hh_num!Q17)</f>
        <v>30855.052927882021</v>
      </c>
      <c r="R17" s="133">
        <f>IF(SER_hh_tes!R17=0,0,11630*1000*SER_hh_tes!R17/SER_hh_num!R17)</f>
        <v>27336.13812248133</v>
      </c>
      <c r="S17" s="133">
        <f>IF(SER_hh_tes!S17=0,0,11630*1000*SER_hh_tes!S17/SER_hh_num!S17)</f>
        <v>29784.299782930579</v>
      </c>
      <c r="T17" s="133">
        <f>IF(SER_hh_tes!T17=0,0,11630*1000*SER_hh_tes!T17/SER_hh_num!T17)</f>
        <v>29616.886458461304</v>
      </c>
      <c r="U17" s="133">
        <f>IF(SER_hh_tes!U17=0,0,11630*1000*SER_hh_tes!U17/SER_hh_num!U17)</f>
        <v>30159.292199483214</v>
      </c>
      <c r="V17" s="133">
        <f>IF(SER_hh_tes!V17=0,0,11630*1000*SER_hh_tes!V17/SER_hh_num!V17)</f>
        <v>29226.538386799526</v>
      </c>
      <c r="W17" s="133">
        <f>IF(SER_hh_tes!W17=0,0,11630*1000*SER_hh_tes!W17/SER_hh_num!W17)</f>
        <v>23569.86595366133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23569.427243566595</v>
      </c>
      <c r="C18" s="133">
        <f>IF(SER_hh_tes!C18=0,0,11630*1000*SER_hh_tes!C18/SER_hh_num!C18)</f>
        <v>24798.82656117373</v>
      </c>
      <c r="D18" s="133">
        <f>IF(SER_hh_tes!D18=0,0,11630*1000*SER_hh_tes!D18/SER_hh_num!D18)</f>
        <v>23738.497342245137</v>
      </c>
      <c r="E18" s="133">
        <f>IF(SER_hh_tes!E18=0,0,11630*1000*SER_hh_tes!E18/SER_hh_num!E18)</f>
        <v>41471.048671858021</v>
      </c>
      <c r="F18" s="133">
        <f>IF(SER_hh_tes!F18=0,0,11630*1000*SER_hh_tes!F18/SER_hh_num!F18)</f>
        <v>24470.900557242017</v>
      </c>
      <c r="G18" s="133">
        <f>IF(SER_hh_tes!G18=0,0,11630*1000*SER_hh_tes!G18/SER_hh_num!G18)</f>
        <v>26644.058357099591</v>
      </c>
      <c r="H18" s="133">
        <f>IF(SER_hh_tes!H18=0,0,11630*1000*SER_hh_tes!H18/SER_hh_num!H18)</f>
        <v>30507.918884878749</v>
      </c>
      <c r="I18" s="133">
        <f>IF(SER_hh_tes!I18=0,0,11630*1000*SER_hh_tes!I18/SER_hh_num!I18)</f>
        <v>23855.078700608112</v>
      </c>
      <c r="J18" s="133">
        <f>IF(SER_hh_tes!J18=0,0,11630*1000*SER_hh_tes!J18/SER_hh_num!J18)</f>
        <v>24222.014514685488</v>
      </c>
      <c r="K18" s="133">
        <f>IF(SER_hh_tes!K18=0,0,11630*1000*SER_hh_tes!K18/SER_hh_num!K18)</f>
        <v>25878.218329272629</v>
      </c>
      <c r="L18" s="133">
        <f>IF(SER_hh_tes!L18=0,0,11630*1000*SER_hh_tes!L18/SER_hh_num!L18)</f>
        <v>25513.014048199297</v>
      </c>
      <c r="M18" s="133">
        <f>IF(SER_hh_tes!M18=0,0,11630*1000*SER_hh_tes!M18/SER_hh_num!M18)</f>
        <v>25101.055763001154</v>
      </c>
      <c r="N18" s="133">
        <f>IF(SER_hh_tes!N18=0,0,11630*1000*SER_hh_tes!N18/SER_hh_num!N18)</f>
        <v>26370.370639239463</v>
      </c>
      <c r="O18" s="133">
        <f>IF(SER_hh_tes!O18=0,0,11630*1000*SER_hh_tes!O18/SER_hh_num!O18)</f>
        <v>26232.897218341433</v>
      </c>
      <c r="P18" s="133">
        <f>IF(SER_hh_tes!P18=0,0,11630*1000*SER_hh_tes!P18/SER_hh_num!P18)</f>
        <v>24686.605470882703</v>
      </c>
      <c r="Q18" s="133">
        <f>IF(SER_hh_tes!Q18=0,0,11630*1000*SER_hh_tes!Q18/SER_hh_num!Q18)</f>
        <v>30855.109846176951</v>
      </c>
      <c r="R18" s="133">
        <f>IF(SER_hh_tes!R18=0,0,11630*1000*SER_hh_tes!R18/SER_hh_num!R18)</f>
        <v>27336.156966109585</v>
      </c>
      <c r="S18" s="133">
        <f>IF(SER_hh_tes!S18=0,0,11630*1000*SER_hh_tes!S18/SER_hh_num!S18)</f>
        <v>29784.280720288822</v>
      </c>
      <c r="T18" s="133">
        <f>IF(SER_hh_tes!T18=0,0,11630*1000*SER_hh_tes!T18/SER_hh_num!T18)</f>
        <v>29616.838772996372</v>
      </c>
      <c r="U18" s="133">
        <f>IF(SER_hh_tes!U18=0,0,11630*1000*SER_hh_tes!U18/SER_hh_num!U18)</f>
        <v>30159.231141286407</v>
      </c>
      <c r="V18" s="133">
        <f>IF(SER_hh_tes!V18=0,0,11630*1000*SER_hh_tes!V18/SER_hh_num!V18)</f>
        <v>31541.23736372315</v>
      </c>
      <c r="W18" s="133">
        <f>IF(SER_hh_tes!W18=0,0,11630*1000*SER_hh_tes!W18/SER_hh_num!W18)</f>
        <v>26358.780830939184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15072.72232687699</v>
      </c>
      <c r="C19" s="131">
        <f>IF(SER_hh_tes!C19=0,0,11630*1000*SER_hh_tes!C19/SER_hh_num!C19)</f>
        <v>14832.838292706729</v>
      </c>
      <c r="D19" s="131">
        <f>IF(SER_hh_tes!D19=0,0,11630*1000*SER_hh_tes!D19/SER_hh_num!D19)</f>
        <v>14824.160857220679</v>
      </c>
      <c r="E19" s="131">
        <f>IF(SER_hh_tes!E19=0,0,11630*1000*SER_hh_tes!E19/SER_hh_num!E19)</f>
        <v>14501.381652813052</v>
      </c>
      <c r="F19" s="131">
        <f>IF(SER_hh_tes!F19=0,0,11630*1000*SER_hh_tes!F19/SER_hh_num!F19)</f>
        <v>14906.380337957129</v>
      </c>
      <c r="G19" s="131">
        <f>IF(SER_hh_tes!G19=0,0,11630*1000*SER_hh_tes!G19/SER_hh_num!G19)</f>
        <v>14774.71517002309</v>
      </c>
      <c r="H19" s="131">
        <f>IF(SER_hh_tes!H19=0,0,11630*1000*SER_hh_tes!H19/SER_hh_num!H19)</f>
        <v>14527.531711198186</v>
      </c>
      <c r="I19" s="131">
        <f>IF(SER_hh_tes!I19=0,0,11630*1000*SER_hh_tes!I19/SER_hh_num!I19)</f>
        <v>14359.771412184858</v>
      </c>
      <c r="J19" s="131">
        <f>IF(SER_hh_tes!J19=0,0,11630*1000*SER_hh_tes!J19/SER_hh_num!J19)</f>
        <v>14662.442299546203</v>
      </c>
      <c r="K19" s="131">
        <f>IF(SER_hh_tes!K19=0,0,11630*1000*SER_hh_tes!K19/SER_hh_num!K19)</f>
        <v>14955.922259101226</v>
      </c>
      <c r="L19" s="131">
        <f>IF(SER_hh_tes!L19=0,0,11630*1000*SER_hh_tes!L19/SER_hh_num!L19)</f>
        <v>14912.105355258353</v>
      </c>
      <c r="M19" s="131">
        <f>IF(SER_hh_tes!M19=0,0,11630*1000*SER_hh_tes!M19/SER_hh_num!M19)</f>
        <v>14929.966847730795</v>
      </c>
      <c r="N19" s="131">
        <f>IF(SER_hh_tes!N19=0,0,11630*1000*SER_hh_tes!N19/SER_hh_num!N19)</f>
        <v>15146.059510100433</v>
      </c>
      <c r="O19" s="131">
        <f>IF(SER_hh_tes!O19=0,0,11630*1000*SER_hh_tes!O19/SER_hh_num!O19)</f>
        <v>15373.680707129693</v>
      </c>
      <c r="P19" s="131">
        <f>IF(SER_hh_tes!P19=0,0,11630*1000*SER_hh_tes!P19/SER_hh_num!P19)</f>
        <v>15353.169884561677</v>
      </c>
      <c r="Q19" s="131">
        <f>IF(SER_hh_tes!Q19=0,0,11630*1000*SER_hh_tes!Q19/SER_hh_num!Q19)</f>
        <v>15479.673850553212</v>
      </c>
      <c r="R19" s="131">
        <f>IF(SER_hh_tes!R19=0,0,11630*1000*SER_hh_tes!R19/SER_hh_num!R19)</f>
        <v>15632.139299944463</v>
      </c>
      <c r="S19" s="131">
        <f>IF(SER_hh_tes!S19=0,0,11630*1000*SER_hh_tes!S19/SER_hh_num!S19)</f>
        <v>15616.987751817023</v>
      </c>
      <c r="T19" s="131">
        <f>IF(SER_hh_tes!T19=0,0,11630*1000*SER_hh_tes!T19/SER_hh_num!T19)</f>
        <v>15906.91597502363</v>
      </c>
      <c r="U19" s="131">
        <f>IF(SER_hh_tes!U19=0,0,11630*1000*SER_hh_tes!U19/SER_hh_num!U19)</f>
        <v>15498.125379198438</v>
      </c>
      <c r="V19" s="131">
        <f>IF(SER_hh_tes!V19=0,0,11630*1000*SER_hh_tes!V19/SER_hh_num!V19)</f>
        <v>14395.538257568001</v>
      </c>
      <c r="W19" s="131">
        <f>IF(SER_hh_tes!W19=0,0,11630*1000*SER_hh_tes!W19/SER_hh_num!W19)</f>
        <v>15479.613245048398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14731.169530917196</v>
      </c>
      <c r="C21" s="133">
        <f>IF(SER_hh_tes!C21=0,0,11630*1000*SER_hh_tes!C21/SER_hh_num!C21)</f>
        <v>14648.770598899206</v>
      </c>
      <c r="D21" s="133">
        <f>IF(SER_hh_tes!D21=0,0,11630*1000*SER_hh_tes!D21/SER_hh_num!D21)</f>
        <v>14990.944806644347</v>
      </c>
      <c r="E21" s="133">
        <f>IF(SER_hh_tes!E21=0,0,11630*1000*SER_hh_tes!E21/SER_hh_num!E21)</f>
        <v>15085.946396657899</v>
      </c>
      <c r="F21" s="133">
        <f>IF(SER_hh_tes!F21=0,0,11630*1000*SER_hh_tes!F21/SER_hh_num!F21)</f>
        <v>14989.611973465551</v>
      </c>
      <c r="G21" s="133">
        <f>IF(SER_hh_tes!G21=0,0,11630*1000*SER_hh_tes!G21/SER_hh_num!G21)</f>
        <v>14302.285288067746</v>
      </c>
      <c r="H21" s="133">
        <f>IF(SER_hh_tes!H21=0,0,11630*1000*SER_hh_tes!H21/SER_hh_num!H21)</f>
        <v>14619.340643400104</v>
      </c>
      <c r="I21" s="133">
        <f>IF(SER_hh_tes!I21=0,0,11630*1000*SER_hh_tes!I21/SER_hh_num!I21)</f>
        <v>14624.598770058372</v>
      </c>
      <c r="J21" s="133">
        <f>IF(SER_hh_tes!J21=0,0,11630*1000*SER_hh_tes!J21/SER_hh_num!J21)</f>
        <v>14762.460634059944</v>
      </c>
      <c r="K21" s="133">
        <f>IF(SER_hh_tes!K21=0,0,11630*1000*SER_hh_tes!K21/SER_hh_num!K21)</f>
        <v>15233.013192660503</v>
      </c>
      <c r="L21" s="133">
        <f>IF(SER_hh_tes!L21=0,0,11630*1000*SER_hh_tes!L21/SER_hh_num!L21)</f>
        <v>14731.114304984696</v>
      </c>
      <c r="M21" s="133">
        <f>IF(SER_hh_tes!M21=0,0,11630*1000*SER_hh_tes!M21/SER_hh_num!M21)</f>
        <v>14983.194522812935</v>
      </c>
      <c r="N21" s="133">
        <f>IF(SER_hh_tes!N21=0,0,11630*1000*SER_hh_tes!N21/SER_hh_num!N21)</f>
        <v>15071.679958735005</v>
      </c>
      <c r="O21" s="133">
        <f>IF(SER_hh_tes!O21=0,0,11630*1000*SER_hh_tes!O21/SER_hh_num!O21)</f>
        <v>15223.297956928647</v>
      </c>
      <c r="P21" s="133">
        <f>IF(SER_hh_tes!P21=0,0,11630*1000*SER_hh_tes!P21/SER_hh_num!P21)</f>
        <v>15547.075811936671</v>
      </c>
      <c r="Q21" s="133">
        <f>IF(SER_hh_tes!Q21=0,0,11630*1000*SER_hh_tes!Q21/SER_hh_num!Q21)</f>
        <v>15473.339899326538</v>
      </c>
      <c r="R21" s="133">
        <f>IF(SER_hh_tes!R21=0,0,11630*1000*SER_hh_tes!R21/SER_hh_num!R21)</f>
        <v>16013.640628760641</v>
      </c>
      <c r="S21" s="133">
        <f>IF(SER_hh_tes!S21=0,0,11630*1000*SER_hh_tes!S21/SER_hh_num!S21)</f>
        <v>17395.220257692636</v>
      </c>
      <c r="T21" s="133">
        <f>IF(SER_hh_tes!T21=0,0,11630*1000*SER_hh_tes!T21/SER_hh_num!T21)</f>
        <v>13433.143976374839</v>
      </c>
      <c r="U21" s="133">
        <f>IF(SER_hh_tes!U21=0,0,11630*1000*SER_hh_tes!U21/SER_hh_num!U21)</f>
        <v>14534.191608464305</v>
      </c>
      <c r="V21" s="133">
        <f>IF(SER_hh_tes!V21=0,0,11630*1000*SER_hh_tes!V21/SER_hh_num!V21)</f>
        <v>14554.258185706773</v>
      </c>
      <c r="W21" s="133">
        <f>IF(SER_hh_tes!W21=0,0,11630*1000*SER_hh_tes!W21/SER_hh_num!W21)</f>
        <v>15315.365674944807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14912.001475282259</v>
      </c>
      <c r="C22" s="133">
        <f>IF(SER_hh_tes!C22=0,0,11630*1000*SER_hh_tes!C22/SER_hh_num!C22)</f>
        <v>14969.944006288666</v>
      </c>
      <c r="D22" s="133">
        <f>IF(SER_hh_tes!D22=0,0,11630*1000*SER_hh_tes!D22/SER_hh_num!D22)</f>
        <v>14768.891034732802</v>
      </c>
      <c r="E22" s="133">
        <f>IF(SER_hh_tes!E22=0,0,11630*1000*SER_hh_tes!E22/SER_hh_num!E22)</f>
        <v>14653.76521340247</v>
      </c>
      <c r="F22" s="133">
        <f>IF(SER_hh_tes!F22=0,0,11630*1000*SER_hh_tes!F22/SER_hh_num!F22)</f>
        <v>14908.171551103356</v>
      </c>
      <c r="G22" s="133">
        <f>IF(SER_hh_tes!G22=0,0,11630*1000*SER_hh_tes!G22/SER_hh_num!G22)</f>
        <v>14927.25260237017</v>
      </c>
      <c r="H22" s="133">
        <f>IF(SER_hh_tes!H22=0,0,11630*1000*SER_hh_tes!H22/SER_hh_num!H22)</f>
        <v>14574.12310021058</v>
      </c>
      <c r="I22" s="133">
        <f>IF(SER_hh_tes!I22=0,0,11630*1000*SER_hh_tes!I22/SER_hh_num!I22)</f>
        <v>14196.51006989085</v>
      </c>
      <c r="J22" s="133">
        <f>IF(SER_hh_tes!J22=0,0,11630*1000*SER_hh_tes!J22/SER_hh_num!J22)</f>
        <v>14781.279313358957</v>
      </c>
      <c r="K22" s="133">
        <f>IF(SER_hh_tes!K22=0,0,11630*1000*SER_hh_tes!K22/SER_hh_num!K22)</f>
        <v>15094.543150973348</v>
      </c>
      <c r="L22" s="133">
        <f>IF(SER_hh_tes!L22=0,0,11630*1000*SER_hh_tes!L22/SER_hh_num!L22)</f>
        <v>14593.654058822043</v>
      </c>
      <c r="M22" s="133">
        <f>IF(SER_hh_tes!M22=0,0,11630*1000*SER_hh_tes!M22/SER_hh_num!M22)</f>
        <v>14150.623901770961</v>
      </c>
      <c r="N22" s="133">
        <f>IF(SER_hh_tes!N22=0,0,11630*1000*SER_hh_tes!N22/SER_hh_num!N22)</f>
        <v>15547.710359365281</v>
      </c>
      <c r="O22" s="133">
        <f>IF(SER_hh_tes!O22=0,0,11630*1000*SER_hh_tes!O22/SER_hh_num!O22)</f>
        <v>15487.88577939537</v>
      </c>
      <c r="P22" s="133">
        <f>IF(SER_hh_tes!P22=0,0,11630*1000*SER_hh_tes!P22/SER_hh_num!P22)</f>
        <v>15269.633465423498</v>
      </c>
      <c r="Q22" s="133">
        <f>IF(SER_hh_tes!Q22=0,0,11630*1000*SER_hh_tes!Q22/SER_hh_num!Q22)</f>
        <v>16352.607166773409</v>
      </c>
      <c r="R22" s="133">
        <f>IF(SER_hh_tes!R22=0,0,11630*1000*SER_hh_tes!R22/SER_hh_num!R22)</f>
        <v>14863.794431172561</v>
      </c>
      <c r="S22" s="133">
        <f>IF(SER_hh_tes!S22=0,0,11630*1000*SER_hh_tes!S22/SER_hh_num!S22)</f>
        <v>16138.207801004766</v>
      </c>
      <c r="T22" s="133">
        <f>IF(SER_hh_tes!T22=0,0,11630*1000*SER_hh_tes!T22/SER_hh_num!T22)</f>
        <v>15550.328016450989</v>
      </c>
      <c r="U22" s="133">
        <f>IF(SER_hh_tes!U22=0,0,11630*1000*SER_hh_tes!U22/SER_hh_num!U22)</f>
        <v>15236.127114557507</v>
      </c>
      <c r="V22" s="133">
        <f>IF(SER_hh_tes!V22=0,0,11630*1000*SER_hh_tes!V22/SER_hh_num!V22)</f>
        <v>15147.303016876662</v>
      </c>
      <c r="W22" s="133">
        <f>IF(SER_hh_tes!W22=0,0,11630*1000*SER_hh_tes!W22/SER_hh_num!W22)</f>
        <v>14541.034262087622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14996.305620042347</v>
      </c>
      <c r="C23" s="133">
        <f>IF(SER_hh_tes!C23=0,0,11630*1000*SER_hh_tes!C23/SER_hh_num!C23)</f>
        <v>14869.412430796316</v>
      </c>
      <c r="D23" s="133">
        <f>IF(SER_hh_tes!D23=0,0,11630*1000*SER_hh_tes!D23/SER_hh_num!D23)</f>
        <v>14705.725769553641</v>
      </c>
      <c r="E23" s="133">
        <f>IF(SER_hh_tes!E23=0,0,11630*1000*SER_hh_tes!E23/SER_hh_num!E23)</f>
        <v>14945.338092265045</v>
      </c>
      <c r="F23" s="133">
        <f>IF(SER_hh_tes!F23=0,0,11630*1000*SER_hh_tes!F23/SER_hh_num!F23)</f>
        <v>15104.4489528257</v>
      </c>
      <c r="G23" s="133">
        <f>IF(SER_hh_tes!G23=0,0,11630*1000*SER_hh_tes!G23/SER_hh_num!G23)</f>
        <v>14544.552333091939</v>
      </c>
      <c r="H23" s="133">
        <f>IF(SER_hh_tes!H23=0,0,11630*1000*SER_hh_tes!H23/SER_hh_num!H23)</f>
        <v>14246.937184119604</v>
      </c>
      <c r="I23" s="133">
        <f>IF(SER_hh_tes!I23=0,0,11630*1000*SER_hh_tes!I23/SER_hh_num!I23)</f>
        <v>14385.207997763298</v>
      </c>
      <c r="J23" s="133">
        <f>IF(SER_hh_tes!J23=0,0,11630*1000*SER_hh_tes!J23/SER_hh_num!J23)</f>
        <v>14214.016098607943</v>
      </c>
      <c r="K23" s="133">
        <f>IF(SER_hh_tes!K23=0,0,11630*1000*SER_hh_tes!K23/SER_hh_num!K23)</f>
        <v>15260.711526784366</v>
      </c>
      <c r="L23" s="133">
        <f>IF(SER_hh_tes!L23=0,0,11630*1000*SER_hh_tes!L23/SER_hh_num!L23)</f>
        <v>14767.522723000922</v>
      </c>
      <c r="M23" s="133">
        <f>IF(SER_hh_tes!M23=0,0,11630*1000*SER_hh_tes!M23/SER_hh_num!M23)</f>
        <v>16400.945857445338</v>
      </c>
      <c r="N23" s="133">
        <f>IF(SER_hh_tes!N23=0,0,11630*1000*SER_hh_tes!N23/SER_hh_num!N23)</f>
        <v>12815.047095007523</v>
      </c>
      <c r="O23" s="133">
        <f>IF(SER_hh_tes!O23=0,0,11630*1000*SER_hh_tes!O23/SER_hh_num!O23)</f>
        <v>14347.774330663769</v>
      </c>
      <c r="P23" s="133">
        <f>IF(SER_hh_tes!P23=0,0,11630*1000*SER_hh_tes!P23/SER_hh_num!P23)</f>
        <v>15159.190145930561</v>
      </c>
      <c r="Q23" s="133">
        <f>IF(SER_hh_tes!Q23=0,0,11630*1000*SER_hh_tes!Q23/SER_hh_num!Q23)</f>
        <v>15058.092531085666</v>
      </c>
      <c r="R23" s="133">
        <f>IF(SER_hh_tes!R23=0,0,11630*1000*SER_hh_tes!R23/SER_hh_num!R23)</f>
        <v>16251.770308322299</v>
      </c>
      <c r="S23" s="133">
        <f>IF(SER_hh_tes!S23=0,0,11630*1000*SER_hh_tes!S23/SER_hh_num!S23)</f>
        <v>15496.548342942593</v>
      </c>
      <c r="T23" s="133">
        <f>IF(SER_hh_tes!T23=0,0,11630*1000*SER_hh_tes!T23/SER_hh_num!T23)</f>
        <v>15675.611865159528</v>
      </c>
      <c r="U23" s="133">
        <f>IF(SER_hh_tes!U23=0,0,11630*1000*SER_hh_tes!U23/SER_hh_num!U23)</f>
        <v>15389.186697812083</v>
      </c>
      <c r="V23" s="133">
        <f>IF(SER_hh_tes!V23=0,0,11630*1000*SER_hh_tes!V23/SER_hh_num!V23)</f>
        <v>13783.808995645684</v>
      </c>
      <c r="W23" s="133">
        <f>IF(SER_hh_tes!W23=0,0,11630*1000*SER_hh_tes!W23/SER_hh_num!W23)</f>
        <v>17033.408549235257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15109.4604409473</v>
      </c>
      <c r="C24" s="133">
        <f>IF(SER_hh_tes!C24=0,0,11630*1000*SER_hh_tes!C24/SER_hh_num!C24)</f>
        <v>14678.78278513534</v>
      </c>
      <c r="D24" s="133">
        <f>IF(SER_hh_tes!D24=0,0,11630*1000*SER_hh_tes!D24/SER_hh_num!D24)</f>
        <v>14593.005127122009</v>
      </c>
      <c r="E24" s="133">
        <f>IF(SER_hh_tes!E24=0,0,11630*1000*SER_hh_tes!E24/SER_hh_num!E24)</f>
        <v>14494.287113850538</v>
      </c>
      <c r="F24" s="133">
        <f>IF(SER_hh_tes!F24=0,0,11630*1000*SER_hh_tes!F24/SER_hh_num!F24)</f>
        <v>14960.963542852467</v>
      </c>
      <c r="G24" s="133">
        <f>IF(SER_hh_tes!G24=0,0,11630*1000*SER_hh_tes!G24/SER_hh_num!G24)</f>
        <v>14508.10650630338</v>
      </c>
      <c r="H24" s="133">
        <f>IF(SER_hh_tes!H24=0,0,11630*1000*SER_hh_tes!H24/SER_hh_num!H24)</f>
        <v>13832.082880238995</v>
      </c>
      <c r="I24" s="133">
        <f>IF(SER_hh_tes!I24=0,0,11630*1000*SER_hh_tes!I24/SER_hh_num!I24)</f>
        <v>15176.226498411017</v>
      </c>
      <c r="J24" s="133">
        <f>IF(SER_hh_tes!J24=0,0,11630*1000*SER_hh_tes!J24/SER_hh_num!J24)</f>
        <v>14382.482306518201</v>
      </c>
      <c r="K24" s="133">
        <f>IF(SER_hh_tes!K24=0,0,11630*1000*SER_hh_tes!K24/SER_hh_num!K24)</f>
        <v>15556.809643402717</v>
      </c>
      <c r="L24" s="133">
        <f>IF(SER_hh_tes!L24=0,0,11630*1000*SER_hh_tes!L24/SER_hh_num!L24)</f>
        <v>17362.291106786324</v>
      </c>
      <c r="M24" s="133">
        <f>IF(SER_hh_tes!M24=0,0,11630*1000*SER_hh_tes!M24/SER_hh_num!M24)</f>
        <v>12154.640130770946</v>
      </c>
      <c r="N24" s="133">
        <f>IF(SER_hh_tes!N24=0,0,11630*1000*SER_hh_tes!N24/SER_hh_num!N24)</f>
        <v>13670.429034350376</v>
      </c>
      <c r="O24" s="133">
        <f>IF(SER_hh_tes!O24=0,0,11630*1000*SER_hh_tes!O24/SER_hh_num!O24)</f>
        <v>18024.81953274061</v>
      </c>
      <c r="P24" s="133">
        <f>IF(SER_hh_tes!P24=0,0,11630*1000*SER_hh_tes!P24/SER_hh_num!P24)</f>
        <v>15450.528705046119</v>
      </c>
      <c r="Q24" s="133">
        <f>IF(SER_hh_tes!Q24=0,0,11630*1000*SER_hh_tes!Q24/SER_hh_num!Q24)</f>
        <v>13581.270707575552</v>
      </c>
      <c r="R24" s="133">
        <f>IF(SER_hh_tes!R24=0,0,11630*1000*SER_hh_tes!R24/SER_hh_num!R24)</f>
        <v>15448.990552744914</v>
      </c>
      <c r="S24" s="133">
        <f>IF(SER_hh_tes!S24=0,0,11630*1000*SER_hh_tes!S24/SER_hh_num!S24)</f>
        <v>15709.01586305668</v>
      </c>
      <c r="T24" s="133">
        <f>IF(SER_hh_tes!T24=0,0,11630*1000*SER_hh_tes!T24/SER_hh_num!T24)</f>
        <v>15055.376348361731</v>
      </c>
      <c r="U24" s="133">
        <f>IF(SER_hh_tes!U24=0,0,11630*1000*SER_hh_tes!U24/SER_hh_num!U24)</f>
        <v>14886.924472432755</v>
      </c>
      <c r="V24" s="133">
        <f>IF(SER_hh_tes!V24=0,0,11630*1000*SER_hh_tes!V24/SER_hh_num!V24)</f>
        <v>14633.621924051266</v>
      </c>
      <c r="W24" s="133">
        <f>IF(SER_hh_tes!W24=0,0,11630*1000*SER_hh_tes!W24/SER_hh_num!W24)</f>
        <v>15954.793602052356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14824.167621832035</v>
      </c>
      <c r="C25" s="133">
        <f>IF(SER_hh_tes!C25=0,0,11630*1000*SER_hh_tes!C25/SER_hh_num!C25)</f>
        <v>15044.206338871058</v>
      </c>
      <c r="D25" s="133">
        <f>IF(SER_hh_tes!D25=0,0,11630*1000*SER_hh_tes!D25/SER_hh_num!D25)</f>
        <v>14634.073029490011</v>
      </c>
      <c r="E25" s="133">
        <f>IF(SER_hh_tes!E25=0,0,11630*1000*SER_hh_tes!E25/SER_hh_num!E25)</f>
        <v>14685.664255170665</v>
      </c>
      <c r="F25" s="133">
        <f>IF(SER_hh_tes!F25=0,0,11630*1000*SER_hh_tes!F25/SER_hh_num!F25)</f>
        <v>14938.929865805043</v>
      </c>
      <c r="G25" s="133">
        <f>IF(SER_hh_tes!G25=0,0,11630*1000*SER_hh_tes!G25/SER_hh_num!G25)</f>
        <v>15543.024324358214</v>
      </c>
      <c r="H25" s="133">
        <f>IF(SER_hh_tes!H25=0,0,11630*1000*SER_hh_tes!H25/SER_hh_num!H25)</f>
        <v>16962.606129058764</v>
      </c>
      <c r="I25" s="133">
        <f>IF(SER_hh_tes!I25=0,0,11630*1000*SER_hh_tes!I25/SER_hh_num!I25)</f>
        <v>10842.85162478197</v>
      </c>
      <c r="J25" s="133">
        <f>IF(SER_hh_tes!J25=0,0,11630*1000*SER_hh_tes!J25/SER_hh_num!J25)</f>
        <v>13434.989974456306</v>
      </c>
      <c r="K25" s="133">
        <f>IF(SER_hh_tes!K25=0,0,11630*1000*SER_hh_tes!K25/SER_hh_num!K25)</f>
        <v>16081.952096516792</v>
      </c>
      <c r="L25" s="133">
        <f>IF(SER_hh_tes!L25=0,0,11630*1000*SER_hh_tes!L25/SER_hh_num!L25)</f>
        <v>14486.254222184189</v>
      </c>
      <c r="M25" s="133">
        <f>IF(SER_hh_tes!M25=0,0,11630*1000*SER_hh_tes!M25/SER_hh_num!M25)</f>
        <v>13603.862035095641</v>
      </c>
      <c r="N25" s="133">
        <f>IF(SER_hh_tes!N25=0,0,11630*1000*SER_hh_tes!N25/SER_hh_num!N25)</f>
        <v>15995.018567058223</v>
      </c>
      <c r="O25" s="133">
        <f>IF(SER_hh_tes!O25=0,0,11630*1000*SER_hh_tes!O25/SER_hh_num!O25)</f>
        <v>16278.453633556661</v>
      </c>
      <c r="P25" s="133">
        <f>IF(SER_hh_tes!P25=0,0,11630*1000*SER_hh_tes!P25/SER_hh_num!P25)</f>
        <v>14539.950487545444</v>
      </c>
      <c r="Q25" s="133">
        <f>IF(SER_hh_tes!Q25=0,0,11630*1000*SER_hh_tes!Q25/SER_hh_num!Q25)</f>
        <v>15110.418559360254</v>
      </c>
      <c r="R25" s="133">
        <f>IF(SER_hh_tes!R25=0,0,11630*1000*SER_hh_tes!R25/SER_hh_num!R25)</f>
        <v>15858.779151150449</v>
      </c>
      <c r="S25" s="133">
        <f>IF(SER_hh_tes!S25=0,0,11630*1000*SER_hh_tes!S25/SER_hh_num!S25)</f>
        <v>15055.379782550523</v>
      </c>
      <c r="T25" s="133">
        <f>IF(SER_hh_tes!T25=0,0,11630*1000*SER_hh_tes!T25/SER_hh_num!T25)</f>
        <v>16682.576650553485</v>
      </c>
      <c r="U25" s="133">
        <f>IF(SER_hh_tes!U25=0,0,11630*1000*SER_hh_tes!U25/SER_hh_num!U25)</f>
        <v>15463.106487303581</v>
      </c>
      <c r="V25" s="133">
        <f>IF(SER_hh_tes!V25=0,0,11630*1000*SER_hh_tes!V25/SER_hh_num!V25)</f>
        <v>15235.989398281838</v>
      </c>
      <c r="W25" s="133">
        <f>IF(SER_hh_tes!W25=0,0,11630*1000*SER_hh_tes!W25/SER_hh_num!W25)</f>
        <v>13799.451602755598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15207.543462943555</v>
      </c>
      <c r="C26" s="65">
        <f>IF(SER_hh_tes!C26=0,0,11630*1000*SER_hh_tes!C26/SER_hh_num!C26)</f>
        <v>14754.03422973281</v>
      </c>
      <c r="D26" s="65">
        <f>IF(SER_hh_tes!D26=0,0,11630*1000*SER_hh_tes!D26/SER_hh_num!D26)</f>
        <v>14907.253230475824</v>
      </c>
      <c r="E26" s="65">
        <f>IF(SER_hh_tes!E26=0,0,11630*1000*SER_hh_tes!E26/SER_hh_num!E26)</f>
        <v>14233.006476385164</v>
      </c>
      <c r="F26" s="65">
        <f>IF(SER_hh_tes!F26=0,0,11630*1000*SER_hh_tes!F26/SER_hh_num!F26)</f>
        <v>14829.099169206291</v>
      </c>
      <c r="G26" s="65">
        <f>IF(SER_hh_tes!G26=0,0,11630*1000*SER_hh_tes!G26/SER_hh_num!G26)</f>
        <v>14688.831973608449</v>
      </c>
      <c r="H26" s="65">
        <f>IF(SER_hh_tes!H26=0,0,11630*1000*SER_hh_tes!H26/SER_hh_num!H26)</f>
        <v>14282.862875591285</v>
      </c>
      <c r="I26" s="65">
        <f>IF(SER_hh_tes!I26=0,0,11630*1000*SER_hh_tes!I26/SER_hh_num!I26)</f>
        <v>14634.339030965875</v>
      </c>
      <c r="J26" s="65">
        <f>IF(SER_hh_tes!J26=0,0,11630*1000*SER_hh_tes!J26/SER_hh_num!J26)</f>
        <v>14799.956549166989</v>
      </c>
      <c r="K26" s="65">
        <f>IF(SER_hh_tes!K26=0,0,11630*1000*SER_hh_tes!K26/SER_hh_num!K26)</f>
        <v>14676.571975102415</v>
      </c>
      <c r="L26" s="65">
        <f>IF(SER_hh_tes!L26=0,0,11630*1000*SER_hh_tes!L26/SER_hh_num!L26)</f>
        <v>14959.511327783346</v>
      </c>
      <c r="M26" s="65">
        <f>IF(SER_hh_tes!M26=0,0,11630*1000*SER_hh_tes!M26/SER_hh_num!M26)</f>
        <v>14751.360807560866</v>
      </c>
      <c r="N26" s="65">
        <f>IF(SER_hh_tes!N26=0,0,11630*1000*SER_hh_tes!N26/SER_hh_num!N26)</f>
        <v>15489.582592460243</v>
      </c>
      <c r="O26" s="65">
        <f>IF(SER_hh_tes!O26=0,0,11630*1000*SER_hh_tes!O26/SER_hh_num!O26)</f>
        <v>15343.043071609636</v>
      </c>
      <c r="P26" s="65">
        <f>IF(SER_hh_tes!P26=0,0,11630*1000*SER_hh_tes!P26/SER_hh_num!P26)</f>
        <v>15291.613070061745</v>
      </c>
      <c r="Q26" s="65">
        <f>IF(SER_hh_tes!Q26=0,0,11630*1000*SER_hh_tes!Q26/SER_hh_num!Q26)</f>
        <v>15233.019716191657</v>
      </c>
      <c r="R26" s="65">
        <f>IF(SER_hh_tes!R26=0,0,11630*1000*SER_hh_tes!R26/SER_hh_num!R26)</f>
        <v>15400.611389923815</v>
      </c>
      <c r="S26" s="65">
        <f>IF(SER_hh_tes!S26=0,0,11630*1000*SER_hh_tes!S26/SER_hh_num!S26)</f>
        <v>15309.184711435555</v>
      </c>
      <c r="T26" s="65">
        <f>IF(SER_hh_tes!T26=0,0,11630*1000*SER_hh_tes!T26/SER_hh_num!T26)</f>
        <v>15842.966986070187</v>
      </c>
      <c r="U26" s="65">
        <f>IF(SER_hh_tes!U26=0,0,11630*1000*SER_hh_tes!U26/SER_hh_num!U26)</f>
        <v>15400.879401589809</v>
      </c>
      <c r="V26" s="65">
        <f>IF(SER_hh_tes!V26=0,0,11630*1000*SER_hh_tes!V26/SER_hh_num!V26)</f>
        <v>14125.843571681302</v>
      </c>
      <c r="W26" s="65">
        <f>IF(SER_hh_tes!W26=0,0,11630*1000*SER_hh_tes!W26/SER_hh_num!W26)</f>
        <v>15135.815818934023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20.68161562976703</v>
      </c>
      <c r="H27" s="146">
        <f>IF(SER_hh_tes!H27=0,0,11630*1000*SER_hh_tes!H27/SER_hh_num!H19)</f>
        <v>20.9267197432915</v>
      </c>
      <c r="I27" s="146">
        <f>IF(SER_hh_tes!I27=0,0,11630*1000*SER_hh_tes!I27/SER_hh_num!I19)</f>
        <v>23.257564178120699</v>
      </c>
      <c r="J27" s="146">
        <f>IF(SER_hh_tes!J27=0,0,11630*1000*SER_hh_tes!J27/SER_hh_num!J19)</f>
        <v>27.723784358406466</v>
      </c>
      <c r="K27" s="146">
        <f>IF(SER_hh_tes!K27=0,0,11630*1000*SER_hh_tes!K27/SER_hh_num!K19)</f>
        <v>32.04628702178276</v>
      </c>
      <c r="L27" s="146">
        <f>IF(SER_hh_tes!L27=0,0,11630*1000*SER_hh_tes!L27/SER_hh_num!L19)</f>
        <v>36.641252401254171</v>
      </c>
      <c r="M27" s="146">
        <f>IF(SER_hh_tes!M27=0,0,11630*1000*SER_hh_tes!M27/SER_hh_num!M19)</f>
        <v>58.556589270883883</v>
      </c>
      <c r="N27" s="146">
        <f>IF(SER_hh_tes!N27=0,0,11630*1000*SER_hh_tes!N27/SER_hh_num!N19)</f>
        <v>93.642724564414138</v>
      </c>
      <c r="O27" s="146">
        <f>IF(SER_hh_tes!O27=0,0,11630*1000*SER_hh_tes!O27/SER_hh_num!O19)</f>
        <v>106.89358340969514</v>
      </c>
      <c r="P27" s="146">
        <f>IF(SER_hh_tes!P27=0,0,11630*1000*SER_hh_tes!P27/SER_hh_num!P19)</f>
        <v>114.30984789015758</v>
      </c>
      <c r="Q27" s="146">
        <f>IF(SER_hh_tes!Q27=0,0,11630*1000*SER_hh_tes!Q27/SER_hh_num!Q19)</f>
        <v>121.76957356844855</v>
      </c>
      <c r="R27" s="146">
        <f>IF(SER_hh_tes!R27=0,0,11630*1000*SER_hh_tes!R27/SER_hh_num!R19)</f>
        <v>126.26070806662095</v>
      </c>
      <c r="S27" s="146">
        <f>IF(SER_hh_tes!S27=0,0,11630*1000*SER_hh_tes!S27/SER_hh_num!S19)</f>
        <v>129.31740487410838</v>
      </c>
      <c r="T27" s="146">
        <f>IF(SER_hh_tes!T27=0,0,11630*1000*SER_hh_tes!T27/SER_hh_num!T19)</f>
        <v>131.41095471996931</v>
      </c>
      <c r="U27" s="146">
        <f>IF(SER_hh_tes!U27=0,0,11630*1000*SER_hh_tes!U27/SER_hh_num!U19)</f>
        <v>134.2088073448349</v>
      </c>
      <c r="V27" s="146">
        <f>IF(SER_hh_tes!V27=0,0,11630*1000*SER_hh_tes!V27/SER_hh_num!V19)</f>
        <v>134.86709811434073</v>
      </c>
      <c r="W27" s="146">
        <f>IF(SER_hh_tes!W27=0,0,11630*1000*SER_hh_tes!W27/SER_hh_num!W19)</f>
        <v>133.27694441151488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11616.762367470672</v>
      </c>
      <c r="H28" s="147">
        <f>IF(SER_hh_tes!H27=0,0,11630*1000*SER_hh_tes!H27/SER_hh_num!H27)</f>
        <v>11559.414280550274</v>
      </c>
      <c r="I28" s="147">
        <f>IF(SER_hh_tes!I27=0,0,11630*1000*SER_hh_tes!I27/SER_hh_num!I27)</f>
        <v>10809.569964276434</v>
      </c>
      <c r="J28" s="147">
        <f>IF(SER_hh_tes!J27=0,0,11630*1000*SER_hh_tes!J27/SER_hh_num!J27)</f>
        <v>11302.016407493935</v>
      </c>
      <c r="K28" s="147">
        <f>IF(SER_hh_tes!K27=0,0,11630*1000*SER_hh_tes!K27/SER_hh_num!K27)</f>
        <v>11814.016501075721</v>
      </c>
      <c r="L28" s="147">
        <f>IF(SER_hh_tes!L27=0,0,11630*1000*SER_hh_tes!L27/SER_hh_num!L27)</f>
        <v>8190.9019169830917</v>
      </c>
      <c r="M28" s="147">
        <f>IF(SER_hh_tes!M27=0,0,11630*1000*SER_hh_tes!M27/SER_hh_num!M27)</f>
        <v>11948.283753718248</v>
      </c>
      <c r="N28" s="147">
        <f>IF(SER_hh_tes!N27=0,0,11630*1000*SER_hh_tes!N27/SER_hh_num!N27)</f>
        <v>11308.850313871237</v>
      </c>
      <c r="O28" s="147">
        <f>IF(SER_hh_tes!O27=0,0,11630*1000*SER_hh_tes!O27/SER_hh_num!O27)</f>
        <v>11311.698820756734</v>
      </c>
      <c r="P28" s="147">
        <f>IF(SER_hh_tes!P27=0,0,11630*1000*SER_hh_tes!P27/SER_hh_num!P27)</f>
        <v>12428.588443104767</v>
      </c>
      <c r="Q28" s="147">
        <f>IF(SER_hh_tes!Q27=0,0,11630*1000*SER_hh_tes!Q27/SER_hh_num!Q27)</f>
        <v>12084.696805368403</v>
      </c>
      <c r="R28" s="147">
        <f>IF(SER_hh_tes!R27=0,0,11630*1000*SER_hh_tes!R27/SER_hh_num!R27)</f>
        <v>12449.55933000707</v>
      </c>
      <c r="S28" s="147">
        <f>IF(SER_hh_tes!S27=0,0,11630*1000*SER_hh_tes!S27/SER_hh_num!S27)</f>
        <v>12038.142876760568</v>
      </c>
      <c r="T28" s="147">
        <f>IF(SER_hh_tes!T27=0,0,11630*1000*SER_hh_tes!T27/SER_hh_num!T27)</f>
        <v>12274.971228987255</v>
      </c>
      <c r="U28" s="147">
        <f>IF(SER_hh_tes!U27=0,0,11630*1000*SER_hh_tes!U27/SER_hh_num!U27)</f>
        <v>12230.517800253418</v>
      </c>
      <c r="V28" s="147">
        <f>IF(SER_hh_tes!V27=0,0,11630*1000*SER_hh_tes!V27/SER_hh_num!V27)</f>
        <v>11241.572637979556</v>
      </c>
      <c r="W28" s="147">
        <f>IF(SER_hh_tes!W27=0,0,11630*1000*SER_hh_tes!W27/SER_hh_num!W27)</f>
        <v>12005.264340620026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13962.430085511278</v>
      </c>
      <c r="C29" s="131">
        <f>IF(SER_hh_tes!C29=0,0,11630*1000*SER_hh_tes!C29/SER_hh_num!C29)</f>
        <v>13993.490570402546</v>
      </c>
      <c r="D29" s="131">
        <f>IF(SER_hh_tes!D29=0,0,11630*1000*SER_hh_tes!D29/SER_hh_num!D29)</f>
        <v>14062.516689141594</v>
      </c>
      <c r="E29" s="131">
        <f>IF(SER_hh_tes!E29=0,0,11630*1000*SER_hh_tes!E29/SER_hh_num!E29)</f>
        <v>13861.301692170287</v>
      </c>
      <c r="F29" s="131">
        <f>IF(SER_hh_tes!F29=0,0,11630*1000*SER_hh_tes!F29/SER_hh_num!F29)</f>
        <v>14112.31163176008</v>
      </c>
      <c r="G29" s="131">
        <f>IF(SER_hh_tes!G29=0,0,11630*1000*SER_hh_tes!G29/SER_hh_num!G29)</f>
        <v>14104.967106392876</v>
      </c>
      <c r="H29" s="131">
        <f>IF(SER_hh_tes!H29=0,0,11630*1000*SER_hh_tes!H29/SER_hh_num!H29)</f>
        <v>14051.346614174319</v>
      </c>
      <c r="I29" s="131">
        <f>IF(SER_hh_tes!I29=0,0,11630*1000*SER_hh_tes!I29/SER_hh_num!I29)</f>
        <v>14227.564338278182</v>
      </c>
      <c r="J29" s="131">
        <f>IF(SER_hh_tes!J29=0,0,11630*1000*SER_hh_tes!J29/SER_hh_num!J29)</f>
        <v>14418.545917388952</v>
      </c>
      <c r="K29" s="131">
        <f>IF(SER_hh_tes!K29=0,0,11630*1000*SER_hh_tes!K29/SER_hh_num!K29)</f>
        <v>14923.009144240163</v>
      </c>
      <c r="L29" s="131">
        <f>IF(SER_hh_tes!L29=0,0,11630*1000*SER_hh_tes!L29/SER_hh_num!L29)</f>
        <v>15181.821316983976</v>
      </c>
      <c r="M29" s="131">
        <f>IF(SER_hh_tes!M29=0,0,11630*1000*SER_hh_tes!M29/SER_hh_num!M29)</f>
        <v>15264.127328324383</v>
      </c>
      <c r="N29" s="131">
        <f>IF(SER_hh_tes!N29=0,0,11630*1000*SER_hh_tes!N29/SER_hh_num!N29)</f>
        <v>15438.843263838047</v>
      </c>
      <c r="O29" s="131">
        <f>IF(SER_hh_tes!O29=0,0,11630*1000*SER_hh_tes!O29/SER_hh_num!O29)</f>
        <v>15566.527310174084</v>
      </c>
      <c r="P29" s="131">
        <f>IF(SER_hh_tes!P29=0,0,11630*1000*SER_hh_tes!P29/SER_hh_num!P29)</f>
        <v>15631.926267008123</v>
      </c>
      <c r="Q29" s="131">
        <f>IF(SER_hh_tes!Q29=0,0,11630*1000*SER_hh_tes!Q29/SER_hh_num!Q29)</f>
        <v>15731.363928702613</v>
      </c>
      <c r="R29" s="131">
        <f>IF(SER_hh_tes!R29=0,0,11630*1000*SER_hh_tes!R29/SER_hh_num!R29)</f>
        <v>16000.791446188412</v>
      </c>
      <c r="S29" s="131">
        <f>IF(SER_hh_tes!S29=0,0,11630*1000*SER_hh_tes!S29/SER_hh_num!S29)</f>
        <v>15916.289574257653</v>
      </c>
      <c r="T29" s="131">
        <f>IF(SER_hh_tes!T29=0,0,11630*1000*SER_hh_tes!T29/SER_hh_num!T29)</f>
        <v>15924.870452605288</v>
      </c>
      <c r="U29" s="131">
        <f>IF(SER_hh_tes!U29=0,0,11630*1000*SER_hh_tes!U29/SER_hh_num!U29)</f>
        <v>15869.997557777951</v>
      </c>
      <c r="V29" s="131">
        <f>IF(SER_hh_tes!V29=0,0,11630*1000*SER_hh_tes!V29/SER_hh_num!V29)</f>
        <v>14554.27367216532</v>
      </c>
      <c r="W29" s="131">
        <f>IF(SER_hh_tes!W29=0,0,11630*1000*SER_hh_tes!W29/SER_hh_num!W29)</f>
        <v>15706.010884163847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18595.797038310804</v>
      </c>
      <c r="C30" s="133">
        <f>IF(SER_hh_tes!C30=0,0,11630*1000*SER_hh_tes!C30/SER_hh_num!C30)</f>
        <v>6361.6063915889708</v>
      </c>
      <c r="D30" s="133">
        <f>IF(SER_hh_tes!D30=0,0,11630*1000*SER_hh_tes!D30/SER_hh_num!D30)</f>
        <v>15531.484528181274</v>
      </c>
      <c r="E30" s="133">
        <f>IF(SER_hh_tes!E30=0,0,11630*1000*SER_hh_tes!E30/SER_hh_num!E30)</f>
        <v>15346.894500530767</v>
      </c>
      <c r="F30" s="133">
        <f>IF(SER_hh_tes!F30=0,0,11630*1000*SER_hh_tes!F30/SER_hh_num!F30)</f>
        <v>16836.384138404239</v>
      </c>
      <c r="G30" s="133">
        <f>IF(SER_hh_tes!G30=0,0,11630*1000*SER_hh_tes!G30/SER_hh_num!G30)</f>
        <v>13874.458394302856</v>
      </c>
      <c r="H30" s="133">
        <f>IF(SER_hh_tes!H30=0,0,11630*1000*SER_hh_tes!H30/SER_hh_num!H30)</f>
        <v>12338.476997007139</v>
      </c>
      <c r="I30" s="133">
        <f>IF(SER_hh_tes!I30=0,0,11630*1000*SER_hh_tes!I30/SER_hh_num!I30)</f>
        <v>13843.715234335466</v>
      </c>
      <c r="J30" s="133">
        <f>IF(SER_hh_tes!J30=0,0,11630*1000*SER_hh_tes!J30/SER_hh_num!J30)</f>
        <v>15280.822019486595</v>
      </c>
      <c r="K30" s="133">
        <f>IF(SER_hh_tes!K30=0,0,11630*1000*SER_hh_tes!K30/SER_hh_num!K30)</f>
        <v>14646.940879043217</v>
      </c>
      <c r="L30" s="133">
        <f>IF(SER_hh_tes!L30=0,0,11630*1000*SER_hh_tes!L30/SER_hh_num!L30)</f>
        <v>15954.639874676099</v>
      </c>
      <c r="M30" s="133">
        <f>IF(SER_hh_tes!M30=0,0,11630*1000*SER_hh_tes!M30/SER_hh_num!M30)</f>
        <v>16221.348932543446</v>
      </c>
      <c r="N30" s="133">
        <f>IF(SER_hh_tes!N30=0,0,11630*1000*SER_hh_tes!N30/SER_hh_num!N30)</f>
        <v>15040.275573704492</v>
      </c>
      <c r="O30" s="133">
        <f>IF(SER_hh_tes!O30=0,0,11630*1000*SER_hh_tes!O30/SER_hh_num!O30)</f>
        <v>14107.481187655361</v>
      </c>
      <c r="P30" s="133">
        <f>IF(SER_hh_tes!P30=0,0,11630*1000*SER_hh_tes!P30/SER_hh_num!P30)</f>
        <v>14795.624331636662</v>
      </c>
      <c r="Q30" s="133">
        <f>IF(SER_hh_tes!Q30=0,0,11630*1000*SER_hh_tes!Q30/SER_hh_num!Q30)</f>
        <v>16536.827008221102</v>
      </c>
      <c r="R30" s="133">
        <f>IF(SER_hh_tes!R30=0,0,11630*1000*SER_hh_tes!R30/SER_hh_num!R30)</f>
        <v>15623.014229130602</v>
      </c>
      <c r="S30" s="133">
        <f>IF(SER_hh_tes!S30=0,0,11630*1000*SER_hh_tes!S30/SER_hh_num!S30)</f>
        <v>17200.188431950613</v>
      </c>
      <c r="T30" s="133">
        <f>IF(SER_hh_tes!T30=0,0,11630*1000*SER_hh_tes!T30/SER_hh_num!T30)</f>
        <v>14512.644968940727</v>
      </c>
      <c r="U30" s="133">
        <f>IF(SER_hh_tes!U30=0,0,11630*1000*SER_hh_tes!U30/SER_hh_num!U30)</f>
        <v>16690.99108047337</v>
      </c>
      <c r="V30" s="133">
        <f>IF(SER_hh_tes!V30=0,0,11630*1000*SER_hh_tes!V30/SER_hh_num!V30)</f>
        <v>14051.007933029759</v>
      </c>
      <c r="W30" s="133">
        <f>IF(SER_hh_tes!W30=0,0,11630*1000*SER_hh_tes!W30/SER_hh_num!W30)</f>
        <v>15764.440717900885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13988.474914307275</v>
      </c>
      <c r="C31" s="133">
        <f>IF(SER_hh_tes!C31=0,0,11630*1000*SER_hh_tes!C31/SER_hh_num!C31)</f>
        <v>14001.398157262152</v>
      </c>
      <c r="D31" s="133">
        <f>IF(SER_hh_tes!D31=0,0,11630*1000*SER_hh_tes!D31/SER_hh_num!D31)</f>
        <v>13965.367718995432</v>
      </c>
      <c r="E31" s="133">
        <f>IF(SER_hh_tes!E31=0,0,11630*1000*SER_hh_tes!E31/SER_hh_num!E31)</f>
        <v>14530.844223368953</v>
      </c>
      <c r="F31" s="133">
        <f>IF(SER_hh_tes!F31=0,0,11630*1000*SER_hh_tes!F31/SER_hh_num!F31)</f>
        <v>15738.882646428458</v>
      </c>
      <c r="G31" s="133">
        <f>IF(SER_hh_tes!G31=0,0,11630*1000*SER_hh_tes!G31/SER_hh_num!G31)</f>
        <v>12197.199824878462</v>
      </c>
      <c r="H31" s="133">
        <f>IF(SER_hh_tes!H31=0,0,11630*1000*SER_hh_tes!H31/SER_hh_num!H31)</f>
        <v>13276.373397439549</v>
      </c>
      <c r="I31" s="133">
        <f>IF(SER_hh_tes!I31=0,0,11630*1000*SER_hh_tes!I31/SER_hh_num!I31)</f>
        <v>13887.34462144554</v>
      </c>
      <c r="J31" s="133">
        <f>IF(SER_hh_tes!J31=0,0,11630*1000*SER_hh_tes!J31/SER_hh_num!J31)</f>
        <v>12970.918514491994</v>
      </c>
      <c r="K31" s="133">
        <f>IF(SER_hh_tes!K31=0,0,11630*1000*SER_hh_tes!K31/SER_hh_num!K31)</f>
        <v>16401.80121282085</v>
      </c>
      <c r="L31" s="133">
        <f>IF(SER_hh_tes!L31=0,0,11630*1000*SER_hh_tes!L31/SER_hh_num!L31)</f>
        <v>15331.05583944349</v>
      </c>
      <c r="M31" s="133">
        <f>IF(SER_hh_tes!M31=0,0,11630*1000*SER_hh_tes!M31/SER_hh_num!M31)</f>
        <v>15513.143658278432</v>
      </c>
      <c r="N31" s="133">
        <f>IF(SER_hh_tes!N31=0,0,11630*1000*SER_hh_tes!N31/SER_hh_num!N31)</f>
        <v>14496.954240178035</v>
      </c>
      <c r="O31" s="133">
        <f>IF(SER_hh_tes!O31=0,0,11630*1000*SER_hh_tes!O31/SER_hh_num!O31)</f>
        <v>15256.078902847863</v>
      </c>
      <c r="P31" s="133">
        <f>IF(SER_hh_tes!P31=0,0,11630*1000*SER_hh_tes!P31/SER_hh_num!P31)</f>
        <v>15979.402057917896</v>
      </c>
      <c r="Q31" s="133">
        <f>IF(SER_hh_tes!Q31=0,0,11630*1000*SER_hh_tes!Q31/SER_hh_num!Q31)</f>
        <v>16361.877515004846</v>
      </c>
      <c r="R31" s="133">
        <f>IF(SER_hh_tes!R31=0,0,11630*1000*SER_hh_tes!R31/SER_hh_num!R31)</f>
        <v>15600.719936630265</v>
      </c>
      <c r="S31" s="133">
        <f>IF(SER_hh_tes!S31=0,0,11630*1000*SER_hh_tes!S31/SER_hh_num!S31)</f>
        <v>15858.333603179581</v>
      </c>
      <c r="T31" s="133">
        <f>IF(SER_hh_tes!T31=0,0,11630*1000*SER_hh_tes!T31/SER_hh_num!T31)</f>
        <v>16148.122762707533</v>
      </c>
      <c r="U31" s="133">
        <f>IF(SER_hh_tes!U31=0,0,11630*1000*SER_hh_tes!U31/SER_hh_num!U31)</f>
        <v>15409.10714620983</v>
      </c>
      <c r="V31" s="133">
        <f>IF(SER_hh_tes!V31=0,0,11630*1000*SER_hh_tes!V31/SER_hh_num!V31)</f>
        <v>13673.908998357472</v>
      </c>
      <c r="W31" s="133">
        <f>IF(SER_hh_tes!W31=0,0,11630*1000*SER_hh_tes!W31/SER_hh_num!W31)</f>
        <v>18368.655344776271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12928.042316262718</v>
      </c>
      <c r="C33" s="68">
        <f>IF(SER_hh_tes!C33=0,0,11630*1000*SER_hh_tes!C33/SER_hh_num!C33)</f>
        <v>15723.183796280357</v>
      </c>
      <c r="D33" s="68">
        <f>IF(SER_hh_tes!D33=0,0,11630*1000*SER_hh_tes!D33/SER_hh_num!D33)</f>
        <v>13593.554262693273</v>
      </c>
      <c r="E33" s="68">
        <f>IF(SER_hh_tes!E33=0,0,11630*1000*SER_hh_tes!E33/SER_hh_num!E33)</f>
        <v>12678.64942827505</v>
      </c>
      <c r="F33" s="68">
        <f>IF(SER_hh_tes!F33=0,0,11630*1000*SER_hh_tes!F33/SER_hh_num!F33)</f>
        <v>11858.992668933768</v>
      </c>
      <c r="G33" s="68">
        <f>IF(SER_hh_tes!G33=0,0,11630*1000*SER_hh_tes!G33/SER_hh_num!G33)</f>
        <v>15098.928533489707</v>
      </c>
      <c r="H33" s="68">
        <f>IF(SER_hh_tes!H33=0,0,11630*1000*SER_hh_tes!H33/SER_hh_num!H33)</f>
        <v>14870.197636506486</v>
      </c>
      <c r="I33" s="68">
        <f>IF(SER_hh_tes!I33=0,0,11630*1000*SER_hh_tes!I33/SER_hh_num!I33)</f>
        <v>14456.918407659836</v>
      </c>
      <c r="J33" s="68">
        <f>IF(SER_hh_tes!J33=0,0,11630*1000*SER_hh_tes!J33/SER_hh_num!J33)</f>
        <v>14680.389841316128</v>
      </c>
      <c r="K33" s="68">
        <f>IF(SER_hh_tes!K33=0,0,11630*1000*SER_hh_tes!K33/SER_hh_num!K33)</f>
        <v>14403.620781467826</v>
      </c>
      <c r="L33" s="68">
        <f>IF(SER_hh_tes!L33=0,0,11630*1000*SER_hh_tes!L33/SER_hh_num!L33)</f>
        <v>14881.059147010646</v>
      </c>
      <c r="M33" s="68">
        <f>IF(SER_hh_tes!M33=0,0,11630*1000*SER_hh_tes!M33/SER_hh_num!M33)</f>
        <v>14898.981681032052</v>
      </c>
      <c r="N33" s="68">
        <f>IF(SER_hh_tes!N33=0,0,11630*1000*SER_hh_tes!N33/SER_hh_num!N33)</f>
        <v>15890.65392561121</v>
      </c>
      <c r="O33" s="68">
        <f>IF(SER_hh_tes!O33=0,0,11630*1000*SER_hh_tes!O33/SER_hh_num!O33)</f>
        <v>15983.277671250031</v>
      </c>
      <c r="P33" s="68">
        <f>IF(SER_hh_tes!P33=0,0,11630*1000*SER_hh_tes!P33/SER_hh_num!P33)</f>
        <v>15647.106854299887</v>
      </c>
      <c r="Q33" s="68">
        <f>IF(SER_hh_tes!Q33=0,0,11630*1000*SER_hh_tes!Q33/SER_hh_num!Q33)</f>
        <v>15291.250104773226</v>
      </c>
      <c r="R33" s="68">
        <f>IF(SER_hh_tes!R33=0,0,11630*1000*SER_hh_tes!R33/SER_hh_num!R33)</f>
        <v>16252.33903063039</v>
      </c>
      <c r="S33" s="68">
        <f>IF(SER_hh_tes!S33=0,0,11630*1000*SER_hh_tes!S33/SER_hh_num!S33)</f>
        <v>15691.485611328419</v>
      </c>
      <c r="T33" s="68">
        <f>IF(SER_hh_tes!T33=0,0,11630*1000*SER_hh_tes!T33/SER_hh_num!T33)</f>
        <v>16077.522915523696</v>
      </c>
      <c r="U33" s="68">
        <f>IF(SER_hh_tes!U33=0,0,11630*1000*SER_hh_tes!U33/SER_hh_num!U33)</f>
        <v>15939.125614866874</v>
      </c>
      <c r="V33" s="68">
        <f>IF(SER_hh_tes!V33=0,0,11630*1000*SER_hh_tes!V33/SER_hh_num!V33)</f>
        <v>15071.410230711106</v>
      </c>
      <c r="W33" s="68">
        <f>IF(SER_hh_tes!W33=0,0,11630*1000*SER_hh_tes!W33/SER_hh_num!W33)</f>
        <v>14375.262562225746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29855.420345326944</v>
      </c>
      <c r="C3" s="126">
        <f>IF(SER_hh_emi!C3=0,0,1000000*SER_hh_emi!C3/SER_hh_num!C3)</f>
        <v>30537.333835790461</v>
      </c>
      <c r="D3" s="126">
        <f>IF(SER_hh_emi!D3=0,0,1000000*SER_hh_emi!D3/SER_hh_num!D3)</f>
        <v>26943.858522516872</v>
      </c>
      <c r="E3" s="126">
        <f>IF(SER_hh_emi!E3=0,0,1000000*SER_hh_emi!E3/SER_hh_num!E3)</f>
        <v>30236.780076712195</v>
      </c>
      <c r="F3" s="126">
        <f>IF(SER_hh_emi!F3=0,0,1000000*SER_hh_emi!F3/SER_hh_num!F3)</f>
        <v>30309.442909010875</v>
      </c>
      <c r="G3" s="126">
        <f>IF(SER_hh_emi!G3=0,0,1000000*SER_hh_emi!G3/SER_hh_num!G3)</f>
        <v>28335.7839460695</v>
      </c>
      <c r="H3" s="126">
        <f>IF(SER_hh_emi!H3=0,0,1000000*SER_hh_emi!H3/SER_hh_num!H3)</f>
        <v>25282.218014056576</v>
      </c>
      <c r="I3" s="126">
        <f>IF(SER_hh_emi!I3=0,0,1000000*SER_hh_emi!I3/SER_hh_num!I3)</f>
        <v>24136.133618039163</v>
      </c>
      <c r="J3" s="126">
        <f>IF(SER_hh_emi!J3=0,0,1000000*SER_hh_emi!J3/SER_hh_num!J3)</f>
        <v>24693.02684234218</v>
      </c>
      <c r="K3" s="126">
        <f>IF(SER_hh_emi!K3=0,0,1000000*SER_hh_emi!K3/SER_hh_num!K3)</f>
        <v>26818.550831085573</v>
      </c>
      <c r="L3" s="126">
        <f>IF(SER_hh_emi!L3=0,0,1000000*SER_hh_emi!L3/SER_hh_num!L3)</f>
        <v>27265.114519845967</v>
      </c>
      <c r="M3" s="126">
        <f>IF(SER_hh_emi!M3=0,0,1000000*SER_hh_emi!M3/SER_hh_num!M3)</f>
        <v>21249.791456405757</v>
      </c>
      <c r="N3" s="126">
        <f>IF(SER_hh_emi!N3=0,0,1000000*SER_hh_emi!N3/SER_hh_num!N3)</f>
        <v>22762.950534108368</v>
      </c>
      <c r="O3" s="126">
        <f>IF(SER_hh_emi!O3=0,0,1000000*SER_hh_emi!O3/SER_hh_num!O3)</f>
        <v>23746.784936457312</v>
      </c>
      <c r="P3" s="126">
        <f>IF(SER_hh_emi!P3=0,0,1000000*SER_hh_emi!P3/SER_hh_num!P3)</f>
        <v>20500.536807478104</v>
      </c>
      <c r="Q3" s="126">
        <f>IF(SER_hh_emi!Q3=0,0,1000000*SER_hh_emi!Q3/SER_hh_num!Q3)</f>
        <v>21511.404436040812</v>
      </c>
      <c r="R3" s="126">
        <f>IF(SER_hh_emi!R3=0,0,1000000*SER_hh_emi!R3/SER_hh_num!R3)</f>
        <v>20630.846229646955</v>
      </c>
      <c r="S3" s="126">
        <f>IF(SER_hh_emi!S3=0,0,1000000*SER_hh_emi!S3/SER_hh_num!S3)</f>
        <v>21226.074138858483</v>
      </c>
      <c r="T3" s="126">
        <f>IF(SER_hh_emi!T3=0,0,1000000*SER_hh_emi!T3/SER_hh_num!T3)</f>
        <v>20939.718352600255</v>
      </c>
      <c r="U3" s="126">
        <f>IF(SER_hh_emi!U3=0,0,1000000*SER_hh_emi!U3/SER_hh_num!U3)</f>
        <v>20313.962269426393</v>
      </c>
      <c r="V3" s="126">
        <f>IF(SER_hh_emi!V3=0,0,1000000*SER_hh_emi!V3/SER_hh_num!V3)</f>
        <v>18674.356701942503</v>
      </c>
      <c r="W3" s="126">
        <f>IF(SER_hh_emi!W3=0,0,1000000*SER_hh_emi!W3/SER_hh_num!W3)</f>
        <v>20140.557713997689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24651.624753162101</v>
      </c>
      <c r="C4" s="131">
        <f>IF(SER_hh_emi!C4=0,0,1000000*SER_hh_emi!C4/SER_hh_num!C4)</f>
        <v>25918.299103164791</v>
      </c>
      <c r="D4" s="131">
        <f>IF(SER_hh_emi!D4=0,0,1000000*SER_hh_emi!D4/SER_hh_num!D4)</f>
        <v>21649.406317439938</v>
      </c>
      <c r="E4" s="131">
        <f>IF(SER_hh_emi!E4=0,0,1000000*SER_hh_emi!E4/SER_hh_num!E4)</f>
        <v>24783.374844576734</v>
      </c>
      <c r="F4" s="131">
        <f>IF(SER_hh_emi!F4=0,0,1000000*SER_hh_emi!F4/SER_hh_num!F4)</f>
        <v>24773.981513402541</v>
      </c>
      <c r="G4" s="131">
        <f>IF(SER_hh_emi!G4=0,0,1000000*SER_hh_emi!G4/SER_hh_num!G4)</f>
        <v>23834.419823366319</v>
      </c>
      <c r="H4" s="131">
        <f>IF(SER_hh_emi!H4=0,0,1000000*SER_hh_emi!H4/SER_hh_num!H4)</f>
        <v>21164.110682696068</v>
      </c>
      <c r="I4" s="131">
        <f>IF(SER_hh_emi!I4=0,0,1000000*SER_hh_emi!I4/SER_hh_num!I4)</f>
        <v>20047.361757225557</v>
      </c>
      <c r="J4" s="131">
        <f>IF(SER_hh_emi!J4=0,0,1000000*SER_hh_emi!J4/SER_hh_num!J4)</f>
        <v>20550.945607981503</v>
      </c>
      <c r="K4" s="131">
        <f>IF(SER_hh_emi!K4=0,0,1000000*SER_hh_emi!K4/SER_hh_num!K4)</f>
        <v>22287.132697373236</v>
      </c>
      <c r="L4" s="131">
        <f>IF(SER_hh_emi!L4=0,0,1000000*SER_hh_emi!L4/SER_hh_num!L4)</f>
        <v>22873.980590591822</v>
      </c>
      <c r="M4" s="131">
        <f>IF(SER_hh_emi!M4=0,0,1000000*SER_hh_emi!M4/SER_hh_num!M4)</f>
        <v>16921.021757207145</v>
      </c>
      <c r="N4" s="131">
        <f>IF(SER_hh_emi!N4=0,0,1000000*SER_hh_emi!N4/SER_hh_num!N4)</f>
        <v>18836.467965531916</v>
      </c>
      <c r="O4" s="131">
        <f>IF(SER_hh_emi!O4=0,0,1000000*SER_hh_emi!O4/SER_hh_num!O4)</f>
        <v>19782.996056220938</v>
      </c>
      <c r="P4" s="131">
        <f>IF(SER_hh_emi!P4=0,0,1000000*SER_hh_emi!P4/SER_hh_num!P4)</f>
        <v>16451.409637245692</v>
      </c>
      <c r="Q4" s="131">
        <f>IF(SER_hh_emi!Q4=0,0,1000000*SER_hh_emi!Q4/SER_hh_num!Q4)</f>
        <v>17197.687604385024</v>
      </c>
      <c r="R4" s="131">
        <f>IF(SER_hh_emi!R4=0,0,1000000*SER_hh_emi!R4/SER_hh_num!R4)</f>
        <v>16544.132742212547</v>
      </c>
      <c r="S4" s="131">
        <f>IF(SER_hh_emi!S4=0,0,1000000*SER_hh_emi!S4/SER_hh_num!S4)</f>
        <v>17058.10110040677</v>
      </c>
      <c r="T4" s="131">
        <f>IF(SER_hh_emi!T4=0,0,1000000*SER_hh_emi!T4/SER_hh_num!T4)</f>
        <v>17061.416298855547</v>
      </c>
      <c r="U4" s="131">
        <f>IF(SER_hh_emi!U4=0,0,1000000*SER_hh_emi!U4/SER_hh_num!U4)</f>
        <v>16475.308144417904</v>
      </c>
      <c r="V4" s="131">
        <f>IF(SER_hh_emi!V4=0,0,1000000*SER_hh_emi!V4/SER_hh_num!V4)</f>
        <v>15217.605512939539</v>
      </c>
      <c r="W4" s="131">
        <f>IF(SER_hh_emi!W4=0,0,1000000*SER_hh_emi!W4/SER_hh_num!W4)</f>
        <v>16125.197542149535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60142.704617421979</v>
      </c>
      <c r="C5" s="133">
        <f>IF(SER_hh_emi!C5=0,0,1000000*SER_hh_emi!C5/SER_hh_num!C5)</f>
        <v>64362.991234773064</v>
      </c>
      <c r="D5" s="133">
        <f>IF(SER_hh_emi!D5=0,0,1000000*SER_hh_emi!D5/SER_hh_num!D5)</f>
        <v>51548.478511380163</v>
      </c>
      <c r="E5" s="133">
        <f>IF(SER_hh_emi!E5=0,0,1000000*SER_hh_emi!E5/SER_hh_num!E5)</f>
        <v>61849.934787801896</v>
      </c>
      <c r="F5" s="133">
        <f>IF(SER_hh_emi!F5=0,0,1000000*SER_hh_emi!F5/SER_hh_num!F5)</f>
        <v>62063.859816867007</v>
      </c>
      <c r="G5" s="133">
        <f>IF(SER_hh_emi!G5=0,0,1000000*SER_hh_emi!G5/SER_hh_num!G5)</f>
        <v>63139.474500552227</v>
      </c>
      <c r="H5" s="133">
        <f>IF(SER_hh_emi!H5=0,0,1000000*SER_hh_emi!H5/SER_hh_num!H5)</f>
        <v>59299.613351490509</v>
      </c>
      <c r="I5" s="133">
        <f>IF(SER_hh_emi!I5=0,0,1000000*SER_hh_emi!I5/SER_hh_num!I5)</f>
        <v>56238.785379906993</v>
      </c>
      <c r="J5" s="133">
        <f>IF(SER_hh_emi!J5=0,0,1000000*SER_hh_emi!J5/SER_hh_num!J5)</f>
        <v>52962.401552723328</v>
      </c>
      <c r="K5" s="133">
        <f>IF(SER_hh_emi!K5=0,0,1000000*SER_hh_emi!K5/SER_hh_num!K5)</f>
        <v>54331.27396330217</v>
      </c>
      <c r="L5" s="133">
        <f>IF(SER_hh_emi!L5=0,0,1000000*SER_hh_emi!L5/SER_hh_num!L5)</f>
        <v>73041.769511566104</v>
      </c>
      <c r="M5" s="133">
        <f>IF(SER_hh_emi!M5=0,0,1000000*SER_hh_emi!M5/SER_hh_num!M5)</f>
        <v>29735.905529654843</v>
      </c>
      <c r="N5" s="133">
        <f>IF(SER_hh_emi!N5=0,0,1000000*SER_hh_emi!N5/SER_hh_num!N5)</f>
        <v>42794.081909569715</v>
      </c>
      <c r="O5" s="133">
        <f>IF(SER_hh_emi!O5=0,0,1000000*SER_hh_emi!O5/SER_hh_num!O5)</f>
        <v>54230.065311041901</v>
      </c>
      <c r="P5" s="133">
        <f>IF(SER_hh_emi!P5=0,0,1000000*SER_hh_emi!P5/SER_hh_num!P5)</f>
        <v>42029.904370998745</v>
      </c>
      <c r="Q5" s="133">
        <f>IF(SER_hh_emi!Q5=0,0,1000000*SER_hh_emi!Q5/SER_hh_num!Q5)</f>
        <v>44672.271208389422</v>
      </c>
      <c r="R5" s="133">
        <f>IF(SER_hh_emi!R5=0,0,1000000*SER_hh_emi!R5/SER_hh_num!R5)</f>
        <v>48066.676454205495</v>
      </c>
      <c r="S5" s="133">
        <f>IF(SER_hh_emi!S5=0,0,1000000*SER_hh_emi!S5/SER_hh_num!S5)</f>
        <v>47675.546794865819</v>
      </c>
      <c r="T5" s="133">
        <f>IF(SER_hh_emi!T5=0,0,1000000*SER_hh_emi!T5/SER_hh_num!T5)</f>
        <v>44448.873898111357</v>
      </c>
      <c r="U5" s="133">
        <f>IF(SER_hh_emi!U5=0,0,1000000*SER_hh_emi!U5/SER_hh_num!U5)</f>
        <v>43906.033396568229</v>
      </c>
      <c r="V5" s="133">
        <f>IF(SER_hh_emi!V5=0,0,1000000*SER_hh_emi!V5/SER_hh_num!V5)</f>
        <v>38650.955579662717</v>
      </c>
      <c r="W5" s="133">
        <f>IF(SER_hh_emi!W5=0,0,1000000*SER_hh_emi!W5/SER_hh_num!W5)</f>
        <v>44162.44071408765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50398.798327052777</v>
      </c>
      <c r="C7" s="133">
        <f>IF(SER_hh_emi!C7=0,0,1000000*SER_hh_emi!C7/SER_hh_num!C7)</f>
        <v>55678.716312121425</v>
      </c>
      <c r="D7" s="133">
        <f>IF(SER_hh_emi!D7=0,0,1000000*SER_hh_emi!D7/SER_hh_num!D7)</f>
        <v>49237.926623333464</v>
      </c>
      <c r="E7" s="133">
        <f>IF(SER_hh_emi!E7=0,0,1000000*SER_hh_emi!E7/SER_hh_num!E7)</f>
        <v>53611.724835403576</v>
      </c>
      <c r="F7" s="133">
        <f>IF(SER_hh_emi!F7=0,0,1000000*SER_hh_emi!F7/SER_hh_num!F7)</f>
        <v>55236.831065912906</v>
      </c>
      <c r="G7" s="133">
        <f>IF(SER_hh_emi!G7=0,0,1000000*SER_hh_emi!G7/SER_hh_num!G7)</f>
        <v>53874.266508120309</v>
      </c>
      <c r="H7" s="133">
        <f>IF(SER_hh_emi!H7=0,0,1000000*SER_hh_emi!H7/SER_hh_num!H7)</f>
        <v>49769.271917632272</v>
      </c>
      <c r="I7" s="133">
        <f>IF(SER_hh_emi!I7=0,0,1000000*SER_hh_emi!I7/SER_hh_num!I7)</f>
        <v>42804.941268946459</v>
      </c>
      <c r="J7" s="133">
        <f>IF(SER_hh_emi!J7=0,0,1000000*SER_hh_emi!J7/SER_hh_num!J7)</f>
        <v>50739.805714431728</v>
      </c>
      <c r="K7" s="133">
        <f>IF(SER_hh_emi!K7=0,0,1000000*SER_hh_emi!K7/SER_hh_num!K7)</f>
        <v>49590.742063676727</v>
      </c>
      <c r="L7" s="133">
        <f>IF(SER_hh_emi!L7=0,0,1000000*SER_hh_emi!L7/SER_hh_num!L7)</f>
        <v>47908.543802495544</v>
      </c>
      <c r="M7" s="133">
        <f>IF(SER_hh_emi!M7=0,0,1000000*SER_hh_emi!M7/SER_hh_num!M7)</f>
        <v>41145.779571772291</v>
      </c>
      <c r="N7" s="133">
        <f>IF(SER_hh_emi!N7=0,0,1000000*SER_hh_emi!N7/SER_hh_num!N7)</f>
        <v>42779.340414126927</v>
      </c>
      <c r="O7" s="133">
        <f>IF(SER_hh_emi!O7=0,0,1000000*SER_hh_emi!O7/SER_hh_num!O7)</f>
        <v>43822.093564891795</v>
      </c>
      <c r="P7" s="133">
        <f>IF(SER_hh_emi!P7=0,0,1000000*SER_hh_emi!P7/SER_hh_num!P7)</f>
        <v>38568.143369989404</v>
      </c>
      <c r="Q7" s="133">
        <f>IF(SER_hh_emi!Q7=0,0,1000000*SER_hh_emi!Q7/SER_hh_num!Q7)</f>
        <v>40544.01149622818</v>
      </c>
      <c r="R7" s="133">
        <f>IF(SER_hh_emi!R7=0,0,1000000*SER_hh_emi!R7/SER_hh_num!R7)</f>
        <v>37448.336325516517</v>
      </c>
      <c r="S7" s="133">
        <f>IF(SER_hh_emi!S7=0,0,1000000*SER_hh_emi!S7/SER_hh_num!S7)</f>
        <v>39545.500300593645</v>
      </c>
      <c r="T7" s="133">
        <f>IF(SER_hh_emi!T7=0,0,1000000*SER_hh_emi!T7/SER_hh_num!T7)</f>
        <v>38164.634894007955</v>
      </c>
      <c r="U7" s="133">
        <f>IF(SER_hh_emi!U7=0,0,1000000*SER_hh_emi!U7/SER_hh_num!U7)</f>
        <v>36779.21656226406</v>
      </c>
      <c r="V7" s="133">
        <f>IF(SER_hh_emi!V7=0,0,1000000*SER_hh_emi!V7/SER_hh_num!V7)</f>
        <v>34633.922082896228</v>
      </c>
      <c r="W7" s="133">
        <f>IF(SER_hh_emi!W7=0,0,1000000*SER_hh_emi!W7/SER_hh_num!W7)</f>
        <v>35698.465490492272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13658.621894432141</v>
      </c>
      <c r="C8" s="133">
        <f>IF(SER_hh_emi!C8=0,0,1000000*SER_hh_emi!C8/SER_hh_num!C8)</f>
        <v>15978.860815381116</v>
      </c>
      <c r="D8" s="133">
        <f>IF(SER_hh_emi!D8=0,0,1000000*SER_hh_emi!D8/SER_hh_num!D8)</f>
        <v>12804.652259622359</v>
      </c>
      <c r="E8" s="133">
        <f>IF(SER_hh_emi!E8=0,0,1000000*SER_hh_emi!E8/SER_hh_num!E8)</f>
        <v>13538.466427779042</v>
      </c>
      <c r="F8" s="133">
        <f>IF(SER_hh_emi!F8=0,0,1000000*SER_hh_emi!F8/SER_hh_num!F8)</f>
        <v>12326.779301026658</v>
      </c>
      <c r="G8" s="133">
        <f>IF(SER_hh_emi!G8=0,0,1000000*SER_hh_emi!G8/SER_hh_num!G8)</f>
        <v>15951.336208552349</v>
      </c>
      <c r="H8" s="133">
        <f>IF(SER_hh_emi!H8=0,0,1000000*SER_hh_emi!H8/SER_hh_num!H8)</f>
        <v>13771.05392445938</v>
      </c>
      <c r="I8" s="133">
        <f>IF(SER_hh_emi!I8=0,0,1000000*SER_hh_emi!I8/SER_hh_num!I8)</f>
        <v>13478.304557682564</v>
      </c>
      <c r="J8" s="133">
        <f>IF(SER_hh_emi!J8=0,0,1000000*SER_hh_emi!J8/SER_hh_num!J8)</f>
        <v>13799.591577602221</v>
      </c>
      <c r="K8" s="133">
        <f>IF(SER_hh_emi!K8=0,0,1000000*SER_hh_emi!K8/SER_hh_num!K8)</f>
        <v>10706.907449619699</v>
      </c>
      <c r="L8" s="133">
        <f>IF(SER_hh_emi!L8=0,0,1000000*SER_hh_emi!L8/SER_hh_num!L8)</f>
        <v>8771.7127732323006</v>
      </c>
      <c r="M8" s="133">
        <f>IF(SER_hh_emi!M8=0,0,1000000*SER_hh_emi!M8/SER_hh_num!M8)</f>
        <v>11422.360895334865</v>
      </c>
      <c r="N8" s="133">
        <f>IF(SER_hh_emi!N8=0,0,1000000*SER_hh_emi!N8/SER_hh_num!N8)</f>
        <v>10021.315970584195</v>
      </c>
      <c r="O8" s="133">
        <f>IF(SER_hh_emi!O8=0,0,1000000*SER_hh_emi!O8/SER_hh_num!O8)</f>
        <v>10478.416059884754</v>
      </c>
      <c r="P8" s="133">
        <f>IF(SER_hh_emi!P8=0,0,1000000*SER_hh_emi!P8/SER_hh_num!P8)</f>
        <v>8745.7174649301141</v>
      </c>
      <c r="Q8" s="133">
        <f>IF(SER_hh_emi!Q8=0,0,1000000*SER_hh_emi!Q8/SER_hh_num!Q8)</f>
        <v>9124.678525640069</v>
      </c>
      <c r="R8" s="133">
        <f>IF(SER_hh_emi!R8=0,0,1000000*SER_hh_emi!R8/SER_hh_num!R8)</f>
        <v>8960.8973332666337</v>
      </c>
      <c r="S8" s="133">
        <f>IF(SER_hh_emi!S8=0,0,1000000*SER_hh_emi!S8/SER_hh_num!S8)</f>
        <v>8662.2472557323217</v>
      </c>
      <c r="T8" s="133">
        <f>IF(SER_hh_emi!T8=0,0,1000000*SER_hh_emi!T8/SER_hh_num!T8)</f>
        <v>8546.2879140727891</v>
      </c>
      <c r="U8" s="133">
        <f>IF(SER_hh_emi!U8=0,0,1000000*SER_hh_emi!U8/SER_hh_num!U8)</f>
        <v>8361.824251737813</v>
      </c>
      <c r="V8" s="133">
        <f>IF(SER_hh_emi!V8=0,0,1000000*SER_hh_emi!V8/SER_hh_num!V8)</f>
        <v>7230.2905676476712</v>
      </c>
      <c r="W8" s="133">
        <f>IF(SER_hh_emi!W8=0,0,1000000*SER_hh_emi!W8/SER_hh_num!W8)</f>
        <v>8248.4660245677624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34963.232716335275</v>
      </c>
      <c r="C9" s="133">
        <f>IF(SER_hh_emi!C9=0,0,1000000*SER_hh_emi!C9/SER_hh_num!C9)</f>
        <v>36766.587841916102</v>
      </c>
      <c r="D9" s="133">
        <f>IF(SER_hh_emi!D9=0,0,1000000*SER_hh_emi!D9/SER_hh_num!D9)</f>
        <v>29690.195633471507</v>
      </c>
      <c r="E9" s="133">
        <f>IF(SER_hh_emi!E9=0,0,1000000*SER_hh_emi!E9/SER_hh_num!E9)</f>
        <v>36719.504323910383</v>
      </c>
      <c r="F9" s="133">
        <f>IF(SER_hh_emi!F9=0,0,1000000*SER_hh_emi!F9/SER_hh_num!F9)</f>
        <v>35787.154634438186</v>
      </c>
      <c r="G9" s="133">
        <f>IF(SER_hh_emi!G9=0,0,1000000*SER_hh_emi!G9/SER_hh_num!G9)</f>
        <v>36141.201372512674</v>
      </c>
      <c r="H9" s="133">
        <f>IF(SER_hh_emi!H9=0,0,1000000*SER_hh_emi!H9/SER_hh_num!H9)</f>
        <v>30886.122340928199</v>
      </c>
      <c r="I9" s="133">
        <f>IF(SER_hh_emi!I9=0,0,1000000*SER_hh_emi!I9/SER_hh_num!I9)</f>
        <v>30389.856794343916</v>
      </c>
      <c r="J9" s="133">
        <f>IF(SER_hh_emi!J9=0,0,1000000*SER_hh_emi!J9/SER_hh_num!J9)</f>
        <v>26387.619207962493</v>
      </c>
      <c r="K9" s="133">
        <f>IF(SER_hh_emi!K9=0,0,1000000*SER_hh_emi!K9/SER_hh_num!K9)</f>
        <v>31478.920075267855</v>
      </c>
      <c r="L9" s="133">
        <f>IF(SER_hh_emi!L9=0,0,1000000*SER_hh_emi!L9/SER_hh_num!L9)</f>
        <v>34777.572075965392</v>
      </c>
      <c r="M9" s="133">
        <f>IF(SER_hh_emi!M9=0,0,1000000*SER_hh_emi!M9/SER_hh_num!M9)</f>
        <v>24391.949512690411</v>
      </c>
      <c r="N9" s="133">
        <f>IF(SER_hh_emi!N9=0,0,1000000*SER_hh_emi!N9/SER_hh_num!N9)</f>
        <v>28537.268104474355</v>
      </c>
      <c r="O9" s="133">
        <f>IF(SER_hh_emi!O9=0,0,1000000*SER_hh_emi!O9/SER_hh_num!O9)</f>
        <v>29919.320713069086</v>
      </c>
      <c r="P9" s="133">
        <f>IF(SER_hh_emi!P9=0,0,1000000*SER_hh_emi!P9/SER_hh_num!P9)</f>
        <v>23867.433129385929</v>
      </c>
      <c r="Q9" s="133">
        <f>IF(SER_hh_emi!Q9=0,0,1000000*SER_hh_emi!Q9/SER_hh_num!Q9)</f>
        <v>25441.373610253617</v>
      </c>
      <c r="R9" s="133">
        <f>IF(SER_hh_emi!R9=0,0,1000000*SER_hh_emi!R9/SER_hh_num!R9)</f>
        <v>25171.708302531606</v>
      </c>
      <c r="S9" s="133">
        <f>IF(SER_hh_emi!S9=0,0,1000000*SER_hh_emi!S9/SER_hh_num!S9)</f>
        <v>25230.16875620748</v>
      </c>
      <c r="T9" s="133">
        <f>IF(SER_hh_emi!T9=0,0,1000000*SER_hh_emi!T9/SER_hh_num!T9)</f>
        <v>25377.775910590008</v>
      </c>
      <c r="U9" s="133">
        <f>IF(SER_hh_emi!U9=0,0,1000000*SER_hh_emi!U9/SER_hh_num!U9)</f>
        <v>24126.512731875671</v>
      </c>
      <c r="V9" s="133">
        <f>IF(SER_hh_emi!V9=0,0,1000000*SER_hh_emi!V9/SER_hh_num!V9)</f>
        <v>21655.434439723464</v>
      </c>
      <c r="W9" s="133">
        <f>IF(SER_hh_emi!W9=0,0,1000000*SER_hh_emi!W9/SER_hh_num!W9)</f>
        <v>23137.764844098721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35937.682512809442</v>
      </c>
      <c r="C10" s="133">
        <f>IF(SER_hh_emi!C10=0,0,1000000*SER_hh_emi!C10/SER_hh_num!C10)</f>
        <v>37016.796037342101</v>
      </c>
      <c r="D10" s="133">
        <f>IF(SER_hh_emi!D10=0,0,1000000*SER_hh_emi!D10/SER_hh_num!D10)</f>
        <v>36643.820958420758</v>
      </c>
      <c r="E10" s="133">
        <f>IF(SER_hh_emi!E10=0,0,1000000*SER_hh_emi!E10/SER_hh_num!E10)</f>
        <v>40339.6397774371</v>
      </c>
      <c r="F10" s="133">
        <f>IF(SER_hh_emi!F10=0,0,1000000*SER_hh_emi!F10/SER_hh_num!F10)</f>
        <v>45622.94666157326</v>
      </c>
      <c r="G10" s="133">
        <f>IF(SER_hh_emi!G10=0,0,1000000*SER_hh_emi!G10/SER_hh_num!G10)</f>
        <v>13577.002396417784</v>
      </c>
      <c r="H10" s="133">
        <f>IF(SER_hh_emi!H10=0,0,1000000*SER_hh_emi!H10/SER_hh_num!H10)</f>
        <v>12006.057196353646</v>
      </c>
      <c r="I10" s="133">
        <f>IF(SER_hh_emi!I10=0,0,1000000*SER_hh_emi!I10/SER_hh_num!I10)</f>
        <v>20453.872828660951</v>
      </c>
      <c r="J10" s="133">
        <f>IF(SER_hh_emi!J10=0,0,1000000*SER_hh_emi!J10/SER_hh_num!J10)</f>
        <v>20855.015355809326</v>
      </c>
      <c r="K10" s="133">
        <f>IF(SER_hh_emi!K10=0,0,1000000*SER_hh_emi!K10/SER_hh_num!K10)</f>
        <v>28714.868240136992</v>
      </c>
      <c r="L10" s="133">
        <f>IF(SER_hh_emi!L10=0,0,1000000*SER_hh_emi!L10/SER_hh_num!L10)</f>
        <v>25528.238172319456</v>
      </c>
      <c r="M10" s="133">
        <f>IF(SER_hh_emi!M10=0,0,1000000*SER_hh_emi!M10/SER_hh_num!M10)</f>
        <v>14464.136272689921</v>
      </c>
      <c r="N10" s="133">
        <f>IF(SER_hh_emi!N10=0,0,1000000*SER_hh_emi!N10/SER_hh_num!N10)</f>
        <v>14865.176711155405</v>
      </c>
      <c r="O10" s="133">
        <f>IF(SER_hh_emi!O10=0,0,1000000*SER_hh_emi!O10/SER_hh_num!O10)</f>
        <v>16990.794001495909</v>
      </c>
      <c r="P10" s="133">
        <f>IF(SER_hh_emi!P10=0,0,1000000*SER_hh_emi!P10/SER_hh_num!P10)</f>
        <v>13281.189522315011</v>
      </c>
      <c r="Q10" s="133">
        <f>IF(SER_hh_emi!Q10=0,0,1000000*SER_hh_emi!Q10/SER_hh_num!Q10)</f>
        <v>9642.2452921162967</v>
      </c>
      <c r="R10" s="133">
        <f>IF(SER_hh_emi!R10=0,0,1000000*SER_hh_emi!R10/SER_hh_num!R10)</f>
        <v>11379.264008832348</v>
      </c>
      <c r="S10" s="133">
        <f>IF(SER_hh_emi!S10=0,0,1000000*SER_hh_emi!S10/SER_hh_num!S10)</f>
        <v>12679.387156529674</v>
      </c>
      <c r="T10" s="133">
        <f>IF(SER_hh_emi!T10=0,0,1000000*SER_hh_emi!T10/SER_hh_num!T10)</f>
        <v>10199.033814150314</v>
      </c>
      <c r="U10" s="133">
        <f>IF(SER_hh_emi!U10=0,0,1000000*SER_hh_emi!U10/SER_hh_num!U10)</f>
        <v>10040.519368980395</v>
      </c>
      <c r="V10" s="133">
        <f>IF(SER_hh_emi!V10=0,0,1000000*SER_hh_emi!V10/SER_hh_num!V10)</f>
        <v>12323.929279478903</v>
      </c>
      <c r="W10" s="133">
        <f>IF(SER_hh_emi!W10=0,0,1000000*SER_hh_emi!W10/SER_hh_num!W10)</f>
        <v>13837.927112908266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12.016772445261051</v>
      </c>
      <c r="C16" s="131">
        <f>IF(SER_hh_emi!C16=0,0,1000000*SER_hh_emi!C16/SER_hh_num!C16)</f>
        <v>14.000930810348967</v>
      </c>
      <c r="D16" s="131">
        <f>IF(SER_hh_emi!D16=0,0,1000000*SER_hh_emi!D16/SER_hh_num!D16)</f>
        <v>14.216224924150778</v>
      </c>
      <c r="E16" s="131">
        <f>IF(SER_hh_emi!E16=0,0,1000000*SER_hh_emi!E16/SER_hh_num!E16)</f>
        <v>35.441646558259635</v>
      </c>
      <c r="F16" s="131">
        <f>IF(SER_hh_emi!F16=0,0,1000000*SER_hh_emi!F16/SER_hh_num!F16)</f>
        <v>18.670393038031204</v>
      </c>
      <c r="G16" s="131">
        <f>IF(SER_hh_emi!G16=0,0,1000000*SER_hh_emi!G16/SER_hh_num!G16)</f>
        <v>19.116390756911546</v>
      </c>
      <c r="H16" s="131">
        <f>IF(SER_hh_emi!H16=0,0,1000000*SER_hh_emi!H16/SER_hh_num!H16)</f>
        <v>30.826402537824453</v>
      </c>
      <c r="I16" s="131">
        <f>IF(SER_hh_emi!I16=0,0,1000000*SER_hh_emi!I16/SER_hh_num!I16)</f>
        <v>25.859129575716558</v>
      </c>
      <c r="J16" s="131">
        <f>IF(SER_hh_emi!J16=0,0,1000000*SER_hh_emi!J16/SER_hh_num!J16)</f>
        <v>30.359386141269695</v>
      </c>
      <c r="K16" s="131">
        <f>IF(SER_hh_emi!K16=0,0,1000000*SER_hh_emi!K16/SER_hh_num!K16)</f>
        <v>33.405502403808526</v>
      </c>
      <c r="L16" s="131">
        <f>IF(SER_hh_emi!L16=0,0,1000000*SER_hh_emi!L16/SER_hh_num!L16)</f>
        <v>36.871242808158584</v>
      </c>
      <c r="M16" s="131">
        <f>IF(SER_hh_emi!M16=0,0,1000000*SER_hh_emi!M16/SER_hh_num!M16)</f>
        <v>47.661403000059877</v>
      </c>
      <c r="N16" s="131">
        <f>IF(SER_hh_emi!N16=0,0,1000000*SER_hh_emi!N16/SER_hh_num!N16)</f>
        <v>71.027231652136237</v>
      </c>
      <c r="O16" s="131">
        <f>IF(SER_hh_emi!O16=0,0,1000000*SER_hh_emi!O16/SER_hh_num!O16)</f>
        <v>85.484202688212932</v>
      </c>
      <c r="P16" s="131">
        <f>IF(SER_hh_emi!P16=0,0,1000000*SER_hh_emi!P16/SER_hh_num!P16)</f>
        <v>85.408130845715277</v>
      </c>
      <c r="Q16" s="131">
        <f>IF(SER_hh_emi!Q16=0,0,1000000*SER_hh_emi!Q16/SER_hh_num!Q16)</f>
        <v>131.88435504506614</v>
      </c>
      <c r="R16" s="131">
        <f>IF(SER_hh_emi!R16=0,0,1000000*SER_hh_emi!R16/SER_hh_num!R16)</f>
        <v>125.22932233321042</v>
      </c>
      <c r="S16" s="131">
        <f>IF(SER_hh_emi!S16=0,0,1000000*SER_hh_emi!S16/SER_hh_num!S16)</f>
        <v>152.7040630724143</v>
      </c>
      <c r="T16" s="131">
        <f>IF(SER_hh_emi!T16=0,0,1000000*SER_hh_emi!T16/SER_hh_num!T16)</f>
        <v>161.88644541697587</v>
      </c>
      <c r="U16" s="131">
        <f>IF(SER_hh_emi!U16=0,0,1000000*SER_hh_emi!U16/SER_hh_num!U16)</f>
        <v>174.97257673639666</v>
      </c>
      <c r="V16" s="131">
        <f>IF(SER_hh_emi!V16=0,0,1000000*SER_hh_emi!V16/SER_hh_num!V16)</f>
        <v>180.61115519735873</v>
      </c>
      <c r="W16" s="131">
        <f>IF(SER_hh_emi!W16=0,0,1000000*SER_hh_emi!W16/SER_hh_num!W16)</f>
        <v>145.47935554580826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3754.3479498157362</v>
      </c>
      <c r="C17" s="133">
        <f>IF(SER_hh_emi!C17=0,0,1000000*SER_hh_emi!C17/SER_hh_num!C17)</f>
        <v>3928.5180566802992</v>
      </c>
      <c r="D17" s="133">
        <f>IF(SER_hh_emi!D17=0,0,1000000*SER_hh_emi!D17/SER_hh_num!D17)</f>
        <v>3733.2147139678127</v>
      </c>
      <c r="E17" s="133">
        <f>IF(SER_hh_emi!E17=0,0,1000000*SER_hh_emi!E17/SER_hh_num!E17)</f>
        <v>7317.029395196445</v>
      </c>
      <c r="F17" s="133">
        <f>IF(SER_hh_emi!F17=0,0,1000000*SER_hh_emi!F17/SER_hh_num!F17)</f>
        <v>3832.9533527100125</v>
      </c>
      <c r="G17" s="133">
        <f>IF(SER_hh_emi!G17=0,0,1000000*SER_hh_emi!G17/SER_hh_num!G17)</f>
        <v>4192.4034257453159</v>
      </c>
      <c r="H17" s="133">
        <f>IF(SER_hh_emi!H17=0,0,1000000*SER_hh_emi!H17/SER_hh_num!H17)</f>
        <v>4765.1286653326397</v>
      </c>
      <c r="I17" s="133">
        <f>IF(SER_hh_emi!I17=0,0,1000000*SER_hh_emi!I17/SER_hh_num!I17)</f>
        <v>3718.2812103319038</v>
      </c>
      <c r="J17" s="133">
        <f>IF(SER_hh_emi!J17=0,0,1000000*SER_hh_emi!J17/SER_hh_num!J17)</f>
        <v>3765.7758709916984</v>
      </c>
      <c r="K17" s="133">
        <f>IF(SER_hh_emi!K17=0,0,1000000*SER_hh_emi!K17/SER_hh_num!K17)</f>
        <v>4025.7615563575064</v>
      </c>
      <c r="L17" s="133">
        <f>IF(SER_hh_emi!L17=0,0,1000000*SER_hh_emi!L17/SER_hh_num!L17)</f>
        <v>3964.5404497708532</v>
      </c>
      <c r="M17" s="133">
        <f>IF(SER_hh_emi!M17=0,0,1000000*SER_hh_emi!M17/SER_hh_num!M17)</f>
        <v>3889.8925388320804</v>
      </c>
      <c r="N17" s="133">
        <f>IF(SER_hh_emi!N17=0,0,1000000*SER_hh_emi!N17/SER_hh_num!N17)</f>
        <v>4054.3028075441302</v>
      </c>
      <c r="O17" s="133">
        <f>IF(SER_hh_emi!O17=0,0,1000000*SER_hh_emi!O17/SER_hh_num!O17)</f>
        <v>4002.3348948362914</v>
      </c>
      <c r="P17" s="133">
        <f>IF(SER_hh_emi!P17=0,0,1000000*SER_hh_emi!P17/SER_hh_num!P17)</f>
        <v>3726.5989497241285</v>
      </c>
      <c r="Q17" s="133">
        <f>IF(SER_hh_emi!Q17=0,0,1000000*SER_hh_emi!Q17/SER_hh_num!Q17)</f>
        <v>4575.7108862384575</v>
      </c>
      <c r="R17" s="133">
        <f>IF(SER_hh_emi!R17=0,0,1000000*SER_hh_emi!R17/SER_hh_num!R17)</f>
        <v>4001.1940553553845</v>
      </c>
      <c r="S17" s="133">
        <f>IF(SER_hh_emi!S17=0,0,1000000*SER_hh_emi!S17/SER_hh_num!S17)</f>
        <v>4273.5286453837671</v>
      </c>
      <c r="T17" s="133">
        <f>IF(SER_hh_emi!T17=0,0,1000000*SER_hh_emi!T17/SER_hh_num!T17)</f>
        <v>4185.4904891632086</v>
      </c>
      <c r="U17" s="133">
        <f>IF(SER_hh_emi!U17=0,0,1000000*SER_hh_emi!U17/SER_hh_num!U17)</f>
        <v>4185.007013911897</v>
      </c>
      <c r="V17" s="133">
        <f>IF(SER_hh_emi!V17=0,0,1000000*SER_hh_emi!V17/SER_hh_num!V17)</f>
        <v>3970.1912789888988</v>
      </c>
      <c r="W17" s="133">
        <f>IF(SER_hh_emi!W17=0,0,1000000*SER_hh_emi!W17/SER_hh_num!W17)</f>
        <v>3147.0715956033469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2586.6682323963505</v>
      </c>
      <c r="C19" s="131">
        <f>IF(SER_hh_emi!C19=0,0,1000000*SER_hh_emi!C19/SER_hh_num!C19)</f>
        <v>2562.5139983229346</v>
      </c>
      <c r="D19" s="131">
        <f>IF(SER_hh_emi!D19=0,0,1000000*SER_hh_emi!D19/SER_hh_num!D19)</f>
        <v>2522.3789691607481</v>
      </c>
      <c r="E19" s="131">
        <f>IF(SER_hh_emi!E19=0,0,1000000*SER_hh_emi!E19/SER_hh_num!E19)</f>
        <v>2512.8305962263735</v>
      </c>
      <c r="F19" s="131">
        <f>IF(SER_hh_emi!F19=0,0,1000000*SER_hh_emi!F19/SER_hh_num!F19)</f>
        <v>2481.580374461912</v>
      </c>
      <c r="G19" s="131">
        <f>IF(SER_hh_emi!G19=0,0,1000000*SER_hh_emi!G19/SER_hh_num!G19)</f>
        <v>2337.8676124123513</v>
      </c>
      <c r="H19" s="131">
        <f>IF(SER_hh_emi!H19=0,0,1000000*SER_hh_emi!H19/SER_hh_num!H19)</f>
        <v>2210.5482421487482</v>
      </c>
      <c r="I19" s="131">
        <f>IF(SER_hh_emi!I19=0,0,1000000*SER_hh_emi!I19/SER_hh_num!I19)</f>
        <v>2121.2942991339751</v>
      </c>
      <c r="J19" s="131">
        <f>IF(SER_hh_emi!J19=0,0,1000000*SER_hh_emi!J19/SER_hh_num!J19)</f>
        <v>2096.9504248088906</v>
      </c>
      <c r="K19" s="131">
        <f>IF(SER_hh_emi!K19=0,0,1000000*SER_hh_emi!K19/SER_hh_num!K19)</f>
        <v>2157.7735456588262</v>
      </c>
      <c r="L19" s="131">
        <f>IF(SER_hh_emi!L19=0,0,1000000*SER_hh_emi!L19/SER_hh_num!L19)</f>
        <v>2023.3046285514736</v>
      </c>
      <c r="M19" s="131">
        <f>IF(SER_hh_emi!M19=0,0,1000000*SER_hh_emi!M19/SER_hh_num!M19)</f>
        <v>2014.6741789050307</v>
      </c>
      <c r="N19" s="131">
        <f>IF(SER_hh_emi!N19=0,0,1000000*SER_hh_emi!N19/SER_hh_num!N19)</f>
        <v>1900.5457244360259</v>
      </c>
      <c r="O19" s="131">
        <f>IF(SER_hh_emi!O19=0,0,1000000*SER_hh_emi!O19/SER_hh_num!O19)</f>
        <v>1965.3694711391265</v>
      </c>
      <c r="P19" s="131">
        <f>IF(SER_hh_emi!P19=0,0,1000000*SER_hh_emi!P19/SER_hh_num!P19)</f>
        <v>1951.4331872705336</v>
      </c>
      <c r="Q19" s="131">
        <f>IF(SER_hh_emi!Q19=0,0,1000000*SER_hh_emi!Q19/SER_hh_num!Q19)</f>
        <v>1993.5783505618606</v>
      </c>
      <c r="R19" s="131">
        <f>IF(SER_hh_emi!R19=0,0,1000000*SER_hh_emi!R19/SER_hh_num!R19)</f>
        <v>1893.1235775375974</v>
      </c>
      <c r="S19" s="131">
        <f>IF(SER_hh_emi!S19=0,0,1000000*SER_hh_emi!S19/SER_hh_num!S19)</f>
        <v>1859.3536199393311</v>
      </c>
      <c r="T19" s="131">
        <f>IF(SER_hh_emi!T19=0,0,1000000*SER_hh_emi!T19/SER_hh_num!T19)</f>
        <v>1702.8424640736416</v>
      </c>
      <c r="U19" s="131">
        <f>IF(SER_hh_emi!U19=0,0,1000000*SER_hh_emi!U19/SER_hh_num!U19)</f>
        <v>1611.8954216017685</v>
      </c>
      <c r="V19" s="131">
        <f>IF(SER_hh_emi!V19=0,0,1000000*SER_hh_emi!V19/SER_hh_num!V19)</f>
        <v>1491.9540883137602</v>
      </c>
      <c r="W19" s="131">
        <f>IF(SER_hh_emi!W19=0,0,1000000*SER_hh_emi!W19/SER_hh_num!W19)</f>
        <v>1556.8163901827158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5973.7170379496756</v>
      </c>
      <c r="C21" s="133">
        <f>IF(SER_hh_emi!C21=0,0,1000000*SER_hh_emi!C21/SER_hh_num!C21)</f>
        <v>5914.4889968554362</v>
      </c>
      <c r="D21" s="133">
        <f>IF(SER_hh_emi!D21=0,0,1000000*SER_hh_emi!D21/SER_hh_num!D21)</f>
        <v>6021.136607203789</v>
      </c>
      <c r="E21" s="133">
        <f>IF(SER_hh_emi!E21=0,0,1000000*SER_hh_emi!E21/SER_hh_num!E21)</f>
        <v>6032.7013820350357</v>
      </c>
      <c r="F21" s="133">
        <f>IF(SER_hh_emi!F21=0,0,1000000*SER_hh_emi!F21/SER_hh_num!F21)</f>
        <v>5972.441897981319</v>
      </c>
      <c r="G21" s="133">
        <f>IF(SER_hh_emi!G21=0,0,1000000*SER_hh_emi!G21/SER_hh_num!G21)</f>
        <v>5678.2057599342297</v>
      </c>
      <c r="H21" s="133">
        <f>IF(SER_hh_emi!H21=0,0,1000000*SER_hh_emi!H21/SER_hh_num!H21)</f>
        <v>5779.1215888976067</v>
      </c>
      <c r="I21" s="133">
        <f>IF(SER_hh_emi!I21=0,0,1000000*SER_hh_emi!I21/SER_hh_num!I21)</f>
        <v>5755.0040682166928</v>
      </c>
      <c r="J21" s="133">
        <f>IF(SER_hh_emi!J21=0,0,1000000*SER_hh_emi!J21/SER_hh_num!J21)</f>
        <v>5783.7732286563796</v>
      </c>
      <c r="K21" s="133">
        <f>IF(SER_hh_emi!K21=0,0,1000000*SER_hh_emi!K21/SER_hh_num!K21)</f>
        <v>5941.2325943960886</v>
      </c>
      <c r="L21" s="133">
        <f>IF(SER_hh_emi!L21=0,0,1000000*SER_hh_emi!L21/SER_hh_num!L21)</f>
        <v>5719.1339540706458</v>
      </c>
      <c r="M21" s="133">
        <f>IF(SER_hh_emi!M21=0,0,1000000*SER_hh_emi!M21/SER_hh_num!M21)</f>
        <v>5779.4240778499752</v>
      </c>
      <c r="N21" s="133">
        <f>IF(SER_hh_emi!N21=0,0,1000000*SER_hh_emi!N21/SER_hh_num!N21)</f>
        <v>5759.4934836157609</v>
      </c>
      <c r="O21" s="133">
        <f>IF(SER_hh_emi!O21=0,0,1000000*SER_hh_emi!O21/SER_hh_num!O21)</f>
        <v>5745.075156189213</v>
      </c>
      <c r="P21" s="133">
        <f>IF(SER_hh_emi!P21=0,0,1000000*SER_hh_emi!P21/SER_hh_num!P21)</f>
        <v>5824.3305558758357</v>
      </c>
      <c r="Q21" s="133">
        <f>IF(SER_hh_emi!Q21=0,0,1000000*SER_hh_emi!Q21/SER_hh_num!Q21)</f>
        <v>5733.853401671382</v>
      </c>
      <c r="R21" s="133">
        <f>IF(SER_hh_emi!R21=0,0,1000000*SER_hh_emi!R21/SER_hh_num!R21)</f>
        <v>5874.0298640993442</v>
      </c>
      <c r="S21" s="133">
        <f>IF(SER_hh_emi!S21=0,0,1000000*SER_hh_emi!S21/SER_hh_num!S21)</f>
        <v>6307.6710048409986</v>
      </c>
      <c r="T21" s="133">
        <f>IF(SER_hh_emi!T21=0,0,1000000*SER_hh_emi!T21/SER_hh_num!T21)</f>
        <v>4829.8978676931538</v>
      </c>
      <c r="U21" s="133">
        <f>IF(SER_hh_emi!U21=0,0,1000000*SER_hh_emi!U21/SER_hh_num!U21)</f>
        <v>5188.4569525204897</v>
      </c>
      <c r="V21" s="133">
        <f>IF(SER_hh_emi!V21=0,0,1000000*SER_hh_emi!V21/SER_hh_num!V21)</f>
        <v>5076.6763957514358</v>
      </c>
      <c r="W21" s="133">
        <f>IF(SER_hh_emi!W21=0,0,1000000*SER_hh_emi!W21/SER_hh_num!W21)</f>
        <v>5142.312645042698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7526.8236713593242</v>
      </c>
      <c r="C22" s="133">
        <f>IF(SER_hh_emi!C22=0,0,1000000*SER_hh_emi!C22/SER_hh_num!C22)</f>
        <v>7533.7260538376522</v>
      </c>
      <c r="D22" s="133">
        <f>IF(SER_hh_emi!D22=0,0,1000000*SER_hh_emi!D22/SER_hh_num!D22)</f>
        <v>7402.5909997649233</v>
      </c>
      <c r="E22" s="133">
        <f>IF(SER_hh_emi!E22=0,0,1000000*SER_hh_emi!E22/SER_hh_num!E22)</f>
        <v>7319.0425329630189</v>
      </c>
      <c r="F22" s="133">
        <f>IF(SER_hh_emi!F22=0,0,1000000*SER_hh_emi!F22/SER_hh_num!F22)</f>
        <v>7421.0291976687313</v>
      </c>
      <c r="G22" s="133">
        <f>IF(SER_hh_emi!G22=0,0,1000000*SER_hh_emi!G22/SER_hh_num!G22)</f>
        <v>7400.5879100076936</v>
      </c>
      <c r="H22" s="133">
        <f>IF(SER_hh_emi!H22=0,0,1000000*SER_hh_emi!H22/SER_hh_num!H22)</f>
        <v>7192.1179639058582</v>
      </c>
      <c r="I22" s="133">
        <f>IF(SER_hh_emi!I22=0,0,1000000*SER_hh_emi!I22/SER_hh_num!I22)</f>
        <v>6966.6802499470232</v>
      </c>
      <c r="J22" s="133">
        <f>IF(SER_hh_emi!J22=0,0,1000000*SER_hh_emi!J22/SER_hh_num!J22)</f>
        <v>7221.530052299292</v>
      </c>
      <c r="K22" s="133">
        <f>IF(SER_hh_emi!K22=0,0,1000000*SER_hh_emi!K22/SER_hh_num!K22)</f>
        <v>7333.0883210333959</v>
      </c>
      <c r="L22" s="133">
        <f>IF(SER_hh_emi!L22=0,0,1000000*SER_hh_emi!L22/SER_hh_num!L22)</f>
        <v>7034.9946791482507</v>
      </c>
      <c r="M22" s="133">
        <f>IF(SER_hh_emi!M22=0,0,1000000*SER_hh_emi!M22/SER_hh_num!M22)</f>
        <v>6735.9484758677927</v>
      </c>
      <c r="N22" s="133">
        <f>IF(SER_hh_emi!N22=0,0,1000000*SER_hh_emi!N22/SER_hh_num!N22)</f>
        <v>7277.3835018520786</v>
      </c>
      <c r="O22" s="133">
        <f>IF(SER_hh_emi!O22=0,0,1000000*SER_hh_emi!O22/SER_hh_num!O22)</f>
        <v>7101.0631035911056</v>
      </c>
      <c r="P22" s="133">
        <f>IF(SER_hh_emi!P22=0,0,1000000*SER_hh_emi!P22/SER_hh_num!P22)</f>
        <v>6929.5647326036615</v>
      </c>
      <c r="Q22" s="133">
        <f>IF(SER_hh_emi!Q22=0,0,1000000*SER_hh_emi!Q22/SER_hh_num!Q22)</f>
        <v>7327.2696114236833</v>
      </c>
      <c r="R22" s="133">
        <f>IF(SER_hh_emi!R22=0,0,1000000*SER_hh_emi!R22/SER_hh_num!R22)</f>
        <v>6578.5385928804208</v>
      </c>
      <c r="S22" s="133">
        <f>IF(SER_hh_emi!S22=0,0,1000000*SER_hh_emi!S22/SER_hh_num!S22)</f>
        <v>6968.8608317634353</v>
      </c>
      <c r="T22" s="133">
        <f>IF(SER_hh_emi!T22=0,0,1000000*SER_hh_emi!T22/SER_hh_num!T22)</f>
        <v>6590.6363783618008</v>
      </c>
      <c r="U22" s="133">
        <f>IF(SER_hh_emi!U22=0,0,1000000*SER_hh_emi!U22/SER_hh_num!U22)</f>
        <v>6305.2108274154925</v>
      </c>
      <c r="V22" s="133">
        <f>IF(SER_hh_emi!V22=0,0,1000000*SER_hh_emi!V22/SER_hh_num!V22)</f>
        <v>6162.8478689135045</v>
      </c>
      <c r="W22" s="133">
        <f>IF(SER_hh_emi!W22=0,0,1000000*SER_hh_emi!W22/SER_hh_num!W22)</f>
        <v>5832.158866522278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5537.7240308629489</v>
      </c>
      <c r="C23" s="133">
        <f>IF(SER_hh_emi!C23=0,0,1000000*SER_hh_emi!C23/SER_hh_num!C23)</f>
        <v>5447.7112556357188</v>
      </c>
      <c r="D23" s="133">
        <f>IF(SER_hh_emi!D23=0,0,1000000*SER_hh_emi!D23/SER_hh_num!D23)</f>
        <v>5322.2282466681309</v>
      </c>
      <c r="E23" s="133">
        <f>IF(SER_hh_emi!E23=0,0,1000000*SER_hh_emi!E23/SER_hh_num!E23)</f>
        <v>5379.2780700099238</v>
      </c>
      <c r="F23" s="133">
        <f>IF(SER_hh_emi!F23=0,0,1000000*SER_hh_emi!F23/SER_hh_num!F23)</f>
        <v>5396.574664861927</v>
      </c>
      <c r="G23" s="133">
        <f>IF(SER_hh_emi!G23=0,0,1000000*SER_hh_emi!G23/SER_hh_num!G23)</f>
        <v>5188.9294815711155</v>
      </c>
      <c r="H23" s="133">
        <f>IF(SER_hh_emi!H23=0,0,1000000*SER_hh_emi!H23/SER_hh_num!H23)</f>
        <v>5025.06942289975</v>
      </c>
      <c r="I23" s="133">
        <f>IF(SER_hh_emi!I23=0,0,1000000*SER_hh_emi!I23/SER_hh_num!I23)</f>
        <v>5008.7880411069391</v>
      </c>
      <c r="J23" s="133">
        <f>IF(SER_hh_emi!J23=0,0,1000000*SER_hh_emi!J23/SER_hh_num!J23)</f>
        <v>4875.5805891931177</v>
      </c>
      <c r="K23" s="133">
        <f>IF(SER_hh_emi!K23=0,0,1000000*SER_hh_emi!K23/SER_hh_num!K23)</f>
        <v>5145.995802159202</v>
      </c>
      <c r="L23" s="133">
        <f>IF(SER_hh_emi!L23=0,0,1000000*SER_hh_emi!L23/SER_hh_num!L23)</f>
        <v>4900.5082843449845</v>
      </c>
      <c r="M23" s="133">
        <f>IF(SER_hh_emi!M23=0,0,1000000*SER_hh_emi!M23/SER_hh_num!M23)</f>
        <v>5343.2090479909648</v>
      </c>
      <c r="N23" s="133">
        <f>IF(SER_hh_emi!N23=0,0,1000000*SER_hh_emi!N23/SER_hh_num!N23)</f>
        <v>4079.5548157966318</v>
      </c>
      <c r="O23" s="133">
        <f>IF(SER_hh_emi!O23=0,0,1000000*SER_hh_emi!O23/SER_hh_num!O23)</f>
        <v>4463.3975350258297</v>
      </c>
      <c r="P23" s="133">
        <f>IF(SER_hh_emi!P23=0,0,1000000*SER_hh_emi!P23/SER_hh_num!P23)</f>
        <v>4664.3546462529757</v>
      </c>
      <c r="Q23" s="133">
        <f>IF(SER_hh_emi!Q23=0,0,1000000*SER_hh_emi!Q23/SER_hh_num!Q23)</f>
        <v>4582.4702707805791</v>
      </c>
      <c r="R23" s="133">
        <f>IF(SER_hh_emi!R23=0,0,1000000*SER_hh_emi!R23/SER_hh_num!R23)</f>
        <v>4842.2369511710313</v>
      </c>
      <c r="S23" s="133">
        <f>IF(SER_hh_emi!S23=0,0,1000000*SER_hh_emi!S23/SER_hh_num!S23)</f>
        <v>4512.3006582214894</v>
      </c>
      <c r="T23" s="133">
        <f>IF(SER_hh_emi!T23=0,0,1000000*SER_hh_emi!T23/SER_hh_num!T23)</f>
        <v>4473.7223392648493</v>
      </c>
      <c r="U23" s="133">
        <f>IF(SER_hh_emi!U23=0,0,1000000*SER_hh_emi!U23/SER_hh_num!U23)</f>
        <v>4293.5835468478399</v>
      </c>
      <c r="V23" s="133">
        <f>IF(SER_hh_emi!V23=0,0,1000000*SER_hh_emi!V23/SER_hh_num!V23)</f>
        <v>3753.1285408066142</v>
      </c>
      <c r="W23" s="133">
        <f>IF(SER_hh_emi!W23=0,0,1000000*SER_hh_emi!W23/SER_hh_num!W23)</f>
        <v>4561.1379267760476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6140.5642973866588</v>
      </c>
      <c r="C24" s="133">
        <f>IF(SER_hh_emi!C24=0,0,1000000*SER_hh_emi!C24/SER_hh_num!C24)</f>
        <v>5854.2282924695983</v>
      </c>
      <c r="D24" s="133">
        <f>IF(SER_hh_emi!D24=0,0,1000000*SER_hh_emi!D24/SER_hh_num!D24)</f>
        <v>5665.8449386990751</v>
      </c>
      <c r="E24" s="133">
        <f>IF(SER_hh_emi!E24=0,0,1000000*SER_hh_emi!E24/SER_hh_num!E24)</f>
        <v>5453.4718116172298</v>
      </c>
      <c r="F24" s="133">
        <f>IF(SER_hh_emi!F24=0,0,1000000*SER_hh_emi!F24/SER_hh_num!F24)</f>
        <v>5448.4881869662568</v>
      </c>
      <c r="G24" s="133">
        <f>IF(SER_hh_emi!G24=0,0,1000000*SER_hh_emi!G24/SER_hh_num!G24)</f>
        <v>2257.3972694227659</v>
      </c>
      <c r="H24" s="133">
        <f>IF(SER_hh_emi!H24=0,0,1000000*SER_hh_emi!H24/SER_hh_num!H24)</f>
        <v>2486.8129087211159</v>
      </c>
      <c r="I24" s="133">
        <f>IF(SER_hh_emi!I24=0,0,1000000*SER_hh_emi!I24/SER_hh_num!I24)</f>
        <v>2994.6229009269605</v>
      </c>
      <c r="J24" s="133">
        <f>IF(SER_hh_emi!J24=0,0,1000000*SER_hh_emi!J24/SER_hh_num!J24)</f>
        <v>2957.3973352217627</v>
      </c>
      <c r="K24" s="133">
        <f>IF(SER_hh_emi!K24=0,0,1000000*SER_hh_emi!K24/SER_hh_num!K24)</f>
        <v>3374.7007013383245</v>
      </c>
      <c r="L24" s="133">
        <f>IF(SER_hh_emi!L24=0,0,1000000*SER_hh_emi!L24/SER_hh_num!L24)</f>
        <v>3758.0483603830262</v>
      </c>
      <c r="M24" s="133">
        <f>IF(SER_hh_emi!M24=0,0,1000000*SER_hh_emi!M24/SER_hh_num!M24)</f>
        <v>2170.6525006197321</v>
      </c>
      <c r="N24" s="133">
        <f>IF(SER_hh_emi!N24=0,0,1000000*SER_hh_emi!N24/SER_hh_num!N24)</f>
        <v>2063.0411359655336</v>
      </c>
      <c r="O24" s="133">
        <f>IF(SER_hh_emi!O24=0,0,1000000*SER_hh_emi!O24/SER_hh_num!O24)</f>
        <v>2419.3245321381596</v>
      </c>
      <c r="P24" s="133">
        <f>IF(SER_hh_emi!P24=0,0,1000000*SER_hh_emi!P24/SER_hh_num!P24)</f>
        <v>1973.3111226713581</v>
      </c>
      <c r="Q24" s="133">
        <f>IF(SER_hh_emi!Q24=0,0,1000000*SER_hh_emi!Q24/SER_hh_num!Q24)</f>
        <v>1342.6280977030101</v>
      </c>
      <c r="R24" s="133">
        <f>IF(SER_hh_emi!R24=0,0,1000000*SER_hh_emi!R24/SER_hh_num!R24)</f>
        <v>1620.9890854853315</v>
      </c>
      <c r="S24" s="133">
        <f>IF(SER_hh_emi!S24=0,0,1000000*SER_hh_emi!S24/SER_hh_num!S24)</f>
        <v>1729.8126370000168</v>
      </c>
      <c r="T24" s="133">
        <f>IF(SER_hh_emi!T24=0,0,1000000*SER_hh_emi!T24/SER_hh_num!T24)</f>
        <v>1413.4094352385182</v>
      </c>
      <c r="U24" s="133">
        <f>IF(SER_hh_emi!U24=0,0,1000000*SER_hh_emi!U24/SER_hh_num!U24)</f>
        <v>1355.8232875809101</v>
      </c>
      <c r="V24" s="133">
        <f>IF(SER_hh_emi!V24=0,0,1000000*SER_hh_emi!V24/SER_hh_num!V24)</f>
        <v>1626.727944753502</v>
      </c>
      <c r="W24" s="133">
        <f>IF(SER_hh_emi!W24=0,0,1000000*SER_hh_emi!W24/SER_hh_num!W24)</f>
        <v>1705.7981496478633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2613.7275141445252</v>
      </c>
      <c r="C29" s="131">
        <f>IF(SER_hh_emi!C29=0,0,1000000*SER_hh_emi!C29/SER_hh_num!C29)</f>
        <v>2052.2499042516015</v>
      </c>
      <c r="D29" s="131">
        <f>IF(SER_hh_emi!D29=0,0,1000000*SER_hh_emi!D29/SER_hh_num!D29)</f>
        <v>2767.4419931755351</v>
      </c>
      <c r="E29" s="131">
        <f>IF(SER_hh_emi!E29=0,0,1000000*SER_hh_emi!E29/SER_hh_num!E29)</f>
        <v>2928.3771485839957</v>
      </c>
      <c r="F29" s="131">
        <f>IF(SER_hh_emi!F29=0,0,1000000*SER_hh_emi!F29/SER_hh_num!F29)</f>
        <v>3047.164485257445</v>
      </c>
      <c r="G29" s="131">
        <f>IF(SER_hh_emi!G29=0,0,1000000*SER_hh_emi!G29/SER_hh_num!G29)</f>
        <v>2156.2977050140271</v>
      </c>
      <c r="H29" s="131">
        <f>IF(SER_hh_emi!H29=0,0,1000000*SER_hh_emi!H29/SER_hh_num!H29)</f>
        <v>1894.8636940813003</v>
      </c>
      <c r="I29" s="131">
        <f>IF(SER_hh_emi!I29=0,0,1000000*SER_hh_emi!I29/SER_hh_num!I29)</f>
        <v>1956.1103192949543</v>
      </c>
      <c r="J29" s="131">
        <f>IF(SER_hh_emi!J29=0,0,1000000*SER_hh_emi!J29/SER_hh_num!J29)</f>
        <v>2031.1831914696202</v>
      </c>
      <c r="K29" s="131">
        <f>IF(SER_hh_emi!K29=0,0,1000000*SER_hh_emi!K29/SER_hh_num!K29)</f>
        <v>2357.5694542292194</v>
      </c>
      <c r="L29" s="131">
        <f>IF(SER_hh_emi!L29=0,0,1000000*SER_hh_emi!L29/SER_hh_num!L29)</f>
        <v>2349.6563524116191</v>
      </c>
      <c r="M29" s="131">
        <f>IF(SER_hh_emi!M29=0,0,1000000*SER_hh_emi!M29/SER_hh_num!M29)</f>
        <v>2290.1100537947946</v>
      </c>
      <c r="N29" s="131">
        <f>IF(SER_hh_emi!N29=0,0,1000000*SER_hh_emi!N29/SER_hh_num!N29)</f>
        <v>1989.9964064154492</v>
      </c>
      <c r="O29" s="131">
        <f>IF(SER_hh_emi!O29=0,0,1000000*SER_hh_emi!O29/SER_hh_num!O29)</f>
        <v>1954.8651273833743</v>
      </c>
      <c r="P29" s="131">
        <f>IF(SER_hh_emi!P29=0,0,1000000*SER_hh_emi!P29/SER_hh_num!P29)</f>
        <v>2053.7747094143715</v>
      </c>
      <c r="Q29" s="131">
        <f>IF(SER_hh_emi!Q29=0,0,1000000*SER_hh_emi!Q29/SER_hh_num!Q29)</f>
        <v>2250.1237620424881</v>
      </c>
      <c r="R29" s="131">
        <f>IF(SER_hh_emi!R29=0,0,1000000*SER_hh_emi!R29/SER_hh_num!R29)</f>
        <v>2126.9049202545712</v>
      </c>
      <c r="S29" s="131">
        <f>IF(SER_hh_emi!S29=0,0,1000000*SER_hh_emi!S29/SER_hh_num!S29)</f>
        <v>2225.9200757712074</v>
      </c>
      <c r="T29" s="131">
        <f>IF(SER_hh_emi!T29=0,0,1000000*SER_hh_emi!T29/SER_hh_num!T29)</f>
        <v>2086.7343916576301</v>
      </c>
      <c r="U29" s="131">
        <f>IF(SER_hh_emi!U29=0,0,1000000*SER_hh_emi!U29/SER_hh_num!U29)</f>
        <v>2129.9119151708705</v>
      </c>
      <c r="V29" s="131">
        <f>IF(SER_hh_emi!V29=0,0,1000000*SER_hh_emi!V29/SER_hh_num!V29)</f>
        <v>1867.2358565266645</v>
      </c>
      <c r="W29" s="131">
        <f>IF(SER_hh_emi!W29=0,0,1000000*SER_hh_emi!W29/SER_hh_num!W29)</f>
        <v>2378.8775251692273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7294.0755541672506</v>
      </c>
      <c r="C30" s="133">
        <f>IF(SER_hh_emi!C30=0,0,1000000*SER_hh_emi!C30/SER_hh_num!C30)</f>
        <v>2491.0216088607722</v>
      </c>
      <c r="D30" s="133">
        <f>IF(SER_hh_emi!D30=0,0,1000000*SER_hh_emi!D30/SER_hh_num!D30)</f>
        <v>6055.1988847675093</v>
      </c>
      <c r="E30" s="133">
        <f>IF(SER_hh_emi!E30=0,0,1000000*SER_hh_emi!E30/SER_hh_num!E30)</f>
        <v>5971.3222572674622</v>
      </c>
      <c r="F30" s="133">
        <f>IF(SER_hh_emi!F30=0,0,1000000*SER_hh_emi!F30/SER_hh_num!F30)</f>
        <v>6544.0204384640274</v>
      </c>
      <c r="G30" s="133">
        <f>IF(SER_hh_emi!G30=0,0,1000000*SER_hh_emi!G30/SER_hh_num!G30)</f>
        <v>5389.0324601443772</v>
      </c>
      <c r="H30" s="133">
        <f>IF(SER_hh_emi!H30=0,0,1000000*SER_hh_emi!H30/SER_hh_num!H30)</f>
        <v>4789.8427972429099</v>
      </c>
      <c r="I30" s="133">
        <f>IF(SER_hh_emi!I30=0,0,1000000*SER_hh_emi!I30/SER_hh_num!I30)</f>
        <v>5368.4462266699202</v>
      </c>
      <c r="J30" s="133">
        <f>IF(SER_hh_emi!J30=0,0,1000000*SER_hh_emi!J30/SER_hh_num!J30)</f>
        <v>5915.7165192658613</v>
      </c>
      <c r="K30" s="133">
        <f>IF(SER_hh_emi!K30=0,0,1000000*SER_hh_emi!K30/SER_hh_num!K30)</f>
        <v>5661.0026129987637</v>
      </c>
      <c r="L30" s="133">
        <f>IF(SER_hh_emi!L30=0,0,1000000*SER_hh_emi!L30/SER_hh_num!L30)</f>
        <v>6158.5561667378188</v>
      </c>
      <c r="M30" s="133">
        <f>IF(SER_hh_emi!M30=0,0,1000000*SER_hh_emi!M30/SER_hh_num!M30)</f>
        <v>6258.8995154817185</v>
      </c>
      <c r="N30" s="133">
        <f>IF(SER_hh_emi!N30=0,0,1000000*SER_hh_emi!N30/SER_hh_num!N30)</f>
        <v>5800.2610524344855</v>
      </c>
      <c r="O30" s="133">
        <f>IF(SER_hh_emi!O30=0,0,1000000*SER_hh_emi!O30/SER_hh_num!O30)</f>
        <v>5434.4641891362526</v>
      </c>
      <c r="P30" s="133">
        <f>IF(SER_hh_emi!P30=0,0,1000000*SER_hh_emi!P30/SER_hh_num!P30)</f>
        <v>5690.0564353416021</v>
      </c>
      <c r="Q30" s="133">
        <f>IF(SER_hh_emi!Q30=0,0,1000000*SER_hh_emi!Q30/SER_hh_num!Q30)</f>
        <v>6353.3533390333732</v>
      </c>
      <c r="R30" s="133">
        <f>IF(SER_hh_emi!R30=0,0,1000000*SER_hh_emi!R30/SER_hh_num!R30)</f>
        <v>5998.1978507189506</v>
      </c>
      <c r="S30" s="133">
        <f>IF(SER_hh_emi!S30=0,0,1000000*SER_hh_emi!S30/SER_hh_num!S30)</f>
        <v>6597.0718960795293</v>
      </c>
      <c r="T30" s="133">
        <f>IF(SER_hh_emi!T30=0,0,1000000*SER_hh_emi!T30/SER_hh_num!T30)</f>
        <v>5562.3669901006861</v>
      </c>
      <c r="U30" s="133">
        <f>IF(SER_hh_emi!U30=0,0,1000000*SER_hh_emi!U30/SER_hh_num!U30)</f>
        <v>6378.6541597926753</v>
      </c>
      <c r="V30" s="133">
        <f>IF(SER_hh_emi!V30=0,0,1000000*SER_hh_emi!V30/SER_hh_num!V30)</f>
        <v>5352.4610901073638</v>
      </c>
      <c r="W30" s="133">
        <f>IF(SER_hh_emi!W30=0,0,1000000*SER_hh_emi!W30/SER_hh_num!W30)</f>
        <v>5984.5929443881823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4785.2228178497908</v>
      </c>
      <c r="C31" s="133">
        <f>IF(SER_hh_emi!C31=0,0,1000000*SER_hh_emi!C31/SER_hh_num!C31)</f>
        <v>4785.1961408972211</v>
      </c>
      <c r="D31" s="133">
        <f>IF(SER_hh_emi!D31=0,0,1000000*SER_hh_emi!D31/SER_hh_num!D31)</f>
        <v>4753.3378168921754</v>
      </c>
      <c r="E31" s="133">
        <f>IF(SER_hh_emi!E31=0,0,1000000*SER_hh_emi!E31/SER_hh_num!E31)</f>
        <v>4960.142664580886</v>
      </c>
      <c r="F31" s="133">
        <f>IF(SER_hh_emi!F31=0,0,1000000*SER_hh_emi!F31/SER_hh_num!F31)</f>
        <v>5370.8633059851145</v>
      </c>
      <c r="G31" s="133">
        <f>IF(SER_hh_emi!G31=0,0,1000000*SER_hh_emi!G31/SER_hh_num!G31)</f>
        <v>4186.8493827464599</v>
      </c>
      <c r="H31" s="133">
        <f>IF(SER_hh_emi!H31=0,0,1000000*SER_hh_emi!H31/SER_hh_num!H31)</f>
        <v>4545.6433545741374</v>
      </c>
      <c r="I31" s="133">
        <f>IF(SER_hh_emi!I31=0,0,1000000*SER_hh_emi!I31/SER_hh_num!I31)</f>
        <v>4743.1120789108054</v>
      </c>
      <c r="J31" s="133">
        <f>IF(SER_hh_emi!J31=0,0,1000000*SER_hh_emi!J31/SER_hh_num!J31)</f>
        <v>4411.1347623001984</v>
      </c>
      <c r="K31" s="133">
        <f>IF(SER_hh_emi!K31=0,0,1000000*SER_hh_emi!K31/SER_hh_num!K31)</f>
        <v>5560.5292906838949</v>
      </c>
      <c r="L31" s="133">
        <f>IF(SER_hh_emi!L31=0,0,1000000*SER_hh_emi!L31/SER_hh_num!L31)</f>
        <v>5185.4122996569977</v>
      </c>
      <c r="M31" s="133">
        <f>IF(SER_hh_emi!M31=0,0,1000000*SER_hh_emi!M31/SER_hh_num!M31)</f>
        <v>5246.2647104636426</v>
      </c>
      <c r="N31" s="133">
        <f>IF(SER_hh_emi!N31=0,0,1000000*SER_hh_emi!N31/SER_hh_num!N31)</f>
        <v>4889.9948922219264</v>
      </c>
      <c r="O31" s="133">
        <f>IF(SER_hh_emi!O31=0,0,1000000*SER_hh_emi!O31/SER_hh_num!O31)</f>
        <v>5136.7080638760035</v>
      </c>
      <c r="P31" s="133">
        <f>IF(SER_hh_emi!P31=0,0,1000000*SER_hh_emi!P31/SER_hh_num!P31)</f>
        <v>5353.0301742154306</v>
      </c>
      <c r="Q31" s="133">
        <f>IF(SER_hh_emi!Q31=0,0,1000000*SER_hh_emi!Q31/SER_hh_num!Q31)</f>
        <v>5480.3184433405786</v>
      </c>
      <c r="R31" s="133">
        <f>IF(SER_hh_emi!R31=0,0,1000000*SER_hh_emi!R31/SER_hh_num!R31)</f>
        <v>5212.4637411934582</v>
      </c>
      <c r="S31" s="133">
        <f>IF(SER_hh_emi!S31=0,0,1000000*SER_hh_emi!S31/SER_hh_num!S31)</f>
        <v>5271.2135970788868</v>
      </c>
      <c r="T31" s="133">
        <f>IF(SER_hh_emi!T31=0,0,1000000*SER_hh_emi!T31/SER_hh_num!T31)</f>
        <v>5352.0689010909073</v>
      </c>
      <c r="U31" s="133">
        <f>IF(SER_hh_emi!U31=0,0,1000000*SER_hh_emi!U31/SER_hh_num!U31)</f>
        <v>5076.5753872464875</v>
      </c>
      <c r="V31" s="133">
        <f>IF(SER_hh_emi!V31=0,0,1000000*SER_hh_emi!V31/SER_hh_num!V31)</f>
        <v>4463.5620533999081</v>
      </c>
      <c r="W31" s="133">
        <f>IF(SER_hh_emi!W31=0,0,1000000*SER_hh_emi!W31/SER_hh_num!W31)</f>
        <v>5976.0633840296368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230.42095428920808</v>
      </c>
      <c r="C3" s="126">
        <f>IF(SER_hh_fech!C3=0,0,SER_hh_fech!C3/SER_summary!C$26)</f>
        <v>239.39737672121373</v>
      </c>
      <c r="D3" s="126">
        <f>IF(SER_hh_fech!D3=0,0,SER_hh_fech!D3/SER_summary!D$26)</f>
        <v>220.95996159815155</v>
      </c>
      <c r="E3" s="126">
        <f>IF(SER_hh_fech!E3=0,0,SER_hh_fech!E3/SER_summary!E$26)</f>
        <v>240.24470966603079</v>
      </c>
      <c r="F3" s="126">
        <f>IF(SER_hh_fech!F3=0,0,SER_hh_fech!F3/SER_summary!F$26)</f>
        <v>241.19509532703009</v>
      </c>
      <c r="G3" s="126">
        <f>IF(SER_hh_fech!G3=0,0,SER_hh_fech!G3/SER_summary!G$26)</f>
        <v>234.68308232381921</v>
      </c>
      <c r="H3" s="126">
        <f>IF(SER_hh_fech!H3=0,0,SER_hh_fech!H3/SER_summary!H$26)</f>
        <v>219.16076662464857</v>
      </c>
      <c r="I3" s="126">
        <f>IF(SER_hh_fech!I3=0,0,SER_hh_fech!I3/SER_summary!I$26)</f>
        <v>206.36830694122031</v>
      </c>
      <c r="J3" s="126">
        <f>IF(SER_hh_fech!J3=0,0,SER_hh_fech!J3/SER_summary!J$26)</f>
        <v>204.87584615402346</v>
      </c>
      <c r="K3" s="126">
        <f>IF(SER_hh_fech!K3=0,0,SER_hh_fech!K3/SER_summary!K$26)</f>
        <v>220.46121337178263</v>
      </c>
      <c r="L3" s="126">
        <f>IF(SER_hh_fech!L3=0,0,SER_hh_fech!L3/SER_summary!L$26)</f>
        <v>230.81267621648342</v>
      </c>
      <c r="M3" s="126">
        <f>IF(SER_hh_fech!M3=0,0,SER_hh_fech!M3/SER_summary!M$26)</f>
        <v>188.02425780054421</v>
      </c>
      <c r="N3" s="126">
        <f>IF(SER_hh_fech!N3=0,0,SER_hh_fech!N3/SER_summary!N$26)</f>
        <v>202.01836263486547</v>
      </c>
      <c r="O3" s="126">
        <f>IF(SER_hh_fech!O3=0,0,SER_hh_fech!O3/SER_summary!O$26)</f>
        <v>207.72536835866973</v>
      </c>
      <c r="P3" s="126">
        <f>IF(SER_hh_fech!P3=0,0,SER_hh_fech!P3/SER_summary!P$26)</f>
        <v>181.62272402266626</v>
      </c>
      <c r="Q3" s="126">
        <f>IF(SER_hh_fech!Q3=0,0,SER_hh_fech!Q3/SER_summary!Q$26)</f>
        <v>190.28257578517955</v>
      </c>
      <c r="R3" s="126">
        <f>IF(SER_hh_fech!R3=0,0,SER_hh_fech!R3/SER_summary!R$26)</f>
        <v>187.81615175888322</v>
      </c>
      <c r="S3" s="126">
        <f>IF(SER_hh_fech!S3=0,0,SER_hh_fech!S3/SER_summary!S$26)</f>
        <v>189.56830967418117</v>
      </c>
      <c r="T3" s="126">
        <f>IF(SER_hh_fech!T3=0,0,SER_hh_fech!T3/SER_summary!T$26)</f>
        <v>187.52869603737329</v>
      </c>
      <c r="U3" s="126">
        <f>IF(SER_hh_fech!U3=0,0,SER_hh_fech!U3/SER_summary!U$26)</f>
        <v>180.96468932932521</v>
      </c>
      <c r="V3" s="126">
        <f>IF(SER_hh_fech!V3=0,0,SER_hh_fech!V3/SER_summary!V$26)</f>
        <v>165.38109627554587</v>
      </c>
      <c r="W3" s="126">
        <f>IF(SER_hh_fech!W3=0,0,SER_hh_fech!W3/SER_summary!W$26)</f>
        <v>178.97830268859261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175.31049999601109</v>
      </c>
      <c r="C4" s="131">
        <f>IF(SER_hh_fech!C4=0,0,SER_hh_fech!C4/SER_summary!C$26)</f>
        <v>185.12443641158464</v>
      </c>
      <c r="D4" s="131">
        <f>IF(SER_hh_fech!D4=0,0,SER_hh_fech!D4/SER_summary!D$26)</f>
        <v>166.0352879099166</v>
      </c>
      <c r="E4" s="131">
        <f>IF(SER_hh_fech!E4=0,0,SER_hh_fech!E4/SER_summary!E$26)</f>
        <v>182.77879259423801</v>
      </c>
      <c r="F4" s="131">
        <f>IF(SER_hh_fech!F4=0,0,SER_hh_fech!F4/SER_summary!F$26)</f>
        <v>185.92204903967837</v>
      </c>
      <c r="G4" s="131">
        <f>IF(SER_hh_fech!G4=0,0,SER_hh_fech!G4/SER_summary!G$26)</f>
        <v>180.66359188608072</v>
      </c>
      <c r="H4" s="131">
        <f>IF(SER_hh_fech!H4=0,0,SER_hh_fech!H4/SER_summary!H$26)</f>
        <v>165.27760105618609</v>
      </c>
      <c r="I4" s="131">
        <f>IF(SER_hh_fech!I4=0,0,SER_hh_fech!I4/SER_summary!I$26)</f>
        <v>153.78732839513845</v>
      </c>
      <c r="J4" s="131">
        <f>IF(SER_hh_fech!J4=0,0,SER_hh_fech!J4/SER_summary!J$26)</f>
        <v>151.65077780672084</v>
      </c>
      <c r="K4" s="131">
        <f>IF(SER_hh_fech!K4=0,0,SER_hh_fech!K4/SER_summary!K$26)</f>
        <v>165.33796742991709</v>
      </c>
      <c r="L4" s="131">
        <f>IF(SER_hh_fech!L4=0,0,SER_hh_fech!L4/SER_summary!L$26)</f>
        <v>175.79359727956273</v>
      </c>
      <c r="M4" s="131">
        <f>IF(SER_hh_fech!M4=0,0,SER_hh_fech!M4/SER_summary!M$26)</f>
        <v>133.30055301345425</v>
      </c>
      <c r="N4" s="131">
        <f>IF(SER_hh_fech!N4=0,0,SER_hh_fech!N4/SER_summary!N$26)</f>
        <v>147.30306856230621</v>
      </c>
      <c r="O4" s="131">
        <f>IF(SER_hh_fech!O4=0,0,SER_hh_fech!O4/SER_summary!O$26)</f>
        <v>152.93763058598446</v>
      </c>
      <c r="P4" s="131">
        <f>IF(SER_hh_fech!P4=0,0,SER_hh_fech!P4/SER_summary!P$26)</f>
        <v>127.23800096992991</v>
      </c>
      <c r="Q4" s="131">
        <f>IF(SER_hh_fech!Q4=0,0,SER_hh_fech!Q4/SER_summary!Q$26)</f>
        <v>134.34840383121247</v>
      </c>
      <c r="R4" s="131">
        <f>IF(SER_hh_fech!R4=0,0,SER_hh_fech!R4/SER_summary!R$26)</f>
        <v>132.74089566325341</v>
      </c>
      <c r="S4" s="131">
        <f>IF(SER_hh_fech!S4=0,0,SER_hh_fech!S4/SER_summary!S$26)</f>
        <v>134.60070033873509</v>
      </c>
      <c r="T4" s="131">
        <f>IF(SER_hh_fech!T4=0,0,SER_hh_fech!T4/SER_summary!T$26)</f>
        <v>133.07327753838402</v>
      </c>
      <c r="U4" s="131">
        <f>IF(SER_hh_fech!U4=0,0,SER_hh_fech!U4/SER_summary!U$26)</f>
        <v>127.68203183022493</v>
      </c>
      <c r="V4" s="131">
        <f>IF(SER_hh_fech!V4=0,0,SER_hh_fech!V4/SER_summary!V$26)</f>
        <v>116.45039366337964</v>
      </c>
      <c r="W4" s="131">
        <f>IF(SER_hh_fech!W4=0,0,SER_hh_fech!W4/SER_summary!W$26)</f>
        <v>127.70167105197521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188.69528961723211</v>
      </c>
      <c r="C5" s="133">
        <f>IF(SER_hh_fech!C5=0,0,SER_hh_fech!C5/SER_summary!C$26)</f>
        <v>203.39777755332295</v>
      </c>
      <c r="D5" s="133">
        <f>IF(SER_hh_fech!D5=0,0,SER_hh_fech!D5/SER_summary!D$26)</f>
        <v>161.47424549654394</v>
      </c>
      <c r="E5" s="133">
        <f>IF(SER_hh_fech!E5=0,0,SER_hh_fech!E5/SER_summary!E$26)</f>
        <v>194.21033492659993</v>
      </c>
      <c r="F5" s="133">
        <f>IF(SER_hh_fech!F5=0,0,SER_hh_fech!F5/SER_summary!F$26)</f>
        <v>194.85425519192879</v>
      </c>
      <c r="G5" s="133">
        <f>IF(SER_hh_fech!G5=0,0,SER_hh_fech!G5/SER_summary!G$26)</f>
        <v>195.53827460846117</v>
      </c>
      <c r="H5" s="133">
        <f>IF(SER_hh_fech!H5=0,0,SER_hh_fech!H5/SER_summary!H$26)</f>
        <v>183.93064947047299</v>
      </c>
      <c r="I5" s="133">
        <f>IF(SER_hh_fech!I5=0,0,SER_hh_fech!I5/SER_summary!I$26)</f>
        <v>175.11085516253797</v>
      </c>
      <c r="J5" s="133">
        <f>IF(SER_hh_fech!J5=0,0,SER_hh_fech!J5/SER_summary!J$26)</f>
        <v>166.44816125952548</v>
      </c>
      <c r="K5" s="133">
        <f>IF(SER_hh_fech!K5=0,0,SER_hh_fech!K5/SER_summary!K$26)</f>
        <v>170.85439395206376</v>
      </c>
      <c r="L5" s="133">
        <f>IF(SER_hh_fech!L5=0,0,SER_hh_fech!L5/SER_summary!L$26)</f>
        <v>231.66377641571967</v>
      </c>
      <c r="M5" s="133">
        <f>IF(SER_hh_fech!M5=0,0,SER_hh_fech!M5/SER_summary!M$26)</f>
        <v>95.362972405292822</v>
      </c>
      <c r="N5" s="133">
        <f>IF(SER_hh_fech!N5=0,0,SER_hh_fech!N5/SER_summary!N$26)</f>
        <v>137.22320142523122</v>
      </c>
      <c r="O5" s="133">
        <f>IF(SER_hh_fech!O5=0,0,SER_hh_fech!O5/SER_summary!O$26)</f>
        <v>173.71194566767252</v>
      </c>
      <c r="P5" s="133">
        <f>IF(SER_hh_fech!P5=0,0,SER_hh_fech!P5/SER_summary!P$26)</f>
        <v>134.52519662820188</v>
      </c>
      <c r="Q5" s="133">
        <f>IF(SER_hh_fech!Q5=0,0,SER_hh_fech!Q5/SER_summary!Q$26)</f>
        <v>143.05224247656943</v>
      </c>
      <c r="R5" s="133">
        <f>IF(SER_hh_fech!R5=0,0,SER_hh_fech!R5/SER_summary!R$26)</f>
        <v>154.02391114575266</v>
      </c>
      <c r="S5" s="133">
        <f>IF(SER_hh_fech!S5=0,0,SER_hh_fech!S5/SER_summary!S$26)</f>
        <v>152.55441948265215</v>
      </c>
      <c r="T5" s="133">
        <f>IF(SER_hh_fech!T5=0,0,SER_hh_fech!T5/SER_summary!T$26)</f>
        <v>143.61673573265838</v>
      </c>
      <c r="U5" s="133">
        <f>IF(SER_hh_fech!U5=0,0,SER_hh_fech!U5/SER_summary!U$26)</f>
        <v>142.10470652333277</v>
      </c>
      <c r="V5" s="133">
        <f>IF(SER_hh_fech!V5=0,0,SER_hh_fech!V5/SER_summary!V$26)</f>
        <v>125.33261944838011</v>
      </c>
      <c r="W5" s="133">
        <f>IF(SER_hh_fech!W5=0,0,SER_hh_fech!W5/SER_summary!W$26)</f>
        <v>142.76700352480927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210.1586688257743</v>
      </c>
      <c r="C7" s="133">
        <f>IF(SER_hh_fech!C7=0,0,SER_hh_fech!C7/SER_summary!C$26)</f>
        <v>232.15920814994917</v>
      </c>
      <c r="D7" s="133">
        <f>IF(SER_hh_fech!D7=0,0,SER_hh_fech!D7/SER_summary!D$26)</f>
        <v>205.48369691316523</v>
      </c>
      <c r="E7" s="133">
        <f>IF(SER_hh_fech!E7=0,0,SER_hh_fech!E7/SER_summary!E$26)</f>
        <v>223.74222092071369</v>
      </c>
      <c r="F7" s="133">
        <f>IF(SER_hh_fech!F7=0,0,SER_hh_fech!F7/SER_summary!F$26)</f>
        <v>230.51758100063296</v>
      </c>
      <c r="G7" s="133">
        <f>IF(SER_hh_fech!G7=0,0,SER_hh_fech!G7/SER_summary!G$26)</f>
        <v>224.92264694101692</v>
      </c>
      <c r="H7" s="133">
        <f>IF(SER_hh_fech!H7=0,0,SER_hh_fech!H7/SER_summary!H$26)</f>
        <v>207.97069984376765</v>
      </c>
      <c r="I7" s="133">
        <f>IF(SER_hh_fech!I7=0,0,SER_hh_fech!I7/SER_summary!I$26)</f>
        <v>179.12226392768224</v>
      </c>
      <c r="J7" s="133">
        <f>IF(SER_hh_fech!J7=0,0,SER_hh_fech!J7/SER_summary!J$26)</f>
        <v>212.20338993605111</v>
      </c>
      <c r="K7" s="133">
        <f>IF(SER_hh_fech!K7=0,0,SER_hh_fech!K7/SER_summary!K$26)</f>
        <v>207.38298798929191</v>
      </c>
      <c r="L7" s="133">
        <f>IF(SER_hh_fech!L7=0,0,SER_hh_fech!L7/SER_summary!L$26)</f>
        <v>200.42767097423319</v>
      </c>
      <c r="M7" s="133">
        <f>IF(SER_hh_fech!M7=0,0,SER_hh_fech!M7/SER_summary!M$26)</f>
        <v>172.42676476103699</v>
      </c>
      <c r="N7" s="133">
        <f>IF(SER_hh_fech!N7=0,0,SER_hh_fech!N7/SER_summary!N$26)</f>
        <v>179.08075058627927</v>
      </c>
      <c r="O7" s="133">
        <f>IF(SER_hh_fech!O7=0,0,SER_hh_fech!O7/SER_summary!O$26)</f>
        <v>183.42976264209381</v>
      </c>
      <c r="P7" s="133">
        <f>IF(SER_hh_fech!P7=0,0,SER_hh_fech!P7/SER_summary!P$26)</f>
        <v>161.49546598860198</v>
      </c>
      <c r="Q7" s="133">
        <f>IF(SER_hh_fech!Q7=0,0,SER_hh_fech!Q7/SER_summary!Q$26)</f>
        <v>169.69464849210735</v>
      </c>
      <c r="R7" s="133">
        <f>IF(SER_hh_fech!R7=0,0,SER_hh_fech!R7/SER_summary!R$26)</f>
        <v>157.24078913075567</v>
      </c>
      <c r="S7" s="133">
        <f>IF(SER_hh_fech!S7=0,0,SER_hh_fech!S7/SER_summary!S$26)</f>
        <v>166.888046525795</v>
      </c>
      <c r="T7" s="133">
        <f>IF(SER_hh_fech!T7=0,0,SER_hh_fech!T7/SER_summary!T$26)</f>
        <v>161.45823337397999</v>
      </c>
      <c r="U7" s="133">
        <f>IF(SER_hh_fech!U7=0,0,SER_hh_fech!U7/SER_summary!U$26)</f>
        <v>156.21026247139324</v>
      </c>
      <c r="V7" s="133">
        <f>IF(SER_hh_fech!V7=0,0,SER_hh_fech!V7/SER_summary!V$26)</f>
        <v>146.34740806526074</v>
      </c>
      <c r="W7" s="133">
        <f>IF(SER_hh_fech!W7=0,0,SER_hh_fech!W7/SER_summary!W$26)</f>
        <v>150.58931678941875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76.202929651189692</v>
      </c>
      <c r="C8" s="133">
        <f>IF(SER_hh_fech!C8=0,0,SER_hh_fech!C8/SER_summary!C$26)</f>
        <v>89.128089887710999</v>
      </c>
      <c r="D8" s="133">
        <f>IF(SER_hh_fech!D8=0,0,SER_hh_fech!D8/SER_summary!D$26)</f>
        <v>71.619676946045004</v>
      </c>
      <c r="E8" s="133">
        <f>IF(SER_hh_fech!E8=0,0,SER_hh_fech!E8/SER_summary!E$26)</f>
        <v>75.41840048501895</v>
      </c>
      <c r="F8" s="133">
        <f>IF(SER_hh_fech!F8=0,0,SER_hh_fech!F8/SER_summary!F$26)</f>
        <v>68.633630077876603</v>
      </c>
      <c r="G8" s="133">
        <f>IF(SER_hh_fech!G8=0,0,SER_hh_fech!G8/SER_summary!G$26)</f>
        <v>88.243511635731664</v>
      </c>
      <c r="H8" s="133">
        <f>IF(SER_hh_fech!H8=0,0,SER_hh_fech!H8/SER_summary!H$26)</f>
        <v>76.330149625007678</v>
      </c>
      <c r="I8" s="133">
        <f>IF(SER_hh_fech!I8=0,0,SER_hh_fech!I8/SER_summary!I$26)</f>
        <v>74.689350075892435</v>
      </c>
      <c r="J8" s="133">
        <f>IF(SER_hh_fech!J8=0,0,SER_hh_fech!J8/SER_summary!J$26)</f>
        <v>76.489838602687527</v>
      </c>
      <c r="K8" s="133">
        <f>IF(SER_hh_fech!K8=0,0,SER_hh_fech!K8/SER_summary!K$26)</f>
        <v>59.262233202811608</v>
      </c>
      <c r="L8" s="133">
        <f>IF(SER_hh_fech!L8=0,0,SER_hh_fech!L8/SER_summary!L$26)</f>
        <v>48.535803333551918</v>
      </c>
      <c r="M8" s="133">
        <f>IF(SER_hh_fech!M8=0,0,SER_hh_fech!M8/SER_summary!M$26)</f>
        <v>63.167626770584739</v>
      </c>
      <c r="N8" s="133">
        <f>IF(SER_hh_fech!N8=0,0,SER_hh_fech!N8/SER_summary!N$26)</f>
        <v>55.520639886293615</v>
      </c>
      <c r="O8" s="133">
        <f>IF(SER_hh_fech!O8=0,0,SER_hh_fech!O8/SER_summary!O$26)</f>
        <v>58.094997905387771</v>
      </c>
      <c r="P8" s="133">
        <f>IF(SER_hh_fech!P8=0,0,SER_hh_fech!P8/SER_summary!P$26)</f>
        <v>48.69761150563864</v>
      </c>
      <c r="Q8" s="133">
        <f>IF(SER_hh_fech!Q8=0,0,SER_hh_fech!Q8/SER_summary!Q$26)</f>
        <v>50.793620100719693</v>
      </c>
      <c r="R8" s="133">
        <f>IF(SER_hh_fech!R8=0,0,SER_hh_fech!R8/SER_summary!R$26)</f>
        <v>49.978793052732847</v>
      </c>
      <c r="S8" s="133">
        <f>IF(SER_hh_fech!S8=0,0,SER_hh_fech!S8/SER_summary!S$26)</f>
        <v>48.505816198964069</v>
      </c>
      <c r="T8" s="133">
        <f>IF(SER_hh_fech!T8=0,0,SER_hh_fech!T8/SER_summary!T$26)</f>
        <v>47.884190294223401</v>
      </c>
      <c r="U8" s="133">
        <f>IF(SER_hh_fech!U8=0,0,SER_hh_fech!U8/SER_summary!U$26)</f>
        <v>46.93036683168225</v>
      </c>
      <c r="V8" s="133">
        <f>IF(SER_hh_fech!V8=0,0,SER_hh_fech!V8/SER_summary!V$26)</f>
        <v>40.731812360883382</v>
      </c>
      <c r="W8" s="133">
        <f>IF(SER_hh_fech!W8=0,0,SER_hh_fech!W8/SER_summary!W$26)</f>
        <v>46.386581983814239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195.06365895867998</v>
      </c>
      <c r="C9" s="133">
        <f>IF(SER_hh_fech!C9=0,0,SER_hh_fech!C9/SER_summary!C$26)</f>
        <v>205.07943487963612</v>
      </c>
      <c r="D9" s="133">
        <f>IF(SER_hh_fech!D9=0,0,SER_hh_fech!D9/SER_summary!D$26)</f>
        <v>166.0648158669182</v>
      </c>
      <c r="E9" s="133">
        <f>IF(SER_hh_fech!E9=0,0,SER_hh_fech!E9/SER_summary!E$26)</f>
        <v>204.5524356458711</v>
      </c>
      <c r="F9" s="133">
        <f>IF(SER_hh_fech!F9=0,0,SER_hh_fech!F9/SER_summary!F$26)</f>
        <v>199.25742748677496</v>
      </c>
      <c r="G9" s="133">
        <f>IF(SER_hh_fech!G9=0,0,SER_hh_fech!G9/SER_summary!G$26)</f>
        <v>199.93475669672935</v>
      </c>
      <c r="H9" s="133">
        <f>IF(SER_hh_fech!H9=0,0,SER_hh_fech!H9/SER_summary!H$26)</f>
        <v>171.19549110413448</v>
      </c>
      <c r="I9" s="133">
        <f>IF(SER_hh_fech!I9=0,0,SER_hh_fech!I9/SER_summary!I$26)</f>
        <v>168.40387032026354</v>
      </c>
      <c r="J9" s="133">
        <f>IF(SER_hh_fech!J9=0,0,SER_hh_fech!J9/SER_summary!J$26)</f>
        <v>146.26409216358394</v>
      </c>
      <c r="K9" s="133">
        <f>IF(SER_hh_fech!K9=0,0,SER_hh_fech!K9/SER_summary!K$26)</f>
        <v>174.23435396739634</v>
      </c>
      <c r="L9" s="133">
        <f>IF(SER_hh_fech!L9=0,0,SER_hh_fech!L9/SER_summary!L$26)</f>
        <v>192.43190495799661</v>
      </c>
      <c r="M9" s="133">
        <f>IF(SER_hh_fech!M9=0,0,SER_hh_fech!M9/SER_summary!M$26)</f>
        <v>134.8916898304152</v>
      </c>
      <c r="N9" s="133">
        <f>IF(SER_hh_fech!N9=0,0,SER_hh_fech!N9/SER_summary!N$26)</f>
        <v>158.10372514127704</v>
      </c>
      <c r="O9" s="133">
        <f>IF(SER_hh_fech!O9=0,0,SER_hh_fech!O9/SER_summary!O$26)</f>
        <v>165.88030712110228</v>
      </c>
      <c r="P9" s="133">
        <f>IF(SER_hh_fech!P9=0,0,SER_hh_fech!P9/SER_summary!P$26)</f>
        <v>132.89784295369219</v>
      </c>
      <c r="Q9" s="133">
        <f>IF(SER_hh_fech!Q9=0,0,SER_hh_fech!Q9/SER_summary!Q$26)</f>
        <v>141.62246509490583</v>
      </c>
      <c r="R9" s="133">
        <f>IF(SER_hh_fech!R9=0,0,SER_hh_fech!R9/SER_summary!R$26)</f>
        <v>140.39348440759002</v>
      </c>
      <c r="S9" s="133">
        <f>IF(SER_hh_fech!S9=0,0,SER_hh_fech!S9/SER_summary!S$26)</f>
        <v>141.28088153424372</v>
      </c>
      <c r="T9" s="133">
        <f>IF(SER_hh_fech!T9=0,0,SER_hh_fech!T9/SER_summary!T$26)</f>
        <v>142.18971595209712</v>
      </c>
      <c r="U9" s="133">
        <f>IF(SER_hh_fech!U9=0,0,SER_hh_fech!U9/SER_summary!U$26)</f>
        <v>135.40898000108788</v>
      </c>
      <c r="V9" s="133">
        <f>IF(SER_hh_fech!V9=0,0,SER_hh_fech!V9/SER_summary!V$26)</f>
        <v>121.99580140514352</v>
      </c>
      <c r="W9" s="133">
        <f>IF(SER_hh_fech!W9=0,0,SER_hh_fech!W9/SER_summary!W$26)</f>
        <v>130.11896062446866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207.01150525065452</v>
      </c>
      <c r="C10" s="133">
        <f>IF(SER_hh_fech!C10=0,0,SER_hh_fech!C10/SER_summary!C$26)</f>
        <v>213.5019144957231</v>
      </c>
      <c r="D10" s="133">
        <f>IF(SER_hh_fech!D10=0,0,SER_hh_fech!D10/SER_summary!D$26)</f>
        <v>211.62304138153152</v>
      </c>
      <c r="E10" s="133">
        <f>IF(SER_hh_fech!E10=0,0,SER_hh_fech!E10/SER_summary!E$26)</f>
        <v>233.83107891716173</v>
      </c>
      <c r="F10" s="133">
        <f>IF(SER_hh_fech!F10=0,0,SER_hh_fech!F10/SER_summary!F$26)</f>
        <v>265.44071844992385</v>
      </c>
      <c r="G10" s="133">
        <f>IF(SER_hh_fech!G10=0,0,SER_hh_fech!G10/SER_summary!G$26)</f>
        <v>179.10884391871295</v>
      </c>
      <c r="H10" s="133">
        <f>IF(SER_hh_fech!H10=0,0,SER_hh_fech!H10/SER_summary!H$26)</f>
        <v>132.68720053827352</v>
      </c>
      <c r="I10" s="133">
        <f>IF(SER_hh_fech!I10=0,0,SER_hh_fech!I10/SER_summary!I$26)</f>
        <v>198.68756261249936</v>
      </c>
      <c r="J10" s="133">
        <f>IF(SER_hh_fech!J10=0,0,SER_hh_fech!J10/SER_summary!J$26)</f>
        <v>188.74666454461709</v>
      </c>
      <c r="K10" s="133">
        <f>IF(SER_hh_fech!K10=0,0,SER_hh_fech!K10/SER_summary!K$26)</f>
        <v>240.38883269217553</v>
      </c>
      <c r="L10" s="133">
        <f>IF(SER_hh_fech!L10=0,0,SER_hh_fech!L10/SER_summary!L$26)</f>
        <v>210.16562137022342</v>
      </c>
      <c r="M10" s="133">
        <f>IF(SER_hh_fech!M10=0,0,SER_hh_fech!M10/SER_summary!M$26)</f>
        <v>141.87471637176932</v>
      </c>
      <c r="N10" s="133">
        <f>IF(SER_hh_fech!N10=0,0,SER_hh_fech!N10/SER_summary!N$26)</f>
        <v>168.90750581311343</v>
      </c>
      <c r="O10" s="133">
        <f>IF(SER_hh_fech!O10=0,0,SER_hh_fech!O10/SER_summary!O$26)</f>
        <v>210.75615377616322</v>
      </c>
      <c r="P10" s="133">
        <f>IF(SER_hh_fech!P10=0,0,SER_hh_fech!P10/SER_summary!P$26)</f>
        <v>172.64944789789257</v>
      </c>
      <c r="Q10" s="133">
        <f>IF(SER_hh_fech!Q10=0,0,SER_hh_fech!Q10/SER_summary!Q$26)</f>
        <v>161.39166024405642</v>
      </c>
      <c r="R10" s="133">
        <f>IF(SER_hh_fech!R10=0,0,SER_hh_fech!R10/SER_summary!R$26)</f>
        <v>177.47472432351699</v>
      </c>
      <c r="S10" s="133">
        <f>IF(SER_hh_fech!S10=0,0,SER_hh_fech!S10/SER_summary!S$26)</f>
        <v>183.61221941635608</v>
      </c>
      <c r="T10" s="133">
        <f>IF(SER_hh_fech!T10=0,0,SER_hh_fech!T10/SER_summary!T$26)</f>
        <v>167.88417441846235</v>
      </c>
      <c r="U10" s="133">
        <f>IF(SER_hh_fech!U10=0,0,SER_hh_fech!U10/SER_summary!U$26)</f>
        <v>164.81319479703274</v>
      </c>
      <c r="V10" s="133">
        <f>IF(SER_hh_fech!V10=0,0,SER_hh_fech!V10/SER_summary!V$26)</f>
        <v>160.63442685768547</v>
      </c>
      <c r="W10" s="133">
        <f>IF(SER_hh_fech!W10=0,0,SER_hh_fech!W10/SER_summary!W$26)</f>
        <v>183.20300695598127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270.54802220768551</v>
      </c>
      <c r="E11" s="133">
        <f>IF(SER_hh_fech!E11=0,0,SER_hh_fech!E11/SER_summary!E$26)</f>
        <v>241.30767750273827</v>
      </c>
      <c r="F11" s="133">
        <f>IF(SER_hh_fech!F11=0,0,SER_hh_fech!F11/SER_summary!F$26)</f>
        <v>241.0837801567445</v>
      </c>
      <c r="G11" s="133">
        <f>IF(SER_hh_fech!G11=0,0,SER_hh_fech!G11/SER_summary!G$26)</f>
        <v>84.674156371724735</v>
      </c>
      <c r="H11" s="133">
        <f>IF(SER_hh_fech!H11=0,0,SER_hh_fech!H11/SER_summary!H$26)</f>
        <v>107.760735313495</v>
      </c>
      <c r="I11" s="133">
        <f>IF(SER_hh_fech!I11=0,0,SER_hh_fech!I11/SER_summary!I$26)</f>
        <v>123.01503637946006</v>
      </c>
      <c r="J11" s="133">
        <f>IF(SER_hh_fech!J11=0,0,SER_hh_fech!J11/SER_summary!J$26)</f>
        <v>123.66471681266206</v>
      </c>
      <c r="K11" s="133">
        <f>IF(SER_hh_fech!K11=0,0,SER_hh_fech!K11/SER_summary!K$26)</f>
        <v>123.27900198244112</v>
      </c>
      <c r="L11" s="133">
        <f>IF(SER_hh_fech!L11=0,0,SER_hh_fech!L11/SER_summary!L$26)</f>
        <v>119.16014991657536</v>
      </c>
      <c r="M11" s="133">
        <f>IF(SER_hh_fech!M11=0,0,SER_hh_fech!M11/SER_summary!M$26)</f>
        <v>129.81668789694726</v>
      </c>
      <c r="N11" s="133">
        <f>IF(SER_hh_fech!N11=0,0,SER_hh_fech!N11/SER_summary!N$26)</f>
        <v>126.19673081604776</v>
      </c>
      <c r="O11" s="133">
        <f>IF(SER_hh_fech!O11=0,0,SER_hh_fech!O11/SER_summary!O$26)</f>
        <v>124.44386044032075</v>
      </c>
      <c r="P11" s="133">
        <f>IF(SER_hh_fech!P11=0,0,SER_hh_fech!P11/SER_summary!P$26)</f>
        <v>115.39001683457157</v>
      </c>
      <c r="Q11" s="133">
        <f>IF(SER_hh_fech!Q11=0,0,SER_hh_fech!Q11/SER_summary!Q$26)</f>
        <v>115.74026126878567</v>
      </c>
      <c r="R11" s="133">
        <f>IF(SER_hh_fech!R11=0,0,SER_hh_fech!R11/SER_summary!R$26)</f>
        <v>115.3254213176791</v>
      </c>
      <c r="S11" s="133">
        <f>IF(SER_hh_fech!S11=0,0,SER_hh_fech!S11/SER_summary!S$26)</f>
        <v>115.38541247800791</v>
      </c>
      <c r="T11" s="133">
        <f>IF(SER_hh_fech!T11=0,0,SER_hh_fech!T11/SER_summary!T$26)</f>
        <v>112.95108488135553</v>
      </c>
      <c r="U11" s="133">
        <f>IF(SER_hh_fech!U11=0,0,SER_hh_fech!U11/SER_summary!U$26)</f>
        <v>110.72873428557422</v>
      </c>
      <c r="V11" s="133">
        <f>IF(SER_hh_fech!V11=0,0,SER_hh_fech!V11/SER_summary!V$26)</f>
        <v>107.40604079318075</v>
      </c>
      <c r="W11" s="133">
        <f>IF(SER_hh_fech!W11=0,0,SER_hh_fech!W11/SER_summary!W$26)</f>
        <v>104.87237830851413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119.75783472738956</v>
      </c>
      <c r="C12" s="133">
        <f>IF(SER_hh_fech!C12=0,0,SER_hh_fech!C12/SER_summary!C$26)</f>
        <v>133.88910125977111</v>
      </c>
      <c r="D12" s="133">
        <f>IF(SER_hh_fech!D12=0,0,SER_hh_fech!D12/SER_summary!D$26)</f>
        <v>134.77206642298026</v>
      </c>
      <c r="E12" s="133">
        <f>IF(SER_hh_fech!E12=0,0,SER_hh_fech!E12/SER_summary!E$26)</f>
        <v>131.62961445213043</v>
      </c>
      <c r="F12" s="133">
        <f>IF(SER_hh_fech!F12=0,0,SER_hh_fech!F12/SER_summary!F$26)</f>
        <v>134.63218581194917</v>
      </c>
      <c r="G12" s="133">
        <f>IF(SER_hh_fech!G12=0,0,SER_hh_fech!G12/SER_summary!G$26)</f>
        <v>146.35831919863901</v>
      </c>
      <c r="H12" s="133">
        <f>IF(SER_hh_fech!H12=0,0,SER_hh_fech!H12/SER_summary!H$26)</f>
        <v>149.55606194217512</v>
      </c>
      <c r="I12" s="133">
        <f>IF(SER_hh_fech!I12=0,0,SER_hh_fech!I12/SER_summary!I$26)</f>
        <v>94.453913861481539</v>
      </c>
      <c r="J12" s="133">
        <f>IF(SER_hh_fech!J12=0,0,SER_hh_fech!J12/SER_summary!J$26)</f>
        <v>119.90178710193045</v>
      </c>
      <c r="K12" s="133">
        <f>IF(SER_hh_fech!K12=0,0,SER_hh_fech!K12/SER_summary!K$26)</f>
        <v>120.49817229270276</v>
      </c>
      <c r="L12" s="133">
        <f>IF(SER_hh_fech!L12=0,0,SER_hh_fech!L12/SER_summary!L$26)</f>
        <v>139.60466689692242</v>
      </c>
      <c r="M12" s="133">
        <f>IF(SER_hh_fech!M12=0,0,SER_hh_fech!M12/SER_summary!M$26)</f>
        <v>118.32748362908785</v>
      </c>
      <c r="N12" s="133">
        <f>IF(SER_hh_fech!N12=0,0,SER_hh_fech!N12/SER_summary!N$26)</f>
        <v>119.0622875310782</v>
      </c>
      <c r="O12" s="133">
        <f>IF(SER_hh_fech!O12=0,0,SER_hh_fech!O12/SER_summary!O$26)</f>
        <v>123.89153787373772</v>
      </c>
      <c r="P12" s="133">
        <f>IF(SER_hh_fech!P12=0,0,SER_hh_fech!P12/SER_summary!P$26)</f>
        <v>111.0786078588407</v>
      </c>
      <c r="Q12" s="133">
        <f>IF(SER_hh_fech!Q12=0,0,SER_hh_fech!Q12/SER_summary!Q$26)</f>
        <v>113.91819486227278</v>
      </c>
      <c r="R12" s="133">
        <f>IF(SER_hh_fech!R12=0,0,SER_hh_fech!R12/SER_summary!R$26)</f>
        <v>119.06600149232058</v>
      </c>
      <c r="S12" s="133">
        <f>IF(SER_hh_fech!S12=0,0,SER_hh_fech!S12/SER_summary!S$26)</f>
        <v>119.34906265007402</v>
      </c>
      <c r="T12" s="133">
        <f>IF(SER_hh_fech!T12=0,0,SER_hh_fech!T12/SER_summary!T$26)</f>
        <v>113.4054097547743</v>
      </c>
      <c r="U12" s="133">
        <f>IF(SER_hh_fech!U12=0,0,SER_hh_fech!U12/SER_summary!U$26)</f>
        <v>109.95279924720755</v>
      </c>
      <c r="V12" s="133">
        <f>IF(SER_hh_fech!V12=0,0,SER_hh_fech!V12/SER_summary!V$26)</f>
        <v>106.30566379017557</v>
      </c>
      <c r="W12" s="133">
        <f>IF(SER_hh_fech!W12=0,0,SER_hh_fech!W12/SER_summary!W$26)</f>
        <v>116.89964800436347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71.454884021798719</v>
      </c>
      <c r="C13" s="133">
        <f>IF(SER_hh_fech!C13=0,0,SER_hh_fech!C13/SER_summary!C$26)</f>
        <v>71.316895475968636</v>
      </c>
      <c r="D13" s="133">
        <f>IF(SER_hh_fech!D13=0,0,SER_hh_fech!D13/SER_summary!D$26)</f>
        <v>72.291568719701715</v>
      </c>
      <c r="E13" s="133">
        <f>IF(SER_hh_fech!E13=0,0,SER_hh_fech!E13/SER_summary!E$26)</f>
        <v>71.158460046152967</v>
      </c>
      <c r="F13" s="133">
        <f>IF(SER_hh_fech!F13=0,0,SER_hh_fech!F13/SER_summary!F$26)</f>
        <v>68.448011285138634</v>
      </c>
      <c r="G13" s="133">
        <f>IF(SER_hh_fech!G13=0,0,SER_hh_fech!G13/SER_summary!G$26)</f>
        <v>67.389463837015299</v>
      </c>
      <c r="H13" s="133">
        <f>IF(SER_hh_fech!H13=0,0,SER_hh_fech!H13/SER_summary!H$26)</f>
        <v>60.714342680707553</v>
      </c>
      <c r="I13" s="133">
        <f>IF(SER_hh_fech!I13=0,0,SER_hh_fech!I13/SER_summary!I$26)</f>
        <v>53.97002610957145</v>
      </c>
      <c r="J13" s="133">
        <f>IF(SER_hh_fech!J13=0,0,SER_hh_fech!J13/SER_summary!J$26)</f>
        <v>54.802852480712261</v>
      </c>
      <c r="K13" s="133">
        <f>IF(SER_hh_fech!K13=0,0,SER_hh_fech!K13/SER_summary!K$26)</f>
        <v>50.168891264136782</v>
      </c>
      <c r="L13" s="133">
        <f>IF(SER_hh_fech!L13=0,0,SER_hh_fech!L13/SER_summary!L$26)</f>
        <v>43.352811657993243</v>
      </c>
      <c r="M13" s="133">
        <f>IF(SER_hh_fech!M13=0,0,SER_hh_fech!M13/SER_summary!M$26)</f>
        <v>46.590673548730372</v>
      </c>
      <c r="N13" s="133">
        <f>IF(SER_hh_fech!N13=0,0,SER_hh_fech!N13/SER_summary!N$26)</f>
        <v>45.434082234143567</v>
      </c>
      <c r="O13" s="133">
        <f>IF(SER_hh_fech!O13=0,0,SER_hh_fech!O13/SER_summary!O$26)</f>
        <v>44.750206057364785</v>
      </c>
      <c r="P13" s="133">
        <f>IF(SER_hh_fech!P13=0,0,SER_hh_fech!P13/SER_summary!P$26)</f>
        <v>36.126896426914072</v>
      </c>
      <c r="Q13" s="133">
        <f>IF(SER_hh_fech!Q13=0,0,SER_hh_fech!Q13/SER_summary!Q$26)</f>
        <v>36.8611711167867</v>
      </c>
      <c r="R13" s="133">
        <f>IF(SER_hh_fech!R13=0,0,SER_hh_fech!R13/SER_summary!R$26)</f>
        <v>38.624806871660503</v>
      </c>
      <c r="S13" s="133">
        <f>IF(SER_hh_fech!S13=0,0,SER_hh_fech!S13/SER_summary!S$26)</f>
        <v>36.277339280830425</v>
      </c>
      <c r="T13" s="133">
        <f>IF(SER_hh_fech!T13=0,0,SER_hh_fech!T13/SER_summary!T$26)</f>
        <v>32.828319859432838</v>
      </c>
      <c r="U13" s="133">
        <f>IF(SER_hh_fech!U13=0,0,SER_hh_fech!U13/SER_summary!U$26)</f>
        <v>32.498262725747388</v>
      </c>
      <c r="V13" s="133">
        <f>IF(SER_hh_fech!V13=0,0,SER_hh_fech!V13/SER_summary!V$26)</f>
        <v>29.690070484042892</v>
      </c>
      <c r="W13" s="133">
        <f>IF(SER_hh_fech!W13=0,0,SER_hh_fech!W13/SER_summary!W$26)</f>
        <v>33.403785324491778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146.29334778405467</v>
      </c>
      <c r="C14" s="65">
        <f>IF(SER_hh_fech!C14=0,0,SER_hh_fech!C14/SER_summary!C$26)</f>
        <v>147.13624173233663</v>
      </c>
      <c r="D14" s="65">
        <f>IF(SER_hh_fech!D14=0,0,SER_hh_fech!D14/SER_summary!D$26)</f>
        <v>143.85434868812419</v>
      </c>
      <c r="E14" s="65">
        <f>IF(SER_hh_fech!E14=0,0,SER_hh_fech!E14/SER_summary!E$26)</f>
        <v>149.14131150404515</v>
      </c>
      <c r="F14" s="65">
        <f>IF(SER_hh_fech!F14=0,0,SER_hh_fech!F14/SER_summary!F$26)</f>
        <v>157.62428269902605</v>
      </c>
      <c r="G14" s="65">
        <f>IF(SER_hh_fech!G14=0,0,SER_hh_fech!G14/SER_summary!G$26)</f>
        <v>147.36973659657269</v>
      </c>
      <c r="H14" s="65">
        <f>IF(SER_hh_fech!H14=0,0,SER_hh_fech!H14/SER_summary!H$26)</f>
        <v>142.47356729167518</v>
      </c>
      <c r="I14" s="65">
        <f>IF(SER_hh_fech!I14=0,0,SER_hh_fech!I14/SER_summary!I$26)</f>
        <v>140.27486874113347</v>
      </c>
      <c r="J14" s="65">
        <f>IF(SER_hh_fech!J14=0,0,SER_hh_fech!J14/SER_summary!J$26)</f>
        <v>128.88089851878919</v>
      </c>
      <c r="K14" s="65">
        <f>IF(SER_hh_fech!K14=0,0,SER_hh_fech!K14/SER_summary!K$26)</f>
        <v>141.53568638667551</v>
      </c>
      <c r="L14" s="65">
        <f>IF(SER_hh_fech!L14=0,0,SER_hh_fech!L14/SER_summary!L$26)</f>
        <v>158.91869847829693</v>
      </c>
      <c r="M14" s="65">
        <f>IF(SER_hh_fech!M14=0,0,SER_hh_fech!M14/SER_summary!M$26)</f>
        <v>124.38073176969952</v>
      </c>
      <c r="N14" s="65">
        <f>IF(SER_hh_fech!N14=0,0,SER_hh_fech!N14/SER_summary!N$26)</f>
        <v>137.32895799292913</v>
      </c>
      <c r="O14" s="65">
        <f>IF(SER_hh_fech!O14=0,0,SER_hh_fech!O14/SER_summary!O$26)</f>
        <v>140.19271122556924</v>
      </c>
      <c r="P14" s="65">
        <f>IF(SER_hh_fech!P14=0,0,SER_hh_fech!P14/SER_summary!P$26)</f>
        <v>117.80575199901504</v>
      </c>
      <c r="Q14" s="65">
        <f>IF(SER_hh_fech!Q14=0,0,SER_hh_fech!Q14/SER_summary!Q$26)</f>
        <v>127.53777803080061</v>
      </c>
      <c r="R14" s="65">
        <f>IF(SER_hh_fech!R14=0,0,SER_hh_fech!R14/SER_summary!R$26)</f>
        <v>128.94155346487238</v>
      </c>
      <c r="S14" s="65">
        <f>IF(SER_hh_fech!S14=0,0,SER_hh_fech!S14/SER_summary!S$26)</f>
        <v>128.90044887808861</v>
      </c>
      <c r="T14" s="65">
        <f>IF(SER_hh_fech!T14=0,0,SER_hh_fech!T14/SER_summary!T$26)</f>
        <v>128.43816008548765</v>
      </c>
      <c r="U14" s="65">
        <f>IF(SER_hh_fech!U14=0,0,SER_hh_fech!U14/SER_summary!U$26)</f>
        <v>122.82832501410684</v>
      </c>
      <c r="V14" s="65">
        <f>IF(SER_hh_fech!V14=0,0,SER_hh_fech!V14/SER_summary!V$26)</f>
        <v>108.7582967882563</v>
      </c>
      <c r="W14" s="65">
        <f>IF(SER_hh_fech!W14=0,0,SER_hh_fech!W14/SER_summary!W$26)</f>
        <v>131.91430095360755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1.6560786323488783</v>
      </c>
      <c r="C15" s="135">
        <f>IF(SER_hh_fech!C15=0,0,SER_hh_fech!C15/SER_summary!C$26)</f>
        <v>1.7400147431467832</v>
      </c>
      <c r="D15" s="135">
        <f>IF(SER_hh_fech!D15=0,0,SER_hh_fech!D15/SER_summary!D$26)</f>
        <v>1.4729223987814237</v>
      </c>
      <c r="E15" s="135">
        <f>IF(SER_hh_fech!E15=0,0,SER_hh_fech!E15/SER_summary!E$26)</f>
        <v>1.6913382050169896</v>
      </c>
      <c r="F15" s="135">
        <f>IF(SER_hh_fech!F15=0,0,SER_hh_fech!F15/SER_summary!F$26)</f>
        <v>1.7007922663817676</v>
      </c>
      <c r="G15" s="135">
        <f>IF(SER_hh_fech!G15=0,0,SER_hh_fech!G15/SER_summary!G$26)</f>
        <v>1.7012186088152892</v>
      </c>
      <c r="H15" s="135">
        <f>IF(SER_hh_fech!H15=0,0,SER_hh_fech!H15/SER_summary!H$26)</f>
        <v>1.531360158960295</v>
      </c>
      <c r="I15" s="135">
        <f>IF(SER_hh_fech!I15=0,0,SER_hh_fech!I15/SER_summary!I$26)</f>
        <v>1.4681377563676465</v>
      </c>
      <c r="J15" s="135">
        <f>IF(SER_hh_fech!J15=0,0,SER_hh_fech!J15/SER_summary!J$26)</f>
        <v>1.4792038263089431</v>
      </c>
      <c r="K15" s="135">
        <f>IF(SER_hh_fech!K15=0,0,SER_hh_fech!K15/SER_summary!K$26)</f>
        <v>1.6585249298803566</v>
      </c>
      <c r="L15" s="135">
        <f>IF(SER_hh_fech!L15=0,0,SER_hh_fech!L15/SER_summary!L$26)</f>
        <v>1.7728057826663413</v>
      </c>
      <c r="M15" s="135">
        <f>IF(SER_hh_fech!M15=0,0,SER_hh_fech!M15/SER_summary!M$26)</f>
        <v>1.3424055451878742</v>
      </c>
      <c r="N15" s="135">
        <f>IF(SER_hh_fech!N15=0,0,SER_hh_fech!N15/SER_summary!N$26)</f>
        <v>1.5329997713497543</v>
      </c>
      <c r="O15" s="135">
        <f>IF(SER_hh_fech!O15=0,0,SER_hh_fech!O15/SER_summary!O$26)</f>
        <v>1.6209615038440268</v>
      </c>
      <c r="P15" s="135">
        <f>IF(SER_hh_fech!P15=0,0,SER_hh_fech!P15/SER_summary!P$26)</f>
        <v>1.3316299094084023</v>
      </c>
      <c r="Q15" s="135">
        <f>IF(SER_hh_fech!Q15=0,0,SER_hh_fech!Q15/SER_summary!Q$26)</f>
        <v>1.4004324260606713</v>
      </c>
      <c r="R15" s="135">
        <f>IF(SER_hh_fech!R15=0,0,SER_hh_fech!R15/SER_summary!R$26)</f>
        <v>1.3710667587080165</v>
      </c>
      <c r="S15" s="135">
        <f>IF(SER_hh_fech!S15=0,0,SER_hh_fech!S15/SER_summary!S$26)</f>
        <v>1.4154745506829396</v>
      </c>
      <c r="T15" s="135">
        <f>IF(SER_hh_fech!T15=0,0,SER_hh_fech!T15/SER_summary!T$26)</f>
        <v>1.426069963500175</v>
      </c>
      <c r="U15" s="135">
        <f>IF(SER_hh_fech!U15=0,0,SER_hh_fech!U15/SER_summary!U$26)</f>
        <v>1.3823049300698562</v>
      </c>
      <c r="V15" s="135">
        <f>IF(SER_hh_fech!V15=0,0,SER_hh_fech!V15/SER_summary!V$26)</f>
        <v>1.2731372583456519</v>
      </c>
      <c r="W15" s="135">
        <f>IF(SER_hh_fech!W15=0,0,SER_hh_fech!W15/SER_summary!W$26)</f>
        <v>1.363932274213558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14.490362212686861</v>
      </c>
      <c r="C16" s="131">
        <f>IF(SER_hh_fech!C16=0,0,SER_hh_fech!C16/SER_summary!C$26)</f>
        <v>14.593244028756734</v>
      </c>
      <c r="D16" s="131">
        <f>IF(SER_hh_fech!D16=0,0,SER_hh_fech!D16/SER_summary!D$26)</f>
        <v>13.381125217137431</v>
      </c>
      <c r="E16" s="131">
        <f>IF(SER_hh_fech!E16=0,0,SER_hh_fech!E16/SER_summary!E$26)</f>
        <v>22.447487158795205</v>
      </c>
      <c r="F16" s="131">
        <f>IF(SER_hh_fech!F16=0,0,SER_hh_fech!F16/SER_summary!F$26)</f>
        <v>12.690068762415441</v>
      </c>
      <c r="G16" s="131">
        <f>IF(SER_hh_fech!G16=0,0,SER_hh_fech!G16/SER_summary!G$26)</f>
        <v>13.219375485745744</v>
      </c>
      <c r="H16" s="131">
        <f>IF(SER_hh_fech!H16=0,0,SER_hh_fech!H16/SER_summary!H$26)</f>
        <v>14.399435109371385</v>
      </c>
      <c r="I16" s="131">
        <f>IF(SER_hh_fech!I16=0,0,SER_hh_fech!I16/SER_summary!I$26)</f>
        <v>10.72140688356288</v>
      </c>
      <c r="J16" s="131">
        <f>IF(SER_hh_fech!J16=0,0,SER_hh_fech!J16/SER_summary!J$26)</f>
        <v>10.372498188654374</v>
      </c>
      <c r="K16" s="131">
        <f>IF(SER_hh_fech!K16=0,0,SER_hh_fech!K16/SER_summary!K$26)</f>
        <v>10.90156244927728</v>
      </c>
      <c r="L16" s="131">
        <f>IF(SER_hh_fech!L16=0,0,SER_hh_fech!L16/SER_summary!L$26)</f>
        <v>10.536853229286047</v>
      </c>
      <c r="M16" s="131">
        <f>IF(SER_hh_fech!M16=0,0,SER_hh_fech!M16/SER_summary!M$26)</f>
        <v>10.099720750767384</v>
      </c>
      <c r="N16" s="131">
        <f>IF(SER_hh_fech!N16=0,0,SER_hh_fech!N16/SER_summary!N$26)</f>
        <v>10.388282937349784</v>
      </c>
      <c r="O16" s="131">
        <f>IF(SER_hh_fech!O16=0,0,SER_hh_fech!O16/SER_summary!O$26)</f>
        <v>10.082547204422617</v>
      </c>
      <c r="P16" s="131">
        <f>IF(SER_hh_fech!P16=0,0,SER_hh_fech!P16/SER_summary!P$26)</f>
        <v>9.1966325919022207</v>
      </c>
      <c r="Q16" s="131">
        <f>IF(SER_hh_fech!Q16=0,0,SER_hh_fech!Q16/SER_summary!Q$26)</f>
        <v>11.150450261233937</v>
      </c>
      <c r="R16" s="131">
        <f>IF(SER_hh_fech!R16=0,0,SER_hh_fech!R16/SER_summary!R$26)</f>
        <v>9.5643956001206032</v>
      </c>
      <c r="S16" s="131">
        <f>IF(SER_hh_fech!S16=0,0,SER_hh_fech!S16/SER_summary!S$26)</f>
        <v>10.131768219241239</v>
      </c>
      <c r="T16" s="131">
        <f>IF(SER_hh_fech!T16=0,0,SER_hh_fech!T16/SER_summary!T$26)</f>
        <v>9.8229231786397975</v>
      </c>
      <c r="U16" s="131">
        <f>IF(SER_hh_fech!U16=0,0,SER_hh_fech!U16/SER_summary!U$26)</f>
        <v>9.8014869516069947</v>
      </c>
      <c r="V16" s="131">
        <f>IF(SER_hh_fech!V16=0,0,SER_hh_fech!V16/SER_summary!V$26)</f>
        <v>10.006434780875487</v>
      </c>
      <c r="W16" s="131">
        <f>IF(SER_hh_fech!W16=0,0,SER_hh_fech!W16/SER_summary!W$26)</f>
        <v>8.1451095351097145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20.945913498236649</v>
      </c>
      <c r="C17" s="133">
        <f>IF(SER_hh_fech!C17=0,0,SER_hh_fech!C17/SER_summary!C$26)</f>
        <v>21.912783052985507</v>
      </c>
      <c r="D17" s="133">
        <f>IF(SER_hh_fech!D17=0,0,SER_hh_fech!D17/SER_summary!D$26)</f>
        <v>20.880819436831935</v>
      </c>
      <c r="E17" s="133">
        <f>IF(SER_hh_fech!E17=0,0,SER_hh_fech!E17/SER_summary!E$26)</f>
        <v>40.760794897366345</v>
      </c>
      <c r="F17" s="133">
        <f>IF(SER_hh_fech!F17=0,0,SER_hh_fech!F17/SER_summary!F$26)</f>
        <v>21.341300601832444</v>
      </c>
      <c r="G17" s="133">
        <f>IF(SER_hh_fech!G17=0,0,SER_hh_fech!G17/SER_summary!G$26)</f>
        <v>23.192564913971729</v>
      </c>
      <c r="H17" s="133">
        <f>IF(SER_hh_fech!H17=0,0,SER_hh_fech!H17/SER_summary!H$26)</f>
        <v>26.412138533654925</v>
      </c>
      <c r="I17" s="133">
        <f>IF(SER_hh_fech!I17=0,0,SER_hh_fech!I17/SER_summary!I$26)</f>
        <v>20.604669215668967</v>
      </c>
      <c r="J17" s="133">
        <f>IF(SER_hh_fech!J17=0,0,SER_hh_fech!J17/SER_summary!J$26)</f>
        <v>20.873341574367064</v>
      </c>
      <c r="K17" s="133">
        <f>IF(SER_hh_fech!K17=0,0,SER_hh_fech!K17/SER_summary!K$26)</f>
        <v>22.282402392508438</v>
      </c>
      <c r="L17" s="133">
        <f>IF(SER_hh_fech!L17=0,0,SER_hh_fech!L17/SER_summary!L$26)</f>
        <v>21.9366685335598</v>
      </c>
      <c r="M17" s="133">
        <f>IF(SER_hh_fech!M17=0,0,SER_hh_fech!M17/SER_summary!M$26)</f>
        <v>21.511776971692655</v>
      </c>
      <c r="N17" s="133">
        <f>IF(SER_hh_fech!N17=0,0,SER_hh_fech!N17/SER_summary!N$26)</f>
        <v>22.461868962956636</v>
      </c>
      <c r="O17" s="133">
        <f>IF(SER_hh_fech!O17=0,0,SER_hh_fech!O17/SER_summary!O$26)</f>
        <v>22.189960391278074</v>
      </c>
      <c r="P17" s="133">
        <f>IF(SER_hh_fech!P17=0,0,SER_hh_fech!P17/SER_summary!P$26)</f>
        <v>20.750323643394392</v>
      </c>
      <c r="Q17" s="133">
        <f>IF(SER_hh_fech!Q17=0,0,SER_hh_fech!Q17/SER_summary!Q$26)</f>
        <v>25.471244799829297</v>
      </c>
      <c r="R17" s="133">
        <f>IF(SER_hh_fech!R17=0,0,SER_hh_fech!R17/SER_summary!R$26)</f>
        <v>22.316386654050881</v>
      </c>
      <c r="S17" s="133">
        <f>IF(SER_hh_fech!S17=0,0,SER_hh_fech!S17/SER_summary!S$26)</f>
        <v>23.930394604796824</v>
      </c>
      <c r="T17" s="133">
        <f>IF(SER_hh_fech!T17=0,0,SER_hh_fech!T17/SER_summary!T$26)</f>
        <v>23.450979544900722</v>
      </c>
      <c r="U17" s="133">
        <f>IF(SER_hh_fech!U17=0,0,SER_hh_fech!U17/SER_summary!U$26)</f>
        <v>23.488165792916593</v>
      </c>
      <c r="V17" s="133">
        <f>IF(SER_hh_fech!V17=0,0,SER_hh_fech!V17/SER_summary!V$26)</f>
        <v>22.366056343044551</v>
      </c>
      <c r="W17" s="133">
        <f>IF(SER_hh_fech!W17=0,0,SER_hh_fech!W17/SER_summary!W$26)</f>
        <v>17.698065815338975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14.469633183872885</v>
      </c>
      <c r="C18" s="133">
        <f>IF(SER_hh_fech!C18=0,0,SER_hh_fech!C18/SER_summary!C$26)</f>
        <v>14.567064462760047</v>
      </c>
      <c r="D18" s="133">
        <f>IF(SER_hh_fech!D18=0,0,SER_hh_fech!D18/SER_summary!D$26)</f>
        <v>13.35245692372359</v>
      </c>
      <c r="E18" s="133">
        <f>IF(SER_hh_fech!E18=0,0,SER_hh_fech!E18/SER_summary!E$26)</f>
        <v>22.358350860148732</v>
      </c>
      <c r="F18" s="133">
        <f>IF(SER_hh_fech!F18=0,0,SER_hh_fech!F18/SER_summary!F$26)</f>
        <v>12.647722166629862</v>
      </c>
      <c r="G18" s="133">
        <f>IF(SER_hh_fech!G18=0,0,SER_hh_fech!G18/SER_summary!G$26)</f>
        <v>13.173691739431563</v>
      </c>
      <c r="H18" s="133">
        <f>IF(SER_hh_fech!H18=0,0,SER_hh_fech!H18/SER_summary!H$26)</f>
        <v>14.32121694526416</v>
      </c>
      <c r="I18" s="133">
        <f>IF(SER_hh_fech!I18=0,0,SER_hh_fech!I18/SER_summary!I$26)</f>
        <v>10.652191459191789</v>
      </c>
      <c r="J18" s="133">
        <f>IF(SER_hh_fech!J18=0,0,SER_hh_fech!J18/SER_summary!J$26)</f>
        <v>10.287153178145159</v>
      </c>
      <c r="K18" s="133">
        <f>IF(SER_hh_fech!K18=0,0,SER_hh_fech!K18/SER_summary!K$26)</f>
        <v>10.806334801506615</v>
      </c>
      <c r="L18" s="133">
        <f>IF(SER_hh_fech!L18=0,0,SER_hh_fech!L18/SER_summary!L$26)</f>
        <v>10.429836742941699</v>
      </c>
      <c r="M18" s="133">
        <f>IF(SER_hh_fech!M18=0,0,SER_hh_fech!M18/SER_summary!M$26)</f>
        <v>9.9581585720810466</v>
      </c>
      <c r="N18" s="133">
        <f>IF(SER_hh_fech!N18=0,0,SER_hh_fech!N18/SER_summary!N$26)</f>
        <v>10.172994445460608</v>
      </c>
      <c r="O18" s="133">
        <f>IF(SER_hh_fech!O18=0,0,SER_hh_fech!O18/SER_summary!O$26)</f>
        <v>9.8183061995331791</v>
      </c>
      <c r="P18" s="133">
        <f>IF(SER_hh_fech!P18=0,0,SER_hh_fech!P18/SER_summary!P$26)</f>
        <v>8.9256280754784534</v>
      </c>
      <c r="Q18" s="133">
        <f>IF(SER_hh_fech!Q18=0,0,SER_hh_fech!Q18/SER_summary!Q$26)</f>
        <v>10.725436202247176</v>
      </c>
      <c r="R18" s="133">
        <f>IF(SER_hh_fech!R18=0,0,SER_hh_fech!R18/SER_summary!R$26)</f>
        <v>9.1523889622692565</v>
      </c>
      <c r="S18" s="133">
        <f>IF(SER_hh_fech!S18=0,0,SER_hh_fech!S18/SER_summary!S$26)</f>
        <v>9.620436986425041</v>
      </c>
      <c r="T18" s="133">
        <f>IF(SER_hh_fech!T18=0,0,SER_hh_fech!T18/SER_summary!T$26)</f>
        <v>9.2746093835721144</v>
      </c>
      <c r="U18" s="133">
        <f>IF(SER_hh_fech!U18=0,0,SER_hh_fech!U18/SER_summary!U$26)</f>
        <v>9.2042867276821703</v>
      </c>
      <c r="V18" s="133">
        <f>IF(SER_hh_fech!V18=0,0,SER_hh_fech!V18/SER_summary!V$26)</f>
        <v>9.4173759787852696</v>
      </c>
      <c r="W18" s="133">
        <f>IF(SER_hh_fech!W18=0,0,SER_hh_fech!W18/SER_summary!W$26)</f>
        <v>7.6821026334199667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27.296085207078132</v>
      </c>
      <c r="C19" s="131">
        <f>IF(SER_hh_fech!C19=0,0,SER_hh_fech!C19/SER_summary!C$26)</f>
        <v>26.756075422514339</v>
      </c>
      <c r="D19" s="131">
        <f>IF(SER_hh_fech!D19=0,0,SER_hh_fech!D19/SER_summary!D$26)</f>
        <v>26.598737944793847</v>
      </c>
      <c r="E19" s="131">
        <f>IF(SER_hh_fech!E19=0,0,SER_hh_fech!E19/SER_summary!E$26)</f>
        <v>25.928103152493389</v>
      </c>
      <c r="F19" s="131">
        <f>IF(SER_hh_fech!F19=0,0,SER_hh_fech!F19/SER_summary!F$26)</f>
        <v>26.441313189438755</v>
      </c>
      <c r="G19" s="131">
        <f>IF(SER_hh_fech!G19=0,0,SER_hh_fech!G19/SER_summary!G$26)</f>
        <v>25.981510170677616</v>
      </c>
      <c r="H19" s="131">
        <f>IF(SER_hh_fech!H19=0,0,SER_hh_fech!H19/SER_summary!H$26)</f>
        <v>25.333337547543618</v>
      </c>
      <c r="I19" s="131">
        <f>IF(SER_hh_fech!I19=0,0,SER_hh_fech!I19/SER_summary!I$26)</f>
        <v>24.976925360230194</v>
      </c>
      <c r="J19" s="131">
        <f>IF(SER_hh_fech!J19=0,0,SER_hh_fech!J19/SER_summary!J$26)</f>
        <v>25.267880935454087</v>
      </c>
      <c r="K19" s="131">
        <f>IF(SER_hh_fech!K19=0,0,SER_hh_fech!K19/SER_summary!K$26)</f>
        <v>25.587488548070787</v>
      </c>
      <c r="L19" s="131">
        <f>IF(SER_hh_fech!L19=0,0,SER_hh_fech!L19/SER_summary!L$26)</f>
        <v>25.233447189123559</v>
      </c>
      <c r="M19" s="131">
        <f>IF(SER_hh_fech!M19=0,0,SER_hh_fech!M19/SER_summary!M$26)</f>
        <v>25.021650190305664</v>
      </c>
      <c r="N19" s="131">
        <f>IF(SER_hh_fech!N19=0,0,SER_hh_fech!N19/SER_summary!N$26)</f>
        <v>24.992752546426409</v>
      </c>
      <c r="O19" s="131">
        <f>IF(SER_hh_fech!O19=0,0,SER_hh_fech!O19/SER_summary!O$26)</f>
        <v>25.07221853161948</v>
      </c>
      <c r="P19" s="131">
        <f>IF(SER_hh_fech!P19=0,0,SER_hh_fech!P19/SER_summary!P$26)</f>
        <v>24.887341481614037</v>
      </c>
      <c r="Q19" s="131">
        <f>IF(SER_hh_fech!Q19=0,0,SER_hh_fech!Q19/SER_summary!Q$26)</f>
        <v>24.904462114563803</v>
      </c>
      <c r="R19" s="131">
        <f>IF(SER_hh_fech!R19=0,0,SER_hh_fech!R19/SER_summary!R$26)</f>
        <v>24.740440939636017</v>
      </c>
      <c r="S19" s="131">
        <f>IF(SER_hh_fech!S19=0,0,SER_hh_fech!S19/SER_summary!S$26)</f>
        <v>24.332499103531234</v>
      </c>
      <c r="T19" s="131">
        <f>IF(SER_hh_fech!T19=0,0,SER_hh_fech!T19/SER_summary!T$26)</f>
        <v>24.217149338282958</v>
      </c>
      <c r="U19" s="131">
        <f>IF(SER_hh_fech!U19=0,0,SER_hh_fech!U19/SER_summary!U$26)</f>
        <v>23.157683705276728</v>
      </c>
      <c r="V19" s="131">
        <f>IF(SER_hh_fech!V19=0,0,SER_hh_fech!V19/SER_summary!V$26)</f>
        <v>21.11083033674598</v>
      </c>
      <c r="W19" s="131">
        <f>IF(SER_hh_fech!W19=0,0,SER_hh_fech!W19/SER_summary!W$26)</f>
        <v>22.24003679157606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29.219331640692186</v>
      </c>
      <c r="C21" s="133">
        <f>IF(SER_hh_fech!C21=0,0,SER_hh_fech!C21/SER_summary!C$26)</f>
        <v>28.929628635985576</v>
      </c>
      <c r="D21" s="133">
        <f>IF(SER_hh_fech!D21=0,0,SER_hh_fech!D21/SER_summary!D$26)</f>
        <v>29.451275690183074</v>
      </c>
      <c r="E21" s="133">
        <f>IF(SER_hh_fech!E21=0,0,SER_hh_fech!E21/SER_summary!E$26)</f>
        <v>29.507842646568417</v>
      </c>
      <c r="F21" s="133">
        <f>IF(SER_hh_fech!F21=0,0,SER_hh_fech!F21/SER_summary!F$26)</f>
        <v>29.213094529461948</v>
      </c>
      <c r="G21" s="133">
        <f>IF(SER_hh_fech!G21=0,0,SER_hh_fech!G21/SER_summary!G$26)</f>
        <v>27.773892899445471</v>
      </c>
      <c r="H21" s="133">
        <f>IF(SER_hh_fech!H21=0,0,SER_hh_fech!H21/SER_summary!H$26)</f>
        <v>28.267504005486128</v>
      </c>
      <c r="I21" s="133">
        <f>IF(SER_hh_fech!I21=0,0,SER_hh_fech!I21/SER_summary!I$26)</f>
        <v>28.149537615272109</v>
      </c>
      <c r="J21" s="133">
        <f>IF(SER_hh_fech!J21=0,0,SER_hh_fech!J21/SER_summary!J$26)</f>
        <v>28.290256640724984</v>
      </c>
      <c r="K21" s="133">
        <f>IF(SER_hh_fech!K21=0,0,SER_hh_fech!K21/SER_summary!K$26)</f>
        <v>29.060439995285204</v>
      </c>
      <c r="L21" s="133">
        <f>IF(SER_hh_fech!L21=0,0,SER_hh_fech!L21/SER_summary!L$26)</f>
        <v>27.974085588575083</v>
      </c>
      <c r="M21" s="133">
        <f>IF(SER_hh_fech!M21=0,0,SER_hh_fech!M21/SER_summary!M$26)</f>
        <v>28.268983574230475</v>
      </c>
      <c r="N21" s="133">
        <f>IF(SER_hh_fech!N21=0,0,SER_hh_fech!N21/SER_summary!N$26)</f>
        <v>28.171496760070053</v>
      </c>
      <c r="O21" s="133">
        <f>IF(SER_hh_fech!O21=0,0,SER_hh_fech!O21/SER_summary!O$26)</f>
        <v>28.100972179125886</v>
      </c>
      <c r="P21" s="133">
        <f>IF(SER_hh_fech!P21=0,0,SER_hh_fech!P21/SER_summary!P$26)</f>
        <v>28.488635302947674</v>
      </c>
      <c r="Q21" s="133">
        <f>IF(SER_hh_fech!Q21=0,0,SER_hh_fech!Q21/SER_summary!Q$26)</f>
        <v>28.046083043138371</v>
      </c>
      <c r="R21" s="133">
        <f>IF(SER_hh_fech!R21=0,0,SER_hh_fech!R21/SER_summary!R$26)</f>
        <v>28.731730273812605</v>
      </c>
      <c r="S21" s="133">
        <f>IF(SER_hh_fech!S21=0,0,SER_hh_fech!S21/SER_summary!S$26)</f>
        <v>30.852805681952013</v>
      </c>
      <c r="T21" s="133">
        <f>IF(SER_hh_fech!T21=0,0,SER_hh_fech!T21/SER_summary!T$26)</f>
        <v>23.624551797524759</v>
      </c>
      <c r="U21" s="133">
        <f>IF(SER_hh_fech!U21=0,0,SER_hh_fech!U21/SER_summary!U$26)</f>
        <v>25.378377220757219</v>
      </c>
      <c r="V21" s="133">
        <f>IF(SER_hh_fech!V21=0,0,SER_hh_fech!V21/SER_summary!V$26)</f>
        <v>24.83162330883486</v>
      </c>
      <c r="W21" s="133">
        <f>IF(SER_hh_fech!W21=0,0,SER_hh_fech!W21/SER_summary!W$26)</f>
        <v>25.152670878297705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31.386209508295345</v>
      </c>
      <c r="C22" s="133">
        <f>IF(SER_hh_fech!C22=0,0,SER_hh_fech!C22/SER_summary!C$26)</f>
        <v>31.412790935642008</v>
      </c>
      <c r="D22" s="133">
        <f>IF(SER_hh_fech!D22=0,0,SER_hh_fech!D22/SER_summary!D$26)</f>
        <v>30.893091356267174</v>
      </c>
      <c r="E22" s="133">
        <f>IF(SER_hh_fech!E22=0,0,SER_hh_fech!E22/SER_summary!E$26)</f>
        <v>30.545162207818088</v>
      </c>
      <c r="F22" s="133">
        <f>IF(SER_hh_fech!F22=0,0,SER_hh_fech!F22/SER_summary!F$26)</f>
        <v>30.969874016493627</v>
      </c>
      <c r="G22" s="133">
        <f>IF(SER_hh_fech!G22=0,0,SER_hh_fech!G22/SER_summary!G$26)</f>
        <v>30.897122680783497</v>
      </c>
      <c r="H22" s="133">
        <f>IF(SER_hh_fech!H22=0,0,SER_hh_fech!H22/SER_summary!H$26)</f>
        <v>30.053680688515751</v>
      </c>
      <c r="I22" s="133">
        <f>IF(SER_hh_fech!I22=0,0,SER_hh_fech!I22/SER_summary!I$26)</f>
        <v>29.152885191226328</v>
      </c>
      <c r="J22" s="133">
        <f>IF(SER_hh_fech!J22=0,0,SER_hh_fech!J22/SER_summary!J$26)</f>
        <v>30.201793957344893</v>
      </c>
      <c r="K22" s="133">
        <f>IF(SER_hh_fech!K22=0,0,SER_hh_fech!K22/SER_summary!K$26)</f>
        <v>30.666162753777002</v>
      </c>
      <c r="L22" s="133">
        <f>IF(SER_hh_fech!L22=0,0,SER_hh_fech!L22/SER_summary!L$26)</f>
        <v>29.431234743235091</v>
      </c>
      <c r="M22" s="133">
        <f>IF(SER_hh_fech!M22=0,0,SER_hh_fech!M22/SER_summary!M$26)</f>
        <v>28.227872102044934</v>
      </c>
      <c r="N22" s="133">
        <f>IF(SER_hh_fech!N22=0,0,SER_hh_fech!N22/SER_summary!N$26)</f>
        <v>30.46422144894759</v>
      </c>
      <c r="O22" s="133">
        <f>IF(SER_hh_fech!O22=0,0,SER_hh_fech!O22/SER_summary!O$26)</f>
        <v>29.723507336988241</v>
      </c>
      <c r="P22" s="133">
        <f>IF(SER_hh_fech!P22=0,0,SER_hh_fech!P22/SER_summary!P$26)</f>
        <v>29.016000974026607</v>
      </c>
      <c r="Q22" s="133">
        <f>IF(SER_hh_fech!Q22=0,0,SER_hh_fech!Q22/SER_summary!Q$26)</f>
        <v>30.667869192793493</v>
      </c>
      <c r="R22" s="133">
        <f>IF(SER_hh_fech!R22=0,0,SER_hh_fech!R22/SER_summary!R$26)</f>
        <v>27.622444711030319</v>
      </c>
      <c r="S22" s="133">
        <f>IF(SER_hh_fech!S22=0,0,SER_hh_fech!S22/SER_summary!S$26)</f>
        <v>29.409656266396198</v>
      </c>
      <c r="T22" s="133">
        <f>IF(SER_hh_fech!T22=0,0,SER_hh_fech!T22/SER_summary!T$26)</f>
        <v>27.882161310225275</v>
      </c>
      <c r="U22" s="133">
        <f>IF(SER_hh_fech!U22=0,0,SER_hh_fech!U22/SER_summary!U$26)</f>
        <v>26.779761244251301</v>
      </c>
      <c r="V22" s="133">
        <f>IF(SER_hh_fech!V22=0,0,SER_hh_fech!V22/SER_summary!V$26)</f>
        <v>26.041428682471224</v>
      </c>
      <c r="W22" s="133">
        <f>IF(SER_hh_fech!W22=0,0,SER_hh_fech!W22/SER_summary!W$26)</f>
        <v>24.602200880339009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30.895561646931164</v>
      </c>
      <c r="C23" s="133">
        <f>IF(SER_hh_fech!C23=0,0,SER_hh_fech!C23/SER_summary!C$26)</f>
        <v>30.386652971356678</v>
      </c>
      <c r="D23" s="133">
        <f>IF(SER_hh_fech!D23=0,0,SER_hh_fech!D23/SER_summary!D$26)</f>
        <v>29.768576290156037</v>
      </c>
      <c r="E23" s="133">
        <f>IF(SER_hh_fech!E23=0,0,SER_hh_fech!E23/SER_summary!E$26)</f>
        <v>29.966211458917943</v>
      </c>
      <c r="F23" s="133">
        <f>IF(SER_hh_fech!F23=0,0,SER_hh_fech!F23/SER_summary!F$26)</f>
        <v>30.04730596620044</v>
      </c>
      <c r="G23" s="133">
        <f>IF(SER_hh_fech!G23=0,0,SER_hh_fech!G23/SER_summary!G$26)</f>
        <v>28.705392018413679</v>
      </c>
      <c r="H23" s="133">
        <f>IF(SER_hh_fech!H23=0,0,SER_hh_fech!H23/SER_summary!H$26)</f>
        <v>27.852937257381836</v>
      </c>
      <c r="I23" s="133">
        <f>IF(SER_hh_fech!I23=0,0,SER_hh_fech!I23/SER_summary!I$26)</f>
        <v>27.755948224581623</v>
      </c>
      <c r="J23" s="133">
        <f>IF(SER_hh_fech!J23=0,0,SER_hh_fech!J23/SER_summary!J$26)</f>
        <v>27.024884777537558</v>
      </c>
      <c r="K23" s="133">
        <f>IF(SER_hh_fech!K23=0,0,SER_hh_fech!K23/SER_summary!K$26)</f>
        <v>28.482846678485135</v>
      </c>
      <c r="L23" s="133">
        <f>IF(SER_hh_fech!L23=0,0,SER_hh_fech!L23/SER_summary!L$26)</f>
        <v>27.115583064829917</v>
      </c>
      <c r="M23" s="133">
        <f>IF(SER_hh_fech!M23=0,0,SER_hh_fech!M23/SER_summary!M$26)</f>
        <v>29.548868048684589</v>
      </c>
      <c r="N23" s="133">
        <f>IF(SER_hh_fech!N23=0,0,SER_hh_fech!N23/SER_summary!N$26)</f>
        <v>22.601771512752315</v>
      </c>
      <c r="O23" s="133">
        <f>IF(SER_hh_fech!O23=0,0,SER_hh_fech!O23/SER_summary!O$26)</f>
        <v>24.746208679471962</v>
      </c>
      <c r="P23" s="133">
        <f>IF(SER_hh_fech!P23=0,0,SER_hh_fech!P23/SER_summary!P$26)</f>
        <v>25.971903551490172</v>
      </c>
      <c r="Q23" s="133">
        <f>IF(SER_hh_fech!Q23=0,0,SER_hh_fech!Q23/SER_summary!Q$26)</f>
        <v>25.508871726584299</v>
      </c>
      <c r="R23" s="133">
        <f>IF(SER_hh_fech!R23=0,0,SER_hh_fech!R23/SER_summary!R$26)</f>
        <v>27.007245981541704</v>
      </c>
      <c r="S23" s="133">
        <f>IF(SER_hh_fech!S23=0,0,SER_hh_fech!S23/SER_summary!S$26)</f>
        <v>25.267441565733989</v>
      </c>
      <c r="T23" s="133">
        <f>IF(SER_hh_fech!T23=0,0,SER_hh_fech!T23/SER_summary!T$26)</f>
        <v>25.065920311920323</v>
      </c>
      <c r="U23" s="133">
        <f>IF(SER_hh_fech!U23=0,0,SER_hh_fech!U23/SER_summary!U$26)</f>
        <v>24.097546756518764</v>
      </c>
      <c r="V23" s="133">
        <f>IF(SER_hh_fech!V23=0,0,SER_hh_fech!V23/SER_summary!V$26)</f>
        <v>21.143234294682973</v>
      </c>
      <c r="W23" s="133">
        <f>IF(SER_hh_fech!W23=0,0,SER_hh_fech!W23/SER_summary!W$26)</f>
        <v>25.650296400532085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35.371436592700476</v>
      </c>
      <c r="C24" s="133">
        <f>IF(SER_hh_fech!C24=0,0,SER_hh_fech!C24/SER_summary!C$26)</f>
        <v>33.765454662159698</v>
      </c>
      <c r="D24" s="133">
        <f>IF(SER_hh_fech!D24=0,0,SER_hh_fech!D24/SER_summary!D$26)</f>
        <v>32.721023806010038</v>
      </c>
      <c r="E24" s="133">
        <f>IF(SER_hh_fech!E24=0,0,SER_hh_fech!E24/SER_summary!E$26)</f>
        <v>31.611367989161614</v>
      </c>
      <c r="F24" s="133">
        <f>IF(SER_hh_fech!F24=0,0,SER_hh_fech!F24/SER_summary!F$26)</f>
        <v>31.70007035149214</v>
      </c>
      <c r="G24" s="133">
        <f>IF(SER_hh_fech!G24=0,0,SER_hh_fech!G24/SER_summary!G$26)</f>
        <v>29.779755750669121</v>
      </c>
      <c r="H24" s="133">
        <f>IF(SER_hh_fech!H24=0,0,SER_hh_fech!H24/SER_summary!H$26)</f>
        <v>27.483480856717929</v>
      </c>
      <c r="I24" s="133">
        <f>IF(SER_hh_fech!I24=0,0,SER_hh_fech!I24/SER_summary!I$26)</f>
        <v>29.089568030119715</v>
      </c>
      <c r="J24" s="133">
        <f>IF(SER_hh_fech!J24=0,0,SER_hh_fech!J24/SER_summary!J$26)</f>
        <v>26.765690325936681</v>
      </c>
      <c r="K24" s="133">
        <f>IF(SER_hh_fech!K24=0,0,SER_hh_fech!K24/SER_summary!K$26)</f>
        <v>28.251578781275853</v>
      </c>
      <c r="L24" s="133">
        <f>IF(SER_hh_fech!L24=0,0,SER_hh_fech!L24/SER_summary!L$26)</f>
        <v>30.938780947901456</v>
      </c>
      <c r="M24" s="133">
        <f>IF(SER_hh_fech!M24=0,0,SER_hh_fech!M24/SER_summary!M$26)</f>
        <v>21.291330644372056</v>
      </c>
      <c r="N24" s="133">
        <f>IF(SER_hh_fech!N24=0,0,SER_hh_fech!N24/SER_summary!N$26)</f>
        <v>23.441573513504903</v>
      </c>
      <c r="O24" s="133">
        <f>IF(SER_hh_fech!O24=0,0,SER_hh_fech!O24/SER_summary!O$26)</f>
        <v>30.009635399314611</v>
      </c>
      <c r="P24" s="133">
        <f>IF(SER_hh_fech!P24=0,0,SER_hh_fech!P24/SER_summary!P$26)</f>
        <v>25.652150757095402</v>
      </c>
      <c r="Q24" s="133">
        <f>IF(SER_hh_fech!Q24=0,0,SER_hh_fech!Q24/SER_summary!Q$26)</f>
        <v>22.472875478056697</v>
      </c>
      <c r="R24" s="133">
        <f>IF(SER_hh_fech!R24=0,0,SER_hh_fech!R24/SER_summary!R$26)</f>
        <v>25.281476100268371</v>
      </c>
      <c r="S24" s="133">
        <f>IF(SER_hh_fech!S24=0,0,SER_hh_fech!S24/SER_summary!S$26)</f>
        <v>25.049691561036234</v>
      </c>
      <c r="T24" s="133">
        <f>IF(SER_hh_fech!T24=0,0,SER_hh_fech!T24/SER_summary!T$26)</f>
        <v>23.265838752398768</v>
      </c>
      <c r="U24" s="133">
        <f>IF(SER_hh_fech!U24=0,0,SER_hh_fech!U24/SER_summary!U$26)</f>
        <v>22.255578560685333</v>
      </c>
      <c r="V24" s="133">
        <f>IF(SER_hh_fech!V24=0,0,SER_hh_fech!V24/SER_summary!V$26)</f>
        <v>21.203343928139482</v>
      </c>
      <c r="W24" s="133">
        <f>IF(SER_hh_fech!W24=0,0,SER_hh_fech!W24/SER_summary!W$26)</f>
        <v>22.583393287562917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20.402959475996116</v>
      </c>
      <c r="C25" s="133">
        <f>IF(SER_hh_fech!C25=0,0,SER_hh_fech!C25/SER_summary!C$26)</f>
        <v>20.642696813665392</v>
      </c>
      <c r="D25" s="133">
        <f>IF(SER_hh_fech!D25=0,0,SER_hh_fech!D25/SER_summary!D$26)</f>
        <v>20.015851286590991</v>
      </c>
      <c r="E25" s="133">
        <f>IF(SER_hh_fech!E25=0,0,SER_hh_fech!E25/SER_summary!E$26)</f>
        <v>20.016862329805075</v>
      </c>
      <c r="F25" s="133">
        <f>IF(SER_hh_fech!F25=0,0,SER_hh_fech!F25/SER_summary!F$26)</f>
        <v>20.296167739133168</v>
      </c>
      <c r="G25" s="133">
        <f>IF(SER_hh_fech!G25=0,0,SER_hh_fech!G25/SER_summary!G$26)</f>
        <v>21.074849715563925</v>
      </c>
      <c r="H25" s="133">
        <f>IF(SER_hh_fech!H25=0,0,SER_hh_fech!H25/SER_summary!H$26)</f>
        <v>22.972575887233816</v>
      </c>
      <c r="I25" s="133">
        <f>IF(SER_hh_fech!I25=0,0,SER_hh_fech!I25/SER_summary!I$26)</f>
        <v>14.665554711056945</v>
      </c>
      <c r="J25" s="133">
        <f>IF(SER_hh_fech!J25=0,0,SER_hh_fech!J25/SER_summary!J$26)</f>
        <v>18.16544126347279</v>
      </c>
      <c r="K25" s="133">
        <f>IF(SER_hh_fech!K25=0,0,SER_hh_fech!K25/SER_summary!K$26)</f>
        <v>21.690979063659704</v>
      </c>
      <c r="L25" s="133">
        <f>IF(SER_hh_fech!L25=0,0,SER_hh_fech!L25/SER_summary!L$26)</f>
        <v>19.397790253189601</v>
      </c>
      <c r="M25" s="133">
        <f>IF(SER_hh_fech!M25=0,0,SER_hh_fech!M25/SER_summary!M$26)</f>
        <v>18.068274675795116</v>
      </c>
      <c r="N25" s="133">
        <f>IF(SER_hh_fech!N25=0,0,SER_hh_fech!N25/SER_summary!N$26)</f>
        <v>21.038140306870961</v>
      </c>
      <c r="O25" s="133">
        <f>IF(SER_hh_fech!O25=0,0,SER_hh_fech!O25/SER_summary!O$26)</f>
        <v>21.230891803131282</v>
      </c>
      <c r="P25" s="133">
        <f>IF(SER_hh_fech!P25=0,0,SER_hh_fech!P25/SER_summary!P$26)</f>
        <v>18.924134122417357</v>
      </c>
      <c r="Q25" s="133">
        <f>IF(SER_hh_fech!Q25=0,0,SER_hh_fech!Q25/SER_summary!Q$26)</f>
        <v>19.591081331989095</v>
      </c>
      <c r="R25" s="133">
        <f>IF(SER_hh_fech!R25=0,0,SER_hh_fech!R25/SER_summary!R$26)</f>
        <v>20.439138051777849</v>
      </c>
      <c r="S25" s="133">
        <f>IF(SER_hh_fech!S25=0,0,SER_hh_fech!S25/SER_summary!S$26)</f>
        <v>19.27031361789513</v>
      </c>
      <c r="T25" s="133">
        <f>IF(SER_hh_fech!T25=0,0,SER_hh_fech!T25/SER_summary!T$26)</f>
        <v>21.206822414092258</v>
      </c>
      <c r="U25" s="133">
        <f>IF(SER_hh_fech!U25=0,0,SER_hh_fech!U25/SER_summary!U$26)</f>
        <v>19.571685318707353</v>
      </c>
      <c r="V25" s="133">
        <f>IF(SER_hh_fech!V25=0,0,SER_hh_fech!V25/SER_summary!V$26)</f>
        <v>19.217600620637775</v>
      </c>
      <c r="W25" s="133">
        <f>IF(SER_hh_fech!W25=0,0,SER_hh_fech!W25/SER_summary!W$26)</f>
        <v>17.366415307152703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25.401437244259242</v>
      </c>
      <c r="C26" s="65">
        <f>IF(SER_hh_fech!C26=0,0,SER_hh_fech!C26/SER_summary!C$26)</f>
        <v>24.561794312794198</v>
      </c>
      <c r="D26" s="65">
        <f>IF(SER_hh_fech!D26=0,0,SER_hh_fech!D26/SER_summary!D$26)</f>
        <v>24.732156149329402</v>
      </c>
      <c r="E26" s="65">
        <f>IF(SER_hh_fech!E26=0,0,SER_hh_fech!E26/SER_summary!E$26)</f>
        <v>23.525643842830064</v>
      </c>
      <c r="F26" s="65">
        <f>IF(SER_hh_fech!F26=0,0,SER_hh_fech!F26/SER_summary!F$26)</f>
        <v>24.401279955237854</v>
      </c>
      <c r="G26" s="65">
        <f>IF(SER_hh_fech!G26=0,0,SER_hh_fech!G26/SER_summary!G$26)</f>
        <v>24.051653354417542</v>
      </c>
      <c r="H26" s="65">
        <f>IF(SER_hh_fech!H26=0,0,SER_hh_fech!H26/SER_summary!H$26)</f>
        <v>23.261809300480163</v>
      </c>
      <c r="I26" s="65">
        <f>IF(SER_hh_fech!I26=0,0,SER_hh_fech!I26/SER_summary!I$26)</f>
        <v>23.699342110789114</v>
      </c>
      <c r="J26" s="65">
        <f>IF(SER_hh_fech!J26=0,0,SER_hh_fech!J26/SER_summary!J$26)</f>
        <v>23.844146956385618</v>
      </c>
      <c r="K26" s="65">
        <f>IF(SER_hh_fech!K26=0,0,SER_hh_fech!K26/SER_summary!K$26)</f>
        <v>23.532869043118193</v>
      </c>
      <c r="L26" s="65">
        <f>IF(SER_hh_fech!L26=0,0,SER_hh_fech!L26/SER_summary!L$26)</f>
        <v>23.84970818774444</v>
      </c>
      <c r="M26" s="65">
        <f>IF(SER_hh_fech!M26=0,0,SER_hh_fech!M26/SER_summary!M$26)</f>
        <v>23.364454221532281</v>
      </c>
      <c r="N26" s="65">
        <f>IF(SER_hh_fech!N26=0,0,SER_hh_fech!N26/SER_summary!N$26)</f>
        <v>24.354074766528843</v>
      </c>
      <c r="O26" s="65">
        <f>IF(SER_hh_fech!O26=0,0,SER_hh_fech!O26/SER_summary!O$26)</f>
        <v>23.918207210177425</v>
      </c>
      <c r="P26" s="65">
        <f>IF(SER_hh_fech!P26=0,0,SER_hh_fech!P26/SER_summary!P$26)</f>
        <v>23.686426123393904</v>
      </c>
      <c r="Q26" s="65">
        <f>IF(SER_hh_fech!Q26=0,0,SER_hh_fech!Q26/SER_summary!Q$26)</f>
        <v>23.432132880451501</v>
      </c>
      <c r="R26" s="65">
        <f>IF(SER_hh_fech!R26=0,0,SER_hh_fech!R26/SER_summary!R$26)</f>
        <v>23.413383986463966</v>
      </c>
      <c r="S26" s="65">
        <f>IF(SER_hh_fech!S26=0,0,SER_hh_fech!S26/SER_summary!S$26)</f>
        <v>22.909757762206382</v>
      </c>
      <c r="T26" s="65">
        <f>IF(SER_hh_fech!T26=0,0,SER_hh_fech!T26/SER_summary!T$26)</f>
        <v>23.283163810195127</v>
      </c>
      <c r="U26" s="65">
        <f>IF(SER_hh_fech!U26=0,0,SER_hh_fech!U26/SER_summary!U$26)</f>
        <v>22.214482791266835</v>
      </c>
      <c r="V26" s="65">
        <f>IF(SER_hh_fech!V26=0,0,SER_hh_fech!V26/SER_summary!V$26)</f>
        <v>19.989472842161227</v>
      </c>
      <c r="W26" s="65">
        <f>IF(SER_hh_fech!W26=0,0,SER_hh_fech!W26/SER_summary!W$26)</f>
        <v>20.967453283485881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2.2979572921963367E-2</v>
      </c>
      <c r="H27" s="146">
        <f>IF(SER_hh_fech!H27=0,0,SER_hh_fech!H27/SER_summary!H$26)</f>
        <v>2.3251910825879445E-2</v>
      </c>
      <c r="I27" s="146">
        <f>IF(SER_hh_fech!I27=0,0,SER_hh_fech!I27/SER_summary!I$26)</f>
        <v>2.5841737975689665E-2</v>
      </c>
      <c r="J27" s="146">
        <f>IF(SER_hh_fech!J27=0,0,SER_hh_fech!J27/SER_summary!J$26)</f>
        <v>3.0804204842673849E-2</v>
      </c>
      <c r="K27" s="146">
        <f>IF(SER_hh_fech!K27=0,0,SER_hh_fech!K27/SER_summary!K$26)</f>
        <v>3.5606985579758624E-2</v>
      </c>
      <c r="L27" s="146">
        <f>IF(SER_hh_fech!L27=0,0,SER_hh_fech!L27/SER_summary!L$26)</f>
        <v>4.0712502668060188E-2</v>
      </c>
      <c r="M27" s="146">
        <f>IF(SER_hh_fech!M27=0,0,SER_hh_fech!M27/SER_summary!M$26)</f>
        <v>6.5062876967648758E-2</v>
      </c>
      <c r="N27" s="146">
        <f>IF(SER_hh_fech!N27=0,0,SER_hh_fech!N27/SER_summary!N$26)</f>
        <v>0.10404747173823795</v>
      </c>
      <c r="O27" s="146">
        <f>IF(SER_hh_fech!O27=0,0,SER_hh_fech!O27/SER_summary!O$26)</f>
        <v>0.1187706482329946</v>
      </c>
      <c r="P27" s="146">
        <f>IF(SER_hh_fech!P27=0,0,SER_hh_fech!P27/SER_summary!P$26)</f>
        <v>0.12701094210017511</v>
      </c>
      <c r="Q27" s="146">
        <f>IF(SER_hh_fech!Q27=0,0,SER_hh_fech!Q27/SER_summary!Q$26)</f>
        <v>0.13529952618716504</v>
      </c>
      <c r="R27" s="146">
        <f>IF(SER_hh_fech!R27=0,0,SER_hh_fech!R27/SER_summary!R$26)</f>
        <v>0.14028967562957886</v>
      </c>
      <c r="S27" s="146">
        <f>IF(SER_hh_fech!S27=0,0,SER_hh_fech!S27/SER_summary!S$26)</f>
        <v>0.14368600541567597</v>
      </c>
      <c r="T27" s="146">
        <f>IF(SER_hh_fech!T27=0,0,SER_hh_fech!T27/SER_summary!T$26)</f>
        <v>0.14601217191107699</v>
      </c>
      <c r="U27" s="146">
        <f>IF(SER_hh_fech!U27=0,0,SER_hh_fech!U27/SER_summary!U$26)</f>
        <v>0.14912089704981657</v>
      </c>
      <c r="V27" s="146">
        <f>IF(SER_hh_fech!V27=0,0,SER_hh_fech!V27/SER_summary!V$26)</f>
        <v>0.14985233123815636</v>
      </c>
      <c r="W27" s="146">
        <f>IF(SER_hh_fech!W27=0,0,SER_hh_fech!W27/SER_summary!W$26)</f>
        <v>0.14808549379057209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12.90751374163408</v>
      </c>
      <c r="H28" s="147">
        <f>IF(SER_hh_fech!H28=0,0,SER_hh_fech!H28/SER_summary!H$26)</f>
        <v>12.843793645055861</v>
      </c>
      <c r="I28" s="147">
        <f>IF(SER_hh_fech!I28=0,0,SER_hh_fech!I28/SER_summary!I$26)</f>
        <v>12.010633293640483</v>
      </c>
      <c r="J28" s="147">
        <f>IF(SER_hh_fech!J28=0,0,SER_hh_fech!J28/SER_summary!J$26)</f>
        <v>12.557796008326594</v>
      </c>
      <c r="K28" s="147">
        <f>IF(SER_hh_fech!K28=0,0,SER_hh_fech!K28/SER_summary!K$26)</f>
        <v>13.126685001195247</v>
      </c>
      <c r="L28" s="147">
        <f>IF(SER_hh_fech!L28=0,0,SER_hh_fech!L28/SER_summary!L$26)</f>
        <v>9.1010021299812127</v>
      </c>
      <c r="M28" s="147">
        <f>IF(SER_hh_fech!M28=0,0,SER_hh_fech!M28/SER_summary!M$26)</f>
        <v>13.275870837464719</v>
      </c>
      <c r="N28" s="147">
        <f>IF(SER_hh_fech!N28=0,0,SER_hh_fech!N28/SER_summary!N$26)</f>
        <v>12.56538923763471</v>
      </c>
      <c r="O28" s="147">
        <f>IF(SER_hh_fech!O28=0,0,SER_hh_fech!O28/SER_summary!O$26)</f>
        <v>12.568554245285259</v>
      </c>
      <c r="P28" s="147">
        <f>IF(SER_hh_fech!P28=0,0,SER_hh_fech!P28/SER_summary!P$26)</f>
        <v>13.809542714560852</v>
      </c>
      <c r="Q28" s="147">
        <f>IF(SER_hh_fech!Q28=0,0,SER_hh_fech!Q28/SER_summary!Q$26)</f>
        <v>13.427440894853779</v>
      </c>
      <c r="R28" s="147">
        <f>IF(SER_hh_fech!R28=0,0,SER_hh_fech!R28/SER_summary!R$26)</f>
        <v>13.832843700007858</v>
      </c>
      <c r="S28" s="147">
        <f>IF(SER_hh_fech!S28=0,0,SER_hh_fech!S28/SER_summary!S$26)</f>
        <v>13.375714307511743</v>
      </c>
      <c r="T28" s="147">
        <f>IF(SER_hh_fech!T28=0,0,SER_hh_fech!T28/SER_summary!T$26)</f>
        <v>13.638856921096947</v>
      </c>
      <c r="U28" s="147">
        <f>IF(SER_hh_fech!U28=0,0,SER_hh_fech!U28/SER_summary!U$26)</f>
        <v>13.5894642225038</v>
      </c>
      <c r="V28" s="147">
        <f>IF(SER_hh_fech!V28=0,0,SER_hh_fech!V28/SER_summary!V$26)</f>
        <v>12.490636264421729</v>
      </c>
      <c r="W28" s="147">
        <f>IF(SER_hh_fech!W28=0,0,SER_hh_fech!W28/SER_summary!W$26)</f>
        <v>13.339182600688918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23.714683019592076</v>
      </c>
      <c r="C29" s="131">
        <f>IF(SER_hh_fech!C29=0,0,SER_hh_fech!C29/SER_summary!C$26)</f>
        <v>23.06535619917257</v>
      </c>
      <c r="D29" s="131">
        <f>IF(SER_hh_fech!D29=0,0,SER_hh_fech!D29/SER_summary!D$26)</f>
        <v>23.966744794068045</v>
      </c>
      <c r="E29" s="131">
        <f>IF(SER_hh_fech!E29=0,0,SER_hh_fech!E29/SER_summary!E$26)</f>
        <v>23.812356253285134</v>
      </c>
      <c r="F29" s="131">
        <f>IF(SER_hh_fech!F29=0,0,SER_hh_fech!F29/SER_summary!F$26)</f>
        <v>24.266574662160682</v>
      </c>
      <c r="G29" s="131">
        <f>IF(SER_hh_fech!G29=0,0,SER_hh_fech!G29/SER_summary!G$26)</f>
        <v>23.059859071853708</v>
      </c>
      <c r="H29" s="131">
        <f>IF(SER_hh_fech!H29=0,0,SER_hh_fech!H29/SER_summary!H$26)</f>
        <v>22.619634961751345</v>
      </c>
      <c r="I29" s="131">
        <f>IF(SER_hh_fech!I29=0,0,SER_hh_fech!I29/SER_summary!I$26)</f>
        <v>22.891101406351311</v>
      </c>
      <c r="J29" s="131">
        <f>IF(SER_hh_fech!J29=0,0,SER_hh_fech!J29/SER_summary!J$26)</f>
        <v>23.191885418583151</v>
      </c>
      <c r="K29" s="131">
        <f>IF(SER_hh_fech!K29=0,0,SER_hh_fech!K29/SER_summary!K$26)</f>
        <v>24.289793026979591</v>
      </c>
      <c r="L29" s="131">
        <f>IF(SER_hh_fech!L29=0,0,SER_hh_fech!L29/SER_summary!L$26)</f>
        <v>24.592270355492509</v>
      </c>
      <c r="M29" s="131">
        <f>IF(SER_hh_fech!M29=0,0,SER_hh_fech!M29/SER_summary!M$26)</f>
        <v>24.619398643196888</v>
      </c>
      <c r="N29" s="131">
        <f>IF(SER_hh_fech!N29=0,0,SER_hh_fech!N29/SER_summary!N$26)</f>
        <v>24.465974047791093</v>
      </c>
      <c r="O29" s="131">
        <f>IF(SER_hh_fech!O29=0,0,SER_hh_fech!O29/SER_summary!O$26)</f>
        <v>24.578451952311948</v>
      </c>
      <c r="P29" s="131">
        <f>IF(SER_hh_fech!P29=0,0,SER_hh_fech!P29/SER_summary!P$26)</f>
        <v>24.768213299669032</v>
      </c>
      <c r="Q29" s="131">
        <f>IF(SER_hh_fech!Q29=0,0,SER_hh_fech!Q29/SER_summary!Q$26)</f>
        <v>25.110162808441856</v>
      </c>
      <c r="R29" s="131">
        <f>IF(SER_hh_fech!R29=0,0,SER_hh_fech!R29/SER_summary!R$26)</f>
        <v>25.241745820113703</v>
      </c>
      <c r="S29" s="131">
        <f>IF(SER_hh_fech!S29=0,0,SER_hh_fech!S29/SER_summary!S$26)</f>
        <v>25.148088107691393</v>
      </c>
      <c r="T29" s="131">
        <f>IF(SER_hh_fech!T29=0,0,SER_hh_fech!T29/SER_summary!T$26)</f>
        <v>24.854613958130322</v>
      </c>
      <c r="U29" s="131">
        <f>IF(SER_hh_fech!U29=0,0,SER_hh_fech!U29/SER_summary!U$26)</f>
        <v>24.699880622630406</v>
      </c>
      <c r="V29" s="131">
        <f>IF(SER_hh_fech!V29=0,0,SER_hh_fech!V29/SER_summary!V$26)</f>
        <v>22.414667786324543</v>
      </c>
      <c r="W29" s="131">
        <f>IF(SER_hh_fech!W29=0,0,SER_hh_fech!W29/SER_summary!W$26)</f>
        <v>24.576234246252287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35.677621031515955</v>
      </c>
      <c r="C30" s="133">
        <f>IF(SER_hh_fech!C30=0,0,SER_hh_fech!C30/SER_summary!C$26)</f>
        <v>12.184371313713152</v>
      </c>
      <c r="D30" s="133">
        <f>IF(SER_hh_fech!D30=0,0,SER_hh_fech!D30/SER_summary!D$26)</f>
        <v>29.617885018721545</v>
      </c>
      <c r="E30" s="133">
        <f>IF(SER_hh_fech!E30=0,0,SER_hh_fech!E30/SER_summary!E$26)</f>
        <v>29.207618014064789</v>
      </c>
      <c r="F30" s="133">
        <f>IF(SER_hh_fech!F30=0,0,SER_hh_fech!F30/SER_summary!F$26)</f>
        <v>32.008865207411453</v>
      </c>
      <c r="G30" s="133">
        <f>IF(SER_hh_fech!G30=0,0,SER_hh_fech!G30/SER_summary!G$26)</f>
        <v>26.359455206043592</v>
      </c>
      <c r="H30" s="133">
        <f>IF(SER_hh_fech!H30=0,0,SER_hh_fech!H30/SER_summary!H$26)</f>
        <v>23.42862983136169</v>
      </c>
      <c r="I30" s="133">
        <f>IF(SER_hh_fech!I30=0,0,SER_hh_fech!I30/SER_summary!I$26)</f>
        <v>26.25876145384516</v>
      </c>
      <c r="J30" s="133">
        <f>IF(SER_hh_fech!J30=0,0,SER_hh_fech!J30/SER_summary!J$26)</f>
        <v>28.935632834741345</v>
      </c>
      <c r="K30" s="133">
        <f>IF(SER_hh_fech!K30=0,0,SER_hh_fech!K30/SER_summary!K$26)</f>
        <v>27.689746889117625</v>
      </c>
      <c r="L30" s="133">
        <f>IF(SER_hh_fech!L30=0,0,SER_hh_fech!L30/SER_summary!L$26)</f>
        <v>30.12343804043072</v>
      </c>
      <c r="M30" s="133">
        <f>IF(SER_hh_fech!M30=0,0,SER_hh_fech!M30/SER_summary!M$26)</f>
        <v>30.614248965397458</v>
      </c>
      <c r="N30" s="133">
        <f>IF(SER_hh_fech!N30=0,0,SER_hh_fech!N30/SER_summary!N$26)</f>
        <v>28.370903780176899</v>
      </c>
      <c r="O30" s="133">
        <f>IF(SER_hh_fech!O30=0,0,SER_hh_fech!O30/SER_summary!O$26)</f>
        <v>26.581676102679719</v>
      </c>
      <c r="P30" s="133">
        <f>IF(SER_hh_fech!P30=0,0,SER_hh_fech!P30/SER_summary!P$26)</f>
        <v>27.831858285601932</v>
      </c>
      <c r="Q30" s="133">
        <f>IF(SER_hh_fech!Q30=0,0,SER_hh_fech!Q30/SER_summary!Q$26)</f>
        <v>31.076252367559682</v>
      </c>
      <c r="R30" s="133">
        <f>IF(SER_hh_fech!R30=0,0,SER_hh_fech!R30/SER_summary!R$26)</f>
        <v>29.339075006940526</v>
      </c>
      <c r="S30" s="133">
        <f>IF(SER_hh_fech!S30=0,0,SER_hh_fech!S30/SER_summary!S$26)</f>
        <v>32.268356596816382</v>
      </c>
      <c r="T30" s="133">
        <f>IF(SER_hh_fech!T30=0,0,SER_hh_fech!T30/SER_summary!T$26)</f>
        <v>27.207288989164191</v>
      </c>
      <c r="U30" s="133">
        <f>IF(SER_hh_fech!U30=0,0,SER_hh_fech!U30/SER_summary!U$26)</f>
        <v>31.200006651174284</v>
      </c>
      <c r="V30" s="133">
        <f>IF(SER_hh_fech!V30=0,0,SER_hh_fech!V30/SER_summary!V$26)</f>
        <v>26.180573115901485</v>
      </c>
      <c r="W30" s="133">
        <f>IF(SER_hh_fech!W30=0,0,SER_hh_fech!W30/SER_summary!W$26)</f>
        <v>29.272529124788118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26.697275945717628</v>
      </c>
      <c r="C31" s="133">
        <f>IF(SER_hh_fech!C31=0,0,SER_hh_fech!C31/SER_summary!C$26)</f>
        <v>26.691226408685811</v>
      </c>
      <c r="D31" s="133">
        <f>IF(SER_hh_fech!D31=0,0,SER_hh_fech!D31/SER_summary!D$26)</f>
        <v>26.586627419374881</v>
      </c>
      <c r="E31" s="133">
        <f>IF(SER_hh_fech!E31=0,0,SER_hh_fech!E31/SER_summary!E$26)</f>
        <v>27.631344209903862</v>
      </c>
      <c r="F31" s="133">
        <f>IF(SER_hh_fech!F31=0,0,SER_hh_fech!F31/SER_summary!F$26)</f>
        <v>29.904149035192216</v>
      </c>
      <c r="G31" s="133">
        <f>IF(SER_hh_fech!G31=0,0,SER_hh_fech!G31/SER_summary!G$26)</f>
        <v>23.161839697501637</v>
      </c>
      <c r="H31" s="133">
        <f>IF(SER_hh_fech!H31=0,0,SER_hh_fech!H31/SER_summary!H$26)</f>
        <v>25.195576119290156</v>
      </c>
      <c r="I31" s="133">
        <f>IF(SER_hh_fech!I31=0,0,SER_hh_fech!I31/SER_summary!I$26)</f>
        <v>26.283718177968961</v>
      </c>
      <c r="J31" s="133">
        <f>IF(SER_hh_fech!J31=0,0,SER_hh_fech!J31/SER_summary!J$26)</f>
        <v>24.45050522876949</v>
      </c>
      <c r="K31" s="133">
        <f>IF(SER_hh_fech!K31=0,0,SER_hh_fech!K31/SER_summary!K$26)</f>
        <v>30.777270197406835</v>
      </c>
      <c r="L31" s="133">
        <f>IF(SER_hh_fech!L31=0,0,SER_hh_fech!L31/SER_summary!L$26)</f>
        <v>28.692019231130384</v>
      </c>
      <c r="M31" s="133">
        <f>IF(SER_hh_fech!M31=0,0,SER_hh_fech!M31/SER_summary!M$26)</f>
        <v>29.012749133640629</v>
      </c>
      <c r="N31" s="133">
        <f>IF(SER_hh_fech!N31=0,0,SER_hh_fech!N31/SER_summary!N$26)</f>
        <v>27.091815711010032</v>
      </c>
      <c r="O31" s="133">
        <f>IF(SER_hh_fech!O31=0,0,SER_hh_fech!O31/SER_summary!O$26)</f>
        <v>28.479213127823346</v>
      </c>
      <c r="P31" s="133">
        <f>IF(SER_hh_fech!P31=0,0,SER_hh_fech!P31/SER_summary!P$26)</f>
        <v>29.806563594949989</v>
      </c>
      <c r="Q31" s="133">
        <f>IF(SER_hh_fech!Q31=0,0,SER_hh_fech!Q31/SER_summary!Q$26)</f>
        <v>30.506851530145543</v>
      </c>
      <c r="R31" s="133">
        <f>IF(SER_hh_fech!R31=0,0,SER_hh_fech!R31/SER_summary!R$26)</f>
        <v>29.072160624901763</v>
      </c>
      <c r="S31" s="133">
        <f>IF(SER_hh_fech!S31=0,0,SER_hh_fech!S31/SER_summary!S$26)</f>
        <v>29.517111476607543</v>
      </c>
      <c r="T31" s="133">
        <f>IF(SER_hh_fech!T31=0,0,SER_hh_fech!T31/SER_summary!T$26)</f>
        <v>29.987228174893126</v>
      </c>
      <c r="U31" s="133">
        <f>IF(SER_hh_fech!U31=0,0,SER_hh_fech!U31/SER_summary!U$26)</f>
        <v>28.492053647582122</v>
      </c>
      <c r="V31" s="133">
        <f>IF(SER_hh_fech!V31=0,0,SER_hh_fech!V31/SER_summary!V$26)</f>
        <v>25.145458584162366</v>
      </c>
      <c r="W31" s="133">
        <f>IF(SER_hh_fech!W31=0,0,SER_hh_fech!W31/SER_summary!W$26)</f>
        <v>33.607358420111503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18.911888910673092</v>
      </c>
      <c r="C33" s="68">
        <f>IF(SER_hh_fech!C33=0,0,SER_hh_fech!C33/SER_summary!C$26)</f>
        <v>22.949073522164852</v>
      </c>
      <c r="D33" s="68">
        <f>IF(SER_hh_fech!D33=0,0,SER_hh_fech!D33/SER_summary!D$26)</f>
        <v>19.828649653989888</v>
      </c>
      <c r="E33" s="68">
        <f>IF(SER_hh_fech!E33=0,0,SER_hh_fech!E33/SER_summary!E$26)</f>
        <v>18.454280485865073</v>
      </c>
      <c r="F33" s="68">
        <f>IF(SER_hh_fech!F33=0,0,SER_hh_fech!F33/SER_summary!F$26)</f>
        <v>17.196706981050109</v>
      </c>
      <c r="G33" s="68">
        <f>IF(SER_hh_fech!G33=0,0,SER_hh_fech!G33/SER_summary!G$26)</f>
        <v>21.798104386626665</v>
      </c>
      <c r="H33" s="68">
        <f>IF(SER_hh_fech!H33=0,0,SER_hh_fech!H33/SER_summary!H$26)</f>
        <v>21.390933034406537</v>
      </c>
      <c r="I33" s="68">
        <f>IF(SER_hh_fech!I33=0,0,SER_hh_fech!I33/SER_summary!I$26)</f>
        <v>20.736728721373616</v>
      </c>
      <c r="J33" s="68">
        <f>IF(SER_hh_fech!J33=0,0,SER_hh_fech!J33/SER_summary!J$26)</f>
        <v>21.003877917983768</v>
      </c>
      <c r="K33" s="68">
        <f>IF(SER_hh_fech!K33=0,0,SER_hh_fech!K33/SER_summary!K$26)</f>
        <v>20.554398403221793</v>
      </c>
      <c r="L33" s="68">
        <f>IF(SER_hh_fech!L33=0,0,SER_hh_fech!L33/SER_summary!L$26)</f>
        <v>21.187707569616624</v>
      </c>
      <c r="M33" s="68">
        <f>IF(SER_hh_fech!M33=0,0,SER_hh_fech!M33/SER_summary!M$26)</f>
        <v>21.189207368737808</v>
      </c>
      <c r="N33" s="68">
        <f>IF(SER_hh_fech!N33=0,0,SER_hh_fech!N33/SER_summary!N$26)</f>
        <v>22.558640109990051</v>
      </c>
      <c r="O33" s="68">
        <f>IF(SER_hh_fech!O33=0,0,SER_hh_fech!O33/SER_summary!O$26)</f>
        <v>22.638669748736042</v>
      </c>
      <c r="P33" s="68">
        <f>IF(SER_hh_fech!P33=0,0,SER_hh_fech!P33/SER_summary!P$26)</f>
        <v>22.104476030798999</v>
      </c>
      <c r="Q33" s="68">
        <f>IF(SER_hh_fech!Q33=0,0,SER_hh_fech!Q33/SER_summary!Q$26)</f>
        <v>21.527964214863484</v>
      </c>
      <c r="R33" s="68">
        <f>IF(SER_hh_fech!R33=0,0,SER_hh_fech!R33/SER_summary!R$26)</f>
        <v>22.739629585577287</v>
      </c>
      <c r="S33" s="68">
        <f>IF(SER_hh_fech!S33=0,0,SER_hh_fech!S33/SER_summary!S$26)</f>
        <v>21.788674033406259</v>
      </c>
      <c r="T33" s="68">
        <f>IF(SER_hh_fech!T33=0,0,SER_hh_fech!T33/SER_summary!T$26)</f>
        <v>22.13135890423343</v>
      </c>
      <c r="U33" s="68">
        <f>IF(SER_hh_fech!U33=0,0,SER_hh_fech!U33/SER_summary!U$26)</f>
        <v>21.775361309340429</v>
      </c>
      <c r="V33" s="68">
        <f>IF(SER_hh_fech!V33=0,0,SER_hh_fech!V33/SER_summary!V$26)</f>
        <v>20.433599088373562</v>
      </c>
      <c r="W33" s="68">
        <f>IF(SER_hh_fech!W33=0,0,SER_hh_fech!W33/SER_summary!W$26)</f>
        <v>19.321524847391103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140.76755994953061</v>
      </c>
      <c r="C3" s="126">
        <f>IF(SER_hh_tesh!C3=0,0,SER_hh_tesh!C3/SER_summary!C$26)</f>
        <v>148.28661080313711</v>
      </c>
      <c r="D3" s="126">
        <f>IF(SER_hh_tesh!D3=0,0,SER_hh_tesh!D3/SER_summary!D$26)</f>
        <v>140.20613787458095</v>
      </c>
      <c r="E3" s="126">
        <f>IF(SER_hh_tesh!E3=0,0,SER_hh_tesh!E3/SER_summary!E$26)</f>
        <v>156.99253896130918</v>
      </c>
      <c r="F3" s="126">
        <f>IF(SER_hh_tesh!F3=0,0,SER_hh_tesh!F3/SER_summary!F$26)</f>
        <v>155.22872290670978</v>
      </c>
      <c r="G3" s="126">
        <f>IF(SER_hh_tesh!G3=0,0,SER_hh_tesh!G3/SER_summary!G$26)</f>
        <v>155.09810298673199</v>
      </c>
      <c r="H3" s="126">
        <f>IF(SER_hh_tesh!H3=0,0,SER_hh_tesh!H3/SER_summary!H$26)</f>
        <v>150.18385271173798</v>
      </c>
      <c r="I3" s="126">
        <f>IF(SER_hh_tesh!I3=0,0,SER_hh_tesh!I3/SER_summary!I$26)</f>
        <v>141.23645912527596</v>
      </c>
      <c r="J3" s="126">
        <f>IF(SER_hh_tesh!J3=0,0,SER_hh_tesh!J3/SER_summary!J$26)</f>
        <v>141.78815167119495</v>
      </c>
      <c r="K3" s="126">
        <f>IF(SER_hh_tesh!K3=0,0,SER_hh_tesh!K3/SER_summary!K$26)</f>
        <v>154.46218997969197</v>
      </c>
      <c r="L3" s="126">
        <f>IF(SER_hh_tesh!L3=0,0,SER_hh_tesh!L3/SER_summary!L$26)</f>
        <v>164.44898241121646</v>
      </c>
      <c r="M3" s="126">
        <f>IF(SER_hh_tesh!M3=0,0,SER_hh_tesh!M3/SER_summary!M$26)</f>
        <v>139.77924680721173</v>
      </c>
      <c r="N3" s="126">
        <f>IF(SER_hh_tesh!N3=0,0,SER_hh_tesh!N3/SER_summary!N$26)</f>
        <v>152.65461120726684</v>
      </c>
      <c r="O3" s="126">
        <f>IF(SER_hh_tesh!O3=0,0,SER_hh_tesh!O3/SER_summary!O$26)</f>
        <v>158.95204021316206</v>
      </c>
      <c r="P3" s="126">
        <f>IF(SER_hh_tesh!P3=0,0,SER_hh_tesh!P3/SER_summary!P$26)</f>
        <v>140.42161094050681</v>
      </c>
      <c r="Q3" s="126">
        <f>IF(SER_hh_tesh!Q3=0,0,SER_hh_tesh!Q3/SER_summary!Q$26)</f>
        <v>150.90698536594596</v>
      </c>
      <c r="R3" s="126">
        <f>IF(SER_hh_tesh!R3=0,0,SER_hh_tesh!R3/SER_summary!R$26)</f>
        <v>150.02269683119891</v>
      </c>
      <c r="S3" s="126">
        <f>IF(SER_hh_tesh!S3=0,0,SER_hh_tesh!S3/SER_summary!S$26)</f>
        <v>153.89277630713354</v>
      </c>
      <c r="T3" s="126">
        <f>IF(SER_hh_tesh!T3=0,0,SER_hh_tesh!T3/SER_summary!T$26)</f>
        <v>154.32836629171987</v>
      </c>
      <c r="U3" s="126">
        <f>IF(SER_hh_tesh!U3=0,0,SER_hh_tesh!U3/SER_summary!U$26)</f>
        <v>151.79281008217538</v>
      </c>
      <c r="V3" s="126">
        <f>IF(SER_hh_tesh!V3=0,0,SER_hh_tesh!V3/SER_summary!V$26)</f>
        <v>141.90021554957733</v>
      </c>
      <c r="W3" s="126">
        <f>IF(SER_hh_tesh!W3=0,0,SER_hh_tesh!W3/SER_summary!W$26)</f>
        <v>152.17399260640173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101.09696754481745</v>
      </c>
      <c r="C4" s="131">
        <f>IF(SER_hh_tesh!C4=0,0,SER_hh_tesh!C4/SER_summary!C$26)</f>
        <v>107.85223481936663</v>
      </c>
      <c r="D4" s="131">
        <f>IF(SER_hh_tesh!D4=0,0,SER_hh_tesh!D4/SER_summary!D$26)</f>
        <v>99.517241777489247</v>
      </c>
      <c r="E4" s="131">
        <f>IF(SER_hh_tesh!E4=0,0,SER_hh_tesh!E4/SER_summary!E$26)</f>
        <v>109.61052484600462</v>
      </c>
      <c r="F4" s="131">
        <f>IF(SER_hh_tesh!F4=0,0,SER_hh_tesh!F4/SER_summary!F$26)</f>
        <v>113.2043701120982</v>
      </c>
      <c r="G4" s="131">
        <f>IF(SER_hh_tesh!G4=0,0,SER_hh_tesh!G4/SER_summary!G$26)</f>
        <v>111.86117099788871</v>
      </c>
      <c r="H4" s="131">
        <f>IF(SER_hh_tesh!H4=0,0,SER_hh_tesh!H4/SER_summary!H$26)</f>
        <v>104.46928531094095</v>
      </c>
      <c r="I4" s="131">
        <f>IF(SER_hh_tesh!I4=0,0,SER_hh_tesh!I4/SER_summary!I$26)</f>
        <v>97.821313823713723</v>
      </c>
      <c r="J4" s="131">
        <f>IF(SER_hh_tesh!J4=0,0,SER_hh_tesh!J4/SER_summary!J$26)</f>
        <v>97.111492249378756</v>
      </c>
      <c r="K4" s="131">
        <f>IF(SER_hh_tesh!K4=0,0,SER_hh_tesh!K4/SER_summary!K$26)</f>
        <v>107.42680697544023</v>
      </c>
      <c r="L4" s="131">
        <f>IF(SER_hh_tesh!L4=0,0,SER_hh_tesh!L4/SER_summary!L$26)</f>
        <v>117.03934079322765</v>
      </c>
      <c r="M4" s="131">
        <f>IF(SER_hh_tesh!M4=0,0,SER_hh_tesh!M4/SER_summary!M$26)</f>
        <v>92.194658124648498</v>
      </c>
      <c r="N4" s="131">
        <f>IF(SER_hh_tesh!N4=0,0,SER_hh_tesh!N4/SER_summary!N$26)</f>
        <v>103.84510599168775</v>
      </c>
      <c r="O4" s="131">
        <f>IF(SER_hh_tesh!O4=0,0,SER_hh_tesh!O4/SER_summary!O$26)</f>
        <v>109.72326983595951</v>
      </c>
      <c r="P4" s="131">
        <f>IF(SER_hh_tesh!P4=0,0,SER_hh_tesh!P4/SER_summary!P$26)</f>
        <v>91.888671627128261</v>
      </c>
      <c r="Q4" s="131">
        <f>IF(SER_hh_tesh!Q4=0,0,SER_hh_tesh!Q4/SER_summary!Q$26)</f>
        <v>98.027666983152329</v>
      </c>
      <c r="R4" s="131">
        <f>IF(SER_hh_tesh!R4=0,0,SER_hh_tesh!R4/SER_summary!R$26)</f>
        <v>98.701012404609671</v>
      </c>
      <c r="S4" s="131">
        <f>IF(SER_hh_tesh!S4=0,0,SER_hh_tesh!S4/SER_summary!S$26)</f>
        <v>100.93340494997915</v>
      </c>
      <c r="T4" s="131">
        <f>IF(SER_hh_tesh!T4=0,0,SER_hh_tesh!T4/SER_summary!T$26)</f>
        <v>100.92402691523876</v>
      </c>
      <c r="U4" s="131">
        <f>IF(SER_hh_tesh!U4=0,0,SER_hh_tesh!U4/SER_summary!U$26)</f>
        <v>98.39151350666144</v>
      </c>
      <c r="V4" s="131">
        <f>IF(SER_hh_tesh!V4=0,0,SER_hh_tesh!V4/SER_summary!V$26)</f>
        <v>90.866157549384099</v>
      </c>
      <c r="W4" s="131">
        <f>IF(SER_hh_tesh!W4=0,0,SER_hh_tesh!W4/SER_summary!W$26)</f>
        <v>101.56353491565943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103.08754698426736</v>
      </c>
      <c r="C5" s="133">
        <f>IF(SER_hh_tesh!C5=0,0,SER_hh_tesh!C5/SER_summary!C$26)</f>
        <v>111.11977406832375</v>
      </c>
      <c r="D5" s="133">
        <f>IF(SER_hh_tesh!D5=0,0,SER_hh_tesh!D5/SER_summary!D$26)</f>
        <v>88.216213044535621</v>
      </c>
      <c r="E5" s="133">
        <f>IF(SER_hh_tesh!E5=0,0,SER_hh_tesh!E5/SER_summary!E$26)</f>
        <v>106.10051298677377</v>
      </c>
      <c r="F5" s="133">
        <f>IF(SER_hh_tesh!F5=0,0,SER_hh_tesh!F5/SER_summary!F$26)</f>
        <v>107.39780706960197</v>
      </c>
      <c r="G5" s="133">
        <f>IF(SER_hh_tesh!G5=0,0,SER_hh_tesh!G5/SER_summary!G$26)</f>
        <v>110.48236344054018</v>
      </c>
      <c r="H5" s="133">
        <f>IF(SER_hh_tesh!H5=0,0,SER_hh_tesh!H5/SER_summary!H$26)</f>
        <v>106.40252874536063</v>
      </c>
      <c r="I5" s="133">
        <f>IF(SER_hh_tesh!I5=0,0,SER_hh_tesh!I5/SER_summary!I$26)</f>
        <v>103.24490380023359</v>
      </c>
      <c r="J5" s="133">
        <f>IF(SER_hh_tesh!J5=0,0,SER_hh_tesh!J5/SER_summary!J$26)</f>
        <v>99.50708533309593</v>
      </c>
      <c r="K5" s="133">
        <f>IF(SER_hh_tesh!K5=0,0,SER_hh_tesh!K5/SER_summary!K$26)</f>
        <v>103.25449506753155</v>
      </c>
      <c r="L5" s="133">
        <f>IF(SER_hh_tesh!L5=0,0,SER_hh_tesh!L5/SER_summary!L$26)</f>
        <v>141.72024692250864</v>
      </c>
      <c r="M5" s="133">
        <f>IF(SER_hh_tesh!M5=0,0,SER_hh_tesh!M5/SER_summary!M$26)</f>
        <v>59.265830334709065</v>
      </c>
      <c r="N5" s="133">
        <f>IF(SER_hh_tesh!N5=0,0,SER_hh_tesh!N5/SER_summary!N$26)</f>
        <v>86.989051659917521</v>
      </c>
      <c r="O5" s="133">
        <f>IF(SER_hh_tesh!O5=0,0,SER_hh_tesh!O5/SER_summary!O$26)</f>
        <v>115.28898079368922</v>
      </c>
      <c r="P5" s="133">
        <f>IF(SER_hh_tesh!P5=0,0,SER_hh_tesh!P5/SER_summary!P$26)</f>
        <v>89.281473436962784</v>
      </c>
      <c r="Q5" s="133">
        <f>IF(SER_hh_tesh!Q5=0,0,SER_hh_tesh!Q5/SER_summary!Q$26)</f>
        <v>94.940689974002069</v>
      </c>
      <c r="R5" s="133">
        <f>IF(SER_hh_tesh!R5=0,0,SER_hh_tesh!R5/SER_summary!R$26)</f>
        <v>102.22234998565141</v>
      </c>
      <c r="S5" s="133">
        <f>IF(SER_hh_tesh!S5=0,0,SER_hh_tesh!S5/SER_summary!S$26)</f>
        <v>101.27092333948343</v>
      </c>
      <c r="T5" s="133">
        <f>IF(SER_hh_tesh!T5=0,0,SER_hh_tesh!T5/SER_summary!T$26)</f>
        <v>95.420298480525133</v>
      </c>
      <c r="U5" s="133">
        <f>IF(SER_hh_tesh!U5=0,0,SER_hh_tesh!U5/SER_summary!U$26)</f>
        <v>95.725470995711106</v>
      </c>
      <c r="V5" s="133">
        <f>IF(SER_hh_tesh!V5=0,0,SER_hh_tesh!V5/SER_summary!V$26)</f>
        <v>87.386236395154029</v>
      </c>
      <c r="W5" s="133">
        <f>IF(SER_hh_tesh!W5=0,0,SER_hh_tesh!W5/SER_summary!W$26)</f>
        <v>104.32539841976937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98.04656252634463</v>
      </c>
      <c r="C7" s="133">
        <f>IF(SER_hh_tesh!C7=0,0,SER_hh_tesh!C7/SER_summary!C$26)</f>
        <v>109.21855413686716</v>
      </c>
      <c r="D7" s="133">
        <f>IF(SER_hh_tesh!D7=0,0,SER_hh_tesh!D7/SER_summary!D$26)</f>
        <v>96.995217398144646</v>
      </c>
      <c r="E7" s="133">
        <f>IF(SER_hh_tesh!E7=0,0,SER_hh_tesh!E7/SER_summary!E$26)</f>
        <v>106.19551954951858</v>
      </c>
      <c r="F7" s="133">
        <f>IF(SER_hh_tesh!F7=0,0,SER_hh_tesh!F7/SER_summary!F$26)</f>
        <v>110.233179360606</v>
      </c>
      <c r="G7" s="133">
        <f>IF(SER_hh_tesh!G7=0,0,SER_hh_tesh!G7/SER_summary!G$26)</f>
        <v>108.68549745538719</v>
      </c>
      <c r="H7" s="133">
        <f>IF(SER_hh_tesh!H7=0,0,SER_hh_tesh!H7/SER_summary!H$26)</f>
        <v>102.12843123803526</v>
      </c>
      <c r="I7" s="133">
        <f>IF(SER_hh_tesh!I7=0,0,SER_hh_tesh!I7/SER_summary!I$26)</f>
        <v>89.533966677692092</v>
      </c>
      <c r="J7" s="133">
        <f>IF(SER_hh_tesh!J7=0,0,SER_hh_tesh!J7/SER_summary!J$26)</f>
        <v>108.18310154231359</v>
      </c>
      <c r="K7" s="133">
        <f>IF(SER_hh_tesh!K7=0,0,SER_hh_tesh!K7/SER_summary!K$26)</f>
        <v>107.74593602078244</v>
      </c>
      <c r="L7" s="133">
        <f>IF(SER_hh_tesh!L7=0,0,SER_hh_tesh!L7/SER_summary!L$26)</f>
        <v>105.9282079025084</v>
      </c>
      <c r="M7" s="133">
        <f>IF(SER_hh_tesh!M7=0,0,SER_hh_tesh!M7/SER_summary!M$26)</f>
        <v>93.376108049021838</v>
      </c>
      <c r="N7" s="133">
        <f>IF(SER_hh_tesh!N7=0,0,SER_hh_tesh!N7/SER_summary!N$26)</f>
        <v>99.979195555264738</v>
      </c>
      <c r="O7" s="133">
        <f>IF(SER_hh_tesh!O7=0,0,SER_hh_tesh!O7/SER_summary!O$26)</f>
        <v>105.85566289759011</v>
      </c>
      <c r="P7" s="133">
        <f>IF(SER_hh_tesh!P7=0,0,SER_hh_tesh!P7/SER_summary!P$26)</f>
        <v>93.78075856184941</v>
      </c>
      <c r="Q7" s="133">
        <f>IF(SER_hh_tesh!Q7=0,0,SER_hh_tesh!Q7/SER_summary!Q$26)</f>
        <v>99.244469689087637</v>
      </c>
      <c r="R7" s="133">
        <f>IF(SER_hh_tesh!R7=0,0,SER_hh_tesh!R7/SER_summary!R$26)</f>
        <v>92.595410335188475</v>
      </c>
      <c r="S7" s="133">
        <f>IF(SER_hh_tesh!S7=0,0,SER_hh_tesh!S7/SER_summary!S$26)</f>
        <v>99.766377736911963</v>
      </c>
      <c r="T7" s="133">
        <f>IF(SER_hh_tesh!T7=0,0,SER_hh_tesh!T7/SER_summary!T$26)</f>
        <v>98.008568059289615</v>
      </c>
      <c r="U7" s="133">
        <f>IF(SER_hh_tesh!U7=0,0,SER_hh_tesh!U7/SER_summary!U$26)</f>
        <v>96.668340746304963</v>
      </c>
      <c r="V7" s="133">
        <f>IF(SER_hh_tesh!V7=0,0,SER_hh_tesh!V7/SER_summary!V$26)</f>
        <v>92.516529246451299</v>
      </c>
      <c r="W7" s="133">
        <f>IF(SER_hh_tesh!W7=0,0,SER_hh_tesh!W7/SER_summary!W$26)</f>
        <v>96.984145560332635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77.9960145454816</v>
      </c>
      <c r="C8" s="133">
        <f>IF(SER_hh_tesh!C8=0,0,SER_hh_tesh!C8/SER_summary!C$26)</f>
        <v>94.342138759281454</v>
      </c>
      <c r="D8" s="133">
        <f>IF(SER_hh_tesh!D8=0,0,SER_hh_tesh!D8/SER_summary!D$26)</f>
        <v>80.494392270253655</v>
      </c>
      <c r="E8" s="133">
        <f>IF(SER_hh_tesh!E8=0,0,SER_hh_tesh!E8/SER_summary!E$26)</f>
        <v>89.407364237224911</v>
      </c>
      <c r="F8" s="133">
        <f>IF(SER_hh_tesh!F8=0,0,SER_hh_tesh!F8/SER_summary!F$26)</f>
        <v>85.448695780595855</v>
      </c>
      <c r="G8" s="133">
        <f>IF(SER_hh_tesh!G8=0,0,SER_hh_tesh!G8/SER_summary!G$26)</f>
        <v>115.30716195857073</v>
      </c>
      <c r="H8" s="133">
        <f>IF(SER_hh_tesh!H8=0,0,SER_hh_tesh!H8/SER_summary!H$26)</f>
        <v>103.44842749108601</v>
      </c>
      <c r="I8" s="133">
        <f>IF(SER_hh_tesh!I8=0,0,SER_hh_tesh!I8/SER_summary!I$26)</f>
        <v>104.16299114392758</v>
      </c>
      <c r="J8" s="133">
        <f>IF(SER_hh_tesh!J8=0,0,SER_hh_tesh!J8/SER_summary!J$26)</f>
        <v>108.5704699448852</v>
      </c>
      <c r="K8" s="133">
        <f>IF(SER_hh_tesh!K8=0,0,SER_hh_tesh!K8/SER_summary!K$26)</f>
        <v>86.592862619333019</v>
      </c>
      <c r="L8" s="133">
        <f>IF(SER_hh_tesh!L8=0,0,SER_hh_tesh!L8/SER_summary!L$26)</f>
        <v>74.664513828841393</v>
      </c>
      <c r="M8" s="133">
        <f>IF(SER_hh_tesh!M8=0,0,SER_hh_tesh!M8/SER_summary!M$26)</f>
        <v>104.79269039042413</v>
      </c>
      <c r="N8" s="133">
        <f>IF(SER_hh_tesh!N8=0,0,SER_hh_tesh!N8/SER_summary!N$26)</f>
        <v>96.858027636457237</v>
      </c>
      <c r="O8" s="133">
        <f>IF(SER_hh_tesh!O8=0,0,SER_hh_tesh!O8/SER_summary!O$26)</f>
        <v>106.57538859601594</v>
      </c>
      <c r="P8" s="133">
        <f>IF(SER_hh_tesh!P8=0,0,SER_hh_tesh!P8/SER_summary!P$26)</f>
        <v>93.02684293271345</v>
      </c>
      <c r="Q8" s="133">
        <f>IF(SER_hh_tesh!Q8=0,0,SER_hh_tesh!Q8/SER_summary!Q$26)</f>
        <v>100.61509250807056</v>
      </c>
      <c r="R8" s="133">
        <f>IF(SER_hh_tesh!R8=0,0,SER_hh_tesh!R8/SER_summary!R$26)</f>
        <v>101.58185779965042</v>
      </c>
      <c r="S8" s="133">
        <f>IF(SER_hh_tesh!S8=0,0,SER_hh_tesh!S8/SER_summary!S$26)</f>
        <v>100.57874503672677</v>
      </c>
      <c r="T8" s="133">
        <f>IF(SER_hh_tesh!T8=0,0,SER_hh_tesh!T8/SER_summary!T$26)</f>
        <v>101.06461115368243</v>
      </c>
      <c r="U8" s="133">
        <f>IF(SER_hh_tesh!U8=0,0,SER_hh_tesh!U8/SER_summary!U$26)</f>
        <v>100.73437878231879</v>
      </c>
      <c r="V8" s="133">
        <f>IF(SER_hh_tesh!V8=0,0,SER_hh_tesh!V8/SER_summary!V$26)</f>
        <v>88.757273042586021</v>
      </c>
      <c r="W8" s="133">
        <f>IF(SER_hh_tesh!W8=0,0,SER_hh_tesh!W8/SER_summary!W$26)</f>
        <v>102.6233572682504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100.03293863614275</v>
      </c>
      <c r="C9" s="133">
        <f>IF(SER_hh_tesh!C9=0,0,SER_hh_tesh!C9/SER_summary!C$26)</f>
        <v>106.1317272196991</v>
      </c>
      <c r="D9" s="133">
        <f>IF(SER_hh_tesh!D9=0,0,SER_hh_tesh!D9/SER_summary!D$26)</f>
        <v>87.955757456937235</v>
      </c>
      <c r="E9" s="133">
        <f>IF(SER_hh_tesh!E9=0,0,SER_hh_tesh!E9/SER_summary!E$26)</f>
        <v>111.47607556585744</v>
      </c>
      <c r="F9" s="133">
        <f>IF(SER_hh_tesh!F9=0,0,SER_hh_tesh!F9/SER_summary!F$26)</f>
        <v>111.08951059920851</v>
      </c>
      <c r="G9" s="133">
        <f>IF(SER_hh_tesh!G9=0,0,SER_hh_tesh!G9/SER_summary!G$26)</f>
        <v>113.94165748744864</v>
      </c>
      <c r="H9" s="133">
        <f>IF(SER_hh_tesh!H9=0,0,SER_hh_tesh!H9/SER_summary!H$26)</f>
        <v>99.180306473587763</v>
      </c>
      <c r="I9" s="133">
        <f>IF(SER_hh_tesh!I9=0,0,SER_hh_tesh!I9/SER_summary!I$26)</f>
        <v>99.706769337321518</v>
      </c>
      <c r="J9" s="133">
        <f>IF(SER_hh_tesh!J9=0,0,SER_hh_tesh!J9/SER_summary!J$26)</f>
        <v>88.299536409247906</v>
      </c>
      <c r="K9" s="133">
        <f>IF(SER_hh_tesh!K9=0,0,SER_hh_tesh!K9/SER_summary!K$26)</f>
        <v>107.16372090059764</v>
      </c>
      <c r="L9" s="133">
        <f>IF(SER_hh_tesh!L9=0,0,SER_hh_tesh!L9/SER_summary!L$26)</f>
        <v>120.73160022795206</v>
      </c>
      <c r="M9" s="133">
        <f>IF(SER_hh_tesh!M9=0,0,SER_hh_tesh!M9/SER_summary!M$26)</f>
        <v>86.27467644532156</v>
      </c>
      <c r="N9" s="133">
        <f>IF(SER_hh_tesh!N9=0,0,SER_hh_tesh!N9/SER_summary!N$26)</f>
        <v>103.28281904811553</v>
      </c>
      <c r="O9" s="133">
        <f>IF(SER_hh_tesh!O9=0,0,SER_hh_tesh!O9/SER_summary!O$26)</f>
        <v>110.46468483330368</v>
      </c>
      <c r="P9" s="133">
        <f>IF(SER_hh_tesh!P9=0,0,SER_hh_tesh!P9/SER_summary!P$26)</f>
        <v>89.281133048540923</v>
      </c>
      <c r="Q9" s="133">
        <f>IF(SER_hh_tesh!Q9=0,0,SER_hh_tesh!Q9/SER_summary!Q$26)</f>
        <v>95.975301020117655</v>
      </c>
      <c r="R9" s="133">
        <f>IF(SER_hh_tesh!R9=0,0,SER_hh_tesh!R9/SER_summary!R$26)</f>
        <v>96.536196811168949</v>
      </c>
      <c r="S9" s="133">
        <f>IF(SER_hh_tesh!S9=0,0,SER_hh_tesh!S9/SER_summary!S$26)</f>
        <v>98.912707841721755</v>
      </c>
      <c r="T9" s="133">
        <f>IF(SER_hh_tesh!T9=0,0,SER_hh_tesh!T9/SER_summary!T$26)</f>
        <v>101.4977511035307</v>
      </c>
      <c r="U9" s="133">
        <f>IF(SER_hh_tesh!U9=0,0,SER_hh_tesh!U9/SER_summary!U$26)</f>
        <v>98.350232574908134</v>
      </c>
      <c r="V9" s="133">
        <f>IF(SER_hh_tesh!V9=0,0,SER_hh_tesh!V9/SER_summary!V$26)</f>
        <v>89.936845885678167</v>
      </c>
      <c r="W9" s="133">
        <f>IF(SER_hh_tesh!W9=0,0,SER_hh_tesh!W9/SER_summary!W$26)</f>
        <v>97.305771100650148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95.340273638247453</v>
      </c>
      <c r="C10" s="133">
        <f>IF(SER_hh_tesh!C10=0,0,SER_hh_tesh!C10/SER_summary!C$26)</f>
        <v>101.93729359413179</v>
      </c>
      <c r="D10" s="133">
        <f>IF(SER_hh_tesh!D10=0,0,SER_hh_tesh!D10/SER_summary!D$26)</f>
        <v>104.64878507913372</v>
      </c>
      <c r="E10" s="133">
        <f>IF(SER_hh_tesh!E10=0,0,SER_hh_tesh!E10/SER_summary!E$26)</f>
        <v>117.52530450081875</v>
      </c>
      <c r="F10" s="133">
        <f>IF(SER_hh_tesh!F10=0,0,SER_hh_tesh!F10/SER_summary!F$26)</f>
        <v>134.1068349404226</v>
      </c>
      <c r="G10" s="133">
        <f>IF(SER_hh_tesh!G10=0,0,SER_hh_tesh!G10/SER_summary!G$26)</f>
        <v>91.007504873928625</v>
      </c>
      <c r="H10" s="133">
        <f>IF(SER_hh_tesh!H10=0,0,SER_hh_tesh!H10/SER_summary!H$26)</f>
        <v>67.420071424140531</v>
      </c>
      <c r="I10" s="133">
        <f>IF(SER_hh_tesh!I10=0,0,SER_hh_tesh!I10/SER_summary!I$26)</f>
        <v>102.70863508560502</v>
      </c>
      <c r="J10" s="133">
        <f>IF(SER_hh_tesh!J10=0,0,SER_hh_tesh!J10/SER_summary!J$26)</f>
        <v>99.806556398647317</v>
      </c>
      <c r="K10" s="133">
        <f>IF(SER_hh_tesh!K10=0,0,SER_hh_tesh!K10/SER_summary!K$26)</f>
        <v>128.94756935409148</v>
      </c>
      <c r="L10" s="133">
        <f>IF(SER_hh_tesh!L10=0,0,SER_hh_tesh!L10/SER_summary!L$26)</f>
        <v>114.00548380043993</v>
      </c>
      <c r="M10" s="133">
        <f>IF(SER_hh_tesh!M10=0,0,SER_hh_tesh!M10/SER_summary!M$26)</f>
        <v>77.877920069701105</v>
      </c>
      <c r="N10" s="133">
        <f>IF(SER_hh_tesh!N10=0,0,SER_hh_tesh!N10/SER_summary!N$26)</f>
        <v>94.123681079173039</v>
      </c>
      <c r="O10" s="133">
        <f>IF(SER_hh_tesh!O10=0,0,SER_hh_tesh!O10/SER_summary!O$26)</f>
        <v>118.82534309583467</v>
      </c>
      <c r="P10" s="133">
        <f>IF(SER_hh_tesh!P10=0,0,SER_hh_tesh!P10/SER_summary!P$26)</f>
        <v>97.381819780871112</v>
      </c>
      <c r="Q10" s="133">
        <f>IF(SER_hh_tesh!Q10=0,0,SER_hh_tesh!Q10/SER_summary!Q$26)</f>
        <v>91.064175348852331</v>
      </c>
      <c r="R10" s="133">
        <f>IF(SER_hh_tesh!R10=0,0,SER_hh_tesh!R10/SER_summary!R$26)</f>
        <v>100.18537912677522</v>
      </c>
      <c r="S10" s="133">
        <f>IF(SER_hh_tesh!S10=0,0,SER_hh_tesh!S10/SER_summary!S$26)</f>
        <v>103.70780397054828</v>
      </c>
      <c r="T10" s="133">
        <f>IF(SER_hh_tesh!T10=0,0,SER_hh_tesh!T10/SER_summary!T$26)</f>
        <v>94.869398009226202</v>
      </c>
      <c r="U10" s="133">
        <f>IF(SER_hh_tesh!U10=0,0,SER_hh_tesh!U10/SER_summary!U$26)</f>
        <v>93.170886375938096</v>
      </c>
      <c r="V10" s="133">
        <f>IF(SER_hh_tesh!V10=0,0,SER_hh_tesh!V10/SER_summary!V$26)</f>
        <v>90.847527844602595</v>
      </c>
      <c r="W10" s="133">
        <f>IF(SER_hh_tesh!W10=0,0,SER_hh_tesh!W10/SER_summary!W$26)</f>
        <v>103.65800155470957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221.30803940777625</v>
      </c>
      <c r="E11" s="133">
        <f>IF(SER_hh_tesh!E11=0,0,SER_hh_tesh!E11/SER_summary!E$26)</f>
        <v>197.52173270101679</v>
      </c>
      <c r="F11" s="133">
        <f>IF(SER_hh_tesh!F11=0,0,SER_hh_tesh!F11/SER_summary!F$26)</f>
        <v>197.35958859842799</v>
      </c>
      <c r="G11" s="133">
        <f>IF(SER_hh_tesh!G11=0,0,SER_hh_tesh!G11/SER_summary!G$26)</f>
        <v>69.317366854559296</v>
      </c>
      <c r="H11" s="133">
        <f>IF(SER_hh_tesh!H11=0,0,SER_hh_tesh!H11/SER_summary!H$26)</f>
        <v>88.216886265157385</v>
      </c>
      <c r="I11" s="133">
        <f>IF(SER_hh_tesh!I11=0,0,SER_hh_tesh!I11/SER_summary!I$26)</f>
        <v>100.70461603310923</v>
      </c>
      <c r="J11" s="133">
        <f>IF(SER_hh_tesh!J11=0,0,SER_hh_tesh!J11/SER_summary!J$26)</f>
        <v>101.23646823992414</v>
      </c>
      <c r="K11" s="133">
        <f>IF(SER_hh_tesh!K11=0,0,SER_hh_tesh!K11/SER_summary!K$26)</f>
        <v>100.92953834365213</v>
      </c>
      <c r="L11" s="133">
        <f>IF(SER_hh_tesh!L11=0,0,SER_hh_tesh!L11/SER_summary!L$26)</f>
        <v>97.697174070068073</v>
      </c>
      <c r="M11" s="133">
        <f>IF(SER_hh_tesh!M11=0,0,SER_hh_tesh!M11/SER_summary!M$26)</f>
        <v>107.01966262351726</v>
      </c>
      <c r="N11" s="133">
        <f>IF(SER_hh_tesh!N11=0,0,SER_hh_tesh!N11/SER_summary!N$26)</f>
        <v>104.17265867683423</v>
      </c>
      <c r="O11" s="133">
        <f>IF(SER_hh_tesh!O11=0,0,SER_hh_tesh!O11/SER_summary!O$26)</f>
        <v>102.7992117229694</v>
      </c>
      <c r="P11" s="133">
        <f>IF(SER_hh_tesh!P11=0,0,SER_hh_tesh!P11/SER_summary!P$26)</f>
        <v>95.936581127747857</v>
      </c>
      <c r="Q11" s="133">
        <f>IF(SER_hh_tesh!Q11=0,0,SER_hh_tesh!Q11/SER_summary!Q$26)</f>
        <v>97.143163694050287</v>
      </c>
      <c r="R11" s="133">
        <f>IF(SER_hh_tesh!R11=0,0,SER_hh_tesh!R11/SER_summary!R$26)</f>
        <v>97.986524951463593</v>
      </c>
      <c r="S11" s="133">
        <f>IF(SER_hh_tesh!S11=0,0,SER_hh_tesh!S11/SER_summary!S$26)</f>
        <v>99.541990278060041</v>
      </c>
      <c r="T11" s="133">
        <f>IF(SER_hh_tesh!T11=0,0,SER_hh_tesh!T11/SER_summary!T$26)</f>
        <v>99.345300887139985</v>
      </c>
      <c r="U11" s="133">
        <f>IF(SER_hh_tesh!U11=0,0,SER_hh_tesh!U11/SER_summary!U$26)</f>
        <v>97.67487681018774</v>
      </c>
      <c r="V11" s="133">
        <f>IF(SER_hh_tesh!V11=0,0,SER_hh_tesh!V11/SER_summary!V$26)</f>
        <v>94.85441717019205</v>
      </c>
      <c r="W11" s="133">
        <f>IF(SER_hh_tesh!W11=0,0,SER_hh_tesh!W11/SER_summary!W$26)</f>
        <v>92.72158375704899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95.503567650589275</v>
      </c>
      <c r="C12" s="133">
        <f>IF(SER_hh_tesh!C12=0,0,SER_hh_tesh!C12/SER_summary!C$26)</f>
        <v>107.3303240283044</v>
      </c>
      <c r="D12" s="133">
        <f>IF(SER_hh_tesh!D12=0,0,SER_hh_tesh!D12/SER_summary!D$26)</f>
        <v>108.41072795536003</v>
      </c>
      <c r="E12" s="133">
        <f>IF(SER_hh_tesh!E12=0,0,SER_hh_tesh!E12/SER_summary!E$26)</f>
        <v>106.11616742520154</v>
      </c>
      <c r="F12" s="133">
        <f>IF(SER_hh_tesh!F12=0,0,SER_hh_tesh!F12/SER_summary!F$26)</f>
        <v>108.80304782276599</v>
      </c>
      <c r="G12" s="133">
        <f>IF(SER_hh_tesh!G12=0,0,SER_hh_tesh!G12/SER_summary!G$26)</f>
        <v>118.48777624135276</v>
      </c>
      <c r="H12" s="133">
        <f>IF(SER_hh_tesh!H12=0,0,SER_hh_tesh!H12/SER_summary!H$26)</f>
        <v>121.21271197147418</v>
      </c>
      <c r="I12" s="133">
        <f>IF(SER_hh_tesh!I12=0,0,SER_hh_tesh!I12/SER_summary!I$26)</f>
        <v>76.650663745241971</v>
      </c>
      <c r="J12" s="133">
        <f>IF(SER_hh_tesh!J12=0,0,SER_hh_tesh!J12/SER_summary!J$26)</f>
        <v>97.326117190263091</v>
      </c>
      <c r="K12" s="133">
        <f>IF(SER_hh_tesh!K12=0,0,SER_hh_tesh!K12/SER_summary!K$26)</f>
        <v>97.890136385945766</v>
      </c>
      <c r="L12" s="133">
        <f>IF(SER_hh_tesh!L12=0,0,SER_hh_tesh!L12/SER_summary!L$26)</f>
        <v>113.86057921424985</v>
      </c>
      <c r="M12" s="133">
        <f>IF(SER_hh_tesh!M12=0,0,SER_hh_tesh!M12/SER_summary!M$26)</f>
        <v>97.268599134763406</v>
      </c>
      <c r="N12" s="133">
        <f>IF(SER_hh_tesh!N12=0,0,SER_hh_tesh!N12/SER_summary!N$26)</f>
        <v>98.743028993644558</v>
      </c>
      <c r="O12" s="133">
        <f>IF(SER_hh_tesh!O12=0,0,SER_hh_tesh!O12/SER_summary!O$26)</f>
        <v>103.71580000547175</v>
      </c>
      <c r="P12" s="133">
        <f>IF(SER_hh_tesh!P12=0,0,SER_hh_tesh!P12/SER_summary!P$26)</f>
        <v>93.347950867335442</v>
      </c>
      <c r="Q12" s="133">
        <f>IF(SER_hh_tesh!Q12=0,0,SER_hh_tesh!Q12/SER_summary!Q$26)</f>
        <v>96.279491111766077</v>
      </c>
      <c r="R12" s="133">
        <f>IF(SER_hh_tesh!R12=0,0,SER_hh_tesh!R12/SER_summary!R$26)</f>
        <v>101.33198026705939</v>
      </c>
      <c r="S12" s="133">
        <f>IF(SER_hh_tesh!S12=0,0,SER_hh_tesh!S12/SER_summary!S$26)</f>
        <v>102.34999809818071</v>
      </c>
      <c r="T12" s="133">
        <f>IF(SER_hh_tesh!T12=0,0,SER_hh_tesh!T12/SER_summary!T$26)</f>
        <v>97.776443008760396</v>
      </c>
      <c r="U12" s="133">
        <f>IF(SER_hh_tesh!U12=0,0,SER_hh_tesh!U12/SER_summary!U$26)</f>
        <v>95.204481395791689</v>
      </c>
      <c r="V12" s="133">
        <f>IF(SER_hh_tesh!V12=0,0,SER_hh_tesh!V12/SER_summary!V$26)</f>
        <v>92.443288762197568</v>
      </c>
      <c r="W12" s="133">
        <f>IF(SER_hh_tesh!W12=0,0,SER_hh_tesh!W12/SER_summary!W$26)</f>
        <v>101.94273578434192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99.071997306997474</v>
      </c>
      <c r="C13" s="133">
        <f>IF(SER_hh_tesh!C13=0,0,SER_hh_tesh!C13/SER_summary!C$26)</f>
        <v>100.64070060647012</v>
      </c>
      <c r="D13" s="133">
        <f>IF(SER_hh_tesh!D13=0,0,SER_hh_tesh!D13/SER_summary!D$26)</f>
        <v>105.42429614435861</v>
      </c>
      <c r="E13" s="133">
        <f>IF(SER_hh_tesh!E13=0,0,SER_hh_tesh!E13/SER_summary!E$26)</f>
        <v>107.17042429324941</v>
      </c>
      <c r="F13" s="133">
        <f>IF(SER_hh_tesh!F13=0,0,SER_hh_tesh!F13/SER_summary!F$26)</f>
        <v>107.26827250510399</v>
      </c>
      <c r="G13" s="133">
        <f>IF(SER_hh_tesh!G13=0,0,SER_hh_tesh!G13/SER_summary!G$26)</f>
        <v>110.54273616755819</v>
      </c>
      <c r="H13" s="133">
        <f>IF(SER_hh_tesh!H13=0,0,SER_hh_tesh!H13/SER_summary!H$26)</f>
        <v>104.54152043725379</v>
      </c>
      <c r="I13" s="133">
        <f>IF(SER_hh_tesh!I13=0,0,SER_hh_tesh!I13/SER_summary!I$26)</f>
        <v>97.114834810798783</v>
      </c>
      <c r="J13" s="133">
        <f>IF(SER_hh_tesh!J13=0,0,SER_hh_tesh!J13/SER_summary!J$26)</f>
        <v>102.66380557456534</v>
      </c>
      <c r="K13" s="133">
        <f>IF(SER_hh_tesh!K13=0,0,SER_hh_tesh!K13/SER_summary!K$26)</f>
        <v>98.740996004825803</v>
      </c>
      <c r="L13" s="133">
        <f>IF(SER_hh_tesh!L13=0,0,SER_hh_tesh!L13/SER_summary!L$26)</f>
        <v>90.687147673868381</v>
      </c>
      <c r="M13" s="133">
        <f>IF(SER_hh_tesh!M13=0,0,SER_hh_tesh!M13/SER_summary!M$26)</f>
        <v>105.42128290028498</v>
      </c>
      <c r="N13" s="133">
        <f>IF(SER_hh_tesh!N13=0,0,SER_hh_tesh!N13/SER_summary!N$26)</f>
        <v>107.9969030982861</v>
      </c>
      <c r="O13" s="133">
        <f>IF(SER_hh_tesh!O13=0,0,SER_hh_tesh!O13/SER_summary!O$26)</f>
        <v>110.48428086582581</v>
      </c>
      <c r="P13" s="133">
        <f>IF(SER_hh_tesh!P13=0,0,SER_hh_tesh!P13/SER_summary!P$26)</f>
        <v>91.038681834489807</v>
      </c>
      <c r="Q13" s="133">
        <f>IF(SER_hh_tesh!Q13=0,0,SER_hh_tesh!Q13/SER_summary!Q$26)</f>
        <v>95.149408962769783</v>
      </c>
      <c r="R13" s="133">
        <f>IF(SER_hh_tesh!R13=0,0,SER_hh_tesh!R13/SER_summary!R$26)</f>
        <v>102.5111096675458</v>
      </c>
      <c r="S13" s="133">
        <f>IF(SER_hh_tesh!S13=0,0,SER_hh_tesh!S13/SER_summary!S$26)</f>
        <v>99.108323163613051</v>
      </c>
      <c r="T13" s="133">
        <f>IF(SER_hh_tesh!T13=0,0,SER_hh_tesh!T13/SER_summary!T$26)</f>
        <v>92.491149560084892</v>
      </c>
      <c r="U13" s="133">
        <f>IF(SER_hh_tesh!U13=0,0,SER_hh_tesh!U13/SER_summary!U$26)</f>
        <v>94.444148682230164</v>
      </c>
      <c r="V13" s="133">
        <f>IF(SER_hh_tesh!V13=0,0,SER_hh_tesh!V13/SER_summary!V$26)</f>
        <v>88.941444275048838</v>
      </c>
      <c r="W13" s="133">
        <f>IF(SER_hh_tesh!W13=0,0,SER_hh_tesh!W13/SER_summary!W$26)</f>
        <v>103.19445459255729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103.65558788948033</v>
      </c>
      <c r="C14" s="65">
        <f>IF(SER_hh_tesh!C14=0,0,SER_hh_tesh!C14/SER_summary!C$26)</f>
        <v>104.79715056865876</v>
      </c>
      <c r="D14" s="65">
        <f>IF(SER_hh_tesh!D14=0,0,SER_hh_tesh!D14/SER_summary!D$26)</f>
        <v>102.9270275742511</v>
      </c>
      <c r="E14" s="65">
        <f>IF(SER_hh_tesh!E14=0,0,SER_hh_tesh!E14/SER_summary!E$26)</f>
        <v>107.14052466013386</v>
      </c>
      <c r="F14" s="65">
        <f>IF(SER_hh_tesh!F14=0,0,SER_hh_tesh!F14/SER_summary!F$26)</f>
        <v>113.84946849259951</v>
      </c>
      <c r="G14" s="65">
        <f>IF(SER_hh_tesh!G14=0,0,SER_hh_tesh!G14/SER_summary!G$26)</f>
        <v>107.07815402336493</v>
      </c>
      <c r="H14" s="65">
        <f>IF(SER_hh_tesh!H14=0,0,SER_hh_tesh!H14/SER_summary!H$26)</f>
        <v>104.27885704462165</v>
      </c>
      <c r="I14" s="65">
        <f>IF(SER_hh_tesh!I14=0,0,SER_hh_tesh!I14/SER_summary!I$26)</f>
        <v>103.40095187402251</v>
      </c>
      <c r="J14" s="65">
        <f>IF(SER_hh_tesh!J14=0,0,SER_hh_tesh!J14/SER_summary!J$26)</f>
        <v>95.572097857802021</v>
      </c>
      <c r="K14" s="65">
        <f>IF(SER_hh_tesh!K14=0,0,SER_hh_tesh!K14/SER_summary!K$26)</f>
        <v>105.63077996749861</v>
      </c>
      <c r="L14" s="65">
        <f>IF(SER_hh_tesh!L14=0,0,SER_hh_tesh!L14/SER_summary!L$26)</f>
        <v>119.41524523408705</v>
      </c>
      <c r="M14" s="65">
        <f>IF(SER_hh_tesh!M14=0,0,SER_hh_tesh!M14/SER_summary!M$26)</f>
        <v>94.122219748755938</v>
      </c>
      <c r="N14" s="65">
        <f>IF(SER_hh_tesh!N14=0,0,SER_hh_tesh!N14/SER_summary!N$26)</f>
        <v>104.70301892854214</v>
      </c>
      <c r="O14" s="65">
        <f>IF(SER_hh_tesh!O14=0,0,SER_hh_tesh!O14/SER_summary!O$26)</f>
        <v>107.65077765583229</v>
      </c>
      <c r="P14" s="65">
        <f>IF(SER_hh_tesh!P14=0,0,SER_hh_tesh!P14/SER_summary!P$26)</f>
        <v>90.638379242280223</v>
      </c>
      <c r="Q14" s="65">
        <f>IF(SER_hh_tesh!Q14=0,0,SER_hh_tesh!Q14/SER_summary!Q$26)</f>
        <v>98.5302346711252</v>
      </c>
      <c r="R14" s="65">
        <f>IF(SER_hh_tesh!R14=0,0,SER_hh_tesh!R14/SER_summary!R$26)</f>
        <v>100.21744657175267</v>
      </c>
      <c r="S14" s="65">
        <f>IF(SER_hh_tesh!S14=0,0,SER_hh_tesh!S14/SER_summary!S$26)</f>
        <v>100.98803379544682</v>
      </c>
      <c r="T14" s="65">
        <f>IF(SER_hh_tesh!T14=0,0,SER_hh_tesh!T14/SER_summary!T$26)</f>
        <v>101.45539018954618</v>
      </c>
      <c r="U14" s="65">
        <f>IF(SER_hh_tesh!U14=0,0,SER_hh_tesh!U14/SER_summary!U$26)</f>
        <v>97.974528939365143</v>
      </c>
      <c r="V14" s="65">
        <f>IF(SER_hh_tesh!V14=0,0,SER_hh_tesh!V14/SER_summary!V$26)</f>
        <v>87.754615910711877</v>
      </c>
      <c r="W14" s="65">
        <f>IF(SER_hh_tesh!W14=0,0,SER_hh_tesh!W14/SER_summary!W$26)</f>
        <v>107.8405645177568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1.6560786323488783</v>
      </c>
      <c r="C15" s="135">
        <f>IF(SER_hh_tesh!C15=0,0,SER_hh_tesh!C15/SER_summary!C$26)</f>
        <v>1.7400147431467832</v>
      </c>
      <c r="D15" s="135">
        <f>IF(SER_hh_tesh!D15=0,0,SER_hh_tesh!D15/SER_summary!D$26)</f>
        <v>1.4729223987814237</v>
      </c>
      <c r="E15" s="135">
        <f>IF(SER_hh_tesh!E15=0,0,SER_hh_tesh!E15/SER_summary!E$26)</f>
        <v>1.6913382050169896</v>
      </c>
      <c r="F15" s="135">
        <f>IF(SER_hh_tesh!F15=0,0,SER_hh_tesh!F15/SER_summary!F$26)</f>
        <v>1.7007922663817676</v>
      </c>
      <c r="G15" s="135">
        <f>IF(SER_hh_tesh!G15=0,0,SER_hh_tesh!G15/SER_summary!G$26)</f>
        <v>1.7012186088152892</v>
      </c>
      <c r="H15" s="135">
        <f>IF(SER_hh_tesh!H15=0,0,SER_hh_tesh!H15/SER_summary!H$26)</f>
        <v>1.531360158960295</v>
      </c>
      <c r="I15" s="135">
        <f>IF(SER_hh_tesh!I15=0,0,SER_hh_tesh!I15/SER_summary!I$26)</f>
        <v>1.4681377563676465</v>
      </c>
      <c r="J15" s="135">
        <f>IF(SER_hh_tesh!J15=0,0,SER_hh_tesh!J15/SER_summary!J$26)</f>
        <v>1.4792038263089431</v>
      </c>
      <c r="K15" s="135">
        <f>IF(SER_hh_tesh!K15=0,0,SER_hh_tesh!K15/SER_summary!K$26)</f>
        <v>1.6585249298803566</v>
      </c>
      <c r="L15" s="135">
        <f>IF(SER_hh_tesh!L15=0,0,SER_hh_tesh!L15/SER_summary!L$26)</f>
        <v>1.7728057826663413</v>
      </c>
      <c r="M15" s="135">
        <f>IF(SER_hh_tesh!M15=0,0,SER_hh_tesh!M15/SER_summary!M$26)</f>
        <v>1.3424055451878742</v>
      </c>
      <c r="N15" s="135">
        <f>IF(SER_hh_tesh!N15=0,0,SER_hh_tesh!N15/SER_summary!N$26)</f>
        <v>1.5329997713497543</v>
      </c>
      <c r="O15" s="135">
        <f>IF(SER_hh_tesh!O15=0,0,SER_hh_tesh!O15/SER_summary!O$26)</f>
        <v>1.6209615038440268</v>
      </c>
      <c r="P15" s="135">
        <f>IF(SER_hh_tesh!P15=0,0,SER_hh_tesh!P15/SER_summary!P$26)</f>
        <v>1.3316299094084023</v>
      </c>
      <c r="Q15" s="135">
        <f>IF(SER_hh_tesh!Q15=0,0,SER_hh_tesh!Q15/SER_summary!Q$26)</f>
        <v>1.4004324260606713</v>
      </c>
      <c r="R15" s="135">
        <f>IF(SER_hh_tesh!R15=0,0,SER_hh_tesh!R15/SER_summary!R$26)</f>
        <v>1.3710667587080165</v>
      </c>
      <c r="S15" s="135">
        <f>IF(SER_hh_tesh!S15=0,0,SER_hh_tesh!S15/SER_summary!S$26)</f>
        <v>1.4154745506829396</v>
      </c>
      <c r="T15" s="135">
        <f>IF(SER_hh_tesh!T15=0,0,SER_hh_tesh!T15/SER_summary!T$26)</f>
        <v>1.426069963500175</v>
      </c>
      <c r="U15" s="135">
        <f>IF(SER_hh_tesh!U15=0,0,SER_hh_tesh!U15/SER_summary!U$26)</f>
        <v>1.3823049300698562</v>
      </c>
      <c r="V15" s="135">
        <f>IF(SER_hh_tesh!V15=0,0,SER_hh_tesh!V15/SER_summary!V$26)</f>
        <v>1.2731372583456519</v>
      </c>
      <c r="W15" s="135">
        <f>IF(SER_hh_tesh!W15=0,0,SER_hh_tesh!W15/SER_summary!W$26)</f>
        <v>1.363932274213558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26.188252492851767</v>
      </c>
      <c r="C16" s="131">
        <f>IF(SER_hh_tesh!C16=0,0,SER_hh_tesh!C16/SER_summary!C$26)</f>
        <v>27.55425194757726</v>
      </c>
      <c r="D16" s="131">
        <f>IF(SER_hh_tesh!D16=0,0,SER_hh_tesh!D16/SER_summary!D$26)</f>
        <v>26.376108193498396</v>
      </c>
      <c r="E16" s="131">
        <f>IF(SER_hh_tesh!E16=0,0,SER_hh_tesh!E16/SER_summary!E$26)</f>
        <v>46.106648916638733</v>
      </c>
      <c r="F16" s="131">
        <f>IF(SER_hh_tesh!F16=0,0,SER_hh_tesh!F16/SER_summary!F$26)</f>
        <v>27.189889360370387</v>
      </c>
      <c r="G16" s="131">
        <f>IF(SER_hh_tesh!G16=0,0,SER_hh_tesh!G16/SER_summary!G$26)</f>
        <v>29.604509146426143</v>
      </c>
      <c r="H16" s="131">
        <f>IF(SER_hh_tesh!H16=0,0,SER_hh_tesh!H16/SER_summary!H$26)</f>
        <v>33.897687535780712</v>
      </c>
      <c r="I16" s="131">
        <f>IF(SER_hh_tesh!I16=0,0,SER_hh_tesh!I16/SER_summary!I$26)</f>
        <v>26.505643002669686</v>
      </c>
      <c r="J16" s="131">
        <f>IF(SER_hh_tesh!J16=0,0,SER_hh_tesh!J16/SER_summary!J$26)</f>
        <v>26.91334955005318</v>
      </c>
      <c r="K16" s="131">
        <f>IF(SER_hh_tesh!K16=0,0,SER_hh_tesh!K16/SER_summary!K$26)</f>
        <v>28.753576088451982</v>
      </c>
      <c r="L16" s="131">
        <f>IF(SER_hh_tesh!L16=0,0,SER_hh_tesh!L16/SER_summary!L$26)</f>
        <v>28.34779365348102</v>
      </c>
      <c r="M16" s="131">
        <f>IF(SER_hh_tesh!M16=0,0,SER_hh_tesh!M16/SER_summary!M$26)</f>
        <v>27.890062384069708</v>
      </c>
      <c r="N16" s="131">
        <f>IF(SER_hh_tesh!N16=0,0,SER_hh_tesh!N16/SER_summary!N$26)</f>
        <v>29.300411582371524</v>
      </c>
      <c r="O16" s="131">
        <f>IF(SER_hh_tesh!O16=0,0,SER_hh_tesh!O16/SER_summary!O$26)</f>
        <v>29.147662492467624</v>
      </c>
      <c r="P16" s="131">
        <f>IF(SER_hh_tesh!P16=0,0,SER_hh_tesh!P16/SER_summary!P$26)</f>
        <v>27.429560194002608</v>
      </c>
      <c r="Q16" s="131">
        <f>IF(SER_hh_tesh!Q16=0,0,SER_hh_tesh!Q16/SER_summary!Q$26)</f>
        <v>34.283453561819826</v>
      </c>
      <c r="R16" s="131">
        <f>IF(SER_hh_tesh!R16=0,0,SER_hh_tesh!R16/SER_summary!R$26)</f>
        <v>30.373507084824382</v>
      </c>
      <c r="S16" s="131">
        <f>IF(SER_hh_tesh!S16=0,0,SER_hh_tesh!S16/SER_summary!S$26)</f>
        <v>33.093646001606182</v>
      </c>
      <c r="T16" s="131">
        <f>IF(SER_hh_tesh!T16=0,0,SER_hh_tesh!T16/SER_summary!T$26)</f>
        <v>32.907600685972533</v>
      </c>
      <c r="U16" s="131">
        <f>IF(SER_hh_tesh!U16=0,0,SER_hh_tesh!U16/SER_summary!U$26)</f>
        <v>33.51025966010242</v>
      </c>
      <c r="V16" s="131">
        <f>IF(SER_hh_tesh!V16=0,0,SER_hh_tesh!V16/SER_summary!V$26)</f>
        <v>34.928819484877991</v>
      </c>
      <c r="W16" s="131">
        <f>IF(SER_hh_tesh!W16=0,0,SER_hh_tesh!W16/SER_summary!W$26)</f>
        <v>29.144286610266782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26.188252492851774</v>
      </c>
      <c r="C17" s="133">
        <f>IF(SER_hh_tesh!C17=0,0,SER_hh_tesh!C17/SER_summary!C$26)</f>
        <v>27.554311483364085</v>
      </c>
      <c r="D17" s="133">
        <f>IF(SER_hh_tesh!D17=0,0,SER_hh_tesh!D17/SER_summary!D$26)</f>
        <v>26.376117466843276</v>
      </c>
      <c r="E17" s="133">
        <f>IF(SER_hh_tesh!E17=0,0,SER_hh_tesh!E17/SER_summary!E$26)</f>
        <v>51.798915231544484</v>
      </c>
      <c r="F17" s="133">
        <f>IF(SER_hh_tesh!F17=0,0,SER_hh_tesh!F17/SER_summary!F$26)</f>
        <v>27.189859190721474</v>
      </c>
      <c r="G17" s="133">
        <f>IF(SER_hh_tesh!G17=0,0,SER_hh_tesh!G17/SER_summary!G$26)</f>
        <v>29.604478749016412</v>
      </c>
      <c r="H17" s="133">
        <f>IF(SER_hh_tesh!H17=0,0,SER_hh_tesh!H17/SER_summary!H$26)</f>
        <v>33.8976700147347</v>
      </c>
      <c r="I17" s="133">
        <f>IF(SER_hh_tesh!I17=0,0,SER_hh_tesh!I17/SER_summary!I$26)</f>
        <v>26.505643287392893</v>
      </c>
      <c r="J17" s="133">
        <f>IF(SER_hh_tesh!J17=0,0,SER_hh_tesh!J17/SER_summary!J$26)</f>
        <v>26.913360536475849</v>
      </c>
      <c r="K17" s="133">
        <f>IF(SER_hh_tesh!K17=0,0,SER_hh_tesh!K17/SER_summary!K$26)</f>
        <v>28.753596051478368</v>
      </c>
      <c r="L17" s="133">
        <f>IF(SER_hh_tesh!L17=0,0,SER_hh_tesh!L17/SER_summary!L$26)</f>
        <v>28.34782205200241</v>
      </c>
      <c r="M17" s="133">
        <f>IF(SER_hh_tesh!M17=0,0,SER_hh_tesh!M17/SER_summary!M$26)</f>
        <v>27.890096659980959</v>
      </c>
      <c r="N17" s="133">
        <f>IF(SER_hh_tesh!N17=0,0,SER_hh_tesh!N17/SER_summary!N$26)</f>
        <v>29.300398178703933</v>
      </c>
      <c r="O17" s="133">
        <f>IF(SER_hh_tesh!O17=0,0,SER_hh_tesh!O17/SER_summary!O$26)</f>
        <v>29.147612848445444</v>
      </c>
      <c r="P17" s="133">
        <f>IF(SER_hh_tesh!P17=0,0,SER_hh_tesh!P17/SER_summary!P$26)</f>
        <v>27.429498789438632</v>
      </c>
      <c r="Q17" s="133">
        <f>IF(SER_hh_tesh!Q17=0,0,SER_hh_tesh!Q17/SER_summary!Q$26)</f>
        <v>34.283392142091131</v>
      </c>
      <c r="R17" s="133">
        <f>IF(SER_hh_tesh!R17=0,0,SER_hh_tesh!R17/SER_summary!R$26)</f>
        <v>30.373486802757039</v>
      </c>
      <c r="S17" s="133">
        <f>IF(SER_hh_tesh!S17=0,0,SER_hh_tesh!S17/SER_summary!S$26)</f>
        <v>33.093666425478418</v>
      </c>
      <c r="T17" s="133">
        <f>IF(SER_hh_tesh!T17=0,0,SER_hh_tesh!T17/SER_summary!T$26)</f>
        <v>32.907651620512553</v>
      </c>
      <c r="U17" s="133">
        <f>IF(SER_hh_tesh!U17=0,0,SER_hh_tesh!U17/SER_summary!U$26)</f>
        <v>33.510324666092465</v>
      </c>
      <c r="V17" s="133">
        <f>IF(SER_hh_tesh!V17=0,0,SER_hh_tesh!V17/SER_summary!V$26)</f>
        <v>32.473931540888366</v>
      </c>
      <c r="W17" s="133">
        <f>IF(SER_hh_tesh!W17=0,0,SER_hh_tesh!W17/SER_summary!W$26)</f>
        <v>26.188739948512591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26.18825249285177</v>
      </c>
      <c r="C18" s="133">
        <f>IF(SER_hh_tesh!C18=0,0,SER_hh_tesh!C18/SER_summary!C$26)</f>
        <v>27.554251734637479</v>
      </c>
      <c r="D18" s="133">
        <f>IF(SER_hh_tesh!D18=0,0,SER_hh_tesh!D18/SER_summary!D$26)</f>
        <v>26.376108158050151</v>
      </c>
      <c r="E18" s="133">
        <f>IF(SER_hh_tesh!E18=0,0,SER_hh_tesh!E18/SER_summary!E$26)</f>
        <v>46.078942968731134</v>
      </c>
      <c r="F18" s="133">
        <f>IF(SER_hh_tesh!F18=0,0,SER_hh_tesh!F18/SER_summary!F$26)</f>
        <v>27.18988950804669</v>
      </c>
      <c r="G18" s="133">
        <f>IF(SER_hh_tesh!G18=0,0,SER_hh_tesh!G18/SER_summary!G$26)</f>
        <v>29.604509285666211</v>
      </c>
      <c r="H18" s="133">
        <f>IF(SER_hh_tesh!H18=0,0,SER_hh_tesh!H18/SER_summary!H$26)</f>
        <v>33.897687649865276</v>
      </c>
      <c r="I18" s="133">
        <f>IF(SER_hh_tesh!I18=0,0,SER_hh_tesh!I18/SER_summary!I$26)</f>
        <v>26.505643000675679</v>
      </c>
      <c r="J18" s="133">
        <f>IF(SER_hh_tesh!J18=0,0,SER_hh_tesh!J18/SER_summary!J$26)</f>
        <v>26.913349460761655</v>
      </c>
      <c r="K18" s="133">
        <f>IF(SER_hh_tesh!K18=0,0,SER_hh_tesh!K18/SER_summary!K$26)</f>
        <v>28.753575921414036</v>
      </c>
      <c r="L18" s="133">
        <f>IF(SER_hh_tesh!L18=0,0,SER_hh_tesh!L18/SER_summary!L$26)</f>
        <v>28.347793386888107</v>
      </c>
      <c r="M18" s="133">
        <f>IF(SER_hh_tesh!M18=0,0,SER_hh_tesh!M18/SER_summary!M$26)</f>
        <v>27.890061958890172</v>
      </c>
      <c r="N18" s="133">
        <f>IF(SER_hh_tesh!N18=0,0,SER_hh_tesh!N18/SER_summary!N$26)</f>
        <v>29.300411821377185</v>
      </c>
      <c r="O18" s="133">
        <f>IF(SER_hh_tesh!O18=0,0,SER_hh_tesh!O18/SER_summary!O$26)</f>
        <v>29.147663575934928</v>
      </c>
      <c r="P18" s="133">
        <f>IF(SER_hh_tesh!P18=0,0,SER_hh_tesh!P18/SER_summary!P$26)</f>
        <v>27.429561634314116</v>
      </c>
      <c r="Q18" s="133">
        <f>IF(SER_hh_tesh!Q18=0,0,SER_hh_tesh!Q18/SER_summary!Q$26)</f>
        <v>34.283455384641051</v>
      </c>
      <c r="R18" s="133">
        <f>IF(SER_hh_tesh!R18=0,0,SER_hh_tesh!R18/SER_summary!R$26)</f>
        <v>30.373507740121767</v>
      </c>
      <c r="S18" s="133">
        <f>IF(SER_hh_tesh!S18=0,0,SER_hh_tesh!S18/SER_summary!S$26)</f>
        <v>33.093645244765355</v>
      </c>
      <c r="T18" s="133">
        <f>IF(SER_hh_tesh!T18=0,0,SER_hh_tesh!T18/SER_summary!T$26)</f>
        <v>32.907598636662627</v>
      </c>
      <c r="U18" s="133">
        <f>IF(SER_hh_tesh!U18=0,0,SER_hh_tesh!U18/SER_summary!U$26)</f>
        <v>33.510256823651567</v>
      </c>
      <c r="V18" s="133">
        <f>IF(SER_hh_tesh!V18=0,0,SER_hh_tesh!V18/SER_summary!V$26)</f>
        <v>35.045819293025723</v>
      </c>
      <c r="W18" s="133">
        <f>IF(SER_hh_tesh!W18=0,0,SER_hh_tesh!W18/SER_summary!W$26)</f>
        <v>29.287534256599095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16.747469252085544</v>
      </c>
      <c r="C19" s="131">
        <f>IF(SER_hh_tesh!C19=0,0,SER_hh_tesh!C19/SER_summary!C$26)</f>
        <v>16.480931436340811</v>
      </c>
      <c r="D19" s="131">
        <f>IF(SER_hh_tesh!D19=0,0,SER_hh_tesh!D19/SER_summary!D$26)</f>
        <v>16.47128984135631</v>
      </c>
      <c r="E19" s="131">
        <f>IF(SER_hh_tesh!E19=0,0,SER_hh_tesh!E19/SER_summary!E$26)</f>
        <v>16.112646280903391</v>
      </c>
      <c r="F19" s="131">
        <f>IF(SER_hh_tesh!F19=0,0,SER_hh_tesh!F19/SER_summary!F$26)</f>
        <v>16.562644819952368</v>
      </c>
      <c r="G19" s="131">
        <f>IF(SER_hh_tesh!G19=0,0,SER_hh_tesh!G19/SER_summary!G$26)</f>
        <v>16.416350188914546</v>
      </c>
      <c r="H19" s="131">
        <f>IF(SER_hh_tesh!H19=0,0,SER_hh_tesh!H19/SER_summary!H$26)</f>
        <v>16.141701901331317</v>
      </c>
      <c r="I19" s="131">
        <f>IF(SER_hh_tesh!I19=0,0,SER_hh_tesh!I19/SER_summary!I$26)</f>
        <v>15.955301569094287</v>
      </c>
      <c r="J19" s="131">
        <f>IF(SER_hh_tesh!J19=0,0,SER_hh_tesh!J19/SER_summary!J$26)</f>
        <v>16.291602555051337</v>
      </c>
      <c r="K19" s="131">
        <f>IF(SER_hh_tesh!K19=0,0,SER_hh_tesh!K19/SER_summary!K$26)</f>
        <v>16.617691399001362</v>
      </c>
      <c r="L19" s="131">
        <f>IF(SER_hh_tesh!L19=0,0,SER_hh_tesh!L19/SER_summary!L$26)</f>
        <v>16.569005950287057</v>
      </c>
      <c r="M19" s="131">
        <f>IF(SER_hh_tesh!M19=0,0,SER_hh_tesh!M19/SER_summary!M$26)</f>
        <v>16.588852053034216</v>
      </c>
      <c r="N19" s="131">
        <f>IF(SER_hh_tesh!N19=0,0,SER_hh_tesh!N19/SER_summary!N$26)</f>
        <v>16.828955011222707</v>
      </c>
      <c r="O19" s="131">
        <f>IF(SER_hh_tesh!O19=0,0,SER_hh_tesh!O19/SER_summary!O$26)</f>
        <v>17.081867452366325</v>
      </c>
      <c r="P19" s="131">
        <f>IF(SER_hh_tesh!P19=0,0,SER_hh_tesh!P19/SER_summary!P$26)</f>
        <v>17.059077649512975</v>
      </c>
      <c r="Q19" s="131">
        <f>IF(SER_hh_tesh!Q19=0,0,SER_hh_tesh!Q19/SER_summary!Q$26)</f>
        <v>17.199637611725787</v>
      </c>
      <c r="R19" s="131">
        <f>IF(SER_hh_tesh!R19=0,0,SER_hh_tesh!R19/SER_summary!R$26)</f>
        <v>17.369043666604963</v>
      </c>
      <c r="S19" s="131">
        <f>IF(SER_hh_tesh!S19=0,0,SER_hh_tesh!S19/SER_summary!S$26)</f>
        <v>17.352208613130024</v>
      </c>
      <c r="T19" s="131">
        <f>IF(SER_hh_tesh!T19=0,0,SER_hh_tesh!T19/SER_summary!T$26)</f>
        <v>17.674351083359586</v>
      </c>
      <c r="U19" s="131">
        <f>IF(SER_hh_tesh!U19=0,0,SER_hh_tesh!U19/SER_summary!U$26)</f>
        <v>17.220139310220489</v>
      </c>
      <c r="V19" s="131">
        <f>IF(SER_hh_tesh!V19=0,0,SER_hh_tesh!V19/SER_summary!V$26)</f>
        <v>15.99504250840889</v>
      </c>
      <c r="W19" s="131">
        <f>IF(SER_hh_tesh!W19=0,0,SER_hh_tesh!W19/SER_summary!W$26)</f>
        <v>17.199570272275999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16.367966145463548</v>
      </c>
      <c r="C21" s="133">
        <f>IF(SER_hh_tesh!C21=0,0,SER_hh_tesh!C21/SER_summary!C$26)</f>
        <v>16.276411776554674</v>
      </c>
      <c r="D21" s="133">
        <f>IF(SER_hh_tesh!D21=0,0,SER_hh_tesh!D21/SER_summary!D$26)</f>
        <v>16.656605340715942</v>
      </c>
      <c r="E21" s="133">
        <f>IF(SER_hh_tesh!E21=0,0,SER_hh_tesh!E21/SER_summary!E$26)</f>
        <v>16.762162662953219</v>
      </c>
      <c r="F21" s="133">
        <f>IF(SER_hh_tesh!F21=0,0,SER_hh_tesh!F21/SER_summary!F$26)</f>
        <v>16.655124414961726</v>
      </c>
      <c r="G21" s="133">
        <f>IF(SER_hh_tesh!G21=0,0,SER_hh_tesh!G21/SER_summary!G$26)</f>
        <v>15.891428097853051</v>
      </c>
      <c r="H21" s="133">
        <f>IF(SER_hh_tesh!H21=0,0,SER_hh_tesh!H21/SER_summary!H$26)</f>
        <v>16.243711826000116</v>
      </c>
      <c r="I21" s="133">
        <f>IF(SER_hh_tesh!I21=0,0,SER_hh_tesh!I21/SER_summary!I$26)</f>
        <v>16.249554188953745</v>
      </c>
      <c r="J21" s="133">
        <f>IF(SER_hh_tesh!J21=0,0,SER_hh_tesh!J21/SER_summary!J$26)</f>
        <v>16.402734037844382</v>
      </c>
      <c r="K21" s="133">
        <f>IF(SER_hh_tesh!K21=0,0,SER_hh_tesh!K21/SER_summary!K$26)</f>
        <v>16.925570214067228</v>
      </c>
      <c r="L21" s="133">
        <f>IF(SER_hh_tesh!L21=0,0,SER_hh_tesh!L21/SER_summary!L$26)</f>
        <v>16.36790478331633</v>
      </c>
      <c r="M21" s="133">
        <f>IF(SER_hh_tesh!M21=0,0,SER_hh_tesh!M21/SER_summary!M$26)</f>
        <v>16.647993914236594</v>
      </c>
      <c r="N21" s="133">
        <f>IF(SER_hh_tesh!N21=0,0,SER_hh_tesh!N21/SER_summary!N$26)</f>
        <v>16.746311065261118</v>
      </c>
      <c r="O21" s="133">
        <f>IF(SER_hh_tesh!O21=0,0,SER_hh_tesh!O21/SER_summary!O$26)</f>
        <v>16.914775507698497</v>
      </c>
      <c r="P21" s="133">
        <f>IF(SER_hh_tesh!P21=0,0,SER_hh_tesh!P21/SER_summary!P$26)</f>
        <v>17.274528679929634</v>
      </c>
      <c r="Q21" s="133">
        <f>IF(SER_hh_tesh!Q21=0,0,SER_hh_tesh!Q21/SER_summary!Q$26)</f>
        <v>17.192599888140595</v>
      </c>
      <c r="R21" s="133">
        <f>IF(SER_hh_tesh!R21=0,0,SER_hh_tesh!R21/SER_summary!R$26)</f>
        <v>17.792934031956271</v>
      </c>
      <c r="S21" s="133">
        <f>IF(SER_hh_tesh!S21=0,0,SER_hh_tesh!S21/SER_summary!S$26)</f>
        <v>19.328022508547374</v>
      </c>
      <c r="T21" s="133">
        <f>IF(SER_hh_tesh!T21=0,0,SER_hh_tesh!T21/SER_summary!T$26)</f>
        <v>14.925715529305373</v>
      </c>
      <c r="U21" s="133">
        <f>IF(SER_hh_tesh!U21=0,0,SER_hh_tesh!U21/SER_summary!U$26)</f>
        <v>16.149101787182563</v>
      </c>
      <c r="V21" s="133">
        <f>IF(SER_hh_tesh!V21=0,0,SER_hh_tesh!V21/SER_summary!V$26)</f>
        <v>16.171397984118638</v>
      </c>
      <c r="W21" s="133">
        <f>IF(SER_hh_tesh!W21=0,0,SER_hh_tesh!W21/SER_summary!W$26)</f>
        <v>17.017072972160896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16.568890528091398</v>
      </c>
      <c r="C22" s="133">
        <f>IF(SER_hh_tesh!C22=0,0,SER_hh_tesh!C22/SER_summary!C$26)</f>
        <v>16.633271118098516</v>
      </c>
      <c r="D22" s="133">
        <f>IF(SER_hh_tesh!D22=0,0,SER_hh_tesh!D22/SER_summary!D$26)</f>
        <v>16.409878927480889</v>
      </c>
      <c r="E22" s="133">
        <f>IF(SER_hh_tesh!E22=0,0,SER_hh_tesh!E22/SER_summary!E$26)</f>
        <v>16.281961348224968</v>
      </c>
      <c r="F22" s="133">
        <f>IF(SER_hh_tesh!F22=0,0,SER_hh_tesh!F22/SER_summary!F$26)</f>
        <v>16.564635056781508</v>
      </c>
      <c r="G22" s="133">
        <f>IF(SER_hh_tesh!G22=0,0,SER_hh_tesh!G22/SER_summary!G$26)</f>
        <v>16.585836224855743</v>
      </c>
      <c r="H22" s="133">
        <f>IF(SER_hh_tesh!H22=0,0,SER_hh_tesh!H22/SER_summary!H$26)</f>
        <v>16.193470111345089</v>
      </c>
      <c r="I22" s="133">
        <f>IF(SER_hh_tesh!I22=0,0,SER_hh_tesh!I22/SER_summary!I$26)</f>
        <v>15.773900077656499</v>
      </c>
      <c r="J22" s="133">
        <f>IF(SER_hh_tesh!J22=0,0,SER_hh_tesh!J22/SER_summary!J$26)</f>
        <v>16.423643681509951</v>
      </c>
      <c r="K22" s="133">
        <f>IF(SER_hh_tesh!K22=0,0,SER_hh_tesh!K22/SER_summary!K$26)</f>
        <v>16.771714612192611</v>
      </c>
      <c r="L22" s="133">
        <f>IF(SER_hh_tesh!L22=0,0,SER_hh_tesh!L22/SER_summary!L$26)</f>
        <v>16.215171176468935</v>
      </c>
      <c r="M22" s="133">
        <f>IF(SER_hh_tesh!M22=0,0,SER_hh_tesh!M22/SER_summary!M$26)</f>
        <v>15.722915446412179</v>
      </c>
      <c r="N22" s="133">
        <f>IF(SER_hh_tesh!N22=0,0,SER_hh_tesh!N22/SER_summary!N$26)</f>
        <v>17.275233732628092</v>
      </c>
      <c r="O22" s="133">
        <f>IF(SER_hh_tesh!O22=0,0,SER_hh_tesh!O22/SER_summary!O$26)</f>
        <v>17.208761977105969</v>
      </c>
      <c r="P22" s="133">
        <f>IF(SER_hh_tesh!P22=0,0,SER_hh_tesh!P22/SER_summary!P$26)</f>
        <v>16.966259406026108</v>
      </c>
      <c r="Q22" s="133">
        <f>IF(SER_hh_tesh!Q22=0,0,SER_hh_tesh!Q22/SER_summary!Q$26)</f>
        <v>18.169563518637119</v>
      </c>
      <c r="R22" s="133">
        <f>IF(SER_hh_tesh!R22=0,0,SER_hh_tesh!R22/SER_summary!R$26)</f>
        <v>16.515327145747293</v>
      </c>
      <c r="S22" s="133">
        <f>IF(SER_hh_tesh!S22=0,0,SER_hh_tesh!S22/SER_summary!S$26)</f>
        <v>17.931342001116406</v>
      </c>
      <c r="T22" s="133">
        <f>IF(SER_hh_tesh!T22=0,0,SER_hh_tesh!T22/SER_summary!T$26)</f>
        <v>17.278142240501094</v>
      </c>
      <c r="U22" s="133">
        <f>IF(SER_hh_tesh!U22=0,0,SER_hh_tesh!U22/SER_summary!U$26)</f>
        <v>16.929030127286122</v>
      </c>
      <c r="V22" s="133">
        <f>IF(SER_hh_tesh!V22=0,0,SER_hh_tesh!V22/SER_summary!V$26)</f>
        <v>16.830336685418512</v>
      </c>
      <c r="W22" s="133">
        <f>IF(SER_hh_tesh!W22=0,0,SER_hh_tesh!W22/SER_summary!W$26)</f>
        <v>16.156704735652912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16.662561800047051</v>
      </c>
      <c r="C23" s="133">
        <f>IF(SER_hh_tesh!C23=0,0,SER_hh_tesh!C23/SER_summary!C$26)</f>
        <v>16.521569367551461</v>
      </c>
      <c r="D23" s="133">
        <f>IF(SER_hh_tesh!D23=0,0,SER_hh_tesh!D23/SER_summary!D$26)</f>
        <v>16.339695299504047</v>
      </c>
      <c r="E23" s="133">
        <f>IF(SER_hh_tesh!E23=0,0,SER_hh_tesh!E23/SER_summary!E$26)</f>
        <v>16.605931213627827</v>
      </c>
      <c r="F23" s="133">
        <f>IF(SER_hh_tesh!F23=0,0,SER_hh_tesh!F23/SER_summary!F$26)</f>
        <v>16.782721058695223</v>
      </c>
      <c r="G23" s="133">
        <f>IF(SER_hh_tesh!G23=0,0,SER_hh_tesh!G23/SER_summary!G$26)</f>
        <v>16.160613703435487</v>
      </c>
      <c r="H23" s="133">
        <f>IF(SER_hh_tesh!H23=0,0,SER_hh_tesh!H23/SER_summary!H$26)</f>
        <v>15.829930204577337</v>
      </c>
      <c r="I23" s="133">
        <f>IF(SER_hh_tesh!I23=0,0,SER_hh_tesh!I23/SER_summary!I$26)</f>
        <v>15.983564441959221</v>
      </c>
      <c r="J23" s="133">
        <f>IF(SER_hh_tesh!J23=0,0,SER_hh_tesh!J23/SER_summary!J$26)</f>
        <v>15.793351220675492</v>
      </c>
      <c r="K23" s="133">
        <f>IF(SER_hh_tesh!K23=0,0,SER_hh_tesh!K23/SER_summary!K$26)</f>
        <v>16.956346140871521</v>
      </c>
      <c r="L23" s="133">
        <f>IF(SER_hh_tesh!L23=0,0,SER_hh_tesh!L23/SER_summary!L$26)</f>
        <v>16.408358581112136</v>
      </c>
      <c r="M23" s="133">
        <f>IF(SER_hh_tesh!M23=0,0,SER_hh_tesh!M23/SER_summary!M$26)</f>
        <v>18.223273174939266</v>
      </c>
      <c r="N23" s="133">
        <f>IF(SER_hh_tesh!N23=0,0,SER_hh_tesh!N23/SER_summary!N$26)</f>
        <v>14.238941216675027</v>
      </c>
      <c r="O23" s="133">
        <f>IF(SER_hh_tesh!O23=0,0,SER_hh_tesh!O23/SER_summary!O$26)</f>
        <v>15.941971478515299</v>
      </c>
      <c r="P23" s="133">
        <f>IF(SER_hh_tesh!P23=0,0,SER_hh_tesh!P23/SER_summary!P$26)</f>
        <v>16.843544606589511</v>
      </c>
      <c r="Q23" s="133">
        <f>IF(SER_hh_tesh!Q23=0,0,SER_hh_tesh!Q23/SER_summary!Q$26)</f>
        <v>16.731213923428516</v>
      </c>
      <c r="R23" s="133">
        <f>IF(SER_hh_tesh!R23=0,0,SER_hh_tesh!R23/SER_summary!R$26)</f>
        <v>18.057522564802557</v>
      </c>
      <c r="S23" s="133">
        <f>IF(SER_hh_tesh!S23=0,0,SER_hh_tesh!S23/SER_summary!S$26)</f>
        <v>17.218387047713993</v>
      </c>
      <c r="T23" s="133">
        <f>IF(SER_hh_tesh!T23=0,0,SER_hh_tesh!T23/SER_summary!T$26)</f>
        <v>17.417346516843917</v>
      </c>
      <c r="U23" s="133">
        <f>IF(SER_hh_tesh!U23=0,0,SER_hh_tesh!U23/SER_summary!U$26)</f>
        <v>17.099096330902317</v>
      </c>
      <c r="V23" s="133">
        <f>IF(SER_hh_tesh!V23=0,0,SER_hh_tesh!V23/SER_summary!V$26)</f>
        <v>15.315343328495205</v>
      </c>
      <c r="W23" s="133">
        <f>IF(SER_hh_tesh!W23=0,0,SER_hh_tesh!W23/SER_summary!W$26)</f>
        <v>18.926009499150286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16.788289378830331</v>
      </c>
      <c r="C24" s="133">
        <f>IF(SER_hh_tesh!C24=0,0,SER_hh_tesh!C24/SER_summary!C$26)</f>
        <v>16.309758650150378</v>
      </c>
      <c r="D24" s="133">
        <f>IF(SER_hh_tesh!D24=0,0,SER_hh_tesh!D24/SER_summary!D$26)</f>
        <v>16.214450141246676</v>
      </c>
      <c r="E24" s="133">
        <f>IF(SER_hh_tesh!E24=0,0,SER_hh_tesh!E24/SER_summary!E$26)</f>
        <v>16.104763459833929</v>
      </c>
      <c r="F24" s="133">
        <f>IF(SER_hh_tesh!F24=0,0,SER_hh_tesh!F24/SER_summary!F$26)</f>
        <v>16.623292825391633</v>
      </c>
      <c r="G24" s="133">
        <f>IF(SER_hh_tesh!G24=0,0,SER_hh_tesh!G24/SER_summary!G$26)</f>
        <v>16.12011834033709</v>
      </c>
      <c r="H24" s="133">
        <f>IF(SER_hh_tesh!H24=0,0,SER_hh_tesh!H24/SER_summary!H$26)</f>
        <v>15.368980978043329</v>
      </c>
      <c r="I24" s="133">
        <f>IF(SER_hh_tesh!I24=0,0,SER_hh_tesh!I24/SER_summary!I$26)</f>
        <v>16.862473887123354</v>
      </c>
      <c r="J24" s="133">
        <f>IF(SER_hh_tesh!J24=0,0,SER_hh_tesh!J24/SER_summary!J$26)</f>
        <v>15.980535896131334</v>
      </c>
      <c r="K24" s="133">
        <f>IF(SER_hh_tesh!K24=0,0,SER_hh_tesh!K24/SER_summary!K$26)</f>
        <v>17.285344048225245</v>
      </c>
      <c r="L24" s="133">
        <f>IF(SER_hh_tesh!L24=0,0,SER_hh_tesh!L24/SER_summary!L$26)</f>
        <v>19.291434563095915</v>
      </c>
      <c r="M24" s="133">
        <f>IF(SER_hh_tesh!M24=0,0,SER_hh_tesh!M24/SER_summary!M$26)</f>
        <v>13.505155700856607</v>
      </c>
      <c r="N24" s="133">
        <f>IF(SER_hh_tesh!N24=0,0,SER_hh_tesh!N24/SER_summary!N$26)</f>
        <v>15.189365593722643</v>
      </c>
      <c r="O24" s="133">
        <f>IF(SER_hh_tesh!O24=0,0,SER_hh_tesh!O24/SER_summary!O$26)</f>
        <v>20.027577258600679</v>
      </c>
      <c r="P24" s="133">
        <f>IF(SER_hh_tesh!P24=0,0,SER_hh_tesh!P24/SER_summary!P$26)</f>
        <v>17.16725411671791</v>
      </c>
      <c r="Q24" s="133">
        <f>IF(SER_hh_tesh!Q24=0,0,SER_hh_tesh!Q24/SER_summary!Q$26)</f>
        <v>15.090300786195055</v>
      </c>
      <c r="R24" s="133">
        <f>IF(SER_hh_tesh!R24=0,0,SER_hh_tesh!R24/SER_summary!R$26)</f>
        <v>17.165545058605463</v>
      </c>
      <c r="S24" s="133">
        <f>IF(SER_hh_tesh!S24=0,0,SER_hh_tesh!S24/SER_summary!S$26)</f>
        <v>17.454462070062977</v>
      </c>
      <c r="T24" s="133">
        <f>IF(SER_hh_tesh!T24=0,0,SER_hh_tesh!T24/SER_summary!T$26)</f>
        <v>16.72819594262414</v>
      </c>
      <c r="U24" s="133">
        <f>IF(SER_hh_tesh!U24=0,0,SER_hh_tesh!U24/SER_summary!U$26)</f>
        <v>16.541027191591951</v>
      </c>
      <c r="V24" s="133">
        <f>IF(SER_hh_tesh!V24=0,0,SER_hh_tesh!V24/SER_summary!V$26)</f>
        <v>16.259579915612516</v>
      </c>
      <c r="W24" s="133">
        <f>IF(SER_hh_tesh!W24=0,0,SER_hh_tesh!W24/SER_summary!W$26)</f>
        <v>17.727548446724839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16.471297357591148</v>
      </c>
      <c r="C25" s="133">
        <f>IF(SER_hh_tesh!C25=0,0,SER_hh_tesh!C25/SER_summary!C$26)</f>
        <v>16.715784820967841</v>
      </c>
      <c r="D25" s="133">
        <f>IF(SER_hh_tesh!D25=0,0,SER_hh_tesh!D25/SER_summary!D$26)</f>
        <v>16.260081143877791</v>
      </c>
      <c r="E25" s="133">
        <f>IF(SER_hh_tesh!E25=0,0,SER_hh_tesh!E25/SER_summary!E$26)</f>
        <v>16.317404727967403</v>
      </c>
      <c r="F25" s="133">
        <f>IF(SER_hh_tesh!F25=0,0,SER_hh_tesh!F25/SER_summary!F$26)</f>
        <v>16.598810962005604</v>
      </c>
      <c r="G25" s="133">
        <f>IF(SER_hh_tesh!G25=0,0,SER_hh_tesh!G25/SER_summary!G$26)</f>
        <v>17.270027027064682</v>
      </c>
      <c r="H25" s="133">
        <f>IF(SER_hh_tesh!H25=0,0,SER_hh_tesh!H25/SER_summary!H$26)</f>
        <v>18.847340143398625</v>
      </c>
      <c r="I25" s="133">
        <f>IF(SER_hh_tesh!I25=0,0,SER_hh_tesh!I25/SER_summary!I$26)</f>
        <v>12.047612916424411</v>
      </c>
      <c r="J25" s="133">
        <f>IF(SER_hh_tesh!J25=0,0,SER_hh_tesh!J25/SER_summary!J$26)</f>
        <v>14.927766638284785</v>
      </c>
      <c r="K25" s="133">
        <f>IF(SER_hh_tesh!K25=0,0,SER_hh_tesh!K25/SER_summary!K$26)</f>
        <v>17.868835662796439</v>
      </c>
      <c r="L25" s="133">
        <f>IF(SER_hh_tesh!L25=0,0,SER_hh_tesh!L25/SER_summary!L$26)</f>
        <v>16.095838024649098</v>
      </c>
      <c r="M25" s="133">
        <f>IF(SER_hh_tesh!M25=0,0,SER_hh_tesh!M25/SER_summary!M$26)</f>
        <v>15.115402261217378</v>
      </c>
      <c r="N25" s="133">
        <f>IF(SER_hh_tesh!N25=0,0,SER_hh_tesh!N25/SER_summary!N$26)</f>
        <v>17.772242852286915</v>
      </c>
      <c r="O25" s="133">
        <f>IF(SER_hh_tesh!O25=0,0,SER_hh_tesh!O25/SER_summary!O$26)</f>
        <v>18.087170703951845</v>
      </c>
      <c r="P25" s="133">
        <f>IF(SER_hh_tesh!P25=0,0,SER_hh_tesh!P25/SER_summary!P$26)</f>
        <v>16.15550054171716</v>
      </c>
      <c r="Q25" s="133">
        <f>IF(SER_hh_tesh!Q25=0,0,SER_hh_tesh!Q25/SER_summary!Q$26)</f>
        <v>16.789353954844724</v>
      </c>
      <c r="R25" s="133">
        <f>IF(SER_hh_tesh!R25=0,0,SER_hh_tesh!R25/SER_summary!R$26)</f>
        <v>17.620865723500501</v>
      </c>
      <c r="S25" s="133">
        <f>IF(SER_hh_tesh!S25=0,0,SER_hh_tesh!S25/SER_summary!S$26)</f>
        <v>16.728199758389469</v>
      </c>
      <c r="T25" s="133">
        <f>IF(SER_hh_tesh!T25=0,0,SER_hh_tesh!T25/SER_summary!T$26)</f>
        <v>18.536196278392755</v>
      </c>
      <c r="U25" s="133">
        <f>IF(SER_hh_tesh!U25=0,0,SER_hh_tesh!U25/SER_summary!U$26)</f>
        <v>17.181229430337314</v>
      </c>
      <c r="V25" s="133">
        <f>IF(SER_hh_tesh!V25=0,0,SER_hh_tesh!V25/SER_summary!V$26)</f>
        <v>16.928877109202041</v>
      </c>
      <c r="W25" s="133">
        <f>IF(SER_hh_tesh!W25=0,0,SER_hh_tesh!W25/SER_summary!W$26)</f>
        <v>15.332724003061776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16.897270514381727</v>
      </c>
      <c r="C26" s="65">
        <f>IF(SER_hh_tesh!C26=0,0,SER_hh_tesh!C26/SER_summary!C$26)</f>
        <v>16.393371366369788</v>
      </c>
      <c r="D26" s="65">
        <f>IF(SER_hh_tesh!D26=0,0,SER_hh_tesh!D26/SER_summary!D$26)</f>
        <v>16.563614700528692</v>
      </c>
      <c r="E26" s="65">
        <f>IF(SER_hh_tesh!E26=0,0,SER_hh_tesh!E26/SER_summary!E$26)</f>
        <v>15.81445164042796</v>
      </c>
      <c r="F26" s="65">
        <f>IF(SER_hh_tesh!F26=0,0,SER_hh_tesh!F26/SER_summary!F$26)</f>
        <v>16.476776854673659</v>
      </c>
      <c r="G26" s="65">
        <f>IF(SER_hh_tesh!G26=0,0,SER_hh_tesh!G26/SER_summary!G$26)</f>
        <v>16.320924415120498</v>
      </c>
      <c r="H26" s="65">
        <f>IF(SER_hh_tesh!H26=0,0,SER_hh_tesh!H26/SER_summary!H$26)</f>
        <v>15.869847639545872</v>
      </c>
      <c r="I26" s="65">
        <f>IF(SER_hh_tesh!I26=0,0,SER_hh_tesh!I26/SER_summary!I$26)</f>
        <v>16.260376701073195</v>
      </c>
      <c r="J26" s="65">
        <f>IF(SER_hh_tesh!J26=0,0,SER_hh_tesh!J26/SER_summary!J$26)</f>
        <v>16.4443961657411</v>
      </c>
      <c r="K26" s="65">
        <f>IF(SER_hh_tesh!K26=0,0,SER_hh_tesh!K26/SER_summary!K$26)</f>
        <v>16.30730219455824</v>
      </c>
      <c r="L26" s="65">
        <f>IF(SER_hh_tesh!L26=0,0,SER_hh_tesh!L26/SER_summary!L$26)</f>
        <v>16.621679253092609</v>
      </c>
      <c r="M26" s="65">
        <f>IF(SER_hh_tesh!M26=0,0,SER_hh_tesh!M26/SER_summary!M$26)</f>
        <v>16.390400897289851</v>
      </c>
      <c r="N26" s="65">
        <f>IF(SER_hh_tesh!N26=0,0,SER_hh_tesh!N26/SER_summary!N$26)</f>
        <v>17.210647324955829</v>
      </c>
      <c r="O26" s="65">
        <f>IF(SER_hh_tesh!O26=0,0,SER_hh_tesh!O26/SER_summary!O$26)</f>
        <v>17.047825635121818</v>
      </c>
      <c r="P26" s="65">
        <f>IF(SER_hh_tesh!P26=0,0,SER_hh_tesh!P26/SER_summary!P$26)</f>
        <v>16.990681188957495</v>
      </c>
      <c r="Q26" s="65">
        <f>IF(SER_hh_tesh!Q26=0,0,SER_hh_tesh!Q26/SER_summary!Q$26)</f>
        <v>16.925577462435172</v>
      </c>
      <c r="R26" s="65">
        <f>IF(SER_hh_tesh!R26=0,0,SER_hh_tesh!R26/SER_summary!R$26)</f>
        <v>17.111790433248686</v>
      </c>
      <c r="S26" s="65">
        <f>IF(SER_hh_tesh!S26=0,0,SER_hh_tesh!S26/SER_summary!S$26)</f>
        <v>17.010205234928396</v>
      </c>
      <c r="T26" s="65">
        <f>IF(SER_hh_tesh!T26=0,0,SER_hh_tesh!T26/SER_summary!T$26)</f>
        <v>17.60329665118909</v>
      </c>
      <c r="U26" s="65">
        <f>IF(SER_hh_tesh!U26=0,0,SER_hh_tesh!U26/SER_summary!U$26)</f>
        <v>17.112088223988678</v>
      </c>
      <c r="V26" s="65">
        <f>IF(SER_hh_tesh!V26=0,0,SER_hh_tesh!V26/SER_summary!V$26)</f>
        <v>15.695381746312558</v>
      </c>
      <c r="W26" s="65">
        <f>IF(SER_hh_tesh!W26=0,0,SER_hh_tesh!W26/SER_summary!W$26)</f>
        <v>16.817573132148915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2.2979572921963367E-2</v>
      </c>
      <c r="H27" s="146">
        <f>IF(SER_hh_tesh!H27=0,0,SER_hh_tesh!H27/SER_summary!H$26)</f>
        <v>2.3251910825879445E-2</v>
      </c>
      <c r="I27" s="146">
        <f>IF(SER_hh_tesh!I27=0,0,SER_hh_tesh!I27/SER_summary!I$26)</f>
        <v>2.5841737975689665E-2</v>
      </c>
      <c r="J27" s="146">
        <f>IF(SER_hh_tesh!J27=0,0,SER_hh_tesh!J27/SER_summary!J$26)</f>
        <v>3.0804204842673849E-2</v>
      </c>
      <c r="K27" s="146">
        <f>IF(SER_hh_tesh!K27=0,0,SER_hh_tesh!K27/SER_summary!K$26)</f>
        <v>3.5606985579758624E-2</v>
      </c>
      <c r="L27" s="146">
        <f>IF(SER_hh_tesh!L27=0,0,SER_hh_tesh!L27/SER_summary!L$26)</f>
        <v>4.0712502668060188E-2</v>
      </c>
      <c r="M27" s="146">
        <f>IF(SER_hh_tesh!M27=0,0,SER_hh_tesh!M27/SER_summary!M$26)</f>
        <v>6.5062876967648758E-2</v>
      </c>
      <c r="N27" s="146">
        <f>IF(SER_hh_tesh!N27=0,0,SER_hh_tesh!N27/SER_summary!N$26)</f>
        <v>0.10404747173823795</v>
      </c>
      <c r="O27" s="146">
        <f>IF(SER_hh_tesh!O27=0,0,SER_hh_tesh!O27/SER_summary!O$26)</f>
        <v>0.1187706482329946</v>
      </c>
      <c r="P27" s="146">
        <f>IF(SER_hh_tesh!P27=0,0,SER_hh_tesh!P27/SER_summary!P$26)</f>
        <v>0.12701094210017511</v>
      </c>
      <c r="Q27" s="146">
        <f>IF(SER_hh_tesh!Q27=0,0,SER_hh_tesh!Q27/SER_summary!Q$26)</f>
        <v>0.13529952618716504</v>
      </c>
      <c r="R27" s="146">
        <f>IF(SER_hh_tesh!R27=0,0,SER_hh_tesh!R27/SER_summary!R$26)</f>
        <v>0.14028967562957886</v>
      </c>
      <c r="S27" s="146">
        <f>IF(SER_hh_tesh!S27=0,0,SER_hh_tesh!S27/SER_summary!S$26)</f>
        <v>0.14368600541567597</v>
      </c>
      <c r="T27" s="146">
        <f>IF(SER_hh_tesh!T27=0,0,SER_hh_tesh!T27/SER_summary!T$26)</f>
        <v>0.14601217191107699</v>
      </c>
      <c r="U27" s="146">
        <f>IF(SER_hh_tesh!U27=0,0,SER_hh_tesh!U27/SER_summary!U$26)</f>
        <v>0.14912089704981657</v>
      </c>
      <c r="V27" s="146">
        <f>IF(SER_hh_tesh!V27=0,0,SER_hh_tesh!V27/SER_summary!V$26)</f>
        <v>0.14985233123815636</v>
      </c>
      <c r="W27" s="146">
        <f>IF(SER_hh_tesh!W27=0,0,SER_hh_tesh!W27/SER_summary!W$26)</f>
        <v>0.14808549379057209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12.90751374163408</v>
      </c>
      <c r="H28" s="147">
        <f>IF(SER_hh_tesh!H28=0,0,SER_hh_tesh!H28/SER_summary!H$26)</f>
        <v>12.843793645055861</v>
      </c>
      <c r="I28" s="147">
        <f>IF(SER_hh_tesh!I28=0,0,SER_hh_tesh!I28/SER_summary!I$26)</f>
        <v>12.010633293640483</v>
      </c>
      <c r="J28" s="147">
        <f>IF(SER_hh_tesh!J28=0,0,SER_hh_tesh!J28/SER_summary!J$26)</f>
        <v>12.557796008326594</v>
      </c>
      <c r="K28" s="147">
        <f>IF(SER_hh_tesh!K28=0,0,SER_hh_tesh!K28/SER_summary!K$26)</f>
        <v>13.126685001195247</v>
      </c>
      <c r="L28" s="147">
        <f>IF(SER_hh_tesh!L28=0,0,SER_hh_tesh!L28/SER_summary!L$26)</f>
        <v>9.1010021299812127</v>
      </c>
      <c r="M28" s="147">
        <f>IF(SER_hh_tesh!M28=0,0,SER_hh_tesh!M28/SER_summary!M$26)</f>
        <v>13.275870837464719</v>
      </c>
      <c r="N28" s="147">
        <f>IF(SER_hh_tesh!N28=0,0,SER_hh_tesh!N28/SER_summary!N$26)</f>
        <v>12.56538923763471</v>
      </c>
      <c r="O28" s="147">
        <f>IF(SER_hh_tesh!O28=0,0,SER_hh_tesh!O28/SER_summary!O$26)</f>
        <v>12.568554245285259</v>
      </c>
      <c r="P28" s="147">
        <f>IF(SER_hh_tesh!P28=0,0,SER_hh_tesh!P28/SER_summary!P$26)</f>
        <v>13.809542714560852</v>
      </c>
      <c r="Q28" s="147">
        <f>IF(SER_hh_tesh!Q28=0,0,SER_hh_tesh!Q28/SER_summary!Q$26)</f>
        <v>13.427440894853779</v>
      </c>
      <c r="R28" s="147">
        <f>IF(SER_hh_tesh!R28=0,0,SER_hh_tesh!R28/SER_summary!R$26)</f>
        <v>13.832843700007858</v>
      </c>
      <c r="S28" s="147">
        <f>IF(SER_hh_tesh!S28=0,0,SER_hh_tesh!S28/SER_summary!S$26)</f>
        <v>13.375714307511743</v>
      </c>
      <c r="T28" s="147">
        <f>IF(SER_hh_tesh!T28=0,0,SER_hh_tesh!T28/SER_summary!T$26)</f>
        <v>13.638856921096947</v>
      </c>
      <c r="U28" s="147">
        <f>IF(SER_hh_tesh!U28=0,0,SER_hh_tesh!U28/SER_summary!U$26)</f>
        <v>13.5894642225038</v>
      </c>
      <c r="V28" s="147">
        <f>IF(SER_hh_tesh!V28=0,0,SER_hh_tesh!V28/SER_summary!V$26)</f>
        <v>12.490636264421729</v>
      </c>
      <c r="W28" s="147">
        <f>IF(SER_hh_tesh!W28=0,0,SER_hh_tesh!W28/SER_summary!W$26)</f>
        <v>13.339182600688918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15.51381120612364</v>
      </c>
      <c r="C29" s="131">
        <f>IF(SER_hh_tesh!C29=0,0,SER_hh_tesh!C29/SER_summary!C$26)</f>
        <v>15.548322856002828</v>
      </c>
      <c r="D29" s="131">
        <f>IF(SER_hh_tesh!D29=0,0,SER_hh_tesh!D29/SER_summary!D$26)</f>
        <v>15.625018543490659</v>
      </c>
      <c r="E29" s="131">
        <f>IF(SER_hh_tesh!E29=0,0,SER_hh_tesh!E29/SER_summary!E$26)</f>
        <v>15.401446324633653</v>
      </c>
      <c r="F29" s="131">
        <f>IF(SER_hh_tesh!F29=0,0,SER_hh_tesh!F29/SER_summary!F$26)</f>
        <v>15.680346257511202</v>
      </c>
      <c r="G29" s="131">
        <f>IF(SER_hh_tesh!G29=0,0,SER_hh_tesh!G29/SER_summary!G$26)</f>
        <v>15.672185673769862</v>
      </c>
      <c r="H29" s="131">
        <f>IF(SER_hh_tesh!H29=0,0,SER_hh_tesh!H29/SER_summary!H$26)</f>
        <v>15.612607349082577</v>
      </c>
      <c r="I29" s="131">
        <f>IF(SER_hh_tesh!I29=0,0,SER_hh_tesh!I29/SER_summary!I$26)</f>
        <v>15.808404820309091</v>
      </c>
      <c r="J29" s="131">
        <f>IF(SER_hh_tesh!J29=0,0,SER_hh_tesh!J29/SER_summary!J$26)</f>
        <v>16.020606574876613</v>
      </c>
      <c r="K29" s="131">
        <f>IF(SER_hh_tesh!K29=0,0,SER_hh_tesh!K29/SER_summary!K$26)</f>
        <v>16.58112127137796</v>
      </c>
      <c r="L29" s="131">
        <f>IF(SER_hh_tesh!L29=0,0,SER_hh_tesh!L29/SER_summary!L$26)</f>
        <v>16.868690352204418</v>
      </c>
      <c r="M29" s="131">
        <f>IF(SER_hh_tesh!M29=0,0,SER_hh_tesh!M29/SER_summary!M$26)</f>
        <v>16.960141475915982</v>
      </c>
      <c r="N29" s="131">
        <f>IF(SER_hh_tesh!N29=0,0,SER_hh_tesh!N29/SER_summary!N$26)</f>
        <v>17.154270293153388</v>
      </c>
      <c r="O29" s="131">
        <f>IF(SER_hh_tesh!O29=0,0,SER_hh_tesh!O29/SER_summary!O$26)</f>
        <v>17.296141455748984</v>
      </c>
      <c r="P29" s="131">
        <f>IF(SER_hh_tesh!P29=0,0,SER_hh_tesh!P29/SER_summary!P$26)</f>
        <v>17.368806963342358</v>
      </c>
      <c r="Q29" s="131">
        <f>IF(SER_hh_tesh!Q29=0,0,SER_hh_tesh!Q29/SER_summary!Q$26)</f>
        <v>17.479293254114012</v>
      </c>
      <c r="R29" s="131">
        <f>IF(SER_hh_tesh!R29=0,0,SER_hh_tesh!R29/SER_summary!R$26)</f>
        <v>17.778657162431571</v>
      </c>
      <c r="S29" s="131">
        <f>IF(SER_hh_tesh!S29=0,0,SER_hh_tesh!S29/SER_summary!S$26)</f>
        <v>17.684766193619616</v>
      </c>
      <c r="T29" s="131">
        <f>IF(SER_hh_tesh!T29=0,0,SER_hh_tesh!T29/SER_summary!T$26)</f>
        <v>17.694300502894759</v>
      </c>
      <c r="U29" s="131">
        <f>IF(SER_hh_tesh!U29=0,0,SER_hh_tesh!U29/SER_summary!U$26)</f>
        <v>17.633330619753281</v>
      </c>
      <c r="V29" s="131">
        <f>IF(SER_hh_tesh!V29=0,0,SER_hh_tesh!V29/SER_summary!V$26)</f>
        <v>16.171415191294798</v>
      </c>
      <c r="W29" s="131">
        <f>IF(SER_hh_tesh!W29=0,0,SER_hh_tesh!W29/SER_summary!W$26)</f>
        <v>17.451123204626498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20.661996709234224</v>
      </c>
      <c r="C30" s="133">
        <f>IF(SER_hh_tesh!C30=0,0,SER_hh_tesh!C30/SER_summary!C$26)</f>
        <v>7.0684515462099675</v>
      </c>
      <c r="D30" s="133">
        <f>IF(SER_hh_tesh!D30=0,0,SER_hh_tesh!D30/SER_summary!D$26)</f>
        <v>17.257205031312527</v>
      </c>
      <c r="E30" s="133">
        <f>IF(SER_hh_tesh!E30=0,0,SER_hh_tesh!E30/SER_summary!E$26)</f>
        <v>17.052105000589741</v>
      </c>
      <c r="F30" s="133">
        <f>IF(SER_hh_tesh!F30=0,0,SER_hh_tesh!F30/SER_summary!F$26)</f>
        <v>18.707093487115824</v>
      </c>
      <c r="G30" s="133">
        <f>IF(SER_hh_tesh!G30=0,0,SER_hh_tesh!G30/SER_summary!G$26)</f>
        <v>15.416064882558729</v>
      </c>
      <c r="H30" s="133">
        <f>IF(SER_hh_tesh!H30=0,0,SER_hh_tesh!H30/SER_summary!H$26)</f>
        <v>13.709418885563489</v>
      </c>
      <c r="I30" s="133">
        <f>IF(SER_hh_tesh!I30=0,0,SER_hh_tesh!I30/SER_summary!I$26)</f>
        <v>15.381905815928295</v>
      </c>
      <c r="J30" s="133">
        <f>IF(SER_hh_tesh!J30=0,0,SER_hh_tesh!J30/SER_summary!J$26)</f>
        <v>16.978691132762883</v>
      </c>
      <c r="K30" s="133">
        <f>IF(SER_hh_tesh!K30=0,0,SER_hh_tesh!K30/SER_summary!K$26)</f>
        <v>16.274378754492467</v>
      </c>
      <c r="L30" s="133">
        <f>IF(SER_hh_tesh!L30=0,0,SER_hh_tesh!L30/SER_summary!L$26)</f>
        <v>17.727377638528999</v>
      </c>
      <c r="M30" s="133">
        <f>IF(SER_hh_tesh!M30=0,0,SER_hh_tesh!M30/SER_summary!M$26)</f>
        <v>18.023721036159383</v>
      </c>
      <c r="N30" s="133">
        <f>IF(SER_hh_tesh!N30=0,0,SER_hh_tesh!N30/SER_summary!N$26)</f>
        <v>16.711417304116104</v>
      </c>
      <c r="O30" s="133">
        <f>IF(SER_hh_tesh!O30=0,0,SER_hh_tesh!O30/SER_summary!O$26)</f>
        <v>15.674979097394846</v>
      </c>
      <c r="P30" s="133">
        <f>IF(SER_hh_tesh!P30=0,0,SER_hh_tesh!P30/SER_summary!P$26)</f>
        <v>16.439582590707403</v>
      </c>
      <c r="Q30" s="133">
        <f>IF(SER_hh_tesh!Q30=0,0,SER_hh_tesh!Q30/SER_summary!Q$26)</f>
        <v>18.374252231356778</v>
      </c>
      <c r="R30" s="133">
        <f>IF(SER_hh_tesh!R30=0,0,SER_hh_tesh!R30/SER_summary!R$26)</f>
        <v>17.358904699034003</v>
      </c>
      <c r="S30" s="133">
        <f>IF(SER_hh_tesh!S30=0,0,SER_hh_tesh!S30/SER_summary!S$26)</f>
        <v>19.111320479945125</v>
      </c>
      <c r="T30" s="133">
        <f>IF(SER_hh_tesh!T30=0,0,SER_hh_tesh!T30/SER_summary!T$26)</f>
        <v>16.125161076600804</v>
      </c>
      <c r="U30" s="133">
        <f>IF(SER_hh_tesh!U30=0,0,SER_hh_tesh!U30/SER_summary!U$26)</f>
        <v>18.545545644970414</v>
      </c>
      <c r="V30" s="133">
        <f>IF(SER_hh_tesh!V30=0,0,SER_hh_tesh!V30/SER_summary!V$26)</f>
        <v>15.612231036699733</v>
      </c>
      <c r="W30" s="133">
        <f>IF(SER_hh_tesh!W30=0,0,SER_hh_tesh!W30/SER_summary!W$26)</f>
        <v>17.516045242112096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15.542749904785859</v>
      </c>
      <c r="C31" s="133">
        <f>IF(SER_hh_tesh!C31=0,0,SER_hh_tesh!C31/SER_summary!C$26)</f>
        <v>15.557109063624614</v>
      </c>
      <c r="D31" s="133">
        <f>IF(SER_hh_tesh!D31=0,0,SER_hh_tesh!D31/SER_summary!D$26)</f>
        <v>15.517075243328259</v>
      </c>
      <c r="E31" s="133">
        <f>IF(SER_hh_tesh!E31=0,0,SER_hh_tesh!E31/SER_summary!E$26)</f>
        <v>16.145382470409949</v>
      </c>
      <c r="F31" s="133">
        <f>IF(SER_hh_tesh!F31=0,0,SER_hh_tesh!F31/SER_summary!F$26)</f>
        <v>17.487647384920511</v>
      </c>
      <c r="G31" s="133">
        <f>IF(SER_hh_tesh!G31=0,0,SER_hh_tesh!G31/SER_summary!G$26)</f>
        <v>13.552444249864958</v>
      </c>
      <c r="H31" s="133">
        <f>IF(SER_hh_tesh!H31=0,0,SER_hh_tesh!H31/SER_summary!H$26)</f>
        <v>14.751525997155055</v>
      </c>
      <c r="I31" s="133">
        <f>IF(SER_hh_tesh!I31=0,0,SER_hh_tesh!I31/SER_summary!I$26)</f>
        <v>15.430382912717267</v>
      </c>
      <c r="J31" s="133">
        <f>IF(SER_hh_tesh!J31=0,0,SER_hh_tesh!J31/SER_summary!J$26)</f>
        <v>14.412131682768882</v>
      </c>
      <c r="K31" s="133">
        <f>IF(SER_hh_tesh!K31=0,0,SER_hh_tesh!K31/SER_summary!K$26)</f>
        <v>18.224223569800948</v>
      </c>
      <c r="L31" s="133">
        <f>IF(SER_hh_tesh!L31=0,0,SER_hh_tesh!L31/SER_summary!L$26)</f>
        <v>17.034506488270544</v>
      </c>
      <c r="M31" s="133">
        <f>IF(SER_hh_tesh!M31=0,0,SER_hh_tesh!M31/SER_summary!M$26)</f>
        <v>17.236826286976036</v>
      </c>
      <c r="N31" s="133">
        <f>IF(SER_hh_tesh!N31=0,0,SER_hh_tesh!N31/SER_summary!N$26)</f>
        <v>16.107726933531151</v>
      </c>
      <c r="O31" s="133">
        <f>IF(SER_hh_tesh!O31=0,0,SER_hh_tesh!O31/SER_summary!O$26)</f>
        <v>16.951198780942072</v>
      </c>
      <c r="P31" s="133">
        <f>IF(SER_hh_tesh!P31=0,0,SER_hh_tesh!P31/SER_summary!P$26)</f>
        <v>17.75489117546433</v>
      </c>
      <c r="Q31" s="133">
        <f>IF(SER_hh_tesh!Q31=0,0,SER_hh_tesh!Q31/SER_summary!Q$26)</f>
        <v>18.179863905560939</v>
      </c>
      <c r="R31" s="133">
        <f>IF(SER_hh_tesh!R31=0,0,SER_hh_tesh!R31/SER_summary!R$26)</f>
        <v>17.334133262922517</v>
      </c>
      <c r="S31" s="133">
        <f>IF(SER_hh_tesh!S31=0,0,SER_hh_tesh!S31/SER_summary!S$26)</f>
        <v>17.620370670199534</v>
      </c>
      <c r="T31" s="133">
        <f>IF(SER_hh_tesh!T31=0,0,SER_hh_tesh!T31/SER_summary!T$26)</f>
        <v>17.94235862523059</v>
      </c>
      <c r="U31" s="133">
        <f>IF(SER_hh_tesh!U31=0,0,SER_hh_tesh!U31/SER_summary!U$26)</f>
        <v>17.121230162455369</v>
      </c>
      <c r="V31" s="133">
        <f>IF(SER_hh_tesh!V31=0,0,SER_hh_tesh!V31/SER_summary!V$26)</f>
        <v>15.193232220397192</v>
      </c>
      <c r="W31" s="133">
        <f>IF(SER_hh_tesh!W31=0,0,SER_hh_tesh!W31/SER_summary!W$26)</f>
        <v>20.409617049751411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14.364491462514129</v>
      </c>
      <c r="C33" s="68">
        <f>IF(SER_hh_tesh!C33=0,0,SER_hh_tesh!C33/SER_summary!C$26)</f>
        <v>17.470204218089286</v>
      </c>
      <c r="D33" s="68">
        <f>IF(SER_hh_tesh!D33=0,0,SER_hh_tesh!D33/SER_summary!D$26)</f>
        <v>15.103949180770304</v>
      </c>
      <c r="E33" s="68">
        <f>IF(SER_hh_tesh!E33=0,0,SER_hh_tesh!E33/SER_summary!E$26)</f>
        <v>14.087388253638945</v>
      </c>
      <c r="F33" s="68">
        <f>IF(SER_hh_tesh!F33=0,0,SER_hh_tesh!F33/SER_summary!F$26)</f>
        <v>13.176658521037522</v>
      </c>
      <c r="G33" s="68">
        <f>IF(SER_hh_tesh!G33=0,0,SER_hh_tesh!G33/SER_summary!G$26)</f>
        <v>16.776587259433008</v>
      </c>
      <c r="H33" s="68">
        <f>IF(SER_hh_tesh!H33=0,0,SER_hh_tesh!H33/SER_summary!H$26)</f>
        <v>16.522441818340539</v>
      </c>
      <c r="I33" s="68">
        <f>IF(SER_hh_tesh!I33=0,0,SER_hh_tesh!I33/SER_summary!I$26)</f>
        <v>16.063242675177595</v>
      </c>
      <c r="J33" s="68">
        <f>IF(SER_hh_tesh!J33=0,0,SER_hh_tesh!J33/SER_summary!J$26)</f>
        <v>16.31154426812903</v>
      </c>
      <c r="K33" s="68">
        <f>IF(SER_hh_tesh!K33=0,0,SER_hh_tesh!K33/SER_summary!K$26)</f>
        <v>16.004023090519809</v>
      </c>
      <c r="L33" s="68">
        <f>IF(SER_hh_tesh!L33=0,0,SER_hh_tesh!L33/SER_summary!L$26)</f>
        <v>16.534510163345164</v>
      </c>
      <c r="M33" s="68">
        <f>IF(SER_hh_tesh!M33=0,0,SER_hh_tesh!M33/SER_summary!M$26)</f>
        <v>16.554424090035614</v>
      </c>
      <c r="N33" s="68">
        <f>IF(SER_hh_tesh!N33=0,0,SER_hh_tesh!N33/SER_summary!N$26)</f>
        <v>17.656282139568013</v>
      </c>
      <c r="O33" s="68">
        <f>IF(SER_hh_tesh!O33=0,0,SER_hh_tesh!O33/SER_summary!O$26)</f>
        <v>17.759197412500033</v>
      </c>
      <c r="P33" s="68">
        <f>IF(SER_hh_tesh!P33=0,0,SER_hh_tesh!P33/SER_summary!P$26)</f>
        <v>17.385674282555431</v>
      </c>
      <c r="Q33" s="68">
        <f>IF(SER_hh_tesh!Q33=0,0,SER_hh_tesh!Q33/SER_summary!Q$26)</f>
        <v>16.99027789419247</v>
      </c>
      <c r="R33" s="68">
        <f>IF(SER_hh_tesh!R33=0,0,SER_hh_tesh!R33/SER_summary!R$26)</f>
        <v>18.058154478478212</v>
      </c>
      <c r="S33" s="68">
        <f>IF(SER_hh_tesh!S33=0,0,SER_hh_tesh!S33/SER_summary!S$26)</f>
        <v>17.434984012587133</v>
      </c>
      <c r="T33" s="68">
        <f>IF(SER_hh_tesh!T33=0,0,SER_hh_tesh!T33/SER_summary!T$26)</f>
        <v>17.863914350581879</v>
      </c>
      <c r="U33" s="68">
        <f>IF(SER_hh_tesh!U33=0,0,SER_hh_tesh!U33/SER_summary!U$26)</f>
        <v>17.710139572074308</v>
      </c>
      <c r="V33" s="68">
        <f>IF(SER_hh_tesh!V33=0,0,SER_hh_tesh!V33/SER_summary!V$26)</f>
        <v>16.746011367456784</v>
      </c>
      <c r="W33" s="68">
        <f>IF(SER_hh_tesh!W33=0,0,SER_hh_tesh!W33/SER_summary!W$26)</f>
        <v>15.972513958028607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33.172689272585487</v>
      </c>
      <c r="C3" s="126">
        <f>IF(SER_hh_emih!C3=0,0,SER_hh_emih!C3/SER_summary!C$26)</f>
        <v>33.930370928656068</v>
      </c>
      <c r="D3" s="126">
        <f>IF(SER_hh_emih!D3=0,0,SER_hh_emih!D3/SER_summary!D$26)</f>
        <v>29.937620580574301</v>
      </c>
      <c r="E3" s="126">
        <f>IF(SER_hh_emih!E3=0,0,SER_hh_emih!E3/SER_summary!E$26)</f>
        <v>33.596422307457992</v>
      </c>
      <c r="F3" s="126">
        <f>IF(SER_hh_emih!F3=0,0,SER_hh_emih!F3/SER_summary!F$26)</f>
        <v>33.677158787789864</v>
      </c>
      <c r="G3" s="126">
        <f>IF(SER_hh_emih!G3=0,0,SER_hh_emih!G3/SER_summary!G$26)</f>
        <v>31.484204384521664</v>
      </c>
      <c r="H3" s="126">
        <f>IF(SER_hh_emih!H3=0,0,SER_hh_emih!H3/SER_summary!H$26)</f>
        <v>28.091353348951753</v>
      </c>
      <c r="I3" s="126">
        <f>IF(SER_hh_emih!I3=0,0,SER_hh_emih!I3/SER_summary!I$26)</f>
        <v>26.817926242265738</v>
      </c>
      <c r="J3" s="126">
        <f>IF(SER_hh_emih!J3=0,0,SER_hh_emih!J3/SER_summary!J$26)</f>
        <v>27.436696491491311</v>
      </c>
      <c r="K3" s="126">
        <f>IF(SER_hh_emih!K3=0,0,SER_hh_emih!K3/SER_summary!K$26)</f>
        <v>29.798389812317307</v>
      </c>
      <c r="L3" s="126">
        <f>IF(SER_hh_emih!L3=0,0,SER_hh_emih!L3/SER_summary!L$26)</f>
        <v>30.294571688717742</v>
      </c>
      <c r="M3" s="126">
        <f>IF(SER_hh_emih!M3=0,0,SER_hh_emih!M3/SER_summary!M$26)</f>
        <v>23.610879396006396</v>
      </c>
      <c r="N3" s="126">
        <f>IF(SER_hh_emih!N3=0,0,SER_hh_emih!N3/SER_summary!N$26)</f>
        <v>25.292167260120411</v>
      </c>
      <c r="O3" s="126">
        <f>IF(SER_hh_emih!O3=0,0,SER_hh_emih!O3/SER_summary!O$26)</f>
        <v>26.385316596063682</v>
      </c>
      <c r="P3" s="126">
        <f>IF(SER_hh_emih!P3=0,0,SER_hh_emih!P3/SER_summary!P$26)</f>
        <v>22.778374230531227</v>
      </c>
      <c r="Q3" s="126">
        <f>IF(SER_hh_emih!Q3=0,0,SER_hh_emih!Q3/SER_summary!Q$26)</f>
        <v>23.901560484489789</v>
      </c>
      <c r="R3" s="126">
        <f>IF(SER_hh_emih!R3=0,0,SER_hh_emih!R3/SER_summary!R$26)</f>
        <v>22.92316247738551</v>
      </c>
      <c r="S3" s="126">
        <f>IF(SER_hh_emih!S3=0,0,SER_hh_emih!S3/SER_summary!S$26)</f>
        <v>23.584526820953869</v>
      </c>
      <c r="T3" s="126">
        <f>IF(SER_hh_emih!T3=0,0,SER_hh_emih!T3/SER_summary!T$26)</f>
        <v>23.26635372511139</v>
      </c>
      <c r="U3" s="126">
        <f>IF(SER_hh_emih!U3=0,0,SER_hh_emih!U3/SER_summary!U$26)</f>
        <v>22.571069188251549</v>
      </c>
      <c r="V3" s="126">
        <f>IF(SER_hh_emih!V3=0,0,SER_hh_emih!V3/SER_summary!V$26)</f>
        <v>20.749285224380557</v>
      </c>
      <c r="W3" s="126">
        <f>IF(SER_hh_emih!W3=0,0,SER_hh_emih!W3/SER_summary!W$26)</f>
        <v>22.37839745999743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27.390694170180108</v>
      </c>
      <c r="C4" s="131">
        <f>IF(SER_hh_emih!C4=0,0,SER_hh_emih!C4/SER_summary!C$26)</f>
        <v>28.798110114627544</v>
      </c>
      <c r="D4" s="131">
        <f>IF(SER_hh_emih!D4=0,0,SER_hh_emih!D4/SER_summary!D$26)</f>
        <v>24.054895908266598</v>
      </c>
      <c r="E4" s="131">
        <f>IF(SER_hh_emih!E4=0,0,SER_hh_emih!E4/SER_summary!E$26)</f>
        <v>27.537083160640815</v>
      </c>
      <c r="F4" s="131">
        <f>IF(SER_hh_emih!F4=0,0,SER_hh_emih!F4/SER_summary!F$26)</f>
        <v>27.526646126002827</v>
      </c>
      <c r="G4" s="131">
        <f>IF(SER_hh_emih!G4=0,0,SER_hh_emih!G4/SER_summary!G$26)</f>
        <v>26.482688692629242</v>
      </c>
      <c r="H4" s="131">
        <f>IF(SER_hh_emih!H4=0,0,SER_hh_emih!H4/SER_summary!H$26)</f>
        <v>23.515678536328963</v>
      </c>
      <c r="I4" s="131">
        <f>IF(SER_hh_emih!I4=0,0,SER_hh_emih!I4/SER_summary!I$26)</f>
        <v>22.274846396917287</v>
      </c>
      <c r="J4" s="131">
        <f>IF(SER_hh_emih!J4=0,0,SER_hh_emih!J4/SER_summary!J$26)</f>
        <v>22.834384008868337</v>
      </c>
      <c r="K4" s="131">
        <f>IF(SER_hh_emih!K4=0,0,SER_hh_emih!K4/SER_summary!K$26)</f>
        <v>24.763480774859154</v>
      </c>
      <c r="L4" s="131">
        <f>IF(SER_hh_emih!L4=0,0,SER_hh_emih!L4/SER_summary!L$26)</f>
        <v>25.415533989546468</v>
      </c>
      <c r="M4" s="131">
        <f>IF(SER_hh_emih!M4=0,0,SER_hh_emih!M4/SER_summary!M$26)</f>
        <v>18.801135285785715</v>
      </c>
      <c r="N4" s="131">
        <f>IF(SER_hh_emih!N4=0,0,SER_hh_emih!N4/SER_summary!N$26)</f>
        <v>20.92940885059102</v>
      </c>
      <c r="O4" s="131">
        <f>IF(SER_hh_emih!O4=0,0,SER_hh_emih!O4/SER_summary!O$26)</f>
        <v>21.981106729134375</v>
      </c>
      <c r="P4" s="131">
        <f>IF(SER_hh_emih!P4=0,0,SER_hh_emih!P4/SER_summary!P$26)</f>
        <v>18.279344041384103</v>
      </c>
      <c r="Q4" s="131">
        <f>IF(SER_hh_emih!Q4=0,0,SER_hh_emih!Q4/SER_summary!Q$26)</f>
        <v>19.108541782650025</v>
      </c>
      <c r="R4" s="131">
        <f>IF(SER_hh_emih!R4=0,0,SER_hh_emih!R4/SER_summary!R$26)</f>
        <v>18.382369713569499</v>
      </c>
      <c r="S4" s="131">
        <f>IF(SER_hh_emih!S4=0,0,SER_hh_emih!S4/SER_summary!S$26)</f>
        <v>18.953445667118633</v>
      </c>
      <c r="T4" s="131">
        <f>IF(SER_hh_emih!T4=0,0,SER_hh_emih!T4/SER_summary!T$26)</f>
        <v>18.957129220950602</v>
      </c>
      <c r="U4" s="131">
        <f>IF(SER_hh_emih!U4=0,0,SER_hh_emih!U4/SER_summary!U$26)</f>
        <v>18.305897938242119</v>
      </c>
      <c r="V4" s="131">
        <f>IF(SER_hh_emih!V4=0,0,SER_hh_emih!V4/SER_summary!V$26)</f>
        <v>16.908450569932821</v>
      </c>
      <c r="W4" s="131">
        <f>IF(SER_hh_emih!W4=0,0,SER_hh_emih!W4/SER_summary!W$26)</f>
        <v>17.916886157943928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66.825227352691087</v>
      </c>
      <c r="C5" s="133">
        <f>IF(SER_hh_emih!C5=0,0,SER_hh_emih!C5/SER_summary!C$26)</f>
        <v>71.514434705303401</v>
      </c>
      <c r="D5" s="133">
        <f>IF(SER_hh_emih!D5=0,0,SER_hh_emih!D5/SER_summary!D$26)</f>
        <v>57.27608723486685</v>
      </c>
      <c r="E5" s="133">
        <f>IF(SER_hh_emih!E5=0,0,SER_hh_emih!E5/SER_summary!E$26)</f>
        <v>68.722149764224326</v>
      </c>
      <c r="F5" s="133">
        <f>IF(SER_hh_emih!F5=0,0,SER_hh_emih!F5/SER_summary!F$26)</f>
        <v>68.959844240963349</v>
      </c>
      <c r="G5" s="133">
        <f>IF(SER_hh_emih!G5=0,0,SER_hh_emih!G5/SER_summary!G$26)</f>
        <v>70.15497166728025</v>
      </c>
      <c r="H5" s="133">
        <f>IF(SER_hh_emih!H5=0,0,SER_hh_emih!H5/SER_summary!H$26)</f>
        <v>65.888459279433903</v>
      </c>
      <c r="I5" s="133">
        <f>IF(SER_hh_emih!I5=0,0,SER_hh_emih!I5/SER_summary!I$26)</f>
        <v>62.487539311007772</v>
      </c>
      <c r="J5" s="133">
        <f>IF(SER_hh_emih!J5=0,0,SER_hh_emih!J5/SER_summary!J$26)</f>
        <v>58.847112836359251</v>
      </c>
      <c r="K5" s="133">
        <f>IF(SER_hh_emih!K5=0,0,SER_hh_emih!K5/SER_summary!K$26)</f>
        <v>60.368082181446866</v>
      </c>
      <c r="L5" s="133">
        <f>IF(SER_hh_emih!L5=0,0,SER_hh_emih!L5/SER_summary!L$26)</f>
        <v>81.157521679517899</v>
      </c>
      <c r="M5" s="133">
        <f>IF(SER_hh_emih!M5=0,0,SER_hh_emih!M5/SER_summary!M$26)</f>
        <v>33.039895032949829</v>
      </c>
      <c r="N5" s="133">
        <f>IF(SER_hh_emih!N5=0,0,SER_hh_emih!N5/SER_summary!N$26)</f>
        <v>47.54897989952191</v>
      </c>
      <c r="O5" s="133">
        <f>IF(SER_hh_emih!O5=0,0,SER_hh_emih!O5/SER_summary!O$26)</f>
        <v>60.255628123379893</v>
      </c>
      <c r="P5" s="133">
        <f>IF(SER_hh_emih!P5=0,0,SER_hh_emih!P5/SER_summary!P$26)</f>
        <v>46.699893745554164</v>
      </c>
      <c r="Q5" s="133">
        <f>IF(SER_hh_emih!Q5=0,0,SER_hh_emih!Q5/SER_summary!Q$26)</f>
        <v>49.635856898210463</v>
      </c>
      <c r="R5" s="133">
        <f>IF(SER_hh_emih!R5=0,0,SER_hh_emih!R5/SER_summary!R$26)</f>
        <v>53.407418282450557</v>
      </c>
      <c r="S5" s="133">
        <f>IF(SER_hh_emih!S5=0,0,SER_hh_emih!S5/SER_summary!S$26)</f>
        <v>52.972829772073133</v>
      </c>
      <c r="T5" s="133">
        <f>IF(SER_hh_emih!T5=0,0,SER_hh_emih!T5/SER_summary!T$26)</f>
        <v>49.38763766456816</v>
      </c>
      <c r="U5" s="133">
        <f>IF(SER_hh_emih!U5=0,0,SER_hh_emih!U5/SER_summary!U$26)</f>
        <v>48.784481551742481</v>
      </c>
      <c r="V5" s="133">
        <f>IF(SER_hh_emih!V5=0,0,SER_hh_emih!V5/SER_summary!V$26)</f>
        <v>42.945506199625243</v>
      </c>
      <c r="W5" s="133">
        <f>IF(SER_hh_emih!W5=0,0,SER_hh_emih!W5/SER_summary!W$26)</f>
        <v>49.069378571208503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55.998664807836413</v>
      </c>
      <c r="C7" s="133">
        <f>IF(SER_hh_emih!C7=0,0,SER_hh_emih!C7/SER_summary!C$26)</f>
        <v>61.865240346801585</v>
      </c>
      <c r="D7" s="133">
        <f>IF(SER_hh_emih!D7=0,0,SER_hh_emih!D7/SER_summary!D$26)</f>
        <v>54.708807359259403</v>
      </c>
      <c r="E7" s="133">
        <f>IF(SER_hh_emih!E7=0,0,SER_hh_emih!E7/SER_summary!E$26)</f>
        <v>59.568583150448418</v>
      </c>
      <c r="F7" s="133">
        <f>IF(SER_hh_emih!F7=0,0,SER_hh_emih!F7/SER_summary!F$26)</f>
        <v>61.374256739903238</v>
      </c>
      <c r="G7" s="133">
        <f>IF(SER_hh_emih!G7=0,0,SER_hh_emih!G7/SER_summary!G$26)</f>
        <v>59.860296120133675</v>
      </c>
      <c r="H7" s="133">
        <f>IF(SER_hh_emih!H7=0,0,SER_hh_emih!H7/SER_summary!H$26)</f>
        <v>55.299191019591412</v>
      </c>
      <c r="I7" s="133">
        <f>IF(SER_hh_emih!I7=0,0,SER_hh_emih!I7/SER_summary!I$26)</f>
        <v>47.561045854384957</v>
      </c>
      <c r="J7" s="133">
        <f>IF(SER_hh_emih!J7=0,0,SER_hh_emih!J7/SER_summary!J$26)</f>
        <v>56.377561904924143</v>
      </c>
      <c r="K7" s="133">
        <f>IF(SER_hh_emih!K7=0,0,SER_hh_emih!K7/SER_summary!K$26)</f>
        <v>55.100824515196372</v>
      </c>
      <c r="L7" s="133">
        <f>IF(SER_hh_emih!L7=0,0,SER_hh_emih!L7/SER_summary!L$26)</f>
        <v>53.231715336106163</v>
      </c>
      <c r="M7" s="133">
        <f>IF(SER_hh_emih!M7=0,0,SER_hh_emih!M7/SER_summary!M$26)</f>
        <v>45.717532857524766</v>
      </c>
      <c r="N7" s="133">
        <f>IF(SER_hh_emih!N7=0,0,SER_hh_emih!N7/SER_summary!N$26)</f>
        <v>47.532600460141033</v>
      </c>
      <c r="O7" s="133">
        <f>IF(SER_hh_emih!O7=0,0,SER_hh_emih!O7/SER_summary!O$26)</f>
        <v>48.691215072101997</v>
      </c>
      <c r="P7" s="133">
        <f>IF(SER_hh_emih!P7=0,0,SER_hh_emih!P7/SER_summary!P$26)</f>
        <v>42.853492633321558</v>
      </c>
      <c r="Q7" s="133">
        <f>IF(SER_hh_emih!Q7=0,0,SER_hh_emih!Q7/SER_summary!Q$26)</f>
        <v>45.04890166247575</v>
      </c>
      <c r="R7" s="133">
        <f>IF(SER_hh_emih!R7=0,0,SER_hh_emih!R7/SER_summary!R$26)</f>
        <v>41.609262583907245</v>
      </c>
      <c r="S7" s="133">
        <f>IF(SER_hh_emih!S7=0,0,SER_hh_emih!S7/SER_summary!S$26)</f>
        <v>43.939444778437384</v>
      </c>
      <c r="T7" s="133">
        <f>IF(SER_hh_emih!T7=0,0,SER_hh_emih!T7/SER_summary!T$26)</f>
        <v>42.405149882231051</v>
      </c>
      <c r="U7" s="133">
        <f>IF(SER_hh_emih!U7=0,0,SER_hh_emih!U7/SER_summary!U$26)</f>
        <v>40.865796180293408</v>
      </c>
      <c r="V7" s="133">
        <f>IF(SER_hh_emih!V7=0,0,SER_hh_emih!V7/SER_summary!V$26)</f>
        <v>38.482135647662474</v>
      </c>
      <c r="W7" s="133">
        <f>IF(SER_hh_emih!W7=0,0,SER_hh_emih!W7/SER_summary!W$26)</f>
        <v>39.664961656102527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15.176246549369043</v>
      </c>
      <c r="C8" s="133">
        <f>IF(SER_hh_emih!C8=0,0,SER_hh_emih!C8/SER_summary!C$26)</f>
        <v>17.754289794867908</v>
      </c>
      <c r="D8" s="133">
        <f>IF(SER_hh_emih!D8=0,0,SER_hh_emih!D8/SER_summary!D$26)</f>
        <v>14.227391399580398</v>
      </c>
      <c r="E8" s="133">
        <f>IF(SER_hh_emih!E8=0,0,SER_hh_emih!E8/SER_summary!E$26)</f>
        <v>15.042740475310046</v>
      </c>
      <c r="F8" s="133">
        <f>IF(SER_hh_emih!F8=0,0,SER_hh_emih!F8/SER_summary!F$26)</f>
        <v>13.696421445585177</v>
      </c>
      <c r="G8" s="133">
        <f>IF(SER_hh_emih!G8=0,0,SER_hh_emih!G8/SER_summary!G$26)</f>
        <v>17.723706898391498</v>
      </c>
      <c r="H8" s="133">
        <f>IF(SER_hh_emih!H8=0,0,SER_hh_emih!H8/SER_summary!H$26)</f>
        <v>15.301171027177089</v>
      </c>
      <c r="I8" s="133">
        <f>IF(SER_hh_emih!I8=0,0,SER_hh_emih!I8/SER_summary!I$26)</f>
        <v>14.975893952980627</v>
      </c>
      <c r="J8" s="133">
        <f>IF(SER_hh_emih!J8=0,0,SER_hh_emih!J8/SER_summary!J$26)</f>
        <v>15.332879530669135</v>
      </c>
      <c r="K8" s="133">
        <f>IF(SER_hh_emih!K8=0,0,SER_hh_emih!K8/SER_summary!K$26)</f>
        <v>11.896563832910779</v>
      </c>
      <c r="L8" s="133">
        <f>IF(SER_hh_emih!L8=0,0,SER_hh_emih!L8/SER_summary!L$26)</f>
        <v>9.7463475258136665</v>
      </c>
      <c r="M8" s="133">
        <f>IF(SER_hh_emih!M8=0,0,SER_hh_emih!M8/SER_summary!M$26)</f>
        <v>12.691512105927627</v>
      </c>
      <c r="N8" s="133">
        <f>IF(SER_hh_emih!N8=0,0,SER_hh_emih!N8/SER_summary!N$26)</f>
        <v>11.134795522871329</v>
      </c>
      <c r="O8" s="133">
        <f>IF(SER_hh_emih!O8=0,0,SER_hh_emih!O8/SER_summary!O$26)</f>
        <v>11.642684510983059</v>
      </c>
      <c r="P8" s="133">
        <f>IF(SER_hh_emih!P8=0,0,SER_hh_emih!P8/SER_summary!P$26)</f>
        <v>9.7174638499223498</v>
      </c>
      <c r="Q8" s="133">
        <f>IF(SER_hh_emih!Q8=0,0,SER_hh_emih!Q8/SER_summary!Q$26)</f>
        <v>10.138531695155631</v>
      </c>
      <c r="R8" s="133">
        <f>IF(SER_hh_emih!R8=0,0,SER_hh_emih!R8/SER_summary!R$26)</f>
        <v>9.9565525925184826</v>
      </c>
      <c r="S8" s="133">
        <f>IF(SER_hh_emih!S8=0,0,SER_hh_emih!S8/SER_summary!S$26)</f>
        <v>9.6247191730359134</v>
      </c>
      <c r="T8" s="133">
        <f>IF(SER_hh_emih!T8=0,0,SER_hh_emih!T8/SER_summary!T$26)</f>
        <v>9.4958754600808746</v>
      </c>
      <c r="U8" s="133">
        <f>IF(SER_hh_emih!U8=0,0,SER_hh_emih!U8/SER_summary!U$26)</f>
        <v>9.2909158352642383</v>
      </c>
      <c r="V8" s="133">
        <f>IF(SER_hh_emih!V8=0,0,SER_hh_emih!V8/SER_summary!V$26)</f>
        <v>8.0336561862751896</v>
      </c>
      <c r="W8" s="133">
        <f>IF(SER_hh_emih!W8=0,0,SER_hh_emih!W8/SER_summary!W$26)</f>
        <v>9.1649622495197356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38.848036351483636</v>
      </c>
      <c r="C9" s="133">
        <f>IF(SER_hh_emih!C9=0,0,SER_hh_emih!C9/SER_summary!C$26)</f>
        <v>40.851764268795669</v>
      </c>
      <c r="D9" s="133">
        <f>IF(SER_hh_emih!D9=0,0,SER_hh_emih!D9/SER_summary!D$26)</f>
        <v>32.989106259412786</v>
      </c>
      <c r="E9" s="133">
        <f>IF(SER_hh_emih!E9=0,0,SER_hh_emih!E9/SER_summary!E$26)</f>
        <v>40.799449248789315</v>
      </c>
      <c r="F9" s="133">
        <f>IF(SER_hh_emih!F9=0,0,SER_hh_emih!F9/SER_summary!F$26)</f>
        <v>39.763505149375767</v>
      </c>
      <c r="G9" s="133">
        <f>IF(SER_hh_emih!G9=0,0,SER_hh_emih!G9/SER_summary!G$26)</f>
        <v>40.156890413902971</v>
      </c>
      <c r="H9" s="133">
        <f>IF(SER_hh_emih!H9=0,0,SER_hh_emih!H9/SER_summary!H$26)</f>
        <v>34.317913712142442</v>
      </c>
      <c r="I9" s="133">
        <f>IF(SER_hh_emih!I9=0,0,SER_hh_emih!I9/SER_summary!I$26)</f>
        <v>33.766507549271019</v>
      </c>
      <c r="J9" s="133">
        <f>IF(SER_hh_emih!J9=0,0,SER_hh_emih!J9/SER_summary!J$26)</f>
        <v>29.319576897736102</v>
      </c>
      <c r="K9" s="133">
        <f>IF(SER_hh_emih!K9=0,0,SER_hh_emih!K9/SER_summary!K$26)</f>
        <v>34.976577861408735</v>
      </c>
      <c r="L9" s="133">
        <f>IF(SER_hh_emih!L9=0,0,SER_hh_emih!L9/SER_summary!L$26)</f>
        <v>38.64174675107266</v>
      </c>
      <c r="M9" s="133">
        <f>IF(SER_hh_emih!M9=0,0,SER_hh_emih!M9/SER_summary!M$26)</f>
        <v>27.102166125211568</v>
      </c>
      <c r="N9" s="133">
        <f>IF(SER_hh_emih!N9=0,0,SER_hh_emih!N9/SER_summary!N$26)</f>
        <v>31.708075671638177</v>
      </c>
      <c r="O9" s="133">
        <f>IF(SER_hh_emih!O9=0,0,SER_hh_emih!O9/SER_summary!O$26)</f>
        <v>33.243689681187874</v>
      </c>
      <c r="P9" s="133">
        <f>IF(SER_hh_emih!P9=0,0,SER_hh_emih!P9/SER_summary!P$26)</f>
        <v>26.519370143762142</v>
      </c>
      <c r="Q9" s="133">
        <f>IF(SER_hh_emih!Q9=0,0,SER_hh_emih!Q9/SER_summary!Q$26)</f>
        <v>28.268192900281793</v>
      </c>
      <c r="R9" s="133">
        <f>IF(SER_hh_emih!R9=0,0,SER_hh_emih!R9/SER_summary!R$26)</f>
        <v>27.968564780590675</v>
      </c>
      <c r="S9" s="133">
        <f>IF(SER_hh_emih!S9=0,0,SER_hh_emih!S9/SER_summary!S$26)</f>
        <v>28.033520840230533</v>
      </c>
      <c r="T9" s="133">
        <f>IF(SER_hh_emih!T9=0,0,SER_hh_emih!T9/SER_summary!T$26)</f>
        <v>28.197528789544446</v>
      </c>
      <c r="U9" s="133">
        <f>IF(SER_hh_emih!U9=0,0,SER_hh_emih!U9/SER_summary!U$26)</f>
        <v>26.80723636875075</v>
      </c>
      <c r="V9" s="133">
        <f>IF(SER_hh_emih!V9=0,0,SER_hh_emih!V9/SER_summary!V$26)</f>
        <v>24.061593821914961</v>
      </c>
      <c r="W9" s="133">
        <f>IF(SER_hh_emih!W9=0,0,SER_hh_emih!W9/SER_summary!W$26)</f>
        <v>25.708627604554135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39.930758347566041</v>
      </c>
      <c r="C10" s="133">
        <f>IF(SER_hh_emih!C10=0,0,SER_hh_emih!C10/SER_summary!C$26)</f>
        <v>41.129773374824559</v>
      </c>
      <c r="D10" s="133">
        <f>IF(SER_hh_emih!D10=0,0,SER_hh_emih!D10/SER_summary!D$26)</f>
        <v>40.71535662046751</v>
      </c>
      <c r="E10" s="133">
        <f>IF(SER_hh_emih!E10=0,0,SER_hh_emih!E10/SER_summary!E$26)</f>
        <v>44.82182197493011</v>
      </c>
      <c r="F10" s="133">
        <f>IF(SER_hh_emih!F10=0,0,SER_hh_emih!F10/SER_summary!F$26)</f>
        <v>50.69216295730363</v>
      </c>
      <c r="G10" s="133">
        <f>IF(SER_hh_emih!G10=0,0,SER_hh_emih!G10/SER_summary!G$26)</f>
        <v>15.085558218241982</v>
      </c>
      <c r="H10" s="133">
        <f>IF(SER_hh_emih!H10=0,0,SER_hh_emih!H10/SER_summary!H$26)</f>
        <v>13.34006355150405</v>
      </c>
      <c r="I10" s="133">
        <f>IF(SER_hh_emih!I10=0,0,SER_hh_emih!I10/SER_summary!I$26)</f>
        <v>22.726525365178833</v>
      </c>
      <c r="J10" s="133">
        <f>IF(SER_hh_emih!J10=0,0,SER_hh_emih!J10/SER_summary!J$26)</f>
        <v>23.172239284232585</v>
      </c>
      <c r="K10" s="133">
        <f>IF(SER_hh_emih!K10=0,0,SER_hh_emih!K10/SER_summary!K$26)</f>
        <v>31.905409155707773</v>
      </c>
      <c r="L10" s="133">
        <f>IF(SER_hh_emih!L10=0,0,SER_hh_emih!L10/SER_summary!L$26)</f>
        <v>28.364709080354952</v>
      </c>
      <c r="M10" s="133">
        <f>IF(SER_hh_emih!M10=0,0,SER_hh_emih!M10/SER_summary!M$26)</f>
        <v>16.071262525211022</v>
      </c>
      <c r="N10" s="133">
        <f>IF(SER_hh_emih!N10=0,0,SER_hh_emih!N10/SER_summary!N$26)</f>
        <v>16.516863012394897</v>
      </c>
      <c r="O10" s="133">
        <f>IF(SER_hh_emih!O10=0,0,SER_hh_emih!O10/SER_summary!O$26)</f>
        <v>18.878660001662123</v>
      </c>
      <c r="P10" s="133">
        <f>IF(SER_hh_emih!P10=0,0,SER_hh_emih!P10/SER_summary!P$26)</f>
        <v>14.756877247016678</v>
      </c>
      <c r="Q10" s="133">
        <f>IF(SER_hh_emih!Q10=0,0,SER_hh_emih!Q10/SER_summary!Q$26)</f>
        <v>10.713605880129217</v>
      </c>
      <c r="R10" s="133">
        <f>IF(SER_hh_emih!R10=0,0,SER_hh_emih!R10/SER_summary!R$26)</f>
        <v>12.643626676480388</v>
      </c>
      <c r="S10" s="133">
        <f>IF(SER_hh_emih!S10=0,0,SER_hh_emih!S10/SER_summary!S$26)</f>
        <v>14.088207951699637</v>
      </c>
      <c r="T10" s="133">
        <f>IF(SER_hh_emih!T10=0,0,SER_hh_emih!T10/SER_summary!T$26)</f>
        <v>11.332259793500347</v>
      </c>
      <c r="U10" s="133">
        <f>IF(SER_hh_emih!U10=0,0,SER_hh_emih!U10/SER_summary!U$26)</f>
        <v>11.156132632200439</v>
      </c>
      <c r="V10" s="133">
        <f>IF(SER_hh_emih!V10=0,0,SER_hh_emih!V10/SER_summary!V$26)</f>
        <v>13.693254754976559</v>
      </c>
      <c r="W10" s="133">
        <f>IF(SER_hh_emih!W10=0,0,SER_hh_emih!W10/SER_summary!W$26)</f>
        <v>15.375474569898074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1.3351969383623388E-2</v>
      </c>
      <c r="C16" s="131">
        <f>IF(SER_hh_emih!C16=0,0,SER_hh_emih!C16/SER_summary!C$26)</f>
        <v>1.5556589789276629E-2</v>
      </c>
      <c r="D16" s="131">
        <f>IF(SER_hh_emih!D16=0,0,SER_hh_emih!D16/SER_summary!D$26)</f>
        <v>1.5795805471278641E-2</v>
      </c>
      <c r="E16" s="131">
        <f>IF(SER_hh_emih!E16=0,0,SER_hh_emih!E16/SER_summary!E$26)</f>
        <v>3.9379607286955151E-2</v>
      </c>
      <c r="F16" s="131">
        <f>IF(SER_hh_emih!F16=0,0,SER_hh_emih!F16/SER_summary!F$26)</f>
        <v>2.0744881153368006E-2</v>
      </c>
      <c r="G16" s="131">
        <f>IF(SER_hh_emih!G16=0,0,SER_hh_emih!G16/SER_summary!G$26)</f>
        <v>2.1240434174346162E-2</v>
      </c>
      <c r="H16" s="131">
        <f>IF(SER_hh_emih!H16=0,0,SER_hh_emih!H16/SER_summary!H$26)</f>
        <v>3.4251558375360501E-2</v>
      </c>
      <c r="I16" s="131">
        <f>IF(SER_hh_emih!I16=0,0,SER_hh_emih!I16/SER_summary!I$26)</f>
        <v>2.8732366195240621E-2</v>
      </c>
      <c r="J16" s="131">
        <f>IF(SER_hh_emih!J16=0,0,SER_hh_emih!J16/SER_summary!J$26)</f>
        <v>3.3732651268077438E-2</v>
      </c>
      <c r="K16" s="131">
        <f>IF(SER_hh_emih!K16=0,0,SER_hh_emih!K16/SER_summary!K$26)</f>
        <v>3.7117224893120589E-2</v>
      </c>
      <c r="L16" s="131">
        <f>IF(SER_hh_emih!L16=0,0,SER_hh_emih!L16/SER_summary!L$26)</f>
        <v>4.0968047564620649E-2</v>
      </c>
      <c r="M16" s="131">
        <f>IF(SER_hh_emih!M16=0,0,SER_hh_emih!M16/SER_summary!M$26)</f>
        <v>5.2957114444510976E-2</v>
      </c>
      <c r="N16" s="131">
        <f>IF(SER_hh_emih!N16=0,0,SER_hh_emih!N16/SER_summary!N$26)</f>
        <v>7.8919146280151384E-2</v>
      </c>
      <c r="O16" s="131">
        <f>IF(SER_hh_emih!O16=0,0,SER_hh_emih!O16/SER_summary!O$26)</f>
        <v>9.4982447431347705E-2</v>
      </c>
      <c r="P16" s="131">
        <f>IF(SER_hh_emih!P16=0,0,SER_hh_emih!P16/SER_summary!P$26)</f>
        <v>9.4897923161905859E-2</v>
      </c>
      <c r="Q16" s="131">
        <f>IF(SER_hh_emih!Q16=0,0,SER_hh_emih!Q16/SER_summary!Q$26)</f>
        <v>0.14653817227229571</v>
      </c>
      <c r="R16" s="131">
        <f>IF(SER_hh_emih!R16=0,0,SER_hh_emih!R16/SER_summary!R$26)</f>
        <v>0.13914369148134492</v>
      </c>
      <c r="S16" s="131">
        <f>IF(SER_hh_emih!S16=0,0,SER_hh_emih!S16/SER_summary!S$26)</f>
        <v>0.16967118119157146</v>
      </c>
      <c r="T16" s="131">
        <f>IF(SER_hh_emih!T16=0,0,SER_hh_emih!T16/SER_summary!T$26)</f>
        <v>0.17987382824108425</v>
      </c>
      <c r="U16" s="131">
        <f>IF(SER_hh_emih!U16=0,0,SER_hh_emih!U16/SER_summary!U$26)</f>
        <v>0.19441397415155187</v>
      </c>
      <c r="V16" s="131">
        <f>IF(SER_hh_emih!V16=0,0,SER_hh_emih!V16/SER_summary!V$26)</f>
        <v>0.20067906133039859</v>
      </c>
      <c r="W16" s="131">
        <f>IF(SER_hh_emih!W16=0,0,SER_hh_emih!W16/SER_summary!W$26)</f>
        <v>0.16164372838423141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4.1714977220174845</v>
      </c>
      <c r="C17" s="133">
        <f>IF(SER_hh_emih!C17=0,0,SER_hh_emih!C17/SER_summary!C$26)</f>
        <v>4.3650200629781102</v>
      </c>
      <c r="D17" s="133">
        <f>IF(SER_hh_emih!D17=0,0,SER_hh_emih!D17/SER_summary!D$26)</f>
        <v>4.1480163488531252</v>
      </c>
      <c r="E17" s="133">
        <f>IF(SER_hh_emih!E17=0,0,SER_hh_emih!E17/SER_summary!E$26)</f>
        <v>8.1300326613293841</v>
      </c>
      <c r="F17" s="133">
        <f>IF(SER_hh_emih!F17=0,0,SER_hh_emih!F17/SER_summary!F$26)</f>
        <v>4.258837058566681</v>
      </c>
      <c r="G17" s="133">
        <f>IF(SER_hh_emih!G17=0,0,SER_hh_emih!G17/SER_summary!G$26)</f>
        <v>4.658226028605907</v>
      </c>
      <c r="H17" s="133">
        <f>IF(SER_hh_emih!H17=0,0,SER_hh_emih!H17/SER_summary!H$26)</f>
        <v>5.2945874059251556</v>
      </c>
      <c r="I17" s="133">
        <f>IF(SER_hh_emih!I17=0,0,SER_hh_emih!I17/SER_summary!I$26)</f>
        <v>4.1314235670354487</v>
      </c>
      <c r="J17" s="133">
        <f>IF(SER_hh_emih!J17=0,0,SER_hh_emih!J17/SER_summary!J$26)</f>
        <v>4.1841954122129978</v>
      </c>
      <c r="K17" s="133">
        <f>IF(SER_hh_emih!K17=0,0,SER_hh_emih!K17/SER_summary!K$26)</f>
        <v>4.4730683959527857</v>
      </c>
      <c r="L17" s="133">
        <f>IF(SER_hh_emih!L17=0,0,SER_hh_emih!L17/SER_summary!L$26)</f>
        <v>4.4050449441898367</v>
      </c>
      <c r="M17" s="133">
        <f>IF(SER_hh_emih!M17=0,0,SER_hh_emih!M17/SER_summary!M$26)</f>
        <v>4.3221028209245338</v>
      </c>
      <c r="N17" s="133">
        <f>IF(SER_hh_emih!N17=0,0,SER_hh_emih!N17/SER_summary!N$26)</f>
        <v>4.5047808972712566</v>
      </c>
      <c r="O17" s="133">
        <f>IF(SER_hh_emih!O17=0,0,SER_hh_emih!O17/SER_summary!O$26)</f>
        <v>4.4470387720403242</v>
      </c>
      <c r="P17" s="133">
        <f>IF(SER_hh_emih!P17=0,0,SER_hh_emih!P17/SER_summary!P$26)</f>
        <v>4.1406654996934762</v>
      </c>
      <c r="Q17" s="133">
        <f>IF(SER_hh_emih!Q17=0,0,SER_hh_emih!Q17/SER_summary!Q$26)</f>
        <v>5.0841232069316185</v>
      </c>
      <c r="R17" s="133">
        <f>IF(SER_hh_emih!R17=0,0,SER_hh_emih!R17/SER_summary!R$26)</f>
        <v>4.4457711726170945</v>
      </c>
      <c r="S17" s="133">
        <f>IF(SER_hh_emih!S17=0,0,SER_hh_emih!S17/SER_summary!S$26)</f>
        <v>4.7483651615375191</v>
      </c>
      <c r="T17" s="133">
        <f>IF(SER_hh_emih!T17=0,0,SER_hh_emih!T17/SER_summary!T$26)</f>
        <v>4.6505449879591199</v>
      </c>
      <c r="U17" s="133">
        <f>IF(SER_hh_emih!U17=0,0,SER_hh_emih!U17/SER_summary!U$26)</f>
        <v>4.6500077932354413</v>
      </c>
      <c r="V17" s="133">
        <f>IF(SER_hh_emih!V17=0,0,SER_hh_emih!V17/SER_summary!V$26)</f>
        <v>4.4113236433209986</v>
      </c>
      <c r="W17" s="133">
        <f>IF(SER_hh_emih!W17=0,0,SER_hh_emih!W17/SER_summary!W$26)</f>
        <v>3.4967462173370523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2.8740758137737226</v>
      </c>
      <c r="C19" s="131">
        <f>IF(SER_hh_emih!C19=0,0,SER_hh_emih!C19/SER_summary!C$26)</f>
        <v>2.8472377759143717</v>
      </c>
      <c r="D19" s="131">
        <f>IF(SER_hh_emih!D19=0,0,SER_hh_emih!D19/SER_summary!D$26)</f>
        <v>2.8026432990674977</v>
      </c>
      <c r="E19" s="131">
        <f>IF(SER_hh_emih!E19=0,0,SER_hh_emih!E19/SER_summary!E$26)</f>
        <v>2.7920339958070817</v>
      </c>
      <c r="F19" s="131">
        <f>IF(SER_hh_emih!F19=0,0,SER_hh_emih!F19/SER_summary!F$26)</f>
        <v>2.7573115271799025</v>
      </c>
      <c r="G19" s="131">
        <f>IF(SER_hh_emih!G19=0,0,SER_hh_emih!G19/SER_summary!G$26)</f>
        <v>2.5976306804581681</v>
      </c>
      <c r="H19" s="131">
        <f>IF(SER_hh_emih!H19=0,0,SER_hh_emih!H19/SER_summary!H$26)</f>
        <v>2.4561647134986089</v>
      </c>
      <c r="I19" s="131">
        <f>IF(SER_hh_emih!I19=0,0,SER_hh_emih!I19/SER_summary!I$26)</f>
        <v>2.3569936657044166</v>
      </c>
      <c r="J19" s="131">
        <f>IF(SER_hh_emih!J19=0,0,SER_hh_emih!J19/SER_summary!J$26)</f>
        <v>2.3299449164543229</v>
      </c>
      <c r="K19" s="131">
        <f>IF(SER_hh_emih!K19=0,0,SER_hh_emih!K19/SER_summary!K$26)</f>
        <v>2.3975261618431403</v>
      </c>
      <c r="L19" s="131">
        <f>IF(SER_hh_emih!L19=0,0,SER_hh_emih!L19/SER_summary!L$26)</f>
        <v>2.2481162539460819</v>
      </c>
      <c r="M19" s="131">
        <f>IF(SER_hh_emih!M19=0,0,SER_hh_emih!M19/SER_summary!M$26)</f>
        <v>2.2385268654500341</v>
      </c>
      <c r="N19" s="131">
        <f>IF(SER_hh_emih!N19=0,0,SER_hh_emih!N19/SER_summary!N$26)</f>
        <v>2.1117174715955844</v>
      </c>
      <c r="O19" s="131">
        <f>IF(SER_hh_emih!O19=0,0,SER_hh_emih!O19/SER_summary!O$26)</f>
        <v>2.1837438568212515</v>
      </c>
      <c r="P19" s="131">
        <f>IF(SER_hh_emih!P19=0,0,SER_hh_emih!P19/SER_summary!P$26)</f>
        <v>2.1682590969672595</v>
      </c>
      <c r="Q19" s="131">
        <f>IF(SER_hh_emih!Q19=0,0,SER_hh_emih!Q19/SER_summary!Q$26)</f>
        <v>2.2150870561798448</v>
      </c>
      <c r="R19" s="131">
        <f>IF(SER_hh_emih!R19=0,0,SER_hh_emih!R19/SER_summary!R$26)</f>
        <v>2.1034706417084417</v>
      </c>
      <c r="S19" s="131">
        <f>IF(SER_hh_emih!S19=0,0,SER_hh_emih!S19/SER_summary!S$26)</f>
        <v>2.0659484665992567</v>
      </c>
      <c r="T19" s="131">
        <f>IF(SER_hh_emih!T19=0,0,SER_hh_emih!T19/SER_summary!T$26)</f>
        <v>1.8920471823040457</v>
      </c>
      <c r="U19" s="131">
        <f>IF(SER_hh_emih!U19=0,0,SER_hh_emih!U19/SER_summary!U$26)</f>
        <v>1.790994912890854</v>
      </c>
      <c r="V19" s="131">
        <f>IF(SER_hh_emih!V19=0,0,SER_hh_emih!V19/SER_summary!V$26)</f>
        <v>1.6577267647930669</v>
      </c>
      <c r="W19" s="131">
        <f>IF(SER_hh_emih!W19=0,0,SER_hh_emih!W19/SER_summary!W$26)</f>
        <v>1.7297959890919066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6.6374633754996388</v>
      </c>
      <c r="C21" s="133">
        <f>IF(SER_hh_emih!C21=0,0,SER_hh_emih!C21/SER_summary!C$26)</f>
        <v>6.5716544409504847</v>
      </c>
      <c r="D21" s="133">
        <f>IF(SER_hh_emih!D21=0,0,SER_hh_emih!D21/SER_summary!D$26)</f>
        <v>6.6901517857819881</v>
      </c>
      <c r="E21" s="133">
        <f>IF(SER_hh_emih!E21=0,0,SER_hh_emih!E21/SER_summary!E$26)</f>
        <v>6.7030015355944839</v>
      </c>
      <c r="F21" s="133">
        <f>IF(SER_hh_emih!F21=0,0,SER_hh_emih!F21/SER_summary!F$26)</f>
        <v>6.6360465533125774</v>
      </c>
      <c r="G21" s="133">
        <f>IF(SER_hh_emih!G21=0,0,SER_hh_emih!G21/SER_summary!G$26)</f>
        <v>6.3091175110380329</v>
      </c>
      <c r="H21" s="133">
        <f>IF(SER_hh_emih!H21=0,0,SER_hh_emih!H21/SER_summary!H$26)</f>
        <v>6.4212462098862293</v>
      </c>
      <c r="I21" s="133">
        <f>IF(SER_hh_emih!I21=0,0,SER_hh_emih!I21/SER_summary!I$26)</f>
        <v>6.3944489646852141</v>
      </c>
      <c r="J21" s="133">
        <f>IF(SER_hh_emih!J21=0,0,SER_hh_emih!J21/SER_summary!J$26)</f>
        <v>6.426414698507088</v>
      </c>
      <c r="K21" s="133">
        <f>IF(SER_hh_emih!K21=0,0,SER_hh_emih!K21/SER_summary!K$26)</f>
        <v>6.6013695493289886</v>
      </c>
      <c r="L21" s="133">
        <f>IF(SER_hh_emih!L21=0,0,SER_hh_emih!L21/SER_summary!L$26)</f>
        <v>6.3545932823007174</v>
      </c>
      <c r="M21" s="133">
        <f>IF(SER_hh_emih!M21=0,0,SER_hh_emih!M21/SER_summary!M$26)</f>
        <v>6.4215823087221944</v>
      </c>
      <c r="N21" s="133">
        <f>IF(SER_hh_emih!N21=0,0,SER_hh_emih!N21/SER_summary!N$26)</f>
        <v>6.3994372040175129</v>
      </c>
      <c r="O21" s="133">
        <f>IF(SER_hh_emih!O21=0,0,SER_hh_emih!O21/SER_summary!O$26)</f>
        <v>6.3834168402102369</v>
      </c>
      <c r="P21" s="133">
        <f>IF(SER_hh_emih!P21=0,0,SER_hh_emih!P21/SER_summary!P$26)</f>
        <v>6.471478395417595</v>
      </c>
      <c r="Q21" s="133">
        <f>IF(SER_hh_emih!Q21=0,0,SER_hh_emih!Q21/SER_summary!Q$26)</f>
        <v>6.3709482240793127</v>
      </c>
      <c r="R21" s="133">
        <f>IF(SER_hh_emih!R21=0,0,SER_hh_emih!R21/SER_summary!R$26)</f>
        <v>6.5266998489992725</v>
      </c>
      <c r="S21" s="133">
        <f>IF(SER_hh_emih!S21=0,0,SER_hh_emih!S21/SER_summary!S$26)</f>
        <v>7.0085233387122203</v>
      </c>
      <c r="T21" s="133">
        <f>IF(SER_hh_emih!T21=0,0,SER_hh_emih!T21/SER_summary!T$26)</f>
        <v>5.3665531863257252</v>
      </c>
      <c r="U21" s="133">
        <f>IF(SER_hh_emih!U21=0,0,SER_hh_emih!U21/SER_summary!U$26)</f>
        <v>5.7649521694672119</v>
      </c>
      <c r="V21" s="133">
        <f>IF(SER_hh_emih!V21=0,0,SER_hh_emih!V21/SER_summary!V$26)</f>
        <v>5.6407515508349286</v>
      </c>
      <c r="W21" s="133">
        <f>IF(SER_hh_emih!W21=0,0,SER_hh_emih!W21/SER_summary!W$26)</f>
        <v>5.7136807167141086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8.3631374126214695</v>
      </c>
      <c r="C22" s="133">
        <f>IF(SER_hh_emih!C22=0,0,SER_hh_emih!C22/SER_summary!C$26)</f>
        <v>8.3708067264862809</v>
      </c>
      <c r="D22" s="133">
        <f>IF(SER_hh_emih!D22=0,0,SER_hh_emih!D22/SER_summary!D$26)</f>
        <v>8.2251011108499146</v>
      </c>
      <c r="E22" s="133">
        <f>IF(SER_hh_emih!E22=0,0,SER_hh_emih!E22/SER_summary!E$26)</f>
        <v>8.1322694810700202</v>
      </c>
      <c r="F22" s="133">
        <f>IF(SER_hh_emih!F22=0,0,SER_hh_emih!F22/SER_summary!F$26)</f>
        <v>8.2455879974097019</v>
      </c>
      <c r="G22" s="133">
        <f>IF(SER_hh_emih!G22=0,0,SER_hh_emih!G22/SER_summary!G$26)</f>
        <v>8.2228754555641039</v>
      </c>
      <c r="H22" s="133">
        <f>IF(SER_hh_emih!H22=0,0,SER_hh_emih!H22/SER_summary!H$26)</f>
        <v>7.9912421821176203</v>
      </c>
      <c r="I22" s="133">
        <f>IF(SER_hh_emih!I22=0,0,SER_hh_emih!I22/SER_summary!I$26)</f>
        <v>7.7407558332744699</v>
      </c>
      <c r="J22" s="133">
        <f>IF(SER_hh_emih!J22=0,0,SER_hh_emih!J22/SER_summary!J$26)</f>
        <v>8.0239222803325472</v>
      </c>
      <c r="K22" s="133">
        <f>IF(SER_hh_emih!K22=0,0,SER_hh_emih!K22/SER_summary!K$26)</f>
        <v>8.1478759122593303</v>
      </c>
      <c r="L22" s="133">
        <f>IF(SER_hh_emih!L22=0,0,SER_hh_emih!L22/SER_summary!L$26)</f>
        <v>7.8166607546091678</v>
      </c>
      <c r="M22" s="133">
        <f>IF(SER_hh_emih!M22=0,0,SER_hh_emih!M22/SER_summary!M$26)</f>
        <v>7.4843871954086589</v>
      </c>
      <c r="N22" s="133">
        <f>IF(SER_hh_emih!N22=0,0,SER_hh_emih!N22/SER_summary!N$26)</f>
        <v>8.0859816687245321</v>
      </c>
      <c r="O22" s="133">
        <f>IF(SER_hh_emih!O22=0,0,SER_hh_emih!O22/SER_summary!O$26)</f>
        <v>7.8900701151012287</v>
      </c>
      <c r="P22" s="133">
        <f>IF(SER_hh_emih!P22=0,0,SER_hh_emih!P22/SER_summary!P$26)</f>
        <v>7.6995163695596238</v>
      </c>
      <c r="Q22" s="133">
        <f>IF(SER_hh_emih!Q22=0,0,SER_hh_emih!Q22/SER_summary!Q$26)</f>
        <v>8.1414106793596464</v>
      </c>
      <c r="R22" s="133">
        <f>IF(SER_hh_emih!R22=0,0,SER_hh_emih!R22/SER_summary!R$26)</f>
        <v>7.3094873254226904</v>
      </c>
      <c r="S22" s="133">
        <f>IF(SER_hh_emih!S22=0,0,SER_hh_emih!S22/SER_summary!S$26)</f>
        <v>7.7431787019593727</v>
      </c>
      <c r="T22" s="133">
        <f>IF(SER_hh_emih!T22=0,0,SER_hh_emih!T22/SER_summary!T$26)</f>
        <v>7.3229293092908883</v>
      </c>
      <c r="U22" s="133">
        <f>IF(SER_hh_emih!U22=0,0,SER_hh_emih!U22/SER_summary!U$26)</f>
        <v>7.0057898082394372</v>
      </c>
      <c r="V22" s="133">
        <f>IF(SER_hh_emih!V22=0,0,SER_hh_emih!V22/SER_summary!V$26)</f>
        <v>6.8476087432372275</v>
      </c>
      <c r="W22" s="133">
        <f>IF(SER_hh_emih!W22=0,0,SER_hh_emih!W22/SER_summary!W$26)</f>
        <v>6.4801765183580864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6.1530267009588311</v>
      </c>
      <c r="C23" s="133">
        <f>IF(SER_hh_emih!C23=0,0,SER_hh_emih!C23/SER_summary!C$26)</f>
        <v>6.0530125062619096</v>
      </c>
      <c r="D23" s="133">
        <f>IF(SER_hh_emih!D23=0,0,SER_hh_emih!D23/SER_summary!D$26)</f>
        <v>5.913586940742368</v>
      </c>
      <c r="E23" s="133">
        <f>IF(SER_hh_emih!E23=0,0,SER_hh_emih!E23/SER_summary!E$26)</f>
        <v>5.9769756333443596</v>
      </c>
      <c r="F23" s="133">
        <f>IF(SER_hh_emih!F23=0,0,SER_hh_emih!F23/SER_summary!F$26)</f>
        <v>5.9961940720688087</v>
      </c>
      <c r="G23" s="133">
        <f>IF(SER_hh_emih!G23=0,0,SER_hh_emih!G23/SER_summary!G$26)</f>
        <v>5.7654772017456839</v>
      </c>
      <c r="H23" s="133">
        <f>IF(SER_hh_emih!H23=0,0,SER_hh_emih!H23/SER_summary!H$26)</f>
        <v>5.5834104698886113</v>
      </c>
      <c r="I23" s="133">
        <f>IF(SER_hh_emih!I23=0,0,SER_hh_emih!I23/SER_summary!I$26)</f>
        <v>5.565320045674377</v>
      </c>
      <c r="J23" s="133">
        <f>IF(SER_hh_emih!J23=0,0,SER_hh_emih!J23/SER_summary!J$26)</f>
        <v>5.4173117657701306</v>
      </c>
      <c r="K23" s="133">
        <f>IF(SER_hh_emih!K23=0,0,SER_hh_emih!K23/SER_summary!K$26)</f>
        <v>5.7177731135102254</v>
      </c>
      <c r="L23" s="133">
        <f>IF(SER_hh_emih!L23=0,0,SER_hh_emih!L23/SER_summary!L$26)</f>
        <v>5.4450092048277607</v>
      </c>
      <c r="M23" s="133">
        <f>IF(SER_hh_emih!M23=0,0,SER_hh_emih!M23/SER_summary!M$26)</f>
        <v>5.9368989422121832</v>
      </c>
      <c r="N23" s="133">
        <f>IF(SER_hh_emih!N23=0,0,SER_hh_emih!N23/SER_summary!N$26)</f>
        <v>4.53283868421848</v>
      </c>
      <c r="O23" s="133">
        <f>IF(SER_hh_emih!O23=0,0,SER_hh_emih!O23/SER_summary!O$26)</f>
        <v>4.9593305944731441</v>
      </c>
      <c r="P23" s="133">
        <f>IF(SER_hh_emih!P23=0,0,SER_hh_emih!P23/SER_summary!P$26)</f>
        <v>5.1826162736144177</v>
      </c>
      <c r="Q23" s="133">
        <f>IF(SER_hh_emih!Q23=0,0,SER_hh_emih!Q23/SER_summary!Q$26)</f>
        <v>5.091633634200643</v>
      </c>
      <c r="R23" s="133">
        <f>IF(SER_hh_emih!R23=0,0,SER_hh_emih!R23/SER_summary!R$26)</f>
        <v>5.3802632790789247</v>
      </c>
      <c r="S23" s="133">
        <f>IF(SER_hh_emih!S23=0,0,SER_hh_emih!S23/SER_summary!S$26)</f>
        <v>5.0136673980238768</v>
      </c>
      <c r="T23" s="133">
        <f>IF(SER_hh_emih!T23=0,0,SER_hh_emih!T23/SER_summary!T$26)</f>
        <v>4.9708025991831644</v>
      </c>
      <c r="U23" s="133">
        <f>IF(SER_hh_emih!U23=0,0,SER_hh_emih!U23/SER_summary!U$26)</f>
        <v>4.7706483853864894</v>
      </c>
      <c r="V23" s="133">
        <f>IF(SER_hh_emih!V23=0,0,SER_hh_emih!V23/SER_summary!V$26)</f>
        <v>4.1701428231184599</v>
      </c>
      <c r="W23" s="133">
        <f>IF(SER_hh_emih!W23=0,0,SER_hh_emih!W23/SER_summary!W$26)</f>
        <v>5.0679310297511639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6.8228492193185089</v>
      </c>
      <c r="C24" s="133">
        <f>IF(SER_hh_emih!C24=0,0,SER_hh_emih!C24/SER_summary!C$26)</f>
        <v>6.5046981027439985</v>
      </c>
      <c r="D24" s="133">
        <f>IF(SER_hh_emih!D24=0,0,SER_hh_emih!D24/SER_summary!D$26)</f>
        <v>6.2953832652211945</v>
      </c>
      <c r="E24" s="133">
        <f>IF(SER_hh_emih!E24=0,0,SER_hh_emih!E24/SER_summary!E$26)</f>
        <v>6.0594131240191444</v>
      </c>
      <c r="F24" s="133">
        <f>IF(SER_hh_emih!F24=0,0,SER_hh_emih!F24/SER_summary!F$26)</f>
        <v>6.0538757632958413</v>
      </c>
      <c r="G24" s="133">
        <f>IF(SER_hh_emih!G24=0,0,SER_hh_emih!G24/SER_summary!G$26)</f>
        <v>2.5082191882475176</v>
      </c>
      <c r="H24" s="133">
        <f>IF(SER_hh_emih!H24=0,0,SER_hh_emih!H24/SER_summary!H$26)</f>
        <v>2.7631254541345731</v>
      </c>
      <c r="I24" s="133">
        <f>IF(SER_hh_emih!I24=0,0,SER_hh_emih!I24/SER_summary!I$26)</f>
        <v>3.3273587788077337</v>
      </c>
      <c r="J24" s="133">
        <f>IF(SER_hh_emih!J24=0,0,SER_hh_emih!J24/SER_summary!J$26)</f>
        <v>3.285997039135292</v>
      </c>
      <c r="K24" s="133">
        <f>IF(SER_hh_emih!K24=0,0,SER_hh_emih!K24/SER_summary!K$26)</f>
        <v>3.7496674459314723</v>
      </c>
      <c r="L24" s="133">
        <f>IF(SER_hh_emih!L24=0,0,SER_hh_emih!L24/SER_summary!L$26)</f>
        <v>4.1756092893144734</v>
      </c>
      <c r="M24" s="133">
        <f>IF(SER_hh_emih!M24=0,0,SER_hh_emih!M24/SER_summary!M$26)</f>
        <v>2.4118361117997025</v>
      </c>
      <c r="N24" s="133">
        <f>IF(SER_hh_emih!N24=0,0,SER_hh_emih!N24/SER_summary!N$26)</f>
        <v>2.2922679288505932</v>
      </c>
      <c r="O24" s="133">
        <f>IF(SER_hh_emih!O24=0,0,SER_hh_emih!O24/SER_summary!O$26)</f>
        <v>2.6881383690423997</v>
      </c>
      <c r="P24" s="133">
        <f>IF(SER_hh_emih!P24=0,0,SER_hh_emih!P24/SER_summary!P$26)</f>
        <v>2.1925679140792869</v>
      </c>
      <c r="Q24" s="133">
        <f>IF(SER_hh_emih!Q24=0,0,SER_hh_emih!Q24/SER_summary!Q$26)</f>
        <v>1.4918089974477888</v>
      </c>
      <c r="R24" s="133">
        <f>IF(SER_hh_emih!R24=0,0,SER_hh_emih!R24/SER_summary!R$26)</f>
        <v>1.8010989838725908</v>
      </c>
      <c r="S24" s="133">
        <f>IF(SER_hh_emih!S24=0,0,SER_hh_emih!S24/SER_summary!S$26)</f>
        <v>1.9220140411111297</v>
      </c>
      <c r="T24" s="133">
        <f>IF(SER_hh_emih!T24=0,0,SER_hh_emih!T24/SER_summary!T$26)</f>
        <v>1.5704549280427975</v>
      </c>
      <c r="U24" s="133">
        <f>IF(SER_hh_emih!U24=0,0,SER_hh_emih!U24/SER_summary!U$26)</f>
        <v>1.5064703195343447</v>
      </c>
      <c r="V24" s="133">
        <f>IF(SER_hh_emih!V24=0,0,SER_hh_emih!V24/SER_summary!V$26)</f>
        <v>1.8074754941705578</v>
      </c>
      <c r="W24" s="133">
        <f>IF(SER_hh_emih!W24=0,0,SER_hh_emih!W24/SER_summary!W$26)</f>
        <v>1.8953312773865147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2.9041416823828055</v>
      </c>
      <c r="C29" s="131">
        <f>IF(SER_hh_emih!C29=0,0,SER_hh_emih!C29/SER_summary!C$26)</f>
        <v>2.2802776713906683</v>
      </c>
      <c r="D29" s="131">
        <f>IF(SER_hh_emih!D29=0,0,SER_hh_emih!D29/SER_summary!D$26)</f>
        <v>3.0749355479728169</v>
      </c>
      <c r="E29" s="131">
        <f>IF(SER_hh_emih!E29=0,0,SER_hh_emih!E29/SER_summary!E$26)</f>
        <v>3.2537523873155507</v>
      </c>
      <c r="F29" s="131">
        <f>IF(SER_hh_emih!F29=0,0,SER_hh_emih!F29/SER_summary!F$26)</f>
        <v>3.3857383169527169</v>
      </c>
      <c r="G29" s="131">
        <f>IF(SER_hh_emih!G29=0,0,SER_hh_emih!G29/SER_summary!G$26)</f>
        <v>2.3958863389044747</v>
      </c>
      <c r="H29" s="131">
        <f>IF(SER_hh_emih!H29=0,0,SER_hh_emih!H29/SER_summary!H$26)</f>
        <v>2.1054041045347782</v>
      </c>
      <c r="I29" s="131">
        <f>IF(SER_hh_emih!I29=0,0,SER_hh_emih!I29/SER_summary!I$26)</f>
        <v>2.1734559103277271</v>
      </c>
      <c r="J29" s="131">
        <f>IF(SER_hh_emih!J29=0,0,SER_hh_emih!J29/SER_summary!J$26)</f>
        <v>2.2568702127440226</v>
      </c>
      <c r="K29" s="131">
        <f>IF(SER_hh_emih!K29=0,0,SER_hh_emih!K29/SER_summary!K$26)</f>
        <v>2.6195216158102443</v>
      </c>
      <c r="L29" s="131">
        <f>IF(SER_hh_emih!L29=0,0,SER_hh_emih!L29/SER_summary!L$26)</f>
        <v>2.6107292804573548</v>
      </c>
      <c r="M29" s="131">
        <f>IF(SER_hh_emih!M29=0,0,SER_hh_emih!M29/SER_summary!M$26)</f>
        <v>2.5445667264386604</v>
      </c>
      <c r="N29" s="131">
        <f>IF(SER_hh_emih!N29=0,0,SER_hh_emih!N29/SER_summary!N$26)</f>
        <v>2.2111071182393882</v>
      </c>
      <c r="O29" s="131">
        <f>IF(SER_hh_emih!O29=0,0,SER_hh_emih!O29/SER_summary!O$26)</f>
        <v>2.1720723637593049</v>
      </c>
      <c r="P29" s="131">
        <f>IF(SER_hh_emih!P29=0,0,SER_hh_emih!P29/SER_summary!P$26)</f>
        <v>2.2819718993493017</v>
      </c>
      <c r="Q29" s="131">
        <f>IF(SER_hh_emih!Q29=0,0,SER_hh_emih!Q29/SER_summary!Q$26)</f>
        <v>2.5001375133805421</v>
      </c>
      <c r="R29" s="131">
        <f>IF(SER_hh_emih!R29=0,0,SER_hh_emih!R29/SER_summary!R$26)</f>
        <v>2.3632276891717461</v>
      </c>
      <c r="S29" s="131">
        <f>IF(SER_hh_emih!S29=0,0,SER_hh_emih!S29/SER_summary!S$26)</f>
        <v>2.4732445286346749</v>
      </c>
      <c r="T29" s="131">
        <f>IF(SER_hh_emih!T29=0,0,SER_hh_emih!T29/SER_summary!T$26)</f>
        <v>2.3185937685084772</v>
      </c>
      <c r="U29" s="131">
        <f>IF(SER_hh_emih!U29=0,0,SER_hh_emih!U29/SER_summary!U$26)</f>
        <v>2.366568794634301</v>
      </c>
      <c r="V29" s="131">
        <f>IF(SER_hh_emih!V29=0,0,SER_hh_emih!V29/SER_summary!V$26)</f>
        <v>2.0747065072518494</v>
      </c>
      <c r="W29" s="131">
        <f>IF(SER_hh_emih!W29=0,0,SER_hh_emih!W29/SER_summary!W$26)</f>
        <v>2.6431972501880305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8.1045283935191659</v>
      </c>
      <c r="C30" s="133">
        <f>IF(SER_hh_emih!C30=0,0,SER_hh_emih!C30/SER_summary!C$26)</f>
        <v>2.76780178762308</v>
      </c>
      <c r="D30" s="133">
        <f>IF(SER_hh_emih!D30=0,0,SER_hh_emih!D30/SER_summary!D$26)</f>
        <v>6.7279987608527883</v>
      </c>
      <c r="E30" s="133">
        <f>IF(SER_hh_emih!E30=0,0,SER_hh_emih!E30/SER_summary!E$26)</f>
        <v>6.6348025080749577</v>
      </c>
      <c r="F30" s="133">
        <f>IF(SER_hh_emih!F30=0,0,SER_hh_emih!F30/SER_summary!F$26)</f>
        <v>7.2711338205155869</v>
      </c>
      <c r="G30" s="133">
        <f>IF(SER_hh_emih!G30=0,0,SER_hh_emih!G30/SER_summary!G$26)</f>
        <v>5.9878138446048634</v>
      </c>
      <c r="H30" s="133">
        <f>IF(SER_hh_emih!H30=0,0,SER_hh_emih!H30/SER_summary!H$26)</f>
        <v>5.3220475524921218</v>
      </c>
      <c r="I30" s="133">
        <f>IF(SER_hh_emih!I30=0,0,SER_hh_emih!I30/SER_summary!I$26)</f>
        <v>5.9649402518554666</v>
      </c>
      <c r="J30" s="133">
        <f>IF(SER_hh_emih!J30=0,0,SER_hh_emih!J30/SER_summary!J$26)</f>
        <v>6.5730183547398457</v>
      </c>
      <c r="K30" s="133">
        <f>IF(SER_hh_emih!K30=0,0,SER_hh_emih!K30/SER_summary!K$26)</f>
        <v>6.2900029033319607</v>
      </c>
      <c r="L30" s="133">
        <f>IF(SER_hh_emih!L30=0,0,SER_hh_emih!L30/SER_summary!L$26)</f>
        <v>6.8428401852642429</v>
      </c>
      <c r="M30" s="133">
        <f>IF(SER_hh_emih!M30=0,0,SER_hh_emih!M30/SER_summary!M$26)</f>
        <v>6.9543327949796874</v>
      </c>
      <c r="N30" s="133">
        <f>IF(SER_hh_emih!N30=0,0,SER_hh_emih!N30/SER_summary!N$26)</f>
        <v>6.4447345027049847</v>
      </c>
      <c r="O30" s="133">
        <f>IF(SER_hh_emih!O30=0,0,SER_hh_emih!O30/SER_summary!O$26)</f>
        <v>6.0382935434847251</v>
      </c>
      <c r="P30" s="133">
        <f>IF(SER_hh_emih!P30=0,0,SER_hh_emih!P30/SER_summary!P$26)</f>
        <v>6.3222849281573357</v>
      </c>
      <c r="Q30" s="133">
        <f>IF(SER_hh_emih!Q30=0,0,SER_hh_emih!Q30/SER_summary!Q$26)</f>
        <v>7.0592814878148582</v>
      </c>
      <c r="R30" s="133">
        <f>IF(SER_hh_emih!R30=0,0,SER_hh_emih!R30/SER_summary!R$26)</f>
        <v>6.6646642785766126</v>
      </c>
      <c r="S30" s="133">
        <f>IF(SER_hh_emih!S30=0,0,SER_hh_emih!S30/SER_summary!S$26)</f>
        <v>7.3300798845328101</v>
      </c>
      <c r="T30" s="133">
        <f>IF(SER_hh_emih!T30=0,0,SER_hh_emih!T30/SER_summary!T$26)</f>
        <v>6.1804077667785382</v>
      </c>
      <c r="U30" s="133">
        <f>IF(SER_hh_emih!U30=0,0,SER_hh_emih!U30/SER_summary!U$26)</f>
        <v>7.0873935108807515</v>
      </c>
      <c r="V30" s="133">
        <f>IF(SER_hh_emih!V30=0,0,SER_hh_emih!V30/SER_summary!V$26)</f>
        <v>5.9471789890081821</v>
      </c>
      <c r="W30" s="133">
        <f>IF(SER_hh_emih!W30=0,0,SER_hh_emih!W30/SER_summary!W$26)</f>
        <v>6.649547715986869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5.3169142420553221</v>
      </c>
      <c r="C31" s="133">
        <f>IF(SER_hh_emih!C31=0,0,SER_hh_emih!C31/SER_summary!C$26)</f>
        <v>5.3168846009969126</v>
      </c>
      <c r="D31" s="133">
        <f>IF(SER_hh_emih!D31=0,0,SER_hh_emih!D31/SER_summary!D$26)</f>
        <v>5.2814864632135281</v>
      </c>
      <c r="E31" s="133">
        <f>IF(SER_hh_emih!E31=0,0,SER_hh_emih!E31/SER_summary!E$26)</f>
        <v>5.511269627312096</v>
      </c>
      <c r="F31" s="133">
        <f>IF(SER_hh_emih!F31=0,0,SER_hh_emih!F31/SER_summary!F$26)</f>
        <v>5.9676258955390171</v>
      </c>
      <c r="G31" s="133">
        <f>IF(SER_hh_emih!G31=0,0,SER_hh_emih!G31/SER_summary!G$26)</f>
        <v>4.6520548697182891</v>
      </c>
      <c r="H31" s="133">
        <f>IF(SER_hh_emih!H31=0,0,SER_hh_emih!H31/SER_summary!H$26)</f>
        <v>5.0507148384157086</v>
      </c>
      <c r="I31" s="133">
        <f>IF(SER_hh_emih!I31=0,0,SER_hh_emih!I31/SER_summary!I$26)</f>
        <v>5.2701245321231172</v>
      </c>
      <c r="J31" s="133">
        <f>IF(SER_hh_emih!J31=0,0,SER_hh_emih!J31/SER_summary!J$26)</f>
        <v>4.9012608470002208</v>
      </c>
      <c r="K31" s="133">
        <f>IF(SER_hh_emih!K31=0,0,SER_hh_emih!K31/SER_summary!K$26)</f>
        <v>6.1783658785376616</v>
      </c>
      <c r="L31" s="133">
        <f>IF(SER_hh_emih!L31=0,0,SER_hh_emih!L31/SER_summary!L$26)</f>
        <v>5.7615692218411088</v>
      </c>
      <c r="M31" s="133">
        <f>IF(SER_hh_emih!M31=0,0,SER_hh_emih!M31/SER_summary!M$26)</f>
        <v>5.8291830116262693</v>
      </c>
      <c r="N31" s="133">
        <f>IF(SER_hh_emih!N31=0,0,SER_hh_emih!N31/SER_summary!N$26)</f>
        <v>5.4333276580243632</v>
      </c>
      <c r="O31" s="133">
        <f>IF(SER_hh_emih!O31=0,0,SER_hh_emih!O31/SER_summary!O$26)</f>
        <v>5.7074534043066709</v>
      </c>
      <c r="P31" s="133">
        <f>IF(SER_hh_emih!P31=0,0,SER_hh_emih!P31/SER_summary!P$26)</f>
        <v>5.9478113046838121</v>
      </c>
      <c r="Q31" s="133">
        <f>IF(SER_hh_emih!Q31=0,0,SER_hh_emih!Q31/SER_summary!Q$26)</f>
        <v>6.0892427148228645</v>
      </c>
      <c r="R31" s="133">
        <f>IF(SER_hh_emih!R31=0,0,SER_hh_emih!R31/SER_summary!R$26)</f>
        <v>5.7916263791038434</v>
      </c>
      <c r="S31" s="133">
        <f>IF(SER_hh_emih!S31=0,0,SER_hh_emih!S31/SER_summary!S$26)</f>
        <v>5.8569039967543191</v>
      </c>
      <c r="T31" s="133">
        <f>IF(SER_hh_emih!T31=0,0,SER_hh_emih!T31/SER_summary!T$26)</f>
        <v>5.94674322343434</v>
      </c>
      <c r="U31" s="133">
        <f>IF(SER_hh_emih!U31=0,0,SER_hh_emih!U31/SER_summary!U$26)</f>
        <v>5.6406393191627648</v>
      </c>
      <c r="V31" s="133">
        <f>IF(SER_hh_emih!V31=0,0,SER_hh_emih!V31/SER_summary!V$26)</f>
        <v>4.9595133926665644</v>
      </c>
      <c r="W31" s="133">
        <f>IF(SER_hh_emih!W31=0,0,SER_hh_emih!W31/SER_summary!W$26)</f>
        <v>6.6400704266995962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17416.435608454813</v>
      </c>
      <c r="D3" s="125">
        <f t="shared" si="0"/>
        <v>17470.992925207996</v>
      </c>
      <c r="E3" s="125">
        <f t="shared" si="0"/>
        <v>17526.069835454669</v>
      </c>
      <c r="F3" s="125">
        <f t="shared" si="0"/>
        <v>17580.627152207966</v>
      </c>
      <c r="G3" s="125">
        <f t="shared" si="0"/>
        <v>17635.704062454035</v>
      </c>
      <c r="H3" s="125">
        <f t="shared" si="0"/>
        <v>18855.690751352195</v>
      </c>
      <c r="I3" s="125">
        <f t="shared" si="0"/>
        <v>22378.881028806423</v>
      </c>
      <c r="J3" s="125">
        <f t="shared" si="0"/>
        <v>18988.187092038836</v>
      </c>
      <c r="K3" s="125">
        <f t="shared" si="0"/>
        <v>10965.374898769902</v>
      </c>
      <c r="L3" s="125">
        <f t="shared" si="0"/>
        <v>16713.269825186886</v>
      </c>
      <c r="M3" s="125">
        <f t="shared" si="0"/>
        <v>18236.727339865072</v>
      </c>
      <c r="N3" s="125">
        <f t="shared" si="0"/>
        <v>12434.455715811597</v>
      </c>
      <c r="O3" s="125">
        <f t="shared" si="0"/>
        <v>11126.700770486001</v>
      </c>
      <c r="P3" s="125">
        <f t="shared" si="0"/>
        <v>17800.9931021146</v>
      </c>
      <c r="Q3" s="125">
        <f t="shared" si="0"/>
        <v>4414.9859090840591</v>
      </c>
      <c r="R3" s="125">
        <f t="shared" si="0"/>
        <v>15091.92301664586</v>
      </c>
      <c r="S3" s="125">
        <f t="shared" si="0"/>
        <v>15989.435937045393</v>
      </c>
      <c r="T3" s="125">
        <f t="shared" si="0"/>
        <v>17758.903715530971</v>
      </c>
      <c r="U3" s="125">
        <f t="shared" si="0"/>
        <v>17609.256195979597</v>
      </c>
      <c r="V3" s="125">
        <f t="shared" si="0"/>
        <v>16884.674321653682</v>
      </c>
      <c r="W3" s="125">
        <f t="shared" si="0"/>
        <v>16512.994317822158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17416.435608454813</v>
      </c>
      <c r="D4" s="140">
        <f t="shared" si="1"/>
        <v>17470.992925207996</v>
      </c>
      <c r="E4" s="140">
        <f t="shared" si="1"/>
        <v>17526.069835454669</v>
      </c>
      <c r="F4" s="140">
        <f t="shared" si="1"/>
        <v>17580.627152207966</v>
      </c>
      <c r="G4" s="140">
        <f t="shared" si="1"/>
        <v>17635.704062454035</v>
      </c>
      <c r="H4" s="140">
        <f t="shared" si="1"/>
        <v>18855.690751352195</v>
      </c>
      <c r="I4" s="140">
        <f t="shared" si="1"/>
        <v>22378.881028806423</v>
      </c>
      <c r="J4" s="140">
        <f t="shared" si="1"/>
        <v>18988.187092038836</v>
      </c>
      <c r="K4" s="140">
        <f t="shared" si="1"/>
        <v>10965.374898769902</v>
      </c>
      <c r="L4" s="140">
        <f t="shared" si="1"/>
        <v>16713.269825186886</v>
      </c>
      <c r="M4" s="140">
        <f t="shared" si="1"/>
        <v>18236.727339865072</v>
      </c>
      <c r="N4" s="140">
        <f t="shared" si="1"/>
        <v>12434.455715811597</v>
      </c>
      <c r="O4" s="140">
        <f t="shared" si="1"/>
        <v>11126.700770486001</v>
      </c>
      <c r="P4" s="140">
        <f t="shared" si="1"/>
        <v>17800.9931021146</v>
      </c>
      <c r="Q4" s="140">
        <f t="shared" si="1"/>
        <v>4414.9859090840591</v>
      </c>
      <c r="R4" s="140">
        <f t="shared" ref="R4:W4" si="2">SUM(R5:R14)</f>
        <v>15091.92301664586</v>
      </c>
      <c r="S4" s="140">
        <f t="shared" si="2"/>
        <v>15989.435937045393</v>
      </c>
      <c r="T4" s="140">
        <f t="shared" si="2"/>
        <v>17758.903715530971</v>
      </c>
      <c r="U4" s="140">
        <f t="shared" si="2"/>
        <v>17609.256195979597</v>
      </c>
      <c r="V4" s="140">
        <f t="shared" si="2"/>
        <v>16884.674321653682</v>
      </c>
      <c r="W4" s="140">
        <f t="shared" si="2"/>
        <v>16512.994317822158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148.93003049113415</v>
      </c>
      <c r="G5" s="141">
        <v>396.89776498740667</v>
      </c>
      <c r="H5" s="141">
        <v>403.77317591047097</v>
      </c>
      <c r="I5" s="141">
        <v>282.05805837480739</v>
      </c>
      <c r="J5" s="141">
        <v>115.48437623779449</v>
      </c>
      <c r="K5" s="141">
        <v>0</v>
      </c>
      <c r="L5" s="141">
        <v>0</v>
      </c>
      <c r="M5" s="141">
        <v>0</v>
      </c>
      <c r="N5" s="141">
        <v>0</v>
      </c>
      <c r="O5" s="141">
        <v>27.950313862695694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51.968632261270606</v>
      </c>
      <c r="V5" s="141">
        <v>117.39289580554762</v>
      </c>
      <c r="W5" s="141">
        <v>155.50379813196886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3531.8638680014228</v>
      </c>
      <c r="D7" s="141">
        <v>1054.3933436284983</v>
      </c>
      <c r="E7" s="141">
        <v>1627.5591277922647</v>
      </c>
      <c r="F7" s="141">
        <v>1993.9871672532108</v>
      </c>
      <c r="G7" s="141">
        <v>2482.6826001165309</v>
      </c>
      <c r="H7" s="141">
        <v>4186.1908736290343</v>
      </c>
      <c r="I7" s="141">
        <v>4284.9241158824188</v>
      </c>
      <c r="J7" s="141">
        <v>4421.3166736018557</v>
      </c>
      <c r="K7" s="141">
        <v>2191.8584948770531</v>
      </c>
      <c r="L7" s="141">
        <v>1729.346720203622</v>
      </c>
      <c r="M7" s="141">
        <v>2951.8195650443649</v>
      </c>
      <c r="N7" s="141">
        <v>2301.5567887258908</v>
      </c>
      <c r="O7" s="141">
        <v>2483.1534690940794</v>
      </c>
      <c r="P7" s="141">
        <v>1959.5383797031461</v>
      </c>
      <c r="Q7" s="141">
        <v>399.86063422272866</v>
      </c>
      <c r="R7" s="141">
        <v>647.85037577605488</v>
      </c>
      <c r="S7" s="141">
        <v>1756.6482813005341</v>
      </c>
      <c r="T7" s="141">
        <v>2100.9838563631274</v>
      </c>
      <c r="U7" s="141">
        <v>2735.0231294932842</v>
      </c>
      <c r="V7" s="141">
        <v>2950.4185282913986</v>
      </c>
      <c r="W7" s="141">
        <v>2009.6069767673987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6.8027491167990348</v>
      </c>
      <c r="D8" s="141">
        <v>18.916368476697929</v>
      </c>
      <c r="E8" s="141">
        <v>32.557432389143216</v>
      </c>
      <c r="F8" s="141">
        <v>49.941379988371089</v>
      </c>
      <c r="G8" s="141">
        <v>74.39292589024825</v>
      </c>
      <c r="H8" s="141">
        <v>80.497188281036827</v>
      </c>
      <c r="I8" s="141">
        <v>68.932379686890712</v>
      </c>
      <c r="J8" s="141">
        <v>38.244614049369368</v>
      </c>
      <c r="K8" s="141">
        <v>39.150616340849794</v>
      </c>
      <c r="L8" s="141">
        <v>123.11077756577677</v>
      </c>
      <c r="M8" s="141">
        <v>271.70808561600398</v>
      </c>
      <c r="N8" s="141">
        <v>177.92581917206479</v>
      </c>
      <c r="O8" s="141">
        <v>217.6895239839256</v>
      </c>
      <c r="P8" s="141">
        <v>585.83454304543227</v>
      </c>
      <c r="Q8" s="141">
        <v>141.73531931461233</v>
      </c>
      <c r="R8" s="141">
        <v>276.93567903988412</v>
      </c>
      <c r="S8" s="141">
        <v>182.98730454398586</v>
      </c>
      <c r="T8" s="141">
        <v>168.75624167558411</v>
      </c>
      <c r="U8" s="141">
        <v>157.1372142958852</v>
      </c>
      <c r="V8" s="141">
        <v>119.99942731508548</v>
      </c>
      <c r="W8" s="141">
        <v>128.81605629332577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2617.0008359878038</v>
      </c>
      <c r="D9" s="141">
        <v>6689.3147707274447</v>
      </c>
      <c r="E9" s="141">
        <v>9327.543282496772</v>
      </c>
      <c r="F9" s="141">
        <v>7874.3824606020453</v>
      </c>
      <c r="G9" s="141">
        <v>7755.7199167473091</v>
      </c>
      <c r="H9" s="141">
        <v>5501.5878820670614</v>
      </c>
      <c r="I9" s="141">
        <v>8775.5112652134121</v>
      </c>
      <c r="J9" s="141">
        <v>7512.6259030852598</v>
      </c>
      <c r="K9" s="141">
        <v>4391.6277310336536</v>
      </c>
      <c r="L9" s="141">
        <v>7421.6023805715413</v>
      </c>
      <c r="M9" s="141">
        <v>6517.5025437500108</v>
      </c>
      <c r="N9" s="141">
        <v>4914.4083092463998</v>
      </c>
      <c r="O9" s="141">
        <v>4064.7036227969197</v>
      </c>
      <c r="P9" s="141">
        <v>8709.8185518065384</v>
      </c>
      <c r="Q9" s="141">
        <v>1612.0540454267132</v>
      </c>
      <c r="R9" s="141">
        <v>7348.4119642080204</v>
      </c>
      <c r="S9" s="141">
        <v>8072.1064894110677</v>
      </c>
      <c r="T9" s="141">
        <v>9869.5944484803185</v>
      </c>
      <c r="U9" s="141">
        <v>8801.5815925054794</v>
      </c>
      <c r="V9" s="141">
        <v>7424.5421698438231</v>
      </c>
      <c r="W9" s="141">
        <v>7980.3197766111243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801.96580990333371</v>
      </c>
      <c r="D10" s="141">
        <v>1043.1158045496863</v>
      </c>
      <c r="E10" s="141">
        <v>519.28551370181719</v>
      </c>
      <c r="F10" s="141">
        <v>0</v>
      </c>
      <c r="G10" s="141">
        <v>0</v>
      </c>
      <c r="H10" s="141">
        <v>0</v>
      </c>
      <c r="I10" s="141">
        <v>532.26327420527355</v>
      </c>
      <c r="J10" s="141">
        <v>826.08145749041944</v>
      </c>
      <c r="K10" s="141">
        <v>257.12255660281539</v>
      </c>
      <c r="L10" s="141">
        <v>94.344566736805376</v>
      </c>
      <c r="M10" s="141">
        <v>73.403054807430891</v>
      </c>
      <c r="N10" s="141">
        <v>367.33749025424174</v>
      </c>
      <c r="O10" s="141">
        <v>559.61599955574718</v>
      </c>
      <c r="P10" s="141">
        <v>911.8728787521203</v>
      </c>
      <c r="Q10" s="141">
        <v>134.25871520310179</v>
      </c>
      <c r="R10" s="141">
        <v>420.0971104783506</v>
      </c>
      <c r="S10" s="141">
        <v>372.0171792014919</v>
      </c>
      <c r="T10" s="141">
        <v>349.75387299867725</v>
      </c>
      <c r="U10" s="141">
        <v>424.51408790903713</v>
      </c>
      <c r="V10" s="141">
        <v>568.03496125367928</v>
      </c>
      <c r="W10" s="141">
        <v>588.83142308315303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400.89245998053281</v>
      </c>
      <c r="E11" s="141">
        <v>53.107445737353125</v>
      </c>
      <c r="F11" s="141">
        <v>4.5262131192299346</v>
      </c>
      <c r="G11" s="141">
        <v>0</v>
      </c>
      <c r="H11" s="141">
        <v>0</v>
      </c>
      <c r="I11" s="141">
        <v>0</v>
      </c>
      <c r="J11" s="141">
        <v>0</v>
      </c>
      <c r="K11" s="141">
        <v>0.42245880128840574</v>
      </c>
      <c r="L11" s="141">
        <v>9.1899597244852416</v>
      </c>
      <c r="M11" s="141">
        <v>35.591459663318524</v>
      </c>
      <c r="N11" s="141">
        <v>6.0046810909570496</v>
      </c>
      <c r="O11" s="141">
        <v>2.9661156888912221</v>
      </c>
      <c r="P11" s="141">
        <v>59.25139265839519</v>
      </c>
      <c r="Q11" s="141">
        <v>18.727110038349927</v>
      </c>
      <c r="R11" s="141">
        <v>56.375125246356447</v>
      </c>
      <c r="S11" s="141">
        <v>56.170734859661991</v>
      </c>
      <c r="T11" s="141">
        <v>77.393288495228489</v>
      </c>
      <c r="U11" s="141">
        <v>18.47815794348309</v>
      </c>
      <c r="V11" s="141">
        <v>15.443228042586322</v>
      </c>
      <c r="W11" s="141">
        <v>14.513774188301779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4139.7295546381256</v>
      </c>
      <c r="D12" s="141">
        <v>2804.1172359685424</v>
      </c>
      <c r="E12" s="141">
        <v>1525.896246929243</v>
      </c>
      <c r="F12" s="141">
        <v>1598.1323978181188</v>
      </c>
      <c r="G12" s="141">
        <v>707.79115863007439</v>
      </c>
      <c r="H12" s="141">
        <v>0</v>
      </c>
      <c r="I12" s="141">
        <v>0</v>
      </c>
      <c r="J12" s="141">
        <v>0</v>
      </c>
      <c r="K12" s="141">
        <v>0</v>
      </c>
      <c r="L12" s="141">
        <v>738.87268149363877</v>
      </c>
      <c r="M12" s="141">
        <v>1419.1447510687965</v>
      </c>
      <c r="N12" s="141">
        <v>969.36726095734821</v>
      </c>
      <c r="O12" s="141">
        <v>1068.9492214352799</v>
      </c>
      <c r="P12" s="141">
        <v>2204.0975236678942</v>
      </c>
      <c r="Q12" s="141">
        <v>701.2613762317286</v>
      </c>
      <c r="R12" s="141">
        <v>2044.7793456402894</v>
      </c>
      <c r="S12" s="141">
        <v>1706.0314125529721</v>
      </c>
      <c r="T12" s="141">
        <v>1348.5670471350052</v>
      </c>
      <c r="U12" s="141">
        <v>1249.4474920102862</v>
      </c>
      <c r="V12" s="141">
        <v>1467.7968136752697</v>
      </c>
      <c r="W12" s="141">
        <v>998.41864415252383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401.04498955054999</v>
      </c>
      <c r="D13" s="141">
        <v>588.8909350128755</v>
      </c>
      <c r="E13" s="141">
        <v>526.92518184162589</v>
      </c>
      <c r="F13" s="141">
        <v>637.82917124886342</v>
      </c>
      <c r="G13" s="141">
        <v>740.93117604237341</v>
      </c>
      <c r="H13" s="141">
        <v>922.91142208400447</v>
      </c>
      <c r="I13" s="141">
        <v>873.63420078029321</v>
      </c>
      <c r="J13" s="141">
        <v>775.39647629687488</v>
      </c>
      <c r="K13" s="141">
        <v>658.03035214744966</v>
      </c>
      <c r="L13" s="141">
        <v>1438.2619072400078</v>
      </c>
      <c r="M13" s="141">
        <v>2485.5821490405106</v>
      </c>
      <c r="N13" s="141">
        <v>1134.1116981371154</v>
      </c>
      <c r="O13" s="141">
        <v>787.46799983566473</v>
      </c>
      <c r="P13" s="141">
        <v>1118.2299953397426</v>
      </c>
      <c r="Q13" s="141">
        <v>283.56260058770079</v>
      </c>
      <c r="R13" s="141">
        <v>791.14060660094822</v>
      </c>
      <c r="S13" s="141">
        <v>603.66806019020817</v>
      </c>
      <c r="T13" s="141">
        <v>792.90839653786463</v>
      </c>
      <c r="U13" s="141">
        <v>924.51918651907602</v>
      </c>
      <c r="V13" s="141">
        <v>900.84910602923367</v>
      </c>
      <c r="W13" s="141">
        <v>994.23278724533054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5918.0278012567778</v>
      </c>
      <c r="D14" s="142">
        <v>4871.3520068637181</v>
      </c>
      <c r="E14" s="142">
        <v>3913.1956045664492</v>
      </c>
      <c r="F14" s="142">
        <v>5272.8983316869917</v>
      </c>
      <c r="G14" s="142">
        <v>5477.2885200400924</v>
      </c>
      <c r="H14" s="142">
        <v>7760.7302093805856</v>
      </c>
      <c r="I14" s="142">
        <v>7561.5577346633281</v>
      </c>
      <c r="J14" s="142">
        <v>5299.0375912772624</v>
      </c>
      <c r="K14" s="142">
        <v>3427.1626889667918</v>
      </c>
      <c r="L14" s="142">
        <v>5158.5408316510093</v>
      </c>
      <c r="M14" s="142">
        <v>4481.9757308746357</v>
      </c>
      <c r="N14" s="142">
        <v>2563.7436682275775</v>
      </c>
      <c r="O14" s="142">
        <v>1914.2045042327979</v>
      </c>
      <c r="P14" s="142">
        <v>2252.3498371413307</v>
      </c>
      <c r="Q14" s="142">
        <v>1123.5261080591235</v>
      </c>
      <c r="R14" s="142">
        <v>3506.3328096559567</v>
      </c>
      <c r="S14" s="142">
        <v>3239.8064749854721</v>
      </c>
      <c r="T14" s="142">
        <v>3050.9465638451629</v>
      </c>
      <c r="U14" s="142">
        <v>3246.5867030417953</v>
      </c>
      <c r="V14" s="142">
        <v>3320.197191397056</v>
      </c>
      <c r="W14" s="142">
        <v>3642.7510813490344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11097.362817647485</v>
      </c>
      <c r="D15" s="144">
        <f t="shared" si="3"/>
        <v>12010.749983331401</v>
      </c>
      <c r="E15" s="144">
        <f t="shared" si="3"/>
        <v>13085.949049046594</v>
      </c>
      <c r="F15" s="144">
        <f t="shared" si="3"/>
        <v>11669.899649272111</v>
      </c>
      <c r="G15" s="144">
        <f t="shared" si="3"/>
        <v>11417.484366371569</v>
      </c>
      <c r="H15" s="144">
        <f t="shared" si="3"/>
        <v>10172.049119887604</v>
      </c>
      <c r="I15" s="144">
        <f t="shared" si="3"/>
        <v>13943.689093362802</v>
      </c>
      <c r="J15" s="144">
        <f t="shared" si="3"/>
        <v>12913.753024464699</v>
      </c>
      <c r="K15" s="144">
        <f t="shared" si="3"/>
        <v>6880.1818576556607</v>
      </c>
      <c r="L15" s="144">
        <f t="shared" si="3"/>
        <v>10116.467086295868</v>
      </c>
      <c r="M15" s="144">
        <f t="shared" si="3"/>
        <v>11269.169459949926</v>
      </c>
      <c r="N15" s="144">
        <f t="shared" si="3"/>
        <v>8736.6003494469023</v>
      </c>
      <c r="O15" s="144">
        <f t="shared" si="3"/>
        <v>8425.0282664175393</v>
      </c>
      <c r="P15" s="144">
        <f t="shared" si="3"/>
        <v>14430.413269633525</v>
      </c>
      <c r="Q15" s="144">
        <f t="shared" si="3"/>
        <v>3007.8972004372349</v>
      </c>
      <c r="R15" s="144">
        <f t="shared" ref="R15:W15" si="4">SUM(R5:R12)</f>
        <v>10794.449600388956</v>
      </c>
      <c r="S15" s="144">
        <f t="shared" si="4"/>
        <v>12145.961401869714</v>
      </c>
      <c r="T15" s="144">
        <f t="shared" si="4"/>
        <v>13915.048755147942</v>
      </c>
      <c r="U15" s="144">
        <f t="shared" si="4"/>
        <v>13438.150306418727</v>
      </c>
      <c r="V15" s="144">
        <f t="shared" si="4"/>
        <v>12663.62802422739</v>
      </c>
      <c r="W15" s="144">
        <f t="shared" si="4"/>
        <v>11876.010449227795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17416.435608454816</v>
      </c>
      <c r="D16" s="140">
        <f t="shared" si="5"/>
        <v>17470.992925207996</v>
      </c>
      <c r="E16" s="140">
        <f t="shared" si="5"/>
        <v>17526.069835454666</v>
      </c>
      <c r="F16" s="140">
        <f t="shared" si="5"/>
        <v>17580.627152207966</v>
      </c>
      <c r="G16" s="140">
        <f t="shared" si="5"/>
        <v>17635.704062454031</v>
      </c>
      <c r="H16" s="140">
        <f t="shared" si="5"/>
        <v>18855.690751352191</v>
      </c>
      <c r="I16" s="140">
        <f t="shared" si="5"/>
        <v>22378.881028806427</v>
      </c>
      <c r="J16" s="140">
        <f t="shared" si="5"/>
        <v>18988.187092038836</v>
      </c>
      <c r="K16" s="140">
        <f t="shared" si="5"/>
        <v>10965.3748987699</v>
      </c>
      <c r="L16" s="140">
        <f t="shared" si="5"/>
        <v>16713.269825186886</v>
      </c>
      <c r="M16" s="140">
        <f t="shared" si="5"/>
        <v>18236.727339865076</v>
      </c>
      <c r="N16" s="140">
        <f t="shared" si="5"/>
        <v>12434.455715811597</v>
      </c>
      <c r="O16" s="140">
        <f t="shared" si="5"/>
        <v>11126.700770486001</v>
      </c>
      <c r="P16" s="140">
        <f t="shared" si="5"/>
        <v>17800.9931021146</v>
      </c>
      <c r="Q16" s="140">
        <f t="shared" si="5"/>
        <v>4414.9859090840582</v>
      </c>
      <c r="R16" s="140">
        <f t="shared" ref="R16:W16" si="6">SUM(R17:R18)</f>
        <v>15091.923016645862</v>
      </c>
      <c r="S16" s="140">
        <f t="shared" si="6"/>
        <v>15989.435937045395</v>
      </c>
      <c r="T16" s="140">
        <f t="shared" si="6"/>
        <v>17758.903715530971</v>
      </c>
      <c r="U16" s="140">
        <f t="shared" si="6"/>
        <v>17609.256195979597</v>
      </c>
      <c r="V16" s="140">
        <f t="shared" si="6"/>
        <v>16884.674321653682</v>
      </c>
      <c r="W16" s="140">
        <f t="shared" si="6"/>
        <v>16512.994317822162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87.325418249493524</v>
      </c>
      <c r="D17" s="141">
        <v>81.969229510785638</v>
      </c>
      <c r="E17" s="141">
        <v>169.56542225058067</v>
      </c>
      <c r="F17" s="141">
        <v>70.982600724713237</v>
      </c>
      <c r="G17" s="141">
        <v>34.47812522795104</v>
      </c>
      <c r="H17" s="141">
        <v>261.92634931158051</v>
      </c>
      <c r="I17" s="141">
        <v>172.75068044639588</v>
      </c>
      <c r="J17" s="141">
        <v>223.57146887109823</v>
      </c>
      <c r="K17" s="141">
        <v>99.464300794725645</v>
      </c>
      <c r="L17" s="141">
        <v>257.09909986262318</v>
      </c>
      <c r="M17" s="141">
        <v>505.54764310645493</v>
      </c>
      <c r="N17" s="141">
        <v>624.55183479806419</v>
      </c>
      <c r="O17" s="141">
        <v>441.3139589389138</v>
      </c>
      <c r="P17" s="141">
        <v>390.10670713078645</v>
      </c>
      <c r="Q17" s="141">
        <v>230.8861880803795</v>
      </c>
      <c r="R17" s="141">
        <v>506.37508172486702</v>
      </c>
      <c r="S17" s="141">
        <v>788.3439158935023</v>
      </c>
      <c r="T17" s="141">
        <v>805.03074338873751</v>
      </c>
      <c r="U17" s="141">
        <v>938.27465206087152</v>
      </c>
      <c r="V17" s="141">
        <v>1143.0248196560322</v>
      </c>
      <c r="W17" s="141">
        <v>728.86039759929372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17329.110190205323</v>
      </c>
      <c r="D18" s="141">
        <v>17389.023695697211</v>
      </c>
      <c r="E18" s="141">
        <v>17356.504413204086</v>
      </c>
      <c r="F18" s="141">
        <v>17509.644551483252</v>
      </c>
      <c r="G18" s="141">
        <v>17601.225937226081</v>
      </c>
      <c r="H18" s="141">
        <v>18593.764402040611</v>
      </c>
      <c r="I18" s="141">
        <v>22206.130348360031</v>
      </c>
      <c r="J18" s="141">
        <v>18764.615623167738</v>
      </c>
      <c r="K18" s="141">
        <v>10865.910597975175</v>
      </c>
      <c r="L18" s="141">
        <v>16456.170725324264</v>
      </c>
      <c r="M18" s="141">
        <v>17731.17969675862</v>
      </c>
      <c r="N18" s="141">
        <v>11809.903881013532</v>
      </c>
      <c r="O18" s="141">
        <v>10685.386811547087</v>
      </c>
      <c r="P18" s="141">
        <v>17410.886394983812</v>
      </c>
      <c r="Q18" s="141">
        <v>4184.0997210036785</v>
      </c>
      <c r="R18" s="141">
        <v>14585.547934920995</v>
      </c>
      <c r="S18" s="141">
        <v>15201.092021151893</v>
      </c>
      <c r="T18" s="141">
        <v>16953.872972142231</v>
      </c>
      <c r="U18" s="141">
        <v>16670.981543918726</v>
      </c>
      <c r="V18" s="141">
        <v>15741.649501997648</v>
      </c>
      <c r="W18" s="141">
        <v>15784.133920222868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17416.435608454816</v>
      </c>
      <c r="D19" s="140">
        <f t="shared" si="7"/>
        <v>17470.992925207996</v>
      </c>
      <c r="E19" s="140">
        <f t="shared" si="7"/>
        <v>17526.069835454669</v>
      </c>
      <c r="F19" s="140">
        <f t="shared" si="7"/>
        <v>17580.627152207966</v>
      </c>
      <c r="G19" s="140">
        <f t="shared" si="7"/>
        <v>17635.704062454035</v>
      </c>
      <c r="H19" s="140">
        <f t="shared" si="7"/>
        <v>18855.690751352195</v>
      </c>
      <c r="I19" s="140">
        <f t="shared" si="7"/>
        <v>22378.881028806427</v>
      </c>
      <c r="J19" s="140">
        <f t="shared" si="7"/>
        <v>18988.187092038836</v>
      </c>
      <c r="K19" s="140">
        <f t="shared" si="7"/>
        <v>10965.374898769904</v>
      </c>
      <c r="L19" s="140">
        <f t="shared" si="7"/>
        <v>16713.269825186886</v>
      </c>
      <c r="M19" s="140">
        <f t="shared" si="7"/>
        <v>18236.727339865072</v>
      </c>
      <c r="N19" s="140">
        <f t="shared" si="7"/>
        <v>12434.455715811593</v>
      </c>
      <c r="O19" s="140">
        <f t="shared" si="7"/>
        <v>11126.700770486001</v>
      </c>
      <c r="P19" s="140">
        <f t="shared" si="7"/>
        <v>17800.9931021146</v>
      </c>
      <c r="Q19" s="140">
        <f t="shared" si="7"/>
        <v>4414.9859090840582</v>
      </c>
      <c r="R19" s="140">
        <f t="shared" ref="R19:W19" si="8">SUM(R20:R26)</f>
        <v>15091.923016645858</v>
      </c>
      <c r="S19" s="140">
        <f t="shared" si="8"/>
        <v>15989.435937045397</v>
      </c>
      <c r="T19" s="140">
        <f t="shared" si="8"/>
        <v>17758.903715530971</v>
      </c>
      <c r="U19" s="140">
        <f t="shared" si="8"/>
        <v>17609.2561959796</v>
      </c>
      <c r="V19" s="140">
        <f t="shared" si="8"/>
        <v>16884.674321653678</v>
      </c>
      <c r="W19" s="140">
        <f t="shared" si="8"/>
        <v>16512.994317822166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662.24323982197063</v>
      </c>
      <c r="D21" s="141">
        <v>839.17765882983531</v>
      </c>
      <c r="E21" s="141">
        <v>709.69041522264956</v>
      </c>
      <c r="F21" s="141">
        <v>537.12715454666602</v>
      </c>
      <c r="G21" s="141">
        <v>481.07090760592621</v>
      </c>
      <c r="H21" s="141">
        <v>593.95944293416972</v>
      </c>
      <c r="I21" s="141">
        <v>621.02375021374803</v>
      </c>
      <c r="J21" s="141">
        <v>481.10344790150623</v>
      </c>
      <c r="K21" s="141">
        <v>254.84196481736421</v>
      </c>
      <c r="L21" s="141">
        <v>262.11767025291977</v>
      </c>
      <c r="M21" s="141">
        <v>325.46005447600845</v>
      </c>
      <c r="N21" s="141">
        <v>243.64515752842274</v>
      </c>
      <c r="O21" s="141">
        <v>241.05583177420476</v>
      </c>
      <c r="P21" s="141">
        <v>326.35554220167944</v>
      </c>
      <c r="Q21" s="141">
        <v>96.204034061041042</v>
      </c>
      <c r="R21" s="141">
        <v>144.472118943141</v>
      </c>
      <c r="S21" s="141">
        <v>85.658500623425795</v>
      </c>
      <c r="T21" s="141">
        <v>0</v>
      </c>
      <c r="U21" s="141">
        <v>0</v>
      </c>
      <c r="V21" s="141">
        <v>170.40919900739991</v>
      </c>
      <c r="W21" s="141">
        <v>320.46704206210211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3040.1276606232332</v>
      </c>
      <c r="D22" s="141">
        <v>2906.0511881745065</v>
      </c>
      <c r="E22" s="141">
        <v>2937.2284701194444</v>
      </c>
      <c r="F22" s="141">
        <v>2510.1057883865478</v>
      </c>
      <c r="G22" s="141">
        <v>2355.058134644346</v>
      </c>
      <c r="H22" s="141">
        <v>2104.2931412438193</v>
      </c>
      <c r="I22" s="141">
        <v>2149.5734813678055</v>
      </c>
      <c r="J22" s="141">
        <v>2173.6629526312113</v>
      </c>
      <c r="K22" s="141">
        <v>1303.3957413630774</v>
      </c>
      <c r="L22" s="141">
        <v>2075.1763305094064</v>
      </c>
      <c r="M22" s="141">
        <v>2778.6768015880912</v>
      </c>
      <c r="N22" s="141">
        <v>2692.1675566173462</v>
      </c>
      <c r="O22" s="141">
        <v>2321.1401774192896</v>
      </c>
      <c r="P22" s="141">
        <v>2645.1044086928919</v>
      </c>
      <c r="Q22" s="141">
        <v>708.55419904288647</v>
      </c>
      <c r="R22" s="141">
        <v>688.77223754954798</v>
      </c>
      <c r="S22" s="141">
        <v>1584.8228449509359</v>
      </c>
      <c r="T22" s="141">
        <v>1057.0640867896104</v>
      </c>
      <c r="U22" s="141">
        <v>1353.0353043611051</v>
      </c>
      <c r="V22" s="141">
        <v>1452.3182464205643</v>
      </c>
      <c r="W22" s="141">
        <v>612.88538503634129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2975.5860185546599</v>
      </c>
      <c r="D23" s="141">
        <v>3272.8770303835922</v>
      </c>
      <c r="E23" s="141">
        <v>3064.438857000343</v>
      </c>
      <c r="F23" s="141">
        <v>2128.6788154652745</v>
      </c>
      <c r="G23" s="141">
        <v>1813.5843488777173</v>
      </c>
      <c r="H23" s="141">
        <v>2085.9192898347192</v>
      </c>
      <c r="I23" s="141">
        <v>3238.3147506065693</v>
      </c>
      <c r="J23" s="141">
        <v>3301.9485393885043</v>
      </c>
      <c r="K23" s="141">
        <v>2842.4525367408405</v>
      </c>
      <c r="L23" s="141">
        <v>2820.7285322381208</v>
      </c>
      <c r="M23" s="141">
        <v>3209.9686405390262</v>
      </c>
      <c r="N23" s="141">
        <v>2098.742868910781</v>
      </c>
      <c r="O23" s="141">
        <v>2011.5830261051779</v>
      </c>
      <c r="P23" s="141">
        <v>1941.2025068510811</v>
      </c>
      <c r="Q23" s="141">
        <v>775.52056984709861</v>
      </c>
      <c r="R23" s="141">
        <v>3383.8456257586572</v>
      </c>
      <c r="S23" s="141">
        <v>2542.5968692378433</v>
      </c>
      <c r="T23" s="141">
        <v>2804.3626402252357</v>
      </c>
      <c r="U23" s="141">
        <v>3323.9684033704211</v>
      </c>
      <c r="V23" s="141">
        <v>3407.6372613790895</v>
      </c>
      <c r="W23" s="141">
        <v>2910.7580331078643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131.63353889559818</v>
      </c>
      <c r="D24" s="141">
        <v>186.8700526997477</v>
      </c>
      <c r="E24" s="141">
        <v>202.76149456318171</v>
      </c>
      <c r="F24" s="141">
        <v>213.8588919851733</v>
      </c>
      <c r="G24" s="141">
        <v>248.14221594719717</v>
      </c>
      <c r="H24" s="141">
        <v>279.31380345104918</v>
      </c>
      <c r="I24" s="141">
        <v>375.19872467033906</v>
      </c>
      <c r="J24" s="141">
        <v>285.11362829122572</v>
      </c>
      <c r="K24" s="141">
        <v>124.25242616391677</v>
      </c>
      <c r="L24" s="141">
        <v>61.602695581738445</v>
      </c>
      <c r="M24" s="141">
        <v>0</v>
      </c>
      <c r="N24" s="141">
        <v>21.324559244303131</v>
      </c>
      <c r="O24" s="141">
        <v>89.020734727014116</v>
      </c>
      <c r="P24" s="141">
        <v>0</v>
      </c>
      <c r="Q24" s="141">
        <v>0</v>
      </c>
      <c r="R24" s="141">
        <v>80.995344570589154</v>
      </c>
      <c r="S24" s="141">
        <v>199.916523021844</v>
      </c>
      <c r="T24" s="141">
        <v>289.08415905450283</v>
      </c>
      <c r="U24" s="141">
        <v>367.38650186055992</v>
      </c>
      <c r="V24" s="141">
        <v>419.89505889311272</v>
      </c>
      <c r="W24" s="141">
        <v>330.71960668438413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1385.4884171234162</v>
      </c>
      <c r="D25" s="141">
        <v>1400.9075858307408</v>
      </c>
      <c r="E25" s="141">
        <v>1489.2764729266819</v>
      </c>
      <c r="F25" s="141">
        <v>1309.9871741450065</v>
      </c>
      <c r="G25" s="141">
        <v>523.52618128282643</v>
      </c>
      <c r="H25" s="141">
        <v>0</v>
      </c>
      <c r="I25" s="141">
        <v>0</v>
      </c>
      <c r="J25" s="141">
        <v>0</v>
      </c>
      <c r="K25" s="141">
        <v>187.85724385358276</v>
      </c>
      <c r="L25" s="141">
        <v>1022.6748408205024</v>
      </c>
      <c r="M25" s="141">
        <v>1187.5742510676305</v>
      </c>
      <c r="N25" s="141">
        <v>1082.7489031696628</v>
      </c>
      <c r="O25" s="141">
        <v>847.45235991371089</v>
      </c>
      <c r="P25" s="141">
        <v>710.16573641003572</v>
      </c>
      <c r="Q25" s="141">
        <v>313.93888667095564</v>
      </c>
      <c r="R25" s="141">
        <v>1224.1730890718356</v>
      </c>
      <c r="S25" s="141">
        <v>1191.317883300122</v>
      </c>
      <c r="T25" s="141">
        <v>1414.0652880414727</v>
      </c>
      <c r="U25" s="141">
        <v>720.54478434695454</v>
      </c>
      <c r="V25" s="141">
        <v>561.47562498341256</v>
      </c>
      <c r="W25" s="141">
        <v>334.22000055516969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9221.3567334359377</v>
      </c>
      <c r="D26" s="142">
        <v>8865.1094092895764</v>
      </c>
      <c r="E26" s="142">
        <v>9122.6741256223668</v>
      </c>
      <c r="F26" s="142">
        <v>10880.869327679298</v>
      </c>
      <c r="G26" s="142">
        <v>12214.322274096023</v>
      </c>
      <c r="H26" s="142">
        <v>13792.205073888435</v>
      </c>
      <c r="I26" s="142">
        <v>15994.770321947966</v>
      </c>
      <c r="J26" s="142">
        <v>12746.358523826388</v>
      </c>
      <c r="K26" s="142">
        <v>6252.5749858311228</v>
      </c>
      <c r="L26" s="142">
        <v>10470.969755784199</v>
      </c>
      <c r="M26" s="142">
        <v>10735.047592194316</v>
      </c>
      <c r="N26" s="142">
        <v>6295.8266703410782</v>
      </c>
      <c r="O26" s="142">
        <v>5616.4486405466023</v>
      </c>
      <c r="P26" s="142">
        <v>12178.164907958911</v>
      </c>
      <c r="Q26" s="142">
        <v>2520.7682194620766</v>
      </c>
      <c r="R26" s="142">
        <v>9569.6646007520867</v>
      </c>
      <c r="S26" s="142">
        <v>10385.123315911225</v>
      </c>
      <c r="T26" s="142">
        <v>12194.327541420147</v>
      </c>
      <c r="U26" s="142">
        <v>11844.321202040557</v>
      </c>
      <c r="V26" s="142">
        <v>10872.9389309701</v>
      </c>
      <c r="W26" s="142">
        <v>12003.944250376302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1639.8595908005175</v>
      </c>
      <c r="H27" s="151">
        <v>53.102833805727933</v>
      </c>
      <c r="I27" s="151">
        <v>360.75548643407751</v>
      </c>
      <c r="J27" s="151">
        <v>328.65225288129187</v>
      </c>
      <c r="K27" s="151">
        <v>268.70134545930802</v>
      </c>
      <c r="L27" s="151">
        <v>1758.5041356831027</v>
      </c>
      <c r="M27" s="151">
        <v>518.17223266389135</v>
      </c>
      <c r="N27" s="151">
        <v>3272.0396237241939</v>
      </c>
      <c r="O27" s="151">
        <v>1234.4903541226913</v>
      </c>
      <c r="P27" s="151">
        <v>4.0341036347040128E-4</v>
      </c>
      <c r="Q27" s="151">
        <v>937.85092312158974</v>
      </c>
      <c r="R27" s="151">
        <v>414.77871807103907</v>
      </c>
      <c r="S27" s="151">
        <v>1046.4434806313591</v>
      </c>
      <c r="T27" s="151">
        <v>524.9660142436619</v>
      </c>
      <c r="U27" s="151">
        <v>959.75377817509934</v>
      </c>
      <c r="V27" s="151">
        <v>1884.7127921276885</v>
      </c>
      <c r="W27" s="151">
        <v>21.368267738267164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17416.435608454816</v>
      </c>
      <c r="D29" s="140">
        <f t="shared" si="9"/>
        <v>17470.992925207996</v>
      </c>
      <c r="E29" s="140">
        <f t="shared" si="9"/>
        <v>17526.069835454666</v>
      </c>
      <c r="F29" s="140">
        <f t="shared" si="9"/>
        <v>17580.627152207966</v>
      </c>
      <c r="G29" s="140">
        <f t="shared" si="9"/>
        <v>17635.704062454035</v>
      </c>
      <c r="H29" s="140">
        <f t="shared" si="9"/>
        <v>18855.690751352191</v>
      </c>
      <c r="I29" s="140">
        <f t="shared" si="9"/>
        <v>22378.881028806427</v>
      </c>
      <c r="J29" s="140">
        <f t="shared" si="9"/>
        <v>18988.187092038832</v>
      </c>
      <c r="K29" s="140">
        <f t="shared" si="9"/>
        <v>10965.374898769902</v>
      </c>
      <c r="L29" s="140">
        <f t="shared" si="9"/>
        <v>16713.26982518689</v>
      </c>
      <c r="M29" s="140">
        <f t="shared" si="9"/>
        <v>18236.727339865072</v>
      </c>
      <c r="N29" s="140">
        <f t="shared" si="9"/>
        <v>12434.455715811597</v>
      </c>
      <c r="O29" s="140">
        <f t="shared" si="9"/>
        <v>11126.700770486001</v>
      </c>
      <c r="P29" s="140">
        <f t="shared" si="9"/>
        <v>17800.993102114597</v>
      </c>
      <c r="Q29" s="140">
        <f t="shared" si="9"/>
        <v>4414.9859090840582</v>
      </c>
      <c r="R29" s="140">
        <f t="shared" ref="R29:W29" si="10">SUM(R30:R33)</f>
        <v>15091.923016645864</v>
      </c>
      <c r="S29" s="140">
        <f t="shared" si="10"/>
        <v>15989.435937045395</v>
      </c>
      <c r="T29" s="140">
        <f t="shared" si="10"/>
        <v>17758.903715530971</v>
      </c>
      <c r="U29" s="140">
        <f t="shared" si="10"/>
        <v>17609.2561959796</v>
      </c>
      <c r="V29" s="140">
        <f t="shared" si="10"/>
        <v>16884.674321653678</v>
      </c>
      <c r="W29" s="140">
        <f t="shared" si="10"/>
        <v>16512.994317822162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2661.8790874465731</v>
      </c>
      <c r="D30" s="141">
        <v>10334.311267905585</v>
      </c>
      <c r="E30" s="141">
        <v>6838.3137050791738</v>
      </c>
      <c r="F30" s="141">
        <v>2970.2059636211857</v>
      </c>
      <c r="G30" s="141">
        <v>849.4905152511293</v>
      </c>
      <c r="H30" s="141">
        <v>0</v>
      </c>
      <c r="I30" s="141">
        <v>2066.2204651621455</v>
      </c>
      <c r="J30" s="141">
        <v>3676.0894124781453</v>
      </c>
      <c r="K30" s="141">
        <v>1864.1872014048515</v>
      </c>
      <c r="L30" s="141">
        <v>2597.3367859806172</v>
      </c>
      <c r="M30" s="141">
        <v>848.97502692004093</v>
      </c>
      <c r="N30" s="141">
        <v>150.36504587204175</v>
      </c>
      <c r="O30" s="141">
        <v>971.37504686316686</v>
      </c>
      <c r="P30" s="141">
        <v>3195.1365376229405</v>
      </c>
      <c r="Q30" s="141">
        <v>851.59458287172515</v>
      </c>
      <c r="R30" s="141">
        <v>1309.4944996726463</v>
      </c>
      <c r="S30" s="141">
        <v>1438.4532105866015</v>
      </c>
      <c r="T30" s="141">
        <v>530.99070578512772</v>
      </c>
      <c r="U30" s="141">
        <v>2009.6299403295507</v>
      </c>
      <c r="V30" s="141">
        <v>1587.2819099760138</v>
      </c>
      <c r="W30" s="141">
        <v>1434.5600194100787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5485.2644894183686</v>
      </c>
      <c r="D31" s="141">
        <v>5724.2538809946927</v>
      </c>
      <c r="E31" s="141">
        <v>3944.5869825650593</v>
      </c>
      <c r="F31" s="141">
        <v>1587.227362184261</v>
      </c>
      <c r="G31" s="141">
        <v>0</v>
      </c>
      <c r="H31" s="141">
        <v>0</v>
      </c>
      <c r="I31" s="141">
        <v>5045.3374103971573</v>
      </c>
      <c r="J31" s="141">
        <v>6915.576675956504</v>
      </c>
      <c r="K31" s="141">
        <v>5394.8069750024533</v>
      </c>
      <c r="L31" s="141">
        <v>5346.6009119536093</v>
      </c>
      <c r="M31" s="141">
        <v>4210.8957034767373</v>
      </c>
      <c r="N31" s="141">
        <v>2247.4810561833251</v>
      </c>
      <c r="O31" s="141">
        <v>3482.9851552075806</v>
      </c>
      <c r="P31" s="141">
        <v>5272.4740101829557</v>
      </c>
      <c r="Q31" s="141">
        <v>1244.6992314973454</v>
      </c>
      <c r="R31" s="141">
        <v>2678.8385191610414</v>
      </c>
      <c r="S31" s="141">
        <v>3460.8906209630031</v>
      </c>
      <c r="T31" s="141">
        <v>4808.9957843825114</v>
      </c>
      <c r="U31" s="141">
        <v>6802.3340297631412</v>
      </c>
      <c r="V31" s="141">
        <v>7372.3716385701091</v>
      </c>
      <c r="W31" s="141">
        <v>5983.6983531451788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9269.2920315898737</v>
      </c>
      <c r="D33" s="153">
        <v>1412.4277763077198</v>
      </c>
      <c r="E33" s="153">
        <v>6743.1691478104331</v>
      </c>
      <c r="F33" s="153">
        <v>13023.193826402519</v>
      </c>
      <c r="G33" s="153">
        <v>16786.213547202904</v>
      </c>
      <c r="H33" s="153">
        <v>18855.690751352191</v>
      </c>
      <c r="I33" s="153">
        <v>15267.323153247124</v>
      </c>
      <c r="J33" s="153">
        <v>8396.5210036041844</v>
      </c>
      <c r="K33" s="153">
        <v>3706.3807223625972</v>
      </c>
      <c r="L33" s="153">
        <v>8769.3321272526628</v>
      </c>
      <c r="M33" s="153">
        <v>13176.856609468296</v>
      </c>
      <c r="N33" s="153">
        <v>10036.609613756229</v>
      </c>
      <c r="O33" s="153">
        <v>6672.3405684152522</v>
      </c>
      <c r="P33" s="153">
        <v>9333.3825543087023</v>
      </c>
      <c r="Q33" s="153">
        <v>2318.6920947149874</v>
      </c>
      <c r="R33" s="153">
        <v>11103.589997812176</v>
      </c>
      <c r="S33" s="153">
        <v>11090.092105495791</v>
      </c>
      <c r="T33" s="153">
        <v>12418.91722536333</v>
      </c>
      <c r="U33" s="153">
        <v>8797.2922258869057</v>
      </c>
      <c r="V33" s="153">
        <v>7925.0207731075552</v>
      </c>
      <c r="W33" s="153">
        <v>9094.7359452669043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290.2422174227363</v>
      </c>
      <c r="D3" s="126">
        <f t="shared" si="0"/>
        <v>278.77639370622433</v>
      </c>
      <c r="E3" s="126">
        <f t="shared" si="0"/>
        <v>309.63812349356584</v>
      </c>
      <c r="F3" s="126">
        <f t="shared" si="0"/>
        <v>287.77106370023085</v>
      </c>
      <c r="G3" s="126">
        <f t="shared" si="0"/>
        <v>285.88111616227815</v>
      </c>
      <c r="H3" s="126">
        <f t="shared" si="0"/>
        <v>282.84879392836785</v>
      </c>
      <c r="I3" s="126">
        <f t="shared" si="0"/>
        <v>322.04381443142734</v>
      </c>
      <c r="J3" s="126">
        <f t="shared" si="0"/>
        <v>268.8173525370961</v>
      </c>
      <c r="K3" s="126">
        <f t="shared" si="0"/>
        <v>162.86309012438602</v>
      </c>
      <c r="L3" s="126">
        <f t="shared" si="0"/>
        <v>243.52765507949329</v>
      </c>
      <c r="M3" s="126">
        <f t="shared" si="0"/>
        <v>210.94426897614102</v>
      </c>
      <c r="N3" s="126">
        <f t="shared" si="0"/>
        <v>154.14242715213172</v>
      </c>
      <c r="O3" s="126">
        <f t="shared" si="0"/>
        <v>141.29644751028528</v>
      </c>
      <c r="P3" s="126">
        <f t="shared" si="0"/>
        <v>189.87691663507692</v>
      </c>
      <c r="Q3" s="126">
        <f t="shared" si="0"/>
        <v>46.353751674351571</v>
      </c>
      <c r="R3" s="126">
        <f t="shared" ref="R3:W3" si="1">SUM(R4,R16,R19,R29)</f>
        <v>151.84958602453537</v>
      </c>
      <c r="S3" s="126">
        <f t="shared" si="1"/>
        <v>158.3643614094668</v>
      </c>
      <c r="T3" s="126">
        <f t="shared" si="1"/>
        <v>168.18221122512696</v>
      </c>
      <c r="U3" s="126">
        <f t="shared" si="1"/>
        <v>155.93047411803775</v>
      </c>
      <c r="V3" s="126">
        <f t="shared" si="1"/>
        <v>130.66775461074209</v>
      </c>
      <c r="W3" s="126">
        <f t="shared" si="1"/>
        <v>122.77386379217523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210.03173248842154</v>
      </c>
      <c r="D4" s="131">
        <f t="shared" si="2"/>
        <v>192.45962641102608</v>
      </c>
      <c r="E4" s="131">
        <f t="shared" si="2"/>
        <v>218.16149788100429</v>
      </c>
      <c r="F4" s="131">
        <f t="shared" si="2"/>
        <v>212.1137979883998</v>
      </c>
      <c r="G4" s="131">
        <f t="shared" si="2"/>
        <v>209.01939636866905</v>
      </c>
      <c r="H4" s="131">
        <f t="shared" si="2"/>
        <v>200.21613738912973</v>
      </c>
      <c r="I4" s="131">
        <f t="shared" si="2"/>
        <v>227.20024484151102</v>
      </c>
      <c r="J4" s="131">
        <f t="shared" si="2"/>
        <v>186.50970509528486</v>
      </c>
      <c r="K4" s="131">
        <f t="shared" si="2"/>
        <v>112.42844011811071</v>
      </c>
      <c r="L4" s="131">
        <f t="shared" si="2"/>
        <v>170.88213390620919</v>
      </c>
      <c r="M4" s="131">
        <f t="shared" si="2"/>
        <v>134.43110204449991</v>
      </c>
      <c r="N4" s="131">
        <f t="shared" si="2"/>
        <v>102.82349237201626</v>
      </c>
      <c r="O4" s="131">
        <f t="shared" si="2"/>
        <v>94.64984463927054</v>
      </c>
      <c r="P4" s="131">
        <f t="shared" si="2"/>
        <v>116.99949460882536</v>
      </c>
      <c r="Q4" s="131">
        <f t="shared" si="2"/>
        <v>28.050081207287391</v>
      </c>
      <c r="R4" s="131">
        <f t="shared" ref="R4:W4" si="3">SUM(R5:R15)</f>
        <v>92.995545124298616</v>
      </c>
      <c r="S4" s="131">
        <f t="shared" si="3"/>
        <v>96.703280367609054</v>
      </c>
      <c r="T4" s="131">
        <f t="shared" si="3"/>
        <v>100.53110777641301</v>
      </c>
      <c r="U4" s="131">
        <f t="shared" si="3"/>
        <v>89.030379711297655</v>
      </c>
      <c r="V4" s="131">
        <f t="shared" si="3"/>
        <v>72.061638800430927</v>
      </c>
      <c r="W4" s="131">
        <f t="shared" si="3"/>
        <v>63.617586159065723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1.8202627467053349</v>
      </c>
      <c r="G5" s="133">
        <v>4.8641417658210502</v>
      </c>
      <c r="H5" s="133">
        <v>4.6387794541439433</v>
      </c>
      <c r="I5" s="133">
        <v>3.0540502768537285</v>
      </c>
      <c r="J5" s="133">
        <v>1.1674237486828862</v>
      </c>
      <c r="K5" s="133">
        <v>0</v>
      </c>
      <c r="L5" s="133">
        <v>0</v>
      </c>
      <c r="M5" s="133">
        <v>0</v>
      </c>
      <c r="N5" s="133">
        <v>0</v>
      </c>
      <c r="O5" s="133">
        <v>0.26918650310980852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0.27068617500542008</v>
      </c>
      <c r="V5" s="133">
        <v>0.51144489837523355</v>
      </c>
      <c r="W5" s="133">
        <v>0.67641118124773236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55.622044488160348</v>
      </c>
      <c r="D7" s="133">
        <v>14.43828810350432</v>
      </c>
      <c r="E7" s="133">
        <v>23.851606086379896</v>
      </c>
      <c r="F7" s="133">
        <v>29.611870637676613</v>
      </c>
      <c r="G7" s="133">
        <v>35.430466748434114</v>
      </c>
      <c r="H7" s="133">
        <v>54.64877473382262</v>
      </c>
      <c r="I7" s="133">
        <v>47.652281029310814</v>
      </c>
      <c r="J7" s="133">
        <v>57.596283868364615</v>
      </c>
      <c r="K7" s="133">
        <v>27.457233360088541</v>
      </c>
      <c r="L7" s="133">
        <v>20.498941034530276</v>
      </c>
      <c r="M7" s="133">
        <v>29.422414724835729</v>
      </c>
      <c r="N7" s="133">
        <v>23.145457440968379</v>
      </c>
      <c r="O7" s="133">
        <v>24.601908244984532</v>
      </c>
      <c r="P7" s="133">
        <v>15.86221679579624</v>
      </c>
      <c r="Q7" s="133">
        <v>3.1616772008601592</v>
      </c>
      <c r="R7" s="133">
        <v>4.4626105222308849</v>
      </c>
      <c r="S7" s="133">
        <v>12.165743288311779</v>
      </c>
      <c r="T7" s="133">
        <v>13.271911958087491</v>
      </c>
      <c r="U7" s="133">
        <v>15.708270615985548</v>
      </c>
      <c r="V7" s="133">
        <v>14.771620379056126</v>
      </c>
      <c r="W7" s="133">
        <v>8.6717046052889373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4.4473901005908922E-2</v>
      </c>
      <c r="D8" s="133">
        <v>9.8091304220698644E-2</v>
      </c>
      <c r="E8" s="133">
        <v>0.17450483536922137</v>
      </c>
      <c r="F8" s="133">
        <v>0.23829248676329196</v>
      </c>
      <c r="G8" s="133">
        <v>0.44632855556959</v>
      </c>
      <c r="H8" s="133">
        <v>0.40375965501507605</v>
      </c>
      <c r="I8" s="133">
        <v>0.32420964262233415</v>
      </c>
      <c r="J8" s="133">
        <v>0.17433075446133486</v>
      </c>
      <c r="K8" s="133">
        <v>0.13210821239896259</v>
      </c>
      <c r="L8" s="133">
        <v>0.33302187511626485</v>
      </c>
      <c r="M8" s="133">
        <v>0.95571285770394632</v>
      </c>
      <c r="N8" s="133">
        <v>0.53003029449041028</v>
      </c>
      <c r="O8" s="133">
        <v>0.65042815169659507</v>
      </c>
      <c r="P8" s="133">
        <v>1.4071018147683638</v>
      </c>
      <c r="Q8" s="133">
        <v>0.33624001776923051</v>
      </c>
      <c r="R8" s="133">
        <v>0.62033754223258164</v>
      </c>
      <c r="S8" s="133">
        <v>0.37843375460793338</v>
      </c>
      <c r="T8" s="133">
        <v>0.32542736659801291</v>
      </c>
      <c r="U8" s="133">
        <v>0.2776294484778179</v>
      </c>
      <c r="V8" s="133">
        <v>0.16910323218587825</v>
      </c>
      <c r="W8" s="133">
        <v>0.17134339839364696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34.952630081457755</v>
      </c>
      <c r="D9" s="133">
        <v>72.249971916439591</v>
      </c>
      <c r="E9" s="133">
        <v>124.49284446624797</v>
      </c>
      <c r="F9" s="133">
        <v>101.99037054730982</v>
      </c>
      <c r="G9" s="133">
        <v>100.19694352687239</v>
      </c>
      <c r="H9" s="133">
        <v>60.05588971542123</v>
      </c>
      <c r="I9" s="133">
        <v>93.388684946034132</v>
      </c>
      <c r="J9" s="133">
        <v>68.498534452589737</v>
      </c>
      <c r="K9" s="133">
        <v>46.851560687517697</v>
      </c>
      <c r="L9" s="133">
        <v>85.857131978962258</v>
      </c>
      <c r="M9" s="133">
        <v>51.527863632373283</v>
      </c>
      <c r="N9" s="133">
        <v>44.112970623326405</v>
      </c>
      <c r="O9" s="133">
        <v>36.691918718052996</v>
      </c>
      <c r="P9" s="133">
        <v>59.544160103898669</v>
      </c>
      <c r="Q9" s="133">
        <v>11.048376016654029</v>
      </c>
      <c r="R9" s="133">
        <v>47.605828911333823</v>
      </c>
      <c r="S9" s="133">
        <v>50.163488938803354</v>
      </c>
      <c r="T9" s="133">
        <v>58.623144057425243</v>
      </c>
      <c r="U9" s="133">
        <v>46.716077886638743</v>
      </c>
      <c r="V9" s="133">
        <v>32.774017810289749</v>
      </c>
      <c r="W9" s="133">
        <v>31.340671651970496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11.150038420630455</v>
      </c>
      <c r="D10" s="133">
        <v>14.723889394537629</v>
      </c>
      <c r="E10" s="133">
        <v>8.1264601577997695</v>
      </c>
      <c r="F10" s="133">
        <v>0</v>
      </c>
      <c r="G10" s="133">
        <v>0</v>
      </c>
      <c r="H10" s="133">
        <v>0</v>
      </c>
      <c r="I10" s="133">
        <v>6.7936979954537096</v>
      </c>
      <c r="J10" s="133">
        <v>10.049978391243419</v>
      </c>
      <c r="K10" s="133">
        <v>3.9443149343604387</v>
      </c>
      <c r="L10" s="133">
        <v>1.2449667043933921</v>
      </c>
      <c r="M10" s="133">
        <v>0.64191017583142285</v>
      </c>
      <c r="N10" s="133">
        <v>3.7607685818791539</v>
      </c>
      <c r="O10" s="133">
        <v>6.986113021180989</v>
      </c>
      <c r="P10" s="133">
        <v>9.0122359102774983</v>
      </c>
      <c r="Q10" s="133">
        <v>1.1835934974371365</v>
      </c>
      <c r="R10" s="133">
        <v>3.8759682864145444</v>
      </c>
      <c r="S10" s="133">
        <v>3.3555154348532761</v>
      </c>
      <c r="T10" s="133">
        <v>2.7010768735366786</v>
      </c>
      <c r="U10" s="133">
        <v>2.9807985318411645</v>
      </c>
      <c r="V10" s="133">
        <v>3.5548777298756504</v>
      </c>
      <c r="W10" s="133">
        <v>3.4697062975588904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8.2499314559170127</v>
      </c>
      <c r="E11" s="133">
        <v>0.95751193355531095</v>
      </c>
      <c r="F11" s="133">
        <v>7.9893158347298751E-2</v>
      </c>
      <c r="G11" s="133">
        <v>0</v>
      </c>
      <c r="H11" s="133">
        <v>0</v>
      </c>
      <c r="I11" s="133">
        <v>0</v>
      </c>
      <c r="J11" s="133">
        <v>0</v>
      </c>
      <c r="K11" s="133">
        <v>3.3438644591805258E-3</v>
      </c>
      <c r="L11" s="133">
        <v>6.8144569237681807E-2</v>
      </c>
      <c r="M11" s="133">
        <v>0.2796204285091598</v>
      </c>
      <c r="N11" s="133">
        <v>4.4129459093970404E-2</v>
      </c>
      <c r="O11" s="133">
        <v>2.0584170841391764E-2</v>
      </c>
      <c r="P11" s="133">
        <v>0.36882696758003947</v>
      </c>
      <c r="Q11" s="133">
        <v>0.11230918191663675</v>
      </c>
      <c r="R11" s="133">
        <v>0.32511071355673843</v>
      </c>
      <c r="S11" s="133">
        <v>0.31200093338061768</v>
      </c>
      <c r="T11" s="133">
        <v>0.40571060440883705</v>
      </c>
      <c r="U11" s="133">
        <v>8.7685235071845696E-2</v>
      </c>
      <c r="V11" s="133">
        <v>6.4519747726316787E-2</v>
      </c>
      <c r="W11" s="133">
        <v>4.847339790691442E-2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41.33480395333428</v>
      </c>
      <c r="D12" s="133">
        <v>27.906663222753412</v>
      </c>
      <c r="E12" s="133">
        <v>14.644064798894576</v>
      </c>
      <c r="F12" s="133">
        <v>15.470374044235797</v>
      </c>
      <c r="G12" s="133">
        <v>7.3259079601323087</v>
      </c>
      <c r="H12" s="133">
        <v>0</v>
      </c>
      <c r="I12" s="133">
        <v>0</v>
      </c>
      <c r="J12" s="133">
        <v>0</v>
      </c>
      <c r="K12" s="133">
        <v>0</v>
      </c>
      <c r="L12" s="133">
        <v>6.4854927114488961</v>
      </c>
      <c r="M12" s="133">
        <v>10.322050451989725</v>
      </c>
      <c r="N12" s="133">
        <v>6.9035058064787034</v>
      </c>
      <c r="O12" s="133">
        <v>7.6736041363017433</v>
      </c>
      <c r="P12" s="133">
        <v>13.650552491380848</v>
      </c>
      <c r="Q12" s="133">
        <v>4.246301966216504</v>
      </c>
      <c r="R12" s="133">
        <v>12.376239759333403</v>
      </c>
      <c r="S12" s="133">
        <v>9.8286410144000502</v>
      </c>
      <c r="T12" s="133">
        <v>6.9216920540225546</v>
      </c>
      <c r="U12" s="133">
        <v>5.7543577693595296</v>
      </c>
      <c r="V12" s="133">
        <v>5.9682404559419693</v>
      </c>
      <c r="W12" s="133">
        <v>3.6652457099839322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2.0049542694317823</v>
      </c>
      <c r="D13" s="133">
        <v>2.8485320601174706</v>
      </c>
      <c r="E13" s="133">
        <v>2.3962497037867938</v>
      </c>
      <c r="F13" s="133">
        <v>2.6889573450754067</v>
      </c>
      <c r="G13" s="133">
        <v>2.9838469453040433</v>
      </c>
      <c r="H13" s="133">
        <v>3.2606294020045294</v>
      </c>
      <c r="I13" s="133">
        <v>2.6594043846396596</v>
      </c>
      <c r="J13" s="133">
        <v>2.3125635879801232</v>
      </c>
      <c r="K13" s="133">
        <v>1.7460168826568634</v>
      </c>
      <c r="L13" s="133">
        <v>3.245396262848248</v>
      </c>
      <c r="M13" s="133">
        <v>6.0131472595430724</v>
      </c>
      <c r="N13" s="133">
        <v>2.5671254558252037</v>
      </c>
      <c r="O13" s="133">
        <v>1.6562308149469436</v>
      </c>
      <c r="P13" s="133">
        <v>1.7622035425620362</v>
      </c>
      <c r="Q13" s="133">
        <v>0.42626721557607161</v>
      </c>
      <c r="R13" s="133">
        <v>1.1961924195279594</v>
      </c>
      <c r="S13" s="133">
        <v>0.82272058502736711</v>
      </c>
      <c r="T13" s="133">
        <v>0.93668122880966731</v>
      </c>
      <c r="U13" s="133">
        <v>1.0269446210343547</v>
      </c>
      <c r="V13" s="133">
        <v>0.8551360535351864</v>
      </c>
      <c r="W13" s="133">
        <v>0.89652166950894974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63.698853854140957</v>
      </c>
      <c r="D14" s="65">
        <v>50.716562434313651</v>
      </c>
      <c r="E14" s="65">
        <v>41.703187543262779</v>
      </c>
      <c r="F14" s="65">
        <v>58.646228167245688</v>
      </c>
      <c r="G14" s="65">
        <v>56.186170789857904</v>
      </c>
      <c r="H14" s="65">
        <v>75.933017178713911</v>
      </c>
      <c r="I14" s="65">
        <v>71.715727275425834</v>
      </c>
      <c r="J14" s="65">
        <v>45.287604711829424</v>
      </c>
      <c r="K14" s="65">
        <v>31.45888412422693</v>
      </c>
      <c r="L14" s="65">
        <v>51.918189696911547</v>
      </c>
      <c r="M14" s="65">
        <v>34.325313026640544</v>
      </c>
      <c r="N14" s="65">
        <v>20.957726886316657</v>
      </c>
      <c r="O14" s="65">
        <v>15.336416824407221</v>
      </c>
      <c r="P14" s="65">
        <v>14.390396527434348</v>
      </c>
      <c r="Q14" s="65">
        <v>7.3393663371592499</v>
      </c>
      <c r="R14" s="65">
        <v>21.82090694881056</v>
      </c>
      <c r="S14" s="65">
        <v>18.856012722160489</v>
      </c>
      <c r="T14" s="65">
        <v>16.41637015514187</v>
      </c>
      <c r="U14" s="65">
        <v>15.401601074763422</v>
      </c>
      <c r="V14" s="65">
        <v>12.767528035107844</v>
      </c>
      <c r="W14" s="65">
        <v>14.146621742656261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1.2239335202600503</v>
      </c>
      <c r="D15" s="135">
        <v>1.2276965192222979</v>
      </c>
      <c r="E15" s="135">
        <v>1.8150683557079887</v>
      </c>
      <c r="F15" s="135">
        <v>1.5675488550405645</v>
      </c>
      <c r="G15" s="135">
        <v>1.5855900766776714</v>
      </c>
      <c r="H15" s="135">
        <v>1.2752872500084009</v>
      </c>
      <c r="I15" s="135">
        <v>1.6121892911708384</v>
      </c>
      <c r="J15" s="135">
        <v>1.4229855801333002</v>
      </c>
      <c r="K15" s="135">
        <v>0.83497805240211009</v>
      </c>
      <c r="L15" s="135">
        <v>1.2308490727606269</v>
      </c>
      <c r="M15" s="135">
        <v>0.94306948707300742</v>
      </c>
      <c r="N15" s="135">
        <v>0.80177782363739525</v>
      </c>
      <c r="O15" s="135">
        <v>0.76345405374833797</v>
      </c>
      <c r="P15" s="135">
        <v>1.0018004551273285</v>
      </c>
      <c r="Q15" s="135">
        <v>0.19594977369837188</v>
      </c>
      <c r="R15" s="135">
        <v>0.71235002085811483</v>
      </c>
      <c r="S15" s="135">
        <v>0.82072369606419138</v>
      </c>
      <c r="T15" s="135">
        <v>0.92909347838264811</v>
      </c>
      <c r="U15" s="135">
        <v>0.80632835311980366</v>
      </c>
      <c r="V15" s="135">
        <v>0.62515045833696858</v>
      </c>
      <c r="W15" s="135">
        <v>0.53088650454995323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16.024827397811862</v>
      </c>
      <c r="D16" s="131">
        <f t="shared" si="4"/>
        <v>14.770033355968982</v>
      </c>
      <c r="E16" s="131">
        <f t="shared" si="4"/>
        <v>25.021335427294417</v>
      </c>
      <c r="F16" s="131">
        <f t="shared" si="4"/>
        <v>14.114370396563714</v>
      </c>
      <c r="G16" s="131">
        <f t="shared" si="4"/>
        <v>14.764995327321934</v>
      </c>
      <c r="H16" s="131">
        <f t="shared" si="4"/>
        <v>17.562094338462582</v>
      </c>
      <c r="I16" s="131">
        <f t="shared" si="4"/>
        <v>15.532142249981746</v>
      </c>
      <c r="J16" s="131">
        <f t="shared" si="4"/>
        <v>12.881383395384992</v>
      </c>
      <c r="K16" s="131">
        <f t="shared" si="4"/>
        <v>7.5652341169955246</v>
      </c>
      <c r="L16" s="131">
        <f t="shared" si="4"/>
        <v>10.947990708169161</v>
      </c>
      <c r="M16" s="131">
        <f t="shared" si="4"/>
        <v>11.355104419563814</v>
      </c>
      <c r="N16" s="131">
        <f t="shared" si="4"/>
        <v>7.9111417047375063</v>
      </c>
      <c r="O16" s="131">
        <f t="shared" si="4"/>
        <v>6.4876025184041017</v>
      </c>
      <c r="P16" s="131">
        <f t="shared" si="4"/>
        <v>8.8655094406654147</v>
      </c>
      <c r="Q16" s="131">
        <f t="shared" si="4"/>
        <v>2.678558009161728</v>
      </c>
      <c r="R16" s="131">
        <f t="shared" ref="R16:W16" si="5">SUM(R17:R18)</f>
        <v>7.4554178323368978</v>
      </c>
      <c r="S16" s="131">
        <f t="shared" si="5"/>
        <v>8.3413556146549528</v>
      </c>
      <c r="T16" s="131">
        <f t="shared" si="5"/>
        <v>8.6530583920735502</v>
      </c>
      <c r="U16" s="131">
        <f t="shared" si="5"/>
        <v>8.3176153169333134</v>
      </c>
      <c r="V16" s="131">
        <f t="shared" si="5"/>
        <v>7.8867272859369795</v>
      </c>
      <c r="W16" s="131">
        <f t="shared" si="5"/>
        <v>5.4798765540729271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0.1448423807600813</v>
      </c>
      <c r="D17" s="133">
        <v>0.128670407876255</v>
      </c>
      <c r="E17" s="133">
        <v>0.51718378951944677</v>
      </c>
      <c r="F17" s="133">
        <v>0.11223323595549702</v>
      </c>
      <c r="G17" s="133">
        <v>5.8550301856722671E-2</v>
      </c>
      <c r="H17" s="133">
        <v>0.5033134977987046</v>
      </c>
      <c r="I17" s="133">
        <v>0.25588459904164434</v>
      </c>
      <c r="J17" s="133">
        <v>0.33104842134867668</v>
      </c>
      <c r="K17" s="133">
        <v>0.15432139007835863</v>
      </c>
      <c r="L17" s="133">
        <v>0.38614867269243452</v>
      </c>
      <c r="M17" s="133">
        <v>0.73139798812693735</v>
      </c>
      <c r="N17" s="133">
        <v>0.91985416816671317</v>
      </c>
      <c r="O17" s="133">
        <v>0.61914214423174219</v>
      </c>
      <c r="P17" s="133">
        <v>0.4892223497054935</v>
      </c>
      <c r="Q17" s="133">
        <v>0.33960399438747846</v>
      </c>
      <c r="R17" s="133">
        <v>0.62522656268850529</v>
      </c>
      <c r="S17" s="133">
        <v>1.0027436812901005</v>
      </c>
      <c r="T17" s="133">
        <v>0.95573598994982145</v>
      </c>
      <c r="U17" s="133">
        <v>1.0590333257582298</v>
      </c>
      <c r="V17" s="133">
        <v>1.1673055137134289</v>
      </c>
      <c r="W17" s="133">
        <v>0.52516565443217589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15.87998501705178</v>
      </c>
      <c r="D18" s="133">
        <v>14.641362948092727</v>
      </c>
      <c r="E18" s="133">
        <v>24.504151637774971</v>
      </c>
      <c r="F18" s="133">
        <v>14.002137160608218</v>
      </c>
      <c r="G18" s="133">
        <v>14.706445025465211</v>
      </c>
      <c r="H18" s="133">
        <v>17.058780840663879</v>
      </c>
      <c r="I18" s="133">
        <v>15.276257650940101</v>
      </c>
      <c r="J18" s="133">
        <v>12.550334974036316</v>
      </c>
      <c r="K18" s="133">
        <v>7.4109127269171662</v>
      </c>
      <c r="L18" s="133">
        <v>10.561842035476728</v>
      </c>
      <c r="M18" s="133">
        <v>10.623706431436876</v>
      </c>
      <c r="N18" s="133">
        <v>6.9912875365707929</v>
      </c>
      <c r="O18" s="133">
        <v>5.8684603741723596</v>
      </c>
      <c r="P18" s="133">
        <v>8.3762870909599219</v>
      </c>
      <c r="Q18" s="133">
        <v>2.3389540147742496</v>
      </c>
      <c r="R18" s="133">
        <v>6.8301912696483926</v>
      </c>
      <c r="S18" s="133">
        <v>7.3386119333648523</v>
      </c>
      <c r="T18" s="133">
        <v>7.6973224021237279</v>
      </c>
      <c r="U18" s="133">
        <v>7.2585819911750828</v>
      </c>
      <c r="V18" s="133">
        <v>6.7194217722235505</v>
      </c>
      <c r="W18" s="133">
        <v>4.9547108996407507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34.293820675688877</v>
      </c>
      <c r="D19" s="131">
        <f t="shared" si="6"/>
        <v>34.22680836355903</v>
      </c>
      <c r="E19" s="131">
        <f t="shared" si="6"/>
        <v>33.27160252394868</v>
      </c>
      <c r="F19" s="131">
        <f t="shared" si="6"/>
        <v>33.517784573424521</v>
      </c>
      <c r="G19" s="131">
        <f t="shared" si="6"/>
        <v>32.393588015369815</v>
      </c>
      <c r="H19" s="131">
        <f t="shared" si="6"/>
        <v>34.168341471834317</v>
      </c>
      <c r="I19" s="131">
        <f t="shared" si="6"/>
        <v>40.715136462378112</v>
      </c>
      <c r="J19" s="131">
        <f t="shared" si="6"/>
        <v>34.741783482709813</v>
      </c>
      <c r="K19" s="131">
        <f t="shared" si="6"/>
        <v>20.270885469069221</v>
      </c>
      <c r="L19" s="131">
        <f t="shared" si="6"/>
        <v>29.583076495635812</v>
      </c>
      <c r="M19" s="131">
        <f t="shared" si="6"/>
        <v>32.334534580281051</v>
      </c>
      <c r="N19" s="131">
        <f t="shared" si="6"/>
        <v>21.057421509231425</v>
      </c>
      <c r="O19" s="131">
        <f t="shared" si="6"/>
        <v>18.984761247431191</v>
      </c>
      <c r="P19" s="131">
        <f t="shared" si="6"/>
        <v>29.325305612837994</v>
      </c>
      <c r="Q19" s="131">
        <f t="shared" si="6"/>
        <v>6.8706554814108998</v>
      </c>
      <c r="R19" s="131">
        <f t="shared" ref="R19:W19" si="7">SUM(R20:R27)</f>
        <v>23.449862824391317</v>
      </c>
      <c r="S19" s="131">
        <f t="shared" si="7"/>
        <v>23.880478414587902</v>
      </c>
      <c r="T19" s="131">
        <f t="shared" si="7"/>
        <v>26.50628569961216</v>
      </c>
      <c r="U19" s="131">
        <f t="shared" si="7"/>
        <v>24.981748043895657</v>
      </c>
      <c r="V19" s="131">
        <f t="shared" si="7"/>
        <v>21.634946224073868</v>
      </c>
      <c r="W19" s="131">
        <f t="shared" si="7"/>
        <v>22.38865738280581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1.436100619514681</v>
      </c>
      <c r="D21" s="133">
        <v>1.8518858620050929</v>
      </c>
      <c r="E21" s="133">
        <v>1.5659881585995894</v>
      </c>
      <c r="F21" s="133">
        <v>1.1697209906137964</v>
      </c>
      <c r="G21" s="133">
        <v>0.97888689115791294</v>
      </c>
      <c r="H21" s="133">
        <v>1.241264367464848</v>
      </c>
      <c r="I21" s="133">
        <v>1.2854449405534247</v>
      </c>
      <c r="J21" s="133">
        <v>0.99450022642969105</v>
      </c>
      <c r="K21" s="133">
        <v>0.53557951302415685</v>
      </c>
      <c r="L21" s="133">
        <v>0.52062669787967042</v>
      </c>
      <c r="M21" s="133">
        <v>0.64781874462934119</v>
      </c>
      <c r="N21" s="133">
        <v>0.45543968348761937</v>
      </c>
      <c r="O21" s="133">
        <v>0.44274159591169582</v>
      </c>
      <c r="P21" s="133">
        <v>0.58683371828067432</v>
      </c>
      <c r="Q21" s="133">
        <v>0.16025245365979163</v>
      </c>
      <c r="R21" s="133">
        <v>0.24513372982234555</v>
      </c>
      <c r="S21" s="133">
        <v>0.14865102075158718</v>
      </c>
      <c r="T21" s="133">
        <v>0</v>
      </c>
      <c r="U21" s="133">
        <v>0</v>
      </c>
      <c r="V21" s="133">
        <v>0.23311901839950303</v>
      </c>
      <c r="W21" s="133">
        <v>0.45054380854221793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7.146541667753894</v>
      </c>
      <c r="D22" s="133">
        <v>6.6993601928629936</v>
      </c>
      <c r="E22" s="133">
        <v>6.672691615815145</v>
      </c>
      <c r="F22" s="133">
        <v>5.7599760954507646</v>
      </c>
      <c r="G22" s="133">
        <v>5.28339646881735</v>
      </c>
      <c r="H22" s="133">
        <v>4.6434880349073184</v>
      </c>
      <c r="I22" s="133">
        <v>4.5730419192752798</v>
      </c>
      <c r="J22" s="133">
        <v>4.7551775244331012</v>
      </c>
      <c r="K22" s="133">
        <v>2.8711721917931756</v>
      </c>
      <c r="L22" s="133">
        <v>4.3341428726478597</v>
      </c>
      <c r="M22" s="133">
        <v>5.5219222441434486</v>
      </c>
      <c r="N22" s="133">
        <v>5.540911724602152</v>
      </c>
      <c r="O22" s="133">
        <v>4.5633634061867765</v>
      </c>
      <c r="P22" s="133">
        <v>4.8757335369089283</v>
      </c>
      <c r="Q22" s="133">
        <v>1.2740776948262249</v>
      </c>
      <c r="R22" s="133">
        <v>1.1259274797573329</v>
      </c>
      <c r="S22" s="133">
        <v>2.7021424268057448</v>
      </c>
      <c r="T22" s="133">
        <v>1.6844076036716262</v>
      </c>
      <c r="U22" s="133">
        <v>2.0505470171489111</v>
      </c>
      <c r="V22" s="133">
        <v>2.0856815572077734</v>
      </c>
      <c r="W22" s="133">
        <v>0.84335919272119075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6.3718633017387303</v>
      </c>
      <c r="D23" s="133">
        <v>6.8522743348067694</v>
      </c>
      <c r="E23" s="133">
        <v>6.4425122156828101</v>
      </c>
      <c r="F23" s="133">
        <v>4.4676287894951088</v>
      </c>
      <c r="G23" s="133">
        <v>3.5457315106146807</v>
      </c>
      <c r="H23" s="133">
        <v>4.0238602800128822</v>
      </c>
      <c r="I23" s="133">
        <v>6.2140935292841784</v>
      </c>
      <c r="J23" s="133">
        <v>6.16997897943995</v>
      </c>
      <c r="K23" s="133">
        <v>5.6000427791816998</v>
      </c>
      <c r="L23" s="133">
        <v>5.2675062731748321</v>
      </c>
      <c r="M23" s="133">
        <v>6.5145901194256677</v>
      </c>
      <c r="N23" s="133">
        <v>3.2064663917128624</v>
      </c>
      <c r="O23" s="133">
        <v>3.2888232741887777</v>
      </c>
      <c r="P23" s="133">
        <v>3.2724989207781441</v>
      </c>
      <c r="Q23" s="133">
        <v>1.2094276649385627</v>
      </c>
      <c r="R23" s="133">
        <v>5.6776002295977497</v>
      </c>
      <c r="S23" s="133">
        <v>3.9745761338534118</v>
      </c>
      <c r="T23" s="133">
        <v>4.3449561867577824</v>
      </c>
      <c r="U23" s="133">
        <v>4.9187292116478636</v>
      </c>
      <c r="V23" s="133">
        <v>4.4141536733157354</v>
      </c>
      <c r="W23" s="133">
        <v>4.5904411521069548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0.27631293352503172</v>
      </c>
      <c r="D24" s="133">
        <v>0.38127983727073694</v>
      </c>
      <c r="E24" s="133">
        <v>0.40175109167391038</v>
      </c>
      <c r="F24" s="133">
        <v>0.42764044499742826</v>
      </c>
      <c r="G24" s="133">
        <v>0.46663846398167169</v>
      </c>
      <c r="H24" s="133">
        <v>0.49364706587323687</v>
      </c>
      <c r="I24" s="133">
        <v>0.71029491939161171</v>
      </c>
      <c r="J24" s="133">
        <v>0.50053726721437086</v>
      </c>
      <c r="K24" s="133">
        <v>0.2296009284216744</v>
      </c>
      <c r="L24" s="133">
        <v>0.12083830963296366</v>
      </c>
      <c r="M24" s="133">
        <v>0</v>
      </c>
      <c r="N24" s="133">
        <v>3.069162916234186E-2</v>
      </c>
      <c r="O24" s="133">
        <v>0.16931803352331709</v>
      </c>
      <c r="P24" s="133">
        <v>0</v>
      </c>
      <c r="Q24" s="133">
        <v>0</v>
      </c>
      <c r="R24" s="133">
        <v>0.13011555849707079</v>
      </c>
      <c r="S24" s="133">
        <v>0.31832470488817638</v>
      </c>
      <c r="T24" s="133">
        <v>0.43013660111617985</v>
      </c>
      <c r="U24" s="133">
        <v>0.52468048548552693</v>
      </c>
      <c r="V24" s="133">
        <v>0.57351957699167322</v>
      </c>
      <c r="W24" s="133">
        <v>0.48404938864471042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2.1444394835424783</v>
      </c>
      <c r="D25" s="133">
        <v>2.0993880936586242</v>
      </c>
      <c r="E25" s="133">
        <v>2.228636786124317</v>
      </c>
      <c r="F25" s="133">
        <v>1.9837938157337418</v>
      </c>
      <c r="G25" s="133">
        <v>0.79386391389965527</v>
      </c>
      <c r="H25" s="133">
        <v>0</v>
      </c>
      <c r="I25" s="133">
        <v>0</v>
      </c>
      <c r="J25" s="133">
        <v>0</v>
      </c>
      <c r="K25" s="133">
        <v>0.29662780337984052</v>
      </c>
      <c r="L25" s="133">
        <v>1.4381985086112901</v>
      </c>
      <c r="M25" s="133">
        <v>1.558919977573695</v>
      </c>
      <c r="N25" s="133">
        <v>1.6227826878036788</v>
      </c>
      <c r="O25" s="133">
        <v>1.2875304198011548</v>
      </c>
      <c r="P25" s="133">
        <v>0.96097572216623894</v>
      </c>
      <c r="Q25" s="133">
        <v>0.4312676214467685</v>
      </c>
      <c r="R25" s="133">
        <v>1.7474620205609035</v>
      </c>
      <c r="S25" s="133">
        <v>1.5944638709640822</v>
      </c>
      <c r="T25" s="133">
        <v>2.0642784488011037</v>
      </c>
      <c r="U25" s="133">
        <v>0.96497597484385789</v>
      </c>
      <c r="V25" s="133">
        <v>0.70977109847052089</v>
      </c>
      <c r="W25" s="133">
        <v>0.38571144412545622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16.918562669614065</v>
      </c>
      <c r="D26" s="65">
        <v>16.342620042954813</v>
      </c>
      <c r="E26" s="65">
        <v>15.960022656052908</v>
      </c>
      <c r="F26" s="65">
        <v>19.709024437133682</v>
      </c>
      <c r="G26" s="65">
        <v>19.68861841918234</v>
      </c>
      <c r="H26" s="65">
        <v>23.713655018088378</v>
      </c>
      <c r="I26" s="65">
        <v>27.598035769571201</v>
      </c>
      <c r="J26" s="65">
        <v>22.004899190549143</v>
      </c>
      <c r="K26" s="65">
        <v>10.468392645831846</v>
      </c>
      <c r="L26" s="65">
        <v>16.677624429542458</v>
      </c>
      <c r="M26" s="65">
        <v>17.565555683232013</v>
      </c>
      <c r="N26" s="65">
        <v>7.0608242194524049</v>
      </c>
      <c r="O26" s="65">
        <v>8.055702511336607</v>
      </c>
      <c r="P26" s="65">
        <v>19.629263296839479</v>
      </c>
      <c r="Q26" s="65">
        <v>2.8495898180862049</v>
      </c>
      <c r="R26" s="65">
        <v>14.094059265060759</v>
      </c>
      <c r="S26" s="65">
        <v>14.103569297220941</v>
      </c>
      <c r="T26" s="65">
        <v>17.452899585157777</v>
      </c>
      <c r="U26" s="65">
        <v>15.564678120882537</v>
      </c>
      <c r="V26" s="65">
        <v>11.892952150136757</v>
      </c>
      <c r="W26" s="65">
        <v>15.612643240975125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1.6364523477162076</v>
      </c>
      <c r="H27" s="148">
        <v>5.2426705487657668E-2</v>
      </c>
      <c r="I27" s="148">
        <v>0.33422538430241722</v>
      </c>
      <c r="J27" s="148">
        <v>0.31669029464355891</v>
      </c>
      <c r="K27" s="148">
        <v>0.26946960743682474</v>
      </c>
      <c r="L27" s="148">
        <v>1.2241394041467371</v>
      </c>
      <c r="M27" s="148">
        <v>0.52572781127688473</v>
      </c>
      <c r="N27" s="148">
        <v>3.1403051730103626</v>
      </c>
      <c r="O27" s="148">
        <v>1.1772820064828642</v>
      </c>
      <c r="P27" s="148">
        <v>4.1786452733883321E-7</v>
      </c>
      <c r="Q27" s="148">
        <v>0.94604022845334645</v>
      </c>
      <c r="R27" s="148">
        <v>0.4295645410951574</v>
      </c>
      <c r="S27" s="148">
        <v>1.038750960103956</v>
      </c>
      <c r="T27" s="148">
        <v>0.52960727410769104</v>
      </c>
      <c r="U27" s="148">
        <v>0.95813723388695859</v>
      </c>
      <c r="V27" s="148">
        <v>1.7257491495519048</v>
      </c>
      <c r="W27" s="148">
        <v>2.1909155690151588E-2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29.891836860814006</v>
      </c>
      <c r="D29" s="131">
        <f t="shared" si="8"/>
        <v>37.319925575670233</v>
      </c>
      <c r="E29" s="131">
        <f t="shared" si="8"/>
        <v>33.183687661318444</v>
      </c>
      <c r="F29" s="131">
        <f t="shared" si="8"/>
        <v>28.025110741842788</v>
      </c>
      <c r="G29" s="131">
        <f t="shared" si="8"/>
        <v>29.703136450917309</v>
      </c>
      <c r="H29" s="131">
        <f t="shared" si="8"/>
        <v>30.902220728941238</v>
      </c>
      <c r="I29" s="131">
        <f t="shared" si="8"/>
        <v>38.596290877556463</v>
      </c>
      <c r="J29" s="131">
        <f t="shared" si="8"/>
        <v>34.684480563716448</v>
      </c>
      <c r="K29" s="131">
        <f t="shared" si="8"/>
        <v>22.59853042021054</v>
      </c>
      <c r="L29" s="131">
        <f t="shared" si="8"/>
        <v>32.114453969479129</v>
      </c>
      <c r="M29" s="131">
        <f t="shared" si="8"/>
        <v>32.823527931796235</v>
      </c>
      <c r="N29" s="131">
        <f t="shared" si="8"/>
        <v>22.350371566146514</v>
      </c>
      <c r="O29" s="131">
        <f t="shared" si="8"/>
        <v>21.174239105179439</v>
      </c>
      <c r="P29" s="131">
        <f t="shared" si="8"/>
        <v>34.686606972748145</v>
      </c>
      <c r="Q29" s="131">
        <f t="shared" si="8"/>
        <v>8.7544569764915572</v>
      </c>
      <c r="R29" s="131">
        <f t="shared" ref="R29:W29" si="9">SUM(R30:R33)</f>
        <v>27.948760243508538</v>
      </c>
      <c r="S29" s="131">
        <f t="shared" si="9"/>
        <v>29.439247012614882</v>
      </c>
      <c r="T29" s="131">
        <f t="shared" si="9"/>
        <v>32.491759357028258</v>
      </c>
      <c r="U29" s="131">
        <f t="shared" si="9"/>
        <v>33.600731045911118</v>
      </c>
      <c r="V29" s="131">
        <f t="shared" si="9"/>
        <v>29.084442300300303</v>
      </c>
      <c r="W29" s="131">
        <f t="shared" si="9"/>
        <v>31.287743696230756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2.4860461780785736</v>
      </c>
      <c r="D30" s="133">
        <v>23.53554206526567</v>
      </c>
      <c r="E30" s="133">
        <v>15.370318500772058</v>
      </c>
      <c r="F30" s="133">
        <v>7.3153311472960105</v>
      </c>
      <c r="G30" s="133">
        <v>1.7221295656212734</v>
      </c>
      <c r="H30" s="133">
        <v>0</v>
      </c>
      <c r="I30" s="133">
        <v>4.1699154238714655</v>
      </c>
      <c r="J30" s="133">
        <v>8.1799740879627727</v>
      </c>
      <c r="K30" s="133">
        <v>3.9718747553787739</v>
      </c>
      <c r="L30" s="133">
        <v>6.0219107510047296</v>
      </c>
      <c r="M30" s="133">
        <v>2.000157993043481</v>
      </c>
      <c r="N30" s="133">
        <v>0.32846197886916401</v>
      </c>
      <c r="O30" s="133">
        <v>1.9903013748521228</v>
      </c>
      <c r="P30" s="133">
        <v>6.8660211625300889</v>
      </c>
      <c r="Q30" s="133">
        <v>2.0453493340175655</v>
      </c>
      <c r="R30" s="133">
        <v>2.9611403531798897</v>
      </c>
      <c r="S30" s="133">
        <v>3.561154113657087</v>
      </c>
      <c r="T30" s="133">
        <v>1.1019932530451166</v>
      </c>
      <c r="U30" s="133">
        <v>4.7648126143282576</v>
      </c>
      <c r="V30" s="133">
        <v>3.148679377944045</v>
      </c>
      <c r="W30" s="133">
        <v>3.1746562702808232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11.213115970941899</v>
      </c>
      <c r="D31" s="133">
        <v>11.65446372660489</v>
      </c>
      <c r="E31" s="133">
        <v>8.3442440564117515</v>
      </c>
      <c r="F31" s="133">
        <v>3.6314774890725823</v>
      </c>
      <c r="G31" s="133">
        <v>0</v>
      </c>
      <c r="H31" s="133">
        <v>0</v>
      </c>
      <c r="I31" s="133">
        <v>10.142863425267057</v>
      </c>
      <c r="J31" s="133">
        <v>12.967915110113413</v>
      </c>
      <c r="K31" s="133">
        <v>12.775596543267557</v>
      </c>
      <c r="L31" s="133">
        <v>11.820357587867033</v>
      </c>
      <c r="M31" s="133">
        <v>9.4138777009181389</v>
      </c>
      <c r="N31" s="133">
        <v>4.695340159007177</v>
      </c>
      <c r="O31" s="133">
        <v>7.6575316845436783</v>
      </c>
      <c r="P31" s="133">
        <v>12.141412787482828</v>
      </c>
      <c r="Q31" s="133">
        <v>2.934889884869663</v>
      </c>
      <c r="R31" s="133">
        <v>5.9976288106403448</v>
      </c>
      <c r="S31" s="133">
        <v>7.8234254944191788</v>
      </c>
      <c r="T31" s="133">
        <v>10.983139990609816</v>
      </c>
      <c r="U31" s="133">
        <v>14.705860563576099</v>
      </c>
      <c r="V31" s="133">
        <v>14.038670621437578</v>
      </c>
      <c r="W31" s="133">
        <v>15.202136845197645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16.192674711793533</v>
      </c>
      <c r="D33" s="68">
        <v>2.129919783799672</v>
      </c>
      <c r="E33" s="68">
        <v>9.4691251041346334</v>
      </c>
      <c r="F33" s="68">
        <v>17.078302105474197</v>
      </c>
      <c r="G33" s="68">
        <v>27.981006885296036</v>
      </c>
      <c r="H33" s="68">
        <v>30.902220728941238</v>
      </c>
      <c r="I33" s="68">
        <v>24.283512028417938</v>
      </c>
      <c r="J33" s="68">
        <v>13.536591365640261</v>
      </c>
      <c r="K33" s="68">
        <v>5.8510591215642096</v>
      </c>
      <c r="L33" s="68">
        <v>14.272185630607366</v>
      </c>
      <c r="M33" s="68">
        <v>21.409492237834616</v>
      </c>
      <c r="N33" s="68">
        <v>17.326569428270172</v>
      </c>
      <c r="O33" s="68">
        <v>11.526406045783638</v>
      </c>
      <c r="P33" s="68">
        <v>15.679173022735228</v>
      </c>
      <c r="Q33" s="68">
        <v>3.7742177576043283</v>
      </c>
      <c r="R33" s="68">
        <v>18.989991079688302</v>
      </c>
      <c r="S33" s="68">
        <v>18.054667404538616</v>
      </c>
      <c r="T33" s="68">
        <v>20.406626113373324</v>
      </c>
      <c r="U33" s="68">
        <v>14.130057868006766</v>
      </c>
      <c r="V33" s="68">
        <v>11.897092300918681</v>
      </c>
      <c r="W33" s="68">
        <v>12.91095058075229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222.66019474495673</v>
      </c>
      <c r="D3" s="126">
        <f t="shared" si="0"/>
        <v>214.06162169989545</v>
      </c>
      <c r="E3" s="126">
        <f t="shared" si="0"/>
        <v>249.97708002452603</v>
      </c>
      <c r="F3" s="126">
        <f t="shared" si="0"/>
        <v>223.93734906126286</v>
      </c>
      <c r="G3" s="126">
        <f t="shared" si="0"/>
        <v>227.52783615015463</v>
      </c>
      <c r="H3" s="126">
        <f t="shared" si="0"/>
        <v>233.01368232426742</v>
      </c>
      <c r="I3" s="126">
        <f t="shared" si="0"/>
        <v>255.06826624302482</v>
      </c>
      <c r="J3" s="126">
        <f t="shared" si="0"/>
        <v>210.00093348976893</v>
      </c>
      <c r="K3" s="126">
        <f t="shared" si="0"/>
        <v>129.76735390174463</v>
      </c>
      <c r="L3" s="126">
        <f t="shared" si="0"/>
        <v>202.78231664360004</v>
      </c>
      <c r="M3" s="126">
        <f t="shared" si="0"/>
        <v>189.6071751955833</v>
      </c>
      <c r="N3" s="126">
        <f t="shared" si="0"/>
        <v>135.83797655483855</v>
      </c>
      <c r="O3" s="126">
        <f t="shared" si="0"/>
        <v>122.43398491793295</v>
      </c>
      <c r="P3" s="126">
        <f t="shared" si="0"/>
        <v>170.56499089325337</v>
      </c>
      <c r="Q3" s="126">
        <f t="shared" si="0"/>
        <v>44.260491316784169</v>
      </c>
      <c r="R3" s="126">
        <f t="shared" ref="R3:W3" si="1">SUM(R4,R16,R19,R29)</f>
        <v>144.57075085700663</v>
      </c>
      <c r="S3" s="126">
        <f t="shared" si="1"/>
        <v>150.64617254988474</v>
      </c>
      <c r="T3" s="126">
        <f t="shared" si="1"/>
        <v>161.34745644123291</v>
      </c>
      <c r="U3" s="126">
        <f t="shared" si="1"/>
        <v>149.78379261574406</v>
      </c>
      <c r="V3" s="126">
        <f t="shared" si="1"/>
        <v>128.48950504122661</v>
      </c>
      <c r="W3" s="126">
        <f t="shared" si="1"/>
        <v>117.22262521899586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143.04571682957004</v>
      </c>
      <c r="D4" s="131">
        <f t="shared" si="2"/>
        <v>134.45482265704098</v>
      </c>
      <c r="E4" s="131">
        <f t="shared" si="2"/>
        <v>145.92078709960248</v>
      </c>
      <c r="F4" s="131">
        <f t="shared" si="2"/>
        <v>146.17855833051055</v>
      </c>
      <c r="G4" s="131">
        <f t="shared" si="2"/>
        <v>144.00922578443354</v>
      </c>
      <c r="H4" s="131">
        <f t="shared" si="2"/>
        <v>139.31105793773693</v>
      </c>
      <c r="I4" s="131">
        <f t="shared" si="2"/>
        <v>157.25545893870301</v>
      </c>
      <c r="J4" s="131">
        <f t="shared" si="2"/>
        <v>127.02590268603741</v>
      </c>
      <c r="K4" s="131">
        <f t="shared" si="2"/>
        <v>79.470178626031043</v>
      </c>
      <c r="L4" s="131">
        <f t="shared" si="2"/>
        <v>127.67789982414868</v>
      </c>
      <c r="M4" s="131">
        <f t="shared" si="2"/>
        <v>109.09368344195178</v>
      </c>
      <c r="N4" s="131">
        <f t="shared" si="2"/>
        <v>79.516484493289994</v>
      </c>
      <c r="O4" s="131">
        <f t="shared" si="2"/>
        <v>72.648040826139308</v>
      </c>
      <c r="P4" s="131">
        <f t="shared" si="2"/>
        <v>93.860136599865882</v>
      </c>
      <c r="Q4" s="131">
        <f t="shared" si="2"/>
        <v>23.54880575581285</v>
      </c>
      <c r="R4" s="131">
        <f t="shared" ref="R4:W4" si="3">SUM(R5:R15)</f>
        <v>77.819464972472048</v>
      </c>
      <c r="S4" s="131">
        <f t="shared" si="3"/>
        <v>79.187325350363821</v>
      </c>
      <c r="T4" s="131">
        <f t="shared" si="3"/>
        <v>82.770965239246934</v>
      </c>
      <c r="U4" s="131">
        <f t="shared" si="3"/>
        <v>73.928191102276855</v>
      </c>
      <c r="V4" s="131">
        <f t="shared" si="3"/>
        <v>59.89624163752633</v>
      </c>
      <c r="W4" s="131">
        <f t="shared" si="3"/>
        <v>53.900904527050571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1.1790060437396859</v>
      </c>
      <c r="G5" s="133">
        <v>3.1856099224252881</v>
      </c>
      <c r="H5" s="133">
        <v>3.0713826711666972</v>
      </c>
      <c r="I5" s="133">
        <v>2.0440389623057782</v>
      </c>
      <c r="J5" s="133">
        <v>0.78969086710845093</v>
      </c>
      <c r="K5" s="133">
        <v>0</v>
      </c>
      <c r="L5" s="133">
        <v>0</v>
      </c>
      <c r="M5" s="133">
        <v>0</v>
      </c>
      <c r="N5" s="133">
        <v>0</v>
      </c>
      <c r="O5" s="133">
        <v>0.19091201057890791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0.20674266763209548</v>
      </c>
      <c r="V5" s="133">
        <v>0.39539337766887128</v>
      </c>
      <c r="W5" s="133">
        <v>0.52795616025078673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29.55685133474536</v>
      </c>
      <c r="D7" s="133">
        <v>7.7475822321766898</v>
      </c>
      <c r="E7" s="133">
        <v>12.927504486437172</v>
      </c>
      <c r="F7" s="133">
        <v>16.208618833303387</v>
      </c>
      <c r="G7" s="133">
        <v>19.589448711281566</v>
      </c>
      <c r="H7" s="133">
        <v>30.524488674911371</v>
      </c>
      <c r="I7" s="133">
        <v>26.894288161763825</v>
      </c>
      <c r="J7" s="133">
        <v>32.862089664824623</v>
      </c>
      <c r="K7" s="133">
        <v>15.848828588457302</v>
      </c>
      <c r="L7" s="133">
        <v>11.979388707611843</v>
      </c>
      <c r="M7" s="133">
        <v>17.532442044829555</v>
      </c>
      <c r="N7" s="133">
        <v>14.184004685591784</v>
      </c>
      <c r="O7" s="133">
        <v>15.642351526941271</v>
      </c>
      <c r="P7" s="133">
        <v>10.503692189312211</v>
      </c>
      <c r="Q7" s="133">
        <v>2.1625950193590735</v>
      </c>
      <c r="R7" s="133">
        <v>3.1000637077675215</v>
      </c>
      <c r="S7" s="133">
        <v>8.5441348964075932</v>
      </c>
      <c r="T7" s="133">
        <v>9.3952533076103073</v>
      </c>
      <c r="U7" s="133">
        <v>11.188413251938538</v>
      </c>
      <c r="V7" s="133">
        <v>10.577118146465326</v>
      </c>
      <c r="W7" s="133">
        <v>6.2305023114673102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4.9212407432848868E-2</v>
      </c>
      <c r="D8" s="133">
        <v>0.11564891309229228</v>
      </c>
      <c r="E8" s="133">
        <v>0.21868191304940146</v>
      </c>
      <c r="F8" s="133">
        <v>0.31662287087153762</v>
      </c>
      <c r="G8" s="133">
        <v>0.62750937340043156</v>
      </c>
      <c r="H8" s="133">
        <v>0.59948934857164626</v>
      </c>
      <c r="I8" s="133">
        <v>0.50747185182576304</v>
      </c>
      <c r="J8" s="133">
        <v>0.28723518600117248</v>
      </c>
      <c r="K8" s="133">
        <v>0.22882541309529034</v>
      </c>
      <c r="L8" s="133">
        <v>0.60564895596209822</v>
      </c>
      <c r="M8" s="133">
        <v>1.8291846669531551</v>
      </c>
      <c r="N8" s="133">
        <v>1.0705279521928377</v>
      </c>
      <c r="O8" s="133">
        <v>1.3887588011552603</v>
      </c>
      <c r="P8" s="133">
        <v>3.1678471382208984</v>
      </c>
      <c r="Q8" s="133">
        <v>0.78902240378578681</v>
      </c>
      <c r="R8" s="133">
        <v>1.4802390596675472</v>
      </c>
      <c r="S8" s="133">
        <v>0.91264724716203438</v>
      </c>
      <c r="T8" s="133">
        <v>0.79024442526848515</v>
      </c>
      <c r="U8" s="133">
        <v>0.6778805548035709</v>
      </c>
      <c r="V8" s="133">
        <v>0.41553226252961978</v>
      </c>
      <c r="W8" s="133">
        <v>0.42398998822019396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21.281270701114408</v>
      </c>
      <c r="D9" s="133">
        <v>44.592322288605239</v>
      </c>
      <c r="E9" s="133">
        <v>77.874305250752073</v>
      </c>
      <c r="F9" s="133">
        <v>64.638117177958151</v>
      </c>
      <c r="G9" s="133">
        <v>64.326021991999411</v>
      </c>
      <c r="H9" s="133">
        <v>39.048845986292839</v>
      </c>
      <c r="I9" s="133">
        <v>61.489877294342556</v>
      </c>
      <c r="J9" s="133">
        <v>45.672054997412715</v>
      </c>
      <c r="K9" s="133">
        <v>31.638144653190317</v>
      </c>
      <c r="L9" s="133">
        <v>58.728894123710596</v>
      </c>
      <c r="M9" s="133">
        <v>35.822666278037225</v>
      </c>
      <c r="N9" s="133">
        <v>31.300574261147098</v>
      </c>
      <c r="O9" s="133">
        <v>26.692998556806604</v>
      </c>
      <c r="P9" s="133">
        <v>44.503820569438268</v>
      </c>
      <c r="Q9" s="133">
        <v>8.4442582593710398</v>
      </c>
      <c r="R9" s="133">
        <v>36.84207242688354</v>
      </c>
      <c r="S9" s="133">
        <v>39.193176234600429</v>
      </c>
      <c r="T9" s="133">
        <v>46.148967650141827</v>
      </c>
      <c r="U9" s="133">
        <v>37.005259726200869</v>
      </c>
      <c r="V9" s="133">
        <v>26.101219068864697</v>
      </c>
      <c r="W9" s="133">
        <v>25.052256591472613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6.2655492258518928</v>
      </c>
      <c r="D10" s="133">
        <v>8.2779547132940259</v>
      </c>
      <c r="E10" s="133">
        <v>4.5711090966952872</v>
      </c>
      <c r="F10" s="133">
        <v>0</v>
      </c>
      <c r="G10" s="133">
        <v>0</v>
      </c>
      <c r="H10" s="133">
        <v>0</v>
      </c>
      <c r="I10" s="133">
        <v>3.8293071974065267</v>
      </c>
      <c r="J10" s="133">
        <v>5.6676696124936088</v>
      </c>
      <c r="K10" s="133">
        <v>2.2255415927739035</v>
      </c>
      <c r="L10" s="133">
        <v>0.70282156625973147</v>
      </c>
      <c r="M10" s="133">
        <v>0.36254929973906969</v>
      </c>
      <c r="N10" s="133">
        <v>2.1249487633198121</v>
      </c>
      <c r="O10" s="133">
        <v>3.9487114769594331</v>
      </c>
      <c r="P10" s="133">
        <v>5.0954423033190475</v>
      </c>
      <c r="Q10" s="133">
        <v>0.66943140056225581</v>
      </c>
      <c r="R10" s="133">
        <v>2.1933651894747781</v>
      </c>
      <c r="S10" s="133">
        <v>1.8999601656531264</v>
      </c>
      <c r="T10" s="133">
        <v>1.530304329639802</v>
      </c>
      <c r="U10" s="133">
        <v>1.6896968795892979</v>
      </c>
      <c r="V10" s="133">
        <v>2.0160346681369363</v>
      </c>
      <c r="W10" s="133">
        <v>1.9684507688761133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6.748436528417801</v>
      </c>
      <c r="E11" s="133">
        <v>0.78782644488960218</v>
      </c>
      <c r="F11" s="133">
        <v>6.611725878160743E-2</v>
      </c>
      <c r="G11" s="133">
        <v>0</v>
      </c>
      <c r="H11" s="133">
        <v>0</v>
      </c>
      <c r="I11" s="133">
        <v>0</v>
      </c>
      <c r="J11" s="133">
        <v>0</v>
      </c>
      <c r="K11" s="133">
        <v>2.8473451541539069E-3</v>
      </c>
      <c r="L11" s="133">
        <v>5.8352630456237876E-2</v>
      </c>
      <c r="M11" s="133">
        <v>0.24079532289641953</v>
      </c>
      <c r="N11" s="133">
        <v>3.8218963201092519E-2</v>
      </c>
      <c r="O11" s="133">
        <v>1.7929344513262918E-2</v>
      </c>
      <c r="P11" s="133">
        <v>0.32306683233231415</v>
      </c>
      <c r="Q11" s="133">
        <v>9.8887164945315617E-2</v>
      </c>
      <c r="R11" s="133">
        <v>0.28755023686977832</v>
      </c>
      <c r="S11" s="133">
        <v>0.27709803774781777</v>
      </c>
      <c r="T11" s="133">
        <v>0.36170925282274624</v>
      </c>
      <c r="U11" s="133">
        <v>7.8458258595981531E-2</v>
      </c>
      <c r="V11" s="133">
        <v>5.7930745926657354E-2</v>
      </c>
      <c r="W11" s="133">
        <v>4.3663815040413556E-2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34.051408790245056</v>
      </c>
      <c r="D12" s="133">
        <v>23.041628947544094</v>
      </c>
      <c r="E12" s="133">
        <v>12.119292587440562</v>
      </c>
      <c r="F12" s="133">
        <v>12.832996272420173</v>
      </c>
      <c r="G12" s="133">
        <v>6.0914727260832837</v>
      </c>
      <c r="H12" s="133">
        <v>0</v>
      </c>
      <c r="I12" s="133">
        <v>0</v>
      </c>
      <c r="J12" s="133">
        <v>0</v>
      </c>
      <c r="K12" s="133">
        <v>0</v>
      </c>
      <c r="L12" s="133">
        <v>5.4637345467193663</v>
      </c>
      <c r="M12" s="133">
        <v>8.7304690585122096</v>
      </c>
      <c r="N12" s="133">
        <v>5.8703526903131173</v>
      </c>
      <c r="O12" s="133">
        <v>6.5707832072724486</v>
      </c>
      <c r="P12" s="133">
        <v>11.783265049282008</v>
      </c>
      <c r="Q12" s="133">
        <v>3.6931813706022072</v>
      </c>
      <c r="R12" s="133">
        <v>10.826071618892747</v>
      </c>
      <c r="S12" s="133">
        <v>8.6454322810575857</v>
      </c>
      <c r="T12" s="133">
        <v>6.1209735402048295</v>
      </c>
      <c r="U12" s="133">
        <v>5.1145751791013918</v>
      </c>
      <c r="V12" s="133">
        <v>5.3301419901667781</v>
      </c>
      <c r="W12" s="133">
        <v>3.2877792204185994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3.0932587661749187</v>
      </c>
      <c r="D13" s="133">
        <v>4.7077505678611473</v>
      </c>
      <c r="E13" s="133">
        <v>4.2311218750330655</v>
      </c>
      <c r="F13" s="133">
        <v>5.0591037469472022</v>
      </c>
      <c r="G13" s="133">
        <v>5.9683353038990337</v>
      </c>
      <c r="H13" s="133">
        <v>6.919013031562427</v>
      </c>
      <c r="I13" s="133">
        <v>5.9752086708015133</v>
      </c>
      <c r="J13" s="133">
        <v>5.4924869791653643</v>
      </c>
      <c r="K13" s="133">
        <v>4.3772074196806328</v>
      </c>
      <c r="L13" s="133">
        <v>8.5760610171449034</v>
      </c>
      <c r="M13" s="133">
        <v>16.786267960741831</v>
      </c>
      <c r="N13" s="133">
        <v>7.5901071028461784</v>
      </c>
      <c r="O13" s="133">
        <v>5.1940202327664533</v>
      </c>
      <c r="P13" s="133">
        <v>5.8436673489577631</v>
      </c>
      <c r="Q13" s="133">
        <v>1.4764702246373582</v>
      </c>
      <c r="R13" s="133">
        <v>4.2151396022807424</v>
      </c>
      <c r="S13" s="133">
        <v>2.9303858701706336</v>
      </c>
      <c r="T13" s="133">
        <v>3.3591383342374082</v>
      </c>
      <c r="U13" s="133">
        <v>3.70277537807736</v>
      </c>
      <c r="V13" s="133">
        <v>3.1033348283770694</v>
      </c>
      <c r="W13" s="133">
        <v>3.2775397329685125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47.524232083745517</v>
      </c>
      <c r="D14" s="65">
        <v>37.995801946827385</v>
      </c>
      <c r="E14" s="65">
        <v>31.375877089597346</v>
      </c>
      <c r="F14" s="65">
        <v>44.310427271448233</v>
      </c>
      <c r="G14" s="65">
        <v>42.635237678666854</v>
      </c>
      <c r="H14" s="65">
        <v>57.87255097522354</v>
      </c>
      <c r="I14" s="65">
        <v>54.903077509086245</v>
      </c>
      <c r="J14" s="65">
        <v>34.831689798898175</v>
      </c>
      <c r="K14" s="65">
        <v>24.313805561277348</v>
      </c>
      <c r="L14" s="65">
        <v>40.332149203523286</v>
      </c>
      <c r="M14" s="65">
        <v>26.846239323169314</v>
      </c>
      <c r="N14" s="65">
        <v>16.535972251040683</v>
      </c>
      <c r="O14" s="65">
        <v>12.238121615397326</v>
      </c>
      <c r="P14" s="65">
        <v>11.637534713876043</v>
      </c>
      <c r="Q14" s="65">
        <v>6.0190101388514385</v>
      </c>
      <c r="R14" s="65">
        <v>18.162613109777286</v>
      </c>
      <c r="S14" s="65">
        <v>15.96376692150041</v>
      </c>
      <c r="T14" s="65">
        <v>14.135280920938856</v>
      </c>
      <c r="U14" s="65">
        <v>13.458060853217935</v>
      </c>
      <c r="V14" s="65">
        <v>11.274386091053401</v>
      </c>
      <c r="W14" s="65">
        <v>12.557879433786074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1.2239335202600503</v>
      </c>
      <c r="D15" s="135">
        <v>1.2276965192222979</v>
      </c>
      <c r="E15" s="135">
        <v>1.8150683557079887</v>
      </c>
      <c r="F15" s="135">
        <v>1.5675488550405645</v>
      </c>
      <c r="G15" s="135">
        <v>1.5855900766776714</v>
      </c>
      <c r="H15" s="135">
        <v>1.2752872500084009</v>
      </c>
      <c r="I15" s="135">
        <v>1.6121892911708384</v>
      </c>
      <c r="J15" s="135">
        <v>1.4229855801333002</v>
      </c>
      <c r="K15" s="135">
        <v>0.83497805240211009</v>
      </c>
      <c r="L15" s="135">
        <v>1.2308490727606269</v>
      </c>
      <c r="M15" s="135">
        <v>0.94306948707300742</v>
      </c>
      <c r="N15" s="135">
        <v>0.80177782363739525</v>
      </c>
      <c r="O15" s="135">
        <v>0.76345405374833797</v>
      </c>
      <c r="P15" s="135">
        <v>1.0018004551273285</v>
      </c>
      <c r="Q15" s="135">
        <v>0.19594977369837188</v>
      </c>
      <c r="R15" s="135">
        <v>0.71235002085811483</v>
      </c>
      <c r="S15" s="135">
        <v>0.82072369606419138</v>
      </c>
      <c r="T15" s="135">
        <v>0.92909347838264811</v>
      </c>
      <c r="U15" s="135">
        <v>0.80632835311980366</v>
      </c>
      <c r="V15" s="135">
        <v>0.62515045833696858</v>
      </c>
      <c r="W15" s="135">
        <v>0.53088650454995323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36.858171896694422</v>
      </c>
      <c r="D16" s="131">
        <f t="shared" si="4"/>
        <v>35.102390598146897</v>
      </c>
      <c r="E16" s="131">
        <f t="shared" si="4"/>
        <v>61.038866435107714</v>
      </c>
      <c r="F16" s="131">
        <f t="shared" si="4"/>
        <v>35.731963423781636</v>
      </c>
      <c r="G16" s="131">
        <f t="shared" si="4"/>
        <v>38.606880662282002</v>
      </c>
      <c r="H16" s="131">
        <f t="shared" si="4"/>
        <v>46.693813164756463</v>
      </c>
      <c r="I16" s="131">
        <f t="shared" si="4"/>
        <v>42.784437212473058</v>
      </c>
      <c r="J16" s="131">
        <f t="shared" si="4"/>
        <v>36.327971764742522</v>
      </c>
      <c r="K16" s="131">
        <f t="shared" si="4"/>
        <v>22.016578239962886</v>
      </c>
      <c r="L16" s="131">
        <f t="shared" si="4"/>
        <v>32.497295617061631</v>
      </c>
      <c r="M16" s="131">
        <f t="shared" si="4"/>
        <v>34.222823442211968</v>
      </c>
      <c r="N16" s="131">
        <f t="shared" si="4"/>
        <v>23.969966358017338</v>
      </c>
      <c r="O16" s="131">
        <f t="shared" si="4"/>
        <v>20.798911475337039</v>
      </c>
      <c r="P16" s="131">
        <f t="shared" si="4"/>
        <v>30.513928735165873</v>
      </c>
      <c r="Q16" s="131">
        <f t="shared" si="4"/>
        <v>9.1327135686145695</v>
      </c>
      <c r="R16" s="131">
        <f t="shared" ref="R16:W16" si="5">SUM(R17:R18)</f>
        <v>26.760207005676243</v>
      </c>
      <c r="S16" s="131">
        <f t="shared" si="5"/>
        <v>29.759736515572094</v>
      </c>
      <c r="T16" s="131">
        <f t="shared" si="5"/>
        <v>31.546821160471044</v>
      </c>
      <c r="U16" s="131">
        <f t="shared" si="5"/>
        <v>30.401020540556086</v>
      </c>
      <c r="V16" s="131">
        <f t="shared" si="5"/>
        <v>28.826592835378687</v>
      </c>
      <c r="W16" s="131">
        <f t="shared" si="5"/>
        <v>21.003108448282283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0.18484256949522562</v>
      </c>
      <c r="D17" s="133">
        <v>0.16475122022382124</v>
      </c>
      <c r="E17" s="133">
        <v>0.66400355529294952</v>
      </c>
      <c r="F17" s="133">
        <v>0.14441220683713768</v>
      </c>
      <c r="G17" s="133">
        <v>7.5467847541788688E-2</v>
      </c>
      <c r="H17" s="133">
        <v>0.64967722648387971</v>
      </c>
      <c r="I17" s="133">
        <v>0.33069735634176295</v>
      </c>
      <c r="J17" s="133">
        <v>0.42834254921041864</v>
      </c>
      <c r="K17" s="133">
        <v>0.19996134315749209</v>
      </c>
      <c r="L17" s="133">
        <v>0.50127789831461078</v>
      </c>
      <c r="M17" s="133">
        <v>0.95388293462800522</v>
      </c>
      <c r="N17" s="133">
        <v>1.212457955815861</v>
      </c>
      <c r="O17" s="133">
        <v>0.83051921660160066</v>
      </c>
      <c r="P17" s="133">
        <v>0.67201947951947605</v>
      </c>
      <c r="Q17" s="133">
        <v>0.47818801741149725</v>
      </c>
      <c r="R17" s="133">
        <v>0.89814387162093656</v>
      </c>
      <c r="S17" s="133">
        <v>1.4686891259182899</v>
      </c>
      <c r="T17" s="133">
        <v>1.4313179441771984</v>
      </c>
      <c r="U17" s="133">
        <v>1.6229745445863661</v>
      </c>
      <c r="V17" s="133">
        <v>1.8283295260821064</v>
      </c>
      <c r="W17" s="133">
        <v>0.83704482773170674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36.673329327199198</v>
      </c>
      <c r="D18" s="133">
        <v>34.937639377923077</v>
      </c>
      <c r="E18" s="133">
        <v>60.374862879814764</v>
      </c>
      <c r="F18" s="133">
        <v>35.587551216944497</v>
      </c>
      <c r="G18" s="133">
        <v>38.531412814740214</v>
      </c>
      <c r="H18" s="133">
        <v>46.044135938272582</v>
      </c>
      <c r="I18" s="133">
        <v>42.453739856131293</v>
      </c>
      <c r="J18" s="133">
        <v>35.899629215532102</v>
      </c>
      <c r="K18" s="133">
        <v>21.816616896805392</v>
      </c>
      <c r="L18" s="133">
        <v>31.996017718747023</v>
      </c>
      <c r="M18" s="133">
        <v>33.268940507583963</v>
      </c>
      <c r="N18" s="133">
        <v>22.757508402201477</v>
      </c>
      <c r="O18" s="133">
        <v>19.968392258735438</v>
      </c>
      <c r="P18" s="133">
        <v>29.841909255646396</v>
      </c>
      <c r="Q18" s="133">
        <v>8.6545255512030721</v>
      </c>
      <c r="R18" s="133">
        <v>25.862063134055305</v>
      </c>
      <c r="S18" s="133">
        <v>28.291047389653805</v>
      </c>
      <c r="T18" s="133">
        <v>30.115503216293845</v>
      </c>
      <c r="U18" s="133">
        <v>28.77804599596972</v>
      </c>
      <c r="V18" s="133">
        <v>26.998263309296579</v>
      </c>
      <c r="W18" s="133">
        <v>20.166063620550577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22.164906069882335</v>
      </c>
      <c r="D19" s="131">
        <f t="shared" si="6"/>
        <v>22.178662997481702</v>
      </c>
      <c r="E19" s="131">
        <f t="shared" si="6"/>
        <v>21.713958250502476</v>
      </c>
      <c r="F19" s="131">
        <f t="shared" si="6"/>
        <v>22.299340301490496</v>
      </c>
      <c r="G19" s="131">
        <f t="shared" si="6"/>
        <v>22.10518976299884</v>
      </c>
      <c r="H19" s="131">
        <f t="shared" si="6"/>
        <v>22.899795912620579</v>
      </c>
      <c r="I19" s="131">
        <f t="shared" si="6"/>
        <v>27.565863452933268</v>
      </c>
      <c r="J19" s="131">
        <f t="shared" si="6"/>
        <v>23.505248959190293</v>
      </c>
      <c r="K19" s="131">
        <f t="shared" si="6"/>
        <v>13.734208926668224</v>
      </c>
      <c r="L19" s="131">
        <f t="shared" si="6"/>
        <v>20.775172771488823</v>
      </c>
      <c r="M19" s="131">
        <f t="shared" si="6"/>
        <v>22.6090264057616</v>
      </c>
      <c r="N19" s="131">
        <f t="shared" si="6"/>
        <v>15.642028565750694</v>
      </c>
      <c r="O19" s="131">
        <f t="shared" si="6"/>
        <v>14.06990247310304</v>
      </c>
      <c r="P19" s="131">
        <f t="shared" si="6"/>
        <v>22.324592274737647</v>
      </c>
      <c r="Q19" s="131">
        <f t="shared" si="6"/>
        <v>5.5683108226993561</v>
      </c>
      <c r="R19" s="131">
        <f t="shared" ref="R19:W19" si="7">SUM(R20:R27)</f>
        <v>19.121829541300055</v>
      </c>
      <c r="S19" s="131">
        <f t="shared" si="7"/>
        <v>19.889510941414443</v>
      </c>
      <c r="T19" s="131">
        <f t="shared" si="7"/>
        <v>22.521694103149549</v>
      </c>
      <c r="U19" s="131">
        <f t="shared" si="7"/>
        <v>21.500861697147958</v>
      </c>
      <c r="V19" s="131">
        <f t="shared" si="7"/>
        <v>18.910841784545322</v>
      </c>
      <c r="W19" s="131">
        <f t="shared" si="7"/>
        <v>19.681746700617921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0.83251532144658891</v>
      </c>
      <c r="D21" s="133">
        <v>1.0772727063642287</v>
      </c>
      <c r="E21" s="133">
        <v>0.9146320834612367</v>
      </c>
      <c r="F21" s="133">
        <v>0.68598305019096673</v>
      </c>
      <c r="G21" s="133">
        <v>0.5767075395617981</v>
      </c>
      <c r="H21" s="133">
        <v>0.73497372176868792</v>
      </c>
      <c r="I21" s="133">
        <v>0.76538828915156354</v>
      </c>
      <c r="J21" s="133">
        <v>0.59604293566140065</v>
      </c>
      <c r="K21" s="133">
        <v>0.3235320473140576</v>
      </c>
      <c r="L21" s="133">
        <v>0.31742849379168392</v>
      </c>
      <c r="M21" s="133">
        <v>0.40264377146915642</v>
      </c>
      <c r="N21" s="133">
        <v>0.29205814144184977</v>
      </c>
      <c r="O21" s="133">
        <v>0.29676975388593652</v>
      </c>
      <c r="P21" s="133">
        <v>0.41411476851919898</v>
      </c>
      <c r="Q21" s="133">
        <v>0.11823370718478425</v>
      </c>
      <c r="R21" s="133">
        <v>0.18617260778609418</v>
      </c>
      <c r="S21" s="133">
        <v>0.11600168031107035</v>
      </c>
      <c r="T21" s="133">
        <v>0</v>
      </c>
      <c r="U21" s="133">
        <v>0</v>
      </c>
      <c r="V21" s="133">
        <v>0.19266717780792705</v>
      </c>
      <c r="W21" s="133">
        <v>0.37478576972151634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3.9055165546935617</v>
      </c>
      <c r="D22" s="133">
        <v>3.6750561097782111</v>
      </c>
      <c r="E22" s="133">
        <v>3.6765863003743218</v>
      </c>
      <c r="F22" s="133">
        <v>3.1879086902496736</v>
      </c>
      <c r="G22" s="133">
        <v>2.9388581947812149</v>
      </c>
      <c r="H22" s="133">
        <v>2.597164659437742</v>
      </c>
      <c r="I22" s="133">
        <v>2.573400429371135</v>
      </c>
      <c r="J22" s="133">
        <v>2.6951149348145247</v>
      </c>
      <c r="K22" s="133">
        <v>1.6413664156854384</v>
      </c>
      <c r="L22" s="133">
        <v>2.5028972214566934</v>
      </c>
      <c r="M22" s="133">
        <v>3.2563274282816499</v>
      </c>
      <c r="N22" s="133">
        <v>3.3804631298497099</v>
      </c>
      <c r="O22" s="133">
        <v>2.9209518092463687</v>
      </c>
      <c r="P22" s="133">
        <v>3.2990980173182387</v>
      </c>
      <c r="Q22" s="133">
        <v>0.90436679353863092</v>
      </c>
      <c r="R22" s="133">
        <v>0.82442239100812509</v>
      </c>
      <c r="S22" s="133">
        <v>2.0368678038866306</v>
      </c>
      <c r="T22" s="133">
        <v>1.3026239944396476</v>
      </c>
      <c r="U22" s="133">
        <v>1.6191737114851765</v>
      </c>
      <c r="V22" s="133">
        <v>1.6715458361861861</v>
      </c>
      <c r="W22" s="133">
        <v>0.68058517929833073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3.7969258581884393</v>
      </c>
      <c r="D23" s="133">
        <v>4.121270031716139</v>
      </c>
      <c r="E23" s="133">
        <v>3.9121637280304085</v>
      </c>
      <c r="F23" s="133">
        <v>2.7390370820957868</v>
      </c>
      <c r="G23" s="133">
        <v>2.1953315605168475</v>
      </c>
      <c r="H23" s="133">
        <v>2.5165470138713233</v>
      </c>
      <c r="I23" s="133">
        <v>3.9266904481961742</v>
      </c>
      <c r="J23" s="133">
        <v>3.9413917488938126</v>
      </c>
      <c r="K23" s="133">
        <v>3.6190279759507802</v>
      </c>
      <c r="L23" s="133">
        <v>3.4464214988609458</v>
      </c>
      <c r="M23" s="133">
        <v>4.3414670731423515</v>
      </c>
      <c r="N23" s="133">
        <v>2.1924700084456701</v>
      </c>
      <c r="O23" s="133">
        <v>2.3255644463238618</v>
      </c>
      <c r="P23" s="133">
        <v>2.4029255598509378</v>
      </c>
      <c r="Q23" s="133">
        <v>0.91725394851659436</v>
      </c>
      <c r="R23" s="133">
        <v>4.3961284221586112</v>
      </c>
      <c r="S23" s="133">
        <v>3.1350542558743673</v>
      </c>
      <c r="T23" s="133">
        <v>3.4824591421712112</v>
      </c>
      <c r="U23" s="133">
        <v>3.9941430168896654</v>
      </c>
      <c r="V23" s="133">
        <v>3.6192335707196781</v>
      </c>
      <c r="W23" s="133">
        <v>3.7824631113499962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0.16581433256764921</v>
      </c>
      <c r="D24" s="133">
        <v>0.23351066938819875</v>
      </c>
      <c r="E24" s="133">
        <v>0.25105398072618734</v>
      </c>
      <c r="F24" s="133">
        <v>0.27260577866591895</v>
      </c>
      <c r="G24" s="133">
        <v>0.30337284839231138</v>
      </c>
      <c r="H24" s="133">
        <v>0.32722002176073739</v>
      </c>
      <c r="I24" s="133">
        <v>0.479918729470313</v>
      </c>
      <c r="J24" s="133">
        <v>0.34461016890703711</v>
      </c>
      <c r="K24" s="133">
        <v>0.16101156689394924</v>
      </c>
      <c r="L24" s="133">
        <v>8.6275354993721146E-2</v>
      </c>
      <c r="M24" s="133">
        <v>0</v>
      </c>
      <c r="N24" s="133">
        <v>2.2585275384326517E-2</v>
      </c>
      <c r="O24" s="133">
        <v>0.12602512780556724</v>
      </c>
      <c r="P24" s="133">
        <v>0</v>
      </c>
      <c r="Q24" s="133">
        <v>0</v>
      </c>
      <c r="R24" s="133">
        <v>0.1006386461377574</v>
      </c>
      <c r="S24" s="133">
        <v>0.25083593910565199</v>
      </c>
      <c r="T24" s="133">
        <v>0.34522329503622973</v>
      </c>
      <c r="U24" s="133">
        <v>0.42816054754974703</v>
      </c>
      <c r="V24" s="133">
        <v>0.47448147515513106</v>
      </c>
      <c r="W24" s="133">
        <v>0.40485123074397339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1.7887089867798196</v>
      </c>
      <c r="D25" s="133">
        <v>1.7554642316788396</v>
      </c>
      <c r="E25" s="133">
        <v>1.8682635233694234</v>
      </c>
      <c r="F25" s="133">
        <v>1.6672322648149602</v>
      </c>
      <c r="G25" s="133">
        <v>0.66891361931931181</v>
      </c>
      <c r="H25" s="133">
        <v>0</v>
      </c>
      <c r="I25" s="133">
        <v>0</v>
      </c>
      <c r="J25" s="133">
        <v>0</v>
      </c>
      <c r="K25" s="133">
        <v>0.25273103401938957</v>
      </c>
      <c r="L25" s="133">
        <v>1.2292039594055284</v>
      </c>
      <c r="M25" s="133">
        <v>1.3381439148672518</v>
      </c>
      <c r="N25" s="133">
        <v>1.4010762343091006</v>
      </c>
      <c r="O25" s="133">
        <v>1.1200568489376166</v>
      </c>
      <c r="P25" s="133">
        <v>0.84331267174932767</v>
      </c>
      <c r="Q25" s="133">
        <v>0.38156817989549041</v>
      </c>
      <c r="R25" s="133">
        <v>1.5557259516142263</v>
      </c>
      <c r="S25" s="133">
        <v>1.4280740385886608</v>
      </c>
      <c r="T25" s="133">
        <v>1.8595585581917247</v>
      </c>
      <c r="U25" s="133">
        <v>0.87406352140600052</v>
      </c>
      <c r="V25" s="133">
        <v>0.64624007710439335</v>
      </c>
      <c r="W25" s="133">
        <v>0.35285776796623747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11.675425016206276</v>
      </c>
      <c r="D26" s="65">
        <v>11.316089248556084</v>
      </c>
      <c r="E26" s="65">
        <v>11.091258634540898</v>
      </c>
      <c r="F26" s="65">
        <v>13.746573435473188</v>
      </c>
      <c r="G26" s="65">
        <v>13.785553652711149</v>
      </c>
      <c r="H26" s="65">
        <v>16.671463790294428</v>
      </c>
      <c r="I26" s="65">
        <v>19.486240172441665</v>
      </c>
      <c r="J26" s="65">
        <v>15.611398876269956</v>
      </c>
      <c r="K26" s="65">
        <v>7.4670702793677837</v>
      </c>
      <c r="L26" s="65">
        <v>11.968806838833515</v>
      </c>
      <c r="M26" s="65">
        <v>12.744716406724306</v>
      </c>
      <c r="N26" s="65">
        <v>5.2130706033096743</v>
      </c>
      <c r="O26" s="65">
        <v>6.1032524804208235</v>
      </c>
      <c r="P26" s="65">
        <v>15.365140839435419</v>
      </c>
      <c r="Q26" s="65">
        <v>2.3008479651105089</v>
      </c>
      <c r="R26" s="65">
        <v>11.629176981500084</v>
      </c>
      <c r="S26" s="65">
        <v>11.883926263544103</v>
      </c>
      <c r="T26" s="65">
        <v>15.002221839203047</v>
      </c>
      <c r="U26" s="65">
        <v>13.62718366593041</v>
      </c>
      <c r="V26" s="65">
        <v>10.580924498020103</v>
      </c>
      <c r="W26" s="65">
        <v>14.064294485847714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1.6364523477162076</v>
      </c>
      <c r="H27" s="148">
        <v>5.2426705487657668E-2</v>
      </c>
      <c r="I27" s="148">
        <v>0.33422538430241722</v>
      </c>
      <c r="J27" s="148">
        <v>0.31669029464355891</v>
      </c>
      <c r="K27" s="148">
        <v>0.26946960743682474</v>
      </c>
      <c r="L27" s="148">
        <v>1.2241394041467371</v>
      </c>
      <c r="M27" s="148">
        <v>0.52572781127688473</v>
      </c>
      <c r="N27" s="148">
        <v>3.1403051730103626</v>
      </c>
      <c r="O27" s="148">
        <v>1.1772820064828642</v>
      </c>
      <c r="P27" s="148">
        <v>4.1786452733883321E-7</v>
      </c>
      <c r="Q27" s="148">
        <v>0.94604022845334645</v>
      </c>
      <c r="R27" s="148">
        <v>0.4295645410951574</v>
      </c>
      <c r="S27" s="148">
        <v>1.038750960103956</v>
      </c>
      <c r="T27" s="148">
        <v>0.52960727410769104</v>
      </c>
      <c r="U27" s="148">
        <v>0.95813723388695859</v>
      </c>
      <c r="V27" s="148">
        <v>1.7257491495519048</v>
      </c>
      <c r="W27" s="148">
        <v>2.1909155690151588E-2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20.591399948809936</v>
      </c>
      <c r="D29" s="131">
        <f t="shared" si="8"/>
        <v>22.325745447225859</v>
      </c>
      <c r="E29" s="131">
        <f t="shared" si="8"/>
        <v>21.303468239313354</v>
      </c>
      <c r="F29" s="131">
        <f t="shared" si="8"/>
        <v>19.727487005480192</v>
      </c>
      <c r="G29" s="131">
        <f t="shared" si="8"/>
        <v>22.806539940440253</v>
      </c>
      <c r="H29" s="131">
        <f t="shared" si="8"/>
        <v>24.109015309153442</v>
      </c>
      <c r="I29" s="131">
        <f t="shared" si="8"/>
        <v>27.462506638915507</v>
      </c>
      <c r="J29" s="131">
        <f t="shared" si="8"/>
        <v>23.141810079798727</v>
      </c>
      <c r="K29" s="131">
        <f t="shared" si="8"/>
        <v>14.546388109082466</v>
      </c>
      <c r="L29" s="131">
        <f t="shared" si="8"/>
        <v>21.83194843090088</v>
      </c>
      <c r="M29" s="131">
        <f t="shared" si="8"/>
        <v>23.681641905657941</v>
      </c>
      <c r="N29" s="131">
        <f t="shared" si="8"/>
        <v>16.709497137780534</v>
      </c>
      <c r="O29" s="131">
        <f t="shared" si="8"/>
        <v>14.917130143353567</v>
      </c>
      <c r="P29" s="131">
        <f t="shared" si="8"/>
        <v>23.866333283483939</v>
      </c>
      <c r="Q29" s="131">
        <f t="shared" si="8"/>
        <v>6.0106611696573999</v>
      </c>
      <c r="R29" s="131">
        <f t="shared" ref="R29:W29" si="9">SUM(R30:R33)</f>
        <v>20.869249337558273</v>
      </c>
      <c r="S29" s="131">
        <f t="shared" si="9"/>
        <v>21.809599742534381</v>
      </c>
      <c r="T29" s="131">
        <f t="shared" si="9"/>
        <v>24.507975938365384</v>
      </c>
      <c r="U29" s="131">
        <f t="shared" si="9"/>
        <v>23.953719275763177</v>
      </c>
      <c r="V29" s="131">
        <f t="shared" si="9"/>
        <v>20.855828783776275</v>
      </c>
      <c r="W29" s="131">
        <f t="shared" si="9"/>
        <v>22.63686554304509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1.4560470349387047</v>
      </c>
      <c r="D30" s="133">
        <v>13.801134614521494</v>
      </c>
      <c r="E30" s="133">
        <v>9.0238073081155399</v>
      </c>
      <c r="F30" s="133">
        <v>4.2998734801122467</v>
      </c>
      <c r="G30" s="133">
        <v>1.0134325718148485</v>
      </c>
      <c r="H30" s="133">
        <v>0</v>
      </c>
      <c r="I30" s="133">
        <v>2.45951571204307</v>
      </c>
      <c r="J30" s="133">
        <v>4.830066039535474</v>
      </c>
      <c r="K30" s="133">
        <v>2.3477764167193347</v>
      </c>
      <c r="L30" s="133">
        <v>3.5631619134625465</v>
      </c>
      <c r="M30" s="133">
        <v>1.1841375878491358</v>
      </c>
      <c r="N30" s="133">
        <v>0.19445672627413815</v>
      </c>
      <c r="O30" s="133">
        <v>1.1783022527755775</v>
      </c>
      <c r="P30" s="133">
        <v>4.0648357608731942</v>
      </c>
      <c r="Q30" s="133">
        <v>1.2108918571012834</v>
      </c>
      <c r="R30" s="133">
        <v>1.7590929665824604</v>
      </c>
      <c r="S30" s="133">
        <v>2.1274003673803863</v>
      </c>
      <c r="T30" s="133">
        <v>0.6626035765147732</v>
      </c>
      <c r="U30" s="133">
        <v>2.8841543773940455</v>
      </c>
      <c r="V30" s="133">
        <v>1.9177051340522437</v>
      </c>
      <c r="W30" s="133">
        <v>1.9445431111144422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6.603729330544958</v>
      </c>
      <c r="D31" s="133">
        <v>6.8737154226120012</v>
      </c>
      <c r="E31" s="133">
        <v>4.9284762656218275</v>
      </c>
      <c r="F31" s="133">
        <v>2.1479952868975305</v>
      </c>
      <c r="G31" s="133">
        <v>0</v>
      </c>
      <c r="H31" s="133">
        <v>0</v>
      </c>
      <c r="I31" s="133">
        <v>6.0246207523350774</v>
      </c>
      <c r="J31" s="133">
        <v>7.7129304853442173</v>
      </c>
      <c r="K31" s="133">
        <v>7.608301942005987</v>
      </c>
      <c r="L31" s="133">
        <v>7.0480685410473134</v>
      </c>
      <c r="M31" s="133">
        <v>5.6168727410199484</v>
      </c>
      <c r="N31" s="133">
        <v>2.8015159094717683</v>
      </c>
      <c r="O31" s="133">
        <v>4.5689334776693595</v>
      </c>
      <c r="P31" s="133">
        <v>7.2442804856952909</v>
      </c>
      <c r="Q31" s="133">
        <v>1.751127804710253</v>
      </c>
      <c r="R31" s="133">
        <v>3.5934487956052239</v>
      </c>
      <c r="S31" s="133">
        <v>4.7191709399266264</v>
      </c>
      <c r="T31" s="133">
        <v>6.6772359665994632</v>
      </c>
      <c r="U31" s="133">
        <v>9.0127165871822541</v>
      </c>
      <c r="V31" s="133">
        <v>8.6680256997316683</v>
      </c>
      <c r="W31" s="133">
        <v>9.4507732361160102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12.531623583326274</v>
      </c>
      <c r="D33" s="68">
        <v>1.6508954100923627</v>
      </c>
      <c r="E33" s="68">
        <v>7.3511846655759854</v>
      </c>
      <c r="F33" s="68">
        <v>13.279618238470416</v>
      </c>
      <c r="G33" s="68">
        <v>21.793107368625403</v>
      </c>
      <c r="H33" s="68">
        <v>24.109015309153442</v>
      </c>
      <c r="I33" s="68">
        <v>18.978370174537361</v>
      </c>
      <c r="J33" s="68">
        <v>10.598813554919037</v>
      </c>
      <c r="K33" s="68">
        <v>4.5903097503571448</v>
      </c>
      <c r="L33" s="68">
        <v>11.220717976391022</v>
      </c>
      <c r="M33" s="68">
        <v>16.880631576788858</v>
      </c>
      <c r="N33" s="68">
        <v>13.713524502034627</v>
      </c>
      <c r="O33" s="68">
        <v>9.1698944129086311</v>
      </c>
      <c r="P33" s="68">
        <v>12.557217036915452</v>
      </c>
      <c r="Q33" s="68">
        <v>3.048641507845864</v>
      </c>
      <c r="R33" s="68">
        <v>15.516707575370591</v>
      </c>
      <c r="S33" s="68">
        <v>14.963028435227368</v>
      </c>
      <c r="T33" s="68">
        <v>17.168136395251146</v>
      </c>
      <c r="U33" s="68">
        <v>12.056848311186879</v>
      </c>
      <c r="V33" s="68">
        <v>10.270097949992364</v>
      </c>
      <c r="W33" s="68">
        <v>11.241549195814638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0.76715302385060435</v>
      </c>
      <c r="D3" s="127">
        <f>IF(SER_hh_tes_in!D3=0,"",SER_hh_tes_in!D3/SER_hh_fec_in!D3)</f>
        <v>0.76786136320234644</v>
      </c>
      <c r="E3" s="127">
        <f>IF(SER_hh_tes_in!E3=0,"",SER_hh_tes_in!E3/SER_hh_fec_in!E3)</f>
        <v>0.8073200974224366</v>
      </c>
      <c r="F3" s="127">
        <f>IF(SER_hh_tes_in!F3=0,"",SER_hh_tes_in!F3/SER_hh_fec_in!F3)</f>
        <v>0.77817882792599624</v>
      </c>
      <c r="G3" s="127">
        <f>IF(SER_hh_tes_in!G3=0,"",SER_hh_tes_in!G3/SER_hh_fec_in!G3)</f>
        <v>0.7958827053865295</v>
      </c>
      <c r="H3" s="127">
        <f>IF(SER_hh_tes_in!H3=0,"",SER_hh_tes_in!H3/SER_hh_fec_in!H3)</f>
        <v>0.82381006151038672</v>
      </c>
      <c r="I3" s="127">
        <f>IF(SER_hh_tes_in!I3=0,"",SER_hh_tes_in!I3/SER_hh_fec_in!I3)</f>
        <v>0.79202970158998787</v>
      </c>
      <c r="J3" s="127">
        <f>IF(SER_hh_tes_in!J3=0,"",SER_hh_tes_in!J3/SER_hh_fec_in!J3)</f>
        <v>0.78120304179689937</v>
      </c>
      <c r="K3" s="127">
        <f>IF(SER_hh_tes_in!K3=0,"",SER_hh_tes_in!K3/SER_hh_fec_in!K3)</f>
        <v>0.79678798801272488</v>
      </c>
      <c r="L3" s="127">
        <f>IF(SER_hh_tes_in!L3=0,"",SER_hh_tes_in!L3/SER_hh_fec_in!L3)</f>
        <v>0.8326870169115167</v>
      </c>
      <c r="M3" s="127">
        <f>IF(SER_hh_tes_in!M3=0,"",SER_hh_tes_in!M3/SER_hh_fec_in!M3)</f>
        <v>0.89884961613737391</v>
      </c>
      <c r="N3" s="127">
        <f>IF(SER_hh_tes_in!N3=0,"",SER_hh_tes_in!N3/SER_hh_fec_in!N3)</f>
        <v>0.88124975754256485</v>
      </c>
      <c r="O3" s="127">
        <f>IF(SER_hh_tes_in!O3=0,"",SER_hh_tes_in!O3/SER_hh_fec_in!O3)</f>
        <v>0.86650433945991956</v>
      </c>
      <c r="P3" s="127">
        <f>IF(SER_hh_tes_in!P3=0,"",SER_hh_tes_in!P3/SER_hh_fec_in!P3)</f>
        <v>0.89829239865455046</v>
      </c>
      <c r="Q3" s="127">
        <f>IF(SER_hh_tes_in!Q3=0,"",SER_hh_tes_in!Q3/SER_hh_fec_in!Q3)</f>
        <v>0.95484161945999202</v>
      </c>
      <c r="R3" s="127">
        <f>IF(SER_hh_tes_in!R3=0,"",SER_hh_tes_in!R3/SER_hh_fec_in!R3)</f>
        <v>0.95206549218808767</v>
      </c>
      <c r="S3" s="127">
        <f>IF(SER_hh_tes_in!S3=0,"",SER_hh_tes_in!S3/SER_hh_fec_in!S3)</f>
        <v>0.951263094859923</v>
      </c>
      <c r="T3" s="127">
        <f>IF(SER_hh_tes_in!T3=0,"",SER_hh_tes_in!T3/SER_hh_fec_in!T3)</f>
        <v>0.95936101247506422</v>
      </c>
      <c r="U3" s="127">
        <f>IF(SER_hh_tes_in!U3=0,"",SER_hh_tes_in!U3/SER_hh_fec_in!U3)</f>
        <v>0.96058062712205494</v>
      </c>
      <c r="V3" s="127">
        <f>IF(SER_hh_tes_in!V3=0,"",SER_hh_tes_in!V3/SER_hh_fec_in!V3)</f>
        <v>0.98332986147956347</v>
      </c>
      <c r="W3" s="127">
        <f>IF(SER_hh_tes_in!W3=0,"",SER_hh_tes_in!W3/SER_hh_fec_in!W3)</f>
        <v>0.95478485076778064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0.68106716606480289</v>
      </c>
      <c r="D4" s="136">
        <f>IF(SER_hh_tes_in!D4=0,"",SER_hh_tes_in!D4/SER_hh_fec_in!D4)</f>
        <v>0.6986131333846235</v>
      </c>
      <c r="E4" s="136">
        <f>IF(SER_hh_tes_in!E4=0,"",SER_hh_tes_in!E4/SER_hh_fec_in!E4)</f>
        <v>0.66886590217305275</v>
      </c>
      <c r="F4" s="136">
        <f>IF(SER_hh_tes_in!F4=0,"",SER_hh_tes_in!F4/SER_hh_fec_in!F4)</f>
        <v>0.68915157673290472</v>
      </c>
      <c r="G4" s="136">
        <f>IF(SER_hh_tes_in!G4=0,"",SER_hh_tes_in!G4/SER_hh_fec_in!G4)</f>
        <v>0.68897541704899778</v>
      </c>
      <c r="H4" s="136">
        <f>IF(SER_hh_tes_in!H4=0,"",SER_hh_tes_in!H4/SER_hh_fec_in!H4)</f>
        <v>0.69580334409797928</v>
      </c>
      <c r="I4" s="136">
        <f>IF(SER_hh_tes_in!I4=0,"",SER_hh_tes_in!I4/SER_hh_fec_in!I4)</f>
        <v>0.69214476000411151</v>
      </c>
      <c r="J4" s="136">
        <f>IF(SER_hh_tes_in!J4=0,"",SER_hh_tes_in!J4/SER_hh_fec_in!J4)</f>
        <v>0.68106859437229761</v>
      </c>
      <c r="K4" s="136">
        <f>IF(SER_hh_tes_in!K4=0,"",SER_hh_tes_in!K4/SER_hh_fec_in!K4)</f>
        <v>0.70685120724386408</v>
      </c>
      <c r="L4" s="136">
        <f>IF(SER_hh_tes_in!L4=0,"",SER_hh_tes_in!L4/SER_hh_fec_in!L4)</f>
        <v>0.74716939041869823</v>
      </c>
      <c r="M4" s="136">
        <f>IF(SER_hh_tes_in!M4=0,"",SER_hh_tes_in!M4/SER_hh_fec_in!M4)</f>
        <v>0.81152115680669767</v>
      </c>
      <c r="N4" s="136">
        <f>IF(SER_hh_tes_in!N4=0,"",SER_hh_tes_in!N4/SER_hh_fec_in!N4)</f>
        <v>0.77332993325687371</v>
      </c>
      <c r="O4" s="136">
        <f>IF(SER_hh_tes_in!O4=0,"",SER_hh_tes_in!O4/SER_hh_fec_in!O4)</f>
        <v>0.76754527282126561</v>
      </c>
      <c r="P4" s="136">
        <f>IF(SER_hh_tes_in!P4=0,"",SER_hh_tes_in!P4/SER_hh_fec_in!P4)</f>
        <v>0.80222685502767921</v>
      </c>
      <c r="Q4" s="136">
        <f>IF(SER_hh_tes_in!Q4=0,"",SER_hh_tes_in!Q4/SER_hh_fec_in!Q4)</f>
        <v>0.83952718645587687</v>
      </c>
      <c r="R4" s="136">
        <f>IF(SER_hh_tes_in!R4=0,"",SER_hh_tes_in!R4/SER_hh_fec_in!R4)</f>
        <v>0.83680852527352689</v>
      </c>
      <c r="S4" s="136">
        <f>IF(SER_hh_tes_in!S4=0,"",SER_hh_tes_in!S4/SER_hh_fec_in!S4)</f>
        <v>0.81886907092851591</v>
      </c>
      <c r="T4" s="136">
        <f>IF(SER_hh_tes_in!T4=0,"",SER_hh_tes_in!T4/SER_hh_fec_in!T4)</f>
        <v>0.82333684637529647</v>
      </c>
      <c r="U4" s="136">
        <f>IF(SER_hh_tes_in!U4=0,"",SER_hh_tes_in!U4/SER_hh_fec_in!U4)</f>
        <v>0.83037038977039901</v>
      </c>
      <c r="V4" s="136">
        <f>IF(SER_hh_tes_in!V4=0,"",SER_hh_tes_in!V4/SER_hh_fec_in!V4)</f>
        <v>0.83118067580178534</v>
      </c>
      <c r="W4" s="136">
        <f>IF(SER_hh_tes_in!W4=0,"",SER_hh_tes_in!W4/SER_hh_fec_in!W4)</f>
        <v>0.8472642201840207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>
        <f>IF(SER_hh_tes_in!F5=0,"",SER_hh_tes_in!F5/SER_hh_fec_in!F5)</f>
        <v>0.64771201073783446</v>
      </c>
      <c r="G5" s="137">
        <f>IF(SER_hh_tes_in!G5=0,"",SER_hh_tes_in!G5/SER_hh_fec_in!G5)</f>
        <v>0.65491716232649078</v>
      </c>
      <c r="H5" s="137">
        <f>IF(SER_hh_tes_in!H5=0,"",SER_hh_tes_in!H5/SER_hh_fec_in!H5)</f>
        <v>0.66211008769191437</v>
      </c>
      <c r="I5" s="137">
        <f>IF(SER_hh_tes_in!I5=0,"",SER_hh_tes_in!I5/SER_hh_fec_in!I5)</f>
        <v>0.66928792161586148</v>
      </c>
      <c r="J5" s="137">
        <f>IF(SER_hh_tes_in!J5=0,"",SER_hh_tes_in!J5/SER_hh_fec_in!J5)</f>
        <v>0.6764389263105175</v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>
        <f>IF(SER_hh_tes_in!O5=0,"",SER_hh_tes_in!O5/SER_hh_fec_in!O5)</f>
        <v>0.70921836114877457</v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>
        <f>IF(SER_hh_tes_in!U5=0,"",SER_hh_tes_in!U5/SER_hh_fec_in!U5)</f>
        <v>0.76377254075852141</v>
      </c>
      <c r="V5" s="137">
        <f>IF(SER_hh_tes_in!V5=0,"",SER_hh_tes_in!V5/SER_hh_fec_in!V5)</f>
        <v>0.77309086262266646</v>
      </c>
      <c r="W5" s="137">
        <f>IF(SER_hh_tes_in!W5=0,"",SER_hh_tes_in!W5/SER_hh_fec_in!W5)</f>
        <v>0.78052547753113699</v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0.53138735921576563</v>
      </c>
      <c r="D7" s="137">
        <f>IF(SER_hh_tes_in!D7=0,"",SER_hh_tes_in!D7/SER_hh_fec_in!D7)</f>
        <v>0.5365997808491072</v>
      </c>
      <c r="E7" s="137">
        <f>IF(SER_hh_tes_in!E7=0,"",SER_hh_tes_in!E7/SER_hh_fec_in!E7)</f>
        <v>0.54199723237166952</v>
      </c>
      <c r="F7" s="137">
        <f>IF(SER_hh_tes_in!F7=0,"",SER_hh_tes_in!F7/SER_hh_fec_in!F7)</f>
        <v>0.54736895995622703</v>
      </c>
      <c r="G7" s="137">
        <f>IF(SER_hh_tes_in!G7=0,"",SER_hh_tes_in!G7/SER_hh_fec_in!G7)</f>
        <v>0.55289840945003477</v>
      </c>
      <c r="H7" s="137">
        <f>IF(SER_hh_tes_in!H7=0,"",SER_hh_tes_in!H7/SER_hh_fec_in!H7)</f>
        <v>0.55855760396434817</v>
      </c>
      <c r="I7" s="137">
        <f>IF(SER_hh_tes_in!I7=0,"",SER_hh_tes_in!I7/SER_hh_fec_in!I7)</f>
        <v>0.56438616538044017</v>
      </c>
      <c r="J7" s="137">
        <f>IF(SER_hh_tes_in!J7=0,"",SER_hh_tes_in!J7/SER_hh_fec_in!J7)</f>
        <v>0.57055920031108953</v>
      </c>
      <c r="K7" s="137">
        <f>IF(SER_hh_tes_in!K7=0,"",SER_hh_tes_in!K7/SER_hh_fec_in!K7)</f>
        <v>0.57721870155697996</v>
      </c>
      <c r="L7" s="137">
        <f>IF(SER_hh_tes_in!L7=0,"",SER_hh_tes_in!L7/SER_hh_fec_in!L7)</f>
        <v>0.58439061254104174</v>
      </c>
      <c r="M7" s="137">
        <f>IF(SER_hh_tes_in!M7=0,"",SER_hh_tes_in!M7/SER_hh_fec_in!M7)</f>
        <v>0.59588725836395273</v>
      </c>
      <c r="N7" s="137">
        <f>IF(SER_hh_tes_in!N7=0,"",SER_hh_tes_in!N7/SER_hh_fec_in!N7)</f>
        <v>0.61282023575328148</v>
      </c>
      <c r="O7" s="137">
        <f>IF(SER_hh_tes_in!O7=0,"",SER_hh_tes_in!O7/SER_hh_fec_in!O7)</f>
        <v>0.63581862720466809</v>
      </c>
      <c r="P7" s="137">
        <f>IF(SER_hh_tes_in!P7=0,"",SER_hh_tes_in!P7/SER_hh_fec_in!P7)</f>
        <v>0.66218311882459391</v>
      </c>
      <c r="Q7" s="137">
        <f>IF(SER_hh_tes_in!Q7=0,"",SER_hh_tes_in!Q7/SER_hh_fec_in!Q7)</f>
        <v>0.68400247146379223</v>
      </c>
      <c r="R7" s="137">
        <f>IF(SER_hh_tes_in!R7=0,"",SER_hh_tes_in!R7/SER_hh_fec_in!R7)</f>
        <v>0.69467494246344885</v>
      </c>
      <c r="S7" s="137">
        <f>IF(SER_hh_tes_in!S7=0,"",SER_hh_tes_in!S7/SER_hh_fec_in!S7)</f>
        <v>0.70231096398494275</v>
      </c>
      <c r="T7" s="137">
        <f>IF(SER_hh_tes_in!T7=0,"",SER_hh_tes_in!T7/SER_hh_fec_in!T7)</f>
        <v>0.70790503563317653</v>
      </c>
      <c r="U7" s="137">
        <f>IF(SER_hh_tes_in!U7=0,"",SER_hh_tes_in!U7/SER_hh_fec_in!U7)</f>
        <v>0.71226257335754273</v>
      </c>
      <c r="V7" s="137">
        <f>IF(SER_hh_tes_in!V7=0,"",SER_hh_tes_in!V7/SER_hh_fec_in!V7)</f>
        <v>0.71604318788628252</v>
      </c>
      <c r="W7" s="137">
        <f>IF(SER_hh_tes_in!W7=0,"",SER_hh_tes_in!W7/SER_hh_fec_in!W7)</f>
        <v>0.71848645624613183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1.1065457789796846</v>
      </c>
      <c r="D8" s="137">
        <f>IF(SER_hh_tes_in!D8=0,"",SER_hh_tes_in!D8/SER_hh_fec_in!D8)</f>
        <v>1.1789925112229136</v>
      </c>
      <c r="E8" s="137">
        <f>IF(SER_hh_tes_in!E8=0,"",SER_hh_tes_in!E8/SER_hh_fec_in!E8)</f>
        <v>1.2531567540046051</v>
      </c>
      <c r="F8" s="137">
        <f>IF(SER_hh_tes_in!F8=0,"",SER_hh_tes_in!F8/SER_hh_fec_in!F8)</f>
        <v>1.3287152909107673</v>
      </c>
      <c r="G8" s="137">
        <f>IF(SER_hh_tes_in!G8=0,"",SER_hh_tes_in!G8/SER_hh_fec_in!G8)</f>
        <v>1.4059359760202312</v>
      </c>
      <c r="H8" s="137">
        <f>IF(SER_hh_tes_in!H8=0,"",SER_hh_tes_in!H8/SER_hh_fec_in!H8)</f>
        <v>1.4847678343425914</v>
      </c>
      <c r="I8" s="137">
        <f>IF(SER_hh_tes_in!I8=0,"",SER_hh_tes_in!I8/SER_hh_fec_in!I8)</f>
        <v>1.5652583548136711</v>
      </c>
      <c r="J8" s="137">
        <f>IF(SER_hh_tes_in!J8=0,"",SER_hh_tes_in!J8/SER_hh_fec_in!J8)</f>
        <v>1.6476449430205322</v>
      </c>
      <c r="K8" s="137">
        <f>IF(SER_hh_tes_in!K8=0,"",SER_hh_tes_in!K8/SER_hh_fec_in!K8)</f>
        <v>1.7321058921321628</v>
      </c>
      <c r="L8" s="137">
        <f>IF(SER_hh_tes_in!L8=0,"",SER_hh_tes_in!L8/SER_hh_fec_in!L8)</f>
        <v>1.8186461647621603</v>
      </c>
      <c r="M8" s="137">
        <f>IF(SER_hh_tes_in!M8=0,"",SER_hh_tes_in!M8/SER_hh_fec_in!M8)</f>
        <v>1.9139479522622331</v>
      </c>
      <c r="N8" s="137">
        <f>IF(SER_hh_tes_in!N8=0,"",SER_hh_tes_in!N8/SER_hh_fec_in!N8)</f>
        <v>2.019748613090278</v>
      </c>
      <c r="O8" s="137">
        <f>IF(SER_hh_tes_in!O8=0,"",SER_hh_tes_in!O8/SER_hh_fec_in!O8)</f>
        <v>2.1351455922268783</v>
      </c>
      <c r="P8" s="137">
        <f>IF(SER_hh_tes_in!P8=0,"",SER_hh_tes_in!P8/SER_hh_fec_in!P8)</f>
        <v>2.2513275904930783</v>
      </c>
      <c r="Q8" s="137">
        <f>IF(SER_hh_tes_in!Q8=0,"",SER_hh_tes_in!Q8/SER_hh_fec_in!Q8)</f>
        <v>2.3466046933393621</v>
      </c>
      <c r="R8" s="137">
        <f>IF(SER_hh_tes_in!R8=0,"",SER_hh_tes_in!R8/SER_hh_fec_in!R8)</f>
        <v>2.3861832613583216</v>
      </c>
      <c r="S8" s="137">
        <f>IF(SER_hh_tes_in!S8=0,"",SER_hh_tes_in!S8/SER_hh_fec_in!S8)</f>
        <v>2.4116433485368112</v>
      </c>
      <c r="T8" s="137">
        <f>IF(SER_hh_tes_in!T8=0,"",SER_hh_tes_in!T8/SER_hh_fec_in!T8)</f>
        <v>2.4283281198186435</v>
      </c>
      <c r="U8" s="137">
        <f>IF(SER_hh_tes_in!U8=0,"",SER_hh_tes_in!U8/SER_hh_fec_in!U8)</f>
        <v>2.4416738156569595</v>
      </c>
      <c r="V8" s="137">
        <f>IF(SER_hh_tes_in!V8=0,"",SER_hh_tes_in!V8/SER_hh_fec_in!V8)</f>
        <v>2.4572697822408669</v>
      </c>
      <c r="W8" s="137">
        <f>IF(SER_hh_tes_in!W8=0,"",SER_hh_tes_in!W8/SER_hh_fec_in!W8)</f>
        <v>2.4745043707263985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0.60886035332728927</v>
      </c>
      <c r="D9" s="137">
        <f>IF(SER_hh_tes_in!D9=0,"",SER_hh_tes_in!D9/SER_hh_fec_in!D9)</f>
        <v>0.61719501206420269</v>
      </c>
      <c r="E9" s="137">
        <f>IF(SER_hh_tes_in!E9=0,"",SER_hh_tes_in!E9/SER_hh_fec_in!E9)</f>
        <v>0.62553237966913877</v>
      </c>
      <c r="F9" s="137">
        <f>IF(SER_hh_tes_in!F9=0,"",SER_hh_tes_in!F9/SER_hh_fec_in!F9)</f>
        <v>0.63376686280372663</v>
      </c>
      <c r="G9" s="137">
        <f>IF(SER_hh_tes_in!G9=0,"",SER_hh_tes_in!G9/SER_hh_fec_in!G9)</f>
        <v>0.64199585064935094</v>
      </c>
      <c r="H9" s="137">
        <f>IF(SER_hh_tes_in!H9=0,"",SER_hh_tes_in!H9/SER_hh_fec_in!H9)</f>
        <v>0.65020843369948156</v>
      </c>
      <c r="I9" s="137">
        <f>IF(SER_hh_tes_in!I9=0,"",SER_hh_tes_in!I9/SER_hh_fec_in!I9)</f>
        <v>0.65842963020493628</v>
      </c>
      <c r="J9" s="137">
        <f>IF(SER_hh_tes_in!J9=0,"",SER_hh_tes_in!J9/SER_hh_fec_in!J9)</f>
        <v>0.66675959365267823</v>
      </c>
      <c r="K9" s="137">
        <f>IF(SER_hh_tes_in!K9=0,"",SER_hh_tes_in!K9/SER_hh_fec_in!K9)</f>
        <v>0.67528475442269364</v>
      </c>
      <c r="L9" s="137">
        <f>IF(SER_hh_tes_in!L9=0,"",SER_hh_tes_in!L9/SER_hh_fec_in!L9)</f>
        <v>0.68403046747591167</v>
      </c>
      <c r="M9" s="137">
        <f>IF(SER_hh_tes_in!M9=0,"",SER_hh_tes_in!M9/SER_hh_fec_in!M9)</f>
        <v>0.69520961578409024</v>
      </c>
      <c r="N9" s="137">
        <f>IF(SER_hh_tes_in!N9=0,"",SER_hh_tes_in!N9/SER_hh_fec_in!N9)</f>
        <v>0.7095548955072124</v>
      </c>
      <c r="O9" s="137">
        <f>IF(SER_hh_tes_in!O9=0,"",SER_hh_tes_in!O9/SER_hh_fec_in!O9)</f>
        <v>0.72748985306329139</v>
      </c>
      <c r="P9" s="137">
        <f>IF(SER_hh_tes_in!P9=0,"",SER_hh_tes_in!P9/SER_hh_fec_in!P9)</f>
        <v>0.74740865421199165</v>
      </c>
      <c r="Q9" s="137">
        <f>IF(SER_hh_tes_in!Q9=0,"",SER_hh_tes_in!Q9/SER_hh_fec_in!Q9)</f>
        <v>0.76429859434928615</v>
      </c>
      <c r="R9" s="137">
        <f>IF(SER_hh_tes_in!R9=0,"",SER_hh_tes_in!R9/SER_hh_fec_in!R9)</f>
        <v>0.77389834962231507</v>
      </c>
      <c r="S9" s="137">
        <f>IF(SER_hh_tes_in!S9=0,"",SER_hh_tes_in!S9/SER_hh_fec_in!S9)</f>
        <v>0.7813088177023314</v>
      </c>
      <c r="T9" s="137">
        <f>IF(SER_hh_tes_in!T9=0,"",SER_hh_tes_in!T9/SER_hh_fec_in!T9)</f>
        <v>0.78721413517050309</v>
      </c>
      <c r="U9" s="137">
        <f>IF(SER_hh_tes_in!U9=0,"",SER_hh_tes_in!U9/SER_hh_fec_in!U9)</f>
        <v>0.79213113343970887</v>
      </c>
      <c r="V9" s="137">
        <f>IF(SER_hh_tes_in!V9=0,"",SER_hh_tes_in!V9/SER_hh_fec_in!V9)</f>
        <v>0.79639973408051135</v>
      </c>
      <c r="W9" s="137">
        <f>IF(SER_hh_tes_in!W9=0,"",SER_hh_tes_in!W9/SER_hh_fec_in!W9)</f>
        <v>0.79935289420951172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0.56193072969677005</v>
      </c>
      <c r="D10" s="137">
        <f>IF(SER_hh_tes_in!D10=0,"",SER_hh_tes_in!D10/SER_hh_fec_in!D10)</f>
        <v>0.56221250319667837</v>
      </c>
      <c r="E10" s="137">
        <f>IF(SER_hh_tes_in!E10=0,"",SER_hh_tes_in!E10/SER_hh_fec_in!E10)</f>
        <v>0.56249695536966859</v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>
        <f>IF(SER_hh_tes_in!I10=0,"",SER_hh_tes_in!I10/SER_hh_fec_in!I10)</f>
        <v>0.56365578805078909</v>
      </c>
      <c r="J10" s="137">
        <f>IF(SER_hh_tes_in!J10=0,"",SER_hh_tes_in!J10/SER_hh_fec_in!J10)</f>
        <v>0.56394843768339531</v>
      </c>
      <c r="K10" s="137">
        <f>IF(SER_hh_tes_in!K10=0,"",SER_hh_tes_in!K10/SER_hh_fec_in!K10)</f>
        <v>0.56424033826162256</v>
      </c>
      <c r="L10" s="137">
        <f>IF(SER_hh_tes_in!L10=0,"",SER_hh_tes_in!L10/SER_hh_fec_in!L10)</f>
        <v>0.56453041176083507</v>
      </c>
      <c r="M10" s="137">
        <f>IF(SER_hh_tes_in!M10=0,"",SER_hh_tes_in!M10/SER_hh_fec_in!M10)</f>
        <v>0.56479755795970066</v>
      </c>
      <c r="N10" s="137">
        <f>IF(SER_hh_tes_in!N10=0,"",SER_hh_tes_in!N10/SER_hh_fec_in!N10)</f>
        <v>0.56503044977525119</v>
      </c>
      <c r="O10" s="137">
        <f>IF(SER_hh_tes_in!O10=0,"",SER_hh_tes_in!O10/SER_hh_fec_in!O10)</f>
        <v>0.56522295946078338</v>
      </c>
      <c r="P10" s="137">
        <f>IF(SER_hh_tes_in!P10=0,"",SER_hh_tes_in!P10/SER_hh_fec_in!P10)</f>
        <v>0.56539158029676484</v>
      </c>
      <c r="Q10" s="137">
        <f>IF(SER_hh_tes_in!Q10=0,"",SER_hh_tes_in!Q10/SER_hh_fec_in!Q10)</f>
        <v>0.56559232710537166</v>
      </c>
      <c r="R10" s="137">
        <f>IF(SER_hh_tes_in!R10=0,"",SER_hh_tes_in!R10/SER_hh_fec_in!R10)</f>
        <v>0.56588832193561256</v>
      </c>
      <c r="S10" s="137">
        <f>IF(SER_hh_tes_in!S10=0,"",SER_hh_tes_in!S10/SER_hh_fec_in!S10)</f>
        <v>0.56622006441052308</v>
      </c>
      <c r="T10" s="137">
        <f>IF(SER_hh_tes_in!T10=0,"",SER_hh_tes_in!T10/SER_hh_fec_in!T10)</f>
        <v>0.56655341602184195</v>
      </c>
      <c r="U10" s="137">
        <f>IF(SER_hh_tes_in!U10=0,"",SER_hh_tes_in!U10/SER_hh_fec_in!U10)</f>
        <v>0.56686047766724257</v>
      </c>
      <c r="V10" s="137">
        <f>IF(SER_hh_tes_in!V10=0,"",SER_hh_tes_in!V10/SER_hh_fec_in!V10)</f>
        <v>0.56711786489698968</v>
      </c>
      <c r="W10" s="137">
        <f>IF(SER_hh_tes_in!W10=0,"",SER_hh_tes_in!W10/SER_hh_fec_in!W10)</f>
        <v>0.56732489728626756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>
        <f>IF(SER_hh_tes_in!D11=0,"",SER_hh_tes_in!D11/SER_hh_fec_in!D11)</f>
        <v>0.81799910271711285</v>
      </c>
      <c r="E11" s="137">
        <f>IF(SER_hh_tes_in!E11=0,"",SER_hh_tes_in!E11/SER_hh_fec_in!E11)</f>
        <v>0.82278498813518253</v>
      </c>
      <c r="F11" s="137">
        <f>IF(SER_hh_tes_in!F11=0,"",SER_hh_tes_in!F11/SER_hh_fec_in!F11)</f>
        <v>0.8275709729009969</v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>
        <f>IF(SER_hh_tes_in!K11=0,"",SER_hh_tes_in!K11/SER_hh_fec_in!K11)</f>
        <v>0.85151332804072455</v>
      </c>
      <c r="L11" s="137">
        <f>IF(SER_hh_tes_in!L11=0,"",SER_hh_tes_in!L11/SER_hh_fec_in!L11)</f>
        <v>0.85630639549146503</v>
      </c>
      <c r="M11" s="137">
        <f>IF(SER_hh_tes_in!M11=0,"",SER_hh_tes_in!M11/SER_hh_fec_in!M11)</f>
        <v>0.86115068266026762</v>
      </c>
      <c r="N11" s="137">
        <f>IF(SER_hh_tes_in!N11=0,"",SER_hh_tes_in!N11/SER_hh_fec_in!N11)</f>
        <v>0.86606461954831759</v>
      </c>
      <c r="O11" s="137">
        <f>IF(SER_hh_tes_in!O11=0,"",SER_hh_tes_in!O11/SER_hh_fec_in!O11)</f>
        <v>0.87102583103370002</v>
      </c>
      <c r="P11" s="137">
        <f>IF(SER_hh_tes_in!P11=0,"",SER_hh_tes_in!P11/SER_hh_fec_in!P11)</f>
        <v>0.87593061443427433</v>
      </c>
      <c r="Q11" s="137">
        <f>IF(SER_hh_tes_in!Q11=0,"",SER_hh_tes_in!Q11/SER_hh_fec_in!Q11)</f>
        <v>0.88049047511285561</v>
      </c>
      <c r="R11" s="137">
        <f>IF(SER_hh_tes_in!R11=0,"",SER_hh_tes_in!R11/SER_hh_fec_in!R11)</f>
        <v>0.8844686590729498</v>
      </c>
      <c r="S11" s="137">
        <f>IF(SER_hh_tes_in!S11=0,"",SER_hh_tes_in!S11/SER_hh_fec_in!S11)</f>
        <v>0.88813207943124639</v>
      </c>
      <c r="T11" s="137">
        <f>IF(SER_hh_tes_in!T11=0,"",SER_hh_tes_in!T11/SER_hh_fec_in!T11)</f>
        <v>0.89154498031865492</v>
      </c>
      <c r="U11" s="137">
        <f>IF(SER_hh_tes_in!U11=0,"",SER_hh_tes_in!U11/SER_hh_fec_in!U11)</f>
        <v>0.89477160586609639</v>
      </c>
      <c r="V11" s="137">
        <f>IF(SER_hh_tes_in!V11=0,"",SER_hh_tes_in!V11/SER_hh_fec_in!V11)</f>
        <v>0.89787620020448622</v>
      </c>
      <c r="W11" s="137">
        <f>IF(SER_hh_tes_in!W11=0,"",SER_hh_tes_in!W11/SER_hh_fec_in!W11)</f>
        <v>0.90077892051766384</v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0.8237950959846827</v>
      </c>
      <c r="D12" s="137">
        <f>IF(SER_hh_tes_in!D12=0,"",SER_hh_tes_in!D12/SER_hh_fec_in!D12)</f>
        <v>0.82566764659837</v>
      </c>
      <c r="E12" s="137">
        <f>IF(SER_hh_tes_in!E12=0,"",SER_hh_tes_in!E12/SER_hh_fec_in!E12)</f>
        <v>0.82759075119330261</v>
      </c>
      <c r="F12" s="137">
        <f>IF(SER_hh_tes_in!F12=0,"",SER_hh_tes_in!F12/SER_hh_fec_in!F12)</f>
        <v>0.82952074951295052</v>
      </c>
      <c r="G12" s="137">
        <f>IF(SER_hh_tes_in!G12=0,"",SER_hh_tes_in!G12/SER_hh_fec_in!G12)</f>
        <v>0.83149730507578878</v>
      </c>
      <c r="H12" s="137" t="str">
        <f>IF(SER_hh_tes_in!H12=0,"",SER_hh_tes_in!H12/SER_hh_fec_in!H12)</f>
        <v/>
      </c>
      <c r="I12" s="137" t="str">
        <f>IF(SER_hh_tes_in!I12=0,"",SER_hh_tes_in!I12/SER_hh_fec_in!I12)</f>
        <v/>
      </c>
      <c r="J12" s="137" t="str">
        <f>IF(SER_hh_tes_in!J12=0,"",SER_hh_tes_in!J12/SER_hh_fec_in!J12)</f>
        <v/>
      </c>
      <c r="K12" s="137" t="str">
        <f>IF(SER_hh_tes_in!K12=0,"",SER_hh_tes_in!K12/SER_hh_fec_in!K12)</f>
        <v/>
      </c>
      <c r="L12" s="137">
        <f>IF(SER_hh_tes_in!L12=0,"",SER_hh_tes_in!L12/SER_hh_fec_in!L12)</f>
        <v>0.84245481258103783</v>
      </c>
      <c r="M12" s="137">
        <f>IF(SER_hh_tes_in!M12=0,"",SER_hh_tes_in!M12/SER_hh_fec_in!M12)</f>
        <v>0.84580763280703453</v>
      </c>
      <c r="N12" s="137">
        <f>IF(SER_hh_tes_in!N12=0,"",SER_hh_tes_in!N12/SER_hh_fec_in!N12)</f>
        <v>0.85034370287687633</v>
      </c>
      <c r="O12" s="137">
        <f>IF(SER_hh_tes_in!O12=0,"",SER_hh_tes_in!O12/SER_hh_fec_in!O12)</f>
        <v>0.85628383880109904</v>
      </c>
      <c r="P12" s="137">
        <f>IF(SER_hh_tes_in!P12=0,"",SER_hh_tes_in!P12/SER_hh_fec_in!P12)</f>
        <v>0.8632079219300558</v>
      </c>
      <c r="Q12" s="137">
        <f>IF(SER_hh_tes_in!Q12=0,"",SER_hh_tes_in!Q12/SER_hh_fec_in!Q12)</f>
        <v>0.86974063549532898</v>
      </c>
      <c r="R12" s="137">
        <f>IF(SER_hh_tes_in!R12=0,"",SER_hh_tes_in!R12/SER_hh_fec_in!R12)</f>
        <v>0.87474643586541589</v>
      </c>
      <c r="S12" s="137">
        <f>IF(SER_hh_tes_in!S12=0,"",SER_hh_tes_in!S12/SER_hh_fec_in!S12)</f>
        <v>0.87961624281434914</v>
      </c>
      <c r="T12" s="137">
        <f>IF(SER_hh_tes_in!T12=0,"",SER_hh_tes_in!T12/SER_hh_fec_in!T12)</f>
        <v>0.88431751838015016</v>
      </c>
      <c r="U12" s="137">
        <f>IF(SER_hh_tes_in!U12=0,"",SER_hh_tes_in!U12/SER_hh_fec_in!U12)</f>
        <v>0.88881772460085551</v>
      </c>
      <c r="V12" s="137">
        <f>IF(SER_hh_tes_in!V12=0,"",SER_hh_tes_in!V12/SER_hh_fec_in!V12)</f>
        <v>0.89308432351449552</v>
      </c>
      <c r="W12" s="137">
        <f>IF(SER_hh_tes_in!W12=0,"",SER_hh_tes_in!W12/SER_hh_fec_in!W12)</f>
        <v>0.89701468348025504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1.5428076407206879</v>
      </c>
      <c r="D13" s="137">
        <f>IF(SER_hh_tes_in!D13=0,"",SER_hh_tes_in!D13/SER_hh_fec_in!D13)</f>
        <v>1.6526935518033117</v>
      </c>
      <c r="E13" s="137">
        <f>IF(SER_hh_tes_in!E13=0,"",SER_hh_tes_in!E13/SER_hh_fec_in!E13)</f>
        <v>1.7657266136941501</v>
      </c>
      <c r="F13" s="137">
        <f>IF(SER_hh_tes_in!F13=0,"",SER_hh_tes_in!F13/SER_hh_fec_in!F13)</f>
        <v>1.8814369652283678</v>
      </c>
      <c r="G13" s="137">
        <f>IF(SER_hh_tes_in!G13=0,"",SER_hh_tes_in!G13/SER_hh_fec_in!G13)</f>
        <v>2.000214961860546</v>
      </c>
      <c r="H13" s="137">
        <f>IF(SER_hh_tes_in!H13=0,"",SER_hh_tes_in!H13/SER_hh_fec_in!H13)</f>
        <v>2.1219869474613833</v>
      </c>
      <c r="I13" s="137">
        <f>IF(SER_hh_tes_in!I13=0,"",SER_hh_tes_in!I13/SER_hh_fec_in!I13)</f>
        <v>2.2468221475881842</v>
      </c>
      <c r="J13" s="137">
        <f>IF(SER_hh_tes_in!J13=0,"",SER_hh_tes_in!J13/SER_hh_fec_in!J13)</f>
        <v>2.3750641961645265</v>
      </c>
      <c r="K13" s="137">
        <f>IF(SER_hh_tes_in!K13=0,"",SER_hh_tes_in!K13/SER_hh_fec_in!K13)</f>
        <v>2.5069674085968532</v>
      </c>
      <c r="L13" s="137">
        <f>IF(SER_hh_tes_in!L13=0,"",SER_hh_tes_in!L13/SER_hh_fec_in!L13)</f>
        <v>2.6425312419686833</v>
      </c>
      <c r="M13" s="137">
        <f>IF(SER_hh_tes_in!M13=0,"",SER_hh_tes_in!M13/SER_hh_fec_in!M13)</f>
        <v>2.7915943575307329</v>
      </c>
      <c r="N13" s="137">
        <f>IF(SER_hh_tes_in!N13=0,"",SER_hh_tes_in!N13/SER_hh_fec_in!N13)</f>
        <v>2.9566560861383127</v>
      </c>
      <c r="O13" s="137">
        <f>IF(SER_hh_tes_in!O13=0,"",SER_hh_tes_in!O13/SER_hh_fec_in!O13)</f>
        <v>3.1360485422032442</v>
      </c>
      <c r="P13" s="137">
        <f>IF(SER_hh_tes_in!P13=0,"",SER_hh_tes_in!P13/SER_hh_fec_in!P13)</f>
        <v>3.3161137222898551</v>
      </c>
      <c r="Q13" s="137">
        <f>IF(SER_hh_tes_in!Q13=0,"",SER_hh_tes_in!Q13/SER_hh_fec_in!Q13)</f>
        <v>3.4637198702743479</v>
      </c>
      <c r="R13" s="137">
        <f>IF(SER_hh_tes_in!R13=0,"",SER_hh_tes_in!R13/SER_hh_fec_in!R13)</f>
        <v>3.5237972866807814</v>
      </c>
      <c r="S13" s="137">
        <f>IF(SER_hh_tes_in!S13=0,"",SER_hh_tes_in!S13/SER_hh_fec_in!S13)</f>
        <v>3.5618239333019202</v>
      </c>
      <c r="T13" s="137">
        <f>IF(SER_hh_tes_in!T13=0,"",SER_hh_tes_in!T13/SER_hh_fec_in!T13)</f>
        <v>3.5862129302048622</v>
      </c>
      <c r="U13" s="137">
        <f>IF(SER_hh_tes_in!U13=0,"",SER_hh_tes_in!U13/SER_hh_fec_in!U13)</f>
        <v>3.6056232266428023</v>
      </c>
      <c r="V13" s="137">
        <f>IF(SER_hh_tes_in!V13=0,"",SER_hh_tes_in!V13/SER_hh_fec_in!V13)</f>
        <v>3.6290538979706066</v>
      </c>
      <c r="W13" s="137">
        <f>IF(SER_hh_tes_in!W13=0,"",SER_hh_tes_in!W13/SER_hh_fec_in!W13)</f>
        <v>3.6558399472527126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0.74607672207992237</v>
      </c>
      <c r="D14" s="138">
        <f>IF(SER_hh_tes_in!D14=0,"",SER_hh_tes_in!D14/SER_hh_fec_in!D14)</f>
        <v>0.74917936317230183</v>
      </c>
      <c r="E14" s="138">
        <f>IF(SER_hh_tes_in!E14=0,"",SER_hh_tes_in!E14/SER_hh_fec_in!E14)</f>
        <v>0.75236160442287758</v>
      </c>
      <c r="F14" s="138">
        <f>IF(SER_hh_tes_in!F14=0,"",SER_hh_tes_in!F14/SER_hh_fec_in!F14)</f>
        <v>0.75555459670969771</v>
      </c>
      <c r="G14" s="138">
        <f>IF(SER_hh_tes_in!G14=0,"",SER_hh_tes_in!G14/SER_hh_fec_in!G14)</f>
        <v>0.75882084646998027</v>
      </c>
      <c r="H14" s="138">
        <f>IF(SER_hh_tes_in!H14=0,"",SER_hh_tes_in!H14/SER_hh_fec_in!H14)</f>
        <v>0.76215265934996701</v>
      </c>
      <c r="I14" s="138">
        <f>IF(SER_hh_tes_in!I14=0,"",SER_hh_tes_in!I14/SER_hh_fec_in!I14)</f>
        <v>0.76556537310469941</v>
      </c>
      <c r="J14" s="138">
        <f>IF(SER_hh_tes_in!J14=0,"",SER_hh_tes_in!J14/SER_hh_fec_in!J14)</f>
        <v>0.76912192686136716</v>
      </c>
      <c r="K14" s="138">
        <f>IF(SER_hh_tes_in!K14=0,"",SER_hh_tes_in!K14/SER_hh_fec_in!K14)</f>
        <v>0.7728756514460392</v>
      </c>
      <c r="L14" s="138">
        <f>IF(SER_hh_tes_in!L14=0,"",SER_hh_tes_in!L14/SER_hh_fec_in!L14)</f>
        <v>0.77684043759951282</v>
      </c>
      <c r="M14" s="138">
        <f>IF(SER_hh_tes_in!M14=0,"",SER_hh_tes_in!M14/SER_hh_fec_in!M14)</f>
        <v>0.78211200295051719</v>
      </c>
      <c r="N14" s="138">
        <f>IF(SER_hh_tes_in!N14=0,"",SER_hh_tes_in!N14/SER_hh_fec_in!N14)</f>
        <v>0.78901554260815632</v>
      </c>
      <c r="O14" s="138">
        <f>IF(SER_hh_tes_in!O14=0,"",SER_hh_tes_in!O14/SER_hh_fec_in!O14)</f>
        <v>0.79797789506613448</v>
      </c>
      <c r="P14" s="138">
        <f>IF(SER_hh_tes_in!P14=0,"",SER_hh_tes_in!P14/SER_hh_fec_in!P14)</f>
        <v>0.80870146223489014</v>
      </c>
      <c r="Q14" s="138">
        <f>IF(SER_hh_tes_in!Q14=0,"",SER_hh_tes_in!Q14/SER_hh_fec_in!Q14)</f>
        <v>0.82009942852656892</v>
      </c>
      <c r="R14" s="138">
        <f>IF(SER_hh_tes_in!R14=0,"",SER_hh_tes_in!R14/SER_hh_fec_in!R14)</f>
        <v>0.8323491389420602</v>
      </c>
      <c r="S14" s="138">
        <f>IF(SER_hh_tes_in!S14=0,"",SER_hh_tes_in!S14/SER_hh_fec_in!S14)</f>
        <v>0.84661413612322323</v>
      </c>
      <c r="T14" s="138">
        <f>IF(SER_hh_tes_in!T14=0,"",SER_hh_tes_in!T14/SER_hh_fec_in!T14)</f>
        <v>0.86104789227790768</v>
      </c>
      <c r="U14" s="138">
        <f>IF(SER_hh_tes_in!U14=0,"",SER_hh_tes_in!U14/SER_hh_fec_in!U14)</f>
        <v>0.87380920904839499</v>
      </c>
      <c r="V14" s="138">
        <f>IF(SER_hh_tes_in!V14=0,"",SER_hh_tes_in!V14/SER_hh_fec_in!V14)</f>
        <v>0.88305160247554293</v>
      </c>
      <c r="W14" s="138">
        <f>IF(SER_hh_tes_in!W14=0,"",SER_hh_tes_in!W14/SER_hh_fec_in!W14)</f>
        <v>0.88769457911780747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2.3000667016062391</v>
      </c>
      <c r="D16" s="136">
        <f>IF(SER_hh_tes_in!D16=0,"",SER_hh_tes_in!D16/SER_hh_fec_in!D16)</f>
        <v>2.3765952149296292</v>
      </c>
      <c r="E16" s="136">
        <f>IF(SER_hh_tes_in!E16=0,"",SER_hh_tes_in!E16/SER_hh_fec_in!E16)</f>
        <v>2.4394727696477672</v>
      </c>
      <c r="F16" s="136">
        <f>IF(SER_hh_tes_in!F16=0,"",SER_hh_tes_in!F16/SER_hh_fec_in!F16)</f>
        <v>2.5316016527723364</v>
      </c>
      <c r="G16" s="136">
        <f>IF(SER_hh_tes_in!G16=0,"",SER_hh_tes_in!G16/SER_hh_fec_in!G16)</f>
        <v>2.6147573911413149</v>
      </c>
      <c r="H16" s="136">
        <f>IF(SER_hh_tes_in!H16=0,"",SER_hh_tes_in!H16/SER_hh_fec_in!H16)</f>
        <v>2.6587838708104856</v>
      </c>
      <c r="I16" s="136">
        <f>IF(SER_hh_tes_in!I16=0,"",SER_hh_tes_in!I16/SER_hh_fec_in!I16)</f>
        <v>2.7545741291754742</v>
      </c>
      <c r="J16" s="136">
        <f>IF(SER_hh_tes_in!J16=0,"",SER_hh_tes_in!J16/SER_hh_fec_in!J16)</f>
        <v>2.8201917953748454</v>
      </c>
      <c r="K16" s="136">
        <f>IF(SER_hh_tes_in!K16=0,"",SER_hh_tes_in!K16/SER_hh_fec_in!K16)</f>
        <v>2.9102309194241571</v>
      </c>
      <c r="L16" s="136">
        <f>IF(SER_hh_tes_in!L16=0,"",SER_hh_tes_in!L16/SER_hh_fec_in!L16)</f>
        <v>2.9683342344100483</v>
      </c>
      <c r="M16" s="136">
        <f>IF(SER_hh_tes_in!M16=0,"",SER_hh_tes_in!M16/SER_hh_fec_in!M16)</f>
        <v>3.0138713108836894</v>
      </c>
      <c r="N16" s="136">
        <f>IF(SER_hh_tes_in!N16=0,"",SER_hh_tes_in!N16/SER_hh_fec_in!N16)</f>
        <v>3.0298997606961291</v>
      </c>
      <c r="O16" s="136">
        <f>IF(SER_hh_tes_in!O16=0,"",SER_hh_tes_in!O16/SER_hh_fec_in!O16)</f>
        <v>3.2059472534475502</v>
      </c>
      <c r="P16" s="136">
        <f>IF(SER_hh_tes_in!P16=0,"",SER_hh_tes_in!P16/SER_hh_fec_in!P16)</f>
        <v>3.4418697469545081</v>
      </c>
      <c r="Q16" s="136">
        <f>IF(SER_hh_tes_in!Q16=0,"",SER_hh_tes_in!Q16/SER_hh_fec_in!Q16)</f>
        <v>3.4095634805656911</v>
      </c>
      <c r="R16" s="136">
        <f>IF(SER_hh_tes_in!R16=0,"",SER_hh_tes_in!R16/SER_hh_fec_in!R16)</f>
        <v>3.5893638166874231</v>
      </c>
      <c r="S16" s="136">
        <f>IF(SER_hh_tes_in!S16=0,"",SER_hh_tes_in!S16/SER_hh_fec_in!S16)</f>
        <v>3.5677338181442741</v>
      </c>
      <c r="T16" s="136">
        <f>IF(SER_hh_tes_in!T16=0,"",SER_hh_tes_in!T16/SER_hh_fec_in!T16)</f>
        <v>3.6457423180420045</v>
      </c>
      <c r="U16" s="136">
        <f>IF(SER_hh_tes_in!U16=0,"",SER_hh_tes_in!U16/SER_hh_fec_in!U16)</f>
        <v>3.655016417826459</v>
      </c>
      <c r="V16" s="136">
        <f>IF(SER_hh_tes_in!V16=0,"",SER_hh_tes_in!V16/SER_hh_fec_in!V16)</f>
        <v>3.6550766611113974</v>
      </c>
      <c r="W16" s="136">
        <f>IF(SER_hh_tes_in!W16=0,"",SER_hh_tes_in!W16/SER_hh_fec_in!W16)</f>
        <v>3.832770362805288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1.2761635684613686</v>
      </c>
      <c r="D17" s="137">
        <f>IF(SER_hh_tes_in!D17=0,"",SER_hh_tes_in!D17/SER_hh_fec_in!D17)</f>
        <v>1.2804126678627297</v>
      </c>
      <c r="E17" s="137">
        <f>IF(SER_hh_tes_in!E17=0,"",SER_hh_tes_in!E17/SER_hh_fec_in!E17)</f>
        <v>1.2838831547870511</v>
      </c>
      <c r="F17" s="137">
        <f>IF(SER_hh_tes_in!F17=0,"",SER_hh_tes_in!F17/SER_hh_fec_in!F17)</f>
        <v>1.2867151660351337</v>
      </c>
      <c r="G17" s="137">
        <f>IF(SER_hh_tes_in!G17=0,"",SER_hh_tes_in!G17/SER_hh_fec_in!G17)</f>
        <v>1.2889403666349086</v>
      </c>
      <c r="H17" s="137">
        <f>IF(SER_hh_tes_in!H17=0,"",SER_hh_tes_in!H17/SER_hh_fec_in!H17)</f>
        <v>1.2908003248975291</v>
      </c>
      <c r="I17" s="137">
        <f>IF(SER_hh_tes_in!I17=0,"",SER_hh_tes_in!I17/SER_hh_fec_in!I17)</f>
        <v>1.2923691288194452</v>
      </c>
      <c r="J17" s="137">
        <f>IF(SER_hh_tes_in!J17=0,"",SER_hh_tes_in!J17/SER_hh_fec_in!J17)</f>
        <v>1.2938969697102616</v>
      </c>
      <c r="K17" s="137">
        <f>IF(SER_hh_tes_in!K17=0,"",SER_hh_tes_in!K17/SER_hh_fec_in!K17)</f>
        <v>1.2957461247333193</v>
      </c>
      <c r="L17" s="137">
        <f>IF(SER_hh_tes_in!L17=0,"",SER_hh_tes_in!L17/SER_hh_fec_in!L17)</f>
        <v>1.298147407368861</v>
      </c>
      <c r="M17" s="137">
        <f>IF(SER_hh_tes_in!M17=0,"",SER_hh_tes_in!M17/SER_hh_fec_in!M17)</f>
        <v>1.3041913569804005</v>
      </c>
      <c r="N17" s="137">
        <f>IF(SER_hh_tes_in!N17=0,"",SER_hh_tes_in!N17/SER_hh_fec_in!N17)</f>
        <v>1.3180980178981119</v>
      </c>
      <c r="O17" s="137">
        <f>IF(SER_hh_tes_in!O17=0,"",SER_hh_tes_in!O17/SER_hh_fec_in!O17)</f>
        <v>1.341403140359867</v>
      </c>
      <c r="P17" s="137">
        <f>IF(SER_hh_tes_in!P17=0,"",SER_hh_tes_in!P17/SER_hh_fec_in!P17)</f>
        <v>1.3736483623939593</v>
      </c>
      <c r="Q17" s="137">
        <f>IF(SER_hh_tes_in!Q17=0,"",SER_hh_tes_in!Q17/SER_hh_fec_in!Q17)</f>
        <v>1.4080753622288034</v>
      </c>
      <c r="R17" s="137">
        <f>IF(SER_hh_tes_in!R17=0,"",SER_hh_tes_in!R17/SER_hh_fec_in!R17)</f>
        <v>1.4365094594811731</v>
      </c>
      <c r="S17" s="137">
        <f>IF(SER_hh_tes_in!S17=0,"",SER_hh_tes_in!S17/SER_hh_fec_in!S17)</f>
        <v>1.4646705367703916</v>
      </c>
      <c r="T17" s="137">
        <f>IF(SER_hh_tes_in!T17=0,"",SER_hh_tes_in!T17/SER_hh_fec_in!T17)</f>
        <v>1.4976080834335288</v>
      </c>
      <c r="U17" s="137">
        <f>IF(SER_hh_tes_in!U17=0,"",SER_hh_tes_in!U17/SER_hh_fec_in!U17)</f>
        <v>1.5325056399187198</v>
      </c>
      <c r="V17" s="137">
        <f>IF(SER_hh_tes_in!V17=0,"",SER_hh_tes_in!V17/SER_hh_fec_in!V17)</f>
        <v>1.5662819241432604</v>
      </c>
      <c r="W17" s="137">
        <f>IF(SER_hh_tes_in!W17=0,"",SER_hh_tes_in!W17/SER_hh_fec_in!W17)</f>
        <v>1.5938681836243529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2.3094057889739643</v>
      </c>
      <c r="D18" s="137">
        <f>IF(SER_hh_tes_in!D18=0,"",SER_hh_tes_in!D18/SER_hh_fec_in!D18)</f>
        <v>2.3862286251481981</v>
      </c>
      <c r="E18" s="137">
        <f>IF(SER_hh_tes_in!E18=0,"",SER_hh_tes_in!E18/SER_hh_fec_in!E18)</f>
        <v>2.4638626046837886</v>
      </c>
      <c r="F18" s="137">
        <f>IF(SER_hh_tes_in!F18=0,"",SER_hh_tes_in!F18/SER_hh_fec_in!F18)</f>
        <v>2.5415799608835328</v>
      </c>
      <c r="G18" s="137">
        <f>IF(SER_hh_tes_in!G18=0,"",SER_hh_tes_in!G18/SER_hh_fec_in!G18)</f>
        <v>2.620035824294753</v>
      </c>
      <c r="H18" s="137">
        <f>IF(SER_hh_tes_in!H18=0,"",SER_hh_tes_in!H18/SER_hh_fec_in!H18)</f>
        <v>2.699145757738727</v>
      </c>
      <c r="I18" s="137">
        <f>IF(SER_hh_tes_in!I18=0,"",SER_hh_tes_in!I18/SER_hh_fec_in!I18)</f>
        <v>2.7790667600790755</v>
      </c>
      <c r="J18" s="137">
        <f>IF(SER_hh_tes_in!J18=0,"",SER_hh_tes_in!J18/SER_hh_fec_in!J18)</f>
        <v>2.8604518755714463</v>
      </c>
      <c r="K18" s="137">
        <f>IF(SER_hh_tes_in!K18=0,"",SER_hh_tes_in!K18/SER_hh_fec_in!K18)</f>
        <v>2.9438501977719005</v>
      </c>
      <c r="L18" s="137">
        <f>IF(SER_hh_tes_in!L18=0,"",SER_hh_tes_in!L18/SER_hh_fec_in!L18)</f>
        <v>3.0293974868468885</v>
      </c>
      <c r="M18" s="137">
        <f>IF(SER_hh_tes_in!M18=0,"",SER_hh_tes_in!M18/SER_hh_fec_in!M18)</f>
        <v>3.1315756626272173</v>
      </c>
      <c r="N18" s="137">
        <f>IF(SER_hh_tes_in!N18=0,"",SER_hh_tes_in!N18/SER_hh_fec_in!N18)</f>
        <v>3.2551240788136675</v>
      </c>
      <c r="O18" s="137">
        <f>IF(SER_hh_tes_in!O18=0,"",SER_hh_tes_in!O18/SER_hh_fec_in!O18)</f>
        <v>3.4026628767262692</v>
      </c>
      <c r="P18" s="137">
        <f>IF(SER_hh_tes_in!P18=0,"",SER_hh_tes_in!P18/SER_hh_fec_in!P18)</f>
        <v>3.5626655260960636</v>
      </c>
      <c r="Q18" s="137">
        <f>IF(SER_hh_tes_in!Q18=0,"",SER_hh_tes_in!Q18/SER_hh_fec_in!Q18)</f>
        <v>3.7001691767071301</v>
      </c>
      <c r="R18" s="137">
        <f>IF(SER_hh_tes_in!R18=0,"",SER_hh_tes_in!R18/SER_hh_fec_in!R18)</f>
        <v>3.786433221713664</v>
      </c>
      <c r="S18" s="137">
        <f>IF(SER_hh_tes_in!S18=0,"",SER_hh_tes_in!S18/SER_hh_fec_in!S18)</f>
        <v>3.8550951660257606</v>
      </c>
      <c r="T18" s="137">
        <f>IF(SER_hh_tes_in!T18=0,"",SER_hh_tes_in!T18/SER_hh_fec_in!T18)</f>
        <v>3.9124648342629946</v>
      </c>
      <c r="U18" s="137">
        <f>IF(SER_hh_tes_in!U18=0,"",SER_hh_tes_in!U18/SER_hh_fec_in!U18)</f>
        <v>3.9646925571630662</v>
      </c>
      <c r="V18" s="137">
        <f>IF(SER_hh_tes_in!V18=0,"",SER_hh_tes_in!V18/SER_hh_fec_in!V18)</f>
        <v>4.0179444339840087</v>
      </c>
      <c r="W18" s="137">
        <f>IF(SER_hh_tes_in!W18=0,"",SER_hh_tes_in!W18/SER_hh_fec_in!W18)</f>
        <v>4.0700787652439523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0.64632361262666738</v>
      </c>
      <c r="D19" s="136">
        <f>IF(SER_hh_tes_in!D19=0,"",SER_hh_tes_in!D19/SER_hh_fec_in!D19)</f>
        <v>0.64799097718661736</v>
      </c>
      <c r="E19" s="136">
        <f>IF(SER_hh_tes_in!E19=0,"",SER_hh_tes_in!E19/SER_hh_fec_in!E19)</f>
        <v>0.65262736397722088</v>
      </c>
      <c r="F19" s="136">
        <f>IF(SER_hh_tes_in!F19=0,"",SER_hh_tes_in!F19/SER_hh_fec_in!F19)</f>
        <v>0.6652987536405115</v>
      </c>
      <c r="G19" s="136">
        <f>IF(SER_hh_tes_in!G19=0,"",SER_hh_tes_in!G19/SER_hh_fec_in!G19)</f>
        <v>0.68239398959172326</v>
      </c>
      <c r="H19" s="136">
        <f>IF(SER_hh_tes_in!H19=0,"",SER_hh_tes_in!H19/SER_hh_fec_in!H19)</f>
        <v>0.67020507657643735</v>
      </c>
      <c r="I19" s="136">
        <f>IF(SER_hh_tes_in!I19=0,"",SER_hh_tes_in!I19/SER_hh_fec_in!I19)</f>
        <v>0.67704214815551145</v>
      </c>
      <c r="J19" s="136">
        <f>IF(SER_hh_tes_in!J19=0,"",SER_hh_tes_in!J19/SER_hh_fec_in!J19)</f>
        <v>0.67657001463060507</v>
      </c>
      <c r="K19" s="136">
        <f>IF(SER_hh_tes_in!K19=0,"",SER_hh_tes_in!K19/SER_hh_fec_in!K19)</f>
        <v>0.6775337440303173</v>
      </c>
      <c r="L19" s="136">
        <f>IF(SER_hh_tes_in!L19=0,"",SER_hh_tes_in!L19/SER_hh_fec_in!L19)</f>
        <v>0.70226545824446762</v>
      </c>
      <c r="M19" s="136">
        <f>IF(SER_hh_tes_in!M19=0,"",SER_hh_tes_in!M19/SER_hh_fec_in!M19)</f>
        <v>0.69922226187073455</v>
      </c>
      <c r="N19" s="136">
        <f>IF(SER_hh_tes_in!N19=0,"",SER_hh_tes_in!N19/SER_hh_fec_in!N19)</f>
        <v>0.74282734754078694</v>
      </c>
      <c r="O19" s="136">
        <f>IF(SER_hh_tes_in!O19=0,"",SER_hh_tes_in!O19/SER_hh_fec_in!O19)</f>
        <v>0.74111558685031265</v>
      </c>
      <c r="P19" s="136">
        <f>IF(SER_hh_tes_in!P19=0,"",SER_hh_tes_in!P19/SER_hh_fec_in!P19)</f>
        <v>0.7612739853242797</v>
      </c>
      <c r="Q19" s="136">
        <f>IF(SER_hh_tes_in!Q19=0,"",SER_hh_tes_in!Q19/SER_hh_fec_in!Q19)</f>
        <v>0.81044826621926547</v>
      </c>
      <c r="R19" s="136">
        <f>IF(SER_hh_tes_in!R19=0,"",SER_hh_tes_in!R19/SER_hh_fec_in!R19)</f>
        <v>0.81543460123828659</v>
      </c>
      <c r="S19" s="136">
        <f>IF(SER_hh_tes_in!S19=0,"",SER_hh_tes_in!S19/SER_hh_fec_in!S19)</f>
        <v>0.83287740706503222</v>
      </c>
      <c r="T19" s="136">
        <f>IF(SER_hh_tes_in!T19=0,"",SER_hh_tes_in!T19/SER_hh_fec_in!T19)</f>
        <v>0.8496737097902437</v>
      </c>
      <c r="U19" s="136">
        <f>IF(SER_hh_tes_in!U19=0,"",SER_hh_tes_in!U19/SER_hh_fec_in!U19)</f>
        <v>0.86066281908570197</v>
      </c>
      <c r="V19" s="136">
        <f>IF(SER_hh_tes_in!V19=0,"",SER_hh_tes_in!V19/SER_hh_fec_in!V19)</f>
        <v>0.87408776470646588</v>
      </c>
      <c r="W19" s="136">
        <f>IF(SER_hh_tes_in!W19=0,"",SER_hh_tes_in!W19/SER_hh_fec_in!W19)</f>
        <v>0.87909455060638164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0.5797054260222595</v>
      </c>
      <c r="D21" s="137">
        <f>IF(SER_hh_tes_in!D21=0,"",SER_hh_tes_in!D21/SER_hh_fec_in!D21)</f>
        <v>0.58171657793090603</v>
      </c>
      <c r="E21" s="137">
        <f>IF(SER_hh_tes_in!E21=0,"",SER_hh_tes_in!E21/SER_hh_fec_in!E21)</f>
        <v>0.58406066382977084</v>
      </c>
      <c r="F21" s="137">
        <f>IF(SER_hh_tes_in!F21=0,"",SER_hh_tes_in!F21/SER_hh_fec_in!F21)</f>
        <v>0.58645014981821064</v>
      </c>
      <c r="G21" s="137">
        <f>IF(SER_hh_tes_in!G21=0,"",SER_hh_tes_in!G21/SER_hh_fec_in!G21)</f>
        <v>0.58914624842878227</v>
      </c>
      <c r="H21" s="137">
        <f>IF(SER_hh_tes_in!H21=0,"",SER_hh_tes_in!H21/SER_hh_fec_in!H21)</f>
        <v>0.59211699057292244</v>
      </c>
      <c r="I21" s="137">
        <f>IF(SER_hh_tes_in!I21=0,"",SER_hh_tes_in!I21/SER_hh_fec_in!I21)</f>
        <v>0.59542673902628585</v>
      </c>
      <c r="J21" s="137">
        <f>IF(SER_hh_tes_in!J21=0,"",SER_hh_tes_in!J21/SER_hh_fec_in!J21)</f>
        <v>0.59933916536271348</v>
      </c>
      <c r="K21" s="137">
        <f>IF(SER_hh_tes_in!K21=0,"",SER_hh_tes_in!K21/SER_hh_fec_in!K21)</f>
        <v>0.60407845977384311</v>
      </c>
      <c r="L21" s="137">
        <f>IF(SER_hh_tes_in!L21=0,"",SER_hh_tes_in!L21/SER_hh_fec_in!L21)</f>
        <v>0.60970460232726942</v>
      </c>
      <c r="M21" s="137">
        <f>IF(SER_hh_tes_in!M21=0,"",SER_hh_tes_in!M21/SER_hh_fec_in!M21)</f>
        <v>0.62153769832568651</v>
      </c>
      <c r="N21" s="137">
        <f>IF(SER_hh_tes_in!N21=0,"",SER_hh_tes_in!N21/SER_hh_fec_in!N21)</f>
        <v>0.64126634553527884</v>
      </c>
      <c r="O21" s="137">
        <f>IF(SER_hh_tes_in!O21=0,"",SER_hh_tes_in!O21/SER_hh_fec_in!O21)</f>
        <v>0.67030014036703889</v>
      </c>
      <c r="P21" s="137">
        <f>IF(SER_hh_tes_in!P21=0,"",SER_hh_tes_in!P21/SER_hh_fec_in!P21)</f>
        <v>0.70567650702227325</v>
      </c>
      <c r="Q21" s="137">
        <f>IF(SER_hh_tes_in!Q21=0,"",SER_hh_tes_in!Q21/SER_hh_fec_in!Q21)</f>
        <v>0.73779654841222475</v>
      </c>
      <c r="R21" s="137">
        <f>IF(SER_hh_tes_in!R21=0,"",SER_hh_tes_in!R21/SER_hh_fec_in!R21)</f>
        <v>0.75947364698043818</v>
      </c>
      <c r="S21" s="137">
        <f>IF(SER_hh_tes_in!S21=0,"",SER_hh_tes_in!S21/SER_hh_fec_in!S21)</f>
        <v>0.78036248741892189</v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>
        <f>IF(SER_hh_tes_in!V21=0,"",SER_hh_tes_in!V21/SER_hh_fec_in!V21)</f>
        <v>0.82647558800950149</v>
      </c>
      <c r="W21" s="137">
        <f>IF(SER_hh_tes_in!W21=0,"",SER_hh_tes_in!W21/SER_hh_fec_in!W21)</f>
        <v>0.83185200332499354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0.5464904195991398</v>
      </c>
      <c r="D22" s="137">
        <f>IF(SER_hh_tes_in!D22=0,"",SER_hh_tes_in!D22/SER_hh_fec_in!D22)</f>
        <v>0.54856822203609024</v>
      </c>
      <c r="E22" s="137">
        <f>IF(SER_hh_tes_in!E22=0,"",SER_hh_tes_in!E22/SER_hh_fec_in!E22)</f>
        <v>0.55098999205363175</v>
      </c>
      <c r="F22" s="137">
        <f>IF(SER_hh_tes_in!F22=0,"",SER_hh_tes_in!F22/SER_hh_fec_in!F22)</f>
        <v>0.55345866674125388</v>
      </c>
      <c r="G22" s="137">
        <f>IF(SER_hh_tes_in!G22=0,"",SER_hh_tes_in!G22/SER_hh_fec_in!G22)</f>
        <v>0.55624411533875617</v>
      </c>
      <c r="H22" s="137">
        <f>IF(SER_hh_tes_in!H22=0,"",SER_hh_tes_in!H22/SER_hh_fec_in!H22)</f>
        <v>0.559313309286815</v>
      </c>
      <c r="I22" s="137">
        <f>IF(SER_hh_tes_in!I22=0,"",SER_hh_tes_in!I22/SER_hh_fec_in!I22)</f>
        <v>0.56273274437400278</v>
      </c>
      <c r="J22" s="137">
        <f>IF(SER_hh_tes_in!J22=0,"",SER_hh_tes_in!J22/SER_hh_fec_in!J22)</f>
        <v>0.56677483037519794</v>
      </c>
      <c r="K22" s="137">
        <f>IF(SER_hh_tes_in!K22=0,"",SER_hh_tes_in!K22/SER_hh_fec_in!K22)</f>
        <v>0.57167118725134058</v>
      </c>
      <c r="L22" s="137">
        <f>IF(SER_hh_tes_in!L22=0,"",SER_hh_tes_in!L22/SER_hh_fec_in!L22)</f>
        <v>0.57748378283791957</v>
      </c>
      <c r="M22" s="137">
        <f>IF(SER_hh_tes_in!M22=0,"",SER_hh_tes_in!M22/SER_hh_fec_in!M22)</f>
        <v>0.58970903325111312</v>
      </c>
      <c r="N22" s="137">
        <f>IF(SER_hh_tes_in!N22=0,"",SER_hh_tes_in!N22/SER_hh_fec_in!N22)</f>
        <v>0.61009149718811551</v>
      </c>
      <c r="O22" s="137">
        <f>IF(SER_hh_tes_in!O22=0,"",SER_hh_tes_in!O22/SER_hh_fec_in!O22)</f>
        <v>0.6400874857536637</v>
      </c>
      <c r="P22" s="137">
        <f>IF(SER_hh_tes_in!P22=0,"",SER_hh_tes_in!P22/SER_hh_fec_in!P22)</f>
        <v>0.67663624198170802</v>
      </c>
      <c r="Q22" s="137">
        <f>IF(SER_hh_tes_in!Q22=0,"",SER_hh_tes_in!Q22/SER_hh_fec_in!Q22)</f>
        <v>0.70982075678044121</v>
      </c>
      <c r="R22" s="137">
        <f>IF(SER_hh_tes_in!R22=0,"",SER_hh_tes_in!R22/SER_hh_fec_in!R22)</f>
        <v>0.73221624467839608</v>
      </c>
      <c r="S22" s="137">
        <f>IF(SER_hh_tes_in!S22=0,"",SER_hh_tes_in!S22/SER_hh_fec_in!S22)</f>
        <v>0.75379735119826818</v>
      </c>
      <c r="T22" s="137">
        <f>IF(SER_hh_tes_in!T22=0,"",SER_hh_tes_in!T22/SER_hh_fec_in!T22)</f>
        <v>0.77334250427285112</v>
      </c>
      <c r="U22" s="137">
        <f>IF(SER_hh_tes_in!U22=0,"",SER_hh_tes_in!U22/SER_hh_fec_in!U22)</f>
        <v>0.78963013183500774</v>
      </c>
      <c r="V22" s="137">
        <f>IF(SER_hh_tes_in!V22=0,"",SER_hh_tes_in!V22/SER_hh_fec_in!V22)</f>
        <v>0.80143866181757129</v>
      </c>
      <c r="W22" s="137">
        <f>IF(SER_hh_tes_in!W22=0,"",SER_hh_tes_in!W22/SER_hh_fec_in!W22)</f>
        <v>0.806993254087085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0.59588940917052446</v>
      </c>
      <c r="D23" s="137">
        <f>IF(SER_hh_tes_in!D23=0,"",SER_hh_tes_in!D23/SER_hh_fec_in!D23)</f>
        <v>0.60144556833951635</v>
      </c>
      <c r="E23" s="137">
        <f>IF(SER_hh_tes_in!E23=0,"",SER_hh_tes_in!E23/SER_hh_fec_in!E23)</f>
        <v>0.6072419573388077</v>
      </c>
      <c r="F23" s="137">
        <f>IF(SER_hh_tes_in!F23=0,"",SER_hh_tes_in!F23/SER_hh_fec_in!F23)</f>
        <v>0.61308519824569585</v>
      </c>
      <c r="G23" s="137">
        <f>IF(SER_hh_tes_in!G23=0,"",SER_hh_tes_in!G23/SER_hh_fec_in!G23)</f>
        <v>0.61914771435592131</v>
      </c>
      <c r="H23" s="137">
        <f>IF(SER_hh_tes_in!H23=0,"",SER_hh_tes_in!H23/SER_hh_fec_in!H23)</f>
        <v>0.62540616193146414</v>
      </c>
      <c r="I23" s="137">
        <f>IF(SER_hh_tes_in!I23=0,"",SER_hh_tes_in!I23/SER_hh_fec_in!I23)</f>
        <v>0.63190076391536099</v>
      </c>
      <c r="J23" s="137">
        <f>IF(SER_hh_tes_in!J23=0,"",SER_hh_tes_in!J23/SER_hh_fec_in!J23)</f>
        <v>0.63880148733530584</v>
      </c>
      <c r="K23" s="137">
        <f>IF(SER_hh_tes_in!K23=0,"",SER_hh_tes_in!K23/SER_hh_fec_in!K23)</f>
        <v>0.64625005891108689</v>
      </c>
      <c r="L23" s="137">
        <f>IF(SER_hh_tes_in!L23=0,"",SER_hh_tes_in!L23/SER_hh_fec_in!L23)</f>
        <v>0.65427952433813019</v>
      </c>
      <c r="M23" s="137">
        <f>IF(SER_hh_tes_in!M23=0,"",SER_hh_tes_in!M23/SER_hh_fec_in!M23)</f>
        <v>0.66642213762561309</v>
      </c>
      <c r="N23" s="137">
        <f>IF(SER_hh_tes_in!N23=0,"",SER_hh_tes_in!N23/SER_hh_fec_in!N23)</f>
        <v>0.68376516096102735</v>
      </c>
      <c r="O23" s="137">
        <f>IF(SER_hh_tes_in!O23=0,"",SER_hh_tes_in!O23/SER_hh_fec_in!O23)</f>
        <v>0.70711140503512959</v>
      </c>
      <c r="P23" s="137">
        <f>IF(SER_hh_tes_in!P23=0,"",SER_hh_tes_in!P23/SER_hh_fec_in!P23)</f>
        <v>0.73427848809788554</v>
      </c>
      <c r="Q23" s="137">
        <f>IF(SER_hh_tes_in!Q23=0,"",SER_hh_tes_in!Q23/SER_hh_fec_in!Q23)</f>
        <v>0.75841985023816172</v>
      </c>
      <c r="R23" s="137">
        <f>IF(SER_hh_tes_in!R23=0,"",SER_hh_tes_in!R23/SER_hh_fec_in!R23)</f>
        <v>0.77429340643627365</v>
      </c>
      <c r="S23" s="137">
        <f>IF(SER_hh_tes_in!S23=0,"",SER_hh_tes_in!S23/SER_hh_fec_in!S23)</f>
        <v>0.78877700421224151</v>
      </c>
      <c r="T23" s="137">
        <f>IF(SER_hh_tes_in!T23=0,"",SER_hh_tes_in!T23/SER_hh_fec_in!T23)</f>
        <v>0.80149465092071071</v>
      </c>
      <c r="U23" s="137">
        <f>IF(SER_hh_tes_in!U23=0,"",SER_hh_tes_in!U23/SER_hh_fec_in!U23)</f>
        <v>0.81202742517951199</v>
      </c>
      <c r="V23" s="137">
        <f>IF(SER_hh_tes_in!V23=0,"",SER_hh_tes_in!V23/SER_hh_fec_in!V23)</f>
        <v>0.81991562563816567</v>
      </c>
      <c r="W23" s="137">
        <f>IF(SER_hh_tes_in!W23=0,"",SER_hh_tes_in!W23/SER_hh_fec_in!W23)</f>
        <v>0.82398684266192879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>
        <f>IF(SER_hh_tes_in!C24=0,"",SER_hh_tes_in!C24/SER_hh_fec_in!C24)</f>
        <v>0.60009616796539778</v>
      </c>
      <c r="D24" s="137">
        <f>IF(SER_hh_tes_in!D24=0,"",SER_hh_tes_in!D24/SER_hh_fec_in!D24)</f>
        <v>0.61243907115494511</v>
      </c>
      <c r="E24" s="137">
        <f>IF(SER_hh_tes_in!E24=0,"",SER_hh_tes_in!E24/SER_hh_fec_in!E24)</f>
        <v>0.62489931186039072</v>
      </c>
      <c r="F24" s="137">
        <f>IF(SER_hh_tes_in!F24=0,"",SER_hh_tes_in!F24/SER_hh_fec_in!F24)</f>
        <v>0.63746491206545808</v>
      </c>
      <c r="G24" s="137">
        <f>IF(SER_hh_tes_in!G24=0,"",SER_hh_tes_in!G24/SER_hh_fec_in!G24)</f>
        <v>0.65012396492936131</v>
      </c>
      <c r="H24" s="137">
        <f>IF(SER_hh_tes_in!H24=0,"",SER_hh_tes_in!H24/SER_hh_fec_in!H24)</f>
        <v>0.66286228437700045</v>
      </c>
      <c r="I24" s="137">
        <f>IF(SER_hh_tes_in!I24=0,"",SER_hh_tes_in!I24/SER_hh_fec_in!I24)</f>
        <v>0.67566121672583179</v>
      </c>
      <c r="J24" s="137">
        <f>IF(SER_hh_tes_in!J24=0,"",SER_hh_tes_in!J24/SER_hh_fec_in!J24)</f>
        <v>0.68848054176842532</v>
      </c>
      <c r="K24" s="137">
        <f>IF(SER_hh_tes_in!K24=0,"",SER_hh_tes_in!K24/SER_hh_fec_in!K24)</f>
        <v>0.70126705497567887</v>
      </c>
      <c r="L24" s="137">
        <f>IF(SER_hh_tes_in!L24=0,"",SER_hh_tes_in!L24/SER_hh_fec_in!L24)</f>
        <v>0.71397353418609855</v>
      </c>
      <c r="M24" s="137" t="str">
        <f>IF(SER_hh_tes_in!M24=0,"",SER_hh_tes_in!M24/SER_hh_fec_in!M24)</f>
        <v/>
      </c>
      <c r="N24" s="137">
        <f>IF(SER_hh_tes_in!N24=0,"",SER_hh_tes_in!N24/SER_hh_fec_in!N24)</f>
        <v>0.73587737115103324</v>
      </c>
      <c r="O24" s="137">
        <f>IF(SER_hh_tes_in!O24=0,"",SER_hh_tes_in!O24/SER_hh_fec_in!O24)</f>
        <v>0.74431013155023495</v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>
        <f>IF(SER_hh_tes_in!R24=0,"",SER_hh_tes_in!R24/SER_hh_fec_in!R24)</f>
        <v>0.7734558979741305</v>
      </c>
      <c r="S24" s="137">
        <f>IF(SER_hh_tes_in!S24=0,"",SER_hh_tes_in!S24/SER_hh_fec_in!S24)</f>
        <v>0.78798765931085246</v>
      </c>
      <c r="T24" s="137">
        <f>IF(SER_hh_tes_in!T24=0,"",SER_hh_tes_in!T24/SER_hh_fec_in!T24)</f>
        <v>0.8025899078116</v>
      </c>
      <c r="U24" s="137">
        <f>IF(SER_hh_tes_in!U24=0,"",SER_hh_tes_in!U24/SER_hh_fec_in!U24)</f>
        <v>0.81604054161369732</v>
      </c>
      <c r="V24" s="137">
        <f>IF(SER_hh_tes_in!V24=0,"",SER_hh_tes_in!V24/SER_hh_fec_in!V24)</f>
        <v>0.8273152202475208</v>
      </c>
      <c r="W24" s="137">
        <f>IF(SER_hh_tes_in!W24=0,"",SER_hh_tes_in!W24/SER_hh_fec_in!W24)</f>
        <v>0.83638413815068768</v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0.83411492863626335</v>
      </c>
      <c r="D25" s="137">
        <f>IF(SER_hh_tes_in!D25=0,"",SER_hh_tes_in!D25/SER_hh_fec_in!D25)</f>
        <v>0.83617899757618175</v>
      </c>
      <c r="E25" s="137">
        <f>IF(SER_hh_tes_in!E25=0,"",SER_hh_tes_in!E25/SER_hh_fec_in!E25)</f>
        <v>0.83829879099249893</v>
      </c>
      <c r="F25" s="137">
        <f>IF(SER_hh_tes_in!F25=0,"",SER_hh_tes_in!F25/SER_hh_fec_in!F25)</f>
        <v>0.84042618320105222</v>
      </c>
      <c r="G25" s="137">
        <f>IF(SER_hh_tes_in!G25=0,"",SER_hh_tes_in!G25/SER_hh_fec_in!G25)</f>
        <v>0.84260489437470865</v>
      </c>
      <c r="H25" s="137" t="str">
        <f>IF(SER_hh_tes_in!H25=0,"",SER_hh_tes_in!H25/SER_hh_fec_in!H25)</f>
        <v/>
      </c>
      <c r="I25" s="137" t="str">
        <f>IF(SER_hh_tes_in!I25=0,"",SER_hh_tes_in!I25/SER_hh_fec_in!I25)</f>
        <v/>
      </c>
      <c r="J25" s="137" t="str">
        <f>IF(SER_hh_tes_in!J25=0,"",SER_hh_tes_in!J25/SER_hh_fec_in!J25)</f>
        <v/>
      </c>
      <c r="K25" s="137">
        <f>IF(SER_hh_tes_in!K25=0,"",SER_hh_tes_in!K25/SER_hh_fec_in!K25)</f>
        <v>0.85201397556034264</v>
      </c>
      <c r="L25" s="137">
        <f>IF(SER_hh_tes_in!L25=0,"",SER_hh_tes_in!L25/SER_hh_fec_in!L25)</f>
        <v>0.85468309975681678</v>
      </c>
      <c r="M25" s="137">
        <f>IF(SER_hh_tes_in!M25=0,"",SER_hh_tes_in!M25/SER_hh_fec_in!M25)</f>
        <v>0.85837883542293214</v>
      </c>
      <c r="N25" s="137">
        <f>IF(SER_hh_tes_in!N25=0,"",SER_hh_tes_in!N25/SER_hh_fec_in!N25)</f>
        <v>0.86337883984044572</v>
      </c>
      <c r="O25" s="137">
        <f>IF(SER_hh_tes_in!O25=0,"",SER_hh_tes_in!O25/SER_hh_fec_in!O25)</f>
        <v>0.86992651335616389</v>
      </c>
      <c r="P25" s="137">
        <f>IF(SER_hh_tes_in!P25=0,"",SER_hh_tes_in!P25/SER_hh_fec_in!P25)</f>
        <v>0.87755876896486595</v>
      </c>
      <c r="Q25" s="137">
        <f>IF(SER_hh_tes_in!Q25=0,"",SER_hh_tes_in!Q25/SER_hh_fec_in!Q25)</f>
        <v>0.88475962701639421</v>
      </c>
      <c r="R25" s="137">
        <f>IF(SER_hh_tes_in!R25=0,"",SER_hh_tes_in!R25/SER_hh_fec_in!R25)</f>
        <v>0.89027740420639678</v>
      </c>
      <c r="S25" s="137">
        <f>IF(SER_hh_tes_in!S25=0,"",SER_hh_tes_in!S25/SER_hh_fec_in!S25)</f>
        <v>0.89564527901481084</v>
      </c>
      <c r="T25" s="137">
        <f>IF(SER_hh_tes_in!T25=0,"",SER_hh_tes_in!T25/SER_hh_fec_in!T25)</f>
        <v>0.90082738560378006</v>
      </c>
      <c r="U25" s="137">
        <f>IF(SER_hh_tes_in!U25=0,"",SER_hh_tes_in!U25/SER_hh_fec_in!U25)</f>
        <v>0.90578785813546514</v>
      </c>
      <c r="V25" s="137">
        <f>IF(SER_hh_tes_in!V25=0,"",SER_hh_tes_in!V25/SER_hh_fec_in!V25)</f>
        <v>0.91049083077201942</v>
      </c>
      <c r="W25" s="137">
        <f>IF(SER_hh_tes_in!W25=0,"",SER_hh_tes_in!W25/SER_hh_fec_in!W25)</f>
        <v>0.91482317504550681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0.69009556214698276</v>
      </c>
      <c r="D26" s="138">
        <f>IF(SER_hh_tes_in!D26=0,"",SER_hh_tes_in!D26/SER_hh_fec_in!D26)</f>
        <v>0.69242809407628425</v>
      </c>
      <c r="E26" s="138">
        <f>IF(SER_hh_tes_in!E26=0,"",SER_hh_tes_in!E26/SER_hh_fec_in!E26)</f>
        <v>0.69494003069817012</v>
      </c>
      <c r="F26" s="138">
        <f>IF(SER_hh_tes_in!F26=0,"",SER_hh_tes_in!F26/SER_hh_fec_in!F26)</f>
        <v>0.69747609676577049</v>
      </c>
      <c r="G26" s="138">
        <f>IF(SER_hh_tes_in!G26=0,"",SER_hh_tes_in!G26/SER_hh_fec_in!G26)</f>
        <v>0.70017882205894555</v>
      </c>
      <c r="H26" s="138">
        <f>IF(SER_hh_tes_in!H26=0,"",SER_hh_tes_in!H26/SER_hh_fec_in!H26)</f>
        <v>0.70303223090568345</v>
      </c>
      <c r="I26" s="138">
        <f>IF(SER_hh_tes_in!I26=0,"",SER_hh_tes_in!I26/SER_hh_fec_in!I26)</f>
        <v>0.70607344432557884</v>
      </c>
      <c r="J26" s="138">
        <f>IF(SER_hh_tes_in!J26=0,"",SER_hh_tes_in!J26/SER_hh_fec_in!J26)</f>
        <v>0.70945105183553292</v>
      </c>
      <c r="K26" s="138">
        <f>IF(SER_hh_tes_in!K26=0,"",SER_hh_tes_in!K26/SER_hh_fec_in!K26)</f>
        <v>0.71329673350960088</v>
      </c>
      <c r="L26" s="138">
        <f>IF(SER_hh_tes_in!L26=0,"",SER_hh_tes_in!L26/SER_hh_fec_in!L26)</f>
        <v>0.71765657569504782</v>
      </c>
      <c r="M26" s="138">
        <f>IF(SER_hh_tes_in!M26=0,"",SER_hh_tes_in!M26/SER_hh_fec_in!M26)</f>
        <v>0.72555156446831603</v>
      </c>
      <c r="N26" s="138">
        <f>IF(SER_hh_tes_in!N26=0,"",SER_hh_tes_in!N26/SER_hh_fec_in!N26)</f>
        <v>0.73830907572345272</v>
      </c>
      <c r="O26" s="138">
        <f>IF(SER_hh_tes_in!O26=0,"",SER_hh_tes_in!O26/SER_hh_fec_in!O26)</f>
        <v>0.75763131419411966</v>
      </c>
      <c r="P26" s="138">
        <f>IF(SER_hh_tes_in!P26=0,"",SER_hh_tes_in!P26/SER_hh_fec_in!P26)</f>
        <v>0.78276706604212554</v>
      </c>
      <c r="Q26" s="138">
        <f>IF(SER_hh_tes_in!Q26=0,"",SER_hh_tes_in!Q26/SER_hh_fec_in!Q26)</f>
        <v>0.80743128379640505</v>
      </c>
      <c r="R26" s="138">
        <f>IF(SER_hh_tes_in!R26=0,"",SER_hh_tes_in!R26/SER_hh_fec_in!R26)</f>
        <v>0.82511196829779698</v>
      </c>
      <c r="S26" s="138">
        <f>IF(SER_hh_tes_in!S26=0,"",SER_hh_tes_in!S26/SER_hh_fec_in!S26)</f>
        <v>0.84261834810041936</v>
      </c>
      <c r="T26" s="138">
        <f>IF(SER_hh_tes_in!T26=0,"",SER_hh_tes_in!T26/SER_hh_fec_in!T26)</f>
        <v>0.85958334693916272</v>
      </c>
      <c r="U26" s="138">
        <f>IF(SER_hh_tes_in!U26=0,"",SER_hh_tes_in!U26/SER_hh_fec_in!U26)</f>
        <v>0.87551978653817042</v>
      </c>
      <c r="V26" s="138">
        <f>IF(SER_hh_tes_in!V26=0,"",SER_hh_tes_in!V26/SER_hh_fec_in!V26)</f>
        <v>0.88968023787924111</v>
      </c>
      <c r="W26" s="138">
        <f>IF(SER_hh_tes_in!W26=0,"",SER_hh_tes_in!W26/SER_hh_fec_in!W26)</f>
        <v>0.90082725063083524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0.6888636534680056</v>
      </c>
      <c r="D29" s="136">
        <f>IF(SER_hh_tes_in!D29=0,"",SER_hh_tes_in!D29/SER_hh_fec_in!D29)</f>
        <v>0.59822588343478789</v>
      </c>
      <c r="E29" s="136">
        <f>IF(SER_hh_tes_in!E29=0,"",SER_hh_tes_in!E29/SER_hh_fec_in!E29)</f>
        <v>0.64198616069263381</v>
      </c>
      <c r="F29" s="136">
        <f>IF(SER_hh_tes_in!F29=0,"",SER_hh_tes_in!F29/SER_hh_fec_in!F29)</f>
        <v>0.70392182165496819</v>
      </c>
      <c r="G29" s="136">
        <f>IF(SER_hh_tes_in!G29=0,"",SER_hh_tes_in!G29/SER_hh_fec_in!G29)</f>
        <v>0.76781588294982661</v>
      </c>
      <c r="H29" s="136">
        <f>IF(SER_hh_tes_in!H29=0,"",SER_hh_tes_in!H29/SER_hh_fec_in!H29)</f>
        <v>0.78017096313645606</v>
      </c>
      <c r="I29" s="136">
        <f>IF(SER_hh_tes_in!I29=0,"",SER_hh_tes_in!I29/SER_hh_fec_in!I29)</f>
        <v>0.71153227459182633</v>
      </c>
      <c r="J29" s="136">
        <f>IF(SER_hh_tes_in!J29=0,"",SER_hh_tes_in!J29/SER_hh_fec_in!J29)</f>
        <v>0.66720936002736198</v>
      </c>
      <c r="K29" s="136">
        <f>IF(SER_hh_tes_in!K29=0,"",SER_hh_tes_in!K29/SER_hh_fec_in!K29)</f>
        <v>0.64368734774333802</v>
      </c>
      <c r="L29" s="136">
        <f>IF(SER_hh_tes_in!L29=0,"",SER_hh_tes_in!L29/SER_hh_fec_in!L29)</f>
        <v>0.67981689651798172</v>
      </c>
      <c r="M29" s="136">
        <f>IF(SER_hh_tes_in!M29=0,"",SER_hh_tes_in!M29/SER_hh_fec_in!M29)</f>
        <v>0.72148374650238234</v>
      </c>
      <c r="N29" s="136">
        <f>IF(SER_hh_tes_in!N29=0,"",SER_hh_tes_in!N29/SER_hh_fec_in!N29)</f>
        <v>0.747616078253032</v>
      </c>
      <c r="O29" s="136">
        <f>IF(SER_hh_tes_in!O29=0,"",SER_hh_tes_in!O29/SER_hh_fec_in!O29)</f>
        <v>0.7044942710458334</v>
      </c>
      <c r="P29" s="136">
        <f>IF(SER_hh_tes_in!P29=0,"",SER_hh_tes_in!P29/SER_hh_fec_in!P29)</f>
        <v>0.68805615095863215</v>
      </c>
      <c r="Q29" s="136">
        <f>IF(SER_hh_tes_in!Q29=0,"",SER_hh_tes_in!Q29/SER_hh_fec_in!Q29)</f>
        <v>0.68658298119436723</v>
      </c>
      <c r="R29" s="136">
        <f>IF(SER_hh_tes_in!R29=0,"",SER_hh_tes_in!R29/SER_hh_fec_in!R29)</f>
        <v>0.74669678210164714</v>
      </c>
      <c r="S29" s="136">
        <f>IF(SER_hh_tes_in!S29=0,"",SER_hh_tes_in!S29/SER_hh_fec_in!S29)</f>
        <v>0.74083415697381272</v>
      </c>
      <c r="T29" s="136">
        <f>IF(SER_hh_tes_in!T29=0,"",SER_hh_tes_in!T29/SER_hh_fec_in!T29)</f>
        <v>0.75428282196310459</v>
      </c>
      <c r="U29" s="136">
        <f>IF(SER_hh_tes_in!U29=0,"",SER_hh_tes_in!U29/SER_hh_fec_in!U29)</f>
        <v>0.71289280114273323</v>
      </c>
      <c r="V29" s="136">
        <f>IF(SER_hh_tes_in!V29=0,"",SER_hh_tes_in!V29/SER_hh_fec_in!V29)</f>
        <v>0.71707851807634404</v>
      </c>
      <c r="W29" s="136">
        <f>IF(SER_hh_tes_in!W29=0,"",SER_hh_tes_in!W29/SER_hh_fec_in!W29)</f>
        <v>0.7235058482587915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0.58568784754596181</v>
      </c>
      <c r="D30" s="137">
        <f>IF(SER_hh_tes_in!D30=0,"",SER_hh_tes_in!D30/SER_hh_fec_in!D30)</f>
        <v>0.58639544295389512</v>
      </c>
      <c r="E30" s="137">
        <f>IF(SER_hh_tes_in!E30=0,"",SER_hh_tes_in!E30/SER_hh_fec_in!E30)</f>
        <v>0.58709305911014598</v>
      </c>
      <c r="F30" s="137">
        <f>IF(SER_hh_tes_in!F30=0,"",SER_hh_tes_in!F30/SER_hh_fec_in!F30)</f>
        <v>0.58778931445934923</v>
      </c>
      <c r="G30" s="137">
        <f>IF(SER_hh_tes_in!G30=0,"",SER_hh_tes_in!G30/SER_hh_fec_in!G30)</f>
        <v>0.58847637950472309</v>
      </c>
      <c r="H30" s="137" t="str">
        <f>IF(SER_hh_tes_in!H30=0,"",SER_hh_tes_in!H30/SER_hh_fec_in!H30)</f>
        <v/>
      </c>
      <c r="I30" s="137">
        <f>IF(SER_hh_tes_in!I30=0,"",SER_hh_tes_in!I30/SER_hh_fec_in!I30)</f>
        <v>0.58982388418794052</v>
      </c>
      <c r="J30" s="137">
        <f>IF(SER_hh_tes_in!J30=0,"",SER_hh_tes_in!J30/SER_hh_fec_in!J30)</f>
        <v>0.59047449143428821</v>
      </c>
      <c r="K30" s="137">
        <f>IF(SER_hh_tes_in!K30=0,"",SER_hh_tes_in!K30/SER_hh_fec_in!K30)</f>
        <v>0.59110031441448141</v>
      </c>
      <c r="L30" s="137">
        <f>IF(SER_hh_tes_in!L30=0,"",SER_hh_tes_in!L30/SER_hh_fec_in!L30)</f>
        <v>0.59169955530610419</v>
      </c>
      <c r="M30" s="137">
        <f>IF(SER_hh_tes_in!M30=0,"",SER_hh_tes_in!M30/SER_hh_fec_in!M30)</f>
        <v>0.59202202624370093</v>
      </c>
      <c r="N30" s="137">
        <f>IF(SER_hh_tes_in!N30=0,"",SER_hh_tes_in!N30/SER_hh_fec_in!N30)</f>
        <v>0.59202202624370093</v>
      </c>
      <c r="O30" s="137">
        <f>IF(SER_hh_tes_in!O30=0,"",SER_hh_tes_in!O30/SER_hh_fec_in!O30)</f>
        <v>0.59202202624370093</v>
      </c>
      <c r="P30" s="137">
        <f>IF(SER_hh_tes_in!P30=0,"",SER_hh_tes_in!P30/SER_hh_fec_in!P30)</f>
        <v>0.59202202624370093</v>
      </c>
      <c r="Q30" s="137">
        <f>IF(SER_hh_tes_in!Q30=0,"",SER_hh_tes_in!Q30/SER_hh_fec_in!Q30)</f>
        <v>0.59202202624370093</v>
      </c>
      <c r="R30" s="137">
        <f>IF(SER_hh_tes_in!R30=0,"",SER_hh_tes_in!R30/SER_hh_fec_in!R30)</f>
        <v>0.59405930039534172</v>
      </c>
      <c r="S30" s="137">
        <f>IF(SER_hh_tes_in!S30=0,"",SER_hh_tes_in!S30/SER_hh_fec_in!S30)</f>
        <v>0.59739070522720972</v>
      </c>
      <c r="T30" s="137">
        <f>IF(SER_hh_tes_in!T30=0,"",SER_hh_tes_in!T30/SER_hh_fec_in!T30)</f>
        <v>0.6012773441977195</v>
      </c>
      <c r="U30" s="137">
        <f>IF(SER_hh_tes_in!U30=0,"",SER_hh_tes_in!U30/SER_hh_fec_in!U30)</f>
        <v>0.60530279170289114</v>
      </c>
      <c r="V30" s="137">
        <f>IF(SER_hh_tes_in!V30=0,"",SER_hh_tes_in!V30/SER_hh_fec_in!V30)</f>
        <v>0.60905062213874073</v>
      </c>
      <c r="W30" s="137">
        <f>IF(SER_hh_tes_in!W30=0,"",SER_hh_tes_in!W30/SER_hh_fec_in!W30)</f>
        <v>0.61252083550526626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0.58892901381365503</v>
      </c>
      <c r="D31" s="137">
        <f>IF(SER_hh_tes_in!D31=0,"",SER_hh_tes_in!D31/SER_hh_fec_in!D31)</f>
        <v>0.58979251073737837</v>
      </c>
      <c r="E31" s="137">
        <f>IF(SER_hh_tes_in!E31=0,"",SER_hh_tes_in!E31/SER_hh_fec_in!E31)</f>
        <v>0.59064382972292928</v>
      </c>
      <c r="F31" s="137">
        <f>IF(SER_hh_tes_in!F31=0,"",SER_hh_tes_in!F31/SER_hh_fec_in!F31)</f>
        <v>0.59149348808054758</v>
      </c>
      <c r="G31" s="137" t="str">
        <f>IF(SER_hh_tes_in!G31=0,"",SER_hh_tes_in!G31/SER_hh_fec_in!G31)</f>
        <v/>
      </c>
      <c r="H31" s="137" t="str">
        <f>IF(SER_hh_tes_in!H31=0,"",SER_hh_tes_in!H31/SER_hh_fec_in!H31)</f>
        <v/>
      </c>
      <c r="I31" s="137">
        <f>IF(SER_hh_tes_in!I31=0,"",SER_hh_tes_in!I31/SER_hh_fec_in!I31)</f>
        <v>0.59397632598769334</v>
      </c>
      <c r="J31" s="137">
        <f>IF(SER_hh_tes_in!J31=0,"",SER_hh_tes_in!J31/SER_hh_fec_in!J31)</f>
        <v>0.59477027878822708</v>
      </c>
      <c r="K31" s="137">
        <f>IF(SER_hh_tes_in!K31=0,"",SER_hh_tes_in!K31/SER_hh_fec_in!K31)</f>
        <v>0.59553398670963709</v>
      </c>
      <c r="L31" s="137">
        <f>IF(SER_hh_tes_in!L31=0,"",SER_hh_tes_in!L31/SER_hh_fec_in!L31)</f>
        <v>0.59626525582286782</v>
      </c>
      <c r="M31" s="137">
        <f>IF(SER_hh_tes_in!M31=0,"",SER_hh_tes_in!M31/SER_hh_fec_in!M31)</f>
        <v>0.5966587754238758</v>
      </c>
      <c r="N31" s="137">
        <f>IF(SER_hh_tes_in!N31=0,"",SER_hh_tes_in!N31/SER_hh_fec_in!N31)</f>
        <v>0.5966587754238758</v>
      </c>
      <c r="O31" s="137">
        <f>IF(SER_hh_tes_in!O31=0,"",SER_hh_tes_in!O31/SER_hh_fec_in!O31)</f>
        <v>0.5966587754238758</v>
      </c>
      <c r="P31" s="137">
        <f>IF(SER_hh_tes_in!P31=0,"",SER_hh_tes_in!P31/SER_hh_fec_in!P31)</f>
        <v>0.5966587754238758</v>
      </c>
      <c r="Q31" s="137">
        <f>IF(SER_hh_tes_in!Q31=0,"",SER_hh_tes_in!Q31/SER_hh_fec_in!Q31)</f>
        <v>0.5966587754238758</v>
      </c>
      <c r="R31" s="137">
        <f>IF(SER_hh_tes_in!R31=0,"",SER_hh_tes_in!R31/SER_hh_fec_in!R31)</f>
        <v>0.59914491360821054</v>
      </c>
      <c r="S31" s="137">
        <f>IF(SER_hh_tes_in!S31=0,"",SER_hh_tes_in!S31/SER_hh_fec_in!S31)</f>
        <v>0.6032103128345806</v>
      </c>
      <c r="T31" s="137">
        <f>IF(SER_hh_tes_in!T31=0,"",SER_hh_tes_in!T31/SER_hh_fec_in!T31)</f>
        <v>0.60795327859867543</v>
      </c>
      <c r="U31" s="137">
        <f>IF(SER_hh_tes_in!U31=0,"",SER_hh_tes_in!U31/SER_hh_fec_in!U31)</f>
        <v>0.61286563599720312</v>
      </c>
      <c r="V31" s="137">
        <f>IF(SER_hh_tes_in!V31=0,"",SER_hh_tes_in!V31/SER_hh_fec_in!V31)</f>
        <v>0.61743921012686676</v>
      </c>
      <c r="W31" s="137">
        <f>IF(SER_hh_tes_in!W31=0,"",SER_hh_tes_in!W31/SER_hh_fec_in!W31)</f>
        <v>0.62167400098766445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0.77390695523570152</v>
      </c>
      <c r="D33" s="150">
        <f>IF(SER_hh_tes_in!D33=0,"",SER_hh_tes_in!D33/SER_hh_fec_in!D33)</f>
        <v>0.77509745796494112</v>
      </c>
      <c r="E33" s="150">
        <f>IF(SER_hh_tes_in!E33=0,"",SER_hh_tes_in!E33/SER_hh_fec_in!E33)</f>
        <v>0.77633198259954739</v>
      </c>
      <c r="F33" s="150">
        <f>IF(SER_hh_tes_in!F33=0,"",SER_hh_tes_in!F33/SER_hh_fec_in!F33)</f>
        <v>0.77757251022124918</v>
      </c>
      <c r="G33" s="150">
        <f>IF(SER_hh_tes_in!G33=0,"",SER_hh_tes_in!G33/SER_hh_fec_in!G33)</f>
        <v>0.77885357942846711</v>
      </c>
      <c r="H33" s="150">
        <f>IF(SER_hh_tes_in!H33=0,"",SER_hh_tes_in!H33/SER_hh_fec_in!H33)</f>
        <v>0.78017096313645606</v>
      </c>
      <c r="I33" s="150">
        <f>IF(SER_hh_tes_in!I33=0,"",SER_hh_tes_in!I33/SER_hh_fec_in!I33)</f>
        <v>0.78153317165687564</v>
      </c>
      <c r="J33" s="150">
        <f>IF(SER_hh_tes_in!J33=0,"",SER_hh_tes_in!J33/SER_hh_fec_in!J33)</f>
        <v>0.78297506873272804</v>
      </c>
      <c r="K33" s="150">
        <f>IF(SER_hh_tes_in!K33=0,"",SER_hh_tes_in!K33/SER_hh_fec_in!K33)</f>
        <v>0.78452629771581961</v>
      </c>
      <c r="L33" s="150">
        <f>IF(SER_hh_tes_in!L33=0,"",SER_hh_tes_in!L33/SER_hh_fec_in!L33)</f>
        <v>0.78619478941807419</v>
      </c>
      <c r="M33" s="150">
        <f>IF(SER_hh_tes_in!M33=0,"",SER_hh_tes_in!M33/SER_hh_fec_in!M33)</f>
        <v>0.78846482622122138</v>
      </c>
      <c r="N33" s="150">
        <f>IF(SER_hh_tes_in!N33=0,"",SER_hh_tes_in!N33/SER_hh_fec_in!N33)</f>
        <v>0.79147372818415673</v>
      </c>
      <c r="O33" s="150">
        <f>IF(SER_hh_tes_in!O33=0,"",SER_hh_tes_in!O33/SER_hh_fec_in!O33)</f>
        <v>0.79555538617026078</v>
      </c>
      <c r="P33" s="150">
        <f>IF(SER_hh_tes_in!P33=0,"",SER_hh_tes_in!P33/SER_hh_fec_in!P33)</f>
        <v>0.80088516267453302</v>
      </c>
      <c r="Q33" s="150">
        <f>IF(SER_hh_tes_in!Q33=0,"",SER_hh_tes_in!Q33/SER_hh_fec_in!Q33)</f>
        <v>0.80775453448689682</v>
      </c>
      <c r="R33" s="150">
        <f>IF(SER_hh_tes_in!R33=0,"",SER_hh_tes_in!R33/SER_hh_fec_in!R33)</f>
        <v>0.81709925561614738</v>
      </c>
      <c r="S33" s="150">
        <f>IF(SER_hh_tes_in!S33=0,"",SER_hh_tes_in!S33/SER_hh_fec_in!S33)</f>
        <v>0.82876234161289142</v>
      </c>
      <c r="T33" s="150">
        <f>IF(SER_hh_tes_in!T33=0,"",SER_hh_tes_in!T33/SER_hh_fec_in!T33)</f>
        <v>0.84130205061189123</v>
      </c>
      <c r="U33" s="150">
        <f>IF(SER_hh_tes_in!U33=0,"",SER_hh_tes_in!U33/SER_hh_fec_in!U33)</f>
        <v>0.85327664074794474</v>
      </c>
      <c r="V33" s="150">
        <f>IF(SER_hh_tes_in!V33=0,"",SER_hh_tes_in!V33/SER_hh_fec_in!V33)</f>
        <v>0.86324437015583355</v>
      </c>
      <c r="W33" s="150">
        <f>IF(SER_hh_tes_in!W33=0,"",SER_hh_tes_in!W33/SER_hh_fec_in!W33)</f>
        <v>0.87069880141696121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352.64232297621317</v>
      </c>
      <c r="D3" s="126">
        <f t="shared" si="0"/>
        <v>376.5212230962029</v>
      </c>
      <c r="E3" s="126">
        <f t="shared" si="0"/>
        <v>482.95865793184532</v>
      </c>
      <c r="F3" s="126">
        <f t="shared" si="0"/>
        <v>396.70118387974054</v>
      </c>
      <c r="G3" s="126">
        <f t="shared" si="0"/>
        <v>397.41583094835738</v>
      </c>
      <c r="H3" s="126">
        <f t="shared" si="0"/>
        <v>358.0452971295523</v>
      </c>
      <c r="I3" s="126">
        <f t="shared" si="0"/>
        <v>455.6136550560982</v>
      </c>
      <c r="J3" s="126">
        <f t="shared" si="0"/>
        <v>442.24272207259787</v>
      </c>
      <c r="K3" s="126">
        <f t="shared" si="0"/>
        <v>265.01891499837853</v>
      </c>
      <c r="L3" s="126">
        <f t="shared" si="0"/>
        <v>338.22949077717465</v>
      </c>
      <c r="M3" s="126">
        <f t="shared" si="0"/>
        <v>277.16141374711731</v>
      </c>
      <c r="N3" s="126">
        <f t="shared" si="0"/>
        <v>219.63700452766662</v>
      </c>
      <c r="O3" s="126">
        <f t="shared" si="0"/>
        <v>218.99769245703044</v>
      </c>
      <c r="P3" s="126">
        <f t="shared" si="0"/>
        <v>271.00530480179441</v>
      </c>
      <c r="Q3" s="126">
        <f t="shared" si="0"/>
        <v>57.272577808053242</v>
      </c>
      <c r="R3" s="126">
        <f t="shared" ref="R3:W3" si="1">SUM(R4,R16,R19,R29)</f>
        <v>169.22148170262926</v>
      </c>
      <c r="S3" s="126">
        <f t="shared" si="1"/>
        <v>204.77910021378636</v>
      </c>
      <c r="T3" s="126">
        <f t="shared" si="1"/>
        <v>224.56448870034581</v>
      </c>
      <c r="U3" s="126">
        <f t="shared" si="1"/>
        <v>226.2810616242659</v>
      </c>
      <c r="V3" s="126">
        <f t="shared" si="1"/>
        <v>187.18746456197877</v>
      </c>
      <c r="W3" s="126">
        <f t="shared" si="1"/>
        <v>164.38390650934849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278.43880861077878</v>
      </c>
      <c r="D4" s="131">
        <f t="shared" si="2"/>
        <v>244.79995524486509</v>
      </c>
      <c r="E4" s="131">
        <f t="shared" si="2"/>
        <v>381.15821400637719</v>
      </c>
      <c r="F4" s="131">
        <f t="shared" si="2"/>
        <v>336.44217472220805</v>
      </c>
      <c r="G4" s="131">
        <f t="shared" si="2"/>
        <v>365.05076944886787</v>
      </c>
      <c r="H4" s="131">
        <f t="shared" si="2"/>
        <v>329.27484805245695</v>
      </c>
      <c r="I4" s="131">
        <f t="shared" si="2"/>
        <v>387.39488695185361</v>
      </c>
      <c r="J4" s="131">
        <f t="shared" si="2"/>
        <v>357.20951205682121</v>
      </c>
      <c r="K4" s="131">
        <f t="shared" si="2"/>
        <v>200.62322839689898</v>
      </c>
      <c r="L4" s="131">
        <f t="shared" si="2"/>
        <v>266.55926589580537</v>
      </c>
      <c r="M4" s="131">
        <f t="shared" si="2"/>
        <v>214.20969957166798</v>
      </c>
      <c r="N4" s="131">
        <f t="shared" si="2"/>
        <v>179.85104693119646</v>
      </c>
      <c r="O4" s="131">
        <f t="shared" si="2"/>
        <v>171.3494557176879</v>
      </c>
      <c r="P4" s="131">
        <f t="shared" si="2"/>
        <v>199.36206410108002</v>
      </c>
      <c r="Q4" s="131">
        <f t="shared" si="2"/>
        <v>37.103178563271435</v>
      </c>
      <c r="R4" s="131">
        <f t="shared" ref="R4:W4" si="3">SUM(R5:R15)</f>
        <v>128.67937984774201</v>
      </c>
      <c r="S4" s="131">
        <f t="shared" si="3"/>
        <v>156.880270851967</v>
      </c>
      <c r="T4" s="131">
        <f t="shared" si="3"/>
        <v>178.61450711977693</v>
      </c>
      <c r="U4" s="131">
        <f t="shared" si="3"/>
        <v>159.41885648158066</v>
      </c>
      <c r="V4" s="131">
        <f t="shared" si="3"/>
        <v>126.30131536229457</v>
      </c>
      <c r="W4" s="131">
        <f t="shared" si="3"/>
        <v>105.06392096273282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7.4920414815459866</v>
      </c>
      <c r="G5" s="133">
        <v>20.296100913617632</v>
      </c>
      <c r="H5" s="133">
        <v>19.325853699468137</v>
      </c>
      <c r="I5" s="133">
        <v>12.674658042421695</v>
      </c>
      <c r="J5" s="133">
        <v>4.8001454473182807</v>
      </c>
      <c r="K5" s="133">
        <v>0</v>
      </c>
      <c r="L5" s="133">
        <v>0</v>
      </c>
      <c r="M5" s="133">
        <v>0</v>
      </c>
      <c r="N5" s="133">
        <v>0</v>
      </c>
      <c r="O5" s="133">
        <v>1.0859277439182282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1.0807345157292716</v>
      </c>
      <c r="V5" s="133">
        <v>2.038131378340287</v>
      </c>
      <c r="W5" s="133">
        <v>2.7037915491651865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172.38022908153224</v>
      </c>
      <c r="D7" s="133">
        <v>44.706975999171831</v>
      </c>
      <c r="E7" s="133">
        <v>73.852749545362755</v>
      </c>
      <c r="F7" s="133">
        <v>91.691219806937426</v>
      </c>
      <c r="G7" s="133">
        <v>109.66354062043753</v>
      </c>
      <c r="H7" s="133">
        <v>168.99613359046663</v>
      </c>
      <c r="I7" s="133">
        <v>147.15168365841643</v>
      </c>
      <c r="J7" s="133">
        <v>177.96235790970994</v>
      </c>
      <c r="K7" s="133">
        <v>84.844063354731531</v>
      </c>
      <c r="L7" s="133">
        <v>63.317523776499598</v>
      </c>
      <c r="M7" s="133">
        <v>90.726912880554849</v>
      </c>
      <c r="N7" s="133">
        <v>71.447683412334626</v>
      </c>
      <c r="O7" s="133">
        <v>75.950269180803332</v>
      </c>
      <c r="P7" s="133">
        <v>48.951892391301449</v>
      </c>
      <c r="Q7" s="133">
        <v>9.7614268150172077</v>
      </c>
      <c r="R7" s="133">
        <v>13.733888090156784</v>
      </c>
      <c r="S7" s="133">
        <v>37.251837218336249</v>
      </c>
      <c r="T7" s="133">
        <v>40.538867600939085</v>
      </c>
      <c r="U7" s="133">
        <v>47.792361662828029</v>
      </c>
      <c r="V7" s="133">
        <v>45.17331726376149</v>
      </c>
      <c r="W7" s="133">
        <v>26.564219865550278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0.10303235935911605</v>
      </c>
      <c r="D8" s="133">
        <v>0.22662256210496101</v>
      </c>
      <c r="E8" s="133">
        <v>0.40479657157753068</v>
      </c>
      <c r="F8" s="133">
        <v>0.55304466292428089</v>
      </c>
      <c r="G8" s="133">
        <v>1.0425722592116475</v>
      </c>
      <c r="H8" s="133">
        <v>0.94130678936243561</v>
      </c>
      <c r="I8" s="133">
        <v>0.75603119917615935</v>
      </c>
      <c r="J8" s="133">
        <v>0.40641871964551779</v>
      </c>
      <c r="K8" s="133">
        <v>0.30842747383660912</v>
      </c>
      <c r="L8" s="133">
        <v>0.77773590188637609</v>
      </c>
      <c r="M8" s="133">
        <v>2.2331914236730173</v>
      </c>
      <c r="N8" s="133">
        <v>1.2362553697143475</v>
      </c>
      <c r="O8" s="133">
        <v>1.5159798669194469</v>
      </c>
      <c r="P8" s="133">
        <v>3.265506186539024</v>
      </c>
      <c r="Q8" s="133">
        <v>0.78053972567356855</v>
      </c>
      <c r="R8" s="133">
        <v>1.4372456664095077</v>
      </c>
      <c r="S8" s="133">
        <v>0.87330074611183228</v>
      </c>
      <c r="T8" s="133">
        <v>0.75054484889276984</v>
      </c>
      <c r="U8" s="133">
        <v>0.63921921593895525</v>
      </c>
      <c r="V8" s="133">
        <v>0.3878922748224421</v>
      </c>
      <c r="W8" s="133">
        <v>0.39371811668093065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80.974501036473796</v>
      </c>
      <c r="D9" s="133">
        <v>166.92074672466214</v>
      </c>
      <c r="E9" s="133">
        <v>288.78441402065772</v>
      </c>
      <c r="F9" s="133">
        <v>236.70586877080035</v>
      </c>
      <c r="G9" s="133">
        <v>234.04855565560106</v>
      </c>
      <c r="H9" s="133">
        <v>140.01155397315972</v>
      </c>
      <c r="I9" s="133">
        <v>217.77501402535677</v>
      </c>
      <c r="J9" s="133">
        <v>159.69119594437592</v>
      </c>
      <c r="K9" s="133">
        <v>109.38236348633799</v>
      </c>
      <c r="L9" s="133">
        <v>200.50987326199993</v>
      </c>
      <c r="M9" s="133">
        <v>120.40392908437235</v>
      </c>
      <c r="N9" s="133">
        <v>102.89015057067691</v>
      </c>
      <c r="O9" s="133">
        <v>85.519376598508828</v>
      </c>
      <c r="P9" s="133">
        <v>138.18603682460613</v>
      </c>
      <c r="Q9" s="133">
        <v>25.647442093273433</v>
      </c>
      <c r="R9" s="133">
        <v>110.29684105914384</v>
      </c>
      <c r="S9" s="133">
        <v>115.76084792757342</v>
      </c>
      <c r="T9" s="133">
        <v>135.20466719859439</v>
      </c>
      <c r="U9" s="133">
        <v>107.55996830367326</v>
      </c>
      <c r="V9" s="133">
        <v>75.17767791410769</v>
      </c>
      <c r="W9" s="133">
        <v>72.015556677477292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24.981046133413649</v>
      </c>
      <c r="D10" s="133">
        <v>32.945609958926163</v>
      </c>
      <c r="E10" s="133">
        <v>18.116253868779165</v>
      </c>
      <c r="F10" s="133">
        <v>0</v>
      </c>
      <c r="G10" s="133">
        <v>0</v>
      </c>
      <c r="H10" s="133">
        <v>0</v>
      </c>
      <c r="I10" s="133">
        <v>9.0375000264825385</v>
      </c>
      <c r="J10" s="133">
        <v>14.349394035771571</v>
      </c>
      <c r="K10" s="133">
        <v>6.0883740819928533</v>
      </c>
      <c r="L10" s="133">
        <v>1.9541329554194922</v>
      </c>
      <c r="M10" s="133">
        <v>0.84566618306778851</v>
      </c>
      <c r="N10" s="133">
        <v>4.2769575784705811</v>
      </c>
      <c r="O10" s="133">
        <v>7.2779023275380386</v>
      </c>
      <c r="P10" s="133">
        <v>8.9586286986334063</v>
      </c>
      <c r="Q10" s="133">
        <v>0.91376992930722567</v>
      </c>
      <c r="R10" s="133">
        <v>3.211405032031879</v>
      </c>
      <c r="S10" s="133">
        <v>2.9942849599455088</v>
      </c>
      <c r="T10" s="133">
        <v>2.1204274713507028</v>
      </c>
      <c r="U10" s="133">
        <v>2.3465727834111534</v>
      </c>
      <c r="V10" s="133">
        <v>3.5242965312626691</v>
      </c>
      <c r="W10" s="133">
        <v>3.3866347538591413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0.33555527820507225</v>
      </c>
      <c r="D16" s="131">
        <f t="shared" si="4"/>
        <v>0.29727015795814216</v>
      </c>
      <c r="E16" s="131">
        <f t="shared" si="4"/>
        <v>1.1997044347223431</v>
      </c>
      <c r="F16" s="131">
        <f t="shared" si="4"/>
        <v>0.26047817533402307</v>
      </c>
      <c r="G16" s="131">
        <f t="shared" si="4"/>
        <v>0.13676678250260346</v>
      </c>
      <c r="H16" s="131">
        <f t="shared" si="4"/>
        <v>1.1734020642502918</v>
      </c>
      <c r="I16" s="131">
        <f t="shared" si="4"/>
        <v>0.59670261100012778</v>
      </c>
      <c r="J16" s="131">
        <f t="shared" si="4"/>
        <v>0.7717759035743742</v>
      </c>
      <c r="K16" s="131">
        <f t="shared" si="4"/>
        <v>0.3602876432623342</v>
      </c>
      <c r="L16" s="131">
        <f t="shared" si="4"/>
        <v>0.90180768489706298</v>
      </c>
      <c r="M16" s="131">
        <f t="shared" si="4"/>
        <v>1.7090402218725236</v>
      </c>
      <c r="N16" s="131">
        <f t="shared" si="4"/>
        <v>2.1454899211818508</v>
      </c>
      <c r="O16" s="131">
        <f t="shared" si="4"/>
        <v>1.4430602718661063</v>
      </c>
      <c r="P16" s="131">
        <f t="shared" si="4"/>
        <v>1.1353539543401385</v>
      </c>
      <c r="Q16" s="131">
        <f t="shared" si="4"/>
        <v>0.78834878244259843</v>
      </c>
      <c r="R16" s="131">
        <f t="shared" ref="R16:W16" si="5">SUM(R17:R18)</f>
        <v>1.4485729245309082</v>
      </c>
      <c r="S16" s="131">
        <f t="shared" si="5"/>
        <v>2.3140028984380989</v>
      </c>
      <c r="T16" s="131">
        <f t="shared" si="5"/>
        <v>2.2042483140157967</v>
      </c>
      <c r="U16" s="131">
        <f t="shared" si="5"/>
        <v>2.4383380648414441</v>
      </c>
      <c r="V16" s="131">
        <f t="shared" si="5"/>
        <v>2.6775880346827194</v>
      </c>
      <c r="W16" s="131">
        <f t="shared" si="5"/>
        <v>1.2067417498835555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0.33555527820507225</v>
      </c>
      <c r="D17" s="133">
        <v>0.29727015795814216</v>
      </c>
      <c r="E17" s="133">
        <v>1.1997044347223431</v>
      </c>
      <c r="F17" s="133">
        <v>0.26047817533402307</v>
      </c>
      <c r="G17" s="133">
        <v>0.13676678250260346</v>
      </c>
      <c r="H17" s="133">
        <v>1.1734020642502918</v>
      </c>
      <c r="I17" s="133">
        <v>0.59670261100012778</v>
      </c>
      <c r="J17" s="133">
        <v>0.7717759035743742</v>
      </c>
      <c r="K17" s="133">
        <v>0.3602876432623342</v>
      </c>
      <c r="L17" s="133">
        <v>0.90180768489706298</v>
      </c>
      <c r="M17" s="133">
        <v>1.7090402218725236</v>
      </c>
      <c r="N17" s="133">
        <v>2.1454899211818508</v>
      </c>
      <c r="O17" s="133">
        <v>1.4430602718661063</v>
      </c>
      <c r="P17" s="133">
        <v>1.1353539543401385</v>
      </c>
      <c r="Q17" s="133">
        <v>0.78834878244259843</v>
      </c>
      <c r="R17" s="133">
        <v>1.4485729245309082</v>
      </c>
      <c r="S17" s="133">
        <v>2.3140028984380989</v>
      </c>
      <c r="T17" s="133">
        <v>2.2042483140157967</v>
      </c>
      <c r="U17" s="133">
        <v>2.4383380648414441</v>
      </c>
      <c r="V17" s="133">
        <v>2.6775880346827194</v>
      </c>
      <c r="W17" s="133">
        <v>1.2067417498835555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41.322802983422569</v>
      </c>
      <c r="D19" s="131">
        <f t="shared" si="6"/>
        <v>42.320564804535636</v>
      </c>
      <c r="E19" s="131">
        <f t="shared" si="6"/>
        <v>40.638310659867756</v>
      </c>
      <c r="F19" s="131">
        <f t="shared" si="6"/>
        <v>32.244202676700183</v>
      </c>
      <c r="G19" s="131">
        <f t="shared" si="6"/>
        <v>27.6786509037554</v>
      </c>
      <c r="H19" s="131">
        <f t="shared" si="6"/>
        <v>27.597047012845074</v>
      </c>
      <c r="I19" s="131">
        <f t="shared" si="6"/>
        <v>32.95333381684086</v>
      </c>
      <c r="J19" s="131">
        <f t="shared" si="6"/>
        <v>32.418792423408163</v>
      </c>
      <c r="K19" s="131">
        <f t="shared" si="6"/>
        <v>23.715572387311894</v>
      </c>
      <c r="L19" s="131">
        <f t="shared" si="6"/>
        <v>27.254164069710441</v>
      </c>
      <c r="M19" s="131">
        <f t="shared" si="6"/>
        <v>33.961331622763815</v>
      </c>
      <c r="N19" s="131">
        <f t="shared" si="6"/>
        <v>25.821189576913792</v>
      </c>
      <c r="O19" s="131">
        <f t="shared" si="6"/>
        <v>23.099330721107489</v>
      </c>
      <c r="P19" s="131">
        <f t="shared" si="6"/>
        <v>24.191780935788383</v>
      </c>
      <c r="Q19" s="131">
        <f t="shared" si="6"/>
        <v>7.16451693518386</v>
      </c>
      <c r="R19" s="131">
        <f t="shared" ref="R19:W19" si="7">SUM(R20:R27)</f>
        <v>17.374811585989196</v>
      </c>
      <c r="S19" s="131">
        <f t="shared" si="7"/>
        <v>18.122822260706929</v>
      </c>
      <c r="T19" s="131">
        <f t="shared" si="7"/>
        <v>15.503598386265992</v>
      </c>
      <c r="U19" s="131">
        <f t="shared" si="7"/>
        <v>17.976800351934017</v>
      </c>
      <c r="V19" s="131">
        <f t="shared" si="7"/>
        <v>17.687982016944176</v>
      </c>
      <c r="W19" s="131">
        <f t="shared" si="7"/>
        <v>14.794275737267467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3.7939922925577467</v>
      </c>
      <c r="D21" s="133">
        <v>4.8924431837640849</v>
      </c>
      <c r="E21" s="133">
        <v>4.1371383893500244</v>
      </c>
      <c r="F21" s="133">
        <v>3.0902517292496632</v>
      </c>
      <c r="G21" s="133">
        <v>2.5860926942528688</v>
      </c>
      <c r="H21" s="133">
        <v>3.2792600874858522</v>
      </c>
      <c r="I21" s="133">
        <v>3.3959794534558294</v>
      </c>
      <c r="J21" s="133">
        <v>2.6273411087979897</v>
      </c>
      <c r="K21" s="133">
        <v>1.41493187653674</v>
      </c>
      <c r="L21" s="133">
        <v>1.3754284708287232</v>
      </c>
      <c r="M21" s="133">
        <v>1.7114534251289135</v>
      </c>
      <c r="N21" s="133">
        <v>1.2032128009671839</v>
      </c>
      <c r="O21" s="133">
        <v>1.169666094184509</v>
      </c>
      <c r="P21" s="133">
        <v>1.55033886478114</v>
      </c>
      <c r="Q21" s="133">
        <v>0.42336627795215676</v>
      </c>
      <c r="R21" s="133">
        <v>0.64761164291274398</v>
      </c>
      <c r="S21" s="133">
        <v>0.39271679111381225</v>
      </c>
      <c r="T21" s="133">
        <v>0</v>
      </c>
      <c r="U21" s="133">
        <v>0</v>
      </c>
      <c r="V21" s="133">
        <v>0.61587032763430982</v>
      </c>
      <c r="W21" s="133">
        <v>1.1902785319084763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22.148097955844783</v>
      </c>
      <c r="D22" s="133">
        <v>20.744019873065099</v>
      </c>
      <c r="E22" s="133">
        <v>20.660940857045347</v>
      </c>
      <c r="F22" s="133">
        <v>17.835389081387657</v>
      </c>
      <c r="G22" s="133">
        <v>16.35304348051341</v>
      </c>
      <c r="H22" s="133">
        <v>14.359544712486539</v>
      </c>
      <c r="I22" s="133">
        <v>14.121691623701189</v>
      </c>
      <c r="J22" s="133">
        <v>14.692659798355148</v>
      </c>
      <c r="K22" s="133">
        <v>8.8720488385745373</v>
      </c>
      <c r="L22" s="133">
        <v>13.387383959364394</v>
      </c>
      <c r="M22" s="133">
        <v>17.027390955600691</v>
      </c>
      <c r="N22" s="133">
        <v>17.104233421385523</v>
      </c>
      <c r="O22" s="133">
        <v>14.087877884040582</v>
      </c>
      <c r="P22" s="133">
        <v>15.046849157343431</v>
      </c>
      <c r="Q22" s="133">
        <v>3.9336135173155844</v>
      </c>
      <c r="R22" s="133">
        <v>3.465093341125645</v>
      </c>
      <c r="S22" s="133">
        <v>8.274033689403625</v>
      </c>
      <c r="T22" s="133">
        <v>5.1449992319794591</v>
      </c>
      <c r="U22" s="133">
        <v>6.238782552579889</v>
      </c>
      <c r="V22" s="133">
        <v>6.3782545365509264</v>
      </c>
      <c r="W22" s="133">
        <v>2.5834804159974309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14.761648846695124</v>
      </c>
      <c r="D23" s="133">
        <v>15.830964613398402</v>
      </c>
      <c r="E23" s="133">
        <v>14.94461085698223</v>
      </c>
      <c r="F23" s="133">
        <v>10.368762739932732</v>
      </c>
      <c r="G23" s="133">
        <v>8.282421694623352</v>
      </c>
      <c r="H23" s="133">
        <v>9.3810437818026386</v>
      </c>
      <c r="I23" s="133">
        <v>14.490773762118481</v>
      </c>
      <c r="J23" s="133">
        <v>14.384122668498559</v>
      </c>
      <c r="K23" s="133">
        <v>13.074183780065431</v>
      </c>
      <c r="L23" s="133">
        <v>12.301680604703575</v>
      </c>
      <c r="M23" s="133">
        <v>15.222487242034211</v>
      </c>
      <c r="N23" s="133">
        <v>7.4788391074414982</v>
      </c>
      <c r="O23" s="133">
        <v>7.6653967952051403</v>
      </c>
      <c r="P23" s="133">
        <v>7.5945929136638144</v>
      </c>
      <c r="Q23" s="133">
        <v>2.8075371399161186</v>
      </c>
      <c r="R23" s="133">
        <v>13.154300312418529</v>
      </c>
      <c r="S23" s="133">
        <v>9.172015606188479</v>
      </c>
      <c r="T23" s="133">
        <v>10.020928844205377</v>
      </c>
      <c r="U23" s="133">
        <v>11.324973799876977</v>
      </c>
      <c r="V23" s="133">
        <v>10.125271336482863</v>
      </c>
      <c r="W23" s="133">
        <v>10.548056488234121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0.61906388832491432</v>
      </c>
      <c r="D24" s="133">
        <v>0.85313713430805094</v>
      </c>
      <c r="E24" s="133">
        <v>0.89562055649015859</v>
      </c>
      <c r="F24" s="133">
        <v>0.94979912613013406</v>
      </c>
      <c r="G24" s="133">
        <v>0.45709303436577037</v>
      </c>
      <c r="H24" s="133">
        <v>0.57719843107004354</v>
      </c>
      <c r="I24" s="133">
        <v>0.94488897756536172</v>
      </c>
      <c r="J24" s="133">
        <v>0.71466884775646378</v>
      </c>
      <c r="K24" s="133">
        <v>0.35440789213518631</v>
      </c>
      <c r="L24" s="133">
        <v>0.18967103481375022</v>
      </c>
      <c r="M24" s="133">
        <v>0</v>
      </c>
      <c r="N24" s="133">
        <v>3.4904247119586458E-2</v>
      </c>
      <c r="O24" s="133">
        <v>0.17638994767725624</v>
      </c>
      <c r="P24" s="133">
        <v>0</v>
      </c>
      <c r="Q24" s="133">
        <v>0</v>
      </c>
      <c r="R24" s="133">
        <v>0.10780628953227739</v>
      </c>
      <c r="S24" s="133">
        <v>0.28405617400101063</v>
      </c>
      <c r="T24" s="133">
        <v>0.33767031008115511</v>
      </c>
      <c r="U24" s="133">
        <v>0.41304399947714887</v>
      </c>
      <c r="V24" s="133">
        <v>0.56858581627607507</v>
      </c>
      <c r="W24" s="133">
        <v>0.47246030112743953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32.545156103806789</v>
      </c>
      <c r="D29" s="131">
        <f t="shared" si="8"/>
        <v>89.103432888844026</v>
      </c>
      <c r="E29" s="131">
        <f t="shared" si="8"/>
        <v>59.962428830877997</v>
      </c>
      <c r="F29" s="131">
        <f t="shared" si="8"/>
        <v>27.754328305498269</v>
      </c>
      <c r="G29" s="131">
        <f t="shared" si="8"/>
        <v>4.5496438132315271</v>
      </c>
      <c r="H29" s="131">
        <f t="shared" si="8"/>
        <v>0</v>
      </c>
      <c r="I29" s="131">
        <f t="shared" si="8"/>
        <v>34.668731676403567</v>
      </c>
      <c r="J29" s="131">
        <f t="shared" si="8"/>
        <v>51.842641688794117</v>
      </c>
      <c r="K29" s="131">
        <f t="shared" si="8"/>
        <v>40.319826570905342</v>
      </c>
      <c r="L29" s="131">
        <f t="shared" si="8"/>
        <v>43.514253126761808</v>
      </c>
      <c r="M29" s="131">
        <f t="shared" si="8"/>
        <v>27.281342330812965</v>
      </c>
      <c r="N29" s="131">
        <f t="shared" si="8"/>
        <v>11.819278098374518</v>
      </c>
      <c r="O29" s="131">
        <f t="shared" si="8"/>
        <v>23.105845746368946</v>
      </c>
      <c r="P29" s="131">
        <f t="shared" si="8"/>
        <v>46.316105810585881</v>
      </c>
      <c r="Q29" s="131">
        <f t="shared" si="8"/>
        <v>12.216533527155347</v>
      </c>
      <c r="R29" s="131">
        <f t="shared" ref="R29:W29" si="9">SUM(R30:R33)</f>
        <v>21.718717344367153</v>
      </c>
      <c r="S29" s="131">
        <f t="shared" si="9"/>
        <v>27.462004202674322</v>
      </c>
      <c r="T29" s="131">
        <f t="shared" si="9"/>
        <v>28.242134880287111</v>
      </c>
      <c r="U29" s="131">
        <f t="shared" si="9"/>
        <v>46.447066725909764</v>
      </c>
      <c r="V29" s="131">
        <f t="shared" si="9"/>
        <v>40.520579148057287</v>
      </c>
      <c r="W29" s="131">
        <f t="shared" si="9"/>
        <v>43.318968059464638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6.5678128053173852</v>
      </c>
      <c r="D30" s="133">
        <v>62.17786134439708</v>
      </c>
      <c r="E30" s="133">
        <v>40.606395633889484</v>
      </c>
      <c r="F30" s="133">
        <v>19.326159750371833</v>
      </c>
      <c r="G30" s="133">
        <v>4.5496438132315271</v>
      </c>
      <c r="H30" s="133">
        <v>0</v>
      </c>
      <c r="I30" s="133">
        <v>11.01637779679565</v>
      </c>
      <c r="J30" s="133">
        <v>21.610434687745485</v>
      </c>
      <c r="K30" s="133">
        <v>10.493179937492327</v>
      </c>
      <c r="L30" s="133">
        <v>15.909110173285468</v>
      </c>
      <c r="M30" s="133">
        <v>5.2841589972081762</v>
      </c>
      <c r="N30" s="133">
        <v>0.86775411088466159</v>
      </c>
      <c r="O30" s="133">
        <v>5.2581190854216784</v>
      </c>
      <c r="P30" s="133">
        <v>18.139140821470299</v>
      </c>
      <c r="Q30" s="133">
        <v>5.4035486813404541</v>
      </c>
      <c r="R30" s="133">
        <v>7.8229502337676387</v>
      </c>
      <c r="S30" s="133">
        <v>9.4081090671705407</v>
      </c>
      <c r="T30" s="133">
        <v>2.9113237970169052</v>
      </c>
      <c r="U30" s="133">
        <v>12.588019313265487</v>
      </c>
      <c r="V30" s="133">
        <v>8.3184041071525385</v>
      </c>
      <c r="W30" s="133">
        <v>8.387031700491816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25.977343298489401</v>
      </c>
      <c r="D31" s="133">
        <v>26.925571544446946</v>
      </c>
      <c r="E31" s="133">
        <v>19.356033196988516</v>
      </c>
      <c r="F31" s="133">
        <v>8.4281685551264367</v>
      </c>
      <c r="G31" s="133">
        <v>0</v>
      </c>
      <c r="H31" s="133">
        <v>0</v>
      </c>
      <c r="I31" s="133">
        <v>23.652353879607915</v>
      </c>
      <c r="J31" s="133">
        <v>30.232207001048629</v>
      </c>
      <c r="K31" s="133">
        <v>29.826646633413013</v>
      </c>
      <c r="L31" s="133">
        <v>27.605142953476339</v>
      </c>
      <c r="M31" s="133">
        <v>21.997183333604788</v>
      </c>
      <c r="N31" s="133">
        <v>10.951523987489857</v>
      </c>
      <c r="O31" s="133">
        <v>17.847726660947266</v>
      </c>
      <c r="P31" s="133">
        <v>28.176964989115586</v>
      </c>
      <c r="Q31" s="133">
        <v>6.8129848458148929</v>
      </c>
      <c r="R31" s="133">
        <v>13.895767110599515</v>
      </c>
      <c r="S31" s="133">
        <v>18.05389513550378</v>
      </c>
      <c r="T31" s="133">
        <v>25.330811083270206</v>
      </c>
      <c r="U31" s="133">
        <v>33.859047412644273</v>
      </c>
      <c r="V31" s="133">
        <v>32.202175040904748</v>
      </c>
      <c r="W31" s="133">
        <v>34.93193635897282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193812.15907276561</v>
      </c>
      <c r="D3" s="126">
        <f>IF(SER_hh_fec_in!D3=0,0,11630*1000*SER_hh_fec_in!D3/SER_hh_num_in!D3)</f>
        <v>185574.42457236815</v>
      </c>
      <c r="E3" s="126">
        <f>IF(SER_hh_fec_in!E3=0,0,11630*1000*SER_hh_fec_in!E3/SER_hh_num_in!E3)</f>
        <v>205470.55957435933</v>
      </c>
      <c r="F3" s="126">
        <f>IF(SER_hh_fec_in!F3=0,0,11630*1000*SER_hh_fec_in!F3/SER_hh_num_in!F3)</f>
        <v>190367.35389802975</v>
      </c>
      <c r="G3" s="126">
        <f>IF(SER_hh_fec_in!G3=0,0,11630*1000*SER_hh_fec_in!G3/SER_hh_num_in!G3)</f>
        <v>188526.48973883066</v>
      </c>
      <c r="H3" s="126">
        <f>IF(SER_hh_fec_in!H3=0,0,11630*1000*SER_hh_fec_in!H3/SER_hh_num_in!H3)</f>
        <v>174458.28512811265</v>
      </c>
      <c r="I3" s="126">
        <f>IF(SER_hh_fec_in!I3=0,0,11630*1000*SER_hh_fec_in!I3/SER_hh_num_in!I3)</f>
        <v>167361.78886765632</v>
      </c>
      <c r="J3" s="126">
        <f>IF(SER_hh_fec_in!J3=0,0,11630*1000*SER_hh_fec_in!J3/SER_hh_num_in!J3)</f>
        <v>164646.88255137368</v>
      </c>
      <c r="K3" s="126">
        <f>IF(SER_hh_fec_in!K3=0,0,11630*1000*SER_hh_fec_in!K3/SER_hh_num_in!K3)</f>
        <v>172734.42592091308</v>
      </c>
      <c r="L3" s="126">
        <f>IF(SER_hh_fec_in!L3=0,0,11630*1000*SER_hh_fec_in!L3/SER_hh_num_in!L3)</f>
        <v>169459.75612182979</v>
      </c>
      <c r="M3" s="126">
        <f>IF(SER_hh_fec_in!M3=0,0,11630*1000*SER_hh_fec_in!M3/SER_hh_num_in!M3)</f>
        <v>134524.23795522246</v>
      </c>
      <c r="N3" s="126">
        <f>IF(SER_hh_fec_in!N3=0,0,11630*1000*SER_hh_fec_in!N3/SER_hh_num_in!N3)</f>
        <v>144170.0761779008</v>
      </c>
      <c r="O3" s="126">
        <f>IF(SER_hh_fec_in!O3=0,0,11630*1000*SER_hh_fec_in!O3/SER_hh_num_in!O3)</f>
        <v>147687.77541888019</v>
      </c>
      <c r="P3" s="126">
        <f>IF(SER_hh_fec_in!P3=0,0,11630*1000*SER_hh_fec_in!P3/SER_hh_num_in!P3)</f>
        <v>124053.10916072554</v>
      </c>
      <c r="Q3" s="126">
        <f>IF(SER_hh_fec_in!Q3=0,0,11630*1000*SER_hh_fec_in!Q3/SER_hh_num_in!Q3)</f>
        <v>122105.51586665206</v>
      </c>
      <c r="R3" s="126">
        <f>IF(SER_hh_fec_in!R3=0,0,11630*1000*SER_hh_fec_in!R3/SER_hh_num_in!R3)</f>
        <v>117016.94234177438</v>
      </c>
      <c r="S3" s="126">
        <f>IF(SER_hh_fec_in!S3=0,0,11630*1000*SER_hh_fec_in!S3/SER_hh_num_in!S3)</f>
        <v>115187.14796717411</v>
      </c>
      <c r="T3" s="126">
        <f>IF(SER_hh_fec_in!T3=0,0,11630*1000*SER_hh_fec_in!T3/SER_hh_num_in!T3)</f>
        <v>110139.63180833348</v>
      </c>
      <c r="U3" s="126">
        <f>IF(SER_hh_fec_in!U3=0,0,11630*1000*SER_hh_fec_in!U3/SER_hh_num_in!U3)</f>
        <v>102983.98716050347</v>
      </c>
      <c r="V3" s="126">
        <f>IF(SER_hh_fec_in!V3=0,0,11630*1000*SER_hh_fec_in!V3/SER_hh_num_in!V3)</f>
        <v>90002.682738987816</v>
      </c>
      <c r="W3" s="126">
        <f>IF(SER_hh_fec_in!W3=0,0,11630*1000*SER_hh_fec_in!W3/SER_hh_num_in!W3)</f>
        <v>86468.874658421948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140250.80124055626</v>
      </c>
      <c r="D4" s="131">
        <f>IF(SER_hh_fec_in!D4=0,0,11630*1000*SER_hh_fec_in!D4/SER_hh_num_in!D4)</f>
        <v>128115.52638949889</v>
      </c>
      <c r="E4" s="131">
        <f>IF(SER_hh_fec_in!E4=0,0,11630*1000*SER_hh_fec_in!E4/SER_hh_num_in!E4)</f>
        <v>144768.23635743879</v>
      </c>
      <c r="F4" s="131">
        <f>IF(SER_hh_fec_in!F4=0,0,11630*1000*SER_hh_fec_in!F4/SER_hh_num_in!F4)</f>
        <v>140318.28610251096</v>
      </c>
      <c r="G4" s="131">
        <f>IF(SER_hh_fec_in!G4=0,0,11630*1000*SER_hh_fec_in!G4/SER_hh_num_in!G4)</f>
        <v>137839.44044190081</v>
      </c>
      <c r="H4" s="131">
        <f>IF(SER_hh_fec_in!H4=0,0,11630*1000*SER_hh_fec_in!H4/SER_hh_num_in!H4)</f>
        <v>123491.29546837708</v>
      </c>
      <c r="I4" s="131">
        <f>IF(SER_hh_fec_in!I4=0,0,11630*1000*SER_hh_fec_in!I4/SER_hh_num_in!I4)</f>
        <v>118072.87612394542</v>
      </c>
      <c r="J4" s="131">
        <f>IF(SER_hh_fec_in!J4=0,0,11630*1000*SER_hh_fec_in!J4/SER_hh_num_in!J4)</f>
        <v>114234.59542209817</v>
      </c>
      <c r="K4" s="131">
        <f>IF(SER_hh_fec_in!K4=0,0,11630*1000*SER_hh_fec_in!K4/SER_hh_num_in!K4)</f>
        <v>119242.86863373072</v>
      </c>
      <c r="L4" s="131">
        <f>IF(SER_hh_fec_in!L4=0,0,11630*1000*SER_hh_fec_in!L4/SER_hh_num_in!L4)</f>
        <v>118909.06077123604</v>
      </c>
      <c r="M4" s="131">
        <f>IF(SER_hh_fec_in!M4=0,0,11630*1000*SER_hh_fec_in!M4/SER_hh_num_in!M4)</f>
        <v>85729.949658231897</v>
      </c>
      <c r="N4" s="131">
        <f>IF(SER_hh_fec_in!N4=0,0,11630*1000*SER_hh_fec_in!N4/SER_hh_num_in!N4)</f>
        <v>96171.255390449296</v>
      </c>
      <c r="O4" s="131">
        <f>IF(SER_hh_fec_in!O4=0,0,11630*1000*SER_hh_fec_in!O4/SER_hh_num_in!O4)</f>
        <v>98931.185071011467</v>
      </c>
      <c r="P4" s="131">
        <f>IF(SER_hh_fec_in!P4=0,0,11630*1000*SER_hh_fec_in!P4/SER_hh_num_in!P4)</f>
        <v>76439.787066655248</v>
      </c>
      <c r="Q4" s="131">
        <f>IF(SER_hh_fec_in!Q4=0,0,11630*1000*SER_hh_fec_in!Q4/SER_hh_num_in!Q4)</f>
        <v>73889.804216483011</v>
      </c>
      <c r="R4" s="131">
        <f>IF(SER_hh_fec_in!R4=0,0,11630*1000*SER_hh_fec_in!R4/SER_hh_num_in!R4)</f>
        <v>71663.378391388178</v>
      </c>
      <c r="S4" s="131">
        <f>IF(SER_hh_fec_in!S4=0,0,11630*1000*SER_hh_fec_in!S4/SER_hh_num_in!S4)</f>
        <v>70337.637619198795</v>
      </c>
      <c r="T4" s="131">
        <f>IF(SER_hh_fec_in!T4=0,0,11630*1000*SER_hh_fec_in!T4/SER_hh_num_in!T4)</f>
        <v>65836.090006906496</v>
      </c>
      <c r="U4" s="131">
        <f>IF(SER_hh_fec_in!U4=0,0,11630*1000*SER_hh_fec_in!U4/SER_hh_num_in!U4)</f>
        <v>58799.946148707364</v>
      </c>
      <c r="V4" s="131">
        <f>IF(SER_hh_fec_in!V4=0,0,11630*1000*SER_hh_fec_in!V4/SER_hh_num_in!V4)</f>
        <v>49635.358271271092</v>
      </c>
      <c r="W4" s="131">
        <f>IF(SER_hh_fec_in!W4=0,0,11630*1000*SER_hh_fec_in!W4/SER_hh_num_in!W4)</f>
        <v>44805.473361751487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142144.97690204449</v>
      </c>
      <c r="G5" s="133">
        <f>IF(SER_hh_fec_in!G5=0,0,11630*1000*SER_hh_fec_in!G5/SER_hh_num_in!G5)</f>
        <v>142530.32827809887</v>
      </c>
      <c r="H5" s="133">
        <f>IF(SER_hh_fec_in!H5=0,0,11630*1000*SER_hh_fec_in!H5/SER_hh_num_in!H5)</f>
        <v>133612.15719703041</v>
      </c>
      <c r="I5" s="133">
        <f>IF(SER_hh_fec_in!I5=0,0,11630*1000*SER_hh_fec_in!I5/SER_hh_num_in!I5)</f>
        <v>125926.57314761293</v>
      </c>
      <c r="J5" s="133">
        <f>IF(SER_hh_fec_in!J5=0,0,11630*1000*SER_hh_fec_in!J5/SER_hh_num_in!J5)</f>
        <v>117566.88341308793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112007.29432042006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60576.545472395053</v>
      </c>
      <c r="V5" s="133">
        <f>IF(SER_hh_fec_in!V5=0,0,11630*1000*SER_hh_fec_in!V5/SER_hh_num_in!V5)</f>
        <v>50668.348602257385</v>
      </c>
      <c r="W5" s="133">
        <f>IF(SER_hh_fec_in!W5=0,0,11630*1000*SER_hh_fec_in!W5/SER_hh_num_in!W5)</f>
        <v>50588.230849738189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183156.65653426151</v>
      </c>
      <c r="D7" s="133">
        <f>IF(SER_hh_fec_in!D7=0,0,11630*1000*SER_hh_fec_in!D7/SER_hh_num_in!D7)</f>
        <v>159254.88496152597</v>
      </c>
      <c r="E7" s="133">
        <f>IF(SER_hh_fec_in!E7=0,0,11630*1000*SER_hh_fec_in!E7/SER_hh_num_in!E7)</f>
        <v>170435.69972224301</v>
      </c>
      <c r="F7" s="133">
        <f>IF(SER_hh_fec_in!F7=0,0,11630*1000*SER_hh_fec_in!F7/SER_hh_num_in!F7)</f>
        <v>172712.27276280982</v>
      </c>
      <c r="G7" s="133">
        <f>IF(SER_hh_fec_in!G7=0,0,11630*1000*SER_hh_fec_in!G7/SER_hh_num_in!G7)</f>
        <v>165972.21419481808</v>
      </c>
      <c r="H7" s="133">
        <f>IF(SER_hh_fec_in!H7=0,0,11630*1000*SER_hh_fec_in!H7/SER_hh_num_in!H7)</f>
        <v>151824.24054242461</v>
      </c>
      <c r="I7" s="133">
        <f>IF(SER_hh_fec_in!I7=0,0,11630*1000*SER_hh_fec_in!I7/SER_hh_num_in!I7)</f>
        <v>129336.25272772329</v>
      </c>
      <c r="J7" s="133">
        <f>IF(SER_hh_fec_in!J7=0,0,11630*1000*SER_hh_fec_in!J7/SER_hh_num_in!J7)</f>
        <v>151503.46171503406</v>
      </c>
      <c r="K7" s="133">
        <f>IF(SER_hh_fec_in!K7=0,0,11630*1000*SER_hh_fec_in!K7/SER_hh_num_in!K7)</f>
        <v>145688.06550431153</v>
      </c>
      <c r="L7" s="133">
        <f>IF(SER_hh_fec_in!L7=0,0,11630*1000*SER_hh_fec_in!L7/SER_hh_num_in!L7)</f>
        <v>137857.07715310922</v>
      </c>
      <c r="M7" s="133">
        <f>IF(SER_hh_fec_in!M7=0,0,11630*1000*SER_hh_fec_in!M7/SER_hh_num_in!M7)</f>
        <v>115922.62863963253</v>
      </c>
      <c r="N7" s="133">
        <f>IF(SER_hh_fec_in!N7=0,0,11630*1000*SER_hh_fec_in!N7/SER_hh_num_in!N7)</f>
        <v>116956.34509521592</v>
      </c>
      <c r="O7" s="133">
        <f>IF(SER_hh_fec_in!O7=0,0,11630*1000*SER_hh_fec_in!O7/SER_hh_num_in!O7)</f>
        <v>115224.53060203097</v>
      </c>
      <c r="P7" s="133">
        <f>IF(SER_hh_fec_in!P7=0,0,11630*1000*SER_hh_fec_in!P7/SER_hh_num_in!P7)</f>
        <v>94143.387670241558</v>
      </c>
      <c r="Q7" s="133">
        <f>IF(SER_hh_fec_in!Q7=0,0,11630*1000*SER_hh_fec_in!Q7/SER_hh_num_in!Q7)</f>
        <v>91957.804042100353</v>
      </c>
      <c r="R7" s="133">
        <f>IF(SER_hh_fec_in!R7=0,0,11630*1000*SER_hh_fec_in!R7/SER_hh_num_in!R7)</f>
        <v>80111.337917145443</v>
      </c>
      <c r="S7" s="133">
        <f>IF(SER_hh_fec_in!S7=0,0,11630*1000*SER_hh_fec_in!S7/SER_hh_num_in!S7)</f>
        <v>80544.065621557267</v>
      </c>
      <c r="T7" s="133">
        <f>IF(SER_hh_fec_in!T7=0,0,11630*1000*SER_hh_fec_in!T7/SER_hh_num_in!T7)</f>
        <v>73466.69304720244</v>
      </c>
      <c r="U7" s="133">
        <f>IF(SER_hh_fec_in!U7=0,0,11630*1000*SER_hh_fec_in!U7/SER_hh_num_in!U7)</f>
        <v>66795.481652017421</v>
      </c>
      <c r="V7" s="133">
        <f>IF(SER_hh_fec_in!V7=0,0,11630*1000*SER_hh_fec_in!V7/SER_hh_num_in!V7)</f>
        <v>58226.974702436346</v>
      </c>
      <c r="W7" s="133">
        <f>IF(SER_hh_fec_in!W7=0,0,11630*1000*SER_hh_fec_in!W7/SER_hh_num_in!W7)</f>
        <v>50184.8996970234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76032.712631051545</v>
      </c>
      <c r="D8" s="133">
        <f>IF(SER_hh_fec_in!D8=0,0,11630*1000*SER_hh_fec_in!D8/SER_hh_num_in!D8)</f>
        <v>60307.657333489697</v>
      </c>
      <c r="E8" s="133">
        <f>IF(SER_hh_fec_in!E8=0,0,11630*1000*SER_hh_fec_in!E8/SER_hh_num_in!E8)</f>
        <v>62335.72755635393</v>
      </c>
      <c r="F8" s="133">
        <f>IF(SER_hh_fec_in!F8=0,0,11630*1000*SER_hh_fec_in!F8/SER_hh_num_in!F8)</f>
        <v>55491.891127205447</v>
      </c>
      <c r="G8" s="133">
        <f>IF(SER_hh_fec_in!G8=0,0,11630*1000*SER_hh_fec_in!G8/SER_hh_num_in!G8)</f>
        <v>69775.466405667539</v>
      </c>
      <c r="H8" s="133">
        <f>IF(SER_hh_fec_in!H8=0,0,11630*1000*SER_hh_fec_in!H8/SER_hh_num_in!H8)</f>
        <v>58334.02244350854</v>
      </c>
      <c r="I8" s="133">
        <f>IF(SER_hh_fec_in!I8=0,0,11630*1000*SER_hh_fec_in!I8/SER_hh_num_in!I8)</f>
        <v>54699.375835052102</v>
      </c>
      <c r="J8" s="133">
        <f>IF(SER_hh_fec_in!J8=0,0,11630*1000*SER_hh_fec_in!J8/SER_hh_num_in!J8)</f>
        <v>53013.129424396851</v>
      </c>
      <c r="K8" s="133">
        <f>IF(SER_hh_fec_in!K8=0,0,11630*1000*SER_hh_fec_in!K8/SER_hh_num_in!K8)</f>
        <v>39243.788573433878</v>
      </c>
      <c r="L8" s="133">
        <f>IF(SER_hh_fec_in!L8=0,0,11630*1000*SER_hh_fec_in!L8/SER_hh_num_in!L8)</f>
        <v>31459.832227384268</v>
      </c>
      <c r="M8" s="133">
        <f>IF(SER_hh_fec_in!M8=0,0,11630*1000*SER_hh_fec_in!M8/SER_hh_num_in!M8)</f>
        <v>40907.654661426866</v>
      </c>
      <c r="N8" s="133">
        <f>IF(SER_hh_fec_in!N8=0,0,11630*1000*SER_hh_fec_in!N8/SER_hh_num_in!N8)</f>
        <v>34645.069240694487</v>
      </c>
      <c r="O8" s="133">
        <f>IF(SER_hh_fec_in!O8=0,0,11630*1000*SER_hh_fec_in!O8/SER_hh_num_in!O8)</f>
        <v>34748.936309815115</v>
      </c>
      <c r="P8" s="133">
        <f>IF(SER_hh_fec_in!P8=0,0,11630*1000*SER_hh_fec_in!P8/SER_hh_num_in!P8)</f>
        <v>27933.815614022224</v>
      </c>
      <c r="Q8" s="133">
        <f>IF(SER_hh_fec_in!Q8=0,0,11630*1000*SER_hh_fec_in!Q8/SER_hh_num_in!Q8)</f>
        <v>27589.957291985986</v>
      </c>
      <c r="R8" s="133">
        <f>IF(SER_hh_fec_in!R8=0,0,11630*1000*SER_hh_fec_in!R8/SER_hh_num_in!R8)</f>
        <v>26051.26808209459</v>
      </c>
      <c r="S8" s="133">
        <f>IF(SER_hh_fec_in!S8=0,0,11630*1000*SER_hh_fec_in!S8/SER_hh_num_in!S8)</f>
        <v>24051.857461140557</v>
      </c>
      <c r="T8" s="133">
        <f>IF(SER_hh_fec_in!T8=0,0,11630*1000*SER_hh_fec_in!T8/SER_hh_num_in!T8)</f>
        <v>22427.142462739906</v>
      </c>
      <c r="U8" s="133">
        <f>IF(SER_hh_fec_in!U8=0,0,11630*1000*SER_hh_fec_in!U8/SER_hh_num_in!U8)</f>
        <v>20547.840944394113</v>
      </c>
      <c r="V8" s="133">
        <f>IF(SER_hh_fec_in!V8=0,0,11630*1000*SER_hh_fec_in!V8/SER_hh_num_in!V8)</f>
        <v>16388.999800455949</v>
      </c>
      <c r="W8" s="133">
        <f>IF(SER_hh_fec_in!W8=0,0,11630*1000*SER_hh_fec_in!W8/SER_hh_num_in!W8)</f>
        <v>15469.529037440043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155330.13297411424</v>
      </c>
      <c r="D9" s="133">
        <f>IF(SER_hh_fec_in!D9=0,0,11630*1000*SER_hh_fec_in!D9/SER_hh_num_in!D9)</f>
        <v>125613.34040748327</v>
      </c>
      <c r="E9" s="133">
        <f>IF(SER_hh_fec_in!E9=0,0,11630*1000*SER_hh_fec_in!E9/SER_hh_num_in!E9)</f>
        <v>155223.27126150916</v>
      </c>
      <c r="F9" s="133">
        <f>IF(SER_hh_fec_in!F9=0,0,11630*1000*SER_hh_fec_in!F9/SER_hh_num_in!F9)</f>
        <v>150633.78181081198</v>
      </c>
      <c r="G9" s="133">
        <f>IF(SER_hh_fec_in!G9=0,0,11630*1000*SER_hh_fec_in!G9/SER_hh_num_in!G9)</f>
        <v>150249.16651531687</v>
      </c>
      <c r="H9" s="133">
        <f>IF(SER_hh_fec_in!H9=0,0,11630*1000*SER_hh_fec_in!H9/SER_hh_num_in!H9)</f>
        <v>126954.2561824763</v>
      </c>
      <c r="I9" s="133">
        <f>IF(SER_hh_fec_in!I9=0,0,11630*1000*SER_hh_fec_in!I9/SER_hh_num_in!I9)</f>
        <v>123766.05454633459</v>
      </c>
      <c r="J9" s="133">
        <f>IF(SER_hh_fec_in!J9=0,0,11630*1000*SER_hh_fec_in!J9/SER_hh_num_in!J9)</f>
        <v>106039.88085663338</v>
      </c>
      <c r="K9" s="133">
        <f>IF(SER_hh_fec_in!K9=0,0,11630*1000*SER_hh_fec_in!K9/SER_hh_num_in!K9)</f>
        <v>124073.27855805802</v>
      </c>
      <c r="L9" s="133">
        <f>IF(SER_hh_fec_in!L9=0,0,11630*1000*SER_hh_fec_in!L9/SER_hh_num_in!L9)</f>
        <v>134542.16403849362</v>
      </c>
      <c r="M9" s="133">
        <f>IF(SER_hh_fec_in!M9=0,0,11630*1000*SER_hh_fec_in!M9/SER_hh_num_in!M9)</f>
        <v>91947.651730366124</v>
      </c>
      <c r="N9" s="133">
        <f>IF(SER_hh_fec_in!N9=0,0,11630*1000*SER_hh_fec_in!N9/SER_hh_num_in!N9)</f>
        <v>104393.8183532734</v>
      </c>
      <c r="O9" s="133">
        <f>IF(SER_hh_fec_in!O9=0,0,11630*1000*SER_hh_fec_in!O9/SER_hh_num_in!O9)</f>
        <v>104983.54967325411</v>
      </c>
      <c r="P9" s="133">
        <f>IF(SER_hh_fec_in!P9=0,0,11630*1000*SER_hh_fec_in!P9/SER_hh_num_in!P9)</f>
        <v>79507.80810063002</v>
      </c>
      <c r="Q9" s="133">
        <f>IF(SER_hh_fec_in!Q9=0,0,11630*1000*SER_hh_fec_in!Q9/SER_hh_num_in!Q9)</f>
        <v>79707.385393319215</v>
      </c>
      <c r="R9" s="133">
        <f>IF(SER_hh_fec_in!R9=0,0,11630*1000*SER_hh_fec_in!R9/SER_hh_num_in!R9)</f>
        <v>75343.597084037858</v>
      </c>
      <c r="S9" s="133">
        <f>IF(SER_hh_fec_in!S9=0,0,11630*1000*SER_hh_fec_in!S9/SER_hh_num_in!S9)</f>
        <v>72273.746279683604</v>
      </c>
      <c r="T9" s="133">
        <f>IF(SER_hh_fec_in!T9=0,0,11630*1000*SER_hh_fec_in!T9/SER_hh_num_in!T9)</f>
        <v>69079.552249771965</v>
      </c>
      <c r="U9" s="133">
        <f>IF(SER_hh_fec_in!U9=0,0,11630*1000*SER_hh_fec_in!U9/SER_hh_num_in!U9)</f>
        <v>61728.449610037547</v>
      </c>
      <c r="V9" s="133">
        <f>IF(SER_hh_fec_in!V9=0,0,11630*1000*SER_hh_fec_in!V9/SER_hh_num_in!V9)</f>
        <v>51338.091752220142</v>
      </c>
      <c r="W9" s="133">
        <f>IF(SER_hh_fec_in!W9=0,0,11630*1000*SER_hh_fec_in!W9/SER_hh_num_in!W9)</f>
        <v>45673.860385980661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161696.35317441126</v>
      </c>
      <c r="D10" s="133">
        <f>IF(SER_hh_fec_in!D10=0,0,11630*1000*SER_hh_fec_in!D10/SER_hh_num_in!D10)</f>
        <v>164160.9041983565</v>
      </c>
      <c r="E10" s="133">
        <f>IF(SER_hh_fec_in!E10=0,0,11630*1000*SER_hh_fec_in!E10/SER_hh_num_in!E10)</f>
        <v>182001.47922763167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148442.90695257558</v>
      </c>
      <c r="J10" s="133">
        <f>IF(SER_hh_fec_in!J10=0,0,11630*1000*SER_hh_fec_in!J10/SER_hh_num_in!J10)</f>
        <v>141488.76921319409</v>
      </c>
      <c r="K10" s="133">
        <f>IF(SER_hh_fec_in!K10=0,0,11630*1000*SER_hh_fec_in!K10/SER_hh_num_in!K10)</f>
        <v>178406.68392805493</v>
      </c>
      <c r="L10" s="133">
        <f>IF(SER_hh_fec_in!L10=0,0,11630*1000*SER_hh_fec_in!L10/SER_hh_num_in!L10)</f>
        <v>153468.96247334895</v>
      </c>
      <c r="M10" s="133">
        <f>IF(SER_hh_fec_in!M10=0,0,11630*1000*SER_hh_fec_in!M10/SER_hh_num_in!M10)</f>
        <v>101704.423126593</v>
      </c>
      <c r="N10" s="133">
        <f>IF(SER_hh_fec_in!N10=0,0,11630*1000*SER_hh_fec_in!N10/SER_hh_num_in!N10)</f>
        <v>119066.90650328879</v>
      </c>
      <c r="O10" s="133">
        <f>IF(SER_hh_fec_in!O10=0,0,11630*1000*SER_hh_fec_in!O10/SER_hh_num_in!O10)</f>
        <v>145186.15354249033</v>
      </c>
      <c r="P10" s="133">
        <f>IF(SER_hh_fec_in!P10=0,0,11630*1000*SER_hh_fec_in!P10/SER_hh_num_in!P10)</f>
        <v>114941.7929612742</v>
      </c>
      <c r="Q10" s="133">
        <f>IF(SER_hh_fec_in!Q10=0,0,11630*1000*SER_hh_fec_in!Q10/SER_hh_num_in!Q10)</f>
        <v>102527.36557452085</v>
      </c>
      <c r="R10" s="133">
        <f>IF(SER_hh_fec_in!R10=0,0,11630*1000*SER_hh_fec_in!R10/SER_hh_num_in!R10)</f>
        <v>107302.5975343484</v>
      </c>
      <c r="S10" s="133">
        <f>IF(SER_hh_fec_in!S10=0,0,11630*1000*SER_hh_fec_in!S10/SER_hh_num_in!S10)</f>
        <v>104900.11399771158</v>
      </c>
      <c r="T10" s="133">
        <f>IF(SER_hh_fec_in!T10=0,0,11630*1000*SER_hh_fec_in!T10/SER_hh_num_in!T10)</f>
        <v>89816.086294919674</v>
      </c>
      <c r="U10" s="133">
        <f>IF(SER_hh_fec_in!U10=0,0,11630*1000*SER_hh_fec_in!U10/SER_hh_num_in!U10)</f>
        <v>81662.041172920872</v>
      </c>
      <c r="V10" s="133">
        <f>IF(SER_hh_fec_in!V10=0,0,11630*1000*SER_hh_fec_in!V10/SER_hh_num_in!V10)</f>
        <v>72782.89334023984</v>
      </c>
      <c r="W10" s="133">
        <f>IF(SER_hh_fec_in!W10=0,0,11630*1000*SER_hh_fec_in!W10/SER_hh_num_in!W10)</f>
        <v>68530.113473430247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239332.76978313338</v>
      </c>
      <c r="E11" s="133">
        <f>IF(SER_hh_fec_in!E11=0,0,11630*1000*SER_hh_fec_in!E11/SER_hh_num_in!E11)</f>
        <v>209685.54658647152</v>
      </c>
      <c r="F11" s="133">
        <f>IF(SER_hh_fec_in!F11=0,0,11630*1000*SER_hh_fec_in!F11/SER_hh_num_in!F11)</f>
        <v>205283.62388229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92054.286812503953</v>
      </c>
      <c r="L11" s="133">
        <f>IF(SER_hh_fec_in!L11=0,0,11630*1000*SER_hh_fec_in!L11/SER_hh_num_in!L11)</f>
        <v>86237.738139666442</v>
      </c>
      <c r="M11" s="133">
        <f>IF(SER_hh_fec_in!M11=0,0,11630*1000*SER_hh_fec_in!M11/SER_hh_num_in!M11)</f>
        <v>91369.829007409571</v>
      </c>
      <c r="N11" s="133">
        <f>IF(SER_hh_fec_in!N11=0,0,11630*1000*SER_hh_fec_in!N11/SER_hh_num_in!N11)</f>
        <v>85470.918686387042</v>
      </c>
      <c r="O11" s="133">
        <f>IF(SER_hh_fec_in!O11=0,0,11630*1000*SER_hh_fec_in!O11/SER_hh_num_in!O11)</f>
        <v>80709.564964701422</v>
      </c>
      <c r="P11" s="133">
        <f>IF(SER_hh_fec_in!P11=0,0,11630*1000*SER_hh_fec_in!P11/SER_hh_num_in!P11)</f>
        <v>72394.207806828592</v>
      </c>
      <c r="Q11" s="133">
        <f>IF(SER_hh_fec_in!Q11=0,0,11630*1000*SER_hh_fec_in!Q11/SER_hh_num_in!Q11)</f>
        <v>69746.788640409592</v>
      </c>
      <c r="R11" s="133">
        <f>IF(SER_hh_fec_in!R11=0,0,11630*1000*SER_hh_fec_in!R11/SER_hh_num_in!R11)</f>
        <v>67069.254075124889</v>
      </c>
      <c r="S11" s="133">
        <f>IF(SER_hh_fec_in!S11=0,0,11630*1000*SER_hh_fec_in!S11/SER_hh_num_in!S11)</f>
        <v>64598.956454500243</v>
      </c>
      <c r="T11" s="133">
        <f>IF(SER_hh_fec_in!T11=0,0,11630*1000*SER_hh_fec_in!T11/SER_hh_num_in!T11)</f>
        <v>60966.711985183028</v>
      </c>
      <c r="U11" s="133">
        <f>IF(SER_hh_fec_in!U11=0,0,11630*1000*SER_hh_fec_in!U11/SER_hh_num_in!U11)</f>
        <v>55188.362768877785</v>
      </c>
      <c r="V11" s="133">
        <f>IF(SER_hh_fec_in!V11=0,0,11630*1000*SER_hh_fec_in!V11/SER_hh_num_in!V11)</f>
        <v>48588.589379620302</v>
      </c>
      <c r="W11" s="133">
        <f>IF(SER_hh_fec_in!W11=0,0,11630*1000*SER_hh_fec_in!W11/SER_hh_num_in!W11)</f>
        <v>38842.110283884555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116124.43847658549</v>
      </c>
      <c r="D12" s="133">
        <f>IF(SER_hh_fec_in!D12=0,0,11630*1000*SER_hh_fec_in!D12/SER_hh_num_in!D12)</f>
        <v>115742.12701150529</v>
      </c>
      <c r="E12" s="133">
        <f>IF(SER_hh_fec_in!E12=0,0,11630*1000*SER_hh_fec_in!E12/SER_hh_num_in!E12)</f>
        <v>111613.4035678255</v>
      </c>
      <c r="F12" s="133">
        <f>IF(SER_hh_fec_in!F12=0,0,11630*1000*SER_hh_fec_in!F12/SER_hh_num_in!F12)</f>
        <v>112581.69246809727</v>
      </c>
      <c r="G12" s="133">
        <f>IF(SER_hh_fec_in!G12=0,0,11630*1000*SER_hh_fec_in!G12/SER_hh_num_in!G12)</f>
        <v>120374.92774174157</v>
      </c>
      <c r="H12" s="133">
        <f>IF(SER_hh_fec_in!H12=0,0,11630*1000*SER_hh_fec_in!H12/SER_hh_num_in!H12)</f>
        <v>0</v>
      </c>
      <c r="I12" s="133">
        <f>IF(SER_hh_fec_in!I12=0,0,11630*1000*SER_hh_fec_in!I12/SER_hh_num_in!I12)</f>
        <v>0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0</v>
      </c>
      <c r="L12" s="133">
        <f>IF(SER_hh_fec_in!L12=0,0,11630*1000*SER_hh_fec_in!L12/SER_hh_num_in!L12)</f>
        <v>102082.91918666645</v>
      </c>
      <c r="M12" s="133">
        <f>IF(SER_hh_fec_in!M12=0,0,11630*1000*SER_hh_fec_in!M12/SER_hh_num_in!M12)</f>
        <v>84589.994548639952</v>
      </c>
      <c r="N12" s="133">
        <f>IF(SER_hh_fec_in!N12=0,0,11630*1000*SER_hh_fec_in!N12/SER_hh_num_in!N12)</f>
        <v>82824.926901342857</v>
      </c>
      <c r="O12" s="133">
        <f>IF(SER_hh_fec_in!O12=0,0,11630*1000*SER_hh_fec_in!O12/SER_hh_num_in!O12)</f>
        <v>83487.610370641545</v>
      </c>
      <c r="P12" s="133">
        <f>IF(SER_hh_fec_in!P12=0,0,11630*1000*SER_hh_fec_in!P12/SER_hh_num_in!P12)</f>
        <v>72027.632067100873</v>
      </c>
      <c r="Q12" s="133">
        <f>IF(SER_hh_fec_in!Q12=0,0,11630*1000*SER_hh_fec_in!Q12/SER_hh_num_in!Q12)</f>
        <v>70422.375366612323</v>
      </c>
      <c r="R12" s="133">
        <f>IF(SER_hh_fec_in!R12=0,0,11630*1000*SER_hh_fec_in!R12/SER_hh_num_in!R12)</f>
        <v>70391.785161531137</v>
      </c>
      <c r="S12" s="133">
        <f>IF(SER_hh_fec_in!S12=0,0,11630*1000*SER_hh_fec_in!S12/SER_hh_num_in!S12)</f>
        <v>67001.752814398045</v>
      </c>
      <c r="T12" s="133">
        <f>IF(SER_hh_fec_in!T12=0,0,11630*1000*SER_hh_fec_in!T12/SER_hh_num_in!T12)</f>
        <v>59692.455602634582</v>
      </c>
      <c r="U12" s="133">
        <f>IF(SER_hh_fec_in!U12=0,0,11630*1000*SER_hh_fec_in!U12/SER_hh_num_in!U12)</f>
        <v>53562.219529510556</v>
      </c>
      <c r="V12" s="133">
        <f>IF(SER_hh_fec_in!V12=0,0,11630*1000*SER_hh_fec_in!V12/SER_hh_num_in!V12)</f>
        <v>47288.995217808988</v>
      </c>
      <c r="W12" s="133">
        <f>IF(SER_hh_fec_in!W12=0,0,11630*1000*SER_hh_fec_in!W12/SER_hh_num_in!W12)</f>
        <v>42694.322523690003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58142.150534341839</v>
      </c>
      <c r="D13" s="133">
        <f>IF(SER_hh_fec_in!D13=0,0,11630*1000*SER_hh_fec_in!D13/SER_hh_num_in!D13)</f>
        <v>56255.625429931031</v>
      </c>
      <c r="E13" s="133">
        <f>IF(SER_hh_fec_in!E13=0,0,11630*1000*SER_hh_fec_in!E13/SER_hh_num_in!E13)</f>
        <v>52888.692769700676</v>
      </c>
      <c r="F13" s="133">
        <f>IF(SER_hh_fec_in!F13=0,0,11630*1000*SER_hh_fec_in!F13/SER_hh_num_in!F13)</f>
        <v>49029.701576670719</v>
      </c>
      <c r="G13" s="133">
        <f>IF(SER_hh_fec_in!G13=0,0,11630*1000*SER_hh_fec_in!G13/SER_hh_num_in!G13)</f>
        <v>46835.848046298735</v>
      </c>
      <c r="H13" s="133">
        <f>IF(SER_hh_fec_in!H13=0,0,11630*1000*SER_hh_fec_in!H13/SER_hh_num_in!H13)</f>
        <v>41088.580158303703</v>
      </c>
      <c r="I13" s="133">
        <f>IF(SER_hh_fec_in!I13=0,0,11630*1000*SER_hh_fec_in!I13/SER_hh_num_in!I13)</f>
        <v>35402.543725663301</v>
      </c>
      <c r="J13" s="133">
        <f>IF(SER_hh_fec_in!J13=0,0,11630*1000*SER_hh_fec_in!J13/SER_hh_num_in!J13)</f>
        <v>34685.629030265984</v>
      </c>
      <c r="K13" s="133">
        <f>IF(SER_hh_fec_in!K13=0,0,11630*1000*SER_hh_fec_in!K13/SER_hh_num_in!K13)</f>
        <v>30859.026911192039</v>
      </c>
      <c r="L13" s="133">
        <f>IF(SER_hh_fec_in!L13=0,0,11630*1000*SER_hh_fec_in!L13/SER_hh_num_in!L13)</f>
        <v>26242.757558221736</v>
      </c>
      <c r="M13" s="133">
        <f>IF(SER_hh_fec_in!M13=0,0,11630*1000*SER_hh_fec_in!M13/SER_hh_num_in!M13)</f>
        <v>28135.421979708688</v>
      </c>
      <c r="N13" s="133">
        <f>IF(SER_hh_fec_in!N13=0,0,11630*1000*SER_hh_fec_in!N13/SER_hh_num_in!N13)</f>
        <v>26325.157478128345</v>
      </c>
      <c r="O13" s="133">
        <f>IF(SER_hh_fec_in!O13=0,0,11630*1000*SER_hh_fec_in!O13/SER_hh_num_in!O13)</f>
        <v>24460.631266099317</v>
      </c>
      <c r="P13" s="133">
        <f>IF(SER_hh_fec_in!P13=0,0,11630*1000*SER_hh_fec_in!P13/SER_hh_num_in!P13)</f>
        <v>18327.559880711146</v>
      </c>
      <c r="Q13" s="133">
        <f>IF(SER_hh_fec_in!Q13=0,0,11630*1000*SER_hh_fec_in!Q13/SER_hh_num_in!Q13)</f>
        <v>17482.868710030933</v>
      </c>
      <c r="R13" s="133">
        <f>IF(SER_hh_fec_in!R13=0,0,11630*1000*SER_hh_fec_in!R13/SER_hh_num_in!R13)</f>
        <v>17584.380984917952</v>
      </c>
      <c r="S13" s="133">
        <f>IF(SER_hh_fec_in!S13=0,0,11630*1000*SER_hh_fec_in!S13/SER_hh_num_in!S13)</f>
        <v>15850.168386999718</v>
      </c>
      <c r="T13" s="133">
        <f>IF(SER_hh_fec_in!T13=0,0,11630*1000*SER_hh_fec_in!T13/SER_hh_num_in!T13)</f>
        <v>13738.790935525445</v>
      </c>
      <c r="U13" s="133">
        <f>IF(SER_hh_fec_in!U13=0,0,11630*1000*SER_hh_fec_in!U13/SER_hh_num_in!U13)</f>
        <v>12918.461960316616</v>
      </c>
      <c r="V13" s="133">
        <f>IF(SER_hh_fec_in!V13=0,0,11630*1000*SER_hh_fec_in!V13/SER_hh_num_in!V13)</f>
        <v>11039.842561925663</v>
      </c>
      <c r="W13" s="133">
        <f>IF(SER_hh_fec_in!W13=0,0,11630*1000*SER_hh_fec_in!W13/SER_hh_num_in!W13)</f>
        <v>10487.027937669789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125179.82260345855</v>
      </c>
      <c r="D14" s="65">
        <f>IF(SER_hh_fec_in!D14=0,0,11630*1000*SER_hh_fec_in!D14/SER_hh_num_in!D14)</f>
        <v>121082.11853300568</v>
      </c>
      <c r="E14" s="65">
        <f>IF(SER_hh_fec_in!E14=0,0,11630*1000*SER_hh_fec_in!E14/SER_hh_num_in!E14)</f>
        <v>123941.68861944256</v>
      </c>
      <c r="F14" s="65">
        <f>IF(SER_hh_fec_in!F14=0,0,11630*1000*SER_hh_fec_in!F14/SER_hh_num_in!F14)</f>
        <v>129351.18234431291</v>
      </c>
      <c r="G14" s="65">
        <f>IF(SER_hh_fec_in!G14=0,0,11630*1000*SER_hh_fec_in!G14/SER_hh_num_in!G14)</f>
        <v>119300.84820166903</v>
      </c>
      <c r="H14" s="65">
        <f>IF(SER_hh_fec_in!H14=0,0,11630*1000*SER_hh_fec_in!H14/SER_hh_num_in!H14)</f>
        <v>113790.96630894563</v>
      </c>
      <c r="I14" s="65">
        <f>IF(SER_hh_fec_in!I14=0,0,11630*1000*SER_hh_fec_in!I14/SER_hh_num_in!I14)</f>
        <v>110301.86338322496</v>
      </c>
      <c r="J14" s="65">
        <f>IF(SER_hh_fec_in!J14=0,0,11630*1000*SER_hh_fec_in!J14/SER_hh_num_in!J14)</f>
        <v>99394.434126220905</v>
      </c>
      <c r="K14" s="65">
        <f>IF(SER_hh_fec_in!K14=0,0,11630*1000*SER_hh_fec_in!K14/SER_hh_num_in!K14)</f>
        <v>106755.02028036474</v>
      </c>
      <c r="L14" s="65">
        <f>IF(SER_hh_fec_in!L14=0,0,11630*1000*SER_hh_fec_in!L14/SER_hh_num_in!L14)</f>
        <v>117050.26011819513</v>
      </c>
      <c r="M14" s="65">
        <f>IF(SER_hh_fec_in!M14=0,0,11630*1000*SER_hh_fec_in!M14/SER_hh_num_in!M14)</f>
        <v>89068.619392530032</v>
      </c>
      <c r="N14" s="65">
        <f>IF(SER_hh_fec_in!N14=0,0,11630*1000*SER_hh_fec_in!N14/SER_hh_num_in!N14)</f>
        <v>95071.268905900084</v>
      </c>
      <c r="O14" s="65">
        <f>IF(SER_hh_fec_in!O14=0,0,11630*1000*SER_hh_fec_in!O14/SER_hh_num_in!O14)</f>
        <v>93178.407674546062</v>
      </c>
      <c r="P14" s="65">
        <f>IF(SER_hh_fec_in!P14=0,0,11630*1000*SER_hh_fec_in!P14/SER_hh_num_in!P14)</f>
        <v>74304.758903028225</v>
      </c>
      <c r="Q14" s="65">
        <f>IF(SER_hh_fec_in!Q14=0,0,11630*1000*SER_hh_fec_in!Q14/SER_hh_num_in!Q14)</f>
        <v>75972.271484295881</v>
      </c>
      <c r="R14" s="65">
        <f>IF(SER_hh_fec_in!R14=0,0,11630*1000*SER_hh_fec_in!R14/SER_hh_num_in!R14)</f>
        <v>72376.799805141025</v>
      </c>
      <c r="S14" s="65">
        <f>IF(SER_hh_fec_in!S14=0,0,11630*1000*SER_hh_fec_in!S14/SER_hh_num_in!S14)</f>
        <v>67687.817050773025</v>
      </c>
      <c r="T14" s="65">
        <f>IF(SER_hh_fec_in!T14=0,0,11630*1000*SER_hh_fec_in!T14/SER_hh_num_in!T14)</f>
        <v>62578.082214483962</v>
      </c>
      <c r="U14" s="65">
        <f>IF(SER_hh_fec_in!U14=0,0,11630*1000*SER_hh_fec_in!U14/SER_hh_num_in!U14)</f>
        <v>55171.981186172154</v>
      </c>
      <c r="V14" s="65">
        <f>IF(SER_hh_fec_in!V14=0,0,11630*1000*SER_hh_fec_in!V14/SER_hh_num_in!V14)</f>
        <v>44722.148260665468</v>
      </c>
      <c r="W14" s="65">
        <f>IF(SER_hh_fec_in!W14=0,0,11630*1000*SER_hh_fec_in!W14/SER_hh_num_in!W14)</f>
        <v>45165.098353676978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1282.6783330890414</v>
      </c>
      <c r="D15" s="135">
        <f>IF(SER_hh_fec_in!D15=0,0,11630*1000*SER_hh_fec_in!D15/SER_hh_num_in!D15)</f>
        <v>1188.7775982657686</v>
      </c>
      <c r="E15" s="135">
        <f>IF(SER_hh_fec_in!E15=0,0,11630*1000*SER_hh_fec_in!E15/SER_hh_num_in!E15)</f>
        <v>1613.1229685952255</v>
      </c>
      <c r="F15" s="135">
        <f>IF(SER_hh_fec_in!F15=0,0,11630*1000*SER_hh_fec_in!F15/SER_hh_num_in!F15)</f>
        <v>1562.189370262397</v>
      </c>
      <c r="G15" s="135">
        <f>IF(SER_hh_fec_in!G15=0,0,11630*1000*SER_hh_fec_in!G15/SER_hh_num_in!G15)</f>
        <v>1615.1029421222327</v>
      </c>
      <c r="H15" s="135">
        <f>IF(SER_hh_fec_in!H15=0,0,11630*1000*SER_hh_fec_in!H15/SER_hh_num_in!H15)</f>
        <v>1458.0730532061748</v>
      </c>
      <c r="I15" s="135">
        <f>IF(SER_hh_fec_in!I15=0,0,11630*1000*SER_hh_fec_in!I15/SER_hh_num_in!I15)</f>
        <v>1344.6772465144636</v>
      </c>
      <c r="J15" s="135">
        <f>IF(SER_hh_fec_in!J15=0,0,11630*1000*SER_hh_fec_in!J15/SER_hh_num_in!J15)</f>
        <v>1281.5269322247461</v>
      </c>
      <c r="K15" s="135">
        <f>IF(SER_hh_fec_in!K15=0,0,11630*1000*SER_hh_fec_in!K15/SER_hh_num_in!K15)</f>
        <v>1411.4154175490612</v>
      </c>
      <c r="L15" s="135">
        <f>IF(SER_hh_fec_in!L15=0,0,11630*1000*SER_hh_fec_in!L15/SER_hh_num_in!L15)</f>
        <v>1414.9974090853714</v>
      </c>
      <c r="M15" s="135">
        <f>IF(SER_hh_fec_in!M15=0,0,11630*1000*SER_hh_fec_in!M15/SER_hh_num_in!M15)</f>
        <v>973.26588029742982</v>
      </c>
      <c r="N15" s="135">
        <f>IF(SER_hh_fec_in!N15=0,0,11630*1000*SER_hh_fec_in!N15/SER_hh_num_in!N15)</f>
        <v>1067.3117363658778</v>
      </c>
      <c r="O15" s="135">
        <f>IF(SER_hh_fec_in!O15=0,0,11630*1000*SER_hh_fec_in!O15/SER_hh_num_in!O15)</f>
        <v>1053.8802202581398</v>
      </c>
      <c r="P15" s="135">
        <f>IF(SER_hh_fec_in!P15=0,0,11630*1000*SER_hh_fec_in!P15/SER_hh_num_in!P15)</f>
        <v>807.38777715038486</v>
      </c>
      <c r="Q15" s="135">
        <f>IF(SER_hh_fec_in!Q15=0,0,11630*1000*SER_hh_fec_in!Q15/SER_hh_num_in!Q15)</f>
        <v>757.6375508381069</v>
      </c>
      <c r="R15" s="135">
        <f>IF(SER_hh_fec_in!R15=0,0,11630*1000*SER_hh_fec_in!R15/SER_hh_num_in!R15)</f>
        <v>767.48987204325408</v>
      </c>
      <c r="S15" s="135">
        <f>IF(SER_hh_fec_in!S15=0,0,11630*1000*SER_hh_fec_in!S15/SER_hh_num_in!S15)</f>
        <v>785.85928848392462</v>
      </c>
      <c r="T15" s="135">
        <f>IF(SER_hh_fec_in!T15=0,0,11630*1000*SER_hh_fec_in!T15/SER_hh_num_in!T15)</f>
        <v>776.52312569819071</v>
      </c>
      <c r="U15" s="135">
        <f>IF(SER_hh_fec_in!U15=0,0,11630*1000*SER_hh_fec_in!U15/SER_hh_num_in!U15)</f>
        <v>697.83404210802064</v>
      </c>
      <c r="V15" s="135">
        <f>IF(SER_hh_fec_in!V15=0,0,11630*1000*SER_hh_fec_in!V15/SER_hh_num_in!V15)</f>
        <v>574.12455708185723</v>
      </c>
      <c r="W15" s="135">
        <f>IF(SER_hh_fec_in!W15=0,0,11630*1000*SER_hh_fec_in!W15/SER_hh_num_in!W15)</f>
        <v>519.88924010397932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10700.739624707088</v>
      </c>
      <c r="D16" s="131">
        <f>IF(SER_hh_fec_in!D16=0,0,11630*1000*SER_hh_fec_in!D16/SER_hh_num_in!D16)</f>
        <v>9832.0392358509434</v>
      </c>
      <c r="E16" s="131">
        <f>IF(SER_hh_fec_in!E16=0,0,11630*1000*SER_hh_fec_in!E16/SER_hh_num_in!E16)</f>
        <v>16603.729972064495</v>
      </c>
      <c r="F16" s="131">
        <f>IF(SER_hh_fec_in!F16=0,0,11630*1000*SER_hh_fec_in!F16/SER_hh_num_in!F16)</f>
        <v>9336.9893059486349</v>
      </c>
      <c r="G16" s="131">
        <f>IF(SER_hh_fec_in!G16=0,0,11630*1000*SER_hh_fec_in!G16/SER_hh_num_in!G16)</f>
        <v>9736.8891567156097</v>
      </c>
      <c r="H16" s="131">
        <f>IF(SER_hh_fec_in!H16=0,0,11630*1000*SER_hh_fec_in!H16/SER_hh_num_in!H16)</f>
        <v>10832.122771300368</v>
      </c>
      <c r="I16" s="131">
        <f>IF(SER_hh_fec_in!I16=0,0,11630*1000*SER_hh_fec_in!I16/SER_hh_num_in!I16)</f>
        <v>8071.8430083598341</v>
      </c>
      <c r="J16" s="131">
        <f>IF(SER_hh_fec_in!J16=0,0,11630*1000*SER_hh_fec_in!J16/SER_hh_num_in!J16)</f>
        <v>7889.6678320142737</v>
      </c>
      <c r="K16" s="131">
        <f>IF(SER_hh_fec_in!K16=0,0,11630*1000*SER_hh_fec_in!K16/SER_hh_num_in!K16)</f>
        <v>8023.7724284764754</v>
      </c>
      <c r="L16" s="131">
        <f>IF(SER_hh_fec_in!L16=0,0,11630*1000*SER_hh_fec_in!L16/SER_hh_num_in!L16)</f>
        <v>7618.2059685369568</v>
      </c>
      <c r="M16" s="131">
        <f>IF(SER_hh_fec_in!M16=0,0,11630*1000*SER_hh_fec_in!M16/SER_hh_num_in!M16)</f>
        <v>7241.4234165165835</v>
      </c>
      <c r="N16" s="131">
        <f>IF(SER_hh_fec_in!N16=0,0,11630*1000*SER_hh_fec_in!N16/SER_hh_num_in!N16)</f>
        <v>7399.3249185086606</v>
      </c>
      <c r="O16" s="131">
        <f>IF(SER_hh_fec_in!O16=0,0,11630*1000*SER_hh_fec_in!O16/SER_hh_num_in!O16)</f>
        <v>6781.0592596482757</v>
      </c>
      <c r="P16" s="131">
        <f>IF(SER_hh_fec_in!P16=0,0,11630*1000*SER_hh_fec_in!P16/SER_hh_num_in!P16)</f>
        <v>5792.1417194802862</v>
      </c>
      <c r="Q16" s="131">
        <f>IF(SER_hh_fec_in!Q16=0,0,11630*1000*SER_hh_fec_in!Q16/SER_hh_num_in!Q16)</f>
        <v>7055.8842741615172</v>
      </c>
      <c r="R16" s="131">
        <f>IF(SER_hh_fec_in!R16=0,0,11630*1000*SER_hh_fec_in!R16/SER_hh_num_in!R16)</f>
        <v>5745.2260586304265</v>
      </c>
      <c r="S16" s="131">
        <f>IF(SER_hh_fec_in!S16=0,0,11630*1000*SER_hh_fec_in!S16/SER_hh_num_in!S16)</f>
        <v>6067.1287080038846</v>
      </c>
      <c r="T16" s="131">
        <f>IF(SER_hh_fec_in!T16=0,0,11630*1000*SER_hh_fec_in!T16/SER_hh_num_in!T16)</f>
        <v>5666.7388208093853</v>
      </c>
      <c r="U16" s="131">
        <f>IF(SER_hh_fec_in!U16=0,0,11630*1000*SER_hh_fec_in!U16/SER_hh_num_in!U16)</f>
        <v>5493.3533284625573</v>
      </c>
      <c r="V16" s="131">
        <f>IF(SER_hh_fec_in!V16=0,0,11630*1000*SER_hh_fec_in!V16/SER_hh_num_in!V16)</f>
        <v>5432.301304018506</v>
      </c>
      <c r="W16" s="131">
        <f>IF(SER_hh_fec_in!W16=0,0,11630*1000*SER_hh_fec_in!W16/SER_hh_num_in!W16)</f>
        <v>3859.4432419252103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19290.109592455523</v>
      </c>
      <c r="D17" s="133">
        <f>IF(SER_hh_fec_in!D17=0,0,11630*1000*SER_hh_fec_in!D17/SER_hh_num_in!D17)</f>
        <v>18256.080391776064</v>
      </c>
      <c r="E17" s="133">
        <f>IF(SER_hh_fec_in!E17=0,0,11630*1000*SER_hh_fec_in!E17/SER_hh_num_in!E17)</f>
        <v>35472.134544167471</v>
      </c>
      <c r="F17" s="133">
        <f>IF(SER_hh_fec_in!F17=0,0,11630*1000*SER_hh_fec_in!F17/SER_hh_num_in!F17)</f>
        <v>18388.626520245092</v>
      </c>
      <c r="G17" s="133">
        <f>IF(SER_hh_fec_in!G17=0,0,11630*1000*SER_hh_fec_in!G17/SER_hh_num_in!G17)</f>
        <v>19749.914071361804</v>
      </c>
      <c r="H17" s="133">
        <f>IF(SER_hh_fec_in!H17=0,0,11630*1000*SER_hh_fec_in!H17/SER_hh_num_in!H17)</f>
        <v>22348.02262080065</v>
      </c>
      <c r="I17" s="133">
        <f>IF(SER_hh_fec_in!I17=0,0,11630*1000*SER_hh_fec_in!I17/SER_hh_num_in!I17)</f>
        <v>17226.779536638351</v>
      </c>
      <c r="J17" s="133">
        <f>IF(SER_hh_fec_in!J17=0,0,11630*1000*SER_hh_fec_in!J17/SER_hh_num_in!J17)</f>
        <v>17220.860782128282</v>
      </c>
      <c r="K17" s="133">
        <f>IF(SER_hh_fec_in!K17=0,0,11630*1000*SER_hh_fec_in!K17/SER_hh_num_in!K17)</f>
        <v>18044.240519172108</v>
      </c>
      <c r="L17" s="133">
        <f>IF(SER_hh_fec_in!L17=0,0,11630*1000*SER_hh_fec_in!L17/SER_hh_num_in!L17)</f>
        <v>17467.618773510523</v>
      </c>
      <c r="M17" s="133">
        <f>IF(SER_hh_fec_in!M17=0,0,11630*1000*SER_hh_fec_in!M17/SER_hh_num_in!M17)</f>
        <v>16825.632001067621</v>
      </c>
      <c r="N17" s="133">
        <f>IF(SER_hh_fec_in!N17=0,0,11630*1000*SER_hh_fec_in!N17/SER_hh_num_in!N17)</f>
        <v>17128.928905056884</v>
      </c>
      <c r="O17" s="133">
        <f>IF(SER_hh_fec_in!O17=0,0,11630*1000*SER_hh_fec_in!O17/SER_hh_num_in!O17)</f>
        <v>16316.3276202008</v>
      </c>
      <c r="P17" s="133">
        <f>IF(SER_hh_fec_in!P17=0,0,11630*1000*SER_hh_fec_in!P17/SER_hh_num_in!P17)</f>
        <v>14584.870813737089</v>
      </c>
      <c r="Q17" s="133">
        <f>IF(SER_hh_fec_in!Q17=0,0,11630*1000*SER_hh_fec_in!Q17/SER_hh_num_in!Q17)</f>
        <v>17106.2396047328</v>
      </c>
      <c r="R17" s="133">
        <f>IF(SER_hh_fec_in!R17=0,0,11630*1000*SER_hh_fec_in!R17/SER_hh_num_in!R17)</f>
        <v>14359.681561143916</v>
      </c>
      <c r="S17" s="133">
        <f>IF(SER_hh_fec_in!S17=0,0,11630*1000*SER_hh_fec_in!S17/SER_hh_num_in!S17)</f>
        <v>14792.920676233494</v>
      </c>
      <c r="T17" s="133">
        <f>IF(SER_hh_fec_in!T17=0,0,11630*1000*SER_hh_fec_in!T17/SER_hh_num_in!T17)</f>
        <v>13807.186439026531</v>
      </c>
      <c r="U17" s="133">
        <f>IF(SER_hh_fec_in!U17=0,0,11630*1000*SER_hh_fec_in!U17/SER_hh_num_in!U17)</f>
        <v>13126.814788735403</v>
      </c>
      <c r="V17" s="133">
        <f>IF(SER_hh_fec_in!V17=0,0,11630*1000*SER_hh_fec_in!V17/SER_hh_num_in!V17)</f>
        <v>11877.050166393152</v>
      </c>
      <c r="W17" s="133">
        <f>IF(SER_hh_fec_in!W17=0,0,11630*1000*SER_hh_fec_in!W17/SER_hh_num_in!W17)</f>
        <v>8379.7618599714733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10657.455790932563</v>
      </c>
      <c r="D18" s="133">
        <f>IF(SER_hh_fec_in!D18=0,0,11630*1000*SER_hh_fec_in!D18/SER_hh_num_in!D18)</f>
        <v>9792.3295790581233</v>
      </c>
      <c r="E18" s="133">
        <f>IF(SER_hh_fec_in!E18=0,0,11630*1000*SER_hh_fec_in!E18/SER_hh_num_in!E18)</f>
        <v>16419.393949539739</v>
      </c>
      <c r="F18" s="133">
        <f>IF(SER_hh_fec_in!F18=0,0,11630*1000*SER_hh_fec_in!F18/SER_hh_num_in!F18)</f>
        <v>9300.2947432236087</v>
      </c>
      <c r="G18" s="133">
        <f>IF(SER_hh_fec_in!G18=0,0,11630*1000*SER_hh_fec_in!G18/SER_hh_num_in!G18)</f>
        <v>9717.2751634546275</v>
      </c>
      <c r="H18" s="133">
        <f>IF(SER_hh_fec_in!H18=0,0,11630*1000*SER_hh_fec_in!H18/SER_hh_num_in!H18)</f>
        <v>10669.900773570509</v>
      </c>
      <c r="I18" s="133">
        <f>IF(SER_hh_fec_in!I18=0,0,11630*1000*SER_hh_fec_in!I18/SER_hh_num_in!I18)</f>
        <v>8000.6229673219113</v>
      </c>
      <c r="J18" s="133">
        <f>IF(SER_hh_fec_in!J18=0,0,11630*1000*SER_hh_fec_in!J18/SER_hh_num_in!J18)</f>
        <v>7778.4911068379306</v>
      </c>
      <c r="K18" s="133">
        <f>IF(SER_hh_fec_in!K18=0,0,11630*1000*SER_hh_fec_in!K18/SER_hh_num_in!K18)</f>
        <v>7932.0471337310328</v>
      </c>
      <c r="L18" s="133">
        <f>IF(SER_hh_fec_in!L18=0,0,11630*1000*SER_hh_fec_in!L18/SER_hh_num_in!L18)</f>
        <v>7464.3259919250704</v>
      </c>
      <c r="M18" s="133">
        <f>IF(SER_hh_fec_in!M18=0,0,11630*1000*SER_hh_fec_in!M18/SER_hh_num_in!M18)</f>
        <v>6968.1604896372082</v>
      </c>
      <c r="N18" s="133">
        <f>IF(SER_hh_fec_in!N18=0,0,11630*1000*SER_hh_fec_in!N18/SER_hh_num_in!N18)</f>
        <v>6884.7871133850722</v>
      </c>
      <c r="O18" s="133">
        <f>IF(SER_hh_fec_in!O18=0,0,11630*1000*SER_hh_fec_in!O18/SER_hh_num_in!O18)</f>
        <v>6387.2459982328819</v>
      </c>
      <c r="P18" s="133">
        <f>IF(SER_hh_fec_in!P18=0,0,11630*1000*SER_hh_fec_in!P18/SER_hh_num_in!P18)</f>
        <v>5595.1326462006054</v>
      </c>
      <c r="Q18" s="133">
        <f>IF(SER_hh_fec_in!Q18=0,0,11630*1000*SER_hh_fec_in!Q18/SER_hh_num_in!Q18)</f>
        <v>6501.2874944814457</v>
      </c>
      <c r="R18" s="133">
        <f>IF(SER_hh_fec_in!R18=0,0,11630*1000*SER_hh_fec_in!R18/SER_hh_num_in!R18)</f>
        <v>5446.1529193446158</v>
      </c>
      <c r="S18" s="133">
        <f>IF(SER_hh_fec_in!S18=0,0,11630*1000*SER_hh_fec_in!S18/SER_hh_num_in!S18)</f>
        <v>5614.600363334016</v>
      </c>
      <c r="T18" s="133">
        <f>IF(SER_hh_fec_in!T18=0,0,11630*1000*SER_hh_fec_in!T18/SER_hh_num_in!T18)</f>
        <v>5280.2011483625938</v>
      </c>
      <c r="U18" s="133">
        <f>IF(SER_hh_fec_in!U18=0,0,11630*1000*SER_hh_fec_in!U18/SER_hh_num_in!U18)</f>
        <v>5063.7275516725722</v>
      </c>
      <c r="V18" s="133">
        <f>IF(SER_hh_fec_in!V18=0,0,11630*1000*SER_hh_fec_in!V18/SER_hh_num_in!V18)</f>
        <v>4964.3384069149106</v>
      </c>
      <c r="W18" s="133">
        <f>IF(SER_hh_fec_in!W18=0,0,11630*1000*SER_hh_fec_in!W18/SER_hh_num_in!W18)</f>
        <v>3650.7095070318751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22900.043580940637</v>
      </c>
      <c r="D19" s="131">
        <f>IF(SER_hh_fec_in!D19=0,0,11630*1000*SER_hh_fec_in!D19/SER_hh_num_in!D19)</f>
        <v>22783.924358062926</v>
      </c>
      <c r="E19" s="131">
        <f>IF(SER_hh_fec_in!E19=0,0,11630*1000*SER_hh_fec_in!E19/SER_hh_num_in!E19)</f>
        <v>22078.46602155712</v>
      </c>
      <c r="F19" s="131">
        <f>IF(SER_hh_fec_in!F19=0,0,11630*1000*SER_hh_fec_in!F19/SER_hh_num_in!F19)</f>
        <v>22172.805965000534</v>
      </c>
      <c r="G19" s="131">
        <f>IF(SER_hh_fec_in!G19=0,0,11630*1000*SER_hh_fec_in!G19/SER_hh_num_in!G19)</f>
        <v>21362.199506444165</v>
      </c>
      <c r="H19" s="131">
        <f>IF(SER_hh_fec_in!H19=0,0,11630*1000*SER_hh_fec_in!H19/SER_hh_num_in!H19)</f>
        <v>21074.688620937213</v>
      </c>
      <c r="I19" s="131">
        <f>IF(SER_hh_fec_in!I19=0,0,11630*1000*SER_hh_fec_in!I19/SER_hh_num_in!I19)</f>
        <v>21159.102479160567</v>
      </c>
      <c r="J19" s="131">
        <f>IF(SER_hh_fec_in!J19=0,0,11630*1000*SER_hh_fec_in!J19/SER_hh_num_in!J19)</f>
        <v>21278.858268324078</v>
      </c>
      <c r="K19" s="131">
        <f>IF(SER_hh_fec_in!K19=0,0,11630*1000*SER_hh_fec_in!K19/SER_hh_num_in!K19)</f>
        <v>21499.529216435778</v>
      </c>
      <c r="L19" s="131">
        <f>IF(SER_hh_fec_in!L19=0,0,11630*1000*SER_hh_fec_in!L19/SER_hh_num_in!L19)</f>
        <v>20585.509792091048</v>
      </c>
      <c r="M19" s="131">
        <f>IF(SER_hh_fec_in!M19=0,0,11630*1000*SER_hh_fec_in!M19/SER_hh_num_in!M19)</f>
        <v>20620.511024838896</v>
      </c>
      <c r="N19" s="131">
        <f>IF(SER_hh_fec_in!N19=0,0,11630*1000*SER_hh_fec_in!N19/SER_hh_num_in!N19)</f>
        <v>19695.097055269627</v>
      </c>
      <c r="O19" s="131">
        <f>IF(SER_hh_fec_in!O19=0,0,11630*1000*SER_hh_fec_in!O19/SER_hh_num_in!O19)</f>
        <v>19843.507780247495</v>
      </c>
      <c r="P19" s="131">
        <f>IF(SER_hh_fec_in!P19=0,0,11630*1000*SER_hh_fec_in!P19/SER_hh_num_in!P19)</f>
        <v>19159.229056540207</v>
      </c>
      <c r="Q19" s="131">
        <f>IF(SER_hh_fec_in!Q19=0,0,11630*1000*SER_hh_fec_in!Q19/SER_hh_num_in!Q19)</f>
        <v>18098.749326560403</v>
      </c>
      <c r="R19" s="131">
        <f>IF(SER_hh_fec_in!R19=0,0,11630*1000*SER_hh_fec_in!R19/SER_hh_num_in!R19)</f>
        <v>18070.7193077296</v>
      </c>
      <c r="S19" s="131">
        <f>IF(SER_hh_fec_in!S19=0,0,11630*1000*SER_hh_fec_in!S19/SER_hh_num_in!S19)</f>
        <v>17369.591088463221</v>
      </c>
      <c r="T19" s="131">
        <f>IF(SER_hh_fec_in!T19=0,0,11630*1000*SER_hh_fec_in!T19/SER_hh_num_in!T19)</f>
        <v>17358.509715714878</v>
      </c>
      <c r="U19" s="131">
        <f>IF(SER_hh_fec_in!U19=0,0,11630*1000*SER_hh_fec_in!U19/SER_hh_num_in!U19)</f>
        <v>16499.148318191863</v>
      </c>
      <c r="V19" s="131">
        <f>IF(SER_hh_fec_in!V19=0,0,11630*1000*SER_hh_fec_in!V19/SER_hh_num_in!V19)</f>
        <v>14901.94123929872</v>
      </c>
      <c r="W19" s="131">
        <f>IF(SER_hh_fec_in!W19=0,0,11630*1000*SER_hh_fec_in!W19/SER_hh_num_in!W19)</f>
        <v>15768.193239248452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25220.114303387469</v>
      </c>
      <c r="D21" s="133">
        <f>IF(SER_hh_fec_in!D21=0,0,11630*1000*SER_hh_fec_in!D21/SER_hh_num_in!D21)</f>
        <v>25664.92607197315</v>
      </c>
      <c r="E21" s="133">
        <f>IF(SER_hh_fec_in!E21=0,0,11630*1000*SER_hh_fec_in!E21/SER_hh_num_in!E21)</f>
        <v>25662.516914223052</v>
      </c>
      <c r="F21" s="133">
        <f>IF(SER_hh_fec_in!F21=0,0,11630*1000*SER_hh_fec_in!F21/SER_hh_num_in!F21)</f>
        <v>25327.06642307085</v>
      </c>
      <c r="G21" s="133">
        <f>IF(SER_hh_fec_in!G21=0,0,11630*1000*SER_hh_fec_in!G21/SER_hh_num_in!G21)</f>
        <v>23664.816068013432</v>
      </c>
      <c r="H21" s="133">
        <f>IF(SER_hh_fec_in!H21=0,0,11630*1000*SER_hh_fec_in!H21/SER_hh_num_in!H21)</f>
        <v>24304.52914815626</v>
      </c>
      <c r="I21" s="133">
        <f>IF(SER_hh_fec_in!I21=0,0,11630*1000*SER_hh_fec_in!I21/SER_hh_num_in!I21)</f>
        <v>24072.710026775683</v>
      </c>
      <c r="J21" s="133">
        <f>IF(SER_hh_fec_in!J21=0,0,11630*1000*SER_hh_fec_in!J21/SER_hh_num_in!J21)</f>
        <v>24040.64590230324</v>
      </c>
      <c r="K21" s="133">
        <f>IF(SER_hh_fec_in!K21=0,0,11630*1000*SER_hh_fec_in!K21/SER_hh_num_in!K21)</f>
        <v>24441.774104727559</v>
      </c>
      <c r="L21" s="133">
        <f>IF(SER_hh_fec_in!L21=0,0,11630*1000*SER_hh_fec_in!L21/SER_hh_num_in!L21)</f>
        <v>23099.886743606981</v>
      </c>
      <c r="M21" s="133">
        <f>IF(SER_hh_fec_in!M21=0,0,11630*1000*SER_hh_fec_in!M21/SER_hh_num_in!M21)</f>
        <v>23149.17574806288</v>
      </c>
      <c r="N21" s="133">
        <f>IF(SER_hh_fec_in!N21=0,0,11630*1000*SER_hh_fec_in!N21/SER_hh_num_in!N21)</f>
        <v>21739.662600694668</v>
      </c>
      <c r="O21" s="133">
        <f>IF(SER_hh_fec_in!O21=0,0,11630*1000*SER_hh_fec_in!O21/SER_hh_num_in!O21)</f>
        <v>21360.548394764133</v>
      </c>
      <c r="P21" s="133">
        <f>IF(SER_hh_fec_in!P21=0,0,11630*1000*SER_hh_fec_in!P21/SER_hh_num_in!P21)</f>
        <v>20912.395412567075</v>
      </c>
      <c r="Q21" s="133">
        <f>IF(SER_hh_fec_in!Q21=0,0,11630*1000*SER_hh_fec_in!Q21/SER_hh_num_in!Q21)</f>
        <v>19372.743089763204</v>
      </c>
      <c r="R21" s="133">
        <f>IF(SER_hh_fec_in!R21=0,0,11630*1000*SER_hh_fec_in!R21/SER_hh_num_in!R21)</f>
        <v>19733.255791422922</v>
      </c>
      <c r="S21" s="133">
        <f>IF(SER_hh_fec_in!S21=0,0,11630*1000*SER_hh_fec_in!S21/SER_hh_num_in!S21)</f>
        <v>20182.601361903424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15909.787733163919</v>
      </c>
      <c r="W21" s="133">
        <f>IF(SER_hh_fec_in!W21=0,0,11630*1000*SER_hh_fec_in!W21/SER_hh_num_in!W21)</f>
        <v>16350.58775351566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27339.075484395667</v>
      </c>
      <c r="D22" s="133">
        <f>IF(SER_hh_fec_in!D22=0,0,11630*1000*SER_hh_fec_in!D22/SER_hh_num_in!D22)</f>
        <v>26810.800635600488</v>
      </c>
      <c r="E22" s="133">
        <f>IF(SER_hh_fec_in!E22=0,0,11630*1000*SER_hh_fec_in!E22/SER_hh_num_in!E22)</f>
        <v>26420.622120952801</v>
      </c>
      <c r="F22" s="133">
        <f>IF(SER_hh_fec_in!F22=0,0,11630*1000*SER_hh_fec_in!F22/SER_hh_num_in!F22)</f>
        <v>26687.529386222181</v>
      </c>
      <c r="G22" s="133">
        <f>IF(SER_hh_fec_in!G22=0,0,11630*1000*SER_hh_fec_in!G22/SER_hh_num_in!G22)</f>
        <v>26091.033604835051</v>
      </c>
      <c r="H22" s="133">
        <f>IF(SER_hh_fec_in!H22=0,0,11630*1000*SER_hh_fec_in!H22/SER_hh_num_in!H22)</f>
        <v>25663.613489730436</v>
      </c>
      <c r="I22" s="133">
        <f>IF(SER_hh_fec_in!I22=0,0,11630*1000*SER_hh_fec_in!I22/SER_hh_num_in!I22)</f>
        <v>24741.874600783329</v>
      </c>
      <c r="J22" s="133">
        <f>IF(SER_hh_fec_in!J22=0,0,11630*1000*SER_hh_fec_in!J22/SER_hh_num_in!J22)</f>
        <v>25442.175633629504</v>
      </c>
      <c r="K22" s="133">
        <f>IF(SER_hh_fec_in!K22=0,0,11630*1000*SER_hh_fec_in!K22/SER_hh_num_in!K22)</f>
        <v>25619.028458412726</v>
      </c>
      <c r="L22" s="133">
        <f>IF(SER_hh_fec_in!L22=0,0,11630*1000*SER_hh_fec_in!L22/SER_hh_num_in!L22)</f>
        <v>24290.02339117906</v>
      </c>
      <c r="M22" s="133">
        <f>IF(SER_hh_fec_in!M22=0,0,11630*1000*SER_hh_fec_in!M22/SER_hh_num_in!M22)</f>
        <v>23111.703981796232</v>
      </c>
      <c r="N22" s="133">
        <f>IF(SER_hh_fec_in!N22=0,0,11630*1000*SER_hh_fec_in!N22/SER_hh_num_in!N22)</f>
        <v>23936.401431897346</v>
      </c>
      <c r="O22" s="133">
        <f>IF(SER_hh_fec_in!O22=0,0,11630*1000*SER_hh_fec_in!O22/SER_hh_num_in!O22)</f>
        <v>22864.589105927713</v>
      </c>
      <c r="P22" s="133">
        <f>IF(SER_hh_fec_in!P22=0,0,11630*1000*SER_hh_fec_in!P22/SER_hh_num_in!P22)</f>
        <v>21437.634313373717</v>
      </c>
      <c r="Q22" s="133">
        <f>IF(SER_hh_fec_in!Q22=0,0,11630*1000*SER_hh_fec_in!Q22/SER_hh_num_in!Q22)</f>
        <v>20912.336149929641</v>
      </c>
      <c r="R22" s="133">
        <f>IF(SER_hh_fec_in!R22=0,0,11630*1000*SER_hh_fec_in!R22/SER_hh_num_in!R22)</f>
        <v>19011.417527751044</v>
      </c>
      <c r="S22" s="133">
        <f>IF(SER_hh_fec_in!S22=0,0,11630*1000*SER_hh_fec_in!S22/SER_hh_num_in!S22)</f>
        <v>19829.292923098743</v>
      </c>
      <c r="T22" s="133">
        <f>IF(SER_hh_fec_in!T22=0,0,11630*1000*SER_hh_fec_in!T22/SER_hh_num_in!T22)</f>
        <v>18532.140742948144</v>
      </c>
      <c r="U22" s="133">
        <f>IF(SER_hh_fec_in!U22=0,0,11630*1000*SER_hh_fec_in!U22/SER_hh_num_in!U22)</f>
        <v>17625.454215847418</v>
      </c>
      <c r="V22" s="133">
        <f>IF(SER_hh_fec_in!V22=0,0,11630*1000*SER_hh_fec_in!V22/SER_hh_num_in!V22)</f>
        <v>16701.901645944192</v>
      </c>
      <c r="W22" s="133">
        <f>IF(SER_hh_fec_in!W22=0,0,11630*1000*SER_hh_fec_in!W22/SER_hh_num_in!W22)</f>
        <v>16003.428456310578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24904.260786658946</v>
      </c>
      <c r="D23" s="133">
        <f>IF(SER_hh_fec_in!D23=0,0,11630*1000*SER_hh_fec_in!D23/SER_hh_num_in!D23)</f>
        <v>24349.204010412381</v>
      </c>
      <c r="E23" s="133">
        <f>IF(SER_hh_fec_in!E23=0,0,11630*1000*SER_hh_fec_in!E23/SER_hh_num_in!E23)</f>
        <v>24450.289454211386</v>
      </c>
      <c r="F23" s="133">
        <f>IF(SER_hh_fec_in!F23=0,0,11630*1000*SER_hh_fec_in!F23/SER_hh_num_in!F23)</f>
        <v>24408.812848767564</v>
      </c>
      <c r="G23" s="133">
        <f>IF(SER_hh_fec_in!G23=0,0,11630*1000*SER_hh_fec_in!G23/SER_hh_num_in!G23)</f>
        <v>22737.766508608733</v>
      </c>
      <c r="H23" s="133">
        <f>IF(SER_hh_fec_in!H23=0,0,11630*1000*SER_hh_fec_in!H23/SER_hh_num_in!H23)</f>
        <v>22434.950040784122</v>
      </c>
      <c r="I23" s="133">
        <f>IF(SER_hh_fec_in!I23=0,0,11630*1000*SER_hh_fec_in!I23/SER_hh_num_in!I23)</f>
        <v>22317.135087637205</v>
      </c>
      <c r="J23" s="133">
        <f>IF(SER_hh_fec_in!J23=0,0,11630*1000*SER_hh_fec_in!J23/SER_hh_num_in!J23)</f>
        <v>21731.669853393731</v>
      </c>
      <c r="K23" s="133">
        <f>IF(SER_hh_fec_in!K23=0,0,11630*1000*SER_hh_fec_in!K23/SER_hh_num_in!K23)</f>
        <v>22912.782774751126</v>
      </c>
      <c r="L23" s="133">
        <f>IF(SER_hh_fec_in!L23=0,0,11630*1000*SER_hh_fec_in!L23/SER_hh_num_in!L23)</f>
        <v>21718.182822937371</v>
      </c>
      <c r="M23" s="133">
        <f>IF(SER_hh_fec_in!M23=0,0,11630*1000*SER_hh_fec_in!M23/SER_hh_num_in!M23)</f>
        <v>23602.935596342126</v>
      </c>
      <c r="N23" s="133">
        <f>IF(SER_hh_fec_in!N23=0,0,11630*1000*SER_hh_fec_in!N23/SER_hh_num_in!N23)</f>
        <v>17768.352992653272</v>
      </c>
      <c r="O23" s="133">
        <f>IF(SER_hh_fec_in!O23=0,0,11630*1000*SER_hh_fec_in!O23/SER_hh_num_in!O23)</f>
        <v>19014.385278878166</v>
      </c>
      <c r="P23" s="133">
        <f>IF(SER_hh_fec_in!P23=0,0,11630*1000*SER_hh_fec_in!P23/SER_hh_num_in!P23)</f>
        <v>19605.972233359327</v>
      </c>
      <c r="Q23" s="133">
        <f>IF(SER_hh_fec_in!Q23=0,0,11630*1000*SER_hh_fec_in!Q23/SER_hh_num_in!Q23)</f>
        <v>18137.035031847914</v>
      </c>
      <c r="R23" s="133">
        <f>IF(SER_hh_fec_in!R23=0,0,11630*1000*SER_hh_fec_in!R23/SER_hh_num_in!R23)</f>
        <v>19513.446525923537</v>
      </c>
      <c r="S23" s="133">
        <f>IF(SER_hh_fec_in!S23=0,0,11630*1000*SER_hh_fec_in!S23/SER_hh_num_in!S23)</f>
        <v>18179.96434903625</v>
      </c>
      <c r="T23" s="133">
        <f>IF(SER_hh_fec_in!T23=0,0,11630*1000*SER_hh_fec_in!T23/SER_hh_num_in!T23)</f>
        <v>18019.010711087809</v>
      </c>
      <c r="U23" s="133">
        <f>IF(SER_hh_fec_in!U23=0,0,11630*1000*SER_hh_fec_in!U23/SER_hh_num_in!U23)</f>
        <v>17209.796781900932</v>
      </c>
      <c r="V23" s="133">
        <f>IF(SER_hh_fec_in!V23=0,0,11630*1000*SER_hh_fec_in!V23/SER_hh_num_in!V23)</f>
        <v>15065.161953266645</v>
      </c>
      <c r="W23" s="133">
        <f>IF(SER_hh_fec_in!W23=0,0,11630*1000*SER_hh_fec_in!W23/SER_hh_num_in!W23)</f>
        <v>18341.212148782386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24412.618880092865</v>
      </c>
      <c r="D24" s="133">
        <f>IF(SER_hh_fec_in!D24=0,0,11630*1000*SER_hh_fec_in!D24/SER_hh_num_in!D24)</f>
        <v>23729.2409532491</v>
      </c>
      <c r="E24" s="133">
        <f>IF(SER_hh_fec_in!E24=0,0,11630*1000*SER_hh_fec_in!E24/SER_hh_num_in!E24)</f>
        <v>23043.651390681778</v>
      </c>
      <c r="F24" s="133">
        <f>IF(SER_hh_fec_in!F24=0,0,11630*1000*SER_hh_fec_in!F24/SER_hh_num_in!F24)</f>
        <v>23255.794178831235</v>
      </c>
      <c r="G24" s="133">
        <f>IF(SER_hh_fec_in!G24=0,0,11630*1000*SER_hh_fec_in!G24/SER_hh_num_in!G24)</f>
        <v>21870.544338419499</v>
      </c>
      <c r="H24" s="133">
        <f>IF(SER_hh_fec_in!H24=0,0,11630*1000*SER_hh_fec_in!H24/SER_hh_num_in!H24)</f>
        <v>20554.3560868516</v>
      </c>
      <c r="I24" s="133">
        <f>IF(SER_hh_fec_in!I24=0,0,11630*1000*SER_hh_fec_in!I24/SER_hh_num_in!I24)</f>
        <v>22016.945606045359</v>
      </c>
      <c r="J24" s="133">
        <f>IF(SER_hh_fec_in!J24=0,0,11630*1000*SER_hh_fec_in!J24/SER_hh_num_in!J24)</f>
        <v>20417.292756546496</v>
      </c>
      <c r="K24" s="133">
        <f>IF(SER_hh_fec_in!K24=0,0,11630*1000*SER_hh_fec_in!K24/SER_hh_num_in!K24)</f>
        <v>21490.596843730069</v>
      </c>
      <c r="L24" s="133">
        <f>IF(SER_hh_fec_in!L24=0,0,11630*1000*SER_hh_fec_in!L24/SER_hh_num_in!L24)</f>
        <v>22813.117636494633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16738.617810044234</v>
      </c>
      <c r="O24" s="133">
        <f>IF(SER_hh_fec_in!O24=0,0,11630*1000*SER_hh_fec_in!O24/SER_hh_num_in!O24)</f>
        <v>22120.337873133914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18683.09781683945</v>
      </c>
      <c r="S24" s="133">
        <f>IF(SER_hh_fec_in!S24=0,0,11630*1000*SER_hh_fec_in!S24/SER_hh_num_in!S24)</f>
        <v>18518.310852400016</v>
      </c>
      <c r="T24" s="133">
        <f>IF(SER_hh_fec_in!T24=0,0,11630*1000*SER_hh_fec_in!T24/SER_hh_num_in!T24)</f>
        <v>17304.610143089929</v>
      </c>
      <c r="U24" s="133">
        <f>IF(SER_hh_fec_in!U24=0,0,11630*1000*SER_hh_fec_in!U24/SER_hh_num_in!U24)</f>
        <v>16609.303867436807</v>
      </c>
      <c r="V24" s="133">
        <f>IF(SER_hh_fec_in!V24=0,0,11630*1000*SER_hh_fec_in!V24/SER_hh_num_in!V24)</f>
        <v>15884.999213841818</v>
      </c>
      <c r="W24" s="133">
        <f>IF(SER_hh_fec_in!W24=0,0,11630*1000*SER_hh_fec_in!W24/SER_hh_num_in!W24)</f>
        <v>17021.95538503522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18000.750410732187</v>
      </c>
      <c r="D25" s="133">
        <f>IF(SER_hh_fec_in!D25=0,0,11630*1000*SER_hh_fec_in!D25/SER_hh_num_in!D25)</f>
        <v>17428.618258763396</v>
      </c>
      <c r="E25" s="133">
        <f>IF(SER_hh_fec_in!E25=0,0,11630*1000*SER_hh_fec_in!E25/SER_hh_num_in!E25)</f>
        <v>17403.783846588583</v>
      </c>
      <c r="F25" s="133">
        <f>IF(SER_hh_fec_in!F25=0,0,11630*1000*SER_hh_fec_in!F25/SER_hh_num_in!F25)</f>
        <v>17612.02134825601</v>
      </c>
      <c r="G25" s="133">
        <f>IF(SER_hh_fec_in!G25=0,0,11630*1000*SER_hh_fec_in!G25/SER_hh_num_in!G25)</f>
        <v>17635.483474827804</v>
      </c>
      <c r="H25" s="133">
        <f>IF(SER_hh_fec_in!H25=0,0,11630*1000*SER_hh_fec_in!H25/SER_hh_num_in!H25)</f>
        <v>0</v>
      </c>
      <c r="I25" s="133">
        <f>IF(SER_hh_fec_in!I25=0,0,11630*1000*SER_hh_fec_in!I25/SER_hh_num_in!I25)</f>
        <v>0</v>
      </c>
      <c r="J25" s="133">
        <f>IF(SER_hh_fec_in!J25=0,0,11630*1000*SER_hh_fec_in!J25/SER_hh_num_in!J25)</f>
        <v>0</v>
      </c>
      <c r="K25" s="133">
        <f>IF(SER_hh_fec_in!K25=0,0,11630*1000*SER_hh_fec_in!K25/SER_hh_num_in!K25)</f>
        <v>18363.845239826518</v>
      </c>
      <c r="L25" s="133">
        <f>IF(SER_hh_fec_in!L25=0,0,11630*1000*SER_hh_fec_in!L25/SER_hh_num_in!L25)</f>
        <v>16355.392728474346</v>
      </c>
      <c r="M25" s="133">
        <f>IF(SER_hh_fec_in!M25=0,0,11630*1000*SER_hh_fec_in!M25/SER_hh_num_in!M25)</f>
        <v>15266.615390897008</v>
      </c>
      <c r="N25" s="133">
        <f>IF(SER_hh_fec_in!N25=0,0,11630*1000*SER_hh_fec_in!N25/SER_hh_num_in!N25)</f>
        <v>17430.599656030739</v>
      </c>
      <c r="O25" s="133">
        <f>IF(SER_hh_fec_in!O25=0,0,11630*1000*SER_hh_fec_in!O25/SER_hh_num_in!O25)</f>
        <v>17669.404783782898</v>
      </c>
      <c r="P25" s="133">
        <f>IF(SER_hh_fec_in!P25=0,0,11630*1000*SER_hh_fec_in!P25/SER_hh_num_in!P25)</f>
        <v>15737.379425385951</v>
      </c>
      <c r="Q25" s="133">
        <f>IF(SER_hh_fec_in!Q25=0,0,11630*1000*SER_hh_fec_in!Q25/SER_hh_num_in!Q25)</f>
        <v>15976.493038541264</v>
      </c>
      <c r="R25" s="133">
        <f>IF(SER_hh_fec_in!R25=0,0,11630*1000*SER_hh_fec_in!R25/SER_hh_num_in!R25)</f>
        <v>16601.39687806087</v>
      </c>
      <c r="S25" s="133">
        <f>IF(SER_hh_fec_in!S25=0,0,11630*1000*SER_hh_fec_in!S25/SER_hh_num_in!S25)</f>
        <v>15565.631204950765</v>
      </c>
      <c r="T25" s="133">
        <f>IF(SER_hh_fec_in!T25=0,0,11630*1000*SER_hh_fec_in!T25/SER_hh_num_in!T25)</f>
        <v>16977.687354738831</v>
      </c>
      <c r="U25" s="133">
        <f>IF(SER_hh_fec_in!U25=0,0,11630*1000*SER_hh_fec_in!U25/SER_hh_num_in!U25)</f>
        <v>15575.257542951224</v>
      </c>
      <c r="V25" s="133">
        <f>IF(SER_hh_fec_in!V25=0,0,11630*1000*SER_hh_fec_in!V25/SER_hh_num_in!V25)</f>
        <v>14701.685180823337</v>
      </c>
      <c r="W25" s="133">
        <f>IF(SER_hh_fec_in!W25=0,0,11630*1000*SER_hh_fec_in!W25/SER_hh_num_in!W25)</f>
        <v>13421.770354041337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21337.736900923086</v>
      </c>
      <c r="D26" s="65">
        <f>IF(SER_hh_fec_in!D26=0,0,11630*1000*SER_hh_fec_in!D26/SER_hh_num_in!D26)</f>
        <v>21439.630615319802</v>
      </c>
      <c r="E26" s="65">
        <f>IF(SER_hh_fec_in!E26=0,0,11630*1000*SER_hh_fec_in!E26/SER_hh_num_in!E26)</f>
        <v>20346.562963218013</v>
      </c>
      <c r="F26" s="65">
        <f>IF(SER_hh_fec_in!F26=0,0,11630*1000*SER_hh_fec_in!F26/SER_hh_num_in!F26)</f>
        <v>21065.959649085551</v>
      </c>
      <c r="G26" s="65">
        <f>IF(SER_hh_fec_in!G26=0,0,11630*1000*SER_hh_fec_in!G26/SER_hh_num_in!G26)</f>
        <v>18746.732489669572</v>
      </c>
      <c r="H26" s="65">
        <f>IF(SER_hh_fec_in!H26=0,0,11630*1000*SER_hh_fec_in!H26/SER_hh_num_in!H26)</f>
        <v>19996.063456342912</v>
      </c>
      <c r="I26" s="65">
        <f>IF(SER_hh_fec_in!I26=0,0,11630*1000*SER_hh_fec_in!I26/SER_hh_num_in!I26)</f>
        <v>20066.881208021216</v>
      </c>
      <c r="J26" s="65">
        <f>IF(SER_hh_fec_in!J26=0,0,11630*1000*SER_hh_fec_in!J26/SER_hh_num_in!J26)</f>
        <v>20077.654108638839</v>
      </c>
      <c r="K26" s="65">
        <f>IF(SER_hh_fec_in!K26=0,0,11630*1000*SER_hh_fec_in!K26/SER_hh_num_in!K26)</f>
        <v>19471.562795634527</v>
      </c>
      <c r="L26" s="65">
        <f>IF(SER_hh_fec_in!L26=0,0,11630*1000*SER_hh_fec_in!L26/SER_hh_num_in!L26)</f>
        <v>18523.668450902955</v>
      </c>
      <c r="M26" s="65">
        <f>IF(SER_hh_fec_in!M26=0,0,11630*1000*SER_hh_fec_in!M26/SER_hh_num_in!M26)</f>
        <v>19029.949410241094</v>
      </c>
      <c r="N26" s="65">
        <f>IF(SER_hh_fec_in!N26=0,0,11630*1000*SER_hh_fec_in!N26/SER_hh_num_in!N26)</f>
        <v>13043.145876152708</v>
      </c>
      <c r="O26" s="65">
        <f>IF(SER_hh_fec_in!O26=0,0,11630*1000*SER_hh_fec_in!O26/SER_hh_num_in!O26)</f>
        <v>16680.971589500172</v>
      </c>
      <c r="P26" s="65">
        <f>IF(SER_hh_fec_in!P26=0,0,11630*1000*SER_hh_fec_in!P26/SER_hh_num_in!P26)</f>
        <v>18745.70872275245</v>
      </c>
      <c r="Q26" s="65">
        <f>IF(SER_hh_fec_in!Q26=0,0,11630*1000*SER_hh_fec_in!Q26/SER_hh_num_in!Q26)</f>
        <v>13147.075295726587</v>
      </c>
      <c r="R26" s="65">
        <f>IF(SER_hh_fec_in!R26=0,0,11630*1000*SER_hh_fec_in!R26/SER_hh_num_in!R26)</f>
        <v>17128.490505275862</v>
      </c>
      <c r="S26" s="65">
        <f>IF(SER_hh_fec_in!S26=0,0,11630*1000*SER_hh_fec_in!S26/SER_hh_num_in!S26)</f>
        <v>15794.180380638792</v>
      </c>
      <c r="T26" s="65">
        <f>IF(SER_hh_fec_in!T26=0,0,11630*1000*SER_hh_fec_in!T26/SER_hh_num_in!T26)</f>
        <v>16645.21651447672</v>
      </c>
      <c r="U26" s="65">
        <f>IF(SER_hh_fec_in!U26=0,0,11630*1000*SER_hh_fec_in!U26/SER_hh_num_in!U26)</f>
        <v>15283.037622677608</v>
      </c>
      <c r="V26" s="65">
        <f>IF(SER_hh_fec_in!V26=0,0,11630*1000*SER_hh_fec_in!V26/SER_hh_num_in!V26)</f>
        <v>12721.034706827864</v>
      </c>
      <c r="W26" s="65">
        <f>IF(SER_hh_fec_in!W26=0,0,11630*1000*SER_hh_fec_in!W26/SER_hh_num_in!W26)</f>
        <v>15126.281587558076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1079.1710235407054</v>
      </c>
      <c r="H27" s="146">
        <f>IF(SER_hh_fec_in!H27=0,0,11630*1000*SER_hh_fec_in!H27/SER_hh_num_in!H19)</f>
        <v>32.336263511201984</v>
      </c>
      <c r="I27" s="146">
        <f>IF(SER_hh_fec_in!I27=0,0,11630*1000*SER_hh_fec_in!I27/SER_hh_num_in!I19)</f>
        <v>173.69238499608872</v>
      </c>
      <c r="J27" s="146">
        <f>IF(SER_hh_fec_in!J27=0,0,11630*1000*SER_hh_fec_in!J27/SER_hh_num_in!J19)</f>
        <v>193.96839249855529</v>
      </c>
      <c r="K27" s="146">
        <f>IF(SER_hh_fec_in!K27=0,0,11630*1000*SER_hh_fec_in!K27/SER_hh_num_in!K19)</f>
        <v>285.80249771869052</v>
      </c>
      <c r="L27" s="146">
        <f>IF(SER_hh_fec_in!L27=0,0,11630*1000*SER_hh_fec_in!L27/SER_hh_num_in!L19)</f>
        <v>851.82261874165351</v>
      </c>
      <c r="M27" s="146">
        <f>IF(SER_hh_fec_in!M27=0,0,11630*1000*SER_hh_fec_in!M27/SER_hh_num_in!M19)</f>
        <v>335.26928001959186</v>
      </c>
      <c r="N27" s="146">
        <f>IF(SER_hh_fec_in!N27=0,0,11630*1000*SER_hh_fec_in!N27/SER_hh_num_in!N19)</f>
        <v>2937.1409570963074</v>
      </c>
      <c r="O27" s="146">
        <f>IF(SER_hh_fec_in!O27=0,0,11630*1000*SER_hh_fec_in!O27/SER_hh_num_in!O19)</f>
        <v>1230.53455088086</v>
      </c>
      <c r="P27" s="146">
        <f>IF(SER_hh_fec_in!P27=0,0,11630*1000*SER_hh_fec_in!P27/SER_hh_num_in!P19)</f>
        <v>2.7300524330709018E-4</v>
      </c>
      <c r="Q27" s="146">
        <f>IF(SER_hh_fec_in!Q27=0,0,11630*1000*SER_hh_fec_in!Q27/SER_hh_num_in!Q19)</f>
        <v>2492.0686234296518</v>
      </c>
      <c r="R27" s="146">
        <f>IF(SER_hh_fec_in!R27=0,0,11630*1000*SER_hh_fec_in!R27/SER_hh_num_in!R19)</f>
        <v>331.02710684559219</v>
      </c>
      <c r="S27" s="146">
        <f>IF(SER_hh_fec_in!S27=0,0,11630*1000*SER_hh_fec_in!S27/SER_hh_num_in!S19)</f>
        <v>755.54095301258826</v>
      </c>
      <c r="T27" s="146">
        <f>IF(SER_hh_fec_in!T27=0,0,11630*1000*SER_hh_fec_in!T27/SER_hh_num_in!T19)</f>
        <v>346.83067696829903</v>
      </c>
      <c r="U27" s="146">
        <f>IF(SER_hh_fec_in!U27=0,0,11630*1000*SER_hh_fec_in!U27/SER_hh_num_in!U19)</f>
        <v>632.79992670272111</v>
      </c>
      <c r="V27" s="146">
        <f>IF(SER_hh_fec_in!V27=0,0,11630*1000*SER_hh_fec_in!V27/SER_hh_num_in!V19)</f>
        <v>1188.6792855429478</v>
      </c>
      <c r="W27" s="146">
        <f>IF(SER_hh_fec_in!W27=0,0,11630*1000*SER_hh_fec_in!W27/SER_hh_num_in!W19)</f>
        <v>15.430483156011162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11605.835591478182</v>
      </c>
      <c r="H28" s="147">
        <f>IF(SER_hh_fec_in!H27=0,0,11630*1000*SER_hh_fec_in!H27/SER_hh_num_in!H27)</f>
        <v>11481.921794457812</v>
      </c>
      <c r="I28" s="147">
        <f>IF(SER_hh_fec_in!I27=0,0,11630*1000*SER_hh_fec_in!I27/SER_hh_num_in!I27)</f>
        <v>10774.725168725628</v>
      </c>
      <c r="J28" s="147">
        <f>IF(SER_hh_fec_in!J27=0,0,11630*1000*SER_hh_fec_in!J27/SER_hh_num_in!J27)</f>
        <v>11206.702812516294</v>
      </c>
      <c r="K28" s="147">
        <f>IF(SER_hh_fec_in!K27=0,0,11630*1000*SER_hh_fec_in!K27/SER_hh_num_in!K27)</f>
        <v>11663.252110380196</v>
      </c>
      <c r="L28" s="147">
        <f>IF(SER_hh_fec_in!L27=0,0,11630*1000*SER_hh_fec_in!L27/SER_hh_num_in!L27)</f>
        <v>8095.9384634578601</v>
      </c>
      <c r="M28" s="147">
        <f>IF(SER_hh_fec_in!M27=0,0,11630*1000*SER_hh_fec_in!M27/SER_hh_num_in!M27)</f>
        <v>11799.579482901605</v>
      </c>
      <c r="N28" s="147">
        <f>IF(SER_hh_fec_in!N27=0,0,11630*1000*SER_hh_fec_in!N27/SER_hh_num_in!N27)</f>
        <v>11161.768609801224</v>
      </c>
      <c r="O28" s="147">
        <f>IF(SER_hh_fec_in!O27=0,0,11630*1000*SER_hh_fec_in!O27/SER_hh_num_in!O27)</f>
        <v>11091.046349346312</v>
      </c>
      <c r="P28" s="147">
        <f>IF(SER_hh_fec_in!P27=0,0,11630*1000*SER_hh_fec_in!P27/SER_hh_num_in!P27)</f>
        <v>12046.702050844058</v>
      </c>
      <c r="Q28" s="147">
        <f>IF(SER_hh_fec_in!Q27=0,0,11630*1000*SER_hh_fec_in!Q27/SER_hh_num_in!Q27)</f>
        <v>11731.553049274957</v>
      </c>
      <c r="R28" s="147">
        <f>IF(SER_hh_fec_in!R27=0,0,11630*1000*SER_hh_fec_in!R27/SER_hh_num_in!R27)</f>
        <v>12044.580387755199</v>
      </c>
      <c r="S28" s="147">
        <f>IF(SER_hh_fec_in!S27=0,0,11630*1000*SER_hh_fec_in!S27/SER_hh_num_in!S27)</f>
        <v>11544.506597451664</v>
      </c>
      <c r="T28" s="147">
        <f>IF(SER_hh_fec_in!T27=0,0,11630*1000*SER_hh_fec_in!T27/SER_hh_num_in!T27)</f>
        <v>11732.82161274083</v>
      </c>
      <c r="U28" s="147">
        <f>IF(SER_hh_fec_in!U27=0,0,11630*1000*SER_hh_fec_in!U27/SER_hh_num_in!U27)</f>
        <v>11610.411215356897</v>
      </c>
      <c r="V28" s="147">
        <f>IF(SER_hh_fec_in!V27=0,0,11630*1000*SER_hh_fec_in!V27/SER_hh_num_in!V27)</f>
        <v>10649.082816820444</v>
      </c>
      <c r="W28" s="147">
        <f>IF(SER_hh_fec_in!W27=0,0,11630*1000*SER_hh_fec_in!W27/SER_hh_num_in!W27)</f>
        <v>11924.386375042957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19960.574626561585</v>
      </c>
      <c r="D29" s="131">
        <f>IF(SER_hh_fec_in!D29=0,0,11630*1000*SER_hh_fec_in!D29/SER_hh_num_in!D29)</f>
        <v>24842.934588955399</v>
      </c>
      <c r="E29" s="131">
        <f>IF(SER_hh_fec_in!E29=0,0,11630*1000*SER_hh_fec_in!E29/SER_hh_num_in!E29)</f>
        <v>22020.127223298932</v>
      </c>
      <c r="F29" s="131">
        <f>IF(SER_hh_fec_in!F29=0,0,11630*1000*SER_hh_fec_in!F29/SER_hh_num_in!F29)</f>
        <v>18539.272524569609</v>
      </c>
      <c r="G29" s="131">
        <f>IF(SER_hh_fec_in!G29=0,0,11630*1000*SER_hh_fec_in!G29/SER_hh_num_in!G29)</f>
        <v>19587.960633770057</v>
      </c>
      <c r="H29" s="131">
        <f>IF(SER_hh_fec_in!H29=0,0,11630*1000*SER_hh_fec_in!H29/SER_hh_num_in!H29)</f>
        <v>19060.178267498028</v>
      </c>
      <c r="I29" s="131">
        <f>IF(SER_hh_fec_in!I29=0,0,11630*1000*SER_hh_fec_in!I29/SER_hh_num_in!I29)</f>
        <v>20057.967256190481</v>
      </c>
      <c r="J29" s="131">
        <f>IF(SER_hh_fec_in!J29=0,0,11630*1000*SER_hh_fec_in!J29/SER_hh_num_in!J29)</f>
        <v>21243.76102893717</v>
      </c>
      <c r="K29" s="131">
        <f>IF(SER_hh_fec_in!K29=0,0,11630*1000*SER_hh_fec_in!K29/SER_hh_num_in!K29)</f>
        <v>23968.255642270095</v>
      </c>
      <c r="L29" s="131">
        <f>IF(SER_hh_fec_in!L29=0,0,11630*1000*SER_hh_fec_in!L29/SER_hh_num_in!L29)</f>
        <v>22346.979589965777</v>
      </c>
      <c r="M29" s="131">
        <f>IF(SER_hh_fec_in!M29=0,0,11630*1000*SER_hh_fec_in!M29/SER_hh_num_in!M29)</f>
        <v>20932.353855635072</v>
      </c>
      <c r="N29" s="131">
        <f>IF(SER_hh_fec_in!N29=0,0,11630*1000*SER_hh_fec_in!N29/SER_hh_num_in!N29)</f>
        <v>20904.398813673208</v>
      </c>
      <c r="O29" s="131">
        <f>IF(SER_hh_fec_in!O29=0,0,11630*1000*SER_hh_fec_in!O29/SER_hh_num_in!O29)</f>
        <v>22132.023307972962</v>
      </c>
      <c r="P29" s="131">
        <f>IF(SER_hh_fec_in!P29=0,0,11630*1000*SER_hh_fec_in!P29/SER_hh_num_in!P29)</f>
        <v>22661.951318049778</v>
      </c>
      <c r="Q29" s="131">
        <f>IF(SER_hh_fec_in!Q29=0,0,11630*1000*SER_hh_fec_in!Q29/SER_hh_num_in!Q29)</f>
        <v>23061.078049447144</v>
      </c>
      <c r="R29" s="131">
        <f>IF(SER_hh_fec_in!R29=0,0,11630*1000*SER_hh_fec_in!R29/SER_hh_num_in!R29)</f>
        <v>21537.618584026175</v>
      </c>
      <c r="S29" s="131">
        <f>IF(SER_hh_fec_in!S29=0,0,11630*1000*SER_hh_fec_in!S29/SER_hh_num_in!S29)</f>
        <v>21412.790551508187</v>
      </c>
      <c r="T29" s="131">
        <f>IF(SER_hh_fec_in!T29=0,0,11630*1000*SER_hh_fec_in!T29/SER_hh_num_in!T29)</f>
        <v>21278.293264902724</v>
      </c>
      <c r="U29" s="131">
        <f>IF(SER_hh_fec_in!U29=0,0,11630*1000*SER_hh_fec_in!U29/SER_hh_num_in!U29)</f>
        <v>22191.539365141678</v>
      </c>
      <c r="V29" s="131">
        <f>IF(SER_hh_fec_in!V29=0,0,11630*1000*SER_hh_fec_in!V29/SER_hh_num_in!V29)</f>
        <v>20033.081924399492</v>
      </c>
      <c r="W29" s="131">
        <f>IF(SER_hh_fec_in!W29=0,0,11630*1000*SER_hh_fec_in!W29/SER_hh_num_in!W29)</f>
        <v>22035.764815496772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10861.769487354342</v>
      </c>
      <c r="D30" s="133">
        <f>IF(SER_hh_fec_in!D30=0,0,11630*1000*SER_hh_fec_in!D30/SER_hh_num_in!D30)</f>
        <v>26486.366350228309</v>
      </c>
      <c r="E30" s="133">
        <f>IF(SER_hh_fec_in!E30=0,0,11630*1000*SER_hh_fec_in!E30/SER_hh_num_in!E30)</f>
        <v>26140.480222661761</v>
      </c>
      <c r="F30" s="133">
        <f>IF(SER_hh_fec_in!F30=0,0,11630*1000*SER_hh_fec_in!F30/SER_hh_num_in!F30)</f>
        <v>28643.569599237126</v>
      </c>
      <c r="G30" s="133">
        <f>IF(SER_hh_fec_in!G30=0,0,11630*1000*SER_hh_fec_in!G30/SER_hh_num_in!G30)</f>
        <v>23576.91638529308</v>
      </c>
      <c r="H30" s="133">
        <f>IF(SER_hh_fec_in!H30=0,0,11630*1000*SER_hh_fec_in!H30/SER_hh_num_in!H30)</f>
        <v>0</v>
      </c>
      <c r="I30" s="133">
        <f>IF(SER_hh_fec_in!I30=0,0,11630*1000*SER_hh_fec_in!I30/SER_hh_num_in!I30)</f>
        <v>23470.930230970989</v>
      </c>
      <c r="J30" s="133">
        <f>IF(SER_hh_fec_in!J30=0,0,11630*1000*SER_hh_fec_in!J30/SER_hh_num_in!J30)</f>
        <v>25878.885948771142</v>
      </c>
      <c r="K30" s="133">
        <f>IF(SER_hh_fec_in!K30=0,0,11630*1000*SER_hh_fec_in!K30/SER_hh_num_in!K30)</f>
        <v>24779.111974507803</v>
      </c>
      <c r="L30" s="133">
        <f>IF(SER_hh_fec_in!L30=0,0,11630*1000*SER_hh_fec_in!L30/SER_hh_num_in!L30)</f>
        <v>26964.089683018738</v>
      </c>
      <c r="M30" s="133">
        <f>IF(SER_hh_fec_in!M30=0,0,11630*1000*SER_hh_fec_in!M30/SER_hh_num_in!M30)</f>
        <v>27399.907796447533</v>
      </c>
      <c r="N30" s="133">
        <f>IF(SER_hh_fec_in!N30=0,0,11630*1000*SER_hh_fec_in!N30/SER_hh_num_in!N30)</f>
        <v>25404.925673345304</v>
      </c>
      <c r="O30" s="133">
        <f>IF(SER_hh_fec_in!O30=0,0,11630*1000*SER_hh_fec_in!O30/SER_hh_num_in!O30)</f>
        <v>23829.318103526319</v>
      </c>
      <c r="P30" s="133">
        <f>IF(SER_hh_fec_in!P30=0,0,11630*1000*SER_hh_fec_in!P30/SER_hh_num_in!P30)</f>
        <v>24991.678815588784</v>
      </c>
      <c r="Q30" s="133">
        <f>IF(SER_hh_fec_in!Q30=0,0,11630*1000*SER_hh_fec_in!Q30/SER_hh_num_in!Q30)</f>
        <v>27932.790124625957</v>
      </c>
      <c r="R30" s="133">
        <f>IF(SER_hh_fec_in!R30=0,0,11630*1000*SER_hh_fec_in!R30/SER_hh_num_in!R30)</f>
        <v>26298.745291477826</v>
      </c>
      <c r="S30" s="133">
        <f>IF(SER_hh_fec_in!S30=0,0,11630*1000*SER_hh_fec_in!S30/SER_hh_num_in!S30)</f>
        <v>28792.192917378507</v>
      </c>
      <c r="T30" s="133">
        <f>IF(SER_hh_fec_in!T30=0,0,11630*1000*SER_hh_fec_in!T30/SER_hh_num_in!T30)</f>
        <v>24136.357554440776</v>
      </c>
      <c r="U30" s="133">
        <f>IF(SER_hh_fec_in!U30=0,0,11630*1000*SER_hh_fec_in!U30/SER_hh_num_in!U30)</f>
        <v>27574.614406645636</v>
      </c>
      <c r="V30" s="133">
        <f>IF(SER_hh_fec_in!V30=0,0,11630*1000*SER_hh_fec_in!V30/SER_hh_num_in!V30)</f>
        <v>23070.344930751849</v>
      </c>
      <c r="W30" s="133">
        <f>IF(SER_hh_fec_in!W30=0,0,11630*1000*SER_hh_fec_in!W30/SER_hh_num_in!W30)</f>
        <v>25736.986897591618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23774.339230792899</v>
      </c>
      <c r="D31" s="133">
        <f>IF(SER_hh_fec_in!D31=0,0,11630*1000*SER_hh_fec_in!D31/SER_hh_num_in!D31)</f>
        <v>23678.441934665221</v>
      </c>
      <c r="E31" s="133">
        <f>IF(SER_hh_fec_in!E31=0,0,11630*1000*SER_hh_fec_in!E31/SER_hh_num_in!E31)</f>
        <v>24601.70324675255</v>
      </c>
      <c r="F31" s="133">
        <f>IF(SER_hh_fec_in!F31=0,0,11630*1000*SER_hh_fec_in!F31/SER_hh_num_in!F31)</f>
        <v>26608.716686810232</v>
      </c>
      <c r="G31" s="133">
        <f>IF(SER_hh_fec_in!G31=0,0,11630*1000*SER_hh_fec_in!G31/SER_hh_num_in!G31)</f>
        <v>0</v>
      </c>
      <c r="H31" s="133">
        <f>IF(SER_hh_fec_in!H31=0,0,11630*1000*SER_hh_fec_in!H31/SER_hh_num_in!H31)</f>
        <v>0</v>
      </c>
      <c r="I31" s="133">
        <f>IF(SER_hh_fec_in!I31=0,0,11630*1000*SER_hh_fec_in!I31/SER_hh_num_in!I31)</f>
        <v>23380.299877024525</v>
      </c>
      <c r="J31" s="133">
        <f>IF(SER_hh_fec_in!J31=0,0,11630*1000*SER_hh_fec_in!J31/SER_hh_num_in!J31)</f>
        <v>21808.282923818391</v>
      </c>
      <c r="K31" s="133">
        <f>IF(SER_hh_fec_in!K31=0,0,11630*1000*SER_hh_fec_in!K31/SER_hh_num_in!K31)</f>
        <v>27541.335303870463</v>
      </c>
      <c r="L31" s="133">
        <f>IF(SER_hh_fec_in!L31=0,0,11630*1000*SER_hh_fec_in!L31/SER_hh_num_in!L31)</f>
        <v>25711.804754221455</v>
      </c>
      <c r="M31" s="133">
        <f>IF(SER_hh_fec_in!M31=0,0,11630*1000*SER_hh_fec_in!M31/SER_hh_num_in!M31)</f>
        <v>26000.025973401025</v>
      </c>
      <c r="N31" s="133">
        <f>IF(SER_hh_fec_in!N31=0,0,11630*1000*SER_hh_fec_in!N31/SER_hh_num_in!N31)</f>
        <v>24296.892691939665</v>
      </c>
      <c r="O31" s="133">
        <f>IF(SER_hh_fec_in!O31=0,0,11630*1000*SER_hh_fec_in!O31/SER_hh_num_in!O31)</f>
        <v>25569.18548966233</v>
      </c>
      <c r="P31" s="133">
        <f>IF(SER_hh_fec_in!P31=0,0,11630*1000*SER_hh_fec_in!P31/SER_hh_num_in!P31)</f>
        <v>26781.474967104765</v>
      </c>
      <c r="Q31" s="133">
        <f>IF(SER_hh_fec_in!Q31=0,0,11630*1000*SER_hh_fec_in!Q31/SER_hh_num_in!Q31)</f>
        <v>27422.503764201105</v>
      </c>
      <c r="R31" s="133">
        <f>IF(SER_hh_fec_in!R31=0,0,11630*1000*SER_hh_fec_in!R31/SER_hh_num_in!R31)</f>
        <v>26038.308232775551</v>
      </c>
      <c r="S31" s="133">
        <f>IF(SER_hh_fec_in!S31=0,0,11630*1000*SER_hh_fec_in!S31/SER_hh_num_in!S31)</f>
        <v>26289.891379109176</v>
      </c>
      <c r="T31" s="133">
        <f>IF(SER_hh_fec_in!T31=0,0,11630*1000*SER_hh_fec_in!T31/SER_hh_num_in!T31)</f>
        <v>26561.453537891499</v>
      </c>
      <c r="U31" s="133">
        <f>IF(SER_hh_fec_in!U31=0,0,11630*1000*SER_hh_fec_in!U31/SER_hh_num_in!U31)</f>
        <v>25142.716838964949</v>
      </c>
      <c r="V31" s="133">
        <f>IF(SER_hh_fec_in!V31=0,0,11630*1000*SER_hh_fec_in!V31/SER_hh_num_in!V31)</f>
        <v>22146.162365600117</v>
      </c>
      <c r="W31" s="133">
        <f>IF(SER_hh_fec_in!W31=0,0,11630*1000*SER_hh_fec_in!W31/SER_hh_num_in!W31)</f>
        <v>29547.086279293766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20316.633272137602</v>
      </c>
      <c r="D33" s="68">
        <f>IF(SER_hh_fec_in!D33=0,0,11630*1000*SER_hh_fec_in!D33/SER_hh_num_in!D33)</f>
        <v>17537.864591097816</v>
      </c>
      <c r="E33" s="68">
        <f>IF(SER_hh_fec_in!E33=0,0,11630*1000*SER_hh_fec_in!E33/SER_hh_num_in!E33)</f>
        <v>16331.478945155135</v>
      </c>
      <c r="F33" s="68">
        <f>IF(SER_hh_fec_in!F33=0,0,11630*1000*SER_hh_fec_in!F33/SER_hh_num_in!F33)</f>
        <v>15251.301342378252</v>
      </c>
      <c r="G33" s="68">
        <f>IF(SER_hh_fec_in!G33=0,0,11630*1000*SER_hh_fec_in!G33/SER_hh_num_in!G33)</f>
        <v>19386.093782312073</v>
      </c>
      <c r="H33" s="68">
        <f>IF(SER_hh_fec_in!H33=0,0,11630*1000*SER_hh_fec_in!H33/SER_hh_num_in!H33)</f>
        <v>19060.178267498028</v>
      </c>
      <c r="I33" s="68">
        <f>IF(SER_hh_fec_in!I33=0,0,11630*1000*SER_hh_fec_in!I33/SER_hh_num_in!I33)</f>
        <v>18498.150727256652</v>
      </c>
      <c r="J33" s="68">
        <f>IF(SER_hh_fec_in!J33=0,0,11630*1000*SER_hh_fec_in!J33/SER_hh_num_in!J33)</f>
        <v>18749.498454755201</v>
      </c>
      <c r="K33" s="68">
        <f>IF(SER_hh_fec_in!K33=0,0,11630*1000*SER_hh_fec_in!K33/SER_hh_num_in!K33)</f>
        <v>18359.640490579535</v>
      </c>
      <c r="L33" s="68">
        <f>IF(SER_hh_fec_in!L33=0,0,11630*1000*SER_hh_fec_in!L33/SER_hh_num_in!L33)</f>
        <v>18927.954429748021</v>
      </c>
      <c r="M33" s="68">
        <f>IF(SER_hh_fec_in!M33=0,0,11630*1000*SER_hh_fec_in!M33/SER_hh_num_in!M33)</f>
        <v>18896.190654992926</v>
      </c>
      <c r="N33" s="68">
        <f>IF(SER_hh_fec_in!N33=0,0,11630*1000*SER_hh_fec_in!N33/SER_hh_num_in!N33)</f>
        <v>20077.298032454524</v>
      </c>
      <c r="O33" s="68">
        <f>IF(SER_hh_fec_in!O33=0,0,11630*1000*SER_hh_fec_in!O33/SER_hh_num_in!O33)</f>
        <v>20090.716434203601</v>
      </c>
      <c r="P33" s="68">
        <f>IF(SER_hh_fec_in!P33=0,0,11630*1000*SER_hh_fec_in!P33/SER_hh_num_in!P33)</f>
        <v>19537.266494046195</v>
      </c>
      <c r="Q33" s="68">
        <f>IF(SER_hh_fec_in!Q33=0,0,11630*1000*SER_hh_fec_in!Q33/SER_hh_num_in!Q33)</f>
        <v>18930.565477402804</v>
      </c>
      <c r="R33" s="68">
        <f>IF(SER_hh_fec_in!R33=0,0,11630*1000*SER_hh_fec_in!R33/SER_hh_num_in!R33)</f>
        <v>19890.287402569025</v>
      </c>
      <c r="S33" s="68">
        <f>IF(SER_hh_fec_in!S33=0,0,11630*1000*SER_hh_fec_in!S33/SER_hh_num_in!S33)</f>
        <v>18933.637332978396</v>
      </c>
      <c r="T33" s="68">
        <f>IF(SER_hh_fec_in!T33=0,0,11630*1000*SER_hh_fec_in!T33/SER_hh_num_in!T33)</f>
        <v>19110.286137814917</v>
      </c>
      <c r="U33" s="68">
        <f>IF(SER_hh_fec_in!U33=0,0,11630*1000*SER_hh_fec_in!U33/SER_hh_num_in!U33)</f>
        <v>18679.903859661928</v>
      </c>
      <c r="V33" s="68">
        <f>IF(SER_hh_fec_in!V33=0,0,11630*1000*SER_hh_fec_in!V33/SER_hh_num_in!V33)</f>
        <v>17459.031013420215</v>
      </c>
      <c r="W33" s="68">
        <f>IF(SER_hh_fec_in!W33=0,0,11630*1000*SER_hh_fec_in!W33/SER_hh_num_in!W33)</f>
        <v>16510.029115500893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148683.58389168649</v>
      </c>
      <c r="D3" s="126">
        <f>IF(SER_hh_tes_in!D3=0,0,11630*1000*SER_hh_tes_in!D3/SER_hh_num_in!D3)</f>
        <v>142495.43062762966</v>
      </c>
      <c r="E3" s="126">
        <f>IF(SER_hh_tes_in!E3=0,0,11630*1000*SER_hh_tes_in!E3/SER_hh_num_in!E3)</f>
        <v>165880.51217301434</v>
      </c>
      <c r="F3" s="126">
        <f>IF(SER_hh_tes_in!F3=0,0,11630*1000*SER_hh_tes_in!F3/SER_hh_num_in!F3)</f>
        <v>148139.84433174215</v>
      </c>
      <c r="G3" s="126">
        <f>IF(SER_hh_tes_in!G3=0,0,11630*1000*SER_hh_tes_in!G3/SER_hh_num_in!G3)</f>
        <v>150044.97269036632</v>
      </c>
      <c r="H3" s="126">
        <f>IF(SER_hh_tes_in!H3=0,0,11630*1000*SER_hh_tes_in!H3/SER_hh_num_in!H3)</f>
        <v>143720.49060238709</v>
      </c>
      <c r="I3" s="126">
        <f>IF(SER_hh_tes_in!I3=0,0,11630*1000*SER_hh_tes_in!I3/SER_hh_num_in!I3)</f>
        <v>132555.50769441639</v>
      </c>
      <c r="J3" s="126">
        <f>IF(SER_hh_tes_in!J3=0,0,11630*1000*SER_hh_tes_in!J3/SER_hh_num_in!J3)</f>
        <v>128622.64547150994</v>
      </c>
      <c r="K3" s="126">
        <f>IF(SER_hh_tes_in!K3=0,0,11630*1000*SER_hh_tes_in!K3/SER_hh_num_in!K3)</f>
        <v>137632.7156900574</v>
      </c>
      <c r="L3" s="126">
        <f>IF(SER_hh_tes_in!L3=0,0,11630*1000*SER_hh_tes_in!L3/SER_hh_num_in!L3)</f>
        <v>141106.93881163959</v>
      </c>
      <c r="M3" s="126">
        <f>IF(SER_hh_tes_in!M3=0,0,11630*1000*SER_hh_tes_in!M3/SER_hh_num_in!M3)</f>
        <v>120917.05964722445</v>
      </c>
      <c r="N3" s="126">
        <f>IF(SER_hh_tes_in!N3=0,0,11630*1000*SER_hh_tes_in!N3/SER_hh_num_in!N3)</f>
        <v>127049.84467666819</v>
      </c>
      <c r="O3" s="126">
        <f>IF(SER_hh_tes_in!O3=0,0,11630*1000*SER_hh_tes_in!O3/SER_hh_num_in!O3)</f>
        <v>127972.09828564174</v>
      </c>
      <c r="P3" s="126">
        <f>IF(SER_hh_tes_in!P3=0,0,11630*1000*SER_hh_tes_in!P3/SER_hh_num_in!P3)</f>
        <v>111435.96498854292</v>
      </c>
      <c r="Q3" s="126">
        <f>IF(SER_hh_tes_in!Q3=0,0,11630*1000*SER_hh_tes_in!Q3/SER_hh_num_in!Q3)</f>
        <v>116591.42851511178</v>
      </c>
      <c r="R3" s="126">
        <f>IF(SER_hh_tes_in!R3=0,0,11630*1000*SER_hh_tes_in!R3/SER_hh_num_in!R3)</f>
        <v>111407.79280496651</v>
      </c>
      <c r="S3" s="126">
        <f>IF(SER_hh_tes_in!S3=0,0,11630*1000*SER_hh_tes_in!S3/SER_hh_num_in!S3)</f>
        <v>109573.28286334193</v>
      </c>
      <c r="T3" s="126">
        <f>IF(SER_hh_tes_in!T3=0,0,11630*1000*SER_hh_tes_in!T3/SER_hh_num_in!T3)</f>
        <v>105663.66868527359</v>
      </c>
      <c r="U3" s="126">
        <f>IF(SER_hh_tes_in!U3=0,0,11630*1000*SER_hh_tes_in!U3/SER_hh_num_in!U3)</f>
        <v>98924.422970166095</v>
      </c>
      <c r="V3" s="126">
        <f>IF(SER_hh_tes_in!V3=0,0,11630*1000*SER_hh_tes_in!V3/SER_hh_num_in!V3)</f>
        <v>88502.32555051797</v>
      </c>
      <c r="W3" s="126">
        <f>IF(SER_hh_tes_in!W3=0,0,11630*1000*SER_hh_tes_in!W3/SER_hh_num_in!W3)</f>
        <v>82559.171586799319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95520.215739223582</v>
      </c>
      <c r="D4" s="131">
        <f>IF(SER_hh_tes_in!D4=0,0,11630*1000*SER_hh_tes_in!D4/SER_hh_num_in!D4)</f>
        <v>89503.189326188236</v>
      </c>
      <c r="E4" s="131">
        <f>IF(SER_hh_tes_in!E4=0,0,11630*1000*SER_hh_tes_in!E4/SER_hh_num_in!E4)</f>
        <v>96830.537017220035</v>
      </c>
      <c r="F4" s="131">
        <f>IF(SER_hh_tes_in!F4=0,0,11630*1000*SER_hh_tes_in!F4/SER_hh_num_in!F4)</f>
        <v>96700.568112004243</v>
      </c>
      <c r="G4" s="131">
        <f>IF(SER_hh_tes_in!G4=0,0,11630*1000*SER_hh_tes_in!G4/SER_hh_num_in!G4)</f>
        <v>94967.985964259104</v>
      </c>
      <c r="H4" s="131">
        <f>IF(SER_hh_tes_in!H4=0,0,11630*1000*SER_hh_tes_in!H4/SER_hh_num_in!H4)</f>
        <v>85925.656353888407</v>
      </c>
      <c r="I4" s="131">
        <f>IF(SER_hh_tes_in!I4=0,0,11630*1000*SER_hh_tes_in!I4/SER_hh_num_in!I4)</f>
        <v>81723.522507803398</v>
      </c>
      <c r="J4" s="131">
        <f>IF(SER_hh_tes_in!J4=0,0,11630*1000*SER_hh_tes_in!J4/SER_hh_num_in!J4)</f>
        <v>77801.595332816491</v>
      </c>
      <c r="K4" s="131">
        <f>IF(SER_hh_tes_in!K4=0,0,11630*1000*SER_hh_tes_in!K4/SER_hh_num_in!K4)</f>
        <v>84286.965648974059</v>
      </c>
      <c r="L4" s="131">
        <f>IF(SER_hh_tes_in!L4=0,0,11630*1000*SER_hh_tes_in!L4/SER_hh_num_in!L4)</f>
        <v>88845.210451704377</v>
      </c>
      <c r="M4" s="131">
        <f>IF(SER_hh_tes_in!M4=0,0,11630*1000*SER_hh_tes_in!M4/SER_hh_num_in!M4)</f>
        <v>69571.667919628308</v>
      </c>
      <c r="N4" s="131">
        <f>IF(SER_hh_tes_in!N4=0,0,11630*1000*SER_hh_tes_in!N4/SER_hh_num_in!N4)</f>
        <v>74372.110512325904</v>
      </c>
      <c r="O4" s="131">
        <f>IF(SER_hh_tes_in!O4=0,0,11630*1000*SER_hh_tes_in!O4/SER_hh_num_in!O4)</f>
        <v>75934.16343586061</v>
      </c>
      <c r="P4" s="131">
        <f>IF(SER_hh_tes_in!P4=0,0,11630*1000*SER_hh_tes_in!P4/SER_hh_num_in!P4)</f>
        <v>61322.049977468312</v>
      </c>
      <c r="Q4" s="131">
        <f>IF(SER_hh_tes_in!Q4=0,0,11630*1000*SER_hh_tes_in!Q4/SER_hh_num_in!Q4)</f>
        <v>62032.499441639571</v>
      </c>
      <c r="R4" s="131">
        <f>IF(SER_hh_tes_in!R4=0,0,11630*1000*SER_hh_tes_in!R4/SER_hh_num_in!R4)</f>
        <v>59968.525987816276</v>
      </c>
      <c r="S4" s="131">
        <f>IF(SER_hh_tes_in!S4=0,0,11630*1000*SER_hh_tes_in!S4/SER_hh_num_in!S4)</f>
        <v>57597.315968539951</v>
      </c>
      <c r="T4" s="131">
        <f>IF(SER_hh_tes_in!T4=0,0,11630*1000*SER_hh_tes_in!T4/SER_hh_num_in!T4)</f>
        <v>54205.27872396657</v>
      </c>
      <c r="U4" s="131">
        <f>IF(SER_hh_tes_in!U4=0,0,11630*1000*SER_hh_tes_in!U4/SER_hh_num_in!U4)</f>
        <v>48825.734201980602</v>
      </c>
      <c r="V4" s="131">
        <f>IF(SER_hh_tes_in!V4=0,0,11630*1000*SER_hh_tes_in!V4/SER_hh_num_in!V4)</f>
        <v>41255.950631578839</v>
      </c>
      <c r="W4" s="131">
        <f>IF(SER_hh_tes_in!W4=0,0,11630*1000*SER_hh_tes_in!W4/SER_hh_num_in!W4)</f>
        <v>37962.074447820283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92069.008805506266</v>
      </c>
      <c r="G5" s="133">
        <f>IF(SER_hh_tes_in!G5=0,0,11630*1000*SER_hh_tes_in!G5/SER_hh_num_in!G5)</f>
        <v>93345.558141355694</v>
      </c>
      <c r="H5" s="133">
        <f>IF(SER_hh_tes_in!H5=0,0,11630*1000*SER_hh_tes_in!H5/SER_hh_num_in!H5)</f>
        <v>88465.957118431659</v>
      </c>
      <c r="I5" s="133">
        <f>IF(SER_hh_tes_in!I5=0,0,11630*1000*SER_hh_tes_in!I5/SER_hh_num_in!I5)</f>
        <v>84281.13441817362</v>
      </c>
      <c r="J5" s="133">
        <f>IF(SER_hh_tes_in!J5=0,0,11630*1000*SER_hh_tes_in!J5/SER_hh_num_in!J5)</f>
        <v>79526.81638562298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79437.629714636743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46266.702045825281</v>
      </c>
      <c r="V5" s="133">
        <f>IF(SER_hh_tes_in!V5=0,0,11630*1000*SER_hh_tes_in!V5/SER_hh_num_in!V5)</f>
        <v>39171.237328585143</v>
      </c>
      <c r="W5" s="133">
        <f>IF(SER_hh_tes_in!W5=0,0,11630*1000*SER_hh_tes_in!W5/SER_hh_num_in!W5)</f>
        <v>39485.403041447302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97327.13203853021</v>
      </c>
      <c r="D7" s="133">
        <f>IF(SER_hh_tes_in!D7=0,0,11630*1000*SER_hh_tes_in!D7/SER_hh_num_in!D7)</f>
        <v>85456.136369504631</v>
      </c>
      <c r="E7" s="133">
        <f>IF(SER_hh_tes_in!E7=0,0,11630*1000*SER_hh_tes_in!E7/SER_hh_num_in!E7)</f>
        <v>92375.677546784646</v>
      </c>
      <c r="F7" s="133">
        <f>IF(SER_hh_tes_in!F7=0,0,11630*1000*SER_hh_tes_in!F7/SER_hh_num_in!F7)</f>
        <v>94537.337113855421</v>
      </c>
      <c r="G7" s="133">
        <f>IF(SER_hh_tes_in!G7=0,0,11630*1000*SER_hh_tes_in!G7/SER_hh_num_in!G7)</f>
        <v>91765.7732412154</v>
      </c>
      <c r="H7" s="133">
        <f>IF(SER_hh_tes_in!H7=0,0,11630*1000*SER_hh_tes_in!H7/SER_hh_num_in!H7)</f>
        <v>84802.58402108353</v>
      </c>
      <c r="I7" s="133">
        <f>IF(SER_hh_tes_in!I7=0,0,11630*1000*SER_hh_tes_in!I7/SER_hh_num_in!I7)</f>
        <v>72995.591721675228</v>
      </c>
      <c r="J7" s="133">
        <f>IF(SER_hh_tes_in!J7=0,0,11630*1000*SER_hh_tes_in!J7/SER_hh_num_in!J7)</f>
        <v>86441.693960491597</v>
      </c>
      <c r="K7" s="133">
        <f>IF(SER_hh_tes_in!K7=0,0,11630*1000*SER_hh_tes_in!K7/SER_hh_num_in!K7)</f>
        <v>84093.876002746925</v>
      </c>
      <c r="L7" s="133">
        <f>IF(SER_hh_tes_in!L7=0,0,11630*1000*SER_hh_tes_in!L7/SER_hh_num_in!L7)</f>
        <v>80562.381760623146</v>
      </c>
      <c r="M7" s="133">
        <f>IF(SER_hh_tes_in!M7=0,0,11630*1000*SER_hh_tes_in!M7/SER_hh_num_in!M7)</f>
        <v>69076.817362413261</v>
      </c>
      <c r="N7" s="133">
        <f>IF(SER_hh_tes_in!N7=0,0,11630*1000*SER_hh_tes_in!N7/SER_hh_num_in!N7)</f>
        <v>71673.214974092363</v>
      </c>
      <c r="O7" s="133">
        <f>IF(SER_hh_tes_in!O7=0,0,11630*1000*SER_hh_tes_in!O7/SER_hh_num_in!O7)</f>
        <v>73261.902867685596</v>
      </c>
      <c r="P7" s="133">
        <f>IF(SER_hh_tes_in!P7=0,0,11630*1000*SER_hh_tes_in!P7/SER_hh_num_in!P7)</f>
        <v>62340.162064193377</v>
      </c>
      <c r="Q7" s="133">
        <f>IF(SER_hh_tes_in!Q7=0,0,11630*1000*SER_hh_tes_in!Q7/SER_hh_num_in!Q7)</f>
        <v>62899.365235179743</v>
      </c>
      <c r="R7" s="133">
        <f>IF(SER_hh_tes_in!R7=0,0,11630*1000*SER_hh_tes_in!R7/SER_hh_num_in!R7)</f>
        <v>55651.339058262929</v>
      </c>
      <c r="S7" s="133">
        <f>IF(SER_hh_tes_in!S7=0,0,11630*1000*SER_hh_tes_in!S7/SER_hh_num_in!S7)</f>
        <v>56566.980369942372</v>
      </c>
      <c r="T7" s="133">
        <f>IF(SER_hh_tes_in!T7=0,0,11630*1000*SER_hh_tes_in!T7/SER_hh_num_in!T7)</f>
        <v>52007.441959431475</v>
      </c>
      <c r="U7" s="133">
        <f>IF(SER_hh_tes_in!U7=0,0,11630*1000*SER_hh_tes_in!U7/SER_hh_num_in!U7)</f>
        <v>47575.921650122451</v>
      </c>
      <c r="V7" s="133">
        <f>IF(SER_hh_tes_in!V7=0,0,11630*1000*SER_hh_tes_in!V7/SER_hh_num_in!V7)</f>
        <v>41693.028586906446</v>
      </c>
      <c r="W7" s="133">
        <f>IF(SER_hh_tes_in!W7=0,0,11630*1000*SER_hh_tes_in!W7/SER_hh_num_in!W7)</f>
        <v>36057.170740381924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84133.677226265441</v>
      </c>
      <c r="D8" s="133">
        <f>IF(SER_hh_tes_in!D8=0,0,11630*1000*SER_hh_tes_in!D8/SER_hh_num_in!D8)</f>
        <v>71102.276365581973</v>
      </c>
      <c r="E8" s="133">
        <f>IF(SER_hh_tes_in!E8=0,0,11630*1000*SER_hh_tes_in!E8/SER_hh_num_in!E8)</f>
        <v>78116.438003035903</v>
      </c>
      <c r="F8" s="133">
        <f>IF(SER_hh_tes_in!F8=0,0,11630*1000*SER_hh_tes_in!F8/SER_hh_num_in!F8)</f>
        <v>73732.924262273416</v>
      </c>
      <c r="G8" s="133">
        <f>IF(SER_hh_tes_in!G8=0,0,11630*1000*SER_hh_tes_in!G8/SER_hh_num_in!G8)</f>
        <v>98099.838463319044</v>
      </c>
      <c r="H8" s="133">
        <f>IF(SER_hh_tes_in!H8=0,0,11630*1000*SER_hh_tes_in!H8/SER_hh_num_in!H8)</f>
        <v>86612.480171940275</v>
      </c>
      <c r="I8" s="133">
        <f>IF(SER_hh_tes_in!I8=0,0,11630*1000*SER_hh_tes_in!I8/SER_hh_num_in!I8)</f>
        <v>85618.655028908339</v>
      </c>
      <c r="J8" s="133">
        <f>IF(SER_hh_tes_in!J8=0,0,11630*1000*SER_hh_tes_in!J8/SER_hh_num_in!J8)</f>
        <v>87346.814609800451</v>
      </c>
      <c r="K8" s="133">
        <f>IF(SER_hh_tes_in!K8=0,0,11630*1000*SER_hh_tes_in!K8/SER_hh_num_in!K8)</f>
        <v>67974.397417633663</v>
      </c>
      <c r="L8" s="133">
        <f>IF(SER_hh_tes_in!L8=0,0,11630*1000*SER_hh_tes_in!L8/SER_hh_num_in!L8)</f>
        <v>57214.303224393414</v>
      </c>
      <c r="M8" s="133">
        <f>IF(SER_hh_tes_in!M8=0,0,11630*1000*SER_hh_tes_in!M8/SER_hh_num_in!M8)</f>
        <v>78295.121871088559</v>
      </c>
      <c r="N8" s="133">
        <f>IF(SER_hh_tes_in!N8=0,0,11630*1000*SER_hh_tes_in!N8/SER_hh_num_in!N8)</f>
        <v>69974.330549309336</v>
      </c>
      <c r="O8" s="133">
        <f>IF(SER_hh_tes_in!O8=0,0,11630*1000*SER_hh_tes_in!O8/SER_hh_num_in!O8)</f>
        <v>74194.03819647427</v>
      </c>
      <c r="P8" s="133">
        <f>IF(SER_hh_tes_in!P8=0,0,11630*1000*SER_hh_tes_in!P8/SER_hh_num_in!P8)</f>
        <v>62888.16979959458</v>
      </c>
      <c r="Q8" s="133">
        <f>IF(SER_hh_tes_in!Q8=0,0,11630*1000*SER_hh_tes_in!Q8/SER_hh_num_in!Q8)</f>
        <v>64742.723270406881</v>
      </c>
      <c r="R8" s="133">
        <f>IF(SER_hh_tes_in!R8=0,0,11630*1000*SER_hh_tes_in!R8/SER_hh_num_in!R8)</f>
        <v>62163.099834652407</v>
      </c>
      <c r="S8" s="133">
        <f>IF(SER_hh_tes_in!S8=0,0,11630*1000*SER_hh_tes_in!S8/SER_hh_num_in!S8)</f>
        <v>58004.502066115099</v>
      </c>
      <c r="T8" s="133">
        <f>IF(SER_hh_tes_in!T8=0,0,11630*1000*SER_hh_tes_in!T8/SER_hh_num_in!T8)</f>
        <v>54460.460689450061</v>
      </c>
      <c r="U8" s="133">
        <f>IF(SER_hh_tes_in!U8=0,0,11630*1000*SER_hh_tes_in!U8/SER_hh_num_in!U8)</f>
        <v>50171.125202211078</v>
      </c>
      <c r="V8" s="133">
        <f>IF(SER_hh_tes_in!V8=0,0,11630*1000*SER_hh_tes_in!V8/SER_hh_num_in!V8)</f>
        <v>40272.193970811997</v>
      </c>
      <c r="W8" s="133">
        <f>IF(SER_hh_tes_in!W8=0,0,11630*1000*SER_hh_tes_in!W8/SER_hh_num_in!W8)</f>
        <v>38279.417216224319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94574.359644994023</v>
      </c>
      <c r="D9" s="133">
        <f>IF(SER_hh_tes_in!D9=0,0,11630*1000*SER_hh_tes_in!D9/SER_hh_num_in!D9)</f>
        <v>77527.927148221439</v>
      </c>
      <c r="E9" s="133">
        <f>IF(SER_hh_tes_in!E9=0,0,11630*1000*SER_hh_tes_in!E9/SER_hh_num_in!E9)</f>
        <v>97097.182252240062</v>
      </c>
      <c r="F9" s="133">
        <f>IF(SER_hh_tes_in!F9=0,0,11630*1000*SER_hh_tes_in!F9/SER_hh_num_in!F9)</f>
        <v>95466.699330499381</v>
      </c>
      <c r="G9" s="133">
        <f>IF(SER_hh_tes_in!G9=0,0,11630*1000*SER_hh_tes_in!G9/SER_hh_num_in!G9)</f>
        <v>96459.341466356811</v>
      </c>
      <c r="H9" s="133">
        <f>IF(SER_hh_tes_in!H9=0,0,11630*1000*SER_hh_tes_in!H9/SER_hh_num_in!H9)</f>
        <v>82546.728063890638</v>
      </c>
      <c r="I9" s="133">
        <f>IF(SER_hh_tes_in!I9=0,0,11630*1000*SER_hh_tes_in!I9/SER_hh_num_in!I9)</f>
        <v>81491.237526867073</v>
      </c>
      <c r="J9" s="133">
        <f>IF(SER_hh_tes_in!J9=0,0,11630*1000*SER_hh_tes_in!J9/SER_hh_num_in!J9)</f>
        <v>70703.107870947279</v>
      </c>
      <c r="K9" s="133">
        <f>IF(SER_hh_tes_in!K9=0,0,11630*1000*SER_hh_tes_in!K9/SER_hh_num_in!K9)</f>
        <v>83784.793441496673</v>
      </c>
      <c r="L9" s="133">
        <f>IF(SER_hh_tes_in!L9=0,0,11630*1000*SER_hh_tes_in!L9/SER_hh_num_in!L9)</f>
        <v>92030.939362471574</v>
      </c>
      <c r="M9" s="133">
        <f>IF(SER_hh_tes_in!M9=0,0,11630*1000*SER_hh_tes_in!M9/SER_hh_num_in!M9)</f>
        <v>63922.891631717175</v>
      </c>
      <c r="N9" s="133">
        <f>IF(SER_hh_tes_in!N9=0,0,11630*1000*SER_hh_tes_in!N9/SER_hh_num_in!N9)</f>
        <v>74073.14487325582</v>
      </c>
      <c r="O9" s="133">
        <f>IF(SER_hh_tes_in!O9=0,0,11630*1000*SER_hh_tes_in!O9/SER_hh_num_in!O9)</f>
        <v>76374.467125858384</v>
      </c>
      <c r="P9" s="133">
        <f>IF(SER_hh_tes_in!P9=0,0,11630*1000*SER_hh_tes_in!P9/SER_hh_num_in!P9)</f>
        <v>59424.823851837173</v>
      </c>
      <c r="Q9" s="133">
        <f>IF(SER_hh_tes_in!Q9=0,0,11630*1000*SER_hh_tes_in!Q9/SER_hh_num_in!Q9)</f>
        <v>60920.242615370706</v>
      </c>
      <c r="R9" s="133">
        <f>IF(SER_hh_tes_in!R9=0,0,11630*1000*SER_hh_tes_in!R9/SER_hh_num_in!R9)</f>
        <v>58308.285437945582</v>
      </c>
      <c r="S9" s="133">
        <f>IF(SER_hh_tes_in!S9=0,0,11630*1000*SER_hh_tes_in!S9/SER_hh_num_in!S9)</f>
        <v>56468.115256697864</v>
      </c>
      <c r="T9" s="133">
        <f>IF(SER_hh_tes_in!T9=0,0,11630*1000*SER_hh_tes_in!T9/SER_hh_num_in!T9)</f>
        <v>54380.399982269824</v>
      </c>
      <c r="U9" s="133">
        <f>IF(SER_hh_tes_in!U9=0,0,11630*1000*SER_hh_tes_in!U9/SER_hh_num_in!U9)</f>
        <v>48897.026755075007</v>
      </c>
      <c r="V9" s="133">
        <f>IF(SER_hh_tes_in!V9=0,0,11630*1000*SER_hh_tes_in!V9/SER_hh_num_in!V9)</f>
        <v>40885.642619669008</v>
      </c>
      <c r="W9" s="133">
        <f>IF(SER_hh_tes_in!W9=0,0,11630*1000*SER_hh_tes_in!W9/SER_hh_num_in!W9)</f>
        <v>36509.532489254801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90862.14972860353</v>
      </c>
      <c r="D10" s="133">
        <f>IF(SER_hh_tes_in!D10=0,0,11630*1000*SER_hh_tes_in!D10/SER_hh_num_in!D10)</f>
        <v>92293.31287638811</v>
      </c>
      <c r="E10" s="133">
        <f>IF(SER_hh_tes_in!E10=0,0,11630*1000*SER_hh_tes_in!E10/SER_hh_num_in!E10)</f>
        <v>102375.2779383188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83670.703698903948</v>
      </c>
      <c r="J10" s="133">
        <f>IF(SER_hh_tes_in!J10=0,0,11630*1000*SER_hh_tes_in!J10/SER_hh_num_in!J10)</f>
        <v>79792.370347527292</v>
      </c>
      <c r="K10" s="133">
        <f>IF(SER_hh_tes_in!K10=0,0,11630*1000*SER_hh_tes_in!K10/SER_hh_num_in!K10)</f>
        <v>100664.2476877001</v>
      </c>
      <c r="L10" s="133">
        <f>IF(SER_hh_tes_in!L10=0,0,11630*1000*SER_hh_tes_in!L10/SER_hh_num_in!L10)</f>
        <v>86637.896577587831</v>
      </c>
      <c r="M10" s="133">
        <f>IF(SER_hh_tes_in!M10=0,0,11630*1000*SER_hh_tes_in!M10/SER_hh_num_in!M10)</f>
        <v>57442.409815599829</v>
      </c>
      <c r="N10" s="133">
        <f>IF(SER_hh_tes_in!N10=0,0,11630*1000*SER_hh_tes_in!N10/SER_hh_num_in!N10)</f>
        <v>67276.427734901052</v>
      </c>
      <c r="O10" s="133">
        <f>IF(SER_hh_tes_in!O10=0,0,11630*1000*SER_hh_tes_in!O10/SER_hh_num_in!O10)</f>
        <v>82062.547378014075</v>
      </c>
      <c r="P10" s="133">
        <f>IF(SER_hh_tes_in!P10=0,0,11630*1000*SER_hh_tes_in!P10/SER_hh_num_in!P10)</f>
        <v>64987.121964518374</v>
      </c>
      <c r="Q10" s="133">
        <f>IF(SER_hh_tes_in!Q10=0,0,11630*1000*SER_hh_tes_in!Q10/SER_hh_num_in!Q10)</f>
        <v>57988.691287276422</v>
      </c>
      <c r="R10" s="133">
        <f>IF(SER_hh_tes_in!R10=0,0,11630*1000*SER_hh_tes_in!R10/SER_hh_num_in!R10)</f>
        <v>60721.286858044812</v>
      </c>
      <c r="S10" s="133">
        <f>IF(SER_hh_tes_in!S10=0,0,11630*1000*SER_hh_tes_in!S10/SER_hh_num_in!S10)</f>
        <v>59396.549304455468</v>
      </c>
      <c r="T10" s="133">
        <f>IF(SER_hh_tes_in!T10=0,0,11630*1000*SER_hh_tes_in!T10/SER_hh_num_in!T10)</f>
        <v>50885.610504099284</v>
      </c>
      <c r="U10" s="133">
        <f>IF(SER_hh_tes_in!U10=0,0,11630*1000*SER_hh_tes_in!U10/SER_hh_num_in!U10)</f>
        <v>46290.98366656396</v>
      </c>
      <c r="V10" s="133">
        <f>IF(SER_hh_tes_in!V10=0,0,11630*1000*SER_hh_tes_in!V10/SER_hh_num_in!V10)</f>
        <v>41276.479072142152</v>
      </c>
      <c r="W10" s="133">
        <f>IF(SER_hh_tes_in!W10=0,0,11630*1000*SER_hh_tes_in!W10/SER_hh_num_in!W10)</f>
        <v>38878.839587330083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195773.99093340442</v>
      </c>
      <c r="E11" s="133">
        <f>IF(SER_hh_tes_in!E11=0,0,11630*1000*SER_hh_tes_in!E11/SER_hh_num_in!E11)</f>
        <v>172526.11996026922</v>
      </c>
      <c r="F11" s="133">
        <f>IF(SER_hh_tes_in!F11=0,0,11630*1000*SER_hh_tes_in!F11/SER_hh_num_in!F11)</f>
        <v>169886.76833690904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78385.452124130621</v>
      </c>
      <c r="L11" s="133">
        <f>IF(SER_hh_tes_in!L11=0,0,11630*1000*SER_hh_tes_in!L11/SER_hh_num_in!L11)</f>
        <v>73845.926701714605</v>
      </c>
      <c r="M11" s="133">
        <f>IF(SER_hh_tes_in!M11=0,0,11630*1000*SER_hh_tes_in!M11/SER_hh_num_in!M11)</f>
        <v>78683.190624282681</v>
      </c>
      <c r="N11" s="133">
        <f>IF(SER_hh_tes_in!N11=0,0,11630*1000*SER_hh_tes_in!N11/SER_hh_num_in!N11)</f>
        <v>74023.338674570972</v>
      </c>
      <c r="O11" s="133">
        <f>IF(SER_hh_tes_in!O11=0,0,11630*1000*SER_hh_tes_in!O11/SER_hh_num_in!O11)</f>
        <v>70300.115895747469</v>
      </c>
      <c r="P11" s="133">
        <f>IF(SER_hh_tes_in!P11=0,0,11630*1000*SER_hh_tes_in!P11/SER_hh_num_in!P11)</f>
        <v>63412.302925717901</v>
      </c>
      <c r="Q11" s="133">
        <f>IF(SER_hh_tes_in!Q11=0,0,11630*1000*SER_hh_tes_in!Q11/SER_hh_num_in!Q11)</f>
        <v>61411.38306759017</v>
      </c>
      <c r="R11" s="133">
        <f>IF(SER_hh_tes_in!R11=0,0,11630*1000*SER_hh_tes_in!R11/SER_hh_num_in!R11)</f>
        <v>59320.653216848681</v>
      </c>
      <c r="S11" s="133">
        <f>IF(SER_hh_tes_in!S11=0,0,11630*1000*SER_hh_tes_in!S11/SER_hh_num_in!S11)</f>
        <v>57372.405525023838</v>
      </c>
      <c r="T11" s="133">
        <f>IF(SER_hh_tes_in!T11=0,0,11630*1000*SER_hh_tes_in!T11/SER_hh_num_in!T11)</f>
        <v>54354.566036923105</v>
      </c>
      <c r="U11" s="133">
        <f>IF(SER_hh_tes_in!U11=0,0,11630*1000*SER_hh_tes_in!U11/SER_hh_num_in!U11)</f>
        <v>49380.979979829463</v>
      </c>
      <c r="V11" s="133">
        <f>IF(SER_hh_tes_in!V11=0,0,11630*1000*SER_hh_tes_in!V11/SER_hh_num_in!V11)</f>
        <v>43626.538005469534</v>
      </c>
      <c r="W11" s="133">
        <f>IF(SER_hh_tes_in!W11=0,0,11630*1000*SER_hh_tes_in!W11/SER_hh_num_in!W11)</f>
        <v>34988.154172145572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95662.742940986122</v>
      </c>
      <c r="D12" s="133">
        <f>IF(SER_hh_tes_in!D12=0,0,11630*1000*SER_hh_tes_in!D12/SER_hh_num_in!D12)</f>
        <v>95564.529621879206</v>
      </c>
      <c r="E12" s="133">
        <f>IF(SER_hh_tes_in!E12=0,0,11630*1000*SER_hh_tes_in!E12/SER_hh_num_in!E12)</f>
        <v>92370.220501937962</v>
      </c>
      <c r="F12" s="133">
        <f>IF(SER_hh_tes_in!F12=0,0,11630*1000*SER_hh_tes_in!F12/SER_hh_num_in!F12)</f>
        <v>93388.84991757253</v>
      </c>
      <c r="G12" s="133">
        <f>IF(SER_hh_tes_in!G12=0,0,11630*1000*SER_hh_tes_in!G12/SER_hh_num_in!G12)</f>
        <v>100091.42801595092</v>
      </c>
      <c r="H12" s="133">
        <f>IF(SER_hh_tes_in!H12=0,0,11630*1000*SER_hh_tes_in!H12/SER_hh_num_in!H12)</f>
        <v>0</v>
      </c>
      <c r="I12" s="133">
        <f>IF(SER_hh_tes_in!I12=0,0,11630*1000*SER_hh_tes_in!I12/SER_hh_num_in!I12)</f>
        <v>0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0</v>
      </c>
      <c r="L12" s="133">
        <f>IF(SER_hh_tes_in!L12=0,0,11630*1000*SER_hh_tes_in!L12/SER_hh_num_in!L12)</f>
        <v>86000.246551128308</v>
      </c>
      <c r="M12" s="133">
        <f>IF(SER_hh_tes_in!M12=0,0,11630*1000*SER_hh_tes_in!M12/SER_hh_num_in!M12)</f>
        <v>71546.863048345112</v>
      </c>
      <c r="N12" s="133">
        <f>IF(SER_hh_tes_in!N12=0,0,11630*1000*SER_hh_tes_in!N12/SER_hh_num_in!N12)</f>
        <v>70429.655031794508</v>
      </c>
      <c r="O12" s="133">
        <f>IF(SER_hh_tes_in!O12=0,0,11630*1000*SER_hh_tes_in!O12/SER_hh_num_in!O12)</f>
        <v>71489.091500503375</v>
      </c>
      <c r="P12" s="133">
        <f>IF(SER_hh_tes_in!P12=0,0,11630*1000*SER_hh_tes_in!P12/SER_hh_num_in!P12)</f>
        <v>62174.822598184808</v>
      </c>
      <c r="Q12" s="133">
        <f>IF(SER_hh_tes_in!Q12=0,0,11630*1000*SER_hh_tes_in!Q12/SER_hh_num_in!Q12)</f>
        <v>61249.201504448007</v>
      </c>
      <c r="R12" s="133">
        <f>IF(SER_hh_tes_in!R12=0,0,11630*1000*SER_hh_tes_in!R12/SER_hh_num_in!R12)</f>
        <v>61574.963184253436</v>
      </c>
      <c r="S12" s="133">
        <f>IF(SER_hh_tes_in!S12=0,0,11630*1000*SER_hh_tes_in!S12/SER_hh_num_in!S12)</f>
        <v>58935.830072576558</v>
      </c>
      <c r="T12" s="133">
        <f>IF(SER_hh_tes_in!T12=0,0,11630*1000*SER_hh_tes_in!T12/SER_hh_num_in!T12)</f>
        <v>52787.084204539104</v>
      </c>
      <c r="U12" s="133">
        <f>IF(SER_hh_tes_in!U12=0,0,11630*1000*SER_hh_tes_in!U12/SER_hh_num_in!U12)</f>
        <v>47607.050086791074</v>
      </c>
      <c r="V12" s="133">
        <f>IF(SER_hh_tes_in!V12=0,0,11630*1000*SER_hh_tes_in!V12/SER_hh_num_in!V12)</f>
        <v>42233.060303777158</v>
      </c>
      <c r="W12" s="133">
        <f>IF(SER_hh_tes_in!W12=0,0,11630*1000*SER_hh_tes_in!W12/SER_hh_num_in!W12)</f>
        <v>38297.43420499171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89702.154092315017</v>
      </c>
      <c r="D13" s="133">
        <f>IF(SER_hh_tes_in!D13=0,0,11630*1000*SER_hh_tes_in!D13/SER_hh_num_in!D13)</f>
        <v>92973.309400709433</v>
      </c>
      <c r="E13" s="133">
        <f>IF(SER_hh_tes_in!E13=0,0,11630*1000*SER_hh_tes_in!E13/SER_hh_num_in!E13)</f>
        <v>93386.972386953857</v>
      </c>
      <c r="F13" s="133">
        <f>IF(SER_hh_tes_in!F13=0,0,11630*1000*SER_hh_tes_in!F13/SER_hh_num_in!F13)</f>
        <v>92246.292940463885</v>
      </c>
      <c r="G13" s="133">
        <f>IF(SER_hh_tes_in!G13=0,0,11630*1000*SER_hh_tes_in!G13/SER_hh_num_in!G13)</f>
        <v>93681.764013633758</v>
      </c>
      <c r="H13" s="133">
        <f>IF(SER_hh_tes_in!H13=0,0,11630*1000*SER_hh_tes_in!H13/SER_hh_num_in!H13)</f>
        <v>87189.430785641234</v>
      </c>
      <c r="I13" s="133">
        <f>IF(SER_hh_tes_in!I13=0,0,11630*1000*SER_hh_tes_in!I13/SER_hh_num_in!I13)</f>
        <v>79543.219323779413</v>
      </c>
      <c r="J13" s="133">
        <f>IF(SER_hh_tes_in!J13=0,0,11630*1000*SER_hh_tes_in!J13/SER_hh_num_in!J13)</f>
        <v>82380.595631229648</v>
      </c>
      <c r="K13" s="133">
        <f>IF(SER_hh_tes_in!K13=0,0,11630*1000*SER_hh_tes_in!K13/SER_hh_num_in!K13)</f>
        <v>77362.574727371655</v>
      </c>
      <c r="L13" s="133">
        <f>IF(SER_hh_tes_in!L13=0,0,11630*1000*SER_hh_tes_in!L13/SER_hh_num_in!L13)</f>
        <v>69347.306723010741</v>
      </c>
      <c r="M13" s="133">
        <f>IF(SER_hh_tes_in!M13=0,0,11630*1000*SER_hh_tes_in!M13/SER_hh_num_in!M13)</f>
        <v>78542.685245300934</v>
      </c>
      <c r="N13" s="133">
        <f>IF(SER_hh_tes_in!N13=0,0,11630*1000*SER_hh_tes_in!N13/SER_hh_num_in!N13)</f>
        <v>77834.437076257687</v>
      </c>
      <c r="O13" s="133">
        <f>IF(SER_hh_tes_in!O13=0,0,11630*1000*SER_hh_tes_in!O13/SER_hh_num_in!O13)</f>
        <v>76709.727023421859</v>
      </c>
      <c r="P13" s="133">
        <f>IF(SER_hh_tes_in!P13=0,0,11630*1000*SER_hh_tes_in!P13/SER_hh_num_in!P13)</f>
        <v>60776.272816515258</v>
      </c>
      <c r="Q13" s="133">
        <f>IF(SER_hh_tes_in!Q13=0,0,11630*1000*SER_hh_tes_in!Q13/SER_hh_num_in!Q13)</f>
        <v>60555.759740331792</v>
      </c>
      <c r="R13" s="133">
        <f>IF(SER_hh_tes_in!R13=0,0,11630*1000*SER_hh_tes_in!R13/SER_hh_num_in!R13)</f>
        <v>61963.79400261501</v>
      </c>
      <c r="S13" s="133">
        <f>IF(SER_hh_tes_in!S13=0,0,11630*1000*SER_hh_tes_in!S13/SER_hh_num_in!S13)</f>
        <v>56455.509107681086</v>
      </c>
      <c r="T13" s="133">
        <f>IF(SER_hh_tes_in!T13=0,0,11630*1000*SER_hh_tes_in!T13/SER_hh_num_in!T13)</f>
        <v>49270.229698362709</v>
      </c>
      <c r="U13" s="133">
        <f>IF(SER_hh_tes_in!U13=0,0,11630*1000*SER_hh_tes_in!U13/SER_hh_num_in!U13)</f>
        <v>46579.106496619097</v>
      </c>
      <c r="V13" s="133">
        <f>IF(SER_hh_tes_in!V13=0,0,11630*1000*SER_hh_tes_in!V13/SER_hh_num_in!V13)</f>
        <v>40064.183682338131</v>
      </c>
      <c r="W13" s="133">
        <f>IF(SER_hh_tes_in!W13=0,0,11630*1000*SER_hh_tes_in!W13/SER_hh_num_in!W13)</f>
        <v>38338.895662488445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93393.751718534535</v>
      </c>
      <c r="D14" s="65">
        <f>IF(SER_hh_tes_in!D14=0,0,11630*1000*SER_hh_tes_in!D14/SER_hh_num_in!D14)</f>
        <v>90712.224454110343</v>
      </c>
      <c r="E14" s="65">
        <f>IF(SER_hh_tes_in!E14=0,0,11630*1000*SER_hh_tes_in!E14/SER_hh_num_in!E14)</f>
        <v>93248.967704604511</v>
      </c>
      <c r="F14" s="65">
        <f>IF(SER_hh_tes_in!F14=0,0,11630*1000*SER_hh_tes_in!F14/SER_hh_num_in!F14)</f>
        <v>97731.880410079917</v>
      </c>
      <c r="G14" s="65">
        <f>IF(SER_hh_tes_in!G14=0,0,11630*1000*SER_hh_tes_in!G14/SER_hh_num_in!G14)</f>
        <v>90527.970616977109</v>
      </c>
      <c r="H14" s="65">
        <f>IF(SER_hh_tes_in!H14=0,0,11630*1000*SER_hh_tes_in!H14/SER_hh_num_in!H14)</f>
        <v>86726.087582365421</v>
      </c>
      <c r="I14" s="65">
        <f>IF(SER_hh_tes_in!I14=0,0,11630*1000*SER_hh_tes_in!I14/SER_hh_num_in!I14)</f>
        <v>84443.28719512219</v>
      </c>
      <c r="J14" s="65">
        <f>IF(SER_hh_tes_in!J14=0,0,11630*1000*SER_hh_tes_in!J14/SER_hh_num_in!J14)</f>
        <v>76446.438694454249</v>
      </c>
      <c r="K14" s="65">
        <f>IF(SER_hh_tes_in!K14=0,0,11630*1000*SER_hh_tes_in!K14/SER_hh_num_in!K14)</f>
        <v>82508.355844322024</v>
      </c>
      <c r="L14" s="65">
        <f>IF(SER_hh_tes_in!L14=0,0,11630*1000*SER_hh_tes_in!L14/SER_hh_num_in!L14)</f>
        <v>90929.375291355522</v>
      </c>
      <c r="M14" s="65">
        <f>IF(SER_hh_tes_in!M14=0,0,11630*1000*SER_hh_tes_in!M14/SER_hh_num_in!M14)</f>
        <v>69661.63631312894</v>
      </c>
      <c r="N14" s="65">
        <f>IF(SER_hh_tes_in!N14=0,0,11630*1000*SER_hh_tes_in!N14/SER_hh_num_in!N14)</f>
        <v>75012.708822234694</v>
      </c>
      <c r="O14" s="65">
        <f>IF(SER_hh_tes_in!O14=0,0,11630*1000*SER_hh_tes_in!O14/SER_hh_num_in!O14)</f>
        <v>74354.309621748427</v>
      </c>
      <c r="P14" s="65">
        <f>IF(SER_hh_tes_in!P14=0,0,11630*1000*SER_hh_tes_in!P14/SER_hh_num_in!P14)</f>
        <v>60090.3671758899</v>
      </c>
      <c r="Q14" s="65">
        <f>IF(SER_hh_tes_in!Q14=0,0,11630*1000*SER_hh_tes_in!Q14/SER_hh_num_in!Q14)</f>
        <v>62304.816428136401</v>
      </c>
      <c r="R14" s="65">
        <f>IF(SER_hh_tes_in!R14=0,0,11630*1000*SER_hh_tes_in!R14/SER_hh_num_in!R14)</f>
        <v>60242.766997191</v>
      </c>
      <c r="S14" s="65">
        <f>IF(SER_hh_tes_in!S14=0,0,11630*1000*SER_hh_tes_in!S14/SER_hh_num_in!S14)</f>
        <v>57305.462758506983</v>
      </c>
      <c r="T14" s="65">
        <f>IF(SER_hh_tes_in!T14=0,0,11630*1000*SER_hh_tes_in!T14/SER_hh_num_in!T14)</f>
        <v>53882.725793575039</v>
      </c>
      <c r="U14" s="65">
        <f>IF(SER_hh_tes_in!U14=0,0,11630*1000*SER_hh_tes_in!U14/SER_hh_num_in!U14)</f>
        <v>48209.785241922014</v>
      </c>
      <c r="V14" s="65">
        <f>IF(SER_hh_tes_in!V14=0,0,11630*1000*SER_hh_tes_in!V14/SER_hh_num_in!V14)</f>
        <v>39491.964687729458</v>
      </c>
      <c r="W14" s="65">
        <f>IF(SER_hh_tes_in!W14=0,0,11630*1000*SER_hh_tes_in!W14/SER_hh_num_in!W14)</f>
        <v>40092.812973881671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1282.6783330890414</v>
      </c>
      <c r="D15" s="135">
        <f>IF(SER_hh_tes_in!D15=0,0,11630*1000*SER_hh_tes_in!D15/SER_hh_num_in!D15)</f>
        <v>1188.7775982657686</v>
      </c>
      <c r="E15" s="135">
        <f>IF(SER_hh_tes_in!E15=0,0,11630*1000*SER_hh_tes_in!E15/SER_hh_num_in!E15)</f>
        <v>1613.1229685952255</v>
      </c>
      <c r="F15" s="135">
        <f>IF(SER_hh_tes_in!F15=0,0,11630*1000*SER_hh_tes_in!F15/SER_hh_num_in!F15)</f>
        <v>1562.189370262397</v>
      </c>
      <c r="G15" s="135">
        <f>IF(SER_hh_tes_in!G15=0,0,11630*1000*SER_hh_tes_in!G15/SER_hh_num_in!G15)</f>
        <v>1615.1029421222327</v>
      </c>
      <c r="H15" s="135">
        <f>IF(SER_hh_tes_in!H15=0,0,11630*1000*SER_hh_tes_in!H15/SER_hh_num_in!H15)</f>
        <v>1458.0730532061748</v>
      </c>
      <c r="I15" s="135">
        <f>IF(SER_hh_tes_in!I15=0,0,11630*1000*SER_hh_tes_in!I15/SER_hh_num_in!I15)</f>
        <v>1344.6772465144636</v>
      </c>
      <c r="J15" s="135">
        <f>IF(SER_hh_tes_in!J15=0,0,11630*1000*SER_hh_tes_in!J15/SER_hh_num_in!J15)</f>
        <v>1281.5269322247461</v>
      </c>
      <c r="K15" s="135">
        <f>IF(SER_hh_tes_in!K15=0,0,11630*1000*SER_hh_tes_in!K15/SER_hh_num_in!K15)</f>
        <v>1411.4154175490612</v>
      </c>
      <c r="L15" s="135">
        <f>IF(SER_hh_tes_in!L15=0,0,11630*1000*SER_hh_tes_in!L15/SER_hh_num_in!L15)</f>
        <v>1414.9974090853714</v>
      </c>
      <c r="M15" s="135">
        <f>IF(SER_hh_tes_in!M15=0,0,11630*1000*SER_hh_tes_in!M15/SER_hh_num_in!M15)</f>
        <v>973.26588029742982</v>
      </c>
      <c r="N15" s="135">
        <f>IF(SER_hh_tes_in!N15=0,0,11630*1000*SER_hh_tes_in!N15/SER_hh_num_in!N15)</f>
        <v>1067.3117363658778</v>
      </c>
      <c r="O15" s="135">
        <f>IF(SER_hh_tes_in!O15=0,0,11630*1000*SER_hh_tes_in!O15/SER_hh_num_in!O15)</f>
        <v>1053.8802202581398</v>
      </c>
      <c r="P15" s="135">
        <f>IF(SER_hh_tes_in!P15=0,0,11630*1000*SER_hh_tes_in!P15/SER_hh_num_in!P15)</f>
        <v>807.38777715038486</v>
      </c>
      <c r="Q15" s="135">
        <f>IF(SER_hh_tes_in!Q15=0,0,11630*1000*SER_hh_tes_in!Q15/SER_hh_num_in!Q15)</f>
        <v>757.6375508381069</v>
      </c>
      <c r="R15" s="135">
        <f>IF(SER_hh_tes_in!R15=0,0,11630*1000*SER_hh_tes_in!R15/SER_hh_num_in!R15)</f>
        <v>767.48987204325408</v>
      </c>
      <c r="S15" s="135">
        <f>IF(SER_hh_tes_in!S15=0,0,11630*1000*SER_hh_tes_in!S15/SER_hh_num_in!S15)</f>
        <v>785.85928848392462</v>
      </c>
      <c r="T15" s="135">
        <f>IF(SER_hh_tes_in!T15=0,0,11630*1000*SER_hh_tes_in!T15/SER_hh_num_in!T15)</f>
        <v>776.52312569819071</v>
      </c>
      <c r="U15" s="135">
        <f>IF(SER_hh_tes_in!U15=0,0,11630*1000*SER_hh_tes_in!U15/SER_hh_num_in!U15)</f>
        <v>697.83404210802064</v>
      </c>
      <c r="V15" s="135">
        <f>IF(SER_hh_tes_in!V15=0,0,11630*1000*SER_hh_tes_in!V15/SER_hh_num_in!V15)</f>
        <v>574.12455708185723</v>
      </c>
      <c r="W15" s="135">
        <f>IF(SER_hh_tes_in!W15=0,0,11630*1000*SER_hh_tes_in!W15/SER_hh_num_in!W15)</f>
        <v>519.88924010397932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24612.414893347217</v>
      </c>
      <c r="D16" s="131">
        <f>IF(SER_hh_tes_in!D16=0,0,11630*1000*SER_hh_tes_in!D16/SER_hh_num_in!D16)</f>
        <v>23366.777400923722</v>
      </c>
      <c r="E16" s="131">
        <f>IF(SER_hh_tes_in!E16=0,0,11630*1000*SER_hh_tes_in!E16/SER_hh_num_in!E16)</f>
        <v>40504.347141435814</v>
      </c>
      <c r="F16" s="131">
        <f>IF(SER_hh_tes_in!F16=0,0,11630*1000*SER_hh_tes_in!F16/SER_hh_num_in!F16)</f>
        <v>23637.537558857195</v>
      </c>
      <c r="G16" s="131">
        <f>IF(SER_hh_tes_in!G16=0,0,11630*1000*SER_hh_tes_in!G16/SER_hh_num_in!G16)</f>
        <v>25459.602889245863</v>
      </c>
      <c r="H16" s="131">
        <f>IF(SER_hh_tes_in!H16=0,0,11630*1000*SER_hh_tes_in!H16/SER_hh_num_in!H16)</f>
        <v>28800.273310972407</v>
      </c>
      <c r="I16" s="131">
        <f>IF(SER_hh_tes_in!I16=0,0,11630*1000*SER_hh_tes_in!I16/SER_hh_num_in!I16)</f>
        <v>22234.489925593931</v>
      </c>
      <c r="J16" s="131">
        <f>IF(SER_hh_tes_in!J16=0,0,11630*1000*SER_hh_tes_in!J16/SER_hh_num_in!J16)</f>
        <v>22250.376488079499</v>
      </c>
      <c r="K16" s="131">
        <f>IF(SER_hh_tes_in!K16=0,0,11630*1000*SER_hh_tes_in!K16/SER_hh_num_in!K16)</f>
        <v>23351.030611775295</v>
      </c>
      <c r="L16" s="131">
        <f>IF(SER_hh_tes_in!L16=0,0,11630*1000*SER_hh_tes_in!L16/SER_hh_num_in!L16)</f>
        <v>22613.381581195208</v>
      </c>
      <c r="M16" s="131">
        <f>IF(SER_hh_tes_in!M16=0,0,11630*1000*SER_hh_tes_in!M16/SER_hh_num_in!M16)</f>
        <v>21824.718285000683</v>
      </c>
      <c r="N16" s="131">
        <f>IF(SER_hh_tes_in!N16=0,0,11630*1000*SER_hh_tes_in!N16/SER_hh_num_in!N16)</f>
        <v>22419.212799902296</v>
      </c>
      <c r="O16" s="131">
        <f>IF(SER_hh_tes_in!O16=0,0,11630*1000*SER_hh_tes_in!O16/SER_hh_num_in!O16)</f>
        <v>21739.718308934469</v>
      </c>
      <c r="P16" s="131">
        <f>IF(SER_hh_tes_in!P16=0,0,11630*1000*SER_hh_tes_in!P16/SER_hh_num_in!P16)</f>
        <v>19935.79735435226</v>
      </c>
      <c r="Q16" s="131">
        <f>IF(SER_hh_tes_in!Q16=0,0,11630*1000*SER_hh_tes_in!Q16/SER_hh_num_in!Q16)</f>
        <v>24057.485344278866</v>
      </c>
      <c r="R16" s="131">
        <f>IF(SER_hh_tes_in!R16=0,0,11630*1000*SER_hh_tes_in!R16/SER_hh_num_in!R16)</f>
        <v>20621.706533537752</v>
      </c>
      <c r="S16" s="131">
        <f>IF(SER_hh_tes_in!S16=0,0,11630*1000*SER_hh_tes_in!S16/SER_hh_num_in!S16)</f>
        <v>21645.900270579437</v>
      </c>
      <c r="T16" s="131">
        <f>IF(SER_hh_tes_in!T16=0,0,11630*1000*SER_hh_tes_in!T16/SER_hh_num_in!T16)</f>
        <v>20659.469524316224</v>
      </c>
      <c r="U16" s="131">
        <f>IF(SER_hh_tes_in!U16=0,0,11630*1000*SER_hh_tes_in!U16/SER_hh_num_in!U16)</f>
        <v>20078.296604452273</v>
      </c>
      <c r="V16" s="131">
        <f>IF(SER_hh_tes_in!V16=0,0,11630*1000*SER_hh_tes_in!V16/SER_hh_num_in!V16)</f>
        <v>19855.477712443051</v>
      </c>
      <c r="W16" s="131">
        <f>IF(SER_hh_tes_in!W16=0,0,11630*1000*SER_hh_tes_in!W16/SER_hh_num_in!W16)</f>
        <v>14792.359674580106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24617.335093518912</v>
      </c>
      <c r="D17" s="133">
        <f>IF(SER_hh_tes_in!D17=0,0,11630*1000*SER_hh_tes_in!D17/SER_hh_num_in!D17)</f>
        <v>23375.316599150457</v>
      </c>
      <c r="E17" s="133">
        <f>IF(SER_hh_tes_in!E17=0,0,11630*1000*SER_hh_tes_in!E17/SER_hh_num_in!E17)</f>
        <v>45542.076005596464</v>
      </c>
      <c r="F17" s="133">
        <f>IF(SER_hh_tes_in!F17=0,0,11630*1000*SER_hh_tes_in!F17/SER_hh_num_in!F17)</f>
        <v>23660.924626155225</v>
      </c>
      <c r="G17" s="133">
        <f>IF(SER_hh_tes_in!G17=0,0,11630*1000*SER_hh_tes_in!G17/SER_hh_num_in!G17)</f>
        <v>25456.461484149022</v>
      </c>
      <c r="H17" s="133">
        <f>IF(SER_hh_tes_in!H17=0,0,11630*1000*SER_hh_tes_in!H17/SER_hh_num_in!H17)</f>
        <v>28846.83485974681</v>
      </c>
      <c r="I17" s="133">
        <f>IF(SER_hh_tes_in!I17=0,0,11630*1000*SER_hh_tes_in!I17/SER_hh_num_in!I17)</f>
        <v>22263.358062129955</v>
      </c>
      <c r="J17" s="133">
        <f>IF(SER_hh_tes_in!J17=0,0,11630*1000*SER_hh_tes_in!J17/SER_hh_num_in!J17)</f>
        <v>22282.019581798071</v>
      </c>
      <c r="K17" s="133">
        <f>IF(SER_hh_tes_in!K17=0,0,11630*1000*SER_hh_tes_in!K17/SER_hh_num_in!K17)</f>
        <v>23380.754726473195</v>
      </c>
      <c r="L17" s="133">
        <f>IF(SER_hh_tes_in!L17=0,0,11630*1000*SER_hh_tes_in!L17/SER_hh_num_in!L17)</f>
        <v>22675.544023740331</v>
      </c>
      <c r="M17" s="133">
        <f>IF(SER_hh_tes_in!M17=0,0,11630*1000*SER_hh_tes_in!M17/SER_hh_num_in!M17)</f>
        <v>21943.843831525232</v>
      </c>
      <c r="N17" s="133">
        <f>IF(SER_hh_tes_in!N17=0,0,11630*1000*SER_hh_tes_in!N17/SER_hh_num_in!N17)</f>
        <v>22577.607238473156</v>
      </c>
      <c r="O17" s="133">
        <f>IF(SER_hh_tes_in!O17=0,0,11630*1000*SER_hh_tes_in!O17/SER_hh_num_in!O17)</f>
        <v>21886.773108877791</v>
      </c>
      <c r="P17" s="133">
        <f>IF(SER_hh_tes_in!P17=0,0,11630*1000*SER_hh_tes_in!P17/SER_hh_num_in!P17)</f>
        <v>20034.483909017403</v>
      </c>
      <c r="Q17" s="133">
        <f>IF(SER_hh_tes_in!Q17=0,0,11630*1000*SER_hh_tes_in!Q17/SER_hh_num_in!Q17)</f>
        <v>24086.874527806845</v>
      </c>
      <c r="R17" s="133">
        <f>IF(SER_hh_tes_in!R17=0,0,11630*1000*SER_hh_tes_in!R17/SER_hh_num_in!R17)</f>
        <v>20627.818397720617</v>
      </c>
      <c r="S17" s="133">
        <f>IF(SER_hh_tes_in!S17=0,0,11630*1000*SER_hh_tes_in!S17/SER_hh_num_in!S17)</f>
        <v>21666.755067260732</v>
      </c>
      <c r="T17" s="133">
        <f>IF(SER_hh_tes_in!T17=0,0,11630*1000*SER_hh_tes_in!T17/SER_hh_num_in!T17)</f>
        <v>20677.754020559929</v>
      </c>
      <c r="U17" s="133">
        <f>IF(SER_hh_tes_in!U17=0,0,11630*1000*SER_hh_tes_in!U17/SER_hh_num_in!U17)</f>
        <v>20116.917697905465</v>
      </c>
      <c r="V17" s="133">
        <f>IF(SER_hh_tes_in!V17=0,0,11630*1000*SER_hh_tes_in!V17/SER_hh_num_in!V17)</f>
        <v>18602.808987764296</v>
      </c>
      <c r="W17" s="133">
        <f>IF(SER_hh_tes_in!W17=0,0,11630*1000*SER_hh_tes_in!W17/SER_hh_num_in!W17)</f>
        <v>13356.235814957361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24612.390099313761</v>
      </c>
      <c r="D18" s="133">
        <f>IF(SER_hh_tes_in!D18=0,0,11630*1000*SER_hh_tes_in!D18/SER_hh_num_in!D18)</f>
        <v>23366.737148433898</v>
      </c>
      <c r="E18" s="133">
        <f>IF(SER_hh_tes_in!E18=0,0,11630*1000*SER_hh_tes_in!E18/SER_hh_num_in!E18)</f>
        <v>40455.130743842215</v>
      </c>
      <c r="F18" s="133">
        <f>IF(SER_hh_tes_in!F18=0,0,11630*1000*SER_hh_tes_in!F18/SER_hh_num_in!F18)</f>
        <v>23637.442749687583</v>
      </c>
      <c r="G18" s="133">
        <f>IF(SER_hh_tes_in!G18=0,0,11630*1000*SER_hh_tes_in!G18/SER_hh_num_in!G18)</f>
        <v>25459.609042780776</v>
      </c>
      <c r="H18" s="133">
        <f>IF(SER_hh_tes_in!H18=0,0,11630*1000*SER_hh_tes_in!H18/SER_hh_num_in!H18)</f>
        <v>28799.617408475999</v>
      </c>
      <c r="I18" s="133">
        <f>IF(SER_hh_tes_in!I18=0,0,11630*1000*SER_hh_tes_in!I18/SER_hh_num_in!I18)</f>
        <v>22234.265348409543</v>
      </c>
      <c r="J18" s="133">
        <f>IF(SER_hh_tes_in!J18=0,0,11630*1000*SER_hh_tes_in!J18/SER_hh_num_in!J18)</f>
        <v>22249.999475670378</v>
      </c>
      <c r="K18" s="133">
        <f>IF(SER_hh_tes_in!K18=0,0,11630*1000*SER_hh_tes_in!K18/SER_hh_num_in!K18)</f>
        <v>23350.758523370136</v>
      </c>
      <c r="L18" s="133">
        <f>IF(SER_hh_tes_in!L18=0,0,11630*1000*SER_hh_tes_in!L18/SER_hh_num_in!L18)</f>
        <v>22612.410400943718</v>
      </c>
      <c r="M18" s="133">
        <f>IF(SER_hh_tes_in!M18=0,0,11630*1000*SER_hh_tes_in!M18/SER_hh_num_in!M18)</f>
        <v>21821.321802628434</v>
      </c>
      <c r="N18" s="133">
        <f>IF(SER_hh_tes_in!N18=0,0,11630*1000*SER_hh_tes_in!N18/SER_hh_num_in!N18)</f>
        <v>22410.836310285795</v>
      </c>
      <c r="O18" s="133">
        <f>IF(SER_hh_tes_in!O18=0,0,11630*1000*SER_hh_tes_in!O18/SER_hh_num_in!O18)</f>
        <v>21733.644842705446</v>
      </c>
      <c r="P18" s="133">
        <f>IF(SER_hh_tes_in!P18=0,0,11630*1000*SER_hh_tes_in!P18/SER_hh_num_in!P18)</f>
        <v>19933.586192553536</v>
      </c>
      <c r="Q18" s="133">
        <f>IF(SER_hh_tes_in!Q18=0,0,11630*1000*SER_hh_tes_in!Q18/SER_hh_num_in!Q18)</f>
        <v>24055.863595991777</v>
      </c>
      <c r="R18" s="133">
        <f>IF(SER_hh_tes_in!R18=0,0,11630*1000*SER_hh_tes_in!R18/SER_hh_num_in!R18)</f>
        <v>20621.494344339309</v>
      </c>
      <c r="S18" s="133">
        <f>IF(SER_hh_tes_in!S18=0,0,11630*1000*SER_hh_tes_in!S18/SER_hh_num_in!S18)</f>
        <v>21644.818719855444</v>
      </c>
      <c r="T18" s="133">
        <f>IF(SER_hh_tes_in!T18=0,0,11630*1000*SER_hh_tes_in!T18/SER_hh_num_in!T18)</f>
        <v>20658.60131080373</v>
      </c>
      <c r="U18" s="133">
        <f>IF(SER_hh_tes_in!U18=0,0,11630*1000*SER_hh_tes_in!U18/SER_hh_num_in!U18)</f>
        <v>20076.122935617801</v>
      </c>
      <c r="V18" s="133">
        <f>IF(SER_hh_tes_in!V18=0,0,11630*1000*SER_hh_tes_in!V18/SER_hh_num_in!V18)</f>
        <v>19946.435870476806</v>
      </c>
      <c r="W18" s="133">
        <f>IF(SER_hh_tes_in!W18=0,0,11630*1000*SER_hh_tes_in!W18/SER_hh_num_in!W18)</f>
        <v>14858.675242644653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14800.838896541678</v>
      </c>
      <c r="D19" s="131">
        <f>IF(SER_hh_tes_in!D19=0,0,11630*1000*SER_hh_tes_in!D19/SER_hh_num_in!D19)</f>
        <v>14763.777408927168</v>
      </c>
      <c r="E19" s="131">
        <f>IF(SER_hh_tes_in!E19=0,0,11630*1000*SER_hh_tes_in!E19/SER_hh_num_in!E19)</f>
        <v>14409.011080309463</v>
      </c>
      <c r="F19" s="131">
        <f>IF(SER_hh_tes_in!F19=0,0,11630*1000*SER_hh_tes_in!F19/SER_hh_num_in!F19)</f>
        <v>14751.540173227755</v>
      </c>
      <c r="G19" s="131">
        <f>IF(SER_hh_tes_in!G19=0,0,11630*1000*SER_hh_tes_in!G19/SER_hh_num_in!G19)</f>
        <v>14577.436547656775</v>
      </c>
      <c r="H19" s="131">
        <f>IF(SER_hh_tes_in!H19=0,0,11630*1000*SER_hh_tes_in!H19/SER_hh_num_in!H19)</f>
        <v>14124.363301019797</v>
      </c>
      <c r="I19" s="131">
        <f>IF(SER_hh_tes_in!I19=0,0,11630*1000*SER_hh_tes_in!I19/SER_hh_num_in!I19)</f>
        <v>14325.604195533477</v>
      </c>
      <c r="J19" s="131">
        <f>IF(SER_hh_tes_in!J19=0,0,11630*1000*SER_hh_tes_in!J19/SER_hh_num_in!J19)</f>
        <v>14396.637449922595</v>
      </c>
      <c r="K19" s="131">
        <f>IF(SER_hh_tes_in!K19=0,0,11630*1000*SER_hh_tes_in!K19/SER_hh_num_in!K19)</f>
        <v>14566.656524900924</v>
      </c>
      <c r="L19" s="131">
        <f>IF(SER_hh_tes_in!L19=0,0,11630*1000*SER_hh_tes_in!L19/SER_hh_num_in!L19)</f>
        <v>14456.492467338796</v>
      </c>
      <c r="M19" s="131">
        <f>IF(SER_hh_tes_in!M19=0,0,11630*1000*SER_hh_tes_in!M19/SER_hh_num_in!M19)</f>
        <v>14418.320359718271</v>
      </c>
      <c r="N19" s="131">
        <f>IF(SER_hh_tes_in!N19=0,0,11630*1000*SER_hh_tes_in!N19/SER_hh_num_in!N19)</f>
        <v>14630.0567051243</v>
      </c>
      <c r="O19" s="131">
        <f>IF(SER_hh_tes_in!O19=0,0,11630*1000*SER_hh_tes_in!O19/SER_hh_num_in!O19)</f>
        <v>14706.332913726865</v>
      </c>
      <c r="P19" s="131">
        <f>IF(SER_hh_tes_in!P19=0,0,11630*1000*SER_hh_tes_in!P19/SER_hh_num_in!P19)</f>
        <v>14585.422659613103</v>
      </c>
      <c r="Q19" s="131">
        <f>IF(SER_hh_tes_in!Q19=0,0,11630*1000*SER_hh_tes_in!Q19/SER_hh_num_in!Q19)</f>
        <v>14668.100012447976</v>
      </c>
      <c r="R19" s="131">
        <f>IF(SER_hh_tes_in!R19=0,0,11630*1000*SER_hh_tes_in!R19/SER_hh_num_in!R19)</f>
        <v>14735.489792787492</v>
      </c>
      <c r="S19" s="131">
        <f>IF(SER_hh_tes_in!S19=0,0,11630*1000*SER_hh_tes_in!S19/SER_hh_num_in!S19)</f>
        <v>14466.739987539138</v>
      </c>
      <c r="T19" s="131">
        <f>IF(SER_hh_tes_in!T19=0,0,11630*1000*SER_hh_tes_in!T19/SER_hh_num_in!T19)</f>
        <v>14749.069346581449</v>
      </c>
      <c r="U19" s="131">
        <f>IF(SER_hh_tes_in!U19=0,0,11630*1000*SER_hh_tes_in!U19/SER_hh_num_in!U19)</f>
        <v>14200.203504048128</v>
      </c>
      <c r="V19" s="131">
        <f>IF(SER_hh_tes_in!V19=0,0,11630*1000*SER_hh_tes_in!V19/SER_hh_num_in!V19)</f>
        <v>13025.604507645721</v>
      </c>
      <c r="W19" s="131">
        <f>IF(SER_hh_tes_in!W19=0,0,11630*1000*SER_hh_tes_in!W19/SER_hh_num_in!W19)</f>
        <v>13861.732749531702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14620.237106575314</v>
      </c>
      <c r="D21" s="133">
        <f>IF(SER_hh_tes_in!D21=0,0,11630*1000*SER_hh_tes_in!D21/SER_hh_num_in!D21)</f>
        <v>14929.71296743791</v>
      </c>
      <c r="E21" s="133">
        <f>IF(SER_hh_tes_in!E21=0,0,11630*1000*SER_hh_tes_in!E21/SER_hh_num_in!E21)</f>
        <v>14988.466664463838</v>
      </c>
      <c r="F21" s="133">
        <f>IF(SER_hh_tes_in!F21=0,0,11630*1000*SER_hh_tes_in!F21/SER_hh_num_in!F21)</f>
        <v>14853.061898265674</v>
      </c>
      <c r="G21" s="133">
        <f>IF(SER_hh_tes_in!G21=0,0,11630*1000*SER_hh_tes_in!G21/SER_hh_num_in!G21)</f>
        <v>13942.037606227279</v>
      </c>
      <c r="H21" s="133">
        <f>IF(SER_hh_tes_in!H21=0,0,11630*1000*SER_hh_tes_in!H21/SER_hh_num_in!H21)</f>
        <v>14391.124656498159</v>
      </c>
      <c r="I21" s="133">
        <f>IF(SER_hh_tes_in!I21=0,0,11630*1000*SER_hh_tes_in!I21/SER_hh_num_in!I21)</f>
        <v>14333.535230768419</v>
      </c>
      <c r="J21" s="133">
        <f>IF(SER_hh_tes_in!J21=0,0,11630*1000*SER_hh_tes_in!J21/SER_hh_num_in!J21)</f>
        <v>14408.500649866965</v>
      </c>
      <c r="K21" s="133">
        <f>IF(SER_hh_tes_in!K21=0,0,11630*1000*SER_hh_tes_in!K21/SER_hh_num_in!K21)</f>
        <v>14764.749255324026</v>
      </c>
      <c r="L21" s="133">
        <f>IF(SER_hh_tes_in!L21=0,0,11630*1000*SER_hh_tes_in!L21/SER_hh_num_in!L21)</f>
        <v>14084.107260815857</v>
      </c>
      <c r="M21" s="133">
        <f>IF(SER_hh_tes_in!M21=0,0,11630*1000*SER_hh_tes_in!M21/SER_hh_num_in!M21)</f>
        <v>14388.085412587805</v>
      </c>
      <c r="N21" s="133">
        <f>IF(SER_hh_tes_in!N21=0,0,11630*1000*SER_hh_tes_in!N21/SER_hh_num_in!N21)</f>
        <v>13940.913989117447</v>
      </c>
      <c r="O21" s="133">
        <f>IF(SER_hh_tes_in!O21=0,0,11630*1000*SER_hh_tes_in!O21/SER_hh_num_in!O21)</f>
        <v>14317.978587327325</v>
      </c>
      <c r="P21" s="133">
        <f>IF(SER_hh_tes_in!P21=0,0,11630*1000*SER_hh_tes_in!P21/SER_hh_num_in!P21)</f>
        <v>14757.386148208945</v>
      </c>
      <c r="Q21" s="133">
        <f>IF(SER_hh_tes_in!Q21=0,0,11630*1000*SER_hh_tes_in!Q21/SER_hh_num_in!Q21)</f>
        <v>14293.142984904069</v>
      </c>
      <c r="R21" s="133">
        <f>IF(SER_hh_tes_in!R21=0,0,11630*1000*SER_hh_tes_in!R21/SER_hh_num_in!R21)</f>
        <v>14986.887742709823</v>
      </c>
      <c r="S21" s="133">
        <f>IF(SER_hh_tes_in!S21=0,0,11630*1000*SER_hh_tes_in!S21/SER_hh_num_in!S21)</f>
        <v>15749.745001359477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13149.051171873003</v>
      </c>
      <c r="W21" s="133">
        <f>IF(SER_hh_tes_in!W21=0,0,11630*1000*SER_hh_tes_in!W21/SER_hh_num_in!W21)</f>
        <v>13601.269178303108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14940.542832919944</v>
      </c>
      <c r="D22" s="133">
        <f>IF(SER_hh_tes_in!D22=0,0,11630*1000*SER_hh_tes_in!D22/SER_hh_num_in!D22)</f>
        <v>14707.553236035437</v>
      </c>
      <c r="E22" s="133">
        <f>IF(SER_hh_tes_in!E22=0,0,11630*1000*SER_hh_tes_in!E22/SER_hh_num_in!E22)</f>
        <v>14557.498372475788</v>
      </c>
      <c r="F22" s="133">
        <f>IF(SER_hh_tes_in!F22=0,0,11630*1000*SER_hh_tes_in!F22/SER_hh_num_in!F22)</f>
        <v>14770.444432716564</v>
      </c>
      <c r="G22" s="133">
        <f>IF(SER_hh_tes_in!G22=0,0,11630*1000*SER_hh_tes_in!G22/SER_hh_num_in!G22)</f>
        <v>14512.983905795229</v>
      </c>
      <c r="H22" s="133">
        <f>IF(SER_hh_tes_in!H22=0,0,11630*1000*SER_hh_tes_in!H22/SER_hh_num_in!H22)</f>
        <v>14354.000589198877</v>
      </c>
      <c r="I22" s="133">
        <f>IF(SER_hh_tes_in!I22=0,0,11630*1000*SER_hh_tes_in!I22/SER_hh_num_in!I22)</f>
        <v>13923.062995056238</v>
      </c>
      <c r="J22" s="133">
        <f>IF(SER_hh_tes_in!J22=0,0,11630*1000*SER_hh_tes_in!J22/SER_hh_num_in!J22)</f>
        <v>14419.984779126356</v>
      </c>
      <c r="K22" s="133">
        <f>IF(SER_hh_tes_in!K22=0,0,11630*1000*SER_hh_tes_in!K22/SER_hh_num_in!K22)</f>
        <v>14645.660415046683</v>
      </c>
      <c r="L22" s="133">
        <f>IF(SER_hh_tes_in!L22=0,0,11630*1000*SER_hh_tes_in!L22/SER_hh_num_in!L22)</f>
        <v>14027.094593159634</v>
      </c>
      <c r="M22" s="133">
        <f>IF(SER_hh_tes_in!M22=0,0,11630*1000*SER_hh_tes_in!M22/SER_hh_num_in!M22)</f>
        <v>13629.180611890957</v>
      </c>
      <c r="N22" s="133">
        <f>IF(SER_hh_tes_in!N22=0,0,11630*1000*SER_hh_tes_in!N22/SER_hh_num_in!N22)</f>
        <v>14603.394986882004</v>
      </c>
      <c r="O22" s="133">
        <f>IF(SER_hh_tes_in!O22=0,0,11630*1000*SER_hh_tes_in!O22/SER_hh_num_in!O22)</f>
        <v>14635.33735360388</v>
      </c>
      <c r="P22" s="133">
        <f>IF(SER_hh_tes_in!P22=0,0,11630*1000*SER_hh_tes_in!P22/SER_hh_num_in!P22)</f>
        <v>14505.480318779306</v>
      </c>
      <c r="Q22" s="133">
        <f>IF(SER_hh_tes_in!Q22=0,0,11630*1000*SER_hh_tes_in!Q22/SER_hh_num_in!Q22)</f>
        <v>14844.010271990035</v>
      </c>
      <c r="R22" s="133">
        <f>IF(SER_hh_tes_in!R22=0,0,11630*1000*SER_hh_tes_in!R22/SER_hh_num_in!R22)</f>
        <v>13920.468748182904</v>
      </c>
      <c r="S22" s="133">
        <f>IF(SER_hh_tes_in!S22=0,0,11630*1000*SER_hh_tes_in!S22/SER_hh_num_in!S22)</f>
        <v>14947.268481566398</v>
      </c>
      <c r="T22" s="133">
        <f>IF(SER_hh_tes_in!T22=0,0,11630*1000*SER_hh_tes_in!T22/SER_hh_num_in!T22)</f>
        <v>14331.692131688455</v>
      </c>
      <c r="U22" s="133">
        <f>IF(SER_hh_tes_in!U22=0,0,11630*1000*SER_hh_tes_in!U22/SER_hh_num_in!U22)</f>
        <v>13917.589736111489</v>
      </c>
      <c r="V22" s="133">
        <f>IF(SER_hh_tes_in!V22=0,0,11630*1000*SER_hh_tes_in!V22/SER_hh_num_in!V22)</f>
        <v>13385.549704934203</v>
      </c>
      <c r="W22" s="133">
        <f>IF(SER_hh_tes_in!W22=0,0,11630*1000*SER_hh_tes_in!W22/SER_hh_num_in!W22)</f>
        <v>12914.658806507927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14840.185245990859</v>
      </c>
      <c r="D23" s="133">
        <f>IF(SER_hh_tes_in!D23=0,0,11630*1000*SER_hh_tes_in!D23/SER_hh_num_in!D23)</f>
        <v>14644.720844657306</v>
      </c>
      <c r="E23" s="133">
        <f>IF(SER_hh_tes_in!E23=0,0,11630*1000*SER_hh_tes_in!E23/SER_hh_num_in!E23)</f>
        <v>14847.24162567573</v>
      </c>
      <c r="F23" s="133">
        <f>IF(SER_hh_tes_in!F23=0,0,11630*1000*SER_hh_tes_in!F23/SER_hh_num_in!F23)</f>
        <v>14964.68186432875</v>
      </c>
      <c r="G23" s="133">
        <f>IF(SER_hh_tes_in!G23=0,0,11630*1000*SER_hh_tes_in!G23/SER_hh_num_in!G23)</f>
        <v>14078.036163363713</v>
      </c>
      <c r="H23" s="133">
        <f>IF(SER_hh_tes_in!H23=0,0,11630*1000*SER_hh_tes_in!H23/SER_hh_num_in!H23)</f>
        <v>14030.955998130943</v>
      </c>
      <c r="I23" s="133">
        <f>IF(SER_hh_tes_in!I23=0,0,11630*1000*SER_hh_tes_in!I23/SER_hh_num_in!I23)</f>
        <v>14102.214710280257</v>
      </c>
      <c r="J23" s="133">
        <f>IF(SER_hh_tes_in!J23=0,0,11630*1000*SER_hh_tes_in!J23/SER_hh_num_in!J23)</f>
        <v>13882.223024627743</v>
      </c>
      <c r="K23" s="133">
        <f>IF(SER_hh_tes_in!K23=0,0,11630*1000*SER_hh_tes_in!K23/SER_hh_num_in!K23)</f>
        <v>14807.387217999851</v>
      </c>
      <c r="L23" s="133">
        <f>IF(SER_hh_tes_in!L23=0,0,11630*1000*SER_hh_tes_in!L23/SER_hh_num_in!L23)</f>
        <v>14209.762326880013</v>
      </c>
      <c r="M23" s="133">
        <f>IF(SER_hh_tes_in!M23=0,0,11630*1000*SER_hh_tes_in!M23/SER_hh_num_in!M23)</f>
        <v>15729.518794353993</v>
      </c>
      <c r="N23" s="133">
        <f>IF(SER_hh_tes_in!N23=0,0,11630*1000*SER_hh_tes_in!N23/SER_hh_num_in!N23)</f>
        <v>12149.380744033919</v>
      </c>
      <c r="O23" s="133">
        <f>IF(SER_hh_tes_in!O23=0,0,11630*1000*SER_hh_tes_in!O23/SER_hh_num_in!O23)</f>
        <v>13445.288690426823</v>
      </c>
      <c r="P23" s="133">
        <f>IF(SER_hh_tes_in!P23=0,0,11630*1000*SER_hh_tes_in!P23/SER_hh_num_in!P23)</f>
        <v>14396.243649200213</v>
      </c>
      <c r="Q23" s="133">
        <f>IF(SER_hh_tes_in!Q23=0,0,11630*1000*SER_hh_tes_in!Q23/SER_hh_num_in!Q23)</f>
        <v>13755.487392618388</v>
      </c>
      <c r="R23" s="133">
        <f>IF(SER_hh_tes_in!R23=0,0,11630*1000*SER_hh_tes_in!R23/SER_hh_num_in!R23)</f>
        <v>15109.132981869407</v>
      </c>
      <c r="S23" s="133">
        <f>IF(SER_hh_tes_in!S23=0,0,11630*1000*SER_hh_tes_in!S23/SER_hh_num_in!S23)</f>
        <v>14339.937815918169</v>
      </c>
      <c r="T23" s="133">
        <f>IF(SER_hh_tes_in!T23=0,0,11630*1000*SER_hh_tes_in!T23/SER_hh_num_in!T23)</f>
        <v>14442.140699819869</v>
      </c>
      <c r="U23" s="133">
        <f>IF(SER_hh_tes_in!U23=0,0,11630*1000*SER_hh_tes_in!U23/SER_hh_num_in!U23)</f>
        <v>13974.826968669666</v>
      </c>
      <c r="V23" s="133">
        <f>IF(SER_hh_tes_in!V23=0,0,11630*1000*SER_hh_tes_in!V23/SER_hh_num_in!V23)</f>
        <v>12352.161688252911</v>
      </c>
      <c r="W23" s="133">
        <f>IF(SER_hh_tes_in!W23=0,0,11630*1000*SER_hh_tes_in!W23/SER_hh_num_in!W23)</f>
        <v>15112.917489067808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14649.919039943448</v>
      </c>
      <c r="D24" s="133">
        <f>IF(SER_hh_tes_in!D24=0,0,11630*1000*SER_hh_tes_in!D24/SER_hh_num_in!D24)</f>
        <v>14532.714288619762</v>
      </c>
      <c r="E24" s="133">
        <f>IF(SER_hh_tes_in!E24=0,0,11630*1000*SER_hh_tes_in!E24/SER_hh_num_in!E24)</f>
        <v>14399.961896787778</v>
      </c>
      <c r="F24" s="133">
        <f>IF(SER_hh_tes_in!F24=0,0,11630*1000*SER_hh_tes_in!F24/SER_hh_num_in!F24)</f>
        <v>14824.752791221043</v>
      </c>
      <c r="G24" s="133">
        <f>IF(SER_hh_tes_in!G24=0,0,11630*1000*SER_hh_tes_in!G24/SER_hh_num_in!G24)</f>
        <v>14218.565000456681</v>
      </c>
      <c r="H24" s="133">
        <f>IF(SER_hh_tes_in!H24=0,0,11630*1000*SER_hh_tes_in!H24/SER_hh_num_in!H24)</f>
        <v>13624.707429628756</v>
      </c>
      <c r="I24" s="133">
        <f>IF(SER_hh_tes_in!I24=0,0,11630*1000*SER_hh_tes_in!I24/SER_hh_num_in!I24)</f>
        <v>14875.996256767065</v>
      </c>
      <c r="J24" s="133">
        <f>IF(SER_hh_tes_in!J24=0,0,11630*1000*SER_hh_tes_in!J24/SER_hh_num_in!J24)</f>
        <v>14056.908778471678</v>
      </c>
      <c r="K24" s="133">
        <f>IF(SER_hh_tes_in!K24=0,0,11630*1000*SER_hh_tes_in!K24/SER_hh_num_in!K24)</f>
        <v>15070.647558272205</v>
      </c>
      <c r="L24" s="133">
        <f>IF(SER_hh_tes_in!L24=0,0,11630*1000*SER_hh_tes_in!L24/SER_hh_num_in!L24)</f>
        <v>16287.962224731291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12317.570070757218</v>
      </c>
      <c r="O24" s="133">
        <f>IF(SER_hh_tes_in!O24=0,0,11630*1000*SER_hh_tes_in!O24/SER_hh_num_in!O24)</f>
        <v>16464.39159228795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14450.552198862077</v>
      </c>
      <c r="S24" s="133">
        <f>IF(SER_hh_tes_in!S24=0,0,11630*1000*SER_hh_tes_in!S24/SER_hh_num_in!S24)</f>
        <v>14592.200422973447</v>
      </c>
      <c r="T24" s="133">
        <f>IF(SER_hh_tes_in!T24=0,0,11630*1000*SER_hh_tes_in!T24/SER_hh_num_in!T24)</f>
        <v>13888.505459458222</v>
      </c>
      <c r="U24" s="133">
        <f>IF(SER_hh_tes_in!U24=0,0,11630*1000*SER_hh_tes_in!U24/SER_hh_num_in!U24)</f>
        <v>13553.86532380961</v>
      </c>
      <c r="V24" s="133">
        <f>IF(SER_hh_tes_in!V24=0,0,11630*1000*SER_hh_tes_in!V24/SER_hh_num_in!V24)</f>
        <v>13141.901623231237</v>
      </c>
      <c r="W24" s="133">
        <f>IF(SER_hh_tes_in!W24=0,0,11630*1000*SER_hh_tes_in!W24/SER_hh_num_in!W24)</f>
        <v>14236.893484352138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15014.694644247067</v>
      </c>
      <c r="D25" s="133">
        <f>IF(SER_hh_tes_in!D25=0,0,11630*1000*SER_hh_tes_in!D25/SER_hh_num_in!D25)</f>
        <v>14573.444544750717</v>
      </c>
      <c r="E25" s="133">
        <f>IF(SER_hh_tes_in!E25=0,0,11630*1000*SER_hh_tes_in!E25/SER_hh_num_in!E25)</f>
        <v>14589.570957289992</v>
      </c>
      <c r="F25" s="133">
        <f>IF(SER_hh_tes_in!F25=0,0,11630*1000*SER_hh_tes_in!F25/SER_hh_num_in!F25)</f>
        <v>14801.603880170249</v>
      </c>
      <c r="G25" s="133">
        <f>IF(SER_hh_tes_in!G25=0,0,11630*1000*SER_hh_tes_in!G25/SER_hh_num_in!G25)</f>
        <v>14859.744690554202</v>
      </c>
      <c r="H25" s="133">
        <f>IF(SER_hh_tes_in!H25=0,0,11630*1000*SER_hh_tes_in!H25/SER_hh_num_in!H25)</f>
        <v>0</v>
      </c>
      <c r="I25" s="133">
        <f>IF(SER_hh_tes_in!I25=0,0,11630*1000*SER_hh_tes_in!I25/SER_hh_num_in!I25)</f>
        <v>0</v>
      </c>
      <c r="J25" s="133">
        <f>IF(SER_hh_tes_in!J25=0,0,11630*1000*SER_hh_tes_in!J25/SER_hh_num_in!J25)</f>
        <v>0</v>
      </c>
      <c r="K25" s="133">
        <f>IF(SER_hh_tes_in!K25=0,0,11630*1000*SER_hh_tes_in!K25/SER_hh_num_in!K25)</f>
        <v>15646.252789359467</v>
      </c>
      <c r="L25" s="133">
        <f>IF(SER_hh_tes_in!L25=0,0,11630*1000*SER_hh_tes_in!L25/SER_hh_num_in!L25)</f>
        <v>13978.677754912556</v>
      </c>
      <c r="M25" s="133">
        <f>IF(SER_hh_tes_in!M25=0,0,11630*1000*SER_hh_tes_in!M25/SER_hh_num_in!M25)</f>
        <v>13104.539540087984</v>
      </c>
      <c r="N25" s="133">
        <f>IF(SER_hh_tes_in!N25=0,0,11630*1000*SER_hh_tes_in!N25/SER_hh_num_in!N25)</f>
        <v>15049.210908747094</v>
      </c>
      <c r="O25" s="133">
        <f>IF(SER_hh_tes_in!O25=0,0,11630*1000*SER_hh_tes_in!O25/SER_hh_num_in!O25)</f>
        <v>15371.08369663498</v>
      </c>
      <c r="P25" s="133">
        <f>IF(SER_hh_tes_in!P25=0,0,11630*1000*SER_hh_tes_in!P25/SER_hh_num_in!P25)</f>
        <v>13810.475315274703</v>
      </c>
      <c r="Q25" s="133">
        <f>IF(SER_hh_tes_in!Q25=0,0,11630*1000*SER_hh_tes_in!Q25/SER_hh_num_in!Q25)</f>
        <v>14135.356021809788</v>
      </c>
      <c r="R25" s="133">
        <f>IF(SER_hh_tes_in!R25=0,0,11630*1000*SER_hh_tes_in!R25/SER_hh_num_in!R25)</f>
        <v>14779.848518800214</v>
      </c>
      <c r="S25" s="133">
        <f>IF(SER_hh_tes_in!S25=0,0,11630*1000*SER_hh_tes_in!S25/SER_hh_num_in!S25)</f>
        <v>13941.284103599777</v>
      </c>
      <c r="T25" s="133">
        <f>IF(SER_hh_tes_in!T25=0,0,11630*1000*SER_hh_tes_in!T25/SER_hh_num_in!T25)</f>
        <v>15293.965713367736</v>
      </c>
      <c r="U25" s="133">
        <f>IF(SER_hh_tes_in!U25=0,0,11630*1000*SER_hh_tes_in!U25/SER_hh_num_in!U25)</f>
        <v>14107.879169738037</v>
      </c>
      <c r="V25" s="133">
        <f>IF(SER_hh_tes_in!V25=0,0,11630*1000*SER_hh_tes_in!V25/SER_hh_num_in!V25)</f>
        <v>13385.749554036527</v>
      </c>
      <c r="W25" s="133">
        <f>IF(SER_hh_tes_in!W25=0,0,11630*1000*SER_hh_tes_in!W25/SER_hh_num_in!W25)</f>
        <v>12278.546570015753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14725.077541586934</v>
      </c>
      <c r="D26" s="65">
        <f>IF(SER_hh_tes_in!D26=0,0,11630*1000*SER_hh_tes_in!D26/SER_hh_num_in!D26)</f>
        <v>14845.402564665446</v>
      </c>
      <c r="E26" s="65">
        <f>IF(SER_hh_tes_in!E26=0,0,11630*1000*SER_hh_tes_in!E26/SER_hh_num_in!E26)</f>
        <v>14139.641090260975</v>
      </c>
      <c r="F26" s="65">
        <f>IF(SER_hh_tes_in!F26=0,0,11630*1000*SER_hh_tes_in!F26/SER_hh_num_in!F26)</f>
        <v>14693.003310669412</v>
      </c>
      <c r="G26" s="65">
        <f>IF(SER_hh_tes_in!G26=0,0,11630*1000*SER_hh_tes_in!G26/SER_hh_num_in!G26)</f>
        <v>13126.065072071004</v>
      </c>
      <c r="H26" s="65">
        <f>IF(SER_hh_tes_in!H26=0,0,11630*1000*SER_hh_tes_in!H26/SER_hh_num_in!H26)</f>
        <v>14057.877101044369</v>
      </c>
      <c r="I26" s="65">
        <f>IF(SER_hh_tes_in!I26=0,0,11630*1000*SER_hh_tes_in!I26/SER_hh_num_in!I26)</f>
        <v>14168.691931419769</v>
      </c>
      <c r="J26" s="65">
        <f>IF(SER_hh_tes_in!J26=0,0,11630*1000*SER_hh_tes_in!J26/SER_hh_num_in!J26)</f>
        <v>14244.11282576383</v>
      </c>
      <c r="K26" s="65">
        <f>IF(SER_hh_tes_in!K26=0,0,11630*1000*SER_hh_tes_in!K26/SER_hh_num_in!K26)</f>
        <v>13889.002138453179</v>
      </c>
      <c r="L26" s="65">
        <f>IF(SER_hh_tes_in!L26=0,0,11630*1000*SER_hh_tes_in!L26/SER_hh_num_in!L26)</f>
        <v>13293.632469785403</v>
      </c>
      <c r="M26" s="65">
        <f>IF(SER_hh_tes_in!M26=0,0,11630*1000*SER_hh_tes_in!M26/SER_hh_num_in!M26)</f>
        <v>13807.209566353333</v>
      </c>
      <c r="N26" s="65">
        <f>IF(SER_hh_tes_in!N26=0,0,11630*1000*SER_hh_tes_in!N26/SER_hh_num_in!N26)</f>
        <v>9629.8729763484698</v>
      </c>
      <c r="O26" s="65">
        <f>IF(SER_hh_tes_in!O26=0,0,11630*1000*SER_hh_tes_in!O26/SER_hh_num_in!O26)</f>
        <v>12638.026427387789</v>
      </c>
      <c r="P26" s="65">
        <f>IF(SER_hh_tes_in!P26=0,0,11630*1000*SER_hh_tes_in!P26/SER_hh_num_in!P26)</f>
        <v>14673.523417789216</v>
      </c>
      <c r="Q26" s="65">
        <f>IF(SER_hh_tes_in!Q26=0,0,11630*1000*SER_hh_tes_in!Q26/SER_hh_num_in!Q26)</f>
        <v>10615.359884196519</v>
      </c>
      <c r="R26" s="65">
        <f>IF(SER_hh_tes_in!R26=0,0,11630*1000*SER_hh_tes_in!R26/SER_hh_num_in!R26)</f>
        <v>14132.922514778291</v>
      </c>
      <c r="S26" s="65">
        <f>IF(SER_hh_tes_in!S26=0,0,11630*1000*SER_hh_tes_in!S26/SER_hh_num_in!S26)</f>
        <v>13308.466181933911</v>
      </c>
      <c r="T26" s="65">
        <f>IF(SER_hh_tes_in!T26=0,0,11630*1000*SER_hh_tes_in!T26/SER_hh_num_in!T26)</f>
        <v>14307.950922040925</v>
      </c>
      <c r="U26" s="65">
        <f>IF(SER_hh_tes_in!U26=0,0,11630*1000*SER_hh_tes_in!U26/SER_hh_num_in!U26)</f>
        <v>13380.601837061526</v>
      </c>
      <c r="V26" s="65">
        <f>IF(SER_hh_tes_in!V26=0,0,11630*1000*SER_hh_tes_in!V26/SER_hh_num_in!V26)</f>
        <v>11317.653184040697</v>
      </c>
      <c r="W26" s="65">
        <f>IF(SER_hh_tes_in!W26=0,0,11630*1000*SER_hh_tes_in!W26/SER_hh_num_in!W26)</f>
        <v>13626.166654787768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1079.1710235407054</v>
      </c>
      <c r="H27" s="146">
        <f>IF(SER_hh_tes_in!H27=0,0,11630*1000*SER_hh_tes_in!H27/SER_hh_num_in!H19)</f>
        <v>32.336263511201984</v>
      </c>
      <c r="I27" s="146">
        <f>IF(SER_hh_tes_in!I27=0,0,11630*1000*SER_hh_tes_in!I27/SER_hh_num_in!I19)</f>
        <v>173.69238499608872</v>
      </c>
      <c r="J27" s="146">
        <f>IF(SER_hh_tes_in!J27=0,0,11630*1000*SER_hh_tes_in!J27/SER_hh_num_in!J19)</f>
        <v>193.96839249855529</v>
      </c>
      <c r="K27" s="146">
        <f>IF(SER_hh_tes_in!K27=0,0,11630*1000*SER_hh_tes_in!K27/SER_hh_num_in!K19)</f>
        <v>285.80249771869052</v>
      </c>
      <c r="L27" s="146">
        <f>IF(SER_hh_tes_in!L27=0,0,11630*1000*SER_hh_tes_in!L27/SER_hh_num_in!L19)</f>
        <v>851.82261874165351</v>
      </c>
      <c r="M27" s="146">
        <f>IF(SER_hh_tes_in!M27=0,0,11630*1000*SER_hh_tes_in!M27/SER_hh_num_in!M19)</f>
        <v>335.26928001959186</v>
      </c>
      <c r="N27" s="146">
        <f>IF(SER_hh_tes_in!N27=0,0,11630*1000*SER_hh_tes_in!N27/SER_hh_num_in!N19)</f>
        <v>2937.1409570963074</v>
      </c>
      <c r="O27" s="146">
        <f>IF(SER_hh_tes_in!O27=0,0,11630*1000*SER_hh_tes_in!O27/SER_hh_num_in!O19)</f>
        <v>1230.53455088086</v>
      </c>
      <c r="P27" s="146">
        <f>IF(SER_hh_tes_in!P27=0,0,11630*1000*SER_hh_tes_in!P27/SER_hh_num_in!P19)</f>
        <v>2.7300524330709018E-4</v>
      </c>
      <c r="Q27" s="146">
        <f>IF(SER_hh_tes_in!Q27=0,0,11630*1000*SER_hh_tes_in!Q27/SER_hh_num_in!Q19)</f>
        <v>2492.0686234296518</v>
      </c>
      <c r="R27" s="146">
        <f>IF(SER_hh_tes_in!R27=0,0,11630*1000*SER_hh_tes_in!R27/SER_hh_num_in!R19)</f>
        <v>331.02710684559219</v>
      </c>
      <c r="S27" s="146">
        <f>IF(SER_hh_tes_in!S27=0,0,11630*1000*SER_hh_tes_in!S27/SER_hh_num_in!S19)</f>
        <v>755.54095301258826</v>
      </c>
      <c r="T27" s="146">
        <f>IF(SER_hh_tes_in!T27=0,0,11630*1000*SER_hh_tes_in!T27/SER_hh_num_in!T19)</f>
        <v>346.83067696829903</v>
      </c>
      <c r="U27" s="146">
        <f>IF(SER_hh_tes_in!U27=0,0,11630*1000*SER_hh_tes_in!U27/SER_hh_num_in!U19)</f>
        <v>632.79992670272111</v>
      </c>
      <c r="V27" s="146">
        <f>IF(SER_hh_tes_in!V27=0,0,11630*1000*SER_hh_tes_in!V27/SER_hh_num_in!V19)</f>
        <v>1188.6792855429478</v>
      </c>
      <c r="W27" s="146">
        <f>IF(SER_hh_tes_in!W27=0,0,11630*1000*SER_hh_tes_in!W27/SER_hh_num_in!W19)</f>
        <v>15.430483156011162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11605.835591478182</v>
      </c>
      <c r="H28" s="147">
        <f>IF(SER_hh_tes_in!H27=0,0,11630*1000*SER_hh_tes_in!H27/SER_hh_num_in!H27)</f>
        <v>11481.921794457812</v>
      </c>
      <c r="I28" s="147">
        <f>IF(SER_hh_tes_in!I27=0,0,11630*1000*SER_hh_tes_in!I27/SER_hh_num_in!I27)</f>
        <v>10774.725168725628</v>
      </c>
      <c r="J28" s="147">
        <f>IF(SER_hh_tes_in!J27=0,0,11630*1000*SER_hh_tes_in!J27/SER_hh_num_in!J27)</f>
        <v>11206.702812516294</v>
      </c>
      <c r="K28" s="147">
        <f>IF(SER_hh_tes_in!K27=0,0,11630*1000*SER_hh_tes_in!K27/SER_hh_num_in!K27)</f>
        <v>11663.252110380196</v>
      </c>
      <c r="L28" s="147">
        <f>IF(SER_hh_tes_in!L27=0,0,11630*1000*SER_hh_tes_in!L27/SER_hh_num_in!L27)</f>
        <v>8095.9384634578601</v>
      </c>
      <c r="M28" s="147">
        <f>IF(SER_hh_tes_in!M27=0,0,11630*1000*SER_hh_tes_in!M27/SER_hh_num_in!M27)</f>
        <v>11799.579482901605</v>
      </c>
      <c r="N28" s="147">
        <f>IF(SER_hh_tes_in!N27=0,0,11630*1000*SER_hh_tes_in!N27/SER_hh_num_in!N27)</f>
        <v>11161.768609801224</v>
      </c>
      <c r="O28" s="147">
        <f>IF(SER_hh_tes_in!O27=0,0,11630*1000*SER_hh_tes_in!O27/SER_hh_num_in!O27)</f>
        <v>11091.046349346312</v>
      </c>
      <c r="P28" s="147">
        <f>IF(SER_hh_tes_in!P27=0,0,11630*1000*SER_hh_tes_in!P27/SER_hh_num_in!P27)</f>
        <v>12046.702050844058</v>
      </c>
      <c r="Q28" s="147">
        <f>IF(SER_hh_tes_in!Q27=0,0,11630*1000*SER_hh_tes_in!Q27/SER_hh_num_in!Q27)</f>
        <v>11731.553049274957</v>
      </c>
      <c r="R28" s="147">
        <f>IF(SER_hh_tes_in!R27=0,0,11630*1000*SER_hh_tes_in!R27/SER_hh_num_in!R27)</f>
        <v>12044.580387755199</v>
      </c>
      <c r="S28" s="147">
        <f>IF(SER_hh_tes_in!S27=0,0,11630*1000*SER_hh_tes_in!S27/SER_hh_num_in!S27)</f>
        <v>11544.506597451664</v>
      </c>
      <c r="T28" s="147">
        <f>IF(SER_hh_tes_in!T27=0,0,11630*1000*SER_hh_tes_in!T27/SER_hh_num_in!T27)</f>
        <v>11732.82161274083</v>
      </c>
      <c r="U28" s="147">
        <f>IF(SER_hh_tes_in!U27=0,0,11630*1000*SER_hh_tes_in!U27/SER_hh_num_in!U27)</f>
        <v>11610.411215356897</v>
      </c>
      <c r="V28" s="147">
        <f>IF(SER_hh_tes_in!V27=0,0,11630*1000*SER_hh_tes_in!V27/SER_hh_num_in!V27)</f>
        <v>10649.082816820444</v>
      </c>
      <c r="W28" s="147">
        <f>IF(SER_hh_tes_in!W27=0,0,11630*1000*SER_hh_tes_in!W27/SER_hh_num_in!W27)</f>
        <v>11924.386375042957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13750.114362573986</v>
      </c>
      <c r="D29" s="131">
        <f>IF(SER_hh_tes_in!D29=0,0,11630*1000*SER_hh_tes_in!D29/SER_hh_num_in!D29)</f>
        <v>14861.686491590493</v>
      </c>
      <c r="E29" s="131">
        <f>IF(SER_hh_tes_in!E29=0,0,11630*1000*SER_hh_tes_in!E29/SER_hh_num_in!E29)</f>
        <v>14136.616934049029</v>
      </c>
      <c r="F29" s="131">
        <f>IF(SER_hh_tes_in!F29=0,0,11630*1000*SER_hh_tes_in!F29/SER_hh_num_in!F29)</f>
        <v>13050.19848765294</v>
      </c>
      <c r="G29" s="131">
        <f>IF(SER_hh_tes_in!G29=0,0,11630*1000*SER_hh_tes_in!G29/SER_hh_num_in!G29)</f>
        <v>15039.947289204601</v>
      </c>
      <c r="H29" s="131">
        <f>IF(SER_hh_tes_in!H29=0,0,11630*1000*SER_hh_tes_in!H29/SER_hh_num_in!H29)</f>
        <v>14870.197636506484</v>
      </c>
      <c r="I29" s="131">
        <f>IF(SER_hh_tes_in!I29=0,0,11630*1000*SER_hh_tes_in!I29/SER_hh_num_in!I29)</f>
        <v>14271.891065485586</v>
      </c>
      <c r="J29" s="131">
        <f>IF(SER_hh_tes_in!J29=0,0,11630*1000*SER_hh_tes_in!J29/SER_hh_num_in!J29)</f>
        <v>14174.036200691378</v>
      </c>
      <c r="K29" s="131">
        <f>IF(SER_hh_tes_in!K29=0,0,11630*1000*SER_hh_tes_in!K29/SER_hh_num_in!K29)</f>
        <v>15428.062904407136</v>
      </c>
      <c r="L29" s="131">
        <f>IF(SER_hh_tes_in!L29=0,0,11630*1000*SER_hh_tes_in!L29/SER_hh_num_in!L29)</f>
        <v>15191.854311401212</v>
      </c>
      <c r="M29" s="131">
        <f>IF(SER_hh_tes_in!M29=0,0,11630*1000*SER_hh_tes_in!M29/SER_hh_num_in!M29)</f>
        <v>15102.353082877182</v>
      </c>
      <c r="N29" s="131">
        <f>IF(SER_hh_tes_in!N29=0,0,11630*1000*SER_hh_tes_in!N29/SER_hh_num_in!N29)</f>
        <v>15628.464659315698</v>
      </c>
      <c r="O29" s="131">
        <f>IF(SER_hh_tes_in!O29=0,0,11630*1000*SER_hh_tes_in!O29/SER_hh_num_in!O29)</f>
        <v>15591.883627119805</v>
      </c>
      <c r="P29" s="131">
        <f>IF(SER_hh_tes_in!P29=0,0,11630*1000*SER_hh_tes_in!P29/SER_hh_num_in!P29)</f>
        <v>15592.694997109233</v>
      </c>
      <c r="Q29" s="131">
        <f>IF(SER_hh_tes_in!Q29=0,0,11630*1000*SER_hh_tes_in!Q29/SER_hh_num_in!Q29)</f>
        <v>15833.343716745401</v>
      </c>
      <c r="R29" s="131">
        <f>IF(SER_hh_tes_in!R29=0,0,11630*1000*SER_hh_tes_in!R29/SER_hh_num_in!R29)</f>
        <v>16082.070490824977</v>
      </c>
      <c r="S29" s="131">
        <f>IF(SER_hh_tes_in!S29=0,0,11630*1000*SER_hh_tes_in!S29/SER_hh_num_in!S29)</f>
        <v>15863.326636683389</v>
      </c>
      <c r="T29" s="131">
        <f>IF(SER_hh_tes_in!T29=0,0,11630*1000*SER_hh_tes_in!T29/SER_hh_num_in!T29)</f>
        <v>16049.851090409351</v>
      </c>
      <c r="U29" s="131">
        <f>IF(SER_hh_tes_in!U29=0,0,11630*1000*SER_hh_tes_in!U29/SER_hh_num_in!U29)</f>
        <v>15820.188659685084</v>
      </c>
      <c r="V29" s="131">
        <f>IF(SER_hh_tes_in!V29=0,0,11630*1000*SER_hh_tes_in!V29/SER_hh_num_in!V29)</f>
        <v>14365.29269885038</v>
      </c>
      <c r="W29" s="131">
        <f>IF(SER_hh_tes_in!W29=0,0,11630*1000*SER_hh_tes_in!W29/SER_hh_num_in!W29)</f>
        <v>15943.004714867224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6361.6063915889699</v>
      </c>
      <c r="D30" s="133">
        <f>IF(SER_hh_tes_in!D30=0,0,11630*1000*SER_hh_tes_in!D30/SER_hh_num_in!D30)</f>
        <v>15531.48452818127</v>
      </c>
      <c r="E30" s="133">
        <f>IF(SER_hh_tes_in!E30=0,0,11630*1000*SER_hh_tes_in!E30/SER_hh_num_in!E30)</f>
        <v>15346.894500530765</v>
      </c>
      <c r="F30" s="133">
        <f>IF(SER_hh_tes_in!F30=0,0,11630*1000*SER_hh_tes_in!F30/SER_hh_num_in!F30)</f>
        <v>16836.384138404246</v>
      </c>
      <c r="G30" s="133">
        <f>IF(SER_hh_tes_in!G30=0,0,11630*1000*SER_hh_tes_in!G30/SER_hh_num_in!G30)</f>
        <v>13874.458394302854</v>
      </c>
      <c r="H30" s="133">
        <f>IF(SER_hh_tes_in!H30=0,0,11630*1000*SER_hh_tes_in!H30/SER_hh_num_in!H30)</f>
        <v>0</v>
      </c>
      <c r="I30" s="133">
        <f>IF(SER_hh_tes_in!I30=0,0,11630*1000*SER_hh_tes_in!I30/SER_hh_num_in!I30)</f>
        <v>13843.715234335465</v>
      </c>
      <c r="J30" s="133">
        <f>IF(SER_hh_tes_in!J30=0,0,11630*1000*SER_hh_tes_in!J30/SER_hh_num_in!J30)</f>
        <v>15280.822019486588</v>
      </c>
      <c r="K30" s="133">
        <f>IF(SER_hh_tes_in!K30=0,0,11630*1000*SER_hh_tes_in!K30/SER_hh_num_in!K30)</f>
        <v>14646.940879043201</v>
      </c>
      <c r="L30" s="133">
        <f>IF(SER_hh_tes_in!L30=0,0,11630*1000*SER_hh_tes_in!L30/SER_hh_num_in!L30)</f>
        <v>15954.639874676099</v>
      </c>
      <c r="M30" s="133">
        <f>IF(SER_hh_tes_in!M30=0,0,11630*1000*SER_hh_tes_in!M30/SER_hh_num_in!M30)</f>
        <v>16221.348932543446</v>
      </c>
      <c r="N30" s="133">
        <f>IF(SER_hh_tes_in!N30=0,0,11630*1000*SER_hh_tes_in!N30/SER_hh_num_in!N30)</f>
        <v>15040.275573704504</v>
      </c>
      <c r="O30" s="133">
        <f>IF(SER_hh_tes_in!O30=0,0,11630*1000*SER_hh_tes_in!O30/SER_hh_num_in!O30)</f>
        <v>14107.481187655356</v>
      </c>
      <c r="P30" s="133">
        <f>IF(SER_hh_tes_in!P30=0,0,11630*1000*SER_hh_tes_in!P30/SER_hh_num_in!P30)</f>
        <v>14795.624331636647</v>
      </c>
      <c r="Q30" s="133">
        <f>IF(SER_hh_tes_in!Q30=0,0,11630*1000*SER_hh_tes_in!Q30/SER_hh_num_in!Q30)</f>
        <v>16536.827008221102</v>
      </c>
      <c r="R30" s="133">
        <f>IF(SER_hh_tes_in!R30=0,0,11630*1000*SER_hh_tes_in!R30/SER_hh_num_in!R30)</f>
        <v>15623.014229130606</v>
      </c>
      <c r="S30" s="133">
        <f>IF(SER_hh_tes_in!S30=0,0,11630*1000*SER_hh_tes_in!S30/SER_hh_num_in!S30)</f>
        <v>17200.188431950621</v>
      </c>
      <c r="T30" s="133">
        <f>IF(SER_hh_tes_in!T30=0,0,11630*1000*SER_hh_tes_in!T30/SER_hh_num_in!T30)</f>
        <v>14512.644968940713</v>
      </c>
      <c r="U30" s="133">
        <f>IF(SER_hh_tes_in!U30=0,0,11630*1000*SER_hh_tes_in!U30/SER_hh_num_in!U30)</f>
        <v>16690.991080473366</v>
      </c>
      <c r="V30" s="133">
        <f>IF(SER_hh_tes_in!V30=0,0,11630*1000*SER_hh_tes_in!V30/SER_hh_num_in!V30)</f>
        <v>14051.007933029758</v>
      </c>
      <c r="W30" s="133">
        <f>IF(SER_hh_tes_in!W30=0,0,11630*1000*SER_hh_tes_in!W30/SER_hh_num_in!W30)</f>
        <v>15764.44071790091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14001.398157262151</v>
      </c>
      <c r="D31" s="133">
        <f>IF(SER_hh_tes_in!D31=0,0,11630*1000*SER_hh_tes_in!D31/SER_hh_num_in!D31)</f>
        <v>13965.367718995427</v>
      </c>
      <c r="E31" s="133">
        <f>IF(SER_hh_tes_in!E31=0,0,11630*1000*SER_hh_tes_in!E31/SER_hh_num_in!E31)</f>
        <v>14530.844223368951</v>
      </c>
      <c r="F31" s="133">
        <f>IF(SER_hh_tes_in!F31=0,0,11630*1000*SER_hh_tes_in!F31/SER_hh_num_in!F31)</f>
        <v>15738.882646428456</v>
      </c>
      <c r="G31" s="133">
        <f>IF(SER_hh_tes_in!G31=0,0,11630*1000*SER_hh_tes_in!G31/SER_hh_num_in!G31)</f>
        <v>0</v>
      </c>
      <c r="H31" s="133">
        <f>IF(SER_hh_tes_in!H31=0,0,11630*1000*SER_hh_tes_in!H31/SER_hh_num_in!H31)</f>
        <v>0</v>
      </c>
      <c r="I31" s="133">
        <f>IF(SER_hh_tes_in!I31=0,0,11630*1000*SER_hh_tes_in!I31/SER_hh_num_in!I31)</f>
        <v>13887.344621445545</v>
      </c>
      <c r="J31" s="133">
        <f>IF(SER_hh_tes_in!J31=0,0,11630*1000*SER_hh_tes_in!J31/SER_hh_num_in!J31)</f>
        <v>12970.918514491999</v>
      </c>
      <c r="K31" s="133">
        <f>IF(SER_hh_tes_in!K31=0,0,11630*1000*SER_hh_tes_in!K31/SER_hh_num_in!K31)</f>
        <v>16401.80121282085</v>
      </c>
      <c r="L31" s="133">
        <f>IF(SER_hh_tes_in!L31=0,0,11630*1000*SER_hh_tes_in!L31/SER_hh_num_in!L31)</f>
        <v>15331.055839443488</v>
      </c>
      <c r="M31" s="133">
        <f>IF(SER_hh_tes_in!M31=0,0,11630*1000*SER_hh_tes_in!M31/SER_hh_num_in!M31)</f>
        <v>15513.143658278421</v>
      </c>
      <c r="N31" s="133">
        <f>IF(SER_hh_tes_in!N31=0,0,11630*1000*SER_hh_tes_in!N31/SER_hh_num_in!N31)</f>
        <v>14496.954240178036</v>
      </c>
      <c r="O31" s="133">
        <f>IF(SER_hh_tes_in!O31=0,0,11630*1000*SER_hh_tes_in!O31/SER_hh_num_in!O31)</f>
        <v>15256.078902847861</v>
      </c>
      <c r="P31" s="133">
        <f>IF(SER_hh_tes_in!P31=0,0,11630*1000*SER_hh_tes_in!P31/SER_hh_num_in!P31)</f>
        <v>15979.402057917912</v>
      </c>
      <c r="Q31" s="133">
        <f>IF(SER_hh_tes_in!Q31=0,0,11630*1000*SER_hh_tes_in!Q31/SER_hh_num_in!Q31)</f>
        <v>16361.877515004857</v>
      </c>
      <c r="R31" s="133">
        <f>IF(SER_hh_tes_in!R31=0,0,11630*1000*SER_hh_tes_in!R31/SER_hh_num_in!R31)</f>
        <v>15600.719936630265</v>
      </c>
      <c r="S31" s="133">
        <f>IF(SER_hh_tes_in!S31=0,0,11630*1000*SER_hh_tes_in!S31/SER_hh_num_in!S31)</f>
        <v>15858.333603179588</v>
      </c>
      <c r="T31" s="133">
        <f>IF(SER_hh_tes_in!T31=0,0,11630*1000*SER_hh_tes_in!T31/SER_hh_num_in!T31)</f>
        <v>16148.122762707524</v>
      </c>
      <c r="U31" s="133">
        <f>IF(SER_hh_tes_in!U31=0,0,11630*1000*SER_hh_tes_in!U31/SER_hh_num_in!U31)</f>
        <v>15409.107146209843</v>
      </c>
      <c r="V31" s="133">
        <f>IF(SER_hh_tes_in!V31=0,0,11630*1000*SER_hh_tes_in!V31/SER_hh_num_in!V31)</f>
        <v>13673.908998357481</v>
      </c>
      <c r="W31" s="133">
        <f>IF(SER_hh_tes_in!W31=0,0,11630*1000*SER_hh_tes_in!W31/SER_hh_num_in!W31)</f>
        <v>18368.655344776278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15723.18379628036</v>
      </c>
      <c r="D33" s="68">
        <f>IF(SER_hh_tes_in!D33=0,0,11630*1000*SER_hh_tes_in!D33/SER_hh_num_in!D33)</f>
        <v>13593.554262693267</v>
      </c>
      <c r="E33" s="68">
        <f>IF(SER_hh_tes_in!E33=0,0,11630*1000*SER_hh_tes_in!E33/SER_hh_num_in!E33)</f>
        <v>12678.64942827505</v>
      </c>
      <c r="F33" s="68">
        <f>IF(SER_hh_tes_in!F33=0,0,11630*1000*SER_hh_tes_in!F33/SER_hh_num_in!F33)</f>
        <v>11858.992668933766</v>
      </c>
      <c r="G33" s="68">
        <f>IF(SER_hh_tes_in!G33=0,0,11630*1000*SER_hh_tes_in!G33/SER_hh_num_in!G33)</f>
        <v>15098.928533489709</v>
      </c>
      <c r="H33" s="68">
        <f>IF(SER_hh_tes_in!H33=0,0,11630*1000*SER_hh_tes_in!H33/SER_hh_num_in!H33)</f>
        <v>14870.197636506484</v>
      </c>
      <c r="I33" s="68">
        <f>IF(SER_hh_tes_in!I33=0,0,11630*1000*SER_hh_tes_in!I33/SER_hh_num_in!I33)</f>
        <v>14456.918407659832</v>
      </c>
      <c r="J33" s="68">
        <f>IF(SER_hh_tes_in!J33=0,0,11630*1000*SER_hh_tes_in!J33/SER_hh_num_in!J33)</f>
        <v>14680.389841316131</v>
      </c>
      <c r="K33" s="68">
        <f>IF(SER_hh_tes_in!K33=0,0,11630*1000*SER_hh_tes_in!K33/SER_hh_num_in!K33)</f>
        <v>14403.620781467815</v>
      </c>
      <c r="L33" s="68">
        <f>IF(SER_hh_tes_in!L33=0,0,11630*1000*SER_hh_tes_in!L33/SER_hh_num_in!L33)</f>
        <v>14881.059147010648</v>
      </c>
      <c r="M33" s="68">
        <f>IF(SER_hh_tes_in!M33=0,0,11630*1000*SER_hh_tes_in!M33/SER_hh_num_in!M33)</f>
        <v>14898.981681032064</v>
      </c>
      <c r="N33" s="68">
        <f>IF(SER_hh_tes_in!N33=0,0,11630*1000*SER_hh_tes_in!N33/SER_hh_num_in!N33)</f>
        <v>15890.653925611219</v>
      </c>
      <c r="O33" s="68">
        <f>IF(SER_hh_tes_in!O33=0,0,11630*1000*SER_hh_tes_in!O33/SER_hh_num_in!O33)</f>
        <v>15983.277671250051</v>
      </c>
      <c r="P33" s="68">
        <f>IF(SER_hh_tes_in!P33=0,0,11630*1000*SER_hh_tes_in!P33/SER_hh_num_in!P33)</f>
        <v>15647.106854299887</v>
      </c>
      <c r="Q33" s="68">
        <f>IF(SER_hh_tes_in!Q33=0,0,11630*1000*SER_hh_tes_in!Q33/SER_hh_num_in!Q33)</f>
        <v>15291.250104773224</v>
      </c>
      <c r="R33" s="68">
        <f>IF(SER_hh_tes_in!R33=0,0,11630*1000*SER_hh_tes_in!R33/SER_hh_num_in!R33)</f>
        <v>16252.339030630385</v>
      </c>
      <c r="S33" s="68">
        <f>IF(SER_hh_tes_in!S33=0,0,11630*1000*SER_hh_tes_in!S33/SER_hh_num_in!S33)</f>
        <v>15691.485611328437</v>
      </c>
      <c r="T33" s="68">
        <f>IF(SER_hh_tes_in!T33=0,0,11630*1000*SER_hh_tes_in!T33/SER_hh_num_in!T33)</f>
        <v>16077.522915523692</v>
      </c>
      <c r="U33" s="68">
        <f>IF(SER_hh_tes_in!U33=0,0,11630*1000*SER_hh_tes_in!U33/SER_hh_num_in!U33)</f>
        <v>15939.125614866898</v>
      </c>
      <c r="V33" s="68">
        <f>IF(SER_hh_tes_in!V33=0,0,11630*1000*SER_hh_tes_in!V33/SER_hh_num_in!V33)</f>
        <v>15071.410230711099</v>
      </c>
      <c r="W33" s="68">
        <f>IF(SER_hh_tes_in!W33=0,0,11630*1000*SER_hh_tes_in!W33/SER_hh_num_in!W33)</f>
        <v>14375.262562225762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20247.674719678169</v>
      </c>
      <c r="D3" s="126">
        <f>IF(SER_hh_emi_in!D3=0,0,1000000*SER_hh_emi_in!D3/SER_hh_num_in!D3)</f>
        <v>21551.220626558654</v>
      </c>
      <c r="E3" s="126">
        <f>IF(SER_hh_emi_in!E3=0,0,1000000*SER_hh_emi_in!E3/SER_hh_num_in!E3)</f>
        <v>27556.58641476115</v>
      </c>
      <c r="F3" s="126">
        <f>IF(SER_hh_emi_in!F3=0,0,1000000*SER_hh_emi_in!F3/SER_hh_num_in!F3)</f>
        <v>22564.677610486637</v>
      </c>
      <c r="G3" s="126">
        <f>IF(SER_hh_emi_in!G3=0,0,1000000*SER_hh_emi_in!G3/SER_hh_num_in!G3)</f>
        <v>22534.730087382537</v>
      </c>
      <c r="H3" s="126">
        <f>IF(SER_hh_emi_in!H3=0,0,1000000*SER_hh_emi_in!H3/SER_hh_num_in!H3)</f>
        <v>18988.712842772726</v>
      </c>
      <c r="I3" s="126">
        <f>IF(SER_hh_emi_in!I3=0,0,1000000*SER_hh_emi_in!I3/SER_hh_num_in!I3)</f>
        <v>20359.090093451305</v>
      </c>
      <c r="J3" s="126">
        <f>IF(SER_hh_emi_in!J3=0,0,1000000*SER_hh_emi_in!J3/SER_hh_num_in!J3)</f>
        <v>23290.41313575516</v>
      </c>
      <c r="K3" s="126">
        <f>IF(SER_hh_emi_in!K3=0,0,1000000*SER_hh_emi_in!K3/SER_hh_num_in!K3)</f>
        <v>24168.705351616241</v>
      </c>
      <c r="L3" s="126">
        <f>IF(SER_hh_emi_in!L3=0,0,1000000*SER_hh_emi_in!L3/SER_hh_num_in!L3)</f>
        <v>20237.182449329157</v>
      </c>
      <c r="M3" s="126">
        <f>IF(SER_hh_emi_in!M3=0,0,1000000*SER_hh_emi_in!M3/SER_hh_num_in!M3)</f>
        <v>15197.979800972773</v>
      </c>
      <c r="N3" s="126">
        <f>IF(SER_hh_emi_in!N3=0,0,1000000*SER_hh_emi_in!N3/SER_hh_num_in!N3)</f>
        <v>17663.580099318478</v>
      </c>
      <c r="O3" s="126">
        <f>IF(SER_hh_emi_in!O3=0,0,1000000*SER_hh_emi_in!O3/SER_hh_num_in!O3)</f>
        <v>19682.176862159373</v>
      </c>
      <c r="P3" s="126">
        <f>IF(SER_hh_emi_in!P3=0,0,1000000*SER_hh_emi_in!P3/SER_hh_num_in!P3)</f>
        <v>15224.167733068858</v>
      </c>
      <c r="Q3" s="126">
        <f>IF(SER_hh_emi_in!Q3=0,0,1000000*SER_hh_emi_in!Q3/SER_hh_num_in!Q3)</f>
        <v>12972.312706641256</v>
      </c>
      <c r="R3" s="126">
        <f>IF(SER_hh_emi_in!R3=0,0,1000000*SER_hh_emi_in!R3/SER_hh_num_in!R3)</f>
        <v>11212.71832065297</v>
      </c>
      <c r="S3" s="126">
        <f>IF(SER_hh_emi_in!S3=0,0,1000000*SER_hh_emi_in!S3/SER_hh_num_in!S3)</f>
        <v>12807.149734365579</v>
      </c>
      <c r="T3" s="126">
        <f>IF(SER_hh_emi_in!T3=0,0,1000000*SER_hh_emi_in!T3/SER_hh_num_in!T3)</f>
        <v>12645.177444368592</v>
      </c>
      <c r="U3" s="126">
        <f>IF(SER_hh_emi_in!U3=0,0,1000000*SER_hh_emi_in!U3/SER_hh_num_in!U3)</f>
        <v>12850.12036317176</v>
      </c>
      <c r="V3" s="126">
        <f>IF(SER_hh_emi_in!V3=0,0,1000000*SER_hh_emi_in!V3/SER_hh_num_in!V3)</f>
        <v>11086.234830240164</v>
      </c>
      <c r="W3" s="126">
        <f>IF(SER_hh_emi_in!W3=0,0,1000000*SER_hh_emi_in!W3/SER_hh_num_in!W3)</f>
        <v>9954.821236263133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15987.129334064804</v>
      </c>
      <c r="D4" s="131">
        <f>IF(SER_hh_emi_in!D4=0,0,1000000*SER_hh_emi_in!D4/SER_hh_num_in!D4)</f>
        <v>14011.79408021257</v>
      </c>
      <c r="E4" s="131">
        <f>IF(SER_hh_emi_in!E4=0,0,1000000*SER_hh_emi_in!E4/SER_hh_num_in!E4)</f>
        <v>21748.071163981473</v>
      </c>
      <c r="F4" s="131">
        <f>IF(SER_hh_emi_in!F4=0,0,1000000*SER_hh_emi_in!F4/SER_hh_num_in!F4)</f>
        <v>19137.097431700779</v>
      </c>
      <c r="G4" s="131">
        <f>IF(SER_hh_emi_in!G4=0,0,1000000*SER_hh_emi_in!G4/SER_hh_num_in!G4)</f>
        <v>20699.529100516698</v>
      </c>
      <c r="H4" s="131">
        <f>IF(SER_hh_emi_in!H4=0,0,1000000*SER_hh_emi_in!H4/SER_hh_num_in!H4)</f>
        <v>17462.889712955424</v>
      </c>
      <c r="I4" s="131">
        <f>IF(SER_hh_emi_in!I4=0,0,1000000*SER_hh_emi_in!I4/SER_hh_num_in!I4)</f>
        <v>17310.735351476837</v>
      </c>
      <c r="J4" s="131">
        <f>IF(SER_hh_emi_in!J4=0,0,1000000*SER_hh_emi_in!J4/SER_hh_num_in!J4)</f>
        <v>18812.196779259048</v>
      </c>
      <c r="K4" s="131">
        <f>IF(SER_hh_emi_in!K4=0,0,1000000*SER_hh_emi_in!K4/SER_hh_num_in!K4)</f>
        <v>18296.066504703358</v>
      </c>
      <c r="L4" s="131">
        <f>IF(SER_hh_emi_in!L4=0,0,1000000*SER_hh_emi_in!L4/SER_hh_num_in!L4)</f>
        <v>15948.959640087945</v>
      </c>
      <c r="M4" s="131">
        <f>IF(SER_hh_emi_in!M4=0,0,1000000*SER_hh_emi_in!M4/SER_hh_num_in!M4)</f>
        <v>11746.060330869257</v>
      </c>
      <c r="N4" s="131">
        <f>IF(SER_hh_emi_in!N4=0,0,1000000*SER_hh_emi_in!N4/SER_hh_num_in!N4)</f>
        <v>14463.92596842809</v>
      </c>
      <c r="O4" s="131">
        <f>IF(SER_hh_emi_in!O4=0,0,1000000*SER_hh_emi_in!O4/SER_hh_num_in!O4)</f>
        <v>15399.843965625361</v>
      </c>
      <c r="P4" s="131">
        <f>IF(SER_hh_emi_in!P4=0,0,1000000*SER_hh_emi_in!P4/SER_hh_num_in!P4)</f>
        <v>11199.491115885978</v>
      </c>
      <c r="Q4" s="131">
        <f>IF(SER_hh_emi_in!Q4=0,0,1000000*SER_hh_emi_in!Q4/SER_hh_num_in!Q4)</f>
        <v>8403.9177762560339</v>
      </c>
      <c r="R4" s="131">
        <f>IF(SER_hh_emi_in!R4=0,0,1000000*SER_hh_emi_in!R4/SER_hh_num_in!R4)</f>
        <v>8526.3739886436724</v>
      </c>
      <c r="S4" s="131">
        <f>IF(SER_hh_emi_in!S4=0,0,1000000*SER_hh_emi_in!S4/SER_hh_num_in!S4)</f>
        <v>9811.4950064308596</v>
      </c>
      <c r="T4" s="131">
        <f>IF(SER_hh_emi_in!T4=0,0,1000000*SER_hh_emi_in!T4/SER_hh_num_in!T4)</f>
        <v>10057.743990332601</v>
      </c>
      <c r="U4" s="131">
        <f>IF(SER_hh_emi_in!U4=0,0,1000000*SER_hh_emi_in!U4/SER_hh_num_in!U4)</f>
        <v>9053.1283495084754</v>
      </c>
      <c r="V4" s="131">
        <f>IF(SER_hh_emi_in!V4=0,0,1000000*SER_hh_emi_in!V4/SER_hh_num_in!V4)</f>
        <v>7480.2340250246916</v>
      </c>
      <c r="W4" s="131">
        <f>IF(SER_hh_emi_in!W4=0,0,1000000*SER_hh_emi_in!W4/SER_hh_num_in!W4)</f>
        <v>6362.4996739288736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50305.78088810631</v>
      </c>
      <c r="G5" s="133">
        <f>IF(SER_hh_emi_in!G5=0,0,1000000*SER_hh_emi_in!G5/SER_hh_num_in!G5)</f>
        <v>51136.8485893631</v>
      </c>
      <c r="H5" s="133">
        <f>IF(SER_hh_emi_in!H5=0,0,1000000*SER_hh_emi_in!H5/SER_hh_num_in!H5)</f>
        <v>47863.144092943105</v>
      </c>
      <c r="I5" s="133">
        <f>IF(SER_hh_emi_in!I5=0,0,1000000*SER_hh_emi_in!I5/SER_hh_num_in!I5)</f>
        <v>44936.344366304969</v>
      </c>
      <c r="J5" s="133">
        <f>IF(SER_hh_emi_in!J5=0,0,1000000*SER_hh_emi_in!J5/SER_hh_num_in!J5)</f>
        <v>41565.323411664591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38852.076912366196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20795.900694401847</v>
      </c>
      <c r="V5" s="133">
        <f>IF(SER_hh_emi_in!V5=0,0,1000000*SER_hh_emi_in!V5/SER_hh_num_in!V5)</f>
        <v>17361.624520416433</v>
      </c>
      <c r="W5" s="133">
        <f>IF(SER_hh_emi_in!W5=0,0,1000000*SER_hh_emi_in!W5/SER_hh_num_in!W5)</f>
        <v>17387.302314446391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48807.155520146676</v>
      </c>
      <c r="D7" s="133">
        <f>IF(SER_hh_emi_in!D7=0,0,1000000*SER_hh_emi_in!D7/SER_hh_num_in!D7)</f>
        <v>42400.662209532828</v>
      </c>
      <c r="E7" s="133">
        <f>IF(SER_hh_emi_in!E7=0,0,1000000*SER_hh_emi_in!E7/SER_hh_num_in!E7)</f>
        <v>45376.384970751758</v>
      </c>
      <c r="F7" s="133">
        <f>IF(SER_hh_emi_in!F7=0,0,1000000*SER_hh_emi_in!F7/SER_hh_num_in!F7)</f>
        <v>45983.856522630173</v>
      </c>
      <c r="G7" s="133">
        <f>IF(SER_hh_emi_in!G7=0,0,1000000*SER_hh_emi_in!G7/SER_hh_num_in!G7)</f>
        <v>44171.389695682483</v>
      </c>
      <c r="H7" s="133">
        <f>IF(SER_hh_emi_in!H7=0,0,1000000*SER_hh_emi_in!H7/SER_hh_num_in!H7)</f>
        <v>40369.906364055219</v>
      </c>
      <c r="I7" s="133">
        <f>IF(SER_hh_emi_in!I7=0,0,1000000*SER_hh_emi_in!I7/SER_hh_num_in!I7)</f>
        <v>34341.724539061674</v>
      </c>
      <c r="J7" s="133">
        <f>IF(SER_hh_emi_in!J7=0,0,1000000*SER_hh_emi_in!J7/SER_hh_num_in!J7)</f>
        <v>40250.986538073892</v>
      </c>
      <c r="K7" s="133">
        <f>IF(SER_hh_emi_in!K7=0,0,1000000*SER_hh_emi_in!K7/SER_hh_num_in!K7)</f>
        <v>38708.732134412101</v>
      </c>
      <c r="L7" s="133">
        <f>IF(SER_hh_emi_in!L7=0,0,1000000*SER_hh_emi_in!L7/SER_hh_num_in!L7)</f>
        <v>36613.550675971026</v>
      </c>
      <c r="M7" s="133">
        <f>IF(SER_hh_emi_in!M7=0,0,1000000*SER_hh_emi_in!M7/SER_hh_num_in!M7)</f>
        <v>30735.927749429109</v>
      </c>
      <c r="N7" s="133">
        <f>IF(SER_hh_emi_in!N7=0,0,1000000*SER_hh_emi_in!N7/SER_hh_num_in!N7)</f>
        <v>31043.198135418177</v>
      </c>
      <c r="O7" s="133">
        <f>IF(SER_hh_emi_in!O7=0,0,1000000*SER_hh_emi_in!O7/SER_hh_num_in!O7)</f>
        <v>30586.21632778582</v>
      </c>
      <c r="P7" s="133">
        <f>IF(SER_hh_emi_in!P7=0,0,1000000*SER_hh_emi_in!P7/SER_hh_num_in!P7)</f>
        <v>24981.338920607031</v>
      </c>
      <c r="Q7" s="133">
        <f>IF(SER_hh_emi_in!Q7=0,0,1000000*SER_hh_emi_in!Q7/SER_hh_num_in!Q7)</f>
        <v>24412.072556209521</v>
      </c>
      <c r="R7" s="133">
        <f>IF(SER_hh_emi_in!R7=0,0,1000000*SER_hh_emi_in!R7/SER_hh_num_in!R7)</f>
        <v>21199.166665150216</v>
      </c>
      <c r="S7" s="133">
        <f>IF(SER_hh_emi_in!S7=0,0,1000000*SER_hh_emi_in!S7/SER_hh_num_in!S7)</f>
        <v>21206.201386402096</v>
      </c>
      <c r="T7" s="133">
        <f>IF(SER_hh_emi_in!T7=0,0,1000000*SER_hh_emi_in!T7/SER_hh_num_in!T7)</f>
        <v>19295.182815499214</v>
      </c>
      <c r="U7" s="133">
        <f>IF(SER_hh_emi_in!U7=0,0,1000000*SER_hh_emi_in!U7/SER_hh_num_in!U7)</f>
        <v>17474.207492966427</v>
      </c>
      <c r="V7" s="133">
        <f>IF(SER_hh_emi_in!V7=0,0,1000000*SER_hh_emi_in!V7/SER_hh_num_in!V7)</f>
        <v>15310.816696206681</v>
      </c>
      <c r="W7" s="133">
        <f>IF(SER_hh_emi_in!W7=0,0,1000000*SER_hh_emi_in!W7/SER_hh_num_in!W7)</f>
        <v>13218.614471711673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15145.694422962475</v>
      </c>
      <c r="D8" s="133">
        <f>IF(SER_hh_emi_in!D8=0,0,1000000*SER_hh_emi_in!D8/SER_hh_num_in!D8)</f>
        <v>11980.236184557587</v>
      </c>
      <c r="E8" s="133">
        <f>IF(SER_hh_emi_in!E8=0,0,1000000*SER_hh_emi_in!E8/SER_hh_num_in!E8)</f>
        <v>12433.307600525539</v>
      </c>
      <c r="F8" s="133">
        <f>IF(SER_hh_emi_in!F8=0,0,1000000*SER_hh_emi_in!F8/SER_hh_num_in!F8)</f>
        <v>11073.876273604334</v>
      </c>
      <c r="G8" s="133">
        <f>IF(SER_hh_emi_in!G8=0,0,1000000*SER_hh_emi_in!G8/SER_hh_num_in!G8)</f>
        <v>14014.400519072909</v>
      </c>
      <c r="H8" s="133">
        <f>IF(SER_hh_emi_in!H8=0,0,1000000*SER_hh_emi_in!H8/SER_hh_num_in!H8)</f>
        <v>11693.660480116228</v>
      </c>
      <c r="I8" s="133">
        <f>IF(SER_hh_emi_in!I8=0,0,1000000*SER_hh_emi_in!I8/SER_hh_num_in!I8)</f>
        <v>10967.722318745633</v>
      </c>
      <c r="J8" s="133">
        <f>IF(SER_hh_emi_in!J8=0,0,1000000*SER_hh_emi_in!J8/SER_hh_num_in!J8)</f>
        <v>10626.822357806468</v>
      </c>
      <c r="K8" s="133">
        <f>IF(SER_hh_emi_in!K8=0,0,1000000*SER_hh_emi_in!K8/SER_hh_num_in!K8)</f>
        <v>7877.9723708920401</v>
      </c>
      <c r="L8" s="133">
        <f>IF(SER_hh_emi_in!L8=0,0,1000000*SER_hh_emi_in!L8/SER_hh_num_in!L8)</f>
        <v>6317.3664992152299</v>
      </c>
      <c r="M8" s="133">
        <f>IF(SER_hh_emi_in!M8=0,0,1000000*SER_hh_emi_in!M8/SER_hh_num_in!M8)</f>
        <v>8219.0834277530957</v>
      </c>
      <c r="N8" s="133">
        <f>IF(SER_hh_emi_in!N8=0,0,1000000*SER_hh_emi_in!N8/SER_hh_num_in!N8)</f>
        <v>6948.1505015234206</v>
      </c>
      <c r="O8" s="133">
        <f>IF(SER_hh_emi_in!O8=0,0,1000000*SER_hh_emi_in!O8/SER_hh_num_in!O8)</f>
        <v>6963.9541635976402</v>
      </c>
      <c r="P8" s="133">
        <f>IF(SER_hh_emi_in!P8=0,0,1000000*SER_hh_emi_in!P8/SER_hh_num_in!P8)</f>
        <v>5574.1100030794523</v>
      </c>
      <c r="Q8" s="133">
        <f>IF(SER_hh_emi_in!Q8=0,0,1000000*SER_hh_emi_in!Q8/SER_hh_num_in!Q8)</f>
        <v>5507.0234395210346</v>
      </c>
      <c r="R8" s="133">
        <f>IF(SER_hh_emi_in!R8=0,0,1000000*SER_hh_emi_in!R8/SER_hh_num_in!R8)</f>
        <v>5189.8176189949017</v>
      </c>
      <c r="S8" s="133">
        <f>IF(SER_hh_emi_in!S8=0,0,1000000*SER_hh_emi_in!S8/SER_hh_num_in!S8)</f>
        <v>4772.4663100980933</v>
      </c>
      <c r="T8" s="133">
        <f>IF(SER_hh_emi_in!T8=0,0,1000000*SER_hh_emi_in!T8/SER_hh_num_in!T8)</f>
        <v>4447.5086754753193</v>
      </c>
      <c r="U8" s="133">
        <f>IF(SER_hh_emi_in!U8=0,0,1000000*SER_hh_emi_in!U8/SER_hh_num_in!U8)</f>
        <v>4067.9047213814188</v>
      </c>
      <c r="V8" s="133">
        <f>IF(SER_hh_emi_in!V8=0,0,1000000*SER_hh_emi_in!V8/SER_hh_num_in!V8)</f>
        <v>3232.4510499866278</v>
      </c>
      <c r="W8" s="133">
        <f>IF(SER_hh_emi_in!W8=0,0,1000000*SER_hh_emi_in!W8/SER_hh_num_in!W8)</f>
        <v>3056.4366586755227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30941.717680387919</v>
      </c>
      <c r="D9" s="133">
        <f>IF(SER_hh_emi_in!D9=0,0,1000000*SER_hh_emi_in!D9/SER_hh_num_in!D9)</f>
        <v>24953.340132102941</v>
      </c>
      <c r="E9" s="133">
        <f>IF(SER_hh_emi_in!E9=0,0,1000000*SER_hh_emi_in!E9/SER_hh_num_in!E9)</f>
        <v>30960.393886626563</v>
      </c>
      <c r="F9" s="133">
        <f>IF(SER_hh_emi_in!F9=0,0,1000000*SER_hh_emi_in!F9/SER_hh_num_in!F9)</f>
        <v>30060.245353221351</v>
      </c>
      <c r="G9" s="133">
        <f>IF(SER_hh_emi_in!G9=0,0,1000000*SER_hh_emi_in!G9/SER_hh_num_in!G9)</f>
        <v>30177.54098497142</v>
      </c>
      <c r="H9" s="133">
        <f>IF(SER_hh_emi_in!H9=0,0,1000000*SER_hh_emi_in!H9/SER_hh_num_in!H9)</f>
        <v>25449.298815991006</v>
      </c>
      <c r="I9" s="133">
        <f>IF(SER_hh_emi_in!I9=0,0,1000000*SER_hh_emi_in!I9/SER_hh_num_in!I9)</f>
        <v>24816.219527701865</v>
      </c>
      <c r="J9" s="133">
        <f>IF(SER_hh_emi_in!J9=0,0,1000000*SER_hh_emi_in!J9/SER_hh_num_in!J9)</f>
        <v>21256.375334594326</v>
      </c>
      <c r="K9" s="133">
        <f>IF(SER_hh_emi_in!K9=0,0,1000000*SER_hh_emi_in!K9/SER_hh_num_in!K9)</f>
        <v>24907.020855475097</v>
      </c>
      <c r="L9" s="133">
        <f>IF(SER_hh_emi_in!L9=0,0,1000000*SER_hh_emi_in!L9/SER_hh_num_in!L9)</f>
        <v>27017.059521660682</v>
      </c>
      <c r="M9" s="133">
        <f>IF(SER_hh_emi_in!M9=0,0,1000000*SER_hh_emi_in!M9/SER_hh_num_in!M9)</f>
        <v>18473.936646152022</v>
      </c>
      <c r="N9" s="133">
        <f>IF(SER_hh_emi_in!N9=0,0,1000000*SER_hh_emi_in!N9/SER_hh_num_in!N9)</f>
        <v>20936.426950339137</v>
      </c>
      <c r="O9" s="133">
        <f>IF(SER_hh_emi_in!O9=0,0,1000000*SER_hh_emi_in!O9/SER_hh_num_in!O9)</f>
        <v>21039.51100367387</v>
      </c>
      <c r="P9" s="133">
        <f>IF(SER_hh_emi_in!P9=0,0,1000000*SER_hh_emi_in!P9/SER_hh_num_in!P9)</f>
        <v>15865.547141156505</v>
      </c>
      <c r="Q9" s="133">
        <f>IF(SER_hh_emi_in!Q9=0,0,1000000*SER_hh_emi_in!Q9/SER_hh_num_in!Q9)</f>
        <v>15909.790472616889</v>
      </c>
      <c r="R9" s="133">
        <f>IF(SER_hh_emi_in!R9=0,0,1000000*SER_hh_emi_in!R9/SER_hh_num_in!R9)</f>
        <v>15009.615900192817</v>
      </c>
      <c r="S9" s="133">
        <f>IF(SER_hh_emi_in!S9=0,0,1000000*SER_hh_emi_in!S9/SER_hh_num_in!S9)</f>
        <v>14340.84747016503</v>
      </c>
      <c r="T9" s="133">
        <f>IF(SER_hh_emi_in!T9=0,0,1000000*SER_hh_emi_in!T9/SER_hh_num_in!T9)</f>
        <v>13699.110728851952</v>
      </c>
      <c r="U9" s="133">
        <f>IF(SER_hh_emi_in!U9=0,0,1000000*SER_hh_emi_in!U9/SER_hh_num_in!U9)</f>
        <v>12220.527319233199</v>
      </c>
      <c r="V9" s="133">
        <f>IF(SER_hh_emi_in!V9=0,0,1000000*SER_hh_emi_in!V9/SER_hh_num_in!V9)</f>
        <v>10125.564135046063</v>
      </c>
      <c r="W9" s="133">
        <f>IF(SER_hh_emi_in!W9=0,0,1000000*SER_hh_emi_in!W9/SER_hh_num_in!W9)</f>
        <v>9024.1442314807828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31149.764522286532</v>
      </c>
      <c r="D10" s="133">
        <f>IF(SER_hh_emi_in!D10=0,0,1000000*SER_hh_emi_in!D10/SER_hh_num_in!D10)</f>
        <v>31583.84698537743</v>
      </c>
      <c r="E10" s="133">
        <f>IF(SER_hh_emi_in!E10=0,0,1000000*SER_hh_emi_in!E10/SER_hh_num_in!E10)</f>
        <v>34886.884749844634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16979.379311819892</v>
      </c>
      <c r="J10" s="133">
        <f>IF(SER_hh_emi_in!J10=0,0,1000000*SER_hh_emi_in!J10/SER_hh_num_in!J10)</f>
        <v>17370.434726091149</v>
      </c>
      <c r="K10" s="133">
        <f>IF(SER_hh_emi_in!K10=0,0,1000000*SER_hh_emi_in!K10/SER_hh_num_in!K10)</f>
        <v>23678.879684592357</v>
      </c>
      <c r="L10" s="133">
        <f>IF(SER_hh_emi_in!L10=0,0,1000000*SER_hh_emi_in!L10/SER_hh_num_in!L10)</f>
        <v>20712.723827233949</v>
      </c>
      <c r="M10" s="133">
        <f>IF(SER_hh_emi_in!M10=0,0,1000000*SER_hh_emi_in!M10/SER_hh_num_in!M10)</f>
        <v>11520.858161643951</v>
      </c>
      <c r="N10" s="133">
        <f>IF(SER_hh_emi_in!N10=0,0,1000000*SER_hh_emi_in!N10/SER_hh_num_in!N10)</f>
        <v>11643.128436224715</v>
      </c>
      <c r="O10" s="133">
        <f>IF(SER_hh_emi_in!O10=0,0,1000000*SER_hh_emi_in!O10/SER_hh_num_in!O10)</f>
        <v>13005.171998862832</v>
      </c>
      <c r="P10" s="133">
        <f>IF(SER_hh_emi_in!P10=0,0,1000000*SER_hh_emi_in!P10/SER_hh_num_in!P10)</f>
        <v>9824.427184294711</v>
      </c>
      <c r="Q10" s="133">
        <f>IF(SER_hh_emi_in!Q10=0,0,1000000*SER_hh_emi_in!Q10/SER_hh_num_in!Q10)</f>
        <v>6806.0380879178465</v>
      </c>
      <c r="R10" s="133">
        <f>IF(SER_hh_emi_in!R10=0,0,1000000*SER_hh_emi_in!R10/SER_hh_num_in!R10)</f>
        <v>7644.4349459465666</v>
      </c>
      <c r="S10" s="133">
        <f>IF(SER_hh_emi_in!S10=0,0,1000000*SER_hh_emi_in!S10/SER_hh_num_in!S10)</f>
        <v>8048.781420182062</v>
      </c>
      <c r="T10" s="133">
        <f>IF(SER_hh_emi_in!T10=0,0,1000000*SER_hh_emi_in!T10/SER_hh_num_in!T10)</f>
        <v>6062.6275648382089</v>
      </c>
      <c r="U10" s="133">
        <f>IF(SER_hh_emi_in!U10=0,0,1000000*SER_hh_emi_in!U10/SER_hh_num_in!U10)</f>
        <v>5527.667632820624</v>
      </c>
      <c r="V10" s="133">
        <f>IF(SER_hh_emi_in!V10=0,0,1000000*SER_hh_emi_in!V10/SER_hh_num_in!V10)</f>
        <v>6204.3655261718131</v>
      </c>
      <c r="W10" s="133">
        <f>IF(SER_hh_emi_in!W10=0,0,1000000*SER_hh_emi_in!W10/SER_hh_num_in!W10)</f>
        <v>5751.4504510077595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19.2665873631558</v>
      </c>
      <c r="D16" s="131">
        <f>IF(SER_hh_emi_in!D16=0,0,1000000*SER_hh_emi_in!D16/SER_hh_num_in!D16)</f>
        <v>17.01506944858448</v>
      </c>
      <c r="E16" s="131">
        <f>IF(SER_hh_emi_in!E16=0,0,1000000*SER_hh_emi_in!E16/SER_hh_num_in!E16)</f>
        <v>68.452565006638309</v>
      </c>
      <c r="F16" s="131">
        <f>IF(SER_hh_emi_in!F16=0,0,1000000*SER_hh_emi_in!F16/SER_hh_num_in!F16)</f>
        <v>14.816204966914926</v>
      </c>
      <c r="G16" s="131">
        <f>IF(SER_hh_emi_in!G16=0,0,1000000*SER_hh_emi_in!G16/SER_hh_num_in!G16)</f>
        <v>7.7551075941320926</v>
      </c>
      <c r="H16" s="131">
        <f>IF(SER_hh_emi_in!H16=0,0,1000000*SER_hh_emi_in!H16/SER_hh_num_in!H16)</f>
        <v>62.230659153451803</v>
      </c>
      <c r="I16" s="131">
        <f>IF(SER_hh_emi_in!I16=0,0,1000000*SER_hh_emi_in!I16/SER_hh_num_in!I16)</f>
        <v>26.663648206183467</v>
      </c>
      <c r="J16" s="131">
        <f>IF(SER_hh_emi_in!J16=0,0,1000000*SER_hh_emi_in!J16/SER_hh_num_in!J16)</f>
        <v>40.645054729735421</v>
      </c>
      <c r="K16" s="131">
        <f>IF(SER_hh_emi_in!K16=0,0,1000000*SER_hh_emi_in!K16/SER_hh_num_in!K16)</f>
        <v>32.856846809929998</v>
      </c>
      <c r="L16" s="131">
        <f>IF(SER_hh_emi_in!L16=0,0,1000000*SER_hh_emi_in!L16/SER_hh_num_in!L16)</f>
        <v>53.957585459312064</v>
      </c>
      <c r="M16" s="131">
        <f>IF(SER_hh_emi_in!M16=0,0,1000000*SER_hh_emi_in!M16/SER_hh_num_in!M16)</f>
        <v>93.714194988077722</v>
      </c>
      <c r="N16" s="131">
        <f>IF(SER_hh_emi_in!N16=0,0,1000000*SER_hh_emi_in!N16/SER_hh_num_in!N16)</f>
        <v>172.54393519240696</v>
      </c>
      <c r="O16" s="131">
        <f>IF(SER_hh_emi_in!O16=0,0,1000000*SER_hh_emi_in!O16/SER_hh_num_in!O16)</f>
        <v>129.69345555637469</v>
      </c>
      <c r="P16" s="131">
        <f>IF(SER_hh_emi_in!P16=0,0,1000000*SER_hh_emi_in!P16/SER_hh_num_in!P16)</f>
        <v>63.780371568441787</v>
      </c>
      <c r="Q16" s="131">
        <f>IF(SER_hh_emi_in!Q16=0,0,1000000*SER_hh_emi_in!Q16/SER_hh_num_in!Q16)</f>
        <v>178.56201552546989</v>
      </c>
      <c r="R16" s="131">
        <f>IF(SER_hh_emi_in!R16=0,0,1000000*SER_hh_emi_in!R16/SER_hh_num_in!R16)</f>
        <v>95.983323194345942</v>
      </c>
      <c r="S16" s="131">
        <f>IF(SER_hh_emi_in!S16=0,0,1000000*SER_hh_emi_in!S16/SER_hh_num_in!S16)</f>
        <v>144.72073358615873</v>
      </c>
      <c r="T16" s="131">
        <f>IF(SER_hh_emi_in!T16=0,0,1000000*SER_hh_emi_in!T16/SER_hh_num_in!T16)</f>
        <v>124.12074243569896</v>
      </c>
      <c r="U16" s="131">
        <f>IF(SER_hh_emi_in!U16=0,0,1000000*SER_hh_emi_in!U16/SER_hh_num_in!U16)</f>
        <v>138.46911179576941</v>
      </c>
      <c r="V16" s="131">
        <f>IF(SER_hh_emi_in!V16=0,0,1000000*SER_hh_emi_in!V16/SER_hh_num_in!V16)</f>
        <v>158.5809701552169</v>
      </c>
      <c r="W16" s="131">
        <f>IF(SER_hh_emi_in!W16=0,0,1000000*SER_hh_emi_in!W16/SER_hh_num_in!W16)</f>
        <v>73.078311943772789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3842.5842662026807</v>
      </c>
      <c r="D17" s="133">
        <f>IF(SER_hh_emi_in!D17=0,0,1000000*SER_hh_emi_in!D17/SER_hh_num_in!D17)</f>
        <v>3626.6067124496626</v>
      </c>
      <c r="E17" s="133">
        <f>IF(SER_hh_emi_in!E17=0,0,1000000*SER_hh_emi_in!E17/SER_hh_num_in!E17)</f>
        <v>7075.1714518154649</v>
      </c>
      <c r="F17" s="133">
        <f>IF(SER_hh_emi_in!F17=0,0,1000000*SER_hh_emi_in!F17/SER_hh_num_in!F17)</f>
        <v>3669.6059692743161</v>
      </c>
      <c r="G17" s="133">
        <f>IF(SER_hh_emi_in!G17=0,0,1000000*SER_hh_emi_in!G17/SER_hh_num_in!G17)</f>
        <v>3966.7697010314273</v>
      </c>
      <c r="H17" s="133">
        <f>IF(SER_hh_emi_in!H17=0,0,1000000*SER_hh_emi_in!H17/SER_hh_num_in!H17)</f>
        <v>4479.8931735365213</v>
      </c>
      <c r="I17" s="133">
        <f>IF(SER_hh_emi_in!I17=0,0,1000000*SER_hh_emi_in!I17/SER_hh_num_in!I17)</f>
        <v>3454.125966150872</v>
      </c>
      <c r="J17" s="133">
        <f>IF(SER_hh_emi_in!J17=0,0,1000000*SER_hh_emi_in!J17/SER_hh_num_in!J17)</f>
        <v>3452.0321732973325</v>
      </c>
      <c r="K17" s="133">
        <f>IF(SER_hh_emi_in!K17=0,0,1000000*SER_hh_emi_in!K17/SER_hh_num_in!K17)</f>
        <v>3622.280962954695</v>
      </c>
      <c r="L17" s="133">
        <f>IF(SER_hh_emi_in!L17=0,0,1000000*SER_hh_emi_in!L17/SER_hh_num_in!L17)</f>
        <v>3507.6267687398736</v>
      </c>
      <c r="M17" s="133">
        <f>IF(SER_hh_emi_in!M17=0,0,1000000*SER_hh_emi_in!M17/SER_hh_num_in!M17)</f>
        <v>3380.5720295142296</v>
      </c>
      <c r="N17" s="133">
        <f>IF(SER_hh_emi_in!N17=0,0,1000000*SER_hh_emi_in!N17/SER_hh_num_in!N17)</f>
        <v>3435.2471670754917</v>
      </c>
      <c r="O17" s="133">
        <f>IF(SER_hh_emi_in!O17=0,0,1000000*SER_hh_emi_in!O17/SER_hh_num_in!O17)</f>
        <v>3269.9175782605439</v>
      </c>
      <c r="P17" s="133">
        <f>IF(SER_hh_emi_in!P17=0,0,1000000*SER_hh_emi_in!P17/SER_hh_num_in!P17)</f>
        <v>2910.3676855253398</v>
      </c>
      <c r="Q17" s="133">
        <f>IF(SER_hh_emi_in!Q17=0,0,1000000*SER_hh_emi_in!Q17/SER_hh_num_in!Q17)</f>
        <v>3414.4475639579914</v>
      </c>
      <c r="R17" s="133">
        <f>IF(SER_hh_emi_in!R17=0,0,1000000*SER_hh_emi_in!R17/SER_hh_num_in!R17)</f>
        <v>2860.6718158338867</v>
      </c>
      <c r="S17" s="133">
        <f>IF(SER_hh_emi_in!S17=0,0,1000000*SER_hh_emi_in!S17/SER_hh_num_in!S17)</f>
        <v>2935.2708275999412</v>
      </c>
      <c r="T17" s="133">
        <f>IF(SER_hh_emi_in!T17=0,0,1000000*SER_hh_emi_in!T17/SER_hh_num_in!T17)</f>
        <v>2738.0920941442828</v>
      </c>
      <c r="U17" s="133">
        <f>IF(SER_hh_emi_in!U17=0,0,1000000*SER_hh_emi_in!U17/SER_hh_num_in!U17)</f>
        <v>2598.7466031249605</v>
      </c>
      <c r="V17" s="133">
        <f>IF(SER_hh_emi_in!V17=0,0,1000000*SER_hh_emi_in!V17/SER_hh_num_in!V17)</f>
        <v>2342.5458385833476</v>
      </c>
      <c r="W17" s="133">
        <f>IF(SER_hh_emi_in!W17=0,0,1000000*SER_hh_emi_in!W17/SER_hh_num_in!W17)</f>
        <v>1655.6555327444023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2372.632604765719</v>
      </c>
      <c r="D19" s="131">
        <f>IF(SER_hh_emi_in!D19=0,0,1000000*SER_hh_emi_in!D19/SER_hh_num_in!D19)</f>
        <v>2422.3331201441601</v>
      </c>
      <c r="E19" s="131">
        <f>IF(SER_hh_emi_in!E19=0,0,1000000*SER_hh_emi_in!E19/SER_hh_num_in!E19)</f>
        <v>2318.7349497865048</v>
      </c>
      <c r="F19" s="131">
        <f>IF(SER_hh_emi_in!F19=0,0,1000000*SER_hh_emi_in!F19/SER_hh_num_in!F19)</f>
        <v>1834.0757924924542</v>
      </c>
      <c r="G19" s="131">
        <f>IF(SER_hh_emi_in!G19=0,0,1000000*SER_hh_emi_in!G19/SER_hh_num_in!G19)</f>
        <v>1569.4667366687415</v>
      </c>
      <c r="H19" s="131">
        <f>IF(SER_hh_emi_in!H19=0,0,1000000*SER_hh_emi_in!H19/SER_hh_num_in!H19)</f>
        <v>1463.5924706638505</v>
      </c>
      <c r="I19" s="131">
        <f>IF(SER_hh_emi_in!I19=0,0,1000000*SER_hh_emi_in!I19/SER_hh_num_in!I19)</f>
        <v>1472.5192816576862</v>
      </c>
      <c r="J19" s="131">
        <f>IF(SER_hh_emi_in!J19=0,0,1000000*SER_hh_emi_in!J19/SER_hh_num_in!J19)</f>
        <v>1707.3137243839549</v>
      </c>
      <c r="K19" s="131">
        <f>IF(SER_hh_emi_in!K19=0,0,1000000*SER_hh_emi_in!K19/SER_hh_num_in!K19)</f>
        <v>2162.7689528401174</v>
      </c>
      <c r="L19" s="131">
        <f>IF(SER_hh_emi_in!L19=0,0,1000000*SER_hh_emi_in!L19/SER_hh_num_in!L19)</f>
        <v>1630.6901255575037</v>
      </c>
      <c r="M19" s="131">
        <f>IF(SER_hh_emi_in!M19=0,0,1000000*SER_hh_emi_in!M19/SER_hh_num_in!M19)</f>
        <v>1862.2492396716987</v>
      </c>
      <c r="N19" s="131">
        <f>IF(SER_hh_emi_in!N19=0,0,1000000*SER_hh_emi_in!N19/SER_hh_num_in!N19)</f>
        <v>2076.5838221675995</v>
      </c>
      <c r="O19" s="131">
        <f>IF(SER_hh_emi_in!O19=0,0,1000000*SER_hh_emi_in!O19/SER_hh_num_in!O19)</f>
        <v>2076.0269551221641</v>
      </c>
      <c r="P19" s="131">
        <f>IF(SER_hh_emi_in!P19=0,0,1000000*SER_hh_emi_in!P19/SER_hh_num_in!P19)</f>
        <v>1359.0129942196659</v>
      </c>
      <c r="Q19" s="131">
        <f>IF(SER_hh_emi_in!Q19=0,0,1000000*SER_hh_emi_in!Q19/SER_hh_num_in!Q19)</f>
        <v>1622.7723219778577</v>
      </c>
      <c r="R19" s="131">
        <f>IF(SER_hh_emi_in!R19=0,0,1000000*SER_hh_emi_in!R19/SER_hh_num_in!R19)</f>
        <v>1151.2655853614806</v>
      </c>
      <c r="S19" s="131">
        <f>IF(SER_hh_emi_in!S19=0,0,1000000*SER_hh_emi_in!S19/SER_hh_num_in!S19)</f>
        <v>1133.4247394380409</v>
      </c>
      <c r="T19" s="131">
        <f>IF(SER_hh_emi_in!T19=0,0,1000000*SER_hh_emi_in!T19/SER_hh_num_in!T19)</f>
        <v>873.00424815679287</v>
      </c>
      <c r="U19" s="131">
        <f>IF(SER_hh_emi_in!U19=0,0,1000000*SER_hh_emi_in!U19/SER_hh_num_in!U19)</f>
        <v>1020.8722135599533</v>
      </c>
      <c r="V19" s="131">
        <f>IF(SER_hh_emi_in!V19=0,0,1000000*SER_hh_emi_in!V19/SER_hh_num_in!V19)</f>
        <v>1047.5761439034866</v>
      </c>
      <c r="W19" s="131">
        <f>IF(SER_hh_emi_in!W19=0,0,1000000*SER_hh_emi_in!W19/SER_hh_num_in!W19)</f>
        <v>895.91720632400893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5729.0011651574987</v>
      </c>
      <c r="D21" s="133">
        <f>IF(SER_hh_emi_in!D21=0,0,1000000*SER_hh_emi_in!D21/SER_hh_num_in!D21)</f>
        <v>5830.044606509422</v>
      </c>
      <c r="E21" s="133">
        <f>IF(SER_hh_emi_in!E21=0,0,1000000*SER_hh_emi_in!E21/SER_hh_num_in!E21)</f>
        <v>5829.4973422349085</v>
      </c>
      <c r="F21" s="133">
        <f>IF(SER_hh_emi_in!F21=0,0,1000000*SER_hh_emi_in!F21/SER_hh_num_in!F21)</f>
        <v>5753.2964086647753</v>
      </c>
      <c r="G21" s="133">
        <f>IF(SER_hh_emi_in!G21=0,0,1000000*SER_hh_emi_in!G21/SER_hh_num_in!G21)</f>
        <v>5375.6996180099313</v>
      </c>
      <c r="H21" s="133">
        <f>IF(SER_hh_emi_in!H21=0,0,1000000*SER_hh_emi_in!H21/SER_hh_num_in!H21)</f>
        <v>5521.0168412951762</v>
      </c>
      <c r="I21" s="133">
        <f>IF(SER_hh_emi_in!I21=0,0,1000000*SER_hh_emi_in!I21/SER_hh_num_in!I21)</f>
        <v>5468.3568096823656</v>
      </c>
      <c r="J21" s="133">
        <f>IF(SER_hh_emi_in!J21=0,0,1000000*SER_hh_emi_in!J21/SER_hh_num_in!J21)</f>
        <v>5461.0731231672062</v>
      </c>
      <c r="K21" s="133">
        <f>IF(SER_hh_emi_in!K21=0,0,1000000*SER_hh_emi_in!K21/SER_hh_num_in!K21)</f>
        <v>5552.1934056299133</v>
      </c>
      <c r="L21" s="133">
        <f>IF(SER_hh_emi_in!L21=0,0,1000000*SER_hh_emi_in!L21/SER_hh_num_in!L21)</f>
        <v>5247.3702726777619</v>
      </c>
      <c r="M21" s="133">
        <f>IF(SER_hh_emi_in!M21=0,0,1000000*SER_hh_emi_in!M21/SER_hh_num_in!M21)</f>
        <v>5258.5667629299642</v>
      </c>
      <c r="N21" s="133">
        <f>IF(SER_hh_emi_in!N21=0,0,1000000*SER_hh_emi_in!N21/SER_hh_num_in!N21)</f>
        <v>4938.3817563738021</v>
      </c>
      <c r="O21" s="133">
        <f>IF(SER_hh_emi_in!O21=0,0,1000000*SER_hh_emi_in!O21/SER_hh_num_in!O21)</f>
        <v>4852.2621733546221</v>
      </c>
      <c r="P21" s="133">
        <f>IF(SER_hh_emi_in!P21=0,0,1000000*SER_hh_emi_in!P21/SER_hh_num_in!P21)</f>
        <v>4750.4597419187385</v>
      </c>
      <c r="Q21" s="133">
        <f>IF(SER_hh_emi_in!Q21=0,0,1000000*SER_hh_emi_in!Q21/SER_hh_num_in!Q21)</f>
        <v>4400.7123202706098</v>
      </c>
      <c r="R21" s="133">
        <f>IF(SER_hh_emi_in!R21=0,0,1000000*SER_hh_emi_in!R21/SER_hh_num_in!R21)</f>
        <v>4482.6063855796319</v>
      </c>
      <c r="S21" s="133">
        <f>IF(SER_hh_emi_in!S21=0,0,1000000*SER_hh_emi_in!S21/SER_hh_num_in!S21)</f>
        <v>4584.6797253699824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3614.0673814655161</v>
      </c>
      <c r="W21" s="133">
        <f>IF(SER_hh_emi_in!W21=0,0,1000000*SER_hh_emi_in!W21/SER_hh_num_in!W21)</f>
        <v>3714.1995140886179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7285.2526039332079</v>
      </c>
      <c r="D22" s="133">
        <f>IF(SER_hh_emi_in!D22=0,0,1000000*SER_hh_emi_in!D22/SER_hh_num_in!D22)</f>
        <v>7138.215581844539</v>
      </c>
      <c r="E22" s="133">
        <f>IF(SER_hh_emi_in!E22=0,0,1000000*SER_hh_emi_in!E22/SER_hh_num_in!E22)</f>
        <v>7034.1619888374407</v>
      </c>
      <c r="F22" s="133">
        <f>IF(SER_hh_emi_in!F22=0,0,1000000*SER_hh_emi_in!F22/SER_hh_num_in!F22)</f>
        <v>7105.4332307053619</v>
      </c>
      <c r="G22" s="133">
        <f>IF(SER_hh_emi_in!G22=0,0,1000000*SER_hh_emi_in!G22/SER_hh_num_in!G22)</f>
        <v>6943.7960957099685</v>
      </c>
      <c r="H22" s="133">
        <f>IF(SER_hh_emi_in!H22=0,0,1000000*SER_hh_emi_in!H22/SER_hh_num_in!H22)</f>
        <v>6823.9279171906655</v>
      </c>
      <c r="I22" s="133">
        <f>IF(SER_hh_emi_in!I22=0,0,1000000*SER_hh_emi_in!I22/SER_hh_num_in!I22)</f>
        <v>6569.5319309183824</v>
      </c>
      <c r="J22" s="133">
        <f>IF(SER_hh_emi_in!J22=0,0,1000000*SER_hh_emi_in!J22/SER_hh_num_in!J22)</f>
        <v>6759.401120845223</v>
      </c>
      <c r="K22" s="133">
        <f>IF(SER_hh_emi_in!K22=0,0,1000000*SER_hh_emi_in!K22/SER_hh_num_in!K22)</f>
        <v>6806.8726611736847</v>
      </c>
      <c r="L22" s="133">
        <f>IF(SER_hh_emi_in!L22=0,0,1000000*SER_hh_emi_in!L22/SER_hh_num_in!L22)</f>
        <v>6451.203091776837</v>
      </c>
      <c r="M22" s="133">
        <f>IF(SER_hh_emi_in!M22=0,0,1000000*SER_hh_emi_in!M22/SER_hh_num_in!M22)</f>
        <v>6127.8774652269967</v>
      </c>
      <c r="N22" s="133">
        <f>IF(SER_hh_emi_in!N22=0,0,1000000*SER_hh_emi_in!N22/SER_hh_num_in!N22)</f>
        <v>6353.3316785366233</v>
      </c>
      <c r="O22" s="133">
        <f>IF(SER_hh_emi_in!O22=0,0,1000000*SER_hh_emi_in!O22/SER_hh_num_in!O22)</f>
        <v>6069.3783258294588</v>
      </c>
      <c r="P22" s="133">
        <f>IF(SER_hh_emi_in!P22=0,0,1000000*SER_hh_emi_in!P22/SER_hh_num_in!P22)</f>
        <v>5688.5653012007187</v>
      </c>
      <c r="Q22" s="133">
        <f>IF(SER_hh_emi_in!Q22=0,0,1000000*SER_hh_emi_in!Q22/SER_hh_num_in!Q22)</f>
        <v>5551.6056818647057</v>
      </c>
      <c r="R22" s="133">
        <f>IF(SER_hh_emi_in!R22=0,0,1000000*SER_hh_emi_in!R22/SER_hh_num_in!R22)</f>
        <v>5030.8260876678814</v>
      </c>
      <c r="S22" s="133">
        <f>IF(SER_hh_emi_in!S22=0,0,1000000*SER_hh_emi_in!S22/SER_hh_num_in!S22)</f>
        <v>5220.7940564232458</v>
      </c>
      <c r="T22" s="133">
        <f>IF(SER_hh_emi_in!T22=0,0,1000000*SER_hh_emi_in!T22/SER_hh_num_in!T22)</f>
        <v>4867.2538366195377</v>
      </c>
      <c r="U22" s="133">
        <f>IF(SER_hh_emi_in!U22=0,0,1000000*SER_hh_emi_in!U22/SER_hh_num_in!U22)</f>
        <v>4610.9532637256671</v>
      </c>
      <c r="V22" s="133">
        <f>IF(SER_hh_emi_in!V22=0,0,1000000*SER_hh_emi_in!V22/SER_hh_num_in!V22)</f>
        <v>4391.7747038371244</v>
      </c>
      <c r="W22" s="133">
        <f>IF(SER_hh_emi_in!W22=0,0,1000000*SER_hh_emi_in!W22/SER_hh_num_in!W22)</f>
        <v>4215.2749585377087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4960.9215645748136</v>
      </c>
      <c r="D23" s="133">
        <f>IF(SER_hh_emi_in!D23=0,0,1000000*SER_hh_emi_in!D23/SER_hh_num_in!D23)</f>
        <v>4837.0178489544287</v>
      </c>
      <c r="E23" s="133">
        <f>IF(SER_hh_emi_in!E23=0,0,1000000*SER_hh_emi_in!E23/SER_hh_num_in!E23)</f>
        <v>4876.7854587286211</v>
      </c>
      <c r="F23" s="133">
        <f>IF(SER_hh_emi_in!F23=0,0,1000000*SER_hh_emi_in!F23/SER_hh_num_in!F23)</f>
        <v>4870.9850751562944</v>
      </c>
      <c r="G23" s="133">
        <f>IF(SER_hh_emi_in!G23=0,0,1000000*SER_hh_emi_in!G23/SER_hh_num_in!G23)</f>
        <v>4566.8797813284409</v>
      </c>
      <c r="H23" s="133">
        <f>IF(SER_hh_emi_in!H23=0,0,1000000*SER_hh_emi_in!H23/SER_hh_num_in!H23)</f>
        <v>4497.3186774383585</v>
      </c>
      <c r="I23" s="133">
        <f>IF(SER_hh_emi_in!I23=0,0,1000000*SER_hh_emi_in!I23/SER_hh_num_in!I23)</f>
        <v>4474.7885483967275</v>
      </c>
      <c r="J23" s="133">
        <f>IF(SER_hh_emi_in!J23=0,0,1000000*SER_hh_emi_in!J23/SER_hh_num_in!J23)</f>
        <v>4356.2528297798335</v>
      </c>
      <c r="K23" s="133">
        <f>IF(SER_hh_emi_in!K23=0,0,1000000*SER_hh_emi_in!K23/SER_hh_num_in!K23)</f>
        <v>4599.6137529375619</v>
      </c>
      <c r="L23" s="133">
        <f>IF(SER_hh_emi_in!L23=0,0,1000000*SER_hh_emi_in!L23/SER_hh_num_in!L23)</f>
        <v>4361.1714009723391</v>
      </c>
      <c r="M23" s="133">
        <f>IF(SER_hh_emi_in!M23=0,0,1000000*SER_hh_emi_in!M23/SER_hh_num_in!M23)</f>
        <v>4742.2541920777176</v>
      </c>
      <c r="N23" s="133">
        <f>IF(SER_hh_emi_in!N23=0,0,1000000*SER_hh_emi_in!N23/SER_hh_num_in!N23)</f>
        <v>3563.4851787836751</v>
      </c>
      <c r="O23" s="133">
        <f>IF(SER_hh_emi_in!O23=0,0,1000000*SER_hh_emi_in!O23/SER_hh_num_in!O23)</f>
        <v>3810.6290894922013</v>
      </c>
      <c r="P23" s="133">
        <f>IF(SER_hh_emi_in!P23=0,0,1000000*SER_hh_emi_in!P23/SER_hh_num_in!P23)</f>
        <v>3912.3135720566179</v>
      </c>
      <c r="Q23" s="133">
        <f>IF(SER_hh_emi_in!Q23=0,0,1000000*SER_hh_emi_in!Q23/SER_hh_num_in!Q23)</f>
        <v>3620.1968704320143</v>
      </c>
      <c r="R23" s="133">
        <f>IF(SER_hh_emi_in!R23=0,0,1000000*SER_hh_emi_in!R23/SER_hh_num_in!R23)</f>
        <v>3887.3819220016394</v>
      </c>
      <c r="S23" s="133">
        <f>IF(SER_hh_emi_in!S23=0,0,1000000*SER_hh_emi_in!S23/SER_hh_num_in!S23)</f>
        <v>3607.3416581126521</v>
      </c>
      <c r="T23" s="133">
        <f>IF(SER_hh_emi_in!T23=0,0,1000000*SER_hh_emi_in!T23/SER_hh_num_in!T23)</f>
        <v>3573.3355952140823</v>
      </c>
      <c r="U23" s="133">
        <f>IF(SER_hh_emi_in!U23=0,0,1000000*SER_hh_emi_in!U23/SER_hh_num_in!U23)</f>
        <v>3407.0642152896926</v>
      </c>
      <c r="V23" s="133">
        <f>IF(SER_hh_emi_in!V23=0,0,1000000*SER_hh_emi_in!V23/SER_hh_num_in!V23)</f>
        <v>2971.3465841094567</v>
      </c>
      <c r="W23" s="133">
        <f>IF(SER_hh_emi_in!W23=0,0,1000000*SER_hh_emi_in!W23/SER_hh_num_in!W23)</f>
        <v>3623.8177025562609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4702.9343244802467</v>
      </c>
      <c r="D24" s="133">
        <f>IF(SER_hh_emi_in!D24=0,0,1000000*SER_hh_emi_in!D24/SER_hh_num_in!D24)</f>
        <v>4565.4031878442493</v>
      </c>
      <c r="E24" s="133">
        <f>IF(SER_hh_emi_in!E24=0,0,1000000*SER_hh_emi_in!E24/SER_hh_num_in!E24)</f>
        <v>4417.1136064055681</v>
      </c>
      <c r="F24" s="133">
        <f>IF(SER_hh_emi_in!F24=0,0,1000000*SER_hh_emi_in!F24/SER_hh_num_in!F24)</f>
        <v>4441.2421541769845</v>
      </c>
      <c r="G24" s="133">
        <f>IF(SER_hh_emi_in!G24=0,0,1000000*SER_hh_emi_in!G24/SER_hh_num_in!G24)</f>
        <v>1842.0607417443082</v>
      </c>
      <c r="H24" s="133">
        <f>IF(SER_hh_emi_in!H24=0,0,1000000*SER_hh_emi_in!H24/SER_hh_num_in!H24)</f>
        <v>2066.487312615754</v>
      </c>
      <c r="I24" s="133">
        <f>IF(SER_hh_emi_in!I24=0,0,1000000*SER_hh_emi_in!I24/SER_hh_num_in!I24)</f>
        <v>2518.3693745109867</v>
      </c>
      <c r="J24" s="133">
        <f>IF(SER_hh_emi_in!J24=0,0,1000000*SER_hh_emi_in!J24/SER_hh_num_in!J24)</f>
        <v>2506.6106171062238</v>
      </c>
      <c r="K24" s="133">
        <f>IF(SER_hh_emi_in!K24=0,0,1000000*SER_hh_emi_in!K24/SER_hh_num_in!K24)</f>
        <v>2852.3217057157735</v>
      </c>
      <c r="L24" s="133">
        <f>IF(SER_hh_emi_in!L24=0,0,1000000*SER_hh_emi_in!L24/SER_hh_num_in!L24)</f>
        <v>3078.9405077588272</v>
      </c>
      <c r="M24" s="133">
        <f>IF(SER_hh_emi_in!M24=0,0,1000000*SER_hh_emi_in!M24/SER_hh_num_in!M24)</f>
        <v>0</v>
      </c>
      <c r="N24" s="133">
        <f>IF(SER_hh_emi_in!N24=0,0,1000000*SER_hh_emi_in!N24/SER_hh_num_in!N24)</f>
        <v>1636.8097797337193</v>
      </c>
      <c r="O24" s="133">
        <f>IF(SER_hh_emi_in!O24=0,0,1000000*SER_hh_emi_in!O24/SER_hh_num_in!O24)</f>
        <v>1981.4478977079166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1331.0183456077766</v>
      </c>
      <c r="S24" s="133">
        <f>IF(SER_hh_emi_in!S24=0,0,1000000*SER_hh_emi_in!S24/SER_hh_num_in!S24)</f>
        <v>1420.873921311512</v>
      </c>
      <c r="T24" s="133">
        <f>IF(SER_hh_emi_in!T24=0,0,1000000*SER_hh_emi_in!T24/SER_hh_num_in!T24)</f>
        <v>1168.0692265725013</v>
      </c>
      <c r="U24" s="133">
        <f>IF(SER_hh_emi_in!U24=0,0,1000000*SER_hh_emi_in!U24/SER_hh_num_in!U24)</f>
        <v>1124.2764701080882</v>
      </c>
      <c r="V24" s="133">
        <f>IF(SER_hh_emi_in!V24=0,0,1000000*SER_hh_emi_in!V24/SER_hh_num_in!V24)</f>
        <v>1354.1140916850195</v>
      </c>
      <c r="W24" s="133">
        <f>IF(SER_hh_emi_in!W24=0,0,1000000*SER_hh_emi_in!W24/SER_hh_num_in!W24)</f>
        <v>1428.5826772233763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1868.6461934844883</v>
      </c>
      <c r="D29" s="131">
        <f>IF(SER_hh_emi_in!D29=0,0,1000000*SER_hh_emi_in!D29/SER_hh_num_in!D29)</f>
        <v>5100.0783567533399</v>
      </c>
      <c r="E29" s="131">
        <f>IF(SER_hh_emi_in!E29=0,0,1000000*SER_hh_emi_in!E29/SER_hh_num_in!E29)</f>
        <v>3421.3277359865338</v>
      </c>
      <c r="F29" s="131">
        <f>IF(SER_hh_emi_in!F29=0,0,1000000*SER_hh_emi_in!F29/SER_hh_num_in!F29)</f>
        <v>1578.6881813264881</v>
      </c>
      <c r="G29" s="131">
        <f>IF(SER_hh_emi_in!G29=0,0,1000000*SER_hh_emi_in!G29/SER_hh_num_in!G29)</f>
        <v>257.97914260296545</v>
      </c>
      <c r="H29" s="131">
        <f>IF(SER_hh_emi_in!H29=0,0,1000000*SER_hh_emi_in!H29/SER_hh_num_in!H29)</f>
        <v>0</v>
      </c>
      <c r="I29" s="131">
        <f>IF(SER_hh_emi_in!I29=0,0,1000000*SER_hh_emi_in!I29/SER_hh_num_in!I29)</f>
        <v>1549.1718121105994</v>
      </c>
      <c r="J29" s="131">
        <f>IF(SER_hh_emi_in!J29=0,0,1000000*SER_hh_emi_in!J29/SER_hh_num_in!J29)</f>
        <v>2730.2575773824219</v>
      </c>
      <c r="K29" s="131">
        <f>IF(SER_hh_emi_in!K29=0,0,1000000*SER_hh_emi_in!K29/SER_hh_num_in!K29)</f>
        <v>3677.0130472628371</v>
      </c>
      <c r="L29" s="131">
        <f>IF(SER_hh_emi_in!L29=0,0,1000000*SER_hh_emi_in!L29/SER_hh_num_in!L29)</f>
        <v>2603.5750982243972</v>
      </c>
      <c r="M29" s="131">
        <f>IF(SER_hh_emi_in!M29=0,0,1000000*SER_hh_emi_in!M29/SER_hh_num_in!M29)</f>
        <v>1495.9560354437372</v>
      </c>
      <c r="N29" s="131">
        <f>IF(SER_hh_emi_in!N29=0,0,1000000*SER_hh_emi_in!N29/SER_hh_num_in!N29)</f>
        <v>950.52637353038119</v>
      </c>
      <c r="O29" s="131">
        <f>IF(SER_hh_emi_in!O29=0,0,1000000*SER_hh_emi_in!O29/SER_hh_num_in!O29)</f>
        <v>2076.6124858554736</v>
      </c>
      <c r="P29" s="131">
        <f>IF(SER_hh_emi_in!P29=0,0,1000000*SER_hh_emi_in!P29/SER_hh_num_in!P29)</f>
        <v>2601.8832513947746</v>
      </c>
      <c r="Q29" s="131">
        <f>IF(SER_hh_emi_in!Q29=0,0,1000000*SER_hh_emi_in!Q29/SER_hh_num_in!Q29)</f>
        <v>2767.060592881895</v>
      </c>
      <c r="R29" s="131">
        <f>IF(SER_hh_emi_in!R29=0,0,1000000*SER_hh_emi_in!R29/SER_hh_num_in!R29)</f>
        <v>1439.0954234534702</v>
      </c>
      <c r="S29" s="131">
        <f>IF(SER_hh_emi_in!S29=0,0,1000000*SER_hh_emi_in!S29/SER_hh_num_in!S29)</f>
        <v>1717.5092549105195</v>
      </c>
      <c r="T29" s="131">
        <f>IF(SER_hh_emi_in!T29=0,0,1000000*SER_hh_emi_in!T29/SER_hh_num_in!T29)</f>
        <v>1590.3084634434995</v>
      </c>
      <c r="U29" s="131">
        <f>IF(SER_hh_emi_in!U29=0,0,1000000*SER_hh_emi_in!U29/SER_hh_num_in!U29)</f>
        <v>2637.6506883075604</v>
      </c>
      <c r="V29" s="131">
        <f>IF(SER_hh_emi_in!V29=0,0,1000000*SER_hh_emi_in!V29/SER_hh_num_in!V29)</f>
        <v>2399.8436911567696</v>
      </c>
      <c r="W29" s="131">
        <f>IF(SER_hh_emi_in!W29=0,0,1000000*SER_hh_emi_in!W29/SER_hh_num_in!W29)</f>
        <v>2623.3260440664781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2467.3595567474131</v>
      </c>
      <c r="D30" s="133">
        <f>IF(SER_hh_emi_in!D30=0,0,1000000*SER_hh_emi_in!D30/SER_hh_num_in!D30)</f>
        <v>6016.6429801178647</v>
      </c>
      <c r="E30" s="133">
        <f>IF(SER_hh_emi_in!E30=0,0,1000000*SER_hh_emi_in!E30/SER_hh_num_in!E30)</f>
        <v>5938.071487379847</v>
      </c>
      <c r="F30" s="133">
        <f>IF(SER_hh_emi_in!F30=0,0,1000000*SER_hh_emi_in!F30/SER_hh_num_in!F30)</f>
        <v>6506.6732701627061</v>
      </c>
      <c r="G30" s="133">
        <f>IF(SER_hh_emi_in!G30=0,0,1000000*SER_hh_emi_in!G30/SER_hh_num_in!G30)</f>
        <v>5355.7323260831763</v>
      </c>
      <c r="H30" s="133">
        <f>IF(SER_hh_emi_in!H30=0,0,1000000*SER_hh_emi_in!H30/SER_hh_num_in!H30)</f>
        <v>0</v>
      </c>
      <c r="I30" s="133">
        <f>IF(SER_hh_emi_in!I30=0,0,1000000*SER_hh_emi_in!I30/SER_hh_num_in!I30)</f>
        <v>5331.6565112673716</v>
      </c>
      <c r="J30" s="133">
        <f>IF(SER_hh_emi_in!J30=0,0,1000000*SER_hh_emi_in!J30/SER_hh_num_in!J30)</f>
        <v>5878.6477321228549</v>
      </c>
      <c r="K30" s="133">
        <f>IF(SER_hh_emi_in!K30=0,0,1000000*SER_hh_emi_in!K30/SER_hh_num_in!K30)</f>
        <v>5628.8230761291934</v>
      </c>
      <c r="L30" s="133">
        <f>IF(SER_hh_emi_in!L30=0,0,1000000*SER_hh_emi_in!L30/SER_hh_num_in!L30)</f>
        <v>6125.1626123945371</v>
      </c>
      <c r="M30" s="133">
        <f>IF(SER_hh_emi_in!M30=0,0,1000000*SER_hh_emi_in!M30/SER_hh_num_in!M30)</f>
        <v>6224.1630550410227</v>
      </c>
      <c r="N30" s="133">
        <f>IF(SER_hh_emi_in!N30=0,0,1000000*SER_hh_emi_in!N30/SER_hh_num_in!N30)</f>
        <v>5770.98291595712</v>
      </c>
      <c r="O30" s="133">
        <f>IF(SER_hh_emi_in!O30=0,0,1000000*SER_hh_emi_in!O30/SER_hh_num_in!O30)</f>
        <v>5413.0679003970399</v>
      </c>
      <c r="P30" s="133">
        <f>IF(SER_hh_emi_in!P30=0,0,1000000*SER_hh_emi_in!P30/SER_hh_num_in!P30)</f>
        <v>5677.109759749148</v>
      </c>
      <c r="Q30" s="133">
        <f>IF(SER_hh_emi_in!Q30=0,0,1000000*SER_hh_emi_in!Q30/SER_hh_num_in!Q30)</f>
        <v>6345.2126047100337</v>
      </c>
      <c r="R30" s="133">
        <f>IF(SER_hh_emi_in!R30=0,0,1000000*SER_hh_emi_in!R30/SER_hh_num_in!R30)</f>
        <v>5974.0229804121036</v>
      </c>
      <c r="S30" s="133">
        <f>IF(SER_hh_emi_in!S30=0,0,1000000*SER_hh_emi_in!S30/SER_hh_num_in!S30)</f>
        <v>6540.4345431117017</v>
      </c>
      <c r="T30" s="133">
        <f>IF(SER_hh_emi_in!T30=0,0,1000000*SER_hh_emi_in!T30/SER_hh_num_in!T30)</f>
        <v>5482.8149820667677</v>
      </c>
      <c r="U30" s="133">
        <f>IF(SER_hh_emi_in!U30=0,0,1000000*SER_hh_emi_in!U30/SER_hh_num_in!U30)</f>
        <v>6263.8494086136234</v>
      </c>
      <c r="V30" s="133">
        <f>IF(SER_hh_emi_in!V30=0,0,1000000*SER_hh_emi_in!V30/SER_hh_num_in!V30)</f>
        <v>5240.6595544695911</v>
      </c>
      <c r="W30" s="133">
        <f>IF(SER_hh_emi_in!W30=0,0,1000000*SER_hh_emi_in!W30/SER_hh_num_in!W30)</f>
        <v>5846.413943656913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4735.8415165945653</v>
      </c>
      <c r="D31" s="133">
        <f>IF(SER_hh_emi_in!D31=0,0,1000000*SER_hh_emi_in!D31/SER_hh_num_in!D31)</f>
        <v>4703.7696273122219</v>
      </c>
      <c r="E31" s="133">
        <f>IF(SER_hh_emi_in!E31=0,0,1000000*SER_hh_emi_in!E31/SER_hh_num_in!E31)</f>
        <v>4906.9860247832094</v>
      </c>
      <c r="F31" s="133">
        <f>IF(SER_hh_emi_in!F31=0,0,1000000*SER_hh_emi_in!F31/SER_hh_num_in!F31)</f>
        <v>5309.9944947572112</v>
      </c>
      <c r="G31" s="133">
        <f>IF(SER_hh_emi_in!G31=0,0,1000000*SER_hh_emi_in!G31/SER_hh_num_in!G31)</f>
        <v>0</v>
      </c>
      <c r="H31" s="133">
        <f>IF(SER_hh_emi_in!H31=0,0,1000000*SER_hh_emi_in!H31/SER_hh_num_in!H31)</f>
        <v>0</v>
      </c>
      <c r="I31" s="133">
        <f>IF(SER_hh_emi_in!I31=0,0,1000000*SER_hh_emi_in!I31/SER_hh_num_in!I31)</f>
        <v>4687.9627576277517</v>
      </c>
      <c r="J31" s="133">
        <f>IF(SER_hh_emi_in!J31=0,0,1000000*SER_hh_emi_in!J31/SER_hh_num_in!J31)</f>
        <v>4371.6104119208776</v>
      </c>
      <c r="K31" s="133">
        <f>IF(SER_hh_emi_in!K31=0,0,1000000*SER_hh_emi_in!K31/SER_hh_num_in!K31)</f>
        <v>5528.7699396139096</v>
      </c>
      <c r="L31" s="133">
        <f>IF(SER_hh_emi_in!L31=0,0,1000000*SER_hh_emi_in!L31/SER_hh_num_in!L31)</f>
        <v>5163.1201595313423</v>
      </c>
      <c r="M31" s="133">
        <f>IF(SER_hh_emi_in!M31=0,0,1000000*SER_hh_emi_in!M31/SER_hh_num_in!M31)</f>
        <v>5223.872753590822</v>
      </c>
      <c r="N31" s="133">
        <f>IF(SER_hh_emi_in!N31=0,0,1000000*SER_hh_emi_in!N31/SER_hh_num_in!N31)</f>
        <v>4872.7992422270945</v>
      </c>
      <c r="O31" s="133">
        <f>IF(SER_hh_emi_in!O31=0,0,1000000*SER_hh_emi_in!O31/SER_hh_num_in!O31)</f>
        <v>5124.2614784798216</v>
      </c>
      <c r="P31" s="133">
        <f>IF(SER_hh_emi_in!P31=0,0,1000000*SER_hh_emi_in!P31/SER_hh_num_in!P31)</f>
        <v>5344.1638469333757</v>
      </c>
      <c r="Q31" s="133">
        <f>IF(SER_hh_emi_in!Q31=0,0,1000000*SER_hh_emi_in!Q31/SER_hh_num_in!Q31)</f>
        <v>5473.599302876587</v>
      </c>
      <c r="R31" s="133">
        <f>IF(SER_hh_emi_in!R31=0,0,1000000*SER_hh_emi_in!R31/SER_hh_num_in!R31)</f>
        <v>5187.2358155247784</v>
      </c>
      <c r="S31" s="133">
        <f>IF(SER_hh_emi_in!S31=0,0,1000000*SER_hh_emi_in!S31/SER_hh_num_in!S31)</f>
        <v>5216.5460029708274</v>
      </c>
      <c r="T31" s="133">
        <f>IF(SER_hh_emi_in!T31=0,0,1000000*SER_hh_emi_in!T31/SER_hh_num_in!T31)</f>
        <v>5267.380596492404</v>
      </c>
      <c r="U31" s="133">
        <f>IF(SER_hh_emi_in!U31=0,0,1000000*SER_hh_emi_in!U31/SER_hh_num_in!U31)</f>
        <v>4977.5631811810999</v>
      </c>
      <c r="V31" s="133">
        <f>IF(SER_hh_emi_in!V31=0,0,1000000*SER_hh_emi_in!V31/SER_hh_num_in!V31)</f>
        <v>4367.9533018157026</v>
      </c>
      <c r="W31" s="133">
        <f>IF(SER_hh_emi_in!W31=0,0,1000000*SER_hh_emi_in!W31/SER_hh_num_in!W31)</f>
        <v>5837.8504893402142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215.34684341418404</v>
      </c>
      <c r="D3" s="126">
        <f>IF(SER_hh_fech_in!D3=0,0,SER_hh_fech_in!D3/SER_summary!D$27)</f>
        <v>206.19380508040899</v>
      </c>
      <c r="E3" s="126">
        <f>IF(SER_hh_fech_in!E3=0,0,SER_hh_fech_in!E3/SER_summary!E$27)</f>
        <v>228.30062174928815</v>
      </c>
      <c r="F3" s="126">
        <f>IF(SER_hh_fech_in!F3=0,0,SER_hh_fech_in!F3/SER_summary!F$27)</f>
        <v>211.51928210892194</v>
      </c>
      <c r="G3" s="126">
        <f>IF(SER_hh_fech_in!G3=0,0,SER_hh_fech_in!G3/SER_summary!G$27)</f>
        <v>209.47387748758959</v>
      </c>
      <c r="H3" s="126">
        <f>IF(SER_hh_fech_in!H3=0,0,SER_hh_fech_in!H3/SER_summary!H$27)</f>
        <v>193.84253903123627</v>
      </c>
      <c r="I3" s="126">
        <f>IF(SER_hh_fech_in!I3=0,0,SER_hh_fech_in!I3/SER_summary!I$27)</f>
        <v>185.95754318628479</v>
      </c>
      <c r="J3" s="126">
        <f>IF(SER_hh_fech_in!J3=0,0,SER_hh_fech_in!J3/SER_summary!J$27)</f>
        <v>182.94098061263742</v>
      </c>
      <c r="K3" s="126">
        <f>IF(SER_hh_fech_in!K3=0,0,SER_hh_fech_in!K3/SER_summary!K$27)</f>
        <v>191.92713991212568</v>
      </c>
      <c r="L3" s="126">
        <f>IF(SER_hh_fech_in!L3=0,0,SER_hh_fech_in!L3/SER_summary!L$27)</f>
        <v>188.28861791314424</v>
      </c>
      <c r="M3" s="126">
        <f>IF(SER_hh_fech_in!M3=0,0,SER_hh_fech_in!M3/SER_summary!M$27)</f>
        <v>149.47137550580274</v>
      </c>
      <c r="N3" s="126">
        <f>IF(SER_hh_fech_in!N3=0,0,SER_hh_fech_in!N3/SER_summary!N$27)</f>
        <v>160.18897353100093</v>
      </c>
      <c r="O3" s="126">
        <f>IF(SER_hh_fech_in!O3=0,0,SER_hh_fech_in!O3/SER_summary!O$27)</f>
        <v>164.09752824320023</v>
      </c>
      <c r="P3" s="126">
        <f>IF(SER_hh_fech_in!P3=0,0,SER_hh_fech_in!P3/SER_summary!P$27)</f>
        <v>137.83678795636169</v>
      </c>
      <c r="Q3" s="126">
        <f>IF(SER_hh_fech_in!Q3=0,0,SER_hh_fech_in!Q3/SER_summary!Q$27)</f>
        <v>135.67279540739116</v>
      </c>
      <c r="R3" s="126">
        <f>IF(SER_hh_fech_in!R3=0,0,SER_hh_fech_in!R3/SER_summary!R$27)</f>
        <v>130.01882482419379</v>
      </c>
      <c r="S3" s="126">
        <f>IF(SER_hh_fech_in!S3=0,0,SER_hh_fech_in!S3/SER_summary!S$27)</f>
        <v>127.98571996352678</v>
      </c>
      <c r="T3" s="126">
        <f>IF(SER_hh_fech_in!T3=0,0,SER_hh_fech_in!T3/SER_summary!T$27)</f>
        <v>122.37736867592609</v>
      </c>
      <c r="U3" s="126">
        <f>IF(SER_hh_fech_in!U3=0,0,SER_hh_fech_in!U3/SER_summary!U$27)</f>
        <v>114.42665240055943</v>
      </c>
      <c r="V3" s="126">
        <f>IF(SER_hh_fech_in!V3=0,0,SER_hh_fech_in!V3/SER_summary!V$27)</f>
        <v>100.00298082109759</v>
      </c>
      <c r="W3" s="126">
        <f>IF(SER_hh_fech_in!W3=0,0,SER_hh_fech_in!W3/SER_summary!W$27)</f>
        <v>96.076527398246611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155.83422360061809</v>
      </c>
      <c r="D4" s="131">
        <f>IF(SER_hh_fech_in!D4=0,0,SER_hh_fech_in!D4/SER_summary!D$27)</f>
        <v>142.35058487722094</v>
      </c>
      <c r="E4" s="131">
        <f>IF(SER_hh_fech_in!E4=0,0,SER_hh_fech_in!E4/SER_summary!E$27)</f>
        <v>160.85359595270975</v>
      </c>
      <c r="F4" s="131">
        <f>IF(SER_hh_fech_in!F4=0,0,SER_hh_fech_in!F4/SER_summary!F$27)</f>
        <v>155.90920678056773</v>
      </c>
      <c r="G4" s="131">
        <f>IF(SER_hh_fech_in!G4=0,0,SER_hh_fech_in!G4/SER_summary!G$27)</f>
        <v>153.15493382433422</v>
      </c>
      <c r="H4" s="131">
        <f>IF(SER_hh_fech_in!H4=0,0,SER_hh_fech_in!H4/SER_summary!H$27)</f>
        <v>137.21255052041897</v>
      </c>
      <c r="I4" s="131">
        <f>IF(SER_hh_fech_in!I4=0,0,SER_hh_fech_in!I4/SER_summary!I$27)</f>
        <v>131.19208458216158</v>
      </c>
      <c r="J4" s="131">
        <f>IF(SER_hh_fech_in!J4=0,0,SER_hh_fech_in!J4/SER_summary!J$27)</f>
        <v>126.92732824677574</v>
      </c>
      <c r="K4" s="131">
        <f>IF(SER_hh_fech_in!K4=0,0,SER_hh_fech_in!K4/SER_summary!K$27)</f>
        <v>132.49207625970081</v>
      </c>
      <c r="L4" s="131">
        <f>IF(SER_hh_fech_in!L4=0,0,SER_hh_fech_in!L4/SER_summary!L$27)</f>
        <v>132.12117863470672</v>
      </c>
      <c r="M4" s="131">
        <f>IF(SER_hh_fech_in!M4=0,0,SER_hh_fech_in!M4/SER_summary!M$27)</f>
        <v>95.255499620257666</v>
      </c>
      <c r="N4" s="131">
        <f>IF(SER_hh_fech_in!N4=0,0,SER_hh_fech_in!N4/SER_summary!N$27)</f>
        <v>106.85695043383257</v>
      </c>
      <c r="O4" s="131">
        <f>IF(SER_hh_fech_in!O4=0,0,SER_hh_fech_in!O4/SER_summary!O$27)</f>
        <v>109.92353896779053</v>
      </c>
      <c r="P4" s="131">
        <f>IF(SER_hh_fech_in!P4=0,0,SER_hh_fech_in!P4/SER_summary!P$27)</f>
        <v>84.933096740728047</v>
      </c>
      <c r="Q4" s="131">
        <f>IF(SER_hh_fech_in!Q4=0,0,SER_hh_fech_in!Q4/SER_summary!Q$27)</f>
        <v>82.099782462758895</v>
      </c>
      <c r="R4" s="131">
        <f>IF(SER_hh_fech_in!R4=0,0,SER_hh_fech_in!R4/SER_summary!R$27)</f>
        <v>79.625975990431314</v>
      </c>
      <c r="S4" s="131">
        <f>IF(SER_hh_fech_in!S4=0,0,SER_hh_fech_in!S4/SER_summary!S$27)</f>
        <v>78.152930687998648</v>
      </c>
      <c r="T4" s="131">
        <f>IF(SER_hh_fech_in!T4=0,0,SER_hh_fech_in!T4/SER_summary!T$27)</f>
        <v>73.151211118785</v>
      </c>
      <c r="U4" s="131">
        <f>IF(SER_hh_fech_in!U4=0,0,SER_hh_fech_in!U4/SER_summary!U$27)</f>
        <v>65.333273498563742</v>
      </c>
      <c r="V4" s="131">
        <f>IF(SER_hh_fech_in!V4=0,0,SER_hh_fech_in!V4/SER_summary!V$27)</f>
        <v>55.150398079190118</v>
      </c>
      <c r="W4" s="131">
        <f>IF(SER_hh_fech_in!W4=0,0,SER_hh_fech_in!W4/SER_summary!W$27)</f>
        <v>49.783859290834982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157.93886322449387</v>
      </c>
      <c r="G5" s="133">
        <f>IF(SER_hh_fech_in!G5=0,0,SER_hh_fech_in!G5/SER_summary!G$27)</f>
        <v>158.36703142010984</v>
      </c>
      <c r="H5" s="133">
        <f>IF(SER_hh_fech_in!H5=0,0,SER_hh_fech_in!H5/SER_summary!H$27)</f>
        <v>148.4579524411449</v>
      </c>
      <c r="I5" s="133">
        <f>IF(SER_hh_fech_in!I5=0,0,SER_hh_fech_in!I5/SER_summary!I$27)</f>
        <v>139.91841460845882</v>
      </c>
      <c r="J5" s="133">
        <f>IF(SER_hh_fech_in!J5=0,0,SER_hh_fech_in!J5/SER_summary!J$27)</f>
        <v>130.62987045898657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124.4525492449112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67.307272747105628</v>
      </c>
      <c r="V5" s="133">
        <f>IF(SER_hh_fech_in!V5=0,0,SER_hh_fech_in!V5/SER_summary!V$27)</f>
        <v>56.298165113619334</v>
      </c>
      <c r="W5" s="133">
        <f>IF(SER_hh_fech_in!W5=0,0,SER_hh_fech_in!W5/SER_summary!W$27)</f>
        <v>56.209145388597989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203.50739614917947</v>
      </c>
      <c r="D7" s="133">
        <f>IF(SER_hh_fech_in!D7=0,0,SER_hh_fech_in!D7/SER_summary!D$27)</f>
        <v>176.94987217947326</v>
      </c>
      <c r="E7" s="133">
        <f>IF(SER_hh_fech_in!E7=0,0,SER_hh_fech_in!E7/SER_summary!E$27)</f>
        <v>189.37299969138112</v>
      </c>
      <c r="F7" s="133">
        <f>IF(SER_hh_fech_in!F7=0,0,SER_hh_fech_in!F7/SER_summary!F$27)</f>
        <v>191.90252529201092</v>
      </c>
      <c r="G7" s="133">
        <f>IF(SER_hh_fech_in!G7=0,0,SER_hh_fech_in!G7/SER_summary!G$27)</f>
        <v>184.41357132757562</v>
      </c>
      <c r="H7" s="133">
        <f>IF(SER_hh_fech_in!H7=0,0,SER_hh_fech_in!H7/SER_summary!H$27)</f>
        <v>168.693600602694</v>
      </c>
      <c r="I7" s="133">
        <f>IF(SER_hh_fech_in!I7=0,0,SER_hh_fech_in!I7/SER_summary!I$27)</f>
        <v>143.70694747524809</v>
      </c>
      <c r="J7" s="133">
        <f>IF(SER_hh_fech_in!J7=0,0,SER_hh_fech_in!J7/SER_summary!J$27)</f>
        <v>168.33717968337118</v>
      </c>
      <c r="K7" s="133">
        <f>IF(SER_hh_fech_in!K7=0,0,SER_hh_fech_in!K7/SER_summary!K$27)</f>
        <v>161.87562833812393</v>
      </c>
      <c r="L7" s="133">
        <f>IF(SER_hh_fech_in!L7=0,0,SER_hh_fech_in!L7/SER_summary!L$27)</f>
        <v>153.17453017012139</v>
      </c>
      <c r="M7" s="133">
        <f>IF(SER_hh_fech_in!M7=0,0,SER_hh_fech_in!M7/SER_summary!M$27)</f>
        <v>128.80292071070281</v>
      </c>
      <c r="N7" s="133">
        <f>IF(SER_hh_fech_in!N7=0,0,SER_hh_fech_in!N7/SER_summary!N$27)</f>
        <v>129.95149455023991</v>
      </c>
      <c r="O7" s="133">
        <f>IF(SER_hh_fech_in!O7=0,0,SER_hh_fech_in!O7/SER_summary!O$27)</f>
        <v>128.02725622447886</v>
      </c>
      <c r="P7" s="133">
        <f>IF(SER_hh_fech_in!P7=0,0,SER_hh_fech_in!P7/SER_summary!P$27)</f>
        <v>104.60376407804617</v>
      </c>
      <c r="Q7" s="133">
        <f>IF(SER_hh_fech_in!Q7=0,0,SER_hh_fech_in!Q7/SER_summary!Q$27)</f>
        <v>102.17533782455595</v>
      </c>
      <c r="R7" s="133">
        <f>IF(SER_hh_fech_in!R7=0,0,SER_hh_fech_in!R7/SER_summary!R$27)</f>
        <v>89.012597685717168</v>
      </c>
      <c r="S7" s="133">
        <f>IF(SER_hh_fech_in!S7=0,0,SER_hh_fech_in!S7/SER_summary!S$27)</f>
        <v>89.493406246174729</v>
      </c>
      <c r="T7" s="133">
        <f>IF(SER_hh_fech_in!T7=0,0,SER_hh_fech_in!T7/SER_summary!T$27)</f>
        <v>81.629658941336046</v>
      </c>
      <c r="U7" s="133">
        <f>IF(SER_hh_fech_in!U7=0,0,SER_hh_fech_in!U7/SER_summary!U$27)</f>
        <v>74.217201835574926</v>
      </c>
      <c r="V7" s="133">
        <f>IF(SER_hh_fech_in!V7=0,0,SER_hh_fech_in!V7/SER_summary!V$27)</f>
        <v>64.69663855826262</v>
      </c>
      <c r="W7" s="133">
        <f>IF(SER_hh_fech_in!W7=0,0,SER_hh_fech_in!W7/SER_summary!W$27)</f>
        <v>55.760999663359335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84.480791812279506</v>
      </c>
      <c r="D8" s="133">
        <f>IF(SER_hh_fech_in!D8=0,0,SER_hh_fech_in!D8/SER_summary!D$27)</f>
        <v>67.008508148321866</v>
      </c>
      <c r="E8" s="133">
        <f>IF(SER_hh_fech_in!E8=0,0,SER_hh_fech_in!E8/SER_summary!E$27)</f>
        <v>69.261919507059929</v>
      </c>
      <c r="F8" s="133">
        <f>IF(SER_hh_fech_in!F8=0,0,SER_hh_fech_in!F8/SER_summary!F$27)</f>
        <v>61.657656808006053</v>
      </c>
      <c r="G8" s="133">
        <f>IF(SER_hh_fech_in!G8=0,0,SER_hh_fech_in!G8/SER_summary!G$27)</f>
        <v>77.528296006297253</v>
      </c>
      <c r="H8" s="133">
        <f>IF(SER_hh_fech_in!H8=0,0,SER_hh_fech_in!H8/SER_summary!H$27)</f>
        <v>64.815580492787262</v>
      </c>
      <c r="I8" s="133">
        <f>IF(SER_hh_fech_in!I8=0,0,SER_hh_fech_in!I8/SER_summary!I$27)</f>
        <v>60.777084261169001</v>
      </c>
      <c r="J8" s="133">
        <f>IF(SER_hh_fech_in!J8=0,0,SER_hh_fech_in!J8/SER_summary!J$27)</f>
        <v>58.903477138218726</v>
      </c>
      <c r="K8" s="133">
        <f>IF(SER_hh_fech_in!K8=0,0,SER_hh_fech_in!K8/SER_summary!K$27)</f>
        <v>43.60420952603765</v>
      </c>
      <c r="L8" s="133">
        <f>IF(SER_hh_fech_in!L8=0,0,SER_hh_fech_in!L8/SER_summary!L$27)</f>
        <v>34.955369141538078</v>
      </c>
      <c r="M8" s="133">
        <f>IF(SER_hh_fech_in!M8=0,0,SER_hh_fech_in!M8/SER_summary!M$27)</f>
        <v>45.452949623807626</v>
      </c>
      <c r="N8" s="133">
        <f>IF(SER_hh_fech_in!N8=0,0,SER_hh_fech_in!N8/SER_summary!N$27)</f>
        <v>38.494521378549436</v>
      </c>
      <c r="O8" s="133">
        <f>IF(SER_hh_fech_in!O8=0,0,SER_hh_fech_in!O8/SER_summary!O$27)</f>
        <v>38.609929233127907</v>
      </c>
      <c r="P8" s="133">
        <f>IF(SER_hh_fech_in!P8=0,0,SER_hh_fech_in!P8/SER_summary!P$27)</f>
        <v>31.037572904469133</v>
      </c>
      <c r="Q8" s="133">
        <f>IF(SER_hh_fech_in!Q8=0,0,SER_hh_fech_in!Q8/SER_summary!Q$27)</f>
        <v>30.65550810220665</v>
      </c>
      <c r="R8" s="133">
        <f>IF(SER_hh_fech_in!R8=0,0,SER_hh_fech_in!R8/SER_summary!R$27)</f>
        <v>28.945853424549547</v>
      </c>
      <c r="S8" s="133">
        <f>IF(SER_hh_fech_in!S8=0,0,SER_hh_fech_in!S8/SER_summary!S$27)</f>
        <v>26.724286067933949</v>
      </c>
      <c r="T8" s="133">
        <f>IF(SER_hh_fech_in!T8=0,0,SER_hh_fech_in!T8/SER_summary!T$27)</f>
        <v>24.919047180822119</v>
      </c>
      <c r="U8" s="133">
        <f>IF(SER_hh_fech_in!U8=0,0,SER_hh_fech_in!U8/SER_summary!U$27)</f>
        <v>22.830934382660129</v>
      </c>
      <c r="V8" s="133">
        <f>IF(SER_hh_fech_in!V8=0,0,SER_hh_fech_in!V8/SER_summary!V$27)</f>
        <v>18.209999778284391</v>
      </c>
      <c r="W8" s="133">
        <f>IF(SER_hh_fech_in!W8=0,0,SER_hh_fech_in!W8/SER_summary!W$27)</f>
        <v>17.188365597155602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172.58903663790474</v>
      </c>
      <c r="D9" s="133">
        <f>IF(SER_hh_fech_in!D9=0,0,SER_hh_fech_in!D9/SER_summary!D$27)</f>
        <v>139.57037823053693</v>
      </c>
      <c r="E9" s="133">
        <f>IF(SER_hh_fech_in!E9=0,0,SER_hh_fech_in!E9/SER_summary!E$27)</f>
        <v>172.47030140167683</v>
      </c>
      <c r="F9" s="133">
        <f>IF(SER_hh_fech_in!F9=0,0,SER_hh_fech_in!F9/SER_summary!F$27)</f>
        <v>167.37086867867998</v>
      </c>
      <c r="G9" s="133">
        <f>IF(SER_hh_fech_in!G9=0,0,SER_hh_fech_in!G9/SER_summary!G$27)</f>
        <v>166.94351835035206</v>
      </c>
      <c r="H9" s="133">
        <f>IF(SER_hh_fech_in!H9=0,0,SER_hh_fech_in!H9/SER_summary!H$27)</f>
        <v>141.06028464719589</v>
      </c>
      <c r="I9" s="133">
        <f>IF(SER_hh_fech_in!I9=0,0,SER_hh_fech_in!I9/SER_summary!I$27)</f>
        <v>137.5178383848162</v>
      </c>
      <c r="J9" s="133">
        <f>IF(SER_hh_fech_in!J9=0,0,SER_hh_fech_in!J9/SER_summary!J$27)</f>
        <v>117.82208984070375</v>
      </c>
      <c r="K9" s="133">
        <f>IF(SER_hh_fech_in!K9=0,0,SER_hh_fech_in!K9/SER_summary!K$27)</f>
        <v>137.85919839784228</v>
      </c>
      <c r="L9" s="133">
        <f>IF(SER_hh_fech_in!L9=0,0,SER_hh_fech_in!L9/SER_summary!L$27)</f>
        <v>149.49129337610404</v>
      </c>
      <c r="M9" s="133">
        <f>IF(SER_hh_fech_in!M9=0,0,SER_hh_fech_in!M9/SER_summary!M$27)</f>
        <v>102.16405747818459</v>
      </c>
      <c r="N9" s="133">
        <f>IF(SER_hh_fech_in!N9=0,0,SER_hh_fech_in!N9/SER_summary!N$27)</f>
        <v>115.99313150363712</v>
      </c>
      <c r="O9" s="133">
        <f>IF(SER_hh_fech_in!O9=0,0,SER_hh_fech_in!O9/SER_summary!O$27)</f>
        <v>116.64838852583792</v>
      </c>
      <c r="P9" s="133">
        <f>IF(SER_hh_fech_in!P9=0,0,SER_hh_fech_in!P9/SER_summary!P$27)</f>
        <v>88.342009000700017</v>
      </c>
      <c r="Q9" s="133">
        <f>IF(SER_hh_fech_in!Q9=0,0,SER_hh_fech_in!Q9/SER_summary!Q$27)</f>
        <v>88.563761548132462</v>
      </c>
      <c r="R9" s="133">
        <f>IF(SER_hh_fech_in!R9=0,0,SER_hh_fech_in!R9/SER_summary!R$27)</f>
        <v>83.71510787115318</v>
      </c>
      <c r="S9" s="133">
        <f>IF(SER_hh_fech_in!S9=0,0,SER_hh_fech_in!S9/SER_summary!S$27)</f>
        <v>80.304162532981778</v>
      </c>
      <c r="T9" s="133">
        <f>IF(SER_hh_fech_in!T9=0,0,SER_hh_fech_in!T9/SER_summary!T$27)</f>
        <v>76.755058055302186</v>
      </c>
      <c r="U9" s="133">
        <f>IF(SER_hh_fech_in!U9=0,0,SER_hh_fech_in!U9/SER_summary!U$27)</f>
        <v>68.587166233375058</v>
      </c>
      <c r="V9" s="133">
        <f>IF(SER_hh_fech_in!V9=0,0,SER_hh_fech_in!V9/SER_summary!V$27)</f>
        <v>57.042324169133508</v>
      </c>
      <c r="W9" s="133">
        <f>IF(SER_hh_fech_in!W9=0,0,SER_hh_fech_in!W9/SER_summary!W$27)</f>
        <v>50.748733762200736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179.66261463823474</v>
      </c>
      <c r="D10" s="133">
        <f>IF(SER_hh_fech_in!D10=0,0,SER_hh_fech_in!D10/SER_summary!D$27)</f>
        <v>182.40100466484051</v>
      </c>
      <c r="E10" s="133">
        <f>IF(SER_hh_fech_in!E10=0,0,SER_hh_fech_in!E10/SER_summary!E$27)</f>
        <v>202.22386580847964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164.93656328063952</v>
      </c>
      <c r="J10" s="133">
        <f>IF(SER_hh_fech_in!J10=0,0,SER_hh_fech_in!J10/SER_summary!J$27)</f>
        <v>157.20974357021566</v>
      </c>
      <c r="K10" s="133">
        <f>IF(SER_hh_fech_in!K10=0,0,SER_hh_fech_in!K10/SER_summary!K$27)</f>
        <v>198.22964880894995</v>
      </c>
      <c r="L10" s="133">
        <f>IF(SER_hh_fech_in!L10=0,0,SER_hh_fech_in!L10/SER_summary!L$27)</f>
        <v>170.5210694148322</v>
      </c>
      <c r="M10" s="133">
        <f>IF(SER_hh_fech_in!M10=0,0,SER_hh_fech_in!M10/SER_summary!M$27)</f>
        <v>113.00491458510334</v>
      </c>
      <c r="N10" s="133">
        <f>IF(SER_hh_fech_in!N10=0,0,SER_hh_fech_in!N10/SER_summary!N$27)</f>
        <v>132.29656278143202</v>
      </c>
      <c r="O10" s="133">
        <f>IF(SER_hh_fech_in!O10=0,0,SER_hh_fech_in!O10/SER_summary!O$27)</f>
        <v>161.31794838054483</v>
      </c>
      <c r="P10" s="133">
        <f>IF(SER_hh_fech_in!P10=0,0,SER_hh_fech_in!P10/SER_summary!P$27)</f>
        <v>127.71310329030464</v>
      </c>
      <c r="Q10" s="133">
        <f>IF(SER_hh_fech_in!Q10=0,0,SER_hh_fech_in!Q10/SER_summary!Q$27)</f>
        <v>113.91929508280094</v>
      </c>
      <c r="R10" s="133">
        <f>IF(SER_hh_fech_in!R10=0,0,SER_hh_fech_in!R10/SER_summary!R$27)</f>
        <v>119.22510837149824</v>
      </c>
      <c r="S10" s="133">
        <f>IF(SER_hh_fech_in!S10=0,0,SER_hh_fech_in!S10/SER_summary!S$27)</f>
        <v>116.55568221967953</v>
      </c>
      <c r="T10" s="133">
        <f>IF(SER_hh_fech_in!T10=0,0,SER_hh_fech_in!T10/SER_summary!T$27)</f>
        <v>99.795651438799638</v>
      </c>
      <c r="U10" s="133">
        <f>IF(SER_hh_fech_in!U10=0,0,SER_hh_fech_in!U10/SER_summary!U$27)</f>
        <v>90.735601303245431</v>
      </c>
      <c r="V10" s="133">
        <f>IF(SER_hh_fech_in!V10=0,0,SER_hh_fech_in!V10/SER_summary!V$27)</f>
        <v>80.869881489155404</v>
      </c>
      <c r="W10" s="133">
        <f>IF(SER_hh_fech_in!W10=0,0,SER_hh_fech_in!W10/SER_summary!W$27)</f>
        <v>76.144570526033604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265.92529975903705</v>
      </c>
      <c r="E11" s="133">
        <f>IF(SER_hh_fech_in!E11=0,0,SER_hh_fech_in!E11/SER_summary!E$27)</f>
        <v>232.98394065163504</v>
      </c>
      <c r="F11" s="133">
        <f>IF(SER_hh_fech_in!F11=0,0,SER_hh_fech_in!F11/SER_summary!F$27)</f>
        <v>228.09291542476666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102.28254090278219</v>
      </c>
      <c r="L11" s="133">
        <f>IF(SER_hh_fech_in!L11=0,0,SER_hh_fech_in!L11/SER_summary!L$27)</f>
        <v>95.819709044073832</v>
      </c>
      <c r="M11" s="133">
        <f>IF(SER_hh_fech_in!M11=0,0,SER_hh_fech_in!M11/SER_summary!M$27)</f>
        <v>101.52203223045508</v>
      </c>
      <c r="N11" s="133">
        <f>IF(SER_hh_fech_in!N11=0,0,SER_hh_fech_in!N11/SER_summary!N$27)</f>
        <v>94.967687429318943</v>
      </c>
      <c r="O11" s="133">
        <f>IF(SER_hh_fech_in!O11=0,0,SER_hh_fech_in!O11/SER_summary!O$27)</f>
        <v>89.677294405223819</v>
      </c>
      <c r="P11" s="133">
        <f>IF(SER_hh_fech_in!P11=0,0,SER_hh_fech_in!P11/SER_summary!P$27)</f>
        <v>80.438008674253979</v>
      </c>
      <c r="Q11" s="133">
        <f>IF(SER_hh_fech_in!Q11=0,0,SER_hh_fech_in!Q11/SER_summary!Q$27)</f>
        <v>77.496431822677323</v>
      </c>
      <c r="R11" s="133">
        <f>IF(SER_hh_fech_in!R11=0,0,SER_hh_fech_in!R11/SER_summary!R$27)</f>
        <v>74.521393416805438</v>
      </c>
      <c r="S11" s="133">
        <f>IF(SER_hh_fech_in!S11=0,0,SER_hh_fech_in!S11/SER_summary!S$27)</f>
        <v>71.776618282778045</v>
      </c>
      <c r="T11" s="133">
        <f>IF(SER_hh_fech_in!T11=0,0,SER_hh_fech_in!T11/SER_summary!T$27)</f>
        <v>67.740791094647804</v>
      </c>
      <c r="U11" s="133">
        <f>IF(SER_hh_fech_in!U11=0,0,SER_hh_fech_in!U11/SER_summary!U$27)</f>
        <v>61.32040307653088</v>
      </c>
      <c r="V11" s="133">
        <f>IF(SER_hh_fech_in!V11=0,0,SER_hh_fech_in!V11/SER_summary!V$27)</f>
        <v>53.987321532911459</v>
      </c>
      <c r="W11" s="133">
        <f>IF(SER_hh_fech_in!W11=0,0,SER_hh_fech_in!W11/SER_summary!W$27)</f>
        <v>43.157900315427284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129.02715386287278</v>
      </c>
      <c r="D12" s="133">
        <f>IF(SER_hh_fech_in!D12=0,0,SER_hh_fech_in!D12/SER_summary!D$27)</f>
        <v>128.60236334611696</v>
      </c>
      <c r="E12" s="133">
        <f>IF(SER_hh_fech_in!E12=0,0,SER_hh_fech_in!E12/SER_summary!E$27)</f>
        <v>124.01489285313944</v>
      </c>
      <c r="F12" s="133">
        <f>IF(SER_hh_fech_in!F12=0,0,SER_hh_fech_in!F12/SER_summary!F$27)</f>
        <v>125.09076940899698</v>
      </c>
      <c r="G12" s="133">
        <f>IF(SER_hh_fech_in!G12=0,0,SER_hh_fech_in!G12/SER_summary!G$27)</f>
        <v>133.74991971304618</v>
      </c>
      <c r="H12" s="133">
        <f>IF(SER_hh_fech_in!H12=0,0,SER_hh_fech_in!H12/SER_summary!H$27)</f>
        <v>0</v>
      </c>
      <c r="I12" s="133">
        <f>IF(SER_hh_fech_in!I12=0,0,SER_hh_fech_in!I12/SER_summary!I$27)</f>
        <v>0</v>
      </c>
      <c r="J12" s="133">
        <f>IF(SER_hh_fech_in!J12=0,0,SER_hh_fech_in!J12/SER_summary!J$27)</f>
        <v>0</v>
      </c>
      <c r="K12" s="133">
        <f>IF(SER_hh_fech_in!K12=0,0,SER_hh_fech_in!K12/SER_summary!K$27)</f>
        <v>0</v>
      </c>
      <c r="L12" s="133">
        <f>IF(SER_hh_fech_in!L12=0,0,SER_hh_fech_in!L12/SER_summary!L$27)</f>
        <v>113.42546576296273</v>
      </c>
      <c r="M12" s="133">
        <f>IF(SER_hh_fech_in!M12=0,0,SER_hh_fech_in!M12/SER_summary!M$27)</f>
        <v>93.988882831822167</v>
      </c>
      <c r="N12" s="133">
        <f>IF(SER_hh_fech_in!N12=0,0,SER_hh_fech_in!N12/SER_summary!N$27)</f>
        <v>92.027696557047634</v>
      </c>
      <c r="O12" s="133">
        <f>IF(SER_hh_fech_in!O12=0,0,SER_hh_fech_in!O12/SER_summary!O$27)</f>
        <v>92.764011522935064</v>
      </c>
      <c r="P12" s="133">
        <f>IF(SER_hh_fech_in!P12=0,0,SER_hh_fech_in!P12/SER_summary!P$27)</f>
        <v>80.030702296778742</v>
      </c>
      <c r="Q12" s="133">
        <f>IF(SER_hh_fech_in!Q12=0,0,SER_hh_fech_in!Q12/SER_summary!Q$27)</f>
        <v>78.247083740680353</v>
      </c>
      <c r="R12" s="133">
        <f>IF(SER_hh_fech_in!R12=0,0,SER_hh_fech_in!R12/SER_summary!R$27)</f>
        <v>78.213094623923496</v>
      </c>
      <c r="S12" s="133">
        <f>IF(SER_hh_fech_in!S12=0,0,SER_hh_fech_in!S12/SER_summary!S$27)</f>
        <v>74.446392015997816</v>
      </c>
      <c r="T12" s="133">
        <f>IF(SER_hh_fech_in!T12=0,0,SER_hh_fech_in!T12/SER_summary!T$27)</f>
        <v>66.324950669593974</v>
      </c>
      <c r="U12" s="133">
        <f>IF(SER_hh_fech_in!U12=0,0,SER_hh_fech_in!U12/SER_summary!U$27)</f>
        <v>59.513577255011739</v>
      </c>
      <c r="V12" s="133">
        <f>IF(SER_hh_fech_in!V12=0,0,SER_hh_fech_in!V12/SER_summary!V$27)</f>
        <v>52.543328019787779</v>
      </c>
      <c r="W12" s="133">
        <f>IF(SER_hh_fech_in!W12=0,0,SER_hh_fech_in!W12/SER_summary!W$27)</f>
        <v>47.438136137433339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64.602389482602049</v>
      </c>
      <c r="D13" s="133">
        <f>IF(SER_hh_fech_in!D13=0,0,SER_hh_fech_in!D13/SER_summary!D$27)</f>
        <v>62.50625047770113</v>
      </c>
      <c r="E13" s="133">
        <f>IF(SER_hh_fech_in!E13=0,0,SER_hh_fech_in!E13/SER_summary!E$27)</f>
        <v>58.765214188556307</v>
      </c>
      <c r="F13" s="133">
        <f>IF(SER_hh_fech_in!F13=0,0,SER_hh_fech_in!F13/SER_summary!F$27)</f>
        <v>54.477446196300797</v>
      </c>
      <c r="G13" s="133">
        <f>IF(SER_hh_fech_in!G13=0,0,SER_hh_fech_in!G13/SER_summary!G$27)</f>
        <v>52.039831162554144</v>
      </c>
      <c r="H13" s="133">
        <f>IF(SER_hh_fech_in!H13=0,0,SER_hh_fech_in!H13/SER_summary!H$27)</f>
        <v>45.653977953670783</v>
      </c>
      <c r="I13" s="133">
        <f>IF(SER_hh_fech_in!I13=0,0,SER_hh_fech_in!I13/SER_summary!I$27)</f>
        <v>39.336159695181443</v>
      </c>
      <c r="J13" s="133">
        <f>IF(SER_hh_fech_in!J13=0,0,SER_hh_fech_in!J13/SER_summary!J$27)</f>
        <v>38.539587811406648</v>
      </c>
      <c r="K13" s="133">
        <f>IF(SER_hh_fech_in!K13=0,0,SER_hh_fech_in!K13/SER_summary!K$27)</f>
        <v>34.287807679102272</v>
      </c>
      <c r="L13" s="133">
        <f>IF(SER_hh_fech_in!L13=0,0,SER_hh_fech_in!L13/SER_summary!L$27)</f>
        <v>29.158619509135267</v>
      </c>
      <c r="M13" s="133">
        <f>IF(SER_hh_fech_in!M13=0,0,SER_hh_fech_in!M13/SER_summary!M$27)</f>
        <v>31.261579977454097</v>
      </c>
      <c r="N13" s="133">
        <f>IF(SER_hh_fech_in!N13=0,0,SER_hh_fech_in!N13/SER_summary!N$27)</f>
        <v>29.250174975698165</v>
      </c>
      <c r="O13" s="133">
        <f>IF(SER_hh_fech_in!O13=0,0,SER_hh_fech_in!O13/SER_summary!O$27)</f>
        <v>27.178479184554799</v>
      </c>
      <c r="P13" s="133">
        <f>IF(SER_hh_fech_in!P13=0,0,SER_hh_fech_in!P13/SER_summary!P$27)</f>
        <v>20.363955423012381</v>
      </c>
      <c r="Q13" s="133">
        <f>IF(SER_hh_fech_in!Q13=0,0,SER_hh_fech_in!Q13/SER_summary!Q$27)</f>
        <v>19.425409677812148</v>
      </c>
      <c r="R13" s="133">
        <f>IF(SER_hh_fech_in!R13=0,0,SER_hh_fech_in!R13/SER_summary!R$27)</f>
        <v>19.538201094353283</v>
      </c>
      <c r="S13" s="133">
        <f>IF(SER_hh_fech_in!S13=0,0,SER_hh_fech_in!S13/SER_summary!S$27)</f>
        <v>17.611298207777462</v>
      </c>
      <c r="T13" s="133">
        <f>IF(SER_hh_fech_in!T13=0,0,SER_hh_fech_in!T13/SER_summary!T$27)</f>
        <v>15.265323261694938</v>
      </c>
      <c r="U13" s="133">
        <f>IF(SER_hh_fech_in!U13=0,0,SER_hh_fech_in!U13/SER_summary!U$27)</f>
        <v>14.35384662257402</v>
      </c>
      <c r="V13" s="133">
        <f>IF(SER_hh_fech_in!V13=0,0,SER_hh_fech_in!V13/SER_summary!V$27)</f>
        <v>12.266491735472963</v>
      </c>
      <c r="W13" s="133">
        <f>IF(SER_hh_fech_in!W13=0,0,SER_hh_fech_in!W13/SER_summary!W$27)</f>
        <v>11.652253264077544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139.08869178162064</v>
      </c>
      <c r="D14" s="65">
        <f>IF(SER_hh_fech_in!D14=0,0,SER_hh_fech_in!D14/SER_summary!D$27)</f>
        <v>134.53568725889517</v>
      </c>
      <c r="E14" s="65">
        <f>IF(SER_hh_fech_in!E14=0,0,SER_hh_fech_in!E14/SER_summary!E$27)</f>
        <v>137.71298735493619</v>
      </c>
      <c r="F14" s="65">
        <f>IF(SER_hh_fech_in!F14=0,0,SER_hh_fech_in!F14/SER_summary!F$27)</f>
        <v>143.72353593812545</v>
      </c>
      <c r="G14" s="65">
        <f>IF(SER_hh_fech_in!G14=0,0,SER_hh_fech_in!G14/SER_summary!G$27)</f>
        <v>132.55649800185446</v>
      </c>
      <c r="H14" s="65">
        <f>IF(SER_hh_fech_in!H14=0,0,SER_hh_fech_in!H14/SER_summary!H$27)</f>
        <v>126.43440700993959</v>
      </c>
      <c r="I14" s="65">
        <f>IF(SER_hh_fech_in!I14=0,0,SER_hh_fech_in!I14/SER_summary!I$27)</f>
        <v>122.55762598136107</v>
      </c>
      <c r="J14" s="65">
        <f>IF(SER_hh_fech_in!J14=0,0,SER_hh_fech_in!J14/SER_summary!J$27)</f>
        <v>110.43826014024545</v>
      </c>
      <c r="K14" s="65">
        <f>IF(SER_hh_fech_in!K14=0,0,SER_hh_fech_in!K14/SER_summary!K$27)</f>
        <v>118.61668920040528</v>
      </c>
      <c r="L14" s="65">
        <f>IF(SER_hh_fech_in!L14=0,0,SER_hh_fech_in!L14/SER_summary!L$27)</f>
        <v>130.0558445757724</v>
      </c>
      <c r="M14" s="65">
        <f>IF(SER_hh_fech_in!M14=0,0,SER_hh_fech_in!M14/SER_summary!M$27)</f>
        <v>98.965132658366699</v>
      </c>
      <c r="N14" s="65">
        <f>IF(SER_hh_fech_in!N14=0,0,SER_hh_fech_in!N14/SER_summary!N$27)</f>
        <v>105.63474322877788</v>
      </c>
      <c r="O14" s="65">
        <f>IF(SER_hh_fech_in!O14=0,0,SER_hh_fech_in!O14/SER_summary!O$27)</f>
        <v>103.53156408282896</v>
      </c>
      <c r="P14" s="65">
        <f>IF(SER_hh_fech_in!P14=0,0,SER_hh_fech_in!P14/SER_summary!P$27)</f>
        <v>82.560843225586908</v>
      </c>
      <c r="Q14" s="65">
        <f>IF(SER_hh_fech_in!Q14=0,0,SER_hh_fech_in!Q14/SER_summary!Q$27)</f>
        <v>84.413634982550974</v>
      </c>
      <c r="R14" s="65">
        <f>IF(SER_hh_fech_in!R14=0,0,SER_hh_fech_in!R14/SER_summary!R$27)</f>
        <v>80.418666450156707</v>
      </c>
      <c r="S14" s="65">
        <f>IF(SER_hh_fech_in!S14=0,0,SER_hh_fech_in!S14/SER_summary!S$27)</f>
        <v>75.208685611970012</v>
      </c>
      <c r="T14" s="65">
        <f>IF(SER_hh_fech_in!T14=0,0,SER_hh_fech_in!T14/SER_summary!T$27)</f>
        <v>69.531202460537742</v>
      </c>
      <c r="U14" s="65">
        <f>IF(SER_hh_fech_in!U14=0,0,SER_hh_fech_in!U14/SER_summary!U$27)</f>
        <v>61.302201317969065</v>
      </c>
      <c r="V14" s="65">
        <f>IF(SER_hh_fech_in!V14=0,0,SER_hh_fech_in!V14/SER_summary!V$27)</f>
        <v>49.691275845183867</v>
      </c>
      <c r="W14" s="65">
        <f>IF(SER_hh_fech_in!W14=0,0,SER_hh_fech_in!W14/SER_summary!W$27)</f>
        <v>50.18344261519664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1.4251981478767128</v>
      </c>
      <c r="D15" s="135">
        <f>IF(SER_hh_fech_in!D15=0,0,SER_hh_fech_in!D15/SER_summary!D$27)</f>
        <v>1.3208639980730759</v>
      </c>
      <c r="E15" s="135">
        <f>IF(SER_hh_fech_in!E15=0,0,SER_hh_fech_in!E15/SER_summary!E$27)</f>
        <v>1.7923588539946951</v>
      </c>
      <c r="F15" s="135">
        <f>IF(SER_hh_fech_in!F15=0,0,SER_hh_fech_in!F15/SER_summary!F$27)</f>
        <v>1.7357659669582188</v>
      </c>
      <c r="G15" s="135">
        <f>IF(SER_hh_fech_in!G15=0,0,SER_hh_fech_in!G15/SER_summary!G$27)</f>
        <v>1.7945588245802584</v>
      </c>
      <c r="H15" s="135">
        <f>IF(SER_hh_fech_in!H15=0,0,SER_hh_fech_in!H15/SER_summary!H$27)</f>
        <v>1.6200811702290832</v>
      </c>
      <c r="I15" s="135">
        <f>IF(SER_hh_fech_in!I15=0,0,SER_hh_fech_in!I15/SER_summary!I$27)</f>
        <v>1.494085829460515</v>
      </c>
      <c r="J15" s="135">
        <f>IF(SER_hh_fech_in!J15=0,0,SER_hh_fech_in!J15/SER_summary!J$27)</f>
        <v>1.4239188135830512</v>
      </c>
      <c r="K15" s="135">
        <f>IF(SER_hh_fech_in!K15=0,0,SER_hh_fech_in!K15/SER_summary!K$27)</f>
        <v>1.5682393528322904</v>
      </c>
      <c r="L15" s="135">
        <f>IF(SER_hh_fech_in!L15=0,0,SER_hh_fech_in!L15/SER_summary!L$27)</f>
        <v>1.5722193434281906</v>
      </c>
      <c r="M15" s="135">
        <f>IF(SER_hh_fech_in!M15=0,0,SER_hh_fech_in!M15/SER_summary!M$27)</f>
        <v>1.081406533663811</v>
      </c>
      <c r="N15" s="135">
        <f>IF(SER_hh_fech_in!N15=0,0,SER_hh_fech_in!N15/SER_summary!N$27)</f>
        <v>1.1859019292954198</v>
      </c>
      <c r="O15" s="135">
        <f>IF(SER_hh_fech_in!O15=0,0,SER_hh_fech_in!O15/SER_summary!O$27)</f>
        <v>1.1709780225090445</v>
      </c>
      <c r="P15" s="135">
        <f>IF(SER_hh_fech_in!P15=0,0,SER_hh_fech_in!P15/SER_summary!P$27)</f>
        <v>0.89709753016709415</v>
      </c>
      <c r="Q15" s="135">
        <f>IF(SER_hh_fech_in!Q15=0,0,SER_hh_fech_in!Q15/SER_summary!Q$27)</f>
        <v>0.84181950093122992</v>
      </c>
      <c r="R15" s="135">
        <f>IF(SER_hh_fech_in!R15=0,0,SER_hh_fech_in!R15/SER_summary!R$27)</f>
        <v>0.85276652449250467</v>
      </c>
      <c r="S15" s="135">
        <f>IF(SER_hh_fech_in!S15=0,0,SER_hh_fech_in!S15/SER_summary!S$27)</f>
        <v>0.87317698720436054</v>
      </c>
      <c r="T15" s="135">
        <f>IF(SER_hh_fech_in!T15=0,0,SER_hh_fech_in!T15/SER_summary!T$27)</f>
        <v>0.86280347299798965</v>
      </c>
      <c r="U15" s="135">
        <f>IF(SER_hh_fech_in!U15=0,0,SER_hh_fech_in!U15/SER_summary!U$27)</f>
        <v>0.77537115789780076</v>
      </c>
      <c r="V15" s="135">
        <f>IF(SER_hh_fech_in!V15=0,0,SER_hh_fech_in!V15/SER_summary!V$27)</f>
        <v>0.63791617453539706</v>
      </c>
      <c r="W15" s="135">
        <f>IF(SER_hh_fech_in!W15=0,0,SER_hh_fech_in!W15/SER_summary!W$27)</f>
        <v>0.57765471122664369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11.889710694118989</v>
      </c>
      <c r="D16" s="131">
        <f>IF(SER_hh_fech_in!D16=0,0,SER_hh_fech_in!D16/SER_summary!D$27)</f>
        <v>10.92448803983438</v>
      </c>
      <c r="E16" s="131">
        <f>IF(SER_hh_fech_in!E16=0,0,SER_hh_fech_in!E16/SER_summary!E$27)</f>
        <v>18.44858885784944</v>
      </c>
      <c r="F16" s="131">
        <f>IF(SER_hh_fech_in!F16=0,0,SER_hh_fech_in!F16/SER_summary!F$27)</f>
        <v>10.374432562165151</v>
      </c>
      <c r="G16" s="131">
        <f>IF(SER_hh_fech_in!G16=0,0,SER_hh_fech_in!G16/SER_summary!G$27)</f>
        <v>10.81876572968401</v>
      </c>
      <c r="H16" s="131">
        <f>IF(SER_hh_fech_in!H16=0,0,SER_hh_fech_in!H16/SER_summary!H$27)</f>
        <v>12.03569196811152</v>
      </c>
      <c r="I16" s="131">
        <f>IF(SER_hh_fech_in!I16=0,0,SER_hh_fech_in!I16/SER_summary!I$27)</f>
        <v>8.9687144537331491</v>
      </c>
      <c r="J16" s="131">
        <f>IF(SER_hh_fech_in!J16=0,0,SER_hh_fech_in!J16/SER_summary!J$27)</f>
        <v>8.7662975911269712</v>
      </c>
      <c r="K16" s="131">
        <f>IF(SER_hh_fech_in!K16=0,0,SER_hh_fech_in!K16/SER_summary!K$27)</f>
        <v>8.9153026983071957</v>
      </c>
      <c r="L16" s="131">
        <f>IF(SER_hh_fech_in!L16=0,0,SER_hh_fech_in!L16/SER_summary!L$27)</f>
        <v>8.4646732983743966</v>
      </c>
      <c r="M16" s="131">
        <f>IF(SER_hh_fech_in!M16=0,0,SER_hh_fech_in!M16/SER_summary!M$27)</f>
        <v>8.0460260183517587</v>
      </c>
      <c r="N16" s="131">
        <f>IF(SER_hh_fech_in!N16=0,0,SER_hh_fech_in!N16/SER_summary!N$27)</f>
        <v>8.2214721316762898</v>
      </c>
      <c r="O16" s="131">
        <f>IF(SER_hh_fech_in!O16=0,0,SER_hh_fech_in!O16/SER_summary!O$27)</f>
        <v>7.534510288498085</v>
      </c>
      <c r="P16" s="131">
        <f>IF(SER_hh_fech_in!P16=0,0,SER_hh_fech_in!P16/SER_summary!P$27)</f>
        <v>6.4357130216447613</v>
      </c>
      <c r="Q16" s="131">
        <f>IF(SER_hh_fech_in!Q16=0,0,SER_hh_fech_in!Q16/SER_summary!Q$27)</f>
        <v>7.8398714157350193</v>
      </c>
      <c r="R16" s="131">
        <f>IF(SER_hh_fech_in!R16=0,0,SER_hh_fech_in!R16/SER_summary!R$27)</f>
        <v>6.3835845095893635</v>
      </c>
      <c r="S16" s="131">
        <f>IF(SER_hh_fech_in!S16=0,0,SER_hh_fech_in!S16/SER_summary!S$27)</f>
        <v>6.7412541200043155</v>
      </c>
      <c r="T16" s="131">
        <f>IF(SER_hh_fech_in!T16=0,0,SER_hh_fech_in!T16/SER_summary!T$27)</f>
        <v>6.2963764675659837</v>
      </c>
      <c r="U16" s="131">
        <f>IF(SER_hh_fech_in!U16=0,0,SER_hh_fech_in!U16/SER_summary!U$27)</f>
        <v>6.1037259205139538</v>
      </c>
      <c r="V16" s="131">
        <f>IF(SER_hh_fech_in!V16=0,0,SER_hh_fech_in!V16/SER_summary!V$27)</f>
        <v>6.0358903377983415</v>
      </c>
      <c r="W16" s="131">
        <f>IF(SER_hh_fech_in!W16=0,0,SER_hh_fech_in!W16/SER_summary!W$27)</f>
        <v>4.288270268805789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21.433455102728363</v>
      </c>
      <c r="D17" s="133">
        <f>IF(SER_hh_fech_in!D17=0,0,SER_hh_fech_in!D17/SER_summary!D$27)</f>
        <v>20.284533768640067</v>
      </c>
      <c r="E17" s="133">
        <f>IF(SER_hh_fech_in!E17=0,0,SER_hh_fech_in!E17/SER_summary!E$27)</f>
        <v>39.413482826852743</v>
      </c>
      <c r="F17" s="133">
        <f>IF(SER_hh_fech_in!F17=0,0,SER_hh_fech_in!F17/SER_summary!F$27)</f>
        <v>20.431807244716769</v>
      </c>
      <c r="G17" s="133">
        <f>IF(SER_hh_fech_in!G17=0,0,SER_hh_fech_in!G17/SER_summary!G$27)</f>
        <v>21.944348968179778</v>
      </c>
      <c r="H17" s="133">
        <f>IF(SER_hh_fech_in!H17=0,0,SER_hh_fech_in!H17/SER_summary!H$27)</f>
        <v>24.831136245334054</v>
      </c>
      <c r="I17" s="133">
        <f>IF(SER_hh_fech_in!I17=0,0,SER_hh_fech_in!I17/SER_summary!I$27)</f>
        <v>19.14086615182039</v>
      </c>
      <c r="J17" s="133">
        <f>IF(SER_hh_fech_in!J17=0,0,SER_hh_fech_in!J17/SER_summary!J$27)</f>
        <v>19.134289757920314</v>
      </c>
      <c r="K17" s="133">
        <f>IF(SER_hh_fech_in!K17=0,0,SER_hh_fech_in!K17/SER_summary!K$27)</f>
        <v>20.049156132413454</v>
      </c>
      <c r="L17" s="133">
        <f>IF(SER_hh_fech_in!L17=0,0,SER_hh_fech_in!L17/SER_summary!L$27)</f>
        <v>19.408465303900584</v>
      </c>
      <c r="M17" s="133">
        <f>IF(SER_hh_fech_in!M17=0,0,SER_hh_fech_in!M17/SER_summary!M$27)</f>
        <v>18.695146667852914</v>
      </c>
      <c r="N17" s="133">
        <f>IF(SER_hh_fech_in!N17=0,0,SER_hh_fech_in!N17/SER_summary!N$27)</f>
        <v>19.032143227840983</v>
      </c>
      <c r="O17" s="133">
        <f>IF(SER_hh_fech_in!O17=0,0,SER_hh_fech_in!O17/SER_summary!O$27)</f>
        <v>18.129252911334223</v>
      </c>
      <c r="P17" s="133">
        <f>IF(SER_hh_fech_in!P17=0,0,SER_hh_fech_in!P17/SER_summary!P$27)</f>
        <v>16.20541201526343</v>
      </c>
      <c r="Q17" s="133">
        <f>IF(SER_hh_fech_in!Q17=0,0,SER_hh_fech_in!Q17/SER_summary!Q$27)</f>
        <v>19.006932894147557</v>
      </c>
      <c r="R17" s="133">
        <f>IF(SER_hh_fech_in!R17=0,0,SER_hh_fech_in!R17/SER_summary!R$27)</f>
        <v>15.955201734604353</v>
      </c>
      <c r="S17" s="133">
        <f>IF(SER_hh_fech_in!S17=0,0,SER_hh_fech_in!S17/SER_summary!S$27)</f>
        <v>16.436578529148324</v>
      </c>
      <c r="T17" s="133">
        <f>IF(SER_hh_fech_in!T17=0,0,SER_hh_fech_in!T17/SER_summary!T$27)</f>
        <v>15.341318265585034</v>
      </c>
      <c r="U17" s="133">
        <f>IF(SER_hh_fech_in!U17=0,0,SER_hh_fech_in!U17/SER_summary!U$27)</f>
        <v>14.58534976526156</v>
      </c>
      <c r="V17" s="133">
        <f>IF(SER_hh_fech_in!V17=0,0,SER_hh_fech_in!V17/SER_summary!V$27)</f>
        <v>13.196722407103506</v>
      </c>
      <c r="W17" s="133">
        <f>IF(SER_hh_fech_in!W17=0,0,SER_hh_fech_in!W17/SER_summary!W$27)</f>
        <v>9.310846511079415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11.841617545480627</v>
      </c>
      <c r="D18" s="133">
        <f>IF(SER_hh_fech_in!D18=0,0,SER_hh_fech_in!D18/SER_summary!D$27)</f>
        <v>10.880366198953467</v>
      </c>
      <c r="E18" s="133">
        <f>IF(SER_hh_fech_in!E18=0,0,SER_hh_fech_in!E18/SER_summary!E$27)</f>
        <v>18.243771055044153</v>
      </c>
      <c r="F18" s="133">
        <f>IF(SER_hh_fech_in!F18=0,0,SER_hh_fech_in!F18/SER_summary!F$27)</f>
        <v>10.33366082580401</v>
      </c>
      <c r="G18" s="133">
        <f>IF(SER_hh_fech_in!G18=0,0,SER_hh_fech_in!G18/SER_summary!G$27)</f>
        <v>10.796972403838474</v>
      </c>
      <c r="H18" s="133">
        <f>IF(SER_hh_fech_in!H18=0,0,SER_hh_fech_in!H18/SER_summary!H$27)</f>
        <v>11.855445303967231</v>
      </c>
      <c r="I18" s="133">
        <f>IF(SER_hh_fech_in!I18=0,0,SER_hh_fech_in!I18/SER_summary!I$27)</f>
        <v>8.8895810748021233</v>
      </c>
      <c r="J18" s="133">
        <f>IF(SER_hh_fech_in!J18=0,0,SER_hh_fech_in!J18/SER_summary!J$27)</f>
        <v>8.6427678964865891</v>
      </c>
      <c r="K18" s="133">
        <f>IF(SER_hh_fech_in!K18=0,0,SER_hh_fech_in!K18/SER_summary!K$27)</f>
        <v>8.8133857041455936</v>
      </c>
      <c r="L18" s="133">
        <f>IF(SER_hh_fech_in!L18=0,0,SER_hh_fech_in!L18/SER_summary!L$27)</f>
        <v>8.2936955465834128</v>
      </c>
      <c r="M18" s="133">
        <f>IF(SER_hh_fech_in!M18=0,0,SER_hh_fech_in!M18/SER_summary!M$27)</f>
        <v>7.7424005440413426</v>
      </c>
      <c r="N18" s="133">
        <f>IF(SER_hh_fech_in!N18=0,0,SER_hh_fech_in!N18/SER_summary!N$27)</f>
        <v>7.6497634593167483</v>
      </c>
      <c r="O18" s="133">
        <f>IF(SER_hh_fech_in!O18=0,0,SER_hh_fech_in!O18/SER_summary!O$27)</f>
        <v>7.096939998036536</v>
      </c>
      <c r="P18" s="133">
        <f>IF(SER_hh_fech_in!P18=0,0,SER_hh_fech_in!P18/SER_summary!P$27)</f>
        <v>6.2168140513340049</v>
      </c>
      <c r="Q18" s="133">
        <f>IF(SER_hh_fech_in!Q18=0,0,SER_hh_fech_in!Q18/SER_summary!Q$27)</f>
        <v>7.2236527716460506</v>
      </c>
      <c r="R18" s="133">
        <f>IF(SER_hh_fech_in!R18=0,0,SER_hh_fech_in!R18/SER_summary!R$27)</f>
        <v>6.0512810214940185</v>
      </c>
      <c r="S18" s="133">
        <f>IF(SER_hh_fech_in!S18=0,0,SER_hh_fech_in!S18/SER_summary!S$27)</f>
        <v>6.2384448481489061</v>
      </c>
      <c r="T18" s="133">
        <f>IF(SER_hh_fech_in!T18=0,0,SER_hh_fech_in!T18/SER_summary!T$27)</f>
        <v>5.8668901648473266</v>
      </c>
      <c r="U18" s="133">
        <f>IF(SER_hh_fech_in!U18=0,0,SER_hh_fech_in!U18/SER_summary!U$27)</f>
        <v>5.6263639463028587</v>
      </c>
      <c r="V18" s="133">
        <f>IF(SER_hh_fech_in!V18=0,0,SER_hh_fech_in!V18/SER_summary!V$27)</f>
        <v>5.5159315632387909</v>
      </c>
      <c r="W18" s="133">
        <f>IF(SER_hh_fech_in!W18=0,0,SER_hh_fech_in!W18/SER_summary!W$27)</f>
        <v>4.0563438967020833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25.444492867711823</v>
      </c>
      <c r="D19" s="131">
        <f>IF(SER_hh_fech_in!D19=0,0,SER_hh_fech_in!D19/SER_summary!D$27)</f>
        <v>25.315471508958801</v>
      </c>
      <c r="E19" s="131">
        <f>IF(SER_hh_fech_in!E19=0,0,SER_hh_fech_in!E19/SER_summary!E$27)</f>
        <v>24.531628912841246</v>
      </c>
      <c r="F19" s="131">
        <f>IF(SER_hh_fech_in!F19=0,0,SER_hh_fech_in!F19/SER_summary!F$27)</f>
        <v>24.636451072222815</v>
      </c>
      <c r="G19" s="131">
        <f>IF(SER_hh_fech_in!G19=0,0,SER_hh_fech_in!G19/SER_summary!G$27)</f>
        <v>23.735777229382403</v>
      </c>
      <c r="H19" s="131">
        <f>IF(SER_hh_fech_in!H19=0,0,SER_hh_fech_in!H19/SER_summary!H$27)</f>
        <v>23.416320689930238</v>
      </c>
      <c r="I19" s="131">
        <f>IF(SER_hh_fech_in!I19=0,0,SER_hh_fech_in!I19/SER_summary!I$27)</f>
        <v>23.510113865733963</v>
      </c>
      <c r="J19" s="131">
        <f>IF(SER_hh_fech_in!J19=0,0,SER_hh_fech_in!J19/SER_summary!J$27)</f>
        <v>23.643175853693421</v>
      </c>
      <c r="K19" s="131">
        <f>IF(SER_hh_fech_in!K19=0,0,SER_hh_fech_in!K19/SER_summary!K$27)</f>
        <v>23.888365796039757</v>
      </c>
      <c r="L19" s="131">
        <f>IF(SER_hh_fech_in!L19=0,0,SER_hh_fech_in!L19/SER_summary!L$27)</f>
        <v>22.872788657878946</v>
      </c>
      <c r="M19" s="131">
        <f>IF(SER_hh_fech_in!M19=0,0,SER_hh_fech_in!M19/SER_summary!M$27)</f>
        <v>22.911678916487663</v>
      </c>
      <c r="N19" s="131">
        <f>IF(SER_hh_fech_in!N19=0,0,SER_hh_fech_in!N19/SER_summary!N$27)</f>
        <v>21.88344117252181</v>
      </c>
      <c r="O19" s="131">
        <f>IF(SER_hh_fech_in!O19=0,0,SER_hh_fech_in!O19/SER_summary!O$27)</f>
        <v>22.048341978052775</v>
      </c>
      <c r="P19" s="131">
        <f>IF(SER_hh_fech_in!P19=0,0,SER_hh_fech_in!P19/SER_summary!P$27)</f>
        <v>21.288032285044672</v>
      </c>
      <c r="Q19" s="131">
        <f>IF(SER_hh_fech_in!Q19=0,0,SER_hh_fech_in!Q19/SER_summary!Q$27)</f>
        <v>20.109721473956004</v>
      </c>
      <c r="R19" s="131">
        <f>IF(SER_hh_fech_in!R19=0,0,SER_hh_fech_in!R19/SER_summary!R$27)</f>
        <v>20.078577008588447</v>
      </c>
      <c r="S19" s="131">
        <f>IF(SER_hh_fech_in!S19=0,0,SER_hh_fech_in!S19/SER_summary!S$27)</f>
        <v>19.299545653848021</v>
      </c>
      <c r="T19" s="131">
        <f>IF(SER_hh_fech_in!T19=0,0,SER_hh_fech_in!T19/SER_summary!T$27)</f>
        <v>19.287233017460974</v>
      </c>
      <c r="U19" s="131">
        <f>IF(SER_hh_fech_in!U19=0,0,SER_hh_fech_in!U19/SER_summary!U$27)</f>
        <v>18.332387020213183</v>
      </c>
      <c r="V19" s="131">
        <f>IF(SER_hh_fech_in!V19=0,0,SER_hh_fech_in!V19/SER_summary!V$27)</f>
        <v>16.557712488109694</v>
      </c>
      <c r="W19" s="131">
        <f>IF(SER_hh_fech_in!W19=0,0,SER_hh_fech_in!W19/SER_summary!W$27)</f>
        <v>17.520214710276058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28.02234922598608</v>
      </c>
      <c r="D21" s="133">
        <f>IF(SER_hh_fech_in!D21=0,0,SER_hh_fech_in!D21/SER_summary!D$27)</f>
        <v>28.516584524414604</v>
      </c>
      <c r="E21" s="133">
        <f>IF(SER_hh_fech_in!E21=0,0,SER_hh_fech_in!E21/SER_summary!E$27)</f>
        <v>28.513907682470059</v>
      </c>
      <c r="F21" s="133">
        <f>IF(SER_hh_fech_in!F21=0,0,SER_hh_fech_in!F21/SER_summary!F$27)</f>
        <v>28.141184914523166</v>
      </c>
      <c r="G21" s="133">
        <f>IF(SER_hh_fech_in!G21=0,0,SER_hh_fech_in!G21/SER_summary!G$27)</f>
        <v>26.294240075570475</v>
      </c>
      <c r="H21" s="133">
        <f>IF(SER_hh_fech_in!H21=0,0,SER_hh_fech_in!H21/SER_summary!H$27)</f>
        <v>27.005032386840288</v>
      </c>
      <c r="I21" s="133">
        <f>IF(SER_hh_fech_in!I21=0,0,SER_hh_fech_in!I21/SER_summary!I$27)</f>
        <v>26.747455585306316</v>
      </c>
      <c r="J21" s="133">
        <f>IF(SER_hh_fech_in!J21=0,0,SER_hh_fech_in!J21/SER_summary!J$27)</f>
        <v>26.711828780336933</v>
      </c>
      <c r="K21" s="133">
        <f>IF(SER_hh_fech_in!K21=0,0,SER_hh_fech_in!K21/SER_summary!K$27)</f>
        <v>27.157526783030626</v>
      </c>
      <c r="L21" s="133">
        <f>IF(SER_hh_fech_in!L21=0,0,SER_hh_fech_in!L21/SER_summary!L$27)</f>
        <v>25.666540826229983</v>
      </c>
      <c r="M21" s="133">
        <f>IF(SER_hh_fech_in!M21=0,0,SER_hh_fech_in!M21/SER_summary!M$27)</f>
        <v>25.721306386736533</v>
      </c>
      <c r="N21" s="133">
        <f>IF(SER_hh_fech_in!N21=0,0,SER_hh_fech_in!N21/SER_summary!N$27)</f>
        <v>24.155180667438522</v>
      </c>
      <c r="O21" s="133">
        <f>IF(SER_hh_fech_in!O21=0,0,SER_hh_fech_in!O21/SER_summary!O$27)</f>
        <v>23.733942660849038</v>
      </c>
      <c r="P21" s="133">
        <f>IF(SER_hh_fech_in!P21=0,0,SER_hh_fech_in!P21/SER_summary!P$27)</f>
        <v>23.235994902852301</v>
      </c>
      <c r="Q21" s="133">
        <f>IF(SER_hh_fech_in!Q21=0,0,SER_hh_fech_in!Q21/SER_summary!Q$27)</f>
        <v>21.525270099736893</v>
      </c>
      <c r="R21" s="133">
        <f>IF(SER_hh_fech_in!R21=0,0,SER_hh_fech_in!R21/SER_summary!R$27)</f>
        <v>21.925839768247695</v>
      </c>
      <c r="S21" s="133">
        <f>IF(SER_hh_fech_in!S21=0,0,SER_hh_fech_in!S21/SER_summary!S$27)</f>
        <v>22.425112624337135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17.677541925737692</v>
      </c>
      <c r="W21" s="133">
        <f>IF(SER_hh_fech_in!W21=0,0,SER_hh_fech_in!W21/SER_summary!W$27)</f>
        <v>18.167319726128511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30.376750538217411</v>
      </c>
      <c r="D22" s="133">
        <f>IF(SER_hh_fech_in!D22=0,0,SER_hh_fech_in!D22/SER_summary!D$27)</f>
        <v>29.789778484000536</v>
      </c>
      <c r="E22" s="133">
        <f>IF(SER_hh_fech_in!E22=0,0,SER_hh_fech_in!E22/SER_summary!E$27)</f>
        <v>29.356246801058667</v>
      </c>
      <c r="F22" s="133">
        <f>IF(SER_hh_fech_in!F22=0,0,SER_hh_fech_in!F22/SER_summary!F$27)</f>
        <v>29.652810429135755</v>
      </c>
      <c r="G22" s="133">
        <f>IF(SER_hh_fech_in!G22=0,0,SER_hh_fech_in!G22/SER_summary!G$27)</f>
        <v>28.990037338705609</v>
      </c>
      <c r="H22" s="133">
        <f>IF(SER_hh_fech_in!H22=0,0,SER_hh_fech_in!H22/SER_summary!H$27)</f>
        <v>28.515126099700485</v>
      </c>
      <c r="I22" s="133">
        <f>IF(SER_hh_fech_in!I22=0,0,SER_hh_fech_in!I22/SER_summary!I$27)</f>
        <v>27.490971778648142</v>
      </c>
      <c r="J22" s="133">
        <f>IF(SER_hh_fech_in!J22=0,0,SER_hh_fech_in!J22/SER_summary!J$27)</f>
        <v>28.269084037366117</v>
      </c>
      <c r="K22" s="133">
        <f>IF(SER_hh_fech_in!K22=0,0,SER_hh_fech_in!K22/SER_summary!K$27)</f>
        <v>28.465587176014143</v>
      </c>
      <c r="L22" s="133">
        <f>IF(SER_hh_fech_in!L22=0,0,SER_hh_fech_in!L22/SER_summary!L$27)</f>
        <v>26.988914879087847</v>
      </c>
      <c r="M22" s="133">
        <f>IF(SER_hh_fech_in!M22=0,0,SER_hh_fech_in!M22/SER_summary!M$27)</f>
        <v>25.679671090884703</v>
      </c>
      <c r="N22" s="133">
        <f>IF(SER_hh_fech_in!N22=0,0,SER_hh_fech_in!N22/SER_summary!N$27)</f>
        <v>26.596001590997055</v>
      </c>
      <c r="O22" s="133">
        <f>IF(SER_hh_fech_in!O22=0,0,SER_hh_fech_in!O22/SER_summary!O$27)</f>
        <v>25.405099006586351</v>
      </c>
      <c r="P22" s="133">
        <f>IF(SER_hh_fech_in!P22=0,0,SER_hh_fech_in!P22/SER_summary!P$27)</f>
        <v>23.819593681526349</v>
      </c>
      <c r="Q22" s="133">
        <f>IF(SER_hh_fech_in!Q22=0,0,SER_hh_fech_in!Q22/SER_summary!Q$27)</f>
        <v>23.235929055477378</v>
      </c>
      <c r="R22" s="133">
        <f>IF(SER_hh_fech_in!R22=0,0,SER_hh_fech_in!R22/SER_summary!R$27)</f>
        <v>21.123797253056718</v>
      </c>
      <c r="S22" s="133">
        <f>IF(SER_hh_fech_in!S22=0,0,SER_hh_fech_in!S22/SER_summary!S$27)</f>
        <v>22.032547692331935</v>
      </c>
      <c r="T22" s="133">
        <f>IF(SER_hh_fech_in!T22=0,0,SER_hh_fech_in!T22/SER_summary!T$27)</f>
        <v>20.591267492164604</v>
      </c>
      <c r="U22" s="133">
        <f>IF(SER_hh_fech_in!U22=0,0,SER_hh_fech_in!U22/SER_summary!U$27)</f>
        <v>19.583838017608244</v>
      </c>
      <c r="V22" s="133">
        <f>IF(SER_hh_fech_in!V22=0,0,SER_hh_fech_in!V22/SER_summary!V$27)</f>
        <v>18.557668495493552</v>
      </c>
      <c r="W22" s="133">
        <f>IF(SER_hh_fech_in!W22=0,0,SER_hh_fech_in!W22/SER_summary!W$27)</f>
        <v>17.781587173678421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27.671400874065498</v>
      </c>
      <c r="D23" s="133">
        <f>IF(SER_hh_fech_in!D23=0,0,SER_hh_fech_in!D23/SER_summary!D$27)</f>
        <v>27.054671122680418</v>
      </c>
      <c r="E23" s="133">
        <f>IF(SER_hh_fech_in!E23=0,0,SER_hh_fech_in!E23/SER_summary!E$27)</f>
        <v>27.166988282457098</v>
      </c>
      <c r="F23" s="133">
        <f>IF(SER_hh_fech_in!F23=0,0,SER_hh_fech_in!F23/SER_summary!F$27)</f>
        <v>27.120903165297293</v>
      </c>
      <c r="G23" s="133">
        <f>IF(SER_hh_fech_in!G23=0,0,SER_hh_fech_in!G23/SER_summary!G$27)</f>
        <v>25.264185009565256</v>
      </c>
      <c r="H23" s="133">
        <f>IF(SER_hh_fech_in!H23=0,0,SER_hh_fech_in!H23/SER_summary!H$27)</f>
        <v>24.927722267537913</v>
      </c>
      <c r="I23" s="133">
        <f>IF(SER_hh_fech_in!I23=0,0,SER_hh_fech_in!I23/SER_summary!I$27)</f>
        <v>24.796816764041338</v>
      </c>
      <c r="J23" s="133">
        <f>IF(SER_hh_fech_in!J23=0,0,SER_hh_fech_in!J23/SER_summary!J$27)</f>
        <v>24.146299837104145</v>
      </c>
      <c r="K23" s="133">
        <f>IF(SER_hh_fech_in!K23=0,0,SER_hh_fech_in!K23/SER_summary!K$27)</f>
        <v>25.458647527501252</v>
      </c>
      <c r="L23" s="133">
        <f>IF(SER_hh_fech_in!L23=0,0,SER_hh_fech_in!L23/SER_summary!L$27)</f>
        <v>24.131314247708193</v>
      </c>
      <c r="M23" s="133">
        <f>IF(SER_hh_fech_in!M23=0,0,SER_hh_fech_in!M23/SER_summary!M$27)</f>
        <v>26.225483995935694</v>
      </c>
      <c r="N23" s="133">
        <f>IF(SER_hh_fech_in!N23=0,0,SER_hh_fech_in!N23/SER_summary!N$27)</f>
        <v>19.742614436281414</v>
      </c>
      <c r="O23" s="133">
        <f>IF(SER_hh_fech_in!O23=0,0,SER_hh_fech_in!O23/SER_summary!O$27)</f>
        <v>21.127094754309077</v>
      </c>
      <c r="P23" s="133">
        <f>IF(SER_hh_fech_in!P23=0,0,SER_hh_fech_in!P23/SER_summary!P$27)</f>
        <v>21.784413592621473</v>
      </c>
      <c r="Q23" s="133">
        <f>IF(SER_hh_fech_in!Q23=0,0,SER_hh_fech_in!Q23/SER_summary!Q$27)</f>
        <v>20.152261146497683</v>
      </c>
      <c r="R23" s="133">
        <f>IF(SER_hh_fech_in!R23=0,0,SER_hh_fech_in!R23/SER_summary!R$27)</f>
        <v>21.681607251026154</v>
      </c>
      <c r="S23" s="133">
        <f>IF(SER_hh_fech_in!S23=0,0,SER_hh_fech_in!S23/SER_summary!S$27)</f>
        <v>20.199960387818052</v>
      </c>
      <c r="T23" s="133">
        <f>IF(SER_hh_fech_in!T23=0,0,SER_hh_fech_in!T23/SER_summary!T$27)</f>
        <v>20.021123012319787</v>
      </c>
      <c r="U23" s="133">
        <f>IF(SER_hh_fech_in!U23=0,0,SER_hh_fech_in!U23/SER_summary!U$27)</f>
        <v>19.12199642433437</v>
      </c>
      <c r="V23" s="133">
        <f>IF(SER_hh_fech_in!V23=0,0,SER_hh_fech_in!V23/SER_summary!V$27)</f>
        <v>16.739068836962943</v>
      </c>
      <c r="W23" s="133">
        <f>IF(SER_hh_fech_in!W23=0,0,SER_hh_fech_in!W23/SER_summary!W$27)</f>
        <v>20.379124609758207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27.125132088992075</v>
      </c>
      <c r="D24" s="133">
        <f>IF(SER_hh_fech_in!D24=0,0,SER_hh_fech_in!D24/SER_summary!D$27)</f>
        <v>26.365823281387883</v>
      </c>
      <c r="E24" s="133">
        <f>IF(SER_hh_fech_in!E24=0,0,SER_hh_fech_in!E24/SER_summary!E$27)</f>
        <v>25.604057100757529</v>
      </c>
      <c r="F24" s="133">
        <f>IF(SER_hh_fech_in!F24=0,0,SER_hh_fech_in!F24/SER_summary!F$27)</f>
        <v>25.839771309812484</v>
      </c>
      <c r="G24" s="133">
        <f>IF(SER_hh_fech_in!G24=0,0,SER_hh_fech_in!G24/SER_summary!G$27)</f>
        <v>24.300604820466106</v>
      </c>
      <c r="H24" s="133">
        <f>IF(SER_hh_fech_in!H24=0,0,SER_hh_fech_in!H24/SER_summary!H$27)</f>
        <v>22.838173429835109</v>
      </c>
      <c r="I24" s="133">
        <f>IF(SER_hh_fech_in!I24=0,0,SER_hh_fech_in!I24/SER_summary!I$27)</f>
        <v>24.463272895605954</v>
      </c>
      <c r="J24" s="133">
        <f>IF(SER_hh_fech_in!J24=0,0,SER_hh_fech_in!J24/SER_summary!J$27)</f>
        <v>22.685880840607219</v>
      </c>
      <c r="K24" s="133">
        <f>IF(SER_hh_fech_in!K24=0,0,SER_hh_fech_in!K24/SER_summary!K$27)</f>
        <v>23.878440937477858</v>
      </c>
      <c r="L24" s="133">
        <f>IF(SER_hh_fech_in!L24=0,0,SER_hh_fech_in!L24/SER_summary!L$27)</f>
        <v>25.34790848499404</v>
      </c>
      <c r="M24" s="133">
        <f>IF(SER_hh_fech_in!M24=0,0,SER_hh_fech_in!M24/SER_summary!M$27)</f>
        <v>0</v>
      </c>
      <c r="N24" s="133">
        <f>IF(SER_hh_fech_in!N24=0,0,SER_hh_fech_in!N24/SER_summary!N$27)</f>
        <v>18.598464233382483</v>
      </c>
      <c r="O24" s="133">
        <f>IF(SER_hh_fech_in!O24=0,0,SER_hh_fech_in!O24/SER_summary!O$27)</f>
        <v>24.578153192371019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20.758997574266058</v>
      </c>
      <c r="S24" s="133">
        <f>IF(SER_hh_fech_in!S24=0,0,SER_hh_fech_in!S24/SER_summary!S$27)</f>
        <v>20.575900947111126</v>
      </c>
      <c r="T24" s="133">
        <f>IF(SER_hh_fech_in!T24=0,0,SER_hh_fech_in!T24/SER_summary!T$27)</f>
        <v>19.227344603433256</v>
      </c>
      <c r="U24" s="133">
        <f>IF(SER_hh_fech_in!U24=0,0,SER_hh_fech_in!U24/SER_summary!U$27)</f>
        <v>18.454782074929788</v>
      </c>
      <c r="V24" s="133">
        <f>IF(SER_hh_fech_in!V24=0,0,SER_hh_fech_in!V24/SER_summary!V$27)</f>
        <v>17.649999126490915</v>
      </c>
      <c r="W24" s="133">
        <f>IF(SER_hh_fech_in!W24=0,0,SER_hh_fech_in!W24/SER_summary!W$27)</f>
        <v>18.913283761150243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20.000833789702433</v>
      </c>
      <c r="D25" s="133">
        <f>IF(SER_hh_fech_in!D25=0,0,SER_hh_fech_in!D25/SER_summary!D$27)</f>
        <v>19.365131398625991</v>
      </c>
      <c r="E25" s="133">
        <f>IF(SER_hh_fech_in!E25=0,0,SER_hh_fech_in!E25/SER_summary!E$27)</f>
        <v>19.337537607320648</v>
      </c>
      <c r="F25" s="133">
        <f>IF(SER_hh_fech_in!F25=0,0,SER_hh_fech_in!F25/SER_summary!F$27)</f>
        <v>19.568912609173346</v>
      </c>
      <c r="G25" s="133">
        <f>IF(SER_hh_fech_in!G25=0,0,SER_hh_fech_in!G25/SER_summary!G$27)</f>
        <v>19.594981638697558</v>
      </c>
      <c r="H25" s="133">
        <f>IF(SER_hh_fech_in!H25=0,0,SER_hh_fech_in!H25/SER_summary!H$27)</f>
        <v>0</v>
      </c>
      <c r="I25" s="133">
        <f>IF(SER_hh_fech_in!I25=0,0,SER_hh_fech_in!I25/SER_summary!I$27)</f>
        <v>0</v>
      </c>
      <c r="J25" s="133">
        <f>IF(SER_hh_fech_in!J25=0,0,SER_hh_fech_in!J25/SER_summary!J$27)</f>
        <v>0</v>
      </c>
      <c r="K25" s="133">
        <f>IF(SER_hh_fech_in!K25=0,0,SER_hh_fech_in!K25/SER_summary!K$27)</f>
        <v>20.404272488696133</v>
      </c>
      <c r="L25" s="133">
        <f>IF(SER_hh_fech_in!L25=0,0,SER_hh_fech_in!L25/SER_summary!L$27)</f>
        <v>18.17265858719372</v>
      </c>
      <c r="M25" s="133">
        <f>IF(SER_hh_fech_in!M25=0,0,SER_hh_fech_in!M25/SER_summary!M$27)</f>
        <v>16.962905989885563</v>
      </c>
      <c r="N25" s="133">
        <f>IF(SER_hh_fech_in!N25=0,0,SER_hh_fech_in!N25/SER_summary!N$27)</f>
        <v>19.367332951145269</v>
      </c>
      <c r="O25" s="133">
        <f>IF(SER_hh_fech_in!O25=0,0,SER_hh_fech_in!O25/SER_summary!O$27)</f>
        <v>19.632671981981002</v>
      </c>
      <c r="P25" s="133">
        <f>IF(SER_hh_fech_in!P25=0,0,SER_hh_fech_in!P25/SER_summary!P$27)</f>
        <v>17.485977139317722</v>
      </c>
      <c r="Q25" s="133">
        <f>IF(SER_hh_fech_in!Q25=0,0,SER_hh_fech_in!Q25/SER_summary!Q$27)</f>
        <v>17.751658931712516</v>
      </c>
      <c r="R25" s="133">
        <f>IF(SER_hh_fech_in!R25=0,0,SER_hh_fech_in!R25/SER_summary!R$27)</f>
        <v>18.445996531178746</v>
      </c>
      <c r="S25" s="133">
        <f>IF(SER_hh_fech_in!S25=0,0,SER_hh_fech_in!S25/SER_summary!S$27)</f>
        <v>17.295145783278624</v>
      </c>
      <c r="T25" s="133">
        <f>IF(SER_hh_fech_in!T25=0,0,SER_hh_fech_in!T25/SER_summary!T$27)</f>
        <v>18.864097060820924</v>
      </c>
      <c r="U25" s="133">
        <f>IF(SER_hh_fech_in!U25=0,0,SER_hh_fech_in!U25/SER_summary!U$27)</f>
        <v>17.305841714390251</v>
      </c>
      <c r="V25" s="133">
        <f>IF(SER_hh_fech_in!V25=0,0,SER_hh_fech_in!V25/SER_summary!V$27)</f>
        <v>16.33520575647038</v>
      </c>
      <c r="W25" s="133">
        <f>IF(SER_hh_fech_in!W25=0,0,SER_hh_fech_in!W25/SER_summary!W$27)</f>
        <v>14.913078171157041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23.70859655658121</v>
      </c>
      <c r="D26" s="65">
        <f>IF(SER_hh_fech_in!D26=0,0,SER_hh_fech_in!D26/SER_summary!D$27)</f>
        <v>23.821811794799775</v>
      </c>
      <c r="E26" s="65">
        <f>IF(SER_hh_fech_in!E26=0,0,SER_hh_fech_in!E26/SER_summary!E$27)</f>
        <v>22.607292181353348</v>
      </c>
      <c r="F26" s="65">
        <f>IF(SER_hh_fech_in!F26=0,0,SER_hh_fech_in!F26/SER_summary!F$27)</f>
        <v>23.406621832317278</v>
      </c>
      <c r="G26" s="65">
        <f>IF(SER_hh_fech_in!G26=0,0,SER_hh_fech_in!G26/SER_summary!G$27)</f>
        <v>20.829702766299523</v>
      </c>
      <c r="H26" s="65">
        <f>IF(SER_hh_fech_in!H26=0,0,SER_hh_fech_in!H26/SER_summary!H$27)</f>
        <v>22.217848284825457</v>
      </c>
      <c r="I26" s="65">
        <f>IF(SER_hh_fech_in!I26=0,0,SER_hh_fech_in!I26/SER_summary!I$27)</f>
        <v>22.296534675579128</v>
      </c>
      <c r="J26" s="65">
        <f>IF(SER_hh_fech_in!J26=0,0,SER_hh_fech_in!J26/SER_summary!J$27)</f>
        <v>22.308504565154266</v>
      </c>
      <c r="K26" s="65">
        <f>IF(SER_hh_fech_in!K26=0,0,SER_hh_fech_in!K26/SER_summary!K$27)</f>
        <v>21.635069772927256</v>
      </c>
      <c r="L26" s="65">
        <f>IF(SER_hh_fech_in!L26=0,0,SER_hh_fech_in!L26/SER_summary!L$27)</f>
        <v>20.58185383433662</v>
      </c>
      <c r="M26" s="65">
        <f>IF(SER_hh_fech_in!M26=0,0,SER_hh_fech_in!M26/SER_summary!M$27)</f>
        <v>21.144388233601216</v>
      </c>
      <c r="N26" s="65">
        <f>IF(SER_hh_fech_in!N26=0,0,SER_hh_fech_in!N26/SER_summary!N$27)</f>
        <v>14.492384306836344</v>
      </c>
      <c r="O26" s="65">
        <f>IF(SER_hh_fech_in!O26=0,0,SER_hh_fech_in!O26/SER_summary!O$27)</f>
        <v>18.534412877222415</v>
      </c>
      <c r="P26" s="65">
        <f>IF(SER_hh_fech_in!P26=0,0,SER_hh_fech_in!P26/SER_summary!P$27)</f>
        <v>20.82856524750272</v>
      </c>
      <c r="Q26" s="65">
        <f>IF(SER_hh_fech_in!Q26=0,0,SER_hh_fech_in!Q26/SER_summary!Q$27)</f>
        <v>14.607861439696208</v>
      </c>
      <c r="R26" s="65">
        <f>IF(SER_hh_fech_in!R26=0,0,SER_hh_fech_in!R26/SER_summary!R$27)</f>
        <v>19.031656116973181</v>
      </c>
      <c r="S26" s="65">
        <f>IF(SER_hh_fech_in!S26=0,0,SER_hh_fech_in!S26/SER_summary!S$27)</f>
        <v>17.549089311820879</v>
      </c>
      <c r="T26" s="65">
        <f>IF(SER_hh_fech_in!T26=0,0,SER_hh_fech_in!T26/SER_summary!T$27)</f>
        <v>18.494685016085246</v>
      </c>
      <c r="U26" s="65">
        <f>IF(SER_hh_fech_in!U26=0,0,SER_hh_fech_in!U26/SER_summary!U$27)</f>
        <v>16.981152914086234</v>
      </c>
      <c r="V26" s="65">
        <f>IF(SER_hh_fech_in!V26=0,0,SER_hh_fech_in!V26/SER_summary!V$27)</f>
        <v>14.134483007586519</v>
      </c>
      <c r="W26" s="65">
        <f>IF(SER_hh_fech_in!W26=0,0,SER_hh_fech_in!W26/SER_summary!W$27)</f>
        <v>16.806979541731195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1.1990789150452281</v>
      </c>
      <c r="H27" s="146">
        <f>IF(SER_hh_fech_in!H27=0,0,SER_hh_fech_in!H27/SER_summary!H$27)</f>
        <v>3.5929181679113319E-2</v>
      </c>
      <c r="I27" s="146">
        <f>IF(SER_hh_fech_in!I27=0,0,SER_hh_fech_in!I27/SER_summary!I$27)</f>
        <v>0.19299153888454301</v>
      </c>
      <c r="J27" s="146">
        <f>IF(SER_hh_fech_in!J27=0,0,SER_hh_fech_in!J27/SER_summary!J$27)</f>
        <v>0.21552043610950589</v>
      </c>
      <c r="K27" s="146">
        <f>IF(SER_hh_fech_in!K27=0,0,SER_hh_fech_in!K27/SER_summary!K$27)</f>
        <v>0.31755833079854506</v>
      </c>
      <c r="L27" s="146">
        <f>IF(SER_hh_fech_in!L27=0,0,SER_hh_fech_in!L27/SER_summary!L$27)</f>
        <v>0.94646957637961515</v>
      </c>
      <c r="M27" s="146">
        <f>IF(SER_hh_fech_in!M27=0,0,SER_hh_fech_in!M27/SER_summary!M$27)</f>
        <v>0.37252142224399093</v>
      </c>
      <c r="N27" s="146">
        <f>IF(SER_hh_fech_in!N27=0,0,SER_hh_fech_in!N27/SER_summary!N$27)</f>
        <v>3.2634899523292309</v>
      </c>
      <c r="O27" s="146">
        <f>IF(SER_hh_fech_in!O27=0,0,SER_hh_fech_in!O27/SER_summary!O$27)</f>
        <v>1.3672606120898447</v>
      </c>
      <c r="P27" s="146">
        <f>IF(SER_hh_fech_in!P27=0,0,SER_hh_fech_in!P27/SER_summary!P$27)</f>
        <v>3.0333915923010013E-7</v>
      </c>
      <c r="Q27" s="146">
        <f>IF(SER_hh_fech_in!Q27=0,0,SER_hh_fech_in!Q27/SER_summary!Q$27)</f>
        <v>2.7689651371440576</v>
      </c>
      <c r="R27" s="146">
        <f>IF(SER_hh_fech_in!R27=0,0,SER_hh_fech_in!R27/SER_summary!R$27)</f>
        <v>0.36780789649510248</v>
      </c>
      <c r="S27" s="146">
        <f>IF(SER_hh_fech_in!S27=0,0,SER_hh_fech_in!S27/SER_summary!S$27)</f>
        <v>0.83948994779176467</v>
      </c>
      <c r="T27" s="146">
        <f>IF(SER_hh_fech_in!T27=0,0,SER_hh_fech_in!T27/SER_summary!T$27)</f>
        <v>0.3853674188536656</v>
      </c>
      <c r="U27" s="146">
        <f>IF(SER_hh_fech_in!U27=0,0,SER_hh_fech_in!U27/SER_summary!U$27)</f>
        <v>0.70311102966969019</v>
      </c>
      <c r="V27" s="146">
        <f>IF(SER_hh_fech_in!V27=0,0,SER_hh_fech_in!V27/SER_summary!V$27)</f>
        <v>1.3207547617143869</v>
      </c>
      <c r="W27" s="146">
        <f>IF(SER_hh_fech_in!W27=0,0,SER_hh_fech_in!W27/SER_summary!W$27)</f>
        <v>1.7144981284456847E-2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12.895372879420201</v>
      </c>
      <c r="H28" s="147">
        <f>IF(SER_hh_fech_in!H28=0,0,SER_hh_fech_in!H28/SER_summary!H$27)</f>
        <v>12.757690882730902</v>
      </c>
      <c r="I28" s="147">
        <f>IF(SER_hh_fech_in!I28=0,0,SER_hh_fech_in!I28/SER_summary!I$27)</f>
        <v>11.971916854139588</v>
      </c>
      <c r="J28" s="147">
        <f>IF(SER_hh_fech_in!J28=0,0,SER_hh_fech_in!J28/SER_summary!J$27)</f>
        <v>12.451892013906994</v>
      </c>
      <c r="K28" s="147">
        <f>IF(SER_hh_fech_in!K28=0,0,SER_hh_fech_in!K28/SER_summary!K$27)</f>
        <v>12.959169011533552</v>
      </c>
      <c r="L28" s="147">
        <f>IF(SER_hh_fech_in!L28=0,0,SER_hh_fech_in!L28/SER_summary!L$27)</f>
        <v>8.9954871816198452</v>
      </c>
      <c r="M28" s="147">
        <f>IF(SER_hh_fech_in!M28=0,0,SER_hh_fech_in!M28/SER_summary!M$27)</f>
        <v>13.110643869890673</v>
      </c>
      <c r="N28" s="147">
        <f>IF(SER_hh_fech_in!N28=0,0,SER_hh_fech_in!N28/SER_summary!N$27)</f>
        <v>12.401965122001361</v>
      </c>
      <c r="O28" s="147">
        <f>IF(SER_hh_fech_in!O28=0,0,SER_hh_fech_in!O28/SER_summary!O$27)</f>
        <v>12.323384832607015</v>
      </c>
      <c r="P28" s="147">
        <f>IF(SER_hh_fech_in!P28=0,0,SER_hh_fech_in!P28/SER_summary!P$27)</f>
        <v>13.385224500937841</v>
      </c>
      <c r="Q28" s="147">
        <f>IF(SER_hh_fech_in!Q28=0,0,SER_hh_fech_in!Q28/SER_summary!Q$27)</f>
        <v>13.035058943638841</v>
      </c>
      <c r="R28" s="147">
        <f>IF(SER_hh_fech_in!R28=0,0,SER_hh_fech_in!R28/SER_summary!R$27)</f>
        <v>13.382867097505779</v>
      </c>
      <c r="S28" s="147">
        <f>IF(SER_hh_fech_in!S28=0,0,SER_hh_fech_in!S28/SER_summary!S$27)</f>
        <v>12.82722955272407</v>
      </c>
      <c r="T28" s="147">
        <f>IF(SER_hh_fech_in!T28=0,0,SER_hh_fech_in!T28/SER_summary!T$27)</f>
        <v>13.036468458600922</v>
      </c>
      <c r="U28" s="147">
        <f>IF(SER_hh_fech_in!U28=0,0,SER_hh_fech_in!U28/SER_summary!U$27)</f>
        <v>12.90045690595211</v>
      </c>
      <c r="V28" s="147">
        <f>IF(SER_hh_fech_in!V28=0,0,SER_hh_fech_in!V28/SER_summary!V$27)</f>
        <v>11.832314240911607</v>
      </c>
      <c r="W28" s="147">
        <f>IF(SER_hh_fech_in!W28=0,0,SER_hh_fech_in!W28/SER_summary!W$27)</f>
        <v>13.249318194492174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22.178416251735097</v>
      </c>
      <c r="D29" s="131">
        <f>IF(SER_hh_fech_in!D29=0,0,SER_hh_fech_in!D29/SER_summary!D$27)</f>
        <v>27.60326065439488</v>
      </c>
      <c r="E29" s="131">
        <f>IF(SER_hh_fech_in!E29=0,0,SER_hh_fech_in!E29/SER_summary!E$27)</f>
        <v>24.466808025887701</v>
      </c>
      <c r="F29" s="131">
        <f>IF(SER_hh_fech_in!F29=0,0,SER_hh_fech_in!F29/SER_summary!F$27)</f>
        <v>20.599191693966233</v>
      </c>
      <c r="G29" s="131">
        <f>IF(SER_hh_fech_in!G29=0,0,SER_hh_fech_in!G29/SER_summary!G$27)</f>
        <v>21.764400704188951</v>
      </c>
      <c r="H29" s="131">
        <f>IF(SER_hh_fech_in!H29=0,0,SER_hh_fech_in!H29/SER_summary!H$27)</f>
        <v>21.177975852775585</v>
      </c>
      <c r="I29" s="131">
        <f>IF(SER_hh_fech_in!I29=0,0,SER_hh_fech_in!I29/SER_summary!I$27)</f>
        <v>22.286630284656091</v>
      </c>
      <c r="J29" s="131">
        <f>IF(SER_hh_fech_in!J29=0,0,SER_hh_fech_in!J29/SER_summary!J$27)</f>
        <v>23.604178921041299</v>
      </c>
      <c r="K29" s="131">
        <f>IF(SER_hh_fech_in!K29=0,0,SER_hh_fech_in!K29/SER_summary!K$27)</f>
        <v>26.631395158077886</v>
      </c>
      <c r="L29" s="131">
        <f>IF(SER_hh_fech_in!L29=0,0,SER_hh_fech_in!L29/SER_summary!L$27)</f>
        <v>24.829977322184199</v>
      </c>
      <c r="M29" s="131">
        <f>IF(SER_hh_fech_in!M29=0,0,SER_hh_fech_in!M29/SER_summary!M$27)</f>
        <v>23.258170950705637</v>
      </c>
      <c r="N29" s="131">
        <f>IF(SER_hh_fech_in!N29=0,0,SER_hh_fech_in!N29/SER_summary!N$27)</f>
        <v>23.227109792970232</v>
      </c>
      <c r="O29" s="131">
        <f>IF(SER_hh_fech_in!O29=0,0,SER_hh_fech_in!O29/SER_summary!O$27)</f>
        <v>24.591137008858851</v>
      </c>
      <c r="P29" s="131">
        <f>IF(SER_hh_fech_in!P29=0,0,SER_hh_fech_in!P29/SER_summary!P$27)</f>
        <v>25.179945908944195</v>
      </c>
      <c r="Q29" s="131">
        <f>IF(SER_hh_fech_in!Q29=0,0,SER_hh_fech_in!Q29/SER_summary!Q$27)</f>
        <v>25.623420054941271</v>
      </c>
      <c r="R29" s="131">
        <f>IF(SER_hh_fech_in!R29=0,0,SER_hh_fech_in!R29/SER_summary!R$27)</f>
        <v>23.930687315584642</v>
      </c>
      <c r="S29" s="131">
        <f>IF(SER_hh_fech_in!S29=0,0,SER_hh_fech_in!S29/SER_summary!S$27)</f>
        <v>23.791989501675761</v>
      </c>
      <c r="T29" s="131">
        <f>IF(SER_hh_fech_in!T29=0,0,SER_hh_fech_in!T29/SER_summary!T$27)</f>
        <v>23.642548072114138</v>
      </c>
      <c r="U29" s="131">
        <f>IF(SER_hh_fech_in!U29=0,0,SER_hh_fech_in!U29/SER_summary!U$27)</f>
        <v>24.657265961268536</v>
      </c>
      <c r="V29" s="131">
        <f>IF(SER_hh_fech_in!V29=0,0,SER_hh_fech_in!V29/SER_summary!V$27)</f>
        <v>22.25897991599944</v>
      </c>
      <c r="W29" s="131">
        <f>IF(SER_hh_fech_in!W29=0,0,SER_hh_fech_in!W29/SER_summary!W$27)</f>
        <v>24.484183128329747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12.068632763727049</v>
      </c>
      <c r="D30" s="133">
        <f>IF(SER_hh_fech_in!D30=0,0,SER_hh_fech_in!D30/SER_summary!D$27)</f>
        <v>29.429295944698115</v>
      </c>
      <c r="E30" s="133">
        <f>IF(SER_hh_fech_in!E30=0,0,SER_hh_fech_in!E30/SER_summary!E$27)</f>
        <v>29.044978025179734</v>
      </c>
      <c r="F30" s="133">
        <f>IF(SER_hh_fech_in!F30=0,0,SER_hh_fech_in!F30/SER_summary!F$27)</f>
        <v>31.826188443596806</v>
      </c>
      <c r="G30" s="133">
        <f>IF(SER_hh_fech_in!G30=0,0,SER_hh_fech_in!G30/SER_summary!G$27)</f>
        <v>26.196573761436753</v>
      </c>
      <c r="H30" s="133">
        <f>IF(SER_hh_fech_in!H30=0,0,SER_hh_fech_in!H30/SER_summary!H$27)</f>
        <v>0</v>
      </c>
      <c r="I30" s="133">
        <f>IF(SER_hh_fech_in!I30=0,0,SER_hh_fech_in!I30/SER_summary!I$27)</f>
        <v>26.078811367745544</v>
      </c>
      <c r="J30" s="133">
        <f>IF(SER_hh_fech_in!J30=0,0,SER_hh_fech_in!J30/SER_summary!J$27)</f>
        <v>28.754317720856825</v>
      </c>
      <c r="K30" s="133">
        <f>IF(SER_hh_fech_in!K30=0,0,SER_hh_fech_in!K30/SER_summary!K$27)</f>
        <v>27.532346638342005</v>
      </c>
      <c r="L30" s="133">
        <f>IF(SER_hh_fech_in!L30=0,0,SER_hh_fech_in!L30/SER_summary!L$27)</f>
        <v>29.9600996477986</v>
      </c>
      <c r="M30" s="133">
        <f>IF(SER_hh_fech_in!M30=0,0,SER_hh_fech_in!M30/SER_summary!M$27)</f>
        <v>30.444341996052813</v>
      </c>
      <c r="N30" s="133">
        <f>IF(SER_hh_fech_in!N30=0,0,SER_hh_fech_in!N30/SER_summary!N$27)</f>
        <v>28.227695192605896</v>
      </c>
      <c r="O30" s="133">
        <f>IF(SER_hh_fech_in!O30=0,0,SER_hh_fech_in!O30/SER_summary!O$27)</f>
        <v>26.477020115029248</v>
      </c>
      <c r="P30" s="133">
        <f>IF(SER_hh_fech_in!P30=0,0,SER_hh_fech_in!P30/SER_summary!P$27)</f>
        <v>27.768532017320869</v>
      </c>
      <c r="Q30" s="133">
        <f>IF(SER_hh_fech_in!Q30=0,0,SER_hh_fech_in!Q30/SER_summary!Q$27)</f>
        <v>31.036433471806617</v>
      </c>
      <c r="R30" s="133">
        <f>IF(SER_hh_fech_in!R30=0,0,SER_hh_fech_in!R30/SER_summary!R$27)</f>
        <v>29.220828101642031</v>
      </c>
      <c r="S30" s="133">
        <f>IF(SER_hh_fech_in!S30=0,0,SER_hh_fech_in!S30/SER_summary!S$27)</f>
        <v>31.991325463753892</v>
      </c>
      <c r="T30" s="133">
        <f>IF(SER_hh_fech_in!T30=0,0,SER_hh_fech_in!T30/SER_summary!T$27)</f>
        <v>26.81817506048975</v>
      </c>
      <c r="U30" s="133">
        <f>IF(SER_hh_fech_in!U30=0,0,SER_hh_fech_in!U30/SER_summary!U$27)</f>
        <v>30.63846045182849</v>
      </c>
      <c r="V30" s="133">
        <f>IF(SER_hh_fech_in!V30=0,0,SER_hh_fech_in!V30/SER_summary!V$27)</f>
        <v>25.633716589724283</v>
      </c>
      <c r="W30" s="133">
        <f>IF(SER_hh_fech_in!W30=0,0,SER_hh_fech_in!W30/SER_summary!W$27)</f>
        <v>28.59665210843513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26.415932478658778</v>
      </c>
      <c r="D31" s="133">
        <f>IF(SER_hh_fech_in!D31=0,0,SER_hh_fech_in!D31/SER_summary!D$27)</f>
        <v>26.309379927405796</v>
      </c>
      <c r="E31" s="133">
        <f>IF(SER_hh_fech_in!E31=0,0,SER_hh_fech_in!E31/SER_summary!E$27)</f>
        <v>27.335225829725054</v>
      </c>
      <c r="F31" s="133">
        <f>IF(SER_hh_fech_in!F31=0,0,SER_hh_fech_in!F31/SER_summary!F$27)</f>
        <v>29.565240763122482</v>
      </c>
      <c r="G31" s="133">
        <f>IF(SER_hh_fech_in!G31=0,0,SER_hh_fech_in!G31/SER_summary!G$27)</f>
        <v>0</v>
      </c>
      <c r="H31" s="133">
        <f>IF(SER_hh_fech_in!H31=0,0,SER_hh_fech_in!H31/SER_summary!H$27)</f>
        <v>0</v>
      </c>
      <c r="I31" s="133">
        <f>IF(SER_hh_fech_in!I31=0,0,SER_hh_fech_in!I31/SER_summary!I$27)</f>
        <v>25.978110974471694</v>
      </c>
      <c r="J31" s="133">
        <f>IF(SER_hh_fech_in!J31=0,0,SER_hh_fech_in!J31/SER_summary!J$27)</f>
        <v>24.231425470909322</v>
      </c>
      <c r="K31" s="133">
        <f>IF(SER_hh_fech_in!K31=0,0,SER_hh_fech_in!K31/SER_summary!K$27)</f>
        <v>30.601483670967184</v>
      </c>
      <c r="L31" s="133">
        <f>IF(SER_hh_fech_in!L31=0,0,SER_hh_fech_in!L31/SER_summary!L$27)</f>
        <v>28.568671949134956</v>
      </c>
      <c r="M31" s="133">
        <f>IF(SER_hh_fech_in!M31=0,0,SER_hh_fech_in!M31/SER_summary!M$27)</f>
        <v>28.88891774822336</v>
      </c>
      <c r="N31" s="133">
        <f>IF(SER_hh_fech_in!N31=0,0,SER_hh_fech_in!N31/SER_summary!N$27)</f>
        <v>26.99654743548852</v>
      </c>
      <c r="O31" s="133">
        <f>IF(SER_hh_fech_in!O31=0,0,SER_hh_fech_in!O31/SER_summary!O$27)</f>
        <v>28.410206099624816</v>
      </c>
      <c r="P31" s="133">
        <f>IF(SER_hh_fech_in!P31=0,0,SER_hh_fech_in!P31/SER_summary!P$27)</f>
        <v>29.757194407894179</v>
      </c>
      <c r="Q31" s="133">
        <f>IF(SER_hh_fech_in!Q31=0,0,SER_hh_fech_in!Q31/SER_summary!Q$27)</f>
        <v>30.469448626890117</v>
      </c>
      <c r="R31" s="133">
        <f>IF(SER_hh_fech_in!R31=0,0,SER_hh_fech_in!R31/SER_summary!R$27)</f>
        <v>28.931453591972836</v>
      </c>
      <c r="S31" s="133">
        <f>IF(SER_hh_fech_in!S31=0,0,SER_hh_fech_in!S31/SER_summary!S$27)</f>
        <v>29.210990421232413</v>
      </c>
      <c r="T31" s="133">
        <f>IF(SER_hh_fech_in!T31=0,0,SER_hh_fech_in!T31/SER_summary!T$27)</f>
        <v>29.512726153212778</v>
      </c>
      <c r="U31" s="133">
        <f>IF(SER_hh_fech_in!U31=0,0,SER_hh_fech_in!U31/SER_summary!U$27)</f>
        <v>27.936352043294391</v>
      </c>
      <c r="V31" s="133">
        <f>IF(SER_hh_fech_in!V31=0,0,SER_hh_fech_in!V31/SER_summary!V$27)</f>
        <v>24.606847072889025</v>
      </c>
      <c r="W31" s="133">
        <f>IF(SER_hh_fech_in!W31=0,0,SER_hh_fech_in!W31/SER_summary!W$27)</f>
        <v>32.830095865881965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22.574036969041781</v>
      </c>
      <c r="D33" s="68">
        <f>IF(SER_hh_fech_in!D33=0,0,SER_hh_fech_in!D33/SER_summary!D$27)</f>
        <v>19.486516212330901</v>
      </c>
      <c r="E33" s="68">
        <f>IF(SER_hh_fech_in!E33=0,0,SER_hh_fech_in!E33/SER_summary!E$27)</f>
        <v>18.146087716839038</v>
      </c>
      <c r="F33" s="68">
        <f>IF(SER_hh_fech_in!F33=0,0,SER_hh_fech_in!F33/SER_summary!F$27)</f>
        <v>16.945890380420281</v>
      </c>
      <c r="G33" s="68">
        <f>IF(SER_hh_fech_in!G33=0,0,SER_hh_fech_in!G33/SER_summary!G$27)</f>
        <v>21.540104202568969</v>
      </c>
      <c r="H33" s="68">
        <f>IF(SER_hh_fech_in!H33=0,0,SER_hh_fech_in!H33/SER_summary!H$27)</f>
        <v>21.177975852775585</v>
      </c>
      <c r="I33" s="68">
        <f>IF(SER_hh_fech_in!I33=0,0,SER_hh_fech_in!I33/SER_summary!I$27)</f>
        <v>20.553500808062946</v>
      </c>
      <c r="J33" s="68">
        <f>IF(SER_hh_fech_in!J33=0,0,SER_hh_fech_in!J33/SER_summary!J$27)</f>
        <v>20.832776060839112</v>
      </c>
      <c r="K33" s="68">
        <f>IF(SER_hh_fech_in!K33=0,0,SER_hh_fech_in!K33/SER_summary!K$27)</f>
        <v>20.399600545088376</v>
      </c>
      <c r="L33" s="68">
        <f>IF(SER_hh_fech_in!L33=0,0,SER_hh_fech_in!L33/SER_summary!L$27)</f>
        <v>21.031060477497803</v>
      </c>
      <c r="M33" s="68">
        <f>IF(SER_hh_fech_in!M33=0,0,SER_hh_fech_in!M33/SER_summary!M$27)</f>
        <v>20.995767394436584</v>
      </c>
      <c r="N33" s="68">
        <f>IF(SER_hh_fech_in!N33=0,0,SER_hh_fech_in!N33/SER_summary!N$27)</f>
        <v>22.308108924949472</v>
      </c>
      <c r="O33" s="68">
        <f>IF(SER_hh_fech_in!O33=0,0,SER_hh_fech_in!O33/SER_summary!O$27)</f>
        <v>22.323018260226227</v>
      </c>
      <c r="P33" s="68">
        <f>IF(SER_hh_fech_in!P33=0,0,SER_hh_fech_in!P33/SER_summary!P$27)</f>
        <v>21.708073882273546</v>
      </c>
      <c r="Q33" s="68">
        <f>IF(SER_hh_fech_in!Q33=0,0,SER_hh_fech_in!Q33/SER_summary!Q$27)</f>
        <v>21.033961641558673</v>
      </c>
      <c r="R33" s="68">
        <f>IF(SER_hh_fech_in!R33=0,0,SER_hh_fech_in!R33/SER_summary!R$27)</f>
        <v>22.100319336187809</v>
      </c>
      <c r="S33" s="68">
        <f>IF(SER_hh_fech_in!S33=0,0,SER_hh_fech_in!S33/SER_summary!S$27)</f>
        <v>21.037374814420438</v>
      </c>
      <c r="T33" s="68">
        <f>IF(SER_hh_fech_in!T33=0,0,SER_hh_fech_in!T33/SER_summary!T$27)</f>
        <v>21.233651264238798</v>
      </c>
      <c r="U33" s="68">
        <f>IF(SER_hh_fech_in!U33=0,0,SER_hh_fech_in!U33/SER_summary!U$27)</f>
        <v>20.755448732957699</v>
      </c>
      <c r="V33" s="68">
        <f>IF(SER_hh_fech_in!V33=0,0,SER_hh_fech_in!V33/SER_summary!V$27)</f>
        <v>19.39892334824469</v>
      </c>
      <c r="W33" s="68">
        <f>IF(SER_hh_fech_in!W33=0,0,SER_hh_fech_in!W33/SER_summary!W$27)</f>
        <v>18.344476795000993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165.20398210187389</v>
      </c>
      <c r="D3" s="126">
        <f>IF(SER_hh_tesh_in!D3=0,0,SER_hh_tesh_in!D3/SER_summary!D$27)</f>
        <v>158.32825625292179</v>
      </c>
      <c r="E3" s="126">
        <f>IF(SER_hh_tesh_in!E3=0,0,SER_hh_tesh_in!E3/SER_summary!E$27)</f>
        <v>184.31168019223816</v>
      </c>
      <c r="F3" s="126">
        <f>IF(SER_hh_tesh_in!F3=0,0,SER_hh_tesh_in!F3/SER_summary!F$27)</f>
        <v>164.59982703526904</v>
      </c>
      <c r="G3" s="126">
        <f>IF(SER_hh_tesh_in!G3=0,0,SER_hh_tesh_in!G3/SER_summary!G$27)</f>
        <v>166.71663632262923</v>
      </c>
      <c r="H3" s="126">
        <f>IF(SER_hh_tesh_in!H3=0,0,SER_hh_tesh_in!H3/SER_summary!H$27)</f>
        <v>159.68943400265232</v>
      </c>
      <c r="I3" s="126">
        <f>IF(SER_hh_tesh_in!I3=0,0,SER_hh_tesh_in!I3/SER_summary!I$27)</f>
        <v>147.28389743824044</v>
      </c>
      <c r="J3" s="126">
        <f>IF(SER_hh_tesh_in!J3=0,0,SER_hh_tesh_in!J3/SER_summary!J$27)</f>
        <v>142.91405052389993</v>
      </c>
      <c r="K3" s="126">
        <f>IF(SER_hh_tesh_in!K3=0,0,SER_hh_tesh_in!K3/SER_summary!K$27)</f>
        <v>152.92523965561935</v>
      </c>
      <c r="L3" s="126">
        <f>IF(SER_hh_tesh_in!L3=0,0,SER_hh_tesh_in!L3/SER_summary!L$27)</f>
        <v>156.78548756848843</v>
      </c>
      <c r="M3" s="126">
        <f>IF(SER_hh_tesh_in!M3=0,0,SER_hh_tesh_in!M3/SER_summary!M$27)</f>
        <v>134.35228849691606</v>
      </c>
      <c r="N3" s="126">
        <f>IF(SER_hh_tesh_in!N3=0,0,SER_hh_tesh_in!N3/SER_summary!N$27)</f>
        <v>141.16649408518688</v>
      </c>
      <c r="O3" s="126">
        <f>IF(SER_hh_tesh_in!O3=0,0,SER_hh_tesh_in!O3/SER_summary!O$27)</f>
        <v>142.19122031737973</v>
      </c>
      <c r="P3" s="126">
        <f>IF(SER_hh_tesh_in!P3=0,0,SER_hh_tesh_in!P3/SER_summary!P$27)</f>
        <v>123.81773887615878</v>
      </c>
      <c r="Q3" s="126">
        <f>IF(SER_hh_tesh_in!Q3=0,0,SER_hh_tesh_in!Q3/SER_summary!Q$27)</f>
        <v>129.54603168345753</v>
      </c>
      <c r="R3" s="126">
        <f>IF(SER_hh_tesh_in!R3=0,0,SER_hh_tesh_in!R3/SER_summary!R$27)</f>
        <v>123.78643644996281</v>
      </c>
      <c r="S3" s="126">
        <f>IF(SER_hh_tesh_in!S3=0,0,SER_hh_tesh_in!S3/SER_summary!S$27)</f>
        <v>121.7480920703799</v>
      </c>
      <c r="T3" s="126">
        <f>IF(SER_hh_tesh_in!T3=0,0,SER_hh_tesh_in!T3/SER_summary!T$27)</f>
        <v>117.40407631697066</v>
      </c>
      <c r="U3" s="126">
        <f>IF(SER_hh_tesh_in!U3=0,0,SER_hh_tesh_in!U3/SER_summary!U$27)</f>
        <v>109.91602552240678</v>
      </c>
      <c r="V3" s="126">
        <f>IF(SER_hh_tesh_in!V3=0,0,SER_hh_tesh_in!V3/SER_summary!V$27)</f>
        <v>98.335917278353321</v>
      </c>
      <c r="W3" s="126">
        <f>IF(SER_hh_tesh_in!W3=0,0,SER_hh_tesh_in!W3/SER_summary!W$27)</f>
        <v>91.732412874221467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106.13357304358178</v>
      </c>
      <c r="D4" s="131">
        <f>IF(SER_hh_tesh_in!D4=0,0,SER_hh_tesh_in!D4/SER_summary!D$27)</f>
        <v>99.447988140209119</v>
      </c>
      <c r="E4" s="131">
        <f>IF(SER_hh_tesh_in!E4=0,0,SER_hh_tesh_in!E4/SER_summary!E$27)</f>
        <v>107.58948557468892</v>
      </c>
      <c r="F4" s="131">
        <f>IF(SER_hh_tesh_in!F4=0,0,SER_hh_tesh_in!F4/SER_summary!F$27)</f>
        <v>107.44507568000472</v>
      </c>
      <c r="G4" s="131">
        <f>IF(SER_hh_tesh_in!G4=0,0,SER_hh_tesh_in!G4/SER_summary!G$27)</f>
        <v>105.51998440473233</v>
      </c>
      <c r="H4" s="131">
        <f>IF(SER_hh_tesh_in!H4=0,0,SER_hh_tesh_in!H4/SER_summary!H$27)</f>
        <v>95.472951504320449</v>
      </c>
      <c r="I4" s="131">
        <f>IF(SER_hh_tesh_in!I4=0,0,SER_hh_tesh_in!I4/SER_summary!I$27)</f>
        <v>90.803913897559326</v>
      </c>
      <c r="J4" s="131">
        <f>IF(SER_hh_tesh_in!J4=0,0,SER_hh_tesh_in!J4/SER_summary!J$27)</f>
        <v>86.44621703646277</v>
      </c>
      <c r="K4" s="131">
        <f>IF(SER_hh_tesh_in!K4=0,0,SER_hh_tesh_in!K4/SER_summary!K$27)</f>
        <v>93.652184054415628</v>
      </c>
      <c r="L4" s="131">
        <f>IF(SER_hh_tesh_in!L4=0,0,SER_hh_tesh_in!L4/SER_summary!L$27)</f>
        <v>98.716900501893761</v>
      </c>
      <c r="M4" s="131">
        <f>IF(SER_hh_tesh_in!M4=0,0,SER_hh_tesh_in!M4/SER_summary!M$27)</f>
        <v>77.301853244031449</v>
      </c>
      <c r="N4" s="131">
        <f>IF(SER_hh_tesh_in!N4=0,0,SER_hh_tesh_in!N4/SER_summary!N$27)</f>
        <v>82.635678347028787</v>
      </c>
      <c r="O4" s="131">
        <f>IF(SER_hh_tesh_in!O4=0,0,SER_hh_tesh_in!O4/SER_summary!O$27)</f>
        <v>84.371292706511795</v>
      </c>
      <c r="P4" s="131">
        <f>IF(SER_hh_tesh_in!P4=0,0,SER_hh_tesh_in!P4/SER_summary!P$27)</f>
        <v>68.135611086075897</v>
      </c>
      <c r="Q4" s="131">
        <f>IF(SER_hh_tesh_in!Q4=0,0,SER_hh_tesh_in!Q4/SER_summary!Q$27)</f>
        <v>68.924999379599527</v>
      </c>
      <c r="R4" s="131">
        <f>IF(SER_hh_tesh_in!R4=0,0,SER_hh_tesh_in!R4/SER_summary!R$27)</f>
        <v>66.631695542018093</v>
      </c>
      <c r="S4" s="131">
        <f>IF(SER_hh_tesh_in!S4=0,0,SER_hh_tesh_in!S4/SER_summary!S$27)</f>
        <v>63.997017742822159</v>
      </c>
      <c r="T4" s="131">
        <f>IF(SER_hh_tesh_in!T4=0,0,SER_hh_tesh_in!T4/SER_summary!T$27)</f>
        <v>60.22808747107397</v>
      </c>
      <c r="U4" s="131">
        <f>IF(SER_hh_tesh_in!U4=0,0,SER_hh_tesh_in!U4/SER_summary!U$27)</f>
        <v>54.250815779978453</v>
      </c>
      <c r="V4" s="131">
        <f>IF(SER_hh_tesh_in!V4=0,0,SER_hh_tesh_in!V4/SER_summary!V$27)</f>
        <v>45.839945146198723</v>
      </c>
      <c r="W4" s="131">
        <f>IF(SER_hh_tesh_in!W4=0,0,SER_hh_tesh_in!W4/SER_summary!W$27)</f>
        <v>42.180082719800318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102.29889867278474</v>
      </c>
      <c r="G5" s="133">
        <f>IF(SER_hh_tesh_in!G5=0,0,SER_hh_tesh_in!G5/SER_summary!G$27)</f>
        <v>103.71728682372853</v>
      </c>
      <c r="H5" s="133">
        <f>IF(SER_hh_tesh_in!H5=0,0,SER_hh_tesh_in!H5/SER_summary!H$27)</f>
        <v>98.29550790936851</v>
      </c>
      <c r="I5" s="133">
        <f>IF(SER_hh_tesh_in!I5=0,0,SER_hh_tesh_in!I5/SER_summary!I$27)</f>
        <v>93.6457049090818</v>
      </c>
      <c r="J5" s="133">
        <f>IF(SER_hh_tesh_in!J5=0,0,SER_hh_tesh_in!J5/SER_summary!J$27)</f>
        <v>88.363129317358869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88.264033016263056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51.407446717583653</v>
      </c>
      <c r="V5" s="133">
        <f>IF(SER_hh_tesh_in!V5=0,0,SER_hh_tesh_in!V5/SER_summary!V$27)</f>
        <v>43.523597031761284</v>
      </c>
      <c r="W5" s="133">
        <f>IF(SER_hh_tesh_in!W5=0,0,SER_hh_tesh_in!W5/SER_summary!W$27)</f>
        <v>43.872670046052555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108.14125782058913</v>
      </c>
      <c r="D7" s="133">
        <f>IF(SER_hh_tesh_in!D7=0,0,SER_hh_tesh_in!D7/SER_summary!D$27)</f>
        <v>94.9512626327829</v>
      </c>
      <c r="E7" s="133">
        <f>IF(SER_hh_tesh_in!E7=0,0,SER_hh_tesh_in!E7/SER_summary!E$27)</f>
        <v>102.6396417186496</v>
      </c>
      <c r="F7" s="133">
        <f>IF(SER_hh_tesh_in!F7=0,0,SER_hh_tesh_in!F7/SER_summary!F$27)</f>
        <v>105.04148568206158</v>
      </c>
      <c r="G7" s="133">
        <f>IF(SER_hh_tesh_in!G7=0,0,SER_hh_tesh_in!G7/SER_summary!G$27)</f>
        <v>101.9619702680171</v>
      </c>
      <c r="H7" s="133">
        <f>IF(SER_hh_tesh_in!H7=0,0,SER_hh_tesh_in!H7/SER_summary!H$27)</f>
        <v>94.225093356759473</v>
      </c>
      <c r="I7" s="133">
        <f>IF(SER_hh_tesh_in!I7=0,0,SER_hh_tesh_in!I7/SER_summary!I$27)</f>
        <v>81.106213024083587</v>
      </c>
      <c r="J7" s="133">
        <f>IF(SER_hh_tesh_in!J7=0,0,SER_hh_tesh_in!J7/SER_summary!J$27)</f>
        <v>96.046326622768447</v>
      </c>
      <c r="K7" s="133">
        <f>IF(SER_hh_tesh_in!K7=0,0,SER_hh_tesh_in!K7/SER_summary!K$27)</f>
        <v>93.437640003052152</v>
      </c>
      <c r="L7" s="133">
        <f>IF(SER_hh_tesh_in!L7=0,0,SER_hh_tesh_in!L7/SER_summary!L$27)</f>
        <v>89.513757511803504</v>
      </c>
      <c r="M7" s="133">
        <f>IF(SER_hh_tesh_in!M7=0,0,SER_hh_tesh_in!M7/SER_summary!M$27)</f>
        <v>76.752019291570292</v>
      </c>
      <c r="N7" s="133">
        <f>IF(SER_hh_tesh_in!N7=0,0,SER_hh_tesh_in!N7/SER_summary!N$27)</f>
        <v>79.636905526769297</v>
      </c>
      <c r="O7" s="133">
        <f>IF(SER_hh_tesh_in!O7=0,0,SER_hh_tesh_in!O7/SER_summary!O$27)</f>
        <v>81.402114297428454</v>
      </c>
      <c r="P7" s="133">
        <f>IF(SER_hh_tesh_in!P7=0,0,SER_hh_tesh_in!P7/SER_summary!P$27)</f>
        <v>69.266846737992637</v>
      </c>
      <c r="Q7" s="133">
        <f>IF(SER_hh_tesh_in!Q7=0,0,SER_hh_tesh_in!Q7/SER_summary!Q$27)</f>
        <v>69.888183594644161</v>
      </c>
      <c r="R7" s="133">
        <f>IF(SER_hh_tesh_in!R7=0,0,SER_hh_tesh_in!R7/SER_summary!R$27)</f>
        <v>61.834821175847708</v>
      </c>
      <c r="S7" s="133">
        <f>IF(SER_hh_tesh_in!S7=0,0,SER_hh_tesh_in!S7/SER_summary!S$27)</f>
        <v>62.852200411047072</v>
      </c>
      <c r="T7" s="133">
        <f>IF(SER_hh_tesh_in!T7=0,0,SER_hh_tesh_in!T7/SER_summary!T$27)</f>
        <v>57.786046621590529</v>
      </c>
      <c r="U7" s="133">
        <f>IF(SER_hh_tesh_in!U7=0,0,SER_hh_tesh_in!U7/SER_summary!U$27)</f>
        <v>52.86213516680273</v>
      </c>
      <c r="V7" s="133">
        <f>IF(SER_hh_tesh_in!V7=0,0,SER_hh_tesh_in!V7/SER_summary!V$27)</f>
        <v>46.325587318784955</v>
      </c>
      <c r="W7" s="133">
        <f>IF(SER_hh_tesh_in!W7=0,0,SER_hh_tesh_in!W7/SER_summary!W$27)</f>
        <v>40.063523044868802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93.481863584739386</v>
      </c>
      <c r="D8" s="133">
        <f>IF(SER_hh_tesh_in!D8=0,0,SER_hh_tesh_in!D8/SER_summary!D$27)</f>
        <v>79.002529295091065</v>
      </c>
      <c r="E8" s="133">
        <f>IF(SER_hh_tesh_in!E8=0,0,SER_hh_tesh_in!E8/SER_summary!E$27)</f>
        <v>86.796042225595443</v>
      </c>
      <c r="F8" s="133">
        <f>IF(SER_hh_tesh_in!F8=0,0,SER_hh_tesh_in!F8/SER_summary!F$27)</f>
        <v>81.925471402526014</v>
      </c>
      <c r="G8" s="133">
        <f>IF(SER_hh_tesh_in!G8=0,0,SER_hh_tesh_in!G8/SER_summary!G$27)</f>
        <v>108.99982051479893</v>
      </c>
      <c r="H8" s="133">
        <f>IF(SER_hh_tesh_in!H8=0,0,SER_hh_tesh_in!H8/SER_summary!H$27)</f>
        <v>96.236089079933635</v>
      </c>
      <c r="I8" s="133">
        <f>IF(SER_hh_tesh_in!I8=0,0,SER_hh_tesh_in!I8/SER_summary!I$27)</f>
        <v>95.131838921009262</v>
      </c>
      <c r="J8" s="133">
        <f>IF(SER_hh_tesh_in!J8=0,0,SER_hh_tesh_in!J8/SER_summary!J$27)</f>
        <v>97.052016233111615</v>
      </c>
      <c r="K8" s="133">
        <f>IF(SER_hh_tesh_in!K8=0,0,SER_hh_tesh_in!K8/SER_summary!K$27)</f>
        <v>75.527108241815185</v>
      </c>
      <c r="L8" s="133">
        <f>IF(SER_hh_tesh_in!L8=0,0,SER_hh_tesh_in!L8/SER_summary!L$27)</f>
        <v>63.571448027103798</v>
      </c>
      <c r="M8" s="133">
        <f>IF(SER_hh_tesh_in!M8=0,0,SER_hh_tesh_in!M8/SER_summary!M$27)</f>
        <v>86.994579856765071</v>
      </c>
      <c r="N8" s="133">
        <f>IF(SER_hh_tesh_in!N8=0,0,SER_hh_tesh_in!N8/SER_summary!N$27)</f>
        <v>77.749256165899268</v>
      </c>
      <c r="O8" s="133">
        <f>IF(SER_hh_tesh_in!O8=0,0,SER_hh_tesh_in!O8/SER_summary!O$27)</f>
        <v>82.437820218304751</v>
      </c>
      <c r="P8" s="133">
        <f>IF(SER_hh_tesh_in!P8=0,0,SER_hh_tesh_in!P8/SER_summary!P$27)</f>
        <v>69.87574422177174</v>
      </c>
      <c r="Q8" s="133">
        <f>IF(SER_hh_tesh_in!Q8=0,0,SER_hh_tesh_in!Q8/SER_summary!Q$27)</f>
        <v>71.936359189340976</v>
      </c>
      <c r="R8" s="133">
        <f>IF(SER_hh_tesh_in!R8=0,0,SER_hh_tesh_in!R8/SER_summary!R$27)</f>
        <v>69.070110927391568</v>
      </c>
      <c r="S8" s="133">
        <f>IF(SER_hh_tesh_in!S8=0,0,SER_hh_tesh_in!S8/SER_summary!S$27)</f>
        <v>64.449446740127883</v>
      </c>
      <c r="T8" s="133">
        <f>IF(SER_hh_tesh_in!T8=0,0,SER_hh_tesh_in!T8/SER_summary!T$27)</f>
        <v>60.511622988277843</v>
      </c>
      <c r="U8" s="133">
        <f>IF(SER_hh_tesh_in!U8=0,0,SER_hh_tesh_in!U8/SER_summary!U$27)</f>
        <v>55.745694669123431</v>
      </c>
      <c r="V8" s="133">
        <f>IF(SER_hh_tesh_in!V8=0,0,SER_hh_tesh_in!V8/SER_summary!V$27)</f>
        <v>44.746882189791123</v>
      </c>
      <c r="W8" s="133">
        <f>IF(SER_hh_tesh_in!W8=0,0,SER_hh_tesh_in!W8/SER_summary!W$27)</f>
        <v>42.532685795804802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105.08262182777115</v>
      </c>
      <c r="D9" s="133">
        <f>IF(SER_hh_tesh_in!D9=0,0,SER_hh_tesh_in!D9/SER_summary!D$27)</f>
        <v>86.142141275801578</v>
      </c>
      <c r="E9" s="133">
        <f>IF(SER_hh_tesh_in!E9=0,0,SER_hh_tesh_in!E9/SER_summary!E$27)</f>
        <v>107.88575805804452</v>
      </c>
      <c r="F9" s="133">
        <f>IF(SER_hh_tesh_in!F9=0,0,SER_hh_tesh_in!F9/SER_summary!F$27)</f>
        <v>106.07411036722154</v>
      </c>
      <c r="G9" s="133">
        <f>IF(SER_hh_tesh_in!G9=0,0,SER_hh_tesh_in!G9/SER_summary!G$27)</f>
        <v>107.17704607372977</v>
      </c>
      <c r="H9" s="133">
        <f>IF(SER_hh_tesh_in!H9=0,0,SER_hh_tesh_in!H9/SER_summary!H$27)</f>
        <v>91.718586737656267</v>
      </c>
      <c r="I9" s="133">
        <f>IF(SER_hh_tesh_in!I9=0,0,SER_hh_tesh_in!I9/SER_summary!I$27)</f>
        <v>90.545819474296749</v>
      </c>
      <c r="J9" s="133">
        <f>IF(SER_hh_tesh_in!J9=0,0,SER_hh_tesh_in!J9/SER_summary!J$27)</f>
        <v>78.559008745496982</v>
      </c>
      <c r="K9" s="133">
        <f>IF(SER_hh_tesh_in!K9=0,0,SER_hh_tesh_in!K9/SER_summary!K$27)</f>
        <v>93.094214934996316</v>
      </c>
      <c r="L9" s="133">
        <f>IF(SER_hh_tesh_in!L9=0,0,SER_hh_tesh_in!L9/SER_summary!L$27)</f>
        <v>102.2565992916351</v>
      </c>
      <c r="M9" s="133">
        <f>IF(SER_hh_tesh_in!M9=0,0,SER_hh_tesh_in!M9/SER_summary!M$27)</f>
        <v>71.025435146352422</v>
      </c>
      <c r="N9" s="133">
        <f>IF(SER_hh_tesh_in!N9=0,0,SER_hh_tesh_in!N9/SER_summary!N$27)</f>
        <v>82.303494303617583</v>
      </c>
      <c r="O9" s="133">
        <f>IF(SER_hh_tesh_in!O9=0,0,SER_hh_tesh_in!O9/SER_summary!O$27)</f>
        <v>84.860519028731545</v>
      </c>
      <c r="P9" s="133">
        <f>IF(SER_hh_tesh_in!P9=0,0,SER_hh_tesh_in!P9/SER_summary!P$27)</f>
        <v>66.027582057596845</v>
      </c>
      <c r="Q9" s="133">
        <f>IF(SER_hh_tesh_in!Q9=0,0,SER_hh_tesh_in!Q9/SER_summary!Q$27)</f>
        <v>67.689158461523007</v>
      </c>
      <c r="R9" s="133">
        <f>IF(SER_hh_tesh_in!R9=0,0,SER_hh_tesh_in!R9/SER_summary!R$27)</f>
        <v>64.78698381993955</v>
      </c>
      <c r="S9" s="133">
        <f>IF(SER_hh_tesh_in!S9=0,0,SER_hh_tesh_in!S9/SER_summary!S$27)</f>
        <v>62.742350285219842</v>
      </c>
      <c r="T9" s="133">
        <f>IF(SER_hh_tesh_in!T9=0,0,SER_hh_tesh_in!T9/SER_summary!T$27)</f>
        <v>60.422666646966469</v>
      </c>
      <c r="U9" s="133">
        <f>IF(SER_hh_tesh_in!U9=0,0,SER_hh_tesh_in!U9/SER_summary!U$27)</f>
        <v>54.330029727861124</v>
      </c>
      <c r="V9" s="133">
        <f>IF(SER_hh_tesh_in!V9=0,0,SER_hh_tesh_in!V9/SER_summary!V$27)</f>
        <v>45.428491799632241</v>
      </c>
      <c r="W9" s="133">
        <f>IF(SER_hh_tesh_in!W9=0,0,SER_hh_tesh_in!W9/SER_summary!W$27)</f>
        <v>40.566147210283113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100.95794414289283</v>
      </c>
      <c r="D10" s="133">
        <f>IF(SER_hh_tesh_in!D10=0,0,SER_hh_tesh_in!D10/SER_summary!D$27)</f>
        <v>102.54812541820898</v>
      </c>
      <c r="E10" s="133">
        <f>IF(SER_hh_tesh_in!E10=0,0,SER_hh_tesh_in!E10/SER_summary!E$27)</f>
        <v>113.75030882035422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92.967448554337722</v>
      </c>
      <c r="J10" s="133">
        <f>IF(SER_hh_tesh_in!J10=0,0,SER_hh_tesh_in!J10/SER_summary!J$27)</f>
        <v>88.658189275030324</v>
      </c>
      <c r="K10" s="133">
        <f>IF(SER_hh_tesh_in!K10=0,0,SER_hh_tesh_in!K10/SER_summary!K$27)</f>
        <v>111.84916409744457</v>
      </c>
      <c r="L10" s="133">
        <f>IF(SER_hh_tesh_in!L10=0,0,SER_hh_tesh_in!L10/SER_summary!L$27)</f>
        <v>96.264329530653157</v>
      </c>
      <c r="M10" s="133">
        <f>IF(SER_hh_tesh_in!M10=0,0,SER_hh_tesh_in!M10/SER_summary!M$27)</f>
        <v>63.824899795110923</v>
      </c>
      <c r="N10" s="133">
        <f>IF(SER_hh_tesh_in!N10=0,0,SER_hh_tesh_in!N10/SER_summary!N$27)</f>
        <v>74.751586372112286</v>
      </c>
      <c r="O10" s="133">
        <f>IF(SER_hh_tesh_in!O10=0,0,SER_hh_tesh_in!O10/SER_summary!O$27)</f>
        <v>91.180608197793433</v>
      </c>
      <c r="P10" s="133">
        <f>IF(SER_hh_tesh_in!P10=0,0,SER_hh_tesh_in!P10/SER_summary!P$27)</f>
        <v>72.2079132939093</v>
      </c>
      <c r="Q10" s="133">
        <f>IF(SER_hh_tesh_in!Q10=0,0,SER_hh_tesh_in!Q10/SER_summary!Q$27)</f>
        <v>64.431879208084908</v>
      </c>
      <c r="R10" s="133">
        <f>IF(SER_hh_tesh_in!R10=0,0,SER_hh_tesh_in!R10/SER_summary!R$27)</f>
        <v>67.468096508938686</v>
      </c>
      <c r="S10" s="133">
        <f>IF(SER_hh_tesh_in!S10=0,0,SER_hh_tesh_in!S10/SER_summary!S$27)</f>
        <v>65.996165893839404</v>
      </c>
      <c r="T10" s="133">
        <f>IF(SER_hh_tesh_in!T10=0,0,SER_hh_tesh_in!T10/SER_summary!T$27)</f>
        <v>56.539567226776981</v>
      </c>
      <c r="U10" s="133">
        <f>IF(SER_hh_tesh_in!U10=0,0,SER_hh_tesh_in!U10/SER_summary!U$27)</f>
        <v>51.434426296182181</v>
      </c>
      <c r="V10" s="133">
        <f>IF(SER_hh_tesh_in!V10=0,0,SER_hh_tesh_in!V10/SER_summary!V$27)</f>
        <v>45.862754524602401</v>
      </c>
      <c r="W10" s="133">
        <f>IF(SER_hh_tesh_in!W10=0,0,SER_hh_tesh_in!W10/SER_summary!W$27)</f>
        <v>43.198710652588979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217.52665659267151</v>
      </c>
      <c r="E11" s="133">
        <f>IF(SER_hh_tesh_in!E11=0,0,SER_hh_tesh_in!E11/SER_summary!E$27)</f>
        <v>191.69568884474359</v>
      </c>
      <c r="F11" s="133">
        <f>IF(SER_hh_tesh_in!F11=0,0,SER_hh_tesh_in!F11/SER_summary!F$27)</f>
        <v>188.76307592989892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87.094946804589597</v>
      </c>
      <c r="L11" s="133">
        <f>IF(SER_hh_tesh_in!L11=0,0,SER_hh_tesh_in!L11/SER_summary!L$27)</f>
        <v>82.0510296685718</v>
      </c>
      <c r="M11" s="133">
        <f>IF(SER_hh_tesh_in!M11=0,0,SER_hh_tesh_in!M11/SER_summary!M$27)</f>
        <v>87.425767360314083</v>
      </c>
      <c r="N11" s="133">
        <f>IF(SER_hh_tesh_in!N11=0,0,SER_hh_tesh_in!N11/SER_summary!N$27)</f>
        <v>82.248154082856644</v>
      </c>
      <c r="O11" s="133">
        <f>IF(SER_hh_tesh_in!O11=0,0,SER_hh_tesh_in!O11/SER_summary!O$27)</f>
        <v>78.111239884163865</v>
      </c>
      <c r="P11" s="133">
        <f>IF(SER_hh_tesh_in!P11=0,0,SER_hh_tesh_in!P11/SER_summary!P$27)</f>
        <v>70.45811436190877</v>
      </c>
      <c r="Q11" s="133">
        <f>IF(SER_hh_tesh_in!Q11=0,0,SER_hh_tesh_in!Q11/SER_summary!Q$27)</f>
        <v>68.23487007510019</v>
      </c>
      <c r="R11" s="133">
        <f>IF(SER_hh_tesh_in!R11=0,0,SER_hh_tesh_in!R11/SER_summary!R$27)</f>
        <v>65.911836907609654</v>
      </c>
      <c r="S11" s="133">
        <f>IF(SER_hh_tesh_in!S11=0,0,SER_hh_tesh_in!S11/SER_summary!S$27)</f>
        <v>63.747117250026477</v>
      </c>
      <c r="T11" s="133">
        <f>IF(SER_hh_tesh_in!T11=0,0,SER_hh_tesh_in!T11/SER_summary!T$27)</f>
        <v>60.393962263247893</v>
      </c>
      <c r="U11" s="133">
        <f>IF(SER_hh_tesh_in!U11=0,0,SER_hh_tesh_in!U11/SER_summary!U$27)</f>
        <v>54.867755533143857</v>
      </c>
      <c r="V11" s="133">
        <f>IF(SER_hh_tesh_in!V11=0,0,SER_hh_tesh_in!V11/SER_summary!V$27)</f>
        <v>48.473931117188386</v>
      </c>
      <c r="W11" s="133">
        <f>IF(SER_hh_tesh_in!W11=0,0,SER_hh_tesh_in!W11/SER_summary!W$27)</f>
        <v>38.875726857939526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106.2919366010957</v>
      </c>
      <c r="D12" s="133">
        <f>IF(SER_hh_tesh_in!D12=0,0,SER_hh_tesh_in!D12/SER_summary!D$27)</f>
        <v>106.18281069097686</v>
      </c>
      <c r="E12" s="133">
        <f>IF(SER_hh_tesh_in!E12=0,0,SER_hh_tesh_in!E12/SER_summary!E$27)</f>
        <v>102.63357833548662</v>
      </c>
      <c r="F12" s="133">
        <f>IF(SER_hh_tesh_in!F12=0,0,SER_hh_tesh_in!F12/SER_summary!F$27)</f>
        <v>103.7653887973028</v>
      </c>
      <c r="G12" s="133">
        <f>IF(SER_hh_tesh_in!G12=0,0,SER_hh_tesh_in!G12/SER_summary!G$27)</f>
        <v>111.21269779550101</v>
      </c>
      <c r="H12" s="133">
        <f>IF(SER_hh_tesh_in!H12=0,0,SER_hh_tesh_in!H12/SER_summary!H$27)</f>
        <v>0</v>
      </c>
      <c r="I12" s="133">
        <f>IF(SER_hh_tesh_in!I12=0,0,SER_hh_tesh_in!I12/SER_summary!I$27)</f>
        <v>0</v>
      </c>
      <c r="J12" s="133">
        <f>IF(SER_hh_tesh_in!J12=0,0,SER_hh_tesh_in!J12/SER_summary!J$27)</f>
        <v>0</v>
      </c>
      <c r="K12" s="133">
        <f>IF(SER_hh_tesh_in!K12=0,0,SER_hh_tesh_in!K12/SER_summary!K$27)</f>
        <v>0</v>
      </c>
      <c r="L12" s="133">
        <f>IF(SER_hh_tesh_in!L12=0,0,SER_hh_tesh_in!L12/SER_summary!L$27)</f>
        <v>95.555829501253683</v>
      </c>
      <c r="M12" s="133">
        <f>IF(SER_hh_tesh_in!M12=0,0,SER_hh_tesh_in!M12/SER_summary!M$27)</f>
        <v>79.496514498161233</v>
      </c>
      <c r="N12" s="133">
        <f>IF(SER_hh_tesh_in!N12=0,0,SER_hh_tesh_in!N12/SER_summary!N$27)</f>
        <v>78.255172257549461</v>
      </c>
      <c r="O12" s="133">
        <f>IF(SER_hh_tesh_in!O12=0,0,SER_hh_tesh_in!O12/SER_summary!O$27)</f>
        <v>79.432323889448199</v>
      </c>
      <c r="P12" s="133">
        <f>IF(SER_hh_tesh_in!P12=0,0,SER_hh_tesh_in!P12/SER_summary!P$27)</f>
        <v>69.083136220205333</v>
      </c>
      <c r="Q12" s="133">
        <f>IF(SER_hh_tesh_in!Q12=0,0,SER_hh_tesh_in!Q12/SER_summary!Q$27)</f>
        <v>68.054668338275562</v>
      </c>
      <c r="R12" s="133">
        <f>IF(SER_hh_tesh_in!R12=0,0,SER_hh_tesh_in!R12/SER_summary!R$27)</f>
        <v>68.416625760281605</v>
      </c>
      <c r="S12" s="133">
        <f>IF(SER_hh_tesh_in!S12=0,0,SER_hh_tesh_in!S12/SER_summary!S$27)</f>
        <v>65.484255636196167</v>
      </c>
      <c r="T12" s="133">
        <f>IF(SER_hh_tesh_in!T12=0,0,SER_hh_tesh_in!T12/SER_summary!T$27)</f>
        <v>58.652315782821226</v>
      </c>
      <c r="U12" s="133">
        <f>IF(SER_hh_tesh_in!U12=0,0,SER_hh_tesh_in!U12/SER_summary!U$27)</f>
        <v>52.896722318656757</v>
      </c>
      <c r="V12" s="133">
        <f>IF(SER_hh_tesh_in!V12=0,0,SER_hh_tesh_in!V12/SER_summary!V$27)</f>
        <v>46.925622559752412</v>
      </c>
      <c r="W12" s="133">
        <f>IF(SER_hh_tesh_in!W12=0,0,SER_hh_tesh_in!W12/SER_summary!W$27)</f>
        <v>42.552704672213011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99.66906010257226</v>
      </c>
      <c r="D13" s="133">
        <f>IF(SER_hh_tesh_in!D13=0,0,SER_hh_tesh_in!D13/SER_summary!D$27)</f>
        <v>103.30367711189935</v>
      </c>
      <c r="E13" s="133">
        <f>IF(SER_hh_tesh_in!E13=0,0,SER_hh_tesh_in!E13/SER_summary!E$27)</f>
        <v>103.76330265217095</v>
      </c>
      <c r="F13" s="133">
        <f>IF(SER_hh_tesh_in!F13=0,0,SER_hh_tesh_in!F13/SER_summary!F$27)</f>
        <v>102.49588104495987</v>
      </c>
      <c r="G13" s="133">
        <f>IF(SER_hh_tesh_in!G13=0,0,SER_hh_tesh_in!G13/SER_summary!G$27)</f>
        <v>104.0908489040375</v>
      </c>
      <c r="H13" s="133">
        <f>IF(SER_hh_tesh_in!H13=0,0,SER_hh_tesh_in!H13/SER_summary!H$27)</f>
        <v>96.877145317379146</v>
      </c>
      <c r="I13" s="133">
        <f>IF(SER_hh_tesh_in!I13=0,0,SER_hh_tesh_in!I13/SER_summary!I$27)</f>
        <v>88.381354804199347</v>
      </c>
      <c r="J13" s="133">
        <f>IF(SER_hh_tesh_in!J13=0,0,SER_hh_tesh_in!J13/SER_summary!J$27)</f>
        <v>91.533995145810721</v>
      </c>
      <c r="K13" s="133">
        <f>IF(SER_hh_tesh_in!K13=0,0,SER_hh_tesh_in!K13/SER_summary!K$27)</f>
        <v>85.958416363746295</v>
      </c>
      <c r="L13" s="133">
        <f>IF(SER_hh_tesh_in!L13=0,0,SER_hh_tesh_in!L13/SER_summary!L$27)</f>
        <v>77.052563025567494</v>
      </c>
      <c r="M13" s="133">
        <f>IF(SER_hh_tesh_in!M13=0,0,SER_hh_tesh_in!M13/SER_summary!M$27)</f>
        <v>87.269650272556589</v>
      </c>
      <c r="N13" s="133">
        <f>IF(SER_hh_tesh_in!N13=0,0,SER_hh_tesh_in!N13/SER_summary!N$27)</f>
        <v>86.482707862508548</v>
      </c>
      <c r="O13" s="133">
        <f>IF(SER_hh_tesh_in!O13=0,0,SER_hh_tesh_in!O13/SER_summary!O$27)</f>
        <v>85.233030026024295</v>
      </c>
      <c r="P13" s="133">
        <f>IF(SER_hh_tesh_in!P13=0,0,SER_hh_tesh_in!P13/SER_summary!P$27)</f>
        <v>67.529192018350273</v>
      </c>
      <c r="Q13" s="133">
        <f>IF(SER_hh_tesh_in!Q13=0,0,SER_hh_tesh_in!Q13/SER_summary!Q$27)</f>
        <v>67.284177489257544</v>
      </c>
      <c r="R13" s="133">
        <f>IF(SER_hh_tesh_in!R13=0,0,SER_hh_tesh_in!R13/SER_summary!R$27)</f>
        <v>68.848660002905575</v>
      </c>
      <c r="S13" s="133">
        <f>IF(SER_hh_tesh_in!S13=0,0,SER_hh_tesh_in!S13/SER_summary!S$27)</f>
        <v>62.728343452978976</v>
      </c>
      <c r="T13" s="133">
        <f>IF(SER_hh_tesh_in!T13=0,0,SER_hh_tesh_in!T13/SER_summary!T$27)</f>
        <v>54.744699664847452</v>
      </c>
      <c r="U13" s="133">
        <f>IF(SER_hh_tesh_in!U13=0,0,SER_hh_tesh_in!U13/SER_summary!U$27)</f>
        <v>51.754562774021224</v>
      </c>
      <c r="V13" s="133">
        <f>IF(SER_hh_tesh_in!V13=0,0,SER_hh_tesh_in!V13/SER_summary!V$27)</f>
        <v>44.51575964704238</v>
      </c>
      <c r="W13" s="133">
        <f>IF(SER_hh_tesh_in!W13=0,0,SER_hh_tesh_in!W13/SER_summary!W$27)</f>
        <v>42.598772958320495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103.77083524281616</v>
      </c>
      <c r="D14" s="65">
        <f>IF(SER_hh_tesh_in!D14=0,0,SER_hh_tesh_in!D14/SER_summary!D$27)</f>
        <v>100.79136050456702</v>
      </c>
      <c r="E14" s="65">
        <f>IF(SER_hh_tesh_in!E14=0,0,SER_hh_tesh_in!E14/SER_summary!E$27)</f>
        <v>103.60996411622723</v>
      </c>
      <c r="F14" s="65">
        <f>IF(SER_hh_tesh_in!F14=0,0,SER_hh_tesh_in!F14/SER_summary!F$27)</f>
        <v>108.59097823342213</v>
      </c>
      <c r="G14" s="65">
        <f>IF(SER_hh_tesh_in!G14=0,0,SER_hh_tesh_in!G14/SER_summary!G$27)</f>
        <v>100.58663401886344</v>
      </c>
      <c r="H14" s="65">
        <f>IF(SER_hh_tesh_in!H14=0,0,SER_hh_tesh_in!H14/SER_summary!H$27)</f>
        <v>96.362319535961575</v>
      </c>
      <c r="I14" s="65">
        <f>IF(SER_hh_tesh_in!I14=0,0,SER_hh_tesh_in!I14/SER_summary!I$27)</f>
        <v>93.825874661246871</v>
      </c>
      <c r="J14" s="65">
        <f>IF(SER_hh_tesh_in!J14=0,0,SER_hh_tesh_in!J14/SER_summary!J$27)</f>
        <v>84.940487438282503</v>
      </c>
      <c r="K14" s="65">
        <f>IF(SER_hh_tesh_in!K14=0,0,SER_hh_tesh_in!K14/SER_summary!K$27)</f>
        <v>91.6759509381356</v>
      </c>
      <c r="L14" s="65">
        <f>IF(SER_hh_tesh_in!L14=0,0,SER_hh_tesh_in!L14/SER_summary!L$27)</f>
        <v>101.03263921261725</v>
      </c>
      <c r="M14" s="65">
        <f>IF(SER_hh_tesh_in!M14=0,0,SER_hh_tesh_in!M14/SER_summary!M$27)</f>
        <v>77.401818125698824</v>
      </c>
      <c r="N14" s="65">
        <f>IF(SER_hh_tesh_in!N14=0,0,SER_hh_tesh_in!N14/SER_summary!N$27)</f>
        <v>83.347454246927441</v>
      </c>
      <c r="O14" s="65">
        <f>IF(SER_hh_tesh_in!O14=0,0,SER_hh_tesh_in!O14/SER_summary!O$27)</f>
        <v>82.615899579720491</v>
      </c>
      <c r="P14" s="65">
        <f>IF(SER_hh_tesh_in!P14=0,0,SER_hh_tesh_in!P14/SER_summary!P$27)</f>
        <v>66.767074639877663</v>
      </c>
      <c r="Q14" s="65">
        <f>IF(SER_hh_tesh_in!Q14=0,0,SER_hh_tesh_in!Q14/SER_summary!Q$27)</f>
        <v>69.22757380904045</v>
      </c>
      <c r="R14" s="65">
        <f>IF(SER_hh_tesh_in!R14=0,0,SER_hh_tesh_in!R14/SER_summary!R$27)</f>
        <v>66.936407774656672</v>
      </c>
      <c r="S14" s="65">
        <f>IF(SER_hh_tesh_in!S14=0,0,SER_hh_tesh_in!S14/SER_summary!S$27)</f>
        <v>63.672736398341087</v>
      </c>
      <c r="T14" s="65">
        <f>IF(SER_hh_tesh_in!T14=0,0,SER_hh_tesh_in!T14/SER_summary!T$27)</f>
        <v>59.869695326194488</v>
      </c>
      <c r="U14" s="65">
        <f>IF(SER_hh_tesh_in!U14=0,0,SER_hh_tesh_in!U14/SER_summary!U$27)</f>
        <v>53.566428046580022</v>
      </c>
      <c r="V14" s="65">
        <f>IF(SER_hh_tesh_in!V14=0,0,SER_hh_tesh_in!V14/SER_summary!V$27)</f>
        <v>43.879960764143853</v>
      </c>
      <c r="W14" s="65">
        <f>IF(SER_hh_tesh_in!W14=0,0,SER_hh_tesh_in!W14/SER_summary!W$27)</f>
        <v>44.547569970979637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1.4251981478767128</v>
      </c>
      <c r="D15" s="135">
        <f>IF(SER_hh_tesh_in!D15=0,0,SER_hh_tesh_in!D15/SER_summary!D$27)</f>
        <v>1.3208639980730759</v>
      </c>
      <c r="E15" s="135">
        <f>IF(SER_hh_tesh_in!E15=0,0,SER_hh_tesh_in!E15/SER_summary!E$27)</f>
        <v>1.7923588539946951</v>
      </c>
      <c r="F15" s="135">
        <f>IF(SER_hh_tesh_in!F15=0,0,SER_hh_tesh_in!F15/SER_summary!F$27)</f>
        <v>1.7357659669582188</v>
      </c>
      <c r="G15" s="135">
        <f>IF(SER_hh_tesh_in!G15=0,0,SER_hh_tesh_in!G15/SER_summary!G$27)</f>
        <v>1.7945588245802584</v>
      </c>
      <c r="H15" s="135">
        <f>IF(SER_hh_tesh_in!H15=0,0,SER_hh_tesh_in!H15/SER_summary!H$27)</f>
        <v>1.6200811702290832</v>
      </c>
      <c r="I15" s="135">
        <f>IF(SER_hh_tesh_in!I15=0,0,SER_hh_tesh_in!I15/SER_summary!I$27)</f>
        <v>1.494085829460515</v>
      </c>
      <c r="J15" s="135">
        <f>IF(SER_hh_tesh_in!J15=0,0,SER_hh_tesh_in!J15/SER_summary!J$27)</f>
        <v>1.4239188135830512</v>
      </c>
      <c r="K15" s="135">
        <f>IF(SER_hh_tesh_in!K15=0,0,SER_hh_tesh_in!K15/SER_summary!K$27)</f>
        <v>1.5682393528322904</v>
      </c>
      <c r="L15" s="135">
        <f>IF(SER_hh_tesh_in!L15=0,0,SER_hh_tesh_in!L15/SER_summary!L$27)</f>
        <v>1.5722193434281906</v>
      </c>
      <c r="M15" s="135">
        <f>IF(SER_hh_tesh_in!M15=0,0,SER_hh_tesh_in!M15/SER_summary!M$27)</f>
        <v>1.081406533663811</v>
      </c>
      <c r="N15" s="135">
        <f>IF(SER_hh_tesh_in!N15=0,0,SER_hh_tesh_in!N15/SER_summary!N$27)</f>
        <v>1.1859019292954198</v>
      </c>
      <c r="O15" s="135">
        <f>IF(SER_hh_tesh_in!O15=0,0,SER_hh_tesh_in!O15/SER_summary!O$27)</f>
        <v>1.1709780225090445</v>
      </c>
      <c r="P15" s="135">
        <f>IF(SER_hh_tesh_in!P15=0,0,SER_hh_tesh_in!P15/SER_summary!P$27)</f>
        <v>0.89709753016709415</v>
      </c>
      <c r="Q15" s="135">
        <f>IF(SER_hh_tesh_in!Q15=0,0,SER_hh_tesh_in!Q15/SER_summary!Q$27)</f>
        <v>0.84181950093122992</v>
      </c>
      <c r="R15" s="135">
        <f>IF(SER_hh_tesh_in!R15=0,0,SER_hh_tesh_in!R15/SER_summary!R$27)</f>
        <v>0.85276652449250467</v>
      </c>
      <c r="S15" s="135">
        <f>IF(SER_hh_tesh_in!S15=0,0,SER_hh_tesh_in!S15/SER_summary!S$27)</f>
        <v>0.87317698720436054</v>
      </c>
      <c r="T15" s="135">
        <f>IF(SER_hh_tesh_in!T15=0,0,SER_hh_tesh_in!T15/SER_summary!T$27)</f>
        <v>0.86280347299798965</v>
      </c>
      <c r="U15" s="135">
        <f>IF(SER_hh_tesh_in!U15=0,0,SER_hh_tesh_in!U15/SER_summary!U$27)</f>
        <v>0.77537115789780076</v>
      </c>
      <c r="V15" s="135">
        <f>IF(SER_hh_tesh_in!V15=0,0,SER_hh_tesh_in!V15/SER_summary!V$27)</f>
        <v>0.63791617453539706</v>
      </c>
      <c r="W15" s="135">
        <f>IF(SER_hh_tesh_in!W15=0,0,SER_hh_tesh_in!W15/SER_summary!W$27)</f>
        <v>0.57765471122664369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27.34712765927469</v>
      </c>
      <c r="D16" s="131">
        <f>IF(SER_hh_tesh_in!D16=0,0,SER_hh_tesh_in!D16/SER_summary!D$27)</f>
        <v>25.963086001026351</v>
      </c>
      <c r="E16" s="131">
        <f>IF(SER_hh_tesh_in!E16=0,0,SER_hh_tesh_in!E16/SER_summary!E$27)</f>
        <v>45.004830157150906</v>
      </c>
      <c r="F16" s="131">
        <f>IF(SER_hh_tesh_in!F16=0,0,SER_hh_tesh_in!F16/SER_summary!F$27)</f>
        <v>26.26393062095244</v>
      </c>
      <c r="G16" s="131">
        <f>IF(SER_hh_tesh_in!G16=0,0,SER_hh_tesh_in!G16/SER_summary!G$27)</f>
        <v>28.288447654717622</v>
      </c>
      <c r="H16" s="131">
        <f>IF(SER_hh_tesh_in!H16=0,0,SER_hh_tesh_in!H16/SER_summary!H$27)</f>
        <v>32.000303678858231</v>
      </c>
      <c r="I16" s="131">
        <f>IF(SER_hh_tesh_in!I16=0,0,SER_hh_tesh_in!I16/SER_summary!I$27)</f>
        <v>24.704988806215479</v>
      </c>
      <c r="J16" s="131">
        <f>IF(SER_hh_tesh_in!J16=0,0,SER_hh_tesh_in!J16/SER_summary!J$27)</f>
        <v>24.722640542310554</v>
      </c>
      <c r="K16" s="131">
        <f>IF(SER_hh_tesh_in!K16=0,0,SER_hh_tesh_in!K16/SER_summary!K$27)</f>
        <v>25.945589568639221</v>
      </c>
      <c r="L16" s="131">
        <f>IF(SER_hh_tesh_in!L16=0,0,SER_hh_tesh_in!L16/SER_summary!L$27)</f>
        <v>25.125979534661347</v>
      </c>
      <c r="M16" s="131">
        <f>IF(SER_hh_tesh_in!M16=0,0,SER_hh_tesh_in!M16/SER_summary!M$27)</f>
        <v>24.249686983334094</v>
      </c>
      <c r="N16" s="131">
        <f>IF(SER_hh_tesh_in!N16=0,0,SER_hh_tesh_in!N16/SER_summary!N$27)</f>
        <v>24.910236444335887</v>
      </c>
      <c r="O16" s="131">
        <f>IF(SER_hh_tesh_in!O16=0,0,SER_hh_tesh_in!O16/SER_summary!O$27)</f>
        <v>24.155242565482748</v>
      </c>
      <c r="P16" s="131">
        <f>IF(SER_hh_tesh_in!P16=0,0,SER_hh_tesh_in!P16/SER_summary!P$27)</f>
        <v>22.150885949280287</v>
      </c>
      <c r="Q16" s="131">
        <f>IF(SER_hh_tesh_in!Q16=0,0,SER_hh_tesh_in!Q16/SER_summary!Q$27)</f>
        <v>26.730539271420962</v>
      </c>
      <c r="R16" s="131">
        <f>IF(SER_hh_tesh_in!R16=0,0,SER_hh_tesh_in!R16/SER_summary!R$27)</f>
        <v>22.913007259486395</v>
      </c>
      <c r="S16" s="131">
        <f>IF(SER_hh_tesh_in!S16=0,0,SER_hh_tesh_in!S16/SER_summary!S$27)</f>
        <v>24.051000300643818</v>
      </c>
      <c r="T16" s="131">
        <f>IF(SER_hh_tesh_in!T16=0,0,SER_hh_tesh_in!T16/SER_summary!T$27)</f>
        <v>22.954966138129137</v>
      </c>
      <c r="U16" s="131">
        <f>IF(SER_hh_tesh_in!U16=0,0,SER_hh_tesh_in!U16/SER_summary!U$27)</f>
        <v>22.309218449391416</v>
      </c>
      <c r="V16" s="131">
        <f>IF(SER_hh_tesh_in!V16=0,0,SER_hh_tesh_in!V16/SER_summary!V$27)</f>
        <v>22.061641902714506</v>
      </c>
      <c r="W16" s="131">
        <f>IF(SER_hh_tesh_in!W16=0,0,SER_hh_tesh_in!W16/SER_summary!W$27)</f>
        <v>16.435955193977897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27.35259454835435</v>
      </c>
      <c r="D17" s="133">
        <f>IF(SER_hh_tesh_in!D17=0,0,SER_hh_tesh_in!D17/SER_summary!D$27)</f>
        <v>25.972573999056056</v>
      </c>
      <c r="E17" s="133">
        <f>IF(SER_hh_tesh_in!E17=0,0,SER_hh_tesh_in!E17/SER_summary!E$27)</f>
        <v>50.602306672884957</v>
      </c>
      <c r="F17" s="133">
        <f>IF(SER_hh_tesh_in!F17=0,0,SER_hh_tesh_in!F17/SER_summary!F$27)</f>
        <v>26.289916251283582</v>
      </c>
      <c r="G17" s="133">
        <f>IF(SER_hh_tesh_in!G17=0,0,SER_hh_tesh_in!G17/SER_summary!G$27)</f>
        <v>28.28495720461002</v>
      </c>
      <c r="H17" s="133">
        <f>IF(SER_hh_tesh_in!H17=0,0,SER_hh_tesh_in!H17/SER_summary!H$27)</f>
        <v>32.052038733052008</v>
      </c>
      <c r="I17" s="133">
        <f>IF(SER_hh_tesh_in!I17=0,0,SER_hh_tesh_in!I17/SER_summary!I$27)</f>
        <v>24.737064513477726</v>
      </c>
      <c r="J17" s="133">
        <f>IF(SER_hh_tesh_in!J17=0,0,SER_hh_tesh_in!J17/SER_summary!J$27)</f>
        <v>24.757799535331191</v>
      </c>
      <c r="K17" s="133">
        <f>IF(SER_hh_tesh_in!K17=0,0,SER_hh_tesh_in!K17/SER_summary!K$27)</f>
        <v>25.978616362747996</v>
      </c>
      <c r="L17" s="133">
        <f>IF(SER_hh_tesh_in!L17=0,0,SER_hh_tesh_in!L17/SER_summary!L$27)</f>
        <v>25.195048915267037</v>
      </c>
      <c r="M17" s="133">
        <f>IF(SER_hh_tesh_in!M17=0,0,SER_hh_tesh_in!M17/SER_summary!M$27)</f>
        <v>24.382048701694703</v>
      </c>
      <c r="N17" s="133">
        <f>IF(SER_hh_tesh_in!N17=0,0,SER_hh_tesh_in!N17/SER_summary!N$27)</f>
        <v>25.086230264970176</v>
      </c>
      <c r="O17" s="133">
        <f>IF(SER_hh_tesh_in!O17=0,0,SER_hh_tesh_in!O17/SER_summary!O$27)</f>
        <v>24.318636787641992</v>
      </c>
      <c r="P17" s="133">
        <f>IF(SER_hh_tesh_in!P17=0,0,SER_hh_tesh_in!P17/SER_summary!P$27)</f>
        <v>22.260537676685999</v>
      </c>
      <c r="Q17" s="133">
        <f>IF(SER_hh_tesh_in!Q17=0,0,SER_hh_tesh_in!Q17/SER_summary!Q$27)</f>
        <v>26.763193919785383</v>
      </c>
      <c r="R17" s="133">
        <f>IF(SER_hh_tesh_in!R17=0,0,SER_hh_tesh_in!R17/SER_summary!R$27)</f>
        <v>22.919798219689579</v>
      </c>
      <c r="S17" s="133">
        <f>IF(SER_hh_tesh_in!S17=0,0,SER_hh_tesh_in!S17/SER_summary!S$27)</f>
        <v>24.074172296956366</v>
      </c>
      <c r="T17" s="133">
        <f>IF(SER_hh_tesh_in!T17=0,0,SER_hh_tesh_in!T17/SER_summary!T$27)</f>
        <v>22.975282245066587</v>
      </c>
      <c r="U17" s="133">
        <f>IF(SER_hh_tesh_in!U17=0,0,SER_hh_tesh_in!U17/SER_summary!U$27)</f>
        <v>22.352130775450519</v>
      </c>
      <c r="V17" s="133">
        <f>IF(SER_hh_tesh_in!V17=0,0,SER_hh_tesh_in!V17/SER_summary!V$27)</f>
        <v>20.669787764182555</v>
      </c>
      <c r="W17" s="133">
        <f>IF(SER_hh_tesh_in!W17=0,0,SER_hh_tesh_in!W17/SER_summary!W$27)</f>
        <v>14.84026201661929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27.347100110348627</v>
      </c>
      <c r="D18" s="133">
        <f>IF(SER_hh_tesh_in!D18=0,0,SER_hh_tesh_in!D18/SER_summary!D$27)</f>
        <v>25.963041276037657</v>
      </c>
      <c r="E18" s="133">
        <f>IF(SER_hh_tesh_in!E18=0,0,SER_hh_tesh_in!E18/SER_summary!E$27)</f>
        <v>44.950145270935792</v>
      </c>
      <c r="F18" s="133">
        <f>IF(SER_hh_tesh_in!F18=0,0,SER_hh_tesh_in!F18/SER_summary!F$27)</f>
        <v>26.263825277430648</v>
      </c>
      <c r="G18" s="133">
        <f>IF(SER_hh_tesh_in!G18=0,0,SER_hh_tesh_in!G18/SER_summary!G$27)</f>
        <v>28.288454491978637</v>
      </c>
      <c r="H18" s="133">
        <f>IF(SER_hh_tesh_in!H18=0,0,SER_hh_tesh_in!H18/SER_summary!H$27)</f>
        <v>31.999574898306665</v>
      </c>
      <c r="I18" s="133">
        <f>IF(SER_hh_tesh_in!I18=0,0,SER_hh_tesh_in!I18/SER_summary!I$27)</f>
        <v>24.704739276010603</v>
      </c>
      <c r="J18" s="133">
        <f>IF(SER_hh_tesh_in!J18=0,0,SER_hh_tesh_in!J18/SER_summary!J$27)</f>
        <v>24.722221639633755</v>
      </c>
      <c r="K18" s="133">
        <f>IF(SER_hh_tesh_in!K18=0,0,SER_hh_tesh_in!K18/SER_summary!K$27)</f>
        <v>25.945287248189043</v>
      </c>
      <c r="L18" s="133">
        <f>IF(SER_hh_tesh_in!L18=0,0,SER_hh_tesh_in!L18/SER_summary!L$27)</f>
        <v>25.124900445493022</v>
      </c>
      <c r="M18" s="133">
        <f>IF(SER_hh_tesh_in!M18=0,0,SER_hh_tesh_in!M18/SER_summary!M$27)</f>
        <v>24.245913114031595</v>
      </c>
      <c r="N18" s="133">
        <f>IF(SER_hh_tesh_in!N18=0,0,SER_hh_tesh_in!N18/SER_summary!N$27)</f>
        <v>24.900929233650885</v>
      </c>
      <c r="O18" s="133">
        <f>IF(SER_hh_tesh_in!O18=0,0,SER_hh_tesh_in!O18/SER_summary!O$27)</f>
        <v>24.148494269672721</v>
      </c>
      <c r="P18" s="133">
        <f>IF(SER_hh_tesh_in!P18=0,0,SER_hh_tesh_in!P18/SER_summary!P$27)</f>
        <v>22.148429102837259</v>
      </c>
      <c r="Q18" s="133">
        <f>IF(SER_hh_tesh_in!Q18=0,0,SER_hh_tesh_in!Q18/SER_summary!Q$27)</f>
        <v>26.728737328879753</v>
      </c>
      <c r="R18" s="133">
        <f>IF(SER_hh_tesh_in!R18=0,0,SER_hh_tesh_in!R18/SER_summary!R$27)</f>
        <v>22.912771493710348</v>
      </c>
      <c r="S18" s="133">
        <f>IF(SER_hh_tesh_in!S18=0,0,SER_hh_tesh_in!S18/SER_summary!S$27)</f>
        <v>24.049798577617157</v>
      </c>
      <c r="T18" s="133">
        <f>IF(SER_hh_tesh_in!T18=0,0,SER_hh_tesh_in!T18/SER_summary!T$27)</f>
        <v>22.954001456448587</v>
      </c>
      <c r="U18" s="133">
        <f>IF(SER_hh_tesh_in!U18=0,0,SER_hh_tesh_in!U18/SER_summary!U$27)</f>
        <v>22.306803261797558</v>
      </c>
      <c r="V18" s="133">
        <f>IF(SER_hh_tesh_in!V18=0,0,SER_hh_tesh_in!V18/SER_summary!V$27)</f>
        <v>22.162706522752011</v>
      </c>
      <c r="W18" s="133">
        <f>IF(SER_hh_tesh_in!W18=0,0,SER_hh_tesh_in!W18/SER_summary!W$27)</f>
        <v>16.509639158494057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16.445376551712979</v>
      </c>
      <c r="D19" s="131">
        <f>IF(SER_hh_tesh_in!D19=0,0,SER_hh_tesh_in!D19/SER_summary!D$27)</f>
        <v>16.404197121030183</v>
      </c>
      <c r="E19" s="131">
        <f>IF(SER_hh_tesh_in!E19=0,0,SER_hh_tesh_in!E19/SER_summary!E$27)</f>
        <v>16.010012311454958</v>
      </c>
      <c r="F19" s="131">
        <f>IF(SER_hh_tesh_in!F19=0,0,SER_hh_tesh_in!F19/SER_summary!F$27)</f>
        <v>16.390600192475283</v>
      </c>
      <c r="G19" s="131">
        <f>IF(SER_hh_tesh_in!G19=0,0,SER_hh_tesh_in!G19/SER_summary!G$27)</f>
        <v>16.197151719618635</v>
      </c>
      <c r="H19" s="131">
        <f>IF(SER_hh_tesh_in!H19=0,0,SER_hh_tesh_in!H19/SER_summary!H$27)</f>
        <v>15.693737001133108</v>
      </c>
      <c r="I19" s="131">
        <f>IF(SER_hh_tesh_in!I19=0,0,SER_hh_tesh_in!I19/SER_summary!I$27)</f>
        <v>15.917337995037196</v>
      </c>
      <c r="J19" s="131">
        <f>IF(SER_hh_tesh_in!J19=0,0,SER_hh_tesh_in!J19/SER_summary!J$27)</f>
        <v>15.996263833247328</v>
      </c>
      <c r="K19" s="131">
        <f>IF(SER_hh_tesh_in!K19=0,0,SER_hh_tesh_in!K19/SER_summary!K$27)</f>
        <v>16.185173916556582</v>
      </c>
      <c r="L19" s="131">
        <f>IF(SER_hh_tesh_in!L19=0,0,SER_hh_tesh_in!L19/SER_summary!L$27)</f>
        <v>16.062769408154221</v>
      </c>
      <c r="M19" s="131">
        <f>IF(SER_hh_tesh_in!M19=0,0,SER_hh_tesh_in!M19/SER_summary!M$27)</f>
        <v>16.020355955242522</v>
      </c>
      <c r="N19" s="131">
        <f>IF(SER_hh_tesh_in!N19=0,0,SER_hh_tesh_in!N19/SER_summary!N$27)</f>
        <v>16.255618561249225</v>
      </c>
      <c r="O19" s="131">
        <f>IF(SER_hh_tesh_in!O19=0,0,SER_hh_tesh_in!O19/SER_summary!O$27)</f>
        <v>16.340369904140964</v>
      </c>
      <c r="P19" s="131">
        <f>IF(SER_hh_tesh_in!P19=0,0,SER_hh_tesh_in!P19/SER_summary!P$27)</f>
        <v>16.20602517734789</v>
      </c>
      <c r="Q19" s="131">
        <f>IF(SER_hh_tesh_in!Q19=0,0,SER_hh_tesh_in!Q19/SER_summary!Q$27)</f>
        <v>16.297888902719972</v>
      </c>
      <c r="R19" s="131">
        <f>IF(SER_hh_tesh_in!R19=0,0,SER_hh_tesh_in!R19/SER_summary!R$27)</f>
        <v>16.372766436430549</v>
      </c>
      <c r="S19" s="131">
        <f>IF(SER_hh_tesh_in!S19=0,0,SER_hh_tesh_in!S19/SER_summary!S$27)</f>
        <v>16.074155541710152</v>
      </c>
      <c r="T19" s="131">
        <f>IF(SER_hh_tesh_in!T19=0,0,SER_hh_tesh_in!T19/SER_summary!T$27)</f>
        <v>16.387854829534945</v>
      </c>
      <c r="U19" s="131">
        <f>IF(SER_hh_tesh_in!U19=0,0,SER_hh_tesh_in!U19/SER_summary!U$27)</f>
        <v>15.77800389338681</v>
      </c>
      <c r="V19" s="131">
        <f>IF(SER_hh_tesh_in!V19=0,0,SER_hh_tesh_in!V19/SER_summary!V$27)</f>
        <v>14.472893897384138</v>
      </c>
      <c r="W19" s="131">
        <f>IF(SER_hh_tesh_in!W19=0,0,SER_hh_tesh_in!W19/SER_summary!W$27)</f>
        <v>15.401925277257448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16.244707896194797</v>
      </c>
      <c r="D21" s="133">
        <f>IF(SER_hh_tesh_in!D21=0,0,SER_hh_tesh_in!D21/SER_summary!D$27)</f>
        <v>16.588569963819896</v>
      </c>
      <c r="E21" s="133">
        <f>IF(SER_hh_tesh_in!E21=0,0,SER_hh_tesh_in!E21/SER_summary!E$27)</f>
        <v>16.653851849404266</v>
      </c>
      <c r="F21" s="133">
        <f>IF(SER_hh_tesh_in!F21=0,0,SER_hh_tesh_in!F21/SER_summary!F$27)</f>
        <v>16.503402109184083</v>
      </c>
      <c r="G21" s="133">
        <f>IF(SER_hh_tesh_in!G21=0,0,SER_hh_tesh_in!G21/SER_summary!G$27)</f>
        <v>15.491152895808085</v>
      </c>
      <c r="H21" s="133">
        <f>IF(SER_hh_tesh_in!H21=0,0,SER_hh_tesh_in!H21/SER_summary!H$27)</f>
        <v>15.990138507220177</v>
      </c>
      <c r="I21" s="133">
        <f>IF(SER_hh_tesh_in!I21=0,0,SER_hh_tesh_in!I21/SER_summary!I$27)</f>
        <v>15.926150256409354</v>
      </c>
      <c r="J21" s="133">
        <f>IF(SER_hh_tesh_in!J21=0,0,SER_hh_tesh_in!J21/SER_summary!J$27)</f>
        <v>16.009445166518848</v>
      </c>
      <c r="K21" s="133">
        <f>IF(SER_hh_tesh_in!K21=0,0,SER_hh_tesh_in!K21/SER_summary!K$27)</f>
        <v>16.40527695036003</v>
      </c>
      <c r="L21" s="133">
        <f>IF(SER_hh_tesh_in!L21=0,0,SER_hh_tesh_in!L21/SER_summary!L$27)</f>
        <v>15.649008067573178</v>
      </c>
      <c r="M21" s="133">
        <f>IF(SER_hh_tesh_in!M21=0,0,SER_hh_tesh_in!M21/SER_summary!M$27)</f>
        <v>15.986761569542006</v>
      </c>
      <c r="N21" s="133">
        <f>IF(SER_hh_tesh_in!N21=0,0,SER_hh_tesh_in!N21/SER_summary!N$27)</f>
        <v>15.489904432352722</v>
      </c>
      <c r="O21" s="133">
        <f>IF(SER_hh_tesh_in!O21=0,0,SER_hh_tesh_in!O21/SER_summary!O$27)</f>
        <v>15.908865097030363</v>
      </c>
      <c r="P21" s="133">
        <f>IF(SER_hh_tesh_in!P21=0,0,SER_hh_tesh_in!P21/SER_summary!P$27)</f>
        <v>16.397095720232159</v>
      </c>
      <c r="Q21" s="133">
        <f>IF(SER_hh_tesh_in!Q21=0,0,SER_hh_tesh_in!Q21/SER_summary!Q$27)</f>
        <v>15.881269983226742</v>
      </c>
      <c r="R21" s="133">
        <f>IF(SER_hh_tesh_in!R21=0,0,SER_hh_tesh_in!R21/SER_summary!R$27)</f>
        <v>16.652097491899806</v>
      </c>
      <c r="S21" s="133">
        <f>IF(SER_hh_tesh_in!S21=0,0,SER_hh_tesh_in!S21/SER_summary!S$27)</f>
        <v>17.499716668177193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14.610056857636673</v>
      </c>
      <c r="W21" s="133">
        <f>IF(SER_hh_tesh_in!W21=0,0,SER_hh_tesh_in!W21/SER_summary!W$27)</f>
        <v>15.112521309225675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16.60060314768883</v>
      </c>
      <c r="D22" s="133">
        <f>IF(SER_hh_tesh_in!D22=0,0,SER_hh_tesh_in!D22/SER_summary!D$27)</f>
        <v>16.341725817817149</v>
      </c>
      <c r="E22" s="133">
        <f>IF(SER_hh_tesh_in!E22=0,0,SER_hh_tesh_in!E22/SER_summary!E$27)</f>
        <v>16.174998191639762</v>
      </c>
      <c r="F22" s="133">
        <f>IF(SER_hh_tesh_in!F22=0,0,SER_hh_tesh_in!F22/SER_summary!F$27)</f>
        <v>16.411604925240628</v>
      </c>
      <c r="G22" s="133">
        <f>IF(SER_hh_tesh_in!G22=0,0,SER_hh_tesh_in!G22/SER_summary!G$27)</f>
        <v>16.125537673105807</v>
      </c>
      <c r="H22" s="133">
        <f>IF(SER_hh_tesh_in!H22=0,0,SER_hh_tesh_in!H22/SER_summary!H$27)</f>
        <v>15.948889543554307</v>
      </c>
      <c r="I22" s="133">
        <f>IF(SER_hh_tesh_in!I22=0,0,SER_hh_tesh_in!I22/SER_summary!I$27)</f>
        <v>15.470069994506931</v>
      </c>
      <c r="J22" s="133">
        <f>IF(SER_hh_tesh_in!J22=0,0,SER_hh_tesh_in!J22/SER_summary!J$27)</f>
        <v>16.022205310140397</v>
      </c>
      <c r="K22" s="133">
        <f>IF(SER_hh_tesh_in!K22=0,0,SER_hh_tesh_in!K22/SER_summary!K$27)</f>
        <v>16.272956016718538</v>
      </c>
      <c r="L22" s="133">
        <f>IF(SER_hh_tesh_in!L22=0,0,SER_hh_tesh_in!L22/SER_summary!L$27)</f>
        <v>15.585660659066262</v>
      </c>
      <c r="M22" s="133">
        <f>IF(SER_hh_tesh_in!M22=0,0,SER_hh_tesh_in!M22/SER_summary!M$27)</f>
        <v>15.143534013212175</v>
      </c>
      <c r="N22" s="133">
        <f>IF(SER_hh_tesh_in!N22=0,0,SER_hh_tesh_in!N22/SER_summary!N$27)</f>
        <v>16.225994429868894</v>
      </c>
      <c r="O22" s="133">
        <f>IF(SER_hh_tesh_in!O22=0,0,SER_hh_tesh_in!O22/SER_summary!O$27)</f>
        <v>16.261485948448758</v>
      </c>
      <c r="P22" s="133">
        <f>IF(SER_hh_tesh_in!P22=0,0,SER_hh_tesh_in!P22/SER_summary!P$27)</f>
        <v>16.117200354199227</v>
      </c>
      <c r="Q22" s="133">
        <f>IF(SER_hh_tesh_in!Q22=0,0,SER_hh_tesh_in!Q22/SER_summary!Q$27)</f>
        <v>16.493344746655595</v>
      </c>
      <c r="R22" s="133">
        <f>IF(SER_hh_tesh_in!R22=0,0,SER_hh_tesh_in!R22/SER_summary!R$27)</f>
        <v>15.467187497981007</v>
      </c>
      <c r="S22" s="133">
        <f>IF(SER_hh_tesh_in!S22=0,0,SER_hh_tesh_in!S22/SER_summary!S$27)</f>
        <v>16.608076090629329</v>
      </c>
      <c r="T22" s="133">
        <f>IF(SER_hh_tesh_in!T22=0,0,SER_hh_tesh_in!T22/SER_summary!T$27)</f>
        <v>15.924102368542727</v>
      </c>
      <c r="U22" s="133">
        <f>IF(SER_hh_tesh_in!U22=0,0,SER_hh_tesh_in!U22/SER_summary!U$27)</f>
        <v>15.463988595679435</v>
      </c>
      <c r="V22" s="133">
        <f>IF(SER_hh_tesh_in!V22=0,0,SER_hh_tesh_in!V22/SER_summary!V$27)</f>
        <v>14.872833005482452</v>
      </c>
      <c r="W22" s="133">
        <f>IF(SER_hh_tesh_in!W22=0,0,SER_hh_tesh_in!W22/SER_summary!W$27)</f>
        <v>14.349620896119919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16.489094717767625</v>
      </c>
      <c r="D23" s="133">
        <f>IF(SER_hh_tesh_in!D23=0,0,SER_hh_tesh_in!D23/SER_summary!D$27)</f>
        <v>16.271912049619225</v>
      </c>
      <c r="E23" s="133">
        <f>IF(SER_hh_tesh_in!E23=0,0,SER_hh_tesh_in!E23/SER_summary!E$27)</f>
        <v>16.496935139639699</v>
      </c>
      <c r="F23" s="133">
        <f>IF(SER_hh_tesh_in!F23=0,0,SER_hh_tesh_in!F23/SER_summary!F$27)</f>
        <v>16.62742429369861</v>
      </c>
      <c r="G23" s="133">
        <f>IF(SER_hh_tesh_in!G23=0,0,SER_hh_tesh_in!G23/SER_summary!G$27)</f>
        <v>15.642262403737456</v>
      </c>
      <c r="H23" s="133">
        <f>IF(SER_hh_tesh_in!H23=0,0,SER_hh_tesh_in!H23/SER_summary!H$27)</f>
        <v>15.589951109034381</v>
      </c>
      <c r="I23" s="133">
        <f>IF(SER_hh_tesh_in!I23=0,0,SER_hh_tesh_in!I23/SER_summary!I$27)</f>
        <v>15.669127455866953</v>
      </c>
      <c r="J23" s="133">
        <f>IF(SER_hh_tesh_in!J23=0,0,SER_hh_tesh_in!J23/SER_summary!J$27)</f>
        <v>15.424692249586382</v>
      </c>
      <c r="K23" s="133">
        <f>IF(SER_hh_tesh_in!K23=0,0,SER_hh_tesh_in!K23/SER_summary!K$27)</f>
        <v>16.452652464444281</v>
      </c>
      <c r="L23" s="133">
        <f>IF(SER_hh_tesh_in!L23=0,0,SER_hh_tesh_in!L23/SER_summary!L$27)</f>
        <v>15.78862480764446</v>
      </c>
      <c r="M23" s="133">
        <f>IF(SER_hh_tesh_in!M23=0,0,SER_hh_tesh_in!M23/SER_summary!M$27)</f>
        <v>17.477243104837772</v>
      </c>
      <c r="N23" s="133">
        <f>IF(SER_hh_tesh_in!N23=0,0,SER_hh_tesh_in!N23/SER_summary!N$27)</f>
        <v>13.499311937815467</v>
      </c>
      <c r="O23" s="133">
        <f>IF(SER_hh_tesh_in!O23=0,0,SER_hh_tesh_in!O23/SER_summary!O$27)</f>
        <v>14.939209656029806</v>
      </c>
      <c r="P23" s="133">
        <f>IF(SER_hh_tesh_in!P23=0,0,SER_hh_tesh_in!P23/SER_summary!P$27)</f>
        <v>15.995826276889122</v>
      </c>
      <c r="Q23" s="133">
        <f>IF(SER_hh_tesh_in!Q23=0,0,SER_hh_tesh_in!Q23/SER_summary!Q$27)</f>
        <v>15.283874880687097</v>
      </c>
      <c r="R23" s="133">
        <f>IF(SER_hh_tesh_in!R23=0,0,SER_hh_tesh_in!R23/SER_summary!R$27)</f>
        <v>16.787925535410455</v>
      </c>
      <c r="S23" s="133">
        <f>IF(SER_hh_tesh_in!S23=0,0,SER_hh_tesh_in!S23/SER_summary!S$27)</f>
        <v>15.933264239909075</v>
      </c>
      <c r="T23" s="133">
        <f>IF(SER_hh_tesh_in!T23=0,0,SER_hh_tesh_in!T23/SER_summary!T$27)</f>
        <v>16.046822999799854</v>
      </c>
      <c r="U23" s="133">
        <f>IF(SER_hh_tesh_in!U23=0,0,SER_hh_tesh_in!U23/SER_summary!U$27)</f>
        <v>15.527585520744076</v>
      </c>
      <c r="V23" s="133">
        <f>IF(SER_hh_tesh_in!V23=0,0,SER_hh_tesh_in!V23/SER_summary!V$27)</f>
        <v>13.724624098058793</v>
      </c>
      <c r="W23" s="133">
        <f>IF(SER_hh_tesh_in!W23=0,0,SER_hh_tesh_in!W23/SER_summary!W$27)</f>
        <v>16.792130543408675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16.27768782215939</v>
      </c>
      <c r="D24" s="133">
        <f>IF(SER_hh_tesh_in!D24=0,0,SER_hh_tesh_in!D24/SER_summary!D$27)</f>
        <v>16.147460320688619</v>
      </c>
      <c r="E24" s="133">
        <f>IF(SER_hh_tesh_in!E24=0,0,SER_hh_tesh_in!E24/SER_summary!E$27)</f>
        <v>15.999957663097531</v>
      </c>
      <c r="F24" s="133">
        <f>IF(SER_hh_tesh_in!F24=0,0,SER_hh_tesh_in!F24/SER_summary!F$27)</f>
        <v>16.471947545801157</v>
      </c>
      <c r="G24" s="133">
        <f>IF(SER_hh_tesh_in!G24=0,0,SER_hh_tesh_in!G24/SER_summary!G$27)</f>
        <v>15.798405556062978</v>
      </c>
      <c r="H24" s="133">
        <f>IF(SER_hh_tesh_in!H24=0,0,SER_hh_tesh_in!H24/SER_summary!H$27)</f>
        <v>15.138563810698617</v>
      </c>
      <c r="I24" s="133">
        <f>IF(SER_hh_tesh_in!I24=0,0,SER_hh_tesh_in!I24/SER_summary!I$27)</f>
        <v>16.528884729741183</v>
      </c>
      <c r="J24" s="133">
        <f>IF(SER_hh_tesh_in!J24=0,0,SER_hh_tesh_in!J24/SER_summary!J$27)</f>
        <v>15.618787531635197</v>
      </c>
      <c r="K24" s="133">
        <f>IF(SER_hh_tesh_in!K24=0,0,SER_hh_tesh_in!K24/SER_summary!K$27)</f>
        <v>16.745163953635785</v>
      </c>
      <c r="L24" s="133">
        <f>IF(SER_hh_tesh_in!L24=0,0,SER_hh_tesh_in!L24/SER_summary!L$27)</f>
        <v>18.097735805256992</v>
      </c>
      <c r="M24" s="133">
        <f>IF(SER_hh_tesh_in!M24=0,0,SER_hh_tesh_in!M24/SER_summary!M$27)</f>
        <v>0</v>
      </c>
      <c r="N24" s="133">
        <f>IF(SER_hh_tesh_in!N24=0,0,SER_hh_tesh_in!N24/SER_summary!N$27)</f>
        <v>13.686188967508022</v>
      </c>
      <c r="O24" s="133">
        <f>IF(SER_hh_tesh_in!O24=0,0,SER_hh_tesh_in!O24/SER_summary!O$27)</f>
        <v>18.293768435875503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16.056169109846753</v>
      </c>
      <c r="S24" s="133">
        <f>IF(SER_hh_tesh_in!S24=0,0,SER_hh_tesh_in!S24/SER_summary!S$27)</f>
        <v>16.213556025526049</v>
      </c>
      <c r="T24" s="133">
        <f>IF(SER_hh_tesh_in!T24=0,0,SER_hh_tesh_in!T24/SER_summary!T$27)</f>
        <v>15.431672732731357</v>
      </c>
      <c r="U24" s="133">
        <f>IF(SER_hh_tesh_in!U24=0,0,SER_hh_tesh_in!U24/SER_summary!U$27)</f>
        <v>15.059850359788458</v>
      </c>
      <c r="V24" s="133">
        <f>IF(SER_hh_tesh_in!V24=0,0,SER_hh_tesh_in!V24/SER_summary!V$27)</f>
        <v>14.602112914701378</v>
      </c>
      <c r="W24" s="133">
        <f>IF(SER_hh_tesh_in!W24=0,0,SER_hh_tesh_in!W24/SER_summary!W$27)</f>
        <v>15.818770538169042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16.682994049163408</v>
      </c>
      <c r="D25" s="133">
        <f>IF(SER_hh_tesh_in!D25=0,0,SER_hh_tesh_in!D25/SER_summary!D$27)</f>
        <v>16.192716160834127</v>
      </c>
      <c r="E25" s="133">
        <f>IF(SER_hh_tesh_in!E25=0,0,SER_hh_tesh_in!E25/SER_summary!E$27)</f>
        <v>16.21063439698888</v>
      </c>
      <c r="F25" s="133">
        <f>IF(SER_hh_tesh_in!F25=0,0,SER_hh_tesh_in!F25/SER_summary!F$27)</f>
        <v>16.446226533522498</v>
      </c>
      <c r="G25" s="133">
        <f>IF(SER_hh_tesh_in!G25=0,0,SER_hh_tesh_in!G25/SER_summary!G$27)</f>
        <v>16.51082743394911</v>
      </c>
      <c r="H25" s="133">
        <f>IF(SER_hh_tesh_in!H25=0,0,SER_hh_tesh_in!H25/SER_summary!H$27)</f>
        <v>0</v>
      </c>
      <c r="I25" s="133">
        <f>IF(SER_hh_tesh_in!I25=0,0,SER_hh_tesh_in!I25/SER_summary!I$27)</f>
        <v>0</v>
      </c>
      <c r="J25" s="133">
        <f>IF(SER_hh_tesh_in!J25=0,0,SER_hh_tesh_in!J25/SER_summary!J$27)</f>
        <v>0</v>
      </c>
      <c r="K25" s="133">
        <f>IF(SER_hh_tesh_in!K25=0,0,SER_hh_tesh_in!K25/SER_summary!K$27)</f>
        <v>17.384725321510523</v>
      </c>
      <c r="L25" s="133">
        <f>IF(SER_hh_tesh_in!L25=0,0,SER_hh_tesh_in!L25/SER_summary!L$27)</f>
        <v>15.531864172125065</v>
      </c>
      <c r="M25" s="133">
        <f>IF(SER_hh_tesh_in!M25=0,0,SER_hh_tesh_in!M25/SER_summary!M$27)</f>
        <v>14.560599488986648</v>
      </c>
      <c r="N25" s="133">
        <f>IF(SER_hh_tesh_in!N25=0,0,SER_hh_tesh_in!N25/SER_summary!N$27)</f>
        <v>16.721345454163441</v>
      </c>
      <c r="O25" s="133">
        <f>IF(SER_hh_tesh_in!O25=0,0,SER_hh_tesh_in!O25/SER_summary!O$27)</f>
        <v>17.078981885149979</v>
      </c>
      <c r="P25" s="133">
        <f>IF(SER_hh_tesh_in!P25=0,0,SER_hh_tesh_in!P25/SER_summary!P$27)</f>
        <v>15.344972572527446</v>
      </c>
      <c r="Q25" s="133">
        <f>IF(SER_hh_tesh_in!Q25=0,0,SER_hh_tesh_in!Q25/SER_summary!Q$27)</f>
        <v>15.705951135344209</v>
      </c>
      <c r="R25" s="133">
        <f>IF(SER_hh_tesh_in!R25=0,0,SER_hh_tesh_in!R25/SER_summary!R$27)</f>
        <v>16.422053909778018</v>
      </c>
      <c r="S25" s="133">
        <f>IF(SER_hh_tesh_in!S25=0,0,SER_hh_tesh_in!S25/SER_summary!S$27)</f>
        <v>15.490315670666417</v>
      </c>
      <c r="T25" s="133">
        <f>IF(SER_hh_tesh_in!T25=0,0,SER_hh_tesh_in!T25/SER_summary!T$27)</f>
        <v>16.993295237075262</v>
      </c>
      <c r="U25" s="133">
        <f>IF(SER_hh_tesh_in!U25=0,0,SER_hh_tesh_in!U25/SER_summary!U$27)</f>
        <v>15.675421299708931</v>
      </c>
      <c r="V25" s="133">
        <f>IF(SER_hh_tesh_in!V25=0,0,SER_hh_tesh_in!V25/SER_summary!V$27)</f>
        <v>14.87305506004059</v>
      </c>
      <c r="W25" s="133">
        <f>IF(SER_hh_tesh_in!W25=0,0,SER_hh_tesh_in!W25/SER_summary!W$27)</f>
        <v>13.642829522239726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16.36119726842993</v>
      </c>
      <c r="D26" s="65">
        <f>IF(SER_hh_tesh_in!D26=0,0,SER_hh_tesh_in!D26/SER_summary!D$27)</f>
        <v>16.494891738517158</v>
      </c>
      <c r="E26" s="65">
        <f>IF(SER_hh_tesh_in!E26=0,0,SER_hh_tesh_in!E26/SER_summary!E$27)</f>
        <v>15.710712322512194</v>
      </c>
      <c r="F26" s="65">
        <f>IF(SER_hh_tesh_in!F26=0,0,SER_hh_tesh_in!F26/SER_summary!F$27)</f>
        <v>16.325559234077126</v>
      </c>
      <c r="G26" s="65">
        <f>IF(SER_hh_tesh_in!G26=0,0,SER_hh_tesh_in!G26/SER_summary!G$27)</f>
        <v>14.584516746745559</v>
      </c>
      <c r="H26" s="65">
        <f>IF(SER_hh_tesh_in!H26=0,0,SER_hh_tesh_in!H26/SER_summary!H$27)</f>
        <v>15.619863445604855</v>
      </c>
      <c r="I26" s="65">
        <f>IF(SER_hh_tesh_in!I26=0,0,SER_hh_tesh_in!I26/SER_summary!I$27)</f>
        <v>15.742991034910855</v>
      </c>
      <c r="J26" s="65">
        <f>IF(SER_hh_tesh_in!J26=0,0,SER_hh_tesh_in!J26/SER_summary!J$27)</f>
        <v>15.826792028626478</v>
      </c>
      <c r="K26" s="65">
        <f>IF(SER_hh_tesh_in!K26=0,0,SER_hh_tesh_in!K26/SER_summary!K$27)</f>
        <v>15.432224598281312</v>
      </c>
      <c r="L26" s="65">
        <f>IF(SER_hh_tesh_in!L26=0,0,SER_hh_tesh_in!L26/SER_summary!L$27)</f>
        <v>14.770702744206005</v>
      </c>
      <c r="M26" s="65">
        <f>IF(SER_hh_tesh_in!M26=0,0,SER_hh_tesh_in!M26/SER_summary!M$27)</f>
        <v>15.341343962614815</v>
      </c>
      <c r="N26" s="65">
        <f>IF(SER_hh_tesh_in!N26=0,0,SER_hh_tesh_in!N26/SER_summary!N$27)</f>
        <v>10.699858862609412</v>
      </c>
      <c r="O26" s="65">
        <f>IF(SER_hh_tesh_in!O26=0,0,SER_hh_tesh_in!O26/SER_summary!O$27)</f>
        <v>14.042251585986435</v>
      </c>
      <c r="P26" s="65">
        <f>IF(SER_hh_tesh_in!P26=0,0,SER_hh_tesh_in!P26/SER_summary!P$27)</f>
        <v>16.303914908654683</v>
      </c>
      <c r="Q26" s="65">
        <f>IF(SER_hh_tesh_in!Q26=0,0,SER_hh_tesh_in!Q26/SER_summary!Q$27)</f>
        <v>11.794844315773911</v>
      </c>
      <c r="R26" s="65">
        <f>IF(SER_hh_tesh_in!R26=0,0,SER_hh_tesh_in!R26/SER_summary!R$27)</f>
        <v>15.703247238642547</v>
      </c>
      <c r="S26" s="65">
        <f>IF(SER_hh_tesh_in!S26=0,0,SER_hh_tesh_in!S26/SER_summary!S$27)</f>
        <v>14.787184646593232</v>
      </c>
      <c r="T26" s="65">
        <f>IF(SER_hh_tesh_in!T26=0,0,SER_hh_tesh_in!T26/SER_summary!T$27)</f>
        <v>15.89772324671214</v>
      </c>
      <c r="U26" s="65">
        <f>IF(SER_hh_tesh_in!U26=0,0,SER_hh_tesh_in!U26/SER_summary!U$27)</f>
        <v>14.867335374512809</v>
      </c>
      <c r="V26" s="65">
        <f>IF(SER_hh_tesh_in!V26=0,0,SER_hh_tesh_in!V26/SER_summary!V$27)</f>
        <v>12.575170204489666</v>
      </c>
      <c r="W26" s="65">
        <f>IF(SER_hh_tesh_in!W26=0,0,SER_hh_tesh_in!W26/SER_summary!W$27)</f>
        <v>15.14018517198641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1.1990789150452281</v>
      </c>
      <c r="H27" s="146">
        <f>IF(SER_hh_tesh_in!H27=0,0,SER_hh_tesh_in!H27/SER_summary!H$27)</f>
        <v>3.5929181679113319E-2</v>
      </c>
      <c r="I27" s="146">
        <f>IF(SER_hh_tesh_in!I27=0,0,SER_hh_tesh_in!I27/SER_summary!I$27)</f>
        <v>0.19299153888454301</v>
      </c>
      <c r="J27" s="146">
        <f>IF(SER_hh_tesh_in!J27=0,0,SER_hh_tesh_in!J27/SER_summary!J$27)</f>
        <v>0.21552043610950589</v>
      </c>
      <c r="K27" s="146">
        <f>IF(SER_hh_tesh_in!K27=0,0,SER_hh_tesh_in!K27/SER_summary!K$27)</f>
        <v>0.31755833079854506</v>
      </c>
      <c r="L27" s="146">
        <f>IF(SER_hh_tesh_in!L27=0,0,SER_hh_tesh_in!L27/SER_summary!L$27)</f>
        <v>0.94646957637961515</v>
      </c>
      <c r="M27" s="146">
        <f>IF(SER_hh_tesh_in!M27=0,0,SER_hh_tesh_in!M27/SER_summary!M$27)</f>
        <v>0.37252142224399093</v>
      </c>
      <c r="N27" s="146">
        <f>IF(SER_hh_tesh_in!N27=0,0,SER_hh_tesh_in!N27/SER_summary!N$27)</f>
        <v>3.2634899523292309</v>
      </c>
      <c r="O27" s="146">
        <f>IF(SER_hh_tesh_in!O27=0,0,SER_hh_tesh_in!O27/SER_summary!O$27)</f>
        <v>1.3672606120898447</v>
      </c>
      <c r="P27" s="146">
        <f>IF(SER_hh_tesh_in!P27=0,0,SER_hh_tesh_in!P27/SER_summary!P$27)</f>
        <v>3.0333915923010013E-7</v>
      </c>
      <c r="Q27" s="146">
        <f>IF(SER_hh_tesh_in!Q27=0,0,SER_hh_tesh_in!Q27/SER_summary!Q$27)</f>
        <v>2.7689651371440576</v>
      </c>
      <c r="R27" s="146">
        <f>IF(SER_hh_tesh_in!R27=0,0,SER_hh_tesh_in!R27/SER_summary!R$27)</f>
        <v>0.36780789649510248</v>
      </c>
      <c r="S27" s="146">
        <f>IF(SER_hh_tesh_in!S27=0,0,SER_hh_tesh_in!S27/SER_summary!S$27)</f>
        <v>0.83948994779176467</v>
      </c>
      <c r="T27" s="146">
        <f>IF(SER_hh_tesh_in!T27=0,0,SER_hh_tesh_in!T27/SER_summary!T$27)</f>
        <v>0.3853674188536656</v>
      </c>
      <c r="U27" s="146">
        <f>IF(SER_hh_tesh_in!U27=0,0,SER_hh_tesh_in!U27/SER_summary!U$27)</f>
        <v>0.70311102966969019</v>
      </c>
      <c r="V27" s="146">
        <f>IF(SER_hh_tesh_in!V27=0,0,SER_hh_tesh_in!V27/SER_summary!V$27)</f>
        <v>1.3207547617143869</v>
      </c>
      <c r="W27" s="146">
        <f>IF(SER_hh_tesh_in!W27=0,0,SER_hh_tesh_in!W27/SER_summary!W$27)</f>
        <v>1.7144981284456847E-2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12.895372879420201</v>
      </c>
      <c r="H28" s="147">
        <f>IF(SER_hh_tesh_in!H28=0,0,SER_hh_tesh_in!H28/SER_summary!H$27)</f>
        <v>12.757690882730902</v>
      </c>
      <c r="I28" s="147">
        <f>IF(SER_hh_tesh_in!I28=0,0,SER_hh_tesh_in!I28/SER_summary!I$27)</f>
        <v>11.971916854139588</v>
      </c>
      <c r="J28" s="147">
        <f>IF(SER_hh_tesh_in!J28=0,0,SER_hh_tesh_in!J28/SER_summary!J$27)</f>
        <v>12.451892013906994</v>
      </c>
      <c r="K28" s="147">
        <f>IF(SER_hh_tesh_in!K28=0,0,SER_hh_tesh_in!K28/SER_summary!K$27)</f>
        <v>12.959169011533552</v>
      </c>
      <c r="L28" s="147">
        <f>IF(SER_hh_tesh_in!L28=0,0,SER_hh_tesh_in!L28/SER_summary!L$27)</f>
        <v>8.9954871816198452</v>
      </c>
      <c r="M28" s="147">
        <f>IF(SER_hh_tesh_in!M28=0,0,SER_hh_tesh_in!M28/SER_summary!M$27)</f>
        <v>13.110643869890673</v>
      </c>
      <c r="N28" s="147">
        <f>IF(SER_hh_tesh_in!N28=0,0,SER_hh_tesh_in!N28/SER_summary!N$27)</f>
        <v>12.401965122001361</v>
      </c>
      <c r="O28" s="147">
        <f>IF(SER_hh_tesh_in!O28=0,0,SER_hh_tesh_in!O28/SER_summary!O$27)</f>
        <v>12.323384832607015</v>
      </c>
      <c r="P28" s="147">
        <f>IF(SER_hh_tesh_in!P28=0,0,SER_hh_tesh_in!P28/SER_summary!P$27)</f>
        <v>13.385224500937841</v>
      </c>
      <c r="Q28" s="147">
        <f>IF(SER_hh_tesh_in!Q28=0,0,SER_hh_tesh_in!Q28/SER_summary!Q$27)</f>
        <v>13.035058943638841</v>
      </c>
      <c r="R28" s="147">
        <f>IF(SER_hh_tesh_in!R28=0,0,SER_hh_tesh_in!R28/SER_summary!R$27)</f>
        <v>13.382867097505779</v>
      </c>
      <c r="S28" s="147">
        <f>IF(SER_hh_tesh_in!S28=0,0,SER_hh_tesh_in!S28/SER_summary!S$27)</f>
        <v>12.82722955272407</v>
      </c>
      <c r="T28" s="147">
        <f>IF(SER_hh_tesh_in!T28=0,0,SER_hh_tesh_in!T28/SER_summary!T$27)</f>
        <v>13.036468458600922</v>
      </c>
      <c r="U28" s="147">
        <f>IF(SER_hh_tesh_in!U28=0,0,SER_hh_tesh_in!U28/SER_summary!U$27)</f>
        <v>12.90045690595211</v>
      </c>
      <c r="V28" s="147">
        <f>IF(SER_hh_tesh_in!V28=0,0,SER_hh_tesh_in!V28/SER_summary!V$27)</f>
        <v>11.832314240911607</v>
      </c>
      <c r="W28" s="147">
        <f>IF(SER_hh_tesh_in!W28=0,0,SER_hh_tesh_in!W28/SER_summary!W$27)</f>
        <v>13.249318194492174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15.277904847304431</v>
      </c>
      <c r="D29" s="131">
        <f>IF(SER_hh_tesh_in!D29=0,0,SER_hh_tesh_in!D29/SER_summary!D$27)</f>
        <v>16.512984990656101</v>
      </c>
      <c r="E29" s="131">
        <f>IF(SER_hh_tesh_in!E29=0,0,SER_hh_tesh_in!E29/SER_summary!E$27)</f>
        <v>15.707352148943365</v>
      </c>
      <c r="F29" s="131">
        <f>IF(SER_hh_tesh_in!F29=0,0,SER_hh_tesh_in!F29/SER_summary!F$27)</f>
        <v>14.500220541836601</v>
      </c>
      <c r="G29" s="131">
        <f>IF(SER_hh_tesh_in!G29=0,0,SER_hh_tesh_in!G29/SER_summary!G$27)</f>
        <v>16.711052543560665</v>
      </c>
      <c r="H29" s="131">
        <f>IF(SER_hh_tesh_in!H29=0,0,SER_hh_tesh_in!H29/SER_summary!H$27)</f>
        <v>16.522441818340539</v>
      </c>
      <c r="I29" s="131">
        <f>IF(SER_hh_tesh_in!I29=0,0,SER_hh_tesh_in!I29/SER_summary!I$27)</f>
        <v>15.85765673942843</v>
      </c>
      <c r="J29" s="131">
        <f>IF(SER_hh_tesh_in!J29=0,0,SER_hh_tesh_in!J29/SER_summary!J$27)</f>
        <v>15.74892911187931</v>
      </c>
      <c r="K29" s="131">
        <f>IF(SER_hh_tesh_in!K29=0,0,SER_hh_tesh_in!K29/SER_summary!K$27)</f>
        <v>17.14229211600793</v>
      </c>
      <c r="L29" s="131">
        <f>IF(SER_hh_tesh_in!L29=0,0,SER_hh_tesh_in!L29/SER_summary!L$27)</f>
        <v>16.879838123779127</v>
      </c>
      <c r="M29" s="131">
        <f>IF(SER_hh_tesh_in!M29=0,0,SER_hh_tesh_in!M29/SER_summary!M$27)</f>
        <v>16.780392314307981</v>
      </c>
      <c r="N29" s="131">
        <f>IF(SER_hh_tesh_in!N29=0,0,SER_hh_tesh_in!N29/SER_summary!N$27)</f>
        <v>17.364960732573</v>
      </c>
      <c r="O29" s="131">
        <f>IF(SER_hh_tesh_in!O29=0,0,SER_hh_tesh_in!O29/SER_summary!O$27)</f>
        <v>17.324315141244231</v>
      </c>
      <c r="P29" s="131">
        <f>IF(SER_hh_tesh_in!P29=0,0,SER_hh_tesh_in!P29/SER_summary!P$27)</f>
        <v>17.3252166634547</v>
      </c>
      <c r="Q29" s="131">
        <f>IF(SER_hh_tesh_in!Q29=0,0,SER_hh_tesh_in!Q29/SER_summary!Q$27)</f>
        <v>17.592604129717113</v>
      </c>
      <c r="R29" s="131">
        <f>IF(SER_hh_tesh_in!R29=0,0,SER_hh_tesh_in!R29/SER_summary!R$27)</f>
        <v>17.868967212027755</v>
      </c>
      <c r="S29" s="131">
        <f>IF(SER_hh_tesh_in!S29=0,0,SER_hh_tesh_in!S29/SER_summary!S$27)</f>
        <v>17.625918485203762</v>
      </c>
      <c r="T29" s="131">
        <f>IF(SER_hh_tesh_in!T29=0,0,SER_hh_tesh_in!T29/SER_summary!T$27)</f>
        <v>17.833167878232612</v>
      </c>
      <c r="U29" s="131">
        <f>IF(SER_hh_tesh_in!U29=0,0,SER_hh_tesh_in!U29/SER_summary!U$27)</f>
        <v>17.577987399650095</v>
      </c>
      <c r="V29" s="131">
        <f>IF(SER_hh_tesh_in!V29=0,0,SER_hh_tesh_in!V29/SER_summary!V$27)</f>
        <v>15.961436332055982</v>
      </c>
      <c r="W29" s="131">
        <f>IF(SER_hh_tesh_in!W29=0,0,SER_hh_tesh_in!W29/SER_summary!W$27)</f>
        <v>17.714449683185805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7.0684515462099675</v>
      </c>
      <c r="D30" s="133">
        <f>IF(SER_hh_tesh_in!D30=0,0,SER_hh_tesh_in!D30/SER_summary!D$27)</f>
        <v>17.25720503131252</v>
      </c>
      <c r="E30" s="133">
        <f>IF(SER_hh_tesh_in!E30=0,0,SER_hh_tesh_in!E30/SER_summary!E$27)</f>
        <v>17.052105000589737</v>
      </c>
      <c r="F30" s="133">
        <f>IF(SER_hh_tesh_in!F30=0,0,SER_hh_tesh_in!F30/SER_summary!F$27)</f>
        <v>18.707093487115831</v>
      </c>
      <c r="G30" s="133">
        <f>IF(SER_hh_tesh_in!G30=0,0,SER_hh_tesh_in!G30/SER_summary!G$27)</f>
        <v>15.416064882558725</v>
      </c>
      <c r="H30" s="133">
        <f>IF(SER_hh_tesh_in!H30=0,0,SER_hh_tesh_in!H30/SER_summary!H$27)</f>
        <v>0</v>
      </c>
      <c r="I30" s="133">
        <f>IF(SER_hh_tesh_in!I30=0,0,SER_hh_tesh_in!I30/SER_summary!I$27)</f>
        <v>15.381905815928294</v>
      </c>
      <c r="J30" s="133">
        <f>IF(SER_hh_tesh_in!J30=0,0,SER_hh_tesh_in!J30/SER_summary!J$27)</f>
        <v>16.978691132762876</v>
      </c>
      <c r="K30" s="133">
        <f>IF(SER_hh_tesh_in!K30=0,0,SER_hh_tesh_in!K30/SER_summary!K$27)</f>
        <v>16.274378754492446</v>
      </c>
      <c r="L30" s="133">
        <f>IF(SER_hh_tesh_in!L30=0,0,SER_hh_tesh_in!L30/SER_summary!L$27)</f>
        <v>17.727377638528999</v>
      </c>
      <c r="M30" s="133">
        <f>IF(SER_hh_tesh_in!M30=0,0,SER_hh_tesh_in!M30/SER_summary!M$27)</f>
        <v>18.023721036159383</v>
      </c>
      <c r="N30" s="133">
        <f>IF(SER_hh_tesh_in!N30=0,0,SER_hh_tesh_in!N30/SER_summary!N$27)</f>
        <v>16.711417304116118</v>
      </c>
      <c r="O30" s="133">
        <f>IF(SER_hh_tesh_in!O30=0,0,SER_hh_tesh_in!O30/SER_summary!O$27)</f>
        <v>15.674979097394841</v>
      </c>
      <c r="P30" s="133">
        <f>IF(SER_hh_tesh_in!P30=0,0,SER_hh_tesh_in!P30/SER_summary!P$27)</f>
        <v>16.439582590707385</v>
      </c>
      <c r="Q30" s="133">
        <f>IF(SER_hh_tesh_in!Q30=0,0,SER_hh_tesh_in!Q30/SER_summary!Q$27)</f>
        <v>18.374252231356781</v>
      </c>
      <c r="R30" s="133">
        <f>IF(SER_hh_tesh_in!R30=0,0,SER_hh_tesh_in!R30/SER_summary!R$27)</f>
        <v>17.35890469903401</v>
      </c>
      <c r="S30" s="133">
        <f>IF(SER_hh_tesh_in!S30=0,0,SER_hh_tesh_in!S30/SER_summary!S$27)</f>
        <v>19.111320479945132</v>
      </c>
      <c r="T30" s="133">
        <f>IF(SER_hh_tesh_in!T30=0,0,SER_hh_tesh_in!T30/SER_summary!T$27)</f>
        <v>16.125161076600794</v>
      </c>
      <c r="U30" s="133">
        <f>IF(SER_hh_tesh_in!U30=0,0,SER_hh_tesh_in!U30/SER_summary!U$27)</f>
        <v>18.54554564497041</v>
      </c>
      <c r="V30" s="133">
        <f>IF(SER_hh_tesh_in!V30=0,0,SER_hh_tesh_in!V30/SER_summary!V$27)</f>
        <v>15.612231036699734</v>
      </c>
      <c r="W30" s="133">
        <f>IF(SER_hh_tesh_in!W30=0,0,SER_hh_tesh_in!W30/SER_summary!W$27)</f>
        <v>17.516045242112124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15.557109063624614</v>
      </c>
      <c r="D31" s="133">
        <f>IF(SER_hh_tesh_in!D31=0,0,SER_hh_tesh_in!D31/SER_summary!D$27)</f>
        <v>15.517075243328248</v>
      </c>
      <c r="E31" s="133">
        <f>IF(SER_hh_tesh_in!E31=0,0,SER_hh_tesh_in!E31/SER_summary!E$27)</f>
        <v>16.145382470409945</v>
      </c>
      <c r="F31" s="133">
        <f>IF(SER_hh_tesh_in!F31=0,0,SER_hh_tesh_in!F31/SER_summary!F$27)</f>
        <v>17.487647384920507</v>
      </c>
      <c r="G31" s="133">
        <f>IF(SER_hh_tesh_in!G31=0,0,SER_hh_tesh_in!G31/SER_summary!G$27)</f>
        <v>0</v>
      </c>
      <c r="H31" s="133">
        <f>IF(SER_hh_tesh_in!H31=0,0,SER_hh_tesh_in!H31/SER_summary!H$27)</f>
        <v>0</v>
      </c>
      <c r="I31" s="133">
        <f>IF(SER_hh_tesh_in!I31=0,0,SER_hh_tesh_in!I31/SER_summary!I$27)</f>
        <v>15.430382912717272</v>
      </c>
      <c r="J31" s="133">
        <f>IF(SER_hh_tesh_in!J31=0,0,SER_hh_tesh_in!J31/SER_summary!J$27)</f>
        <v>14.412131682768887</v>
      </c>
      <c r="K31" s="133">
        <f>IF(SER_hh_tesh_in!K31=0,0,SER_hh_tesh_in!K31/SER_summary!K$27)</f>
        <v>18.224223569800948</v>
      </c>
      <c r="L31" s="133">
        <f>IF(SER_hh_tesh_in!L31=0,0,SER_hh_tesh_in!L31/SER_summary!L$27)</f>
        <v>17.034506488270544</v>
      </c>
      <c r="M31" s="133">
        <f>IF(SER_hh_tesh_in!M31=0,0,SER_hh_tesh_in!M31/SER_summary!M$27)</f>
        <v>17.236826286976022</v>
      </c>
      <c r="N31" s="133">
        <f>IF(SER_hh_tesh_in!N31=0,0,SER_hh_tesh_in!N31/SER_summary!N$27)</f>
        <v>16.107726933531154</v>
      </c>
      <c r="O31" s="133">
        <f>IF(SER_hh_tesh_in!O31=0,0,SER_hh_tesh_in!O31/SER_summary!O$27)</f>
        <v>16.951198780942072</v>
      </c>
      <c r="P31" s="133">
        <f>IF(SER_hh_tesh_in!P31=0,0,SER_hh_tesh_in!P31/SER_summary!P$27)</f>
        <v>17.754891175464344</v>
      </c>
      <c r="Q31" s="133">
        <f>IF(SER_hh_tesh_in!Q31=0,0,SER_hh_tesh_in!Q31/SER_summary!Q$27)</f>
        <v>18.179863905560953</v>
      </c>
      <c r="R31" s="133">
        <f>IF(SER_hh_tesh_in!R31=0,0,SER_hh_tesh_in!R31/SER_summary!R$27)</f>
        <v>17.334133262922517</v>
      </c>
      <c r="S31" s="133">
        <f>IF(SER_hh_tesh_in!S31=0,0,SER_hh_tesh_in!S31/SER_summary!S$27)</f>
        <v>17.620370670199542</v>
      </c>
      <c r="T31" s="133">
        <f>IF(SER_hh_tesh_in!T31=0,0,SER_hh_tesh_in!T31/SER_summary!T$27)</f>
        <v>17.942358625230582</v>
      </c>
      <c r="U31" s="133">
        <f>IF(SER_hh_tesh_in!U31=0,0,SER_hh_tesh_in!U31/SER_summary!U$27)</f>
        <v>17.121230162455383</v>
      </c>
      <c r="V31" s="133">
        <f>IF(SER_hh_tesh_in!V31=0,0,SER_hh_tesh_in!V31/SER_summary!V$27)</f>
        <v>15.193232220397205</v>
      </c>
      <c r="W31" s="133">
        <f>IF(SER_hh_tesh_in!W31=0,0,SER_hh_tesh_in!W31/SER_summary!W$27)</f>
        <v>20.409617049751422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17.47020421808929</v>
      </c>
      <c r="D33" s="68">
        <f>IF(SER_hh_tesh_in!D33=0,0,SER_hh_tesh_in!D33/SER_summary!D$27)</f>
        <v>15.103949180770293</v>
      </c>
      <c r="E33" s="68">
        <f>IF(SER_hh_tesh_in!E33=0,0,SER_hh_tesh_in!E33/SER_summary!E$27)</f>
        <v>14.087388253638945</v>
      </c>
      <c r="F33" s="68">
        <f>IF(SER_hh_tesh_in!F33=0,0,SER_hh_tesh_in!F33/SER_summary!F$27)</f>
        <v>13.176658521037519</v>
      </c>
      <c r="G33" s="68">
        <f>IF(SER_hh_tesh_in!G33=0,0,SER_hh_tesh_in!G33/SER_summary!G$27)</f>
        <v>16.776587259433008</v>
      </c>
      <c r="H33" s="68">
        <f>IF(SER_hh_tesh_in!H33=0,0,SER_hh_tesh_in!H33/SER_summary!H$27)</f>
        <v>16.522441818340539</v>
      </c>
      <c r="I33" s="68">
        <f>IF(SER_hh_tesh_in!I33=0,0,SER_hh_tesh_in!I33/SER_summary!I$27)</f>
        <v>16.063242675177591</v>
      </c>
      <c r="J33" s="68">
        <f>IF(SER_hh_tesh_in!J33=0,0,SER_hh_tesh_in!J33/SER_summary!J$27)</f>
        <v>16.311544268129033</v>
      </c>
      <c r="K33" s="68">
        <f>IF(SER_hh_tesh_in!K33=0,0,SER_hh_tesh_in!K33/SER_summary!K$27)</f>
        <v>16.004023090519794</v>
      </c>
      <c r="L33" s="68">
        <f>IF(SER_hh_tesh_in!L33=0,0,SER_hh_tesh_in!L33/SER_summary!L$27)</f>
        <v>16.534510163345168</v>
      </c>
      <c r="M33" s="68">
        <f>IF(SER_hh_tesh_in!M33=0,0,SER_hh_tesh_in!M33/SER_summary!M$27)</f>
        <v>16.554424090035628</v>
      </c>
      <c r="N33" s="68">
        <f>IF(SER_hh_tesh_in!N33=0,0,SER_hh_tesh_in!N33/SER_summary!N$27)</f>
        <v>17.656282139568024</v>
      </c>
      <c r="O33" s="68">
        <f>IF(SER_hh_tesh_in!O33=0,0,SER_hh_tesh_in!O33/SER_summary!O$27)</f>
        <v>17.759197412500058</v>
      </c>
      <c r="P33" s="68">
        <f>IF(SER_hh_tesh_in!P33=0,0,SER_hh_tesh_in!P33/SER_summary!P$27)</f>
        <v>17.385674282555428</v>
      </c>
      <c r="Q33" s="68">
        <f>IF(SER_hh_tesh_in!Q33=0,0,SER_hh_tesh_in!Q33/SER_summary!Q$27)</f>
        <v>16.99027789419247</v>
      </c>
      <c r="R33" s="68">
        <f>IF(SER_hh_tesh_in!R33=0,0,SER_hh_tesh_in!R33/SER_summary!R$27)</f>
        <v>18.058154478478208</v>
      </c>
      <c r="S33" s="68">
        <f>IF(SER_hh_tesh_in!S33=0,0,SER_hh_tesh_in!S33/SER_summary!S$27)</f>
        <v>17.434984012587151</v>
      </c>
      <c r="T33" s="68">
        <f>IF(SER_hh_tesh_in!T33=0,0,SER_hh_tesh_in!T33/SER_summary!T$27)</f>
        <v>17.863914350581879</v>
      </c>
      <c r="U33" s="68">
        <f>IF(SER_hh_tesh_in!U33=0,0,SER_hh_tesh_in!U33/SER_summary!U$27)</f>
        <v>17.710139572074333</v>
      </c>
      <c r="V33" s="68">
        <f>IF(SER_hh_tesh_in!V33=0,0,SER_hh_tesh_in!V33/SER_summary!V$27)</f>
        <v>16.746011367456781</v>
      </c>
      <c r="W33" s="68">
        <f>IF(SER_hh_tesh_in!W33=0,0,SER_hh_tesh_in!W33/SER_summary!W$27)</f>
        <v>15.972513958028625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22.49741635519797</v>
      </c>
      <c r="D3" s="126">
        <f>IF(SER_hh_emih_in!D3=0,0,SER_hh_emih_in!D3/SER_summary!D$27)</f>
        <v>23.945800696176274</v>
      </c>
      <c r="E3" s="126">
        <f>IF(SER_hh_emih_in!E3=0,0,SER_hh_emih_in!E3/SER_summary!E$27)</f>
        <v>30.618429349734612</v>
      </c>
      <c r="F3" s="126">
        <f>IF(SER_hh_emih_in!F3=0,0,SER_hh_emih_in!F3/SER_summary!F$27)</f>
        <v>25.071864011651819</v>
      </c>
      <c r="G3" s="126">
        <f>IF(SER_hh_emih_in!G3=0,0,SER_hh_emih_in!G3/SER_summary!G$27)</f>
        <v>25.038588985980592</v>
      </c>
      <c r="H3" s="126">
        <f>IF(SER_hh_emih_in!H3=0,0,SER_hh_emih_in!H3/SER_summary!H$27)</f>
        <v>21.098569825303027</v>
      </c>
      <c r="I3" s="126">
        <f>IF(SER_hh_emih_in!I3=0,0,SER_hh_emih_in!I3/SER_summary!I$27)</f>
        <v>22.621211214945895</v>
      </c>
      <c r="J3" s="126">
        <f>IF(SER_hh_emih_in!J3=0,0,SER_hh_emih_in!J3/SER_summary!J$27)</f>
        <v>25.878236817505734</v>
      </c>
      <c r="K3" s="126">
        <f>IF(SER_hh_emih_in!K3=0,0,SER_hh_emih_in!K3/SER_summary!K$27)</f>
        <v>26.854117057351381</v>
      </c>
      <c r="L3" s="126">
        <f>IF(SER_hh_emih_in!L3=0,0,SER_hh_emih_in!L3/SER_summary!L$27)</f>
        <v>22.485758277032399</v>
      </c>
      <c r="M3" s="126">
        <f>IF(SER_hh_emih_in!M3=0,0,SER_hh_emih_in!M3/SER_summary!M$27)</f>
        <v>16.88664422330308</v>
      </c>
      <c r="N3" s="126">
        <f>IF(SER_hh_emih_in!N3=0,0,SER_hh_emih_in!N3/SER_summary!N$27)</f>
        <v>19.626200110353867</v>
      </c>
      <c r="O3" s="126">
        <f>IF(SER_hh_emih_in!O3=0,0,SER_hh_emih_in!O3/SER_summary!O$27)</f>
        <v>21.869085402399307</v>
      </c>
      <c r="P3" s="126">
        <f>IF(SER_hh_emih_in!P3=0,0,SER_hh_emih_in!P3/SER_summary!P$27)</f>
        <v>16.915741925632062</v>
      </c>
      <c r="Q3" s="126">
        <f>IF(SER_hh_emih_in!Q3=0,0,SER_hh_emih_in!Q3/SER_summary!Q$27)</f>
        <v>14.413680785156952</v>
      </c>
      <c r="R3" s="126">
        <f>IF(SER_hh_emih_in!R3=0,0,SER_hh_emih_in!R3/SER_summary!R$27)</f>
        <v>12.458575911836634</v>
      </c>
      <c r="S3" s="126">
        <f>IF(SER_hh_emih_in!S3=0,0,SER_hh_emih_in!S3/SER_summary!S$27)</f>
        <v>14.230166371517308</v>
      </c>
      <c r="T3" s="126">
        <f>IF(SER_hh_emih_in!T3=0,0,SER_hh_emih_in!T3/SER_summary!T$27)</f>
        <v>14.050197160409546</v>
      </c>
      <c r="U3" s="126">
        <f>IF(SER_hh_emih_in!U3=0,0,SER_hh_emih_in!U3/SER_summary!U$27)</f>
        <v>14.27791151463529</v>
      </c>
      <c r="V3" s="126">
        <f>IF(SER_hh_emih_in!V3=0,0,SER_hh_emih_in!V3/SER_summary!V$27)</f>
        <v>12.318038700266852</v>
      </c>
      <c r="W3" s="126">
        <f>IF(SER_hh_emih_in!W3=0,0,SER_hh_emih_in!W3/SER_summary!W$27)</f>
        <v>11.060912484736814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17.763477037849785</v>
      </c>
      <c r="D4" s="131">
        <f>IF(SER_hh_emih_in!D4=0,0,SER_hh_emih_in!D4/SER_summary!D$27)</f>
        <v>15.568660089125075</v>
      </c>
      <c r="E4" s="131">
        <f>IF(SER_hh_emih_in!E4=0,0,SER_hh_emih_in!E4/SER_summary!E$27)</f>
        <v>24.16452351553497</v>
      </c>
      <c r="F4" s="131">
        <f>IF(SER_hh_emih_in!F4=0,0,SER_hh_emih_in!F4/SER_summary!F$27)</f>
        <v>21.263441590778644</v>
      </c>
      <c r="G4" s="131">
        <f>IF(SER_hh_emih_in!G4=0,0,SER_hh_emih_in!G4/SER_summary!G$27)</f>
        <v>22.999476778351884</v>
      </c>
      <c r="H4" s="131">
        <f>IF(SER_hh_emih_in!H4=0,0,SER_hh_emih_in!H4/SER_summary!H$27)</f>
        <v>19.403210792172693</v>
      </c>
      <c r="I4" s="131">
        <f>IF(SER_hh_emih_in!I4=0,0,SER_hh_emih_in!I4/SER_summary!I$27)</f>
        <v>19.23415039052982</v>
      </c>
      <c r="J4" s="131">
        <f>IF(SER_hh_emih_in!J4=0,0,SER_hh_emih_in!J4/SER_summary!J$27)</f>
        <v>20.902440865843385</v>
      </c>
      <c r="K4" s="131">
        <f>IF(SER_hh_emih_in!K4=0,0,SER_hh_emih_in!K4/SER_summary!K$27)</f>
        <v>20.328962783003735</v>
      </c>
      <c r="L4" s="131">
        <f>IF(SER_hh_emih_in!L4=0,0,SER_hh_emih_in!L4/SER_summary!L$27)</f>
        <v>17.721066266764385</v>
      </c>
      <c r="M4" s="131">
        <f>IF(SER_hh_emih_in!M4=0,0,SER_hh_emih_in!M4/SER_summary!M$27)</f>
        <v>13.051178145410285</v>
      </c>
      <c r="N4" s="131">
        <f>IF(SER_hh_emih_in!N4=0,0,SER_hh_emih_in!N4/SER_summary!N$27)</f>
        <v>16.07102885380899</v>
      </c>
      <c r="O4" s="131">
        <f>IF(SER_hh_emih_in!O4=0,0,SER_hh_emih_in!O4/SER_summary!O$27)</f>
        <v>17.110937739583736</v>
      </c>
      <c r="P4" s="131">
        <f>IF(SER_hh_emih_in!P4=0,0,SER_hh_emih_in!P4/SER_summary!P$27)</f>
        <v>12.443879017651085</v>
      </c>
      <c r="Q4" s="131">
        <f>IF(SER_hh_emih_in!Q4=0,0,SER_hh_emih_in!Q4/SER_summary!Q$27)</f>
        <v>9.3376864180622601</v>
      </c>
      <c r="R4" s="131">
        <f>IF(SER_hh_emih_in!R4=0,0,SER_hh_emih_in!R4/SER_summary!R$27)</f>
        <v>9.4737488762707489</v>
      </c>
      <c r="S4" s="131">
        <f>IF(SER_hh_emih_in!S4=0,0,SER_hh_emih_in!S4/SER_summary!S$27)</f>
        <v>10.901661118256509</v>
      </c>
      <c r="T4" s="131">
        <f>IF(SER_hh_emih_in!T4=0,0,SER_hh_emih_in!T4/SER_summary!T$27)</f>
        <v>11.175271100369557</v>
      </c>
      <c r="U4" s="131">
        <f>IF(SER_hh_emih_in!U4=0,0,SER_hh_emih_in!U4/SER_summary!U$27)</f>
        <v>10.059031499453862</v>
      </c>
      <c r="V4" s="131">
        <f>IF(SER_hh_emih_in!V4=0,0,SER_hh_emih_in!V4/SER_summary!V$27)</f>
        <v>8.3113711389163267</v>
      </c>
      <c r="W4" s="131">
        <f>IF(SER_hh_emih_in!W4=0,0,SER_hh_emih_in!W4/SER_summary!W$27)</f>
        <v>7.0694440821431925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55.895312097895903</v>
      </c>
      <c r="G5" s="133">
        <f>IF(SER_hh_emih_in!G5=0,0,SER_hh_emih_in!G5/SER_summary!G$27)</f>
        <v>56.81872065484788</v>
      </c>
      <c r="H5" s="133">
        <f>IF(SER_hh_emih_in!H5=0,0,SER_hh_emih_in!H5/SER_summary!H$27)</f>
        <v>53.181271214381226</v>
      </c>
      <c r="I5" s="133">
        <f>IF(SER_hh_emih_in!I5=0,0,SER_hh_emih_in!I5/SER_summary!I$27)</f>
        <v>49.929271518116636</v>
      </c>
      <c r="J5" s="133">
        <f>IF(SER_hh_emih_in!J5=0,0,SER_hh_emih_in!J5/SER_summary!J$27)</f>
        <v>46.18369267962732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43.168974347073558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23.106556327113168</v>
      </c>
      <c r="V5" s="133">
        <f>IF(SER_hh_emih_in!V5=0,0,SER_hh_emih_in!V5/SER_summary!V$27)</f>
        <v>19.290693911573818</v>
      </c>
      <c r="W5" s="133">
        <f>IF(SER_hh_emih_in!W5=0,0,SER_hh_emih_in!W5/SER_summary!W$27)</f>
        <v>19.319224793829324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54.230172800162983</v>
      </c>
      <c r="D7" s="133">
        <f>IF(SER_hh_emih_in!D7=0,0,SER_hh_emih_in!D7/SER_summary!D$27)</f>
        <v>47.111846899480909</v>
      </c>
      <c r="E7" s="133">
        <f>IF(SER_hh_emih_in!E7=0,0,SER_hh_emih_in!E7/SER_summary!E$27)</f>
        <v>50.418205523057509</v>
      </c>
      <c r="F7" s="133">
        <f>IF(SER_hh_emih_in!F7=0,0,SER_hh_emih_in!F7/SER_summary!F$27)</f>
        <v>51.093173914033528</v>
      </c>
      <c r="G7" s="133">
        <f>IF(SER_hh_emih_in!G7=0,0,SER_hh_emih_in!G7/SER_summary!G$27)</f>
        <v>49.079321884091641</v>
      </c>
      <c r="H7" s="133">
        <f>IF(SER_hh_emih_in!H7=0,0,SER_hh_emih_in!H7/SER_summary!H$27)</f>
        <v>44.855451515616913</v>
      </c>
      <c r="I7" s="133">
        <f>IF(SER_hh_emih_in!I7=0,0,SER_hh_emih_in!I7/SER_summary!I$27)</f>
        <v>38.157471710068528</v>
      </c>
      <c r="J7" s="133">
        <f>IF(SER_hh_emih_in!J7=0,0,SER_hh_emih_in!J7/SER_summary!J$27)</f>
        <v>44.72331837563766</v>
      </c>
      <c r="K7" s="133">
        <f>IF(SER_hh_emih_in!K7=0,0,SER_hh_emih_in!K7/SER_summary!K$27)</f>
        <v>43.009702371569006</v>
      </c>
      <c r="L7" s="133">
        <f>IF(SER_hh_emih_in!L7=0,0,SER_hh_emih_in!L7/SER_summary!L$27)</f>
        <v>40.681722973301149</v>
      </c>
      <c r="M7" s="133">
        <f>IF(SER_hh_emih_in!M7=0,0,SER_hh_emih_in!M7/SER_summary!M$27)</f>
        <v>34.151030832699007</v>
      </c>
      <c r="N7" s="133">
        <f>IF(SER_hh_emih_in!N7=0,0,SER_hh_emih_in!N7/SER_summary!N$27)</f>
        <v>34.492442372686867</v>
      </c>
      <c r="O7" s="133">
        <f>IF(SER_hh_emih_in!O7=0,0,SER_hh_emih_in!O7/SER_summary!O$27)</f>
        <v>33.984684808650918</v>
      </c>
      <c r="P7" s="133">
        <f>IF(SER_hh_emih_in!P7=0,0,SER_hh_emih_in!P7/SER_summary!P$27)</f>
        <v>27.757043245118922</v>
      </c>
      <c r="Q7" s="133">
        <f>IF(SER_hh_emih_in!Q7=0,0,SER_hh_emih_in!Q7/SER_summary!Q$27)</f>
        <v>27.124525062455024</v>
      </c>
      <c r="R7" s="133">
        <f>IF(SER_hh_emih_in!R7=0,0,SER_hh_emih_in!R7/SER_summary!R$27)</f>
        <v>23.554629627944689</v>
      </c>
      <c r="S7" s="133">
        <f>IF(SER_hh_emih_in!S7=0,0,SER_hh_emih_in!S7/SER_summary!S$27)</f>
        <v>23.562445984891216</v>
      </c>
      <c r="T7" s="133">
        <f>IF(SER_hh_emih_in!T7=0,0,SER_hh_emih_in!T7/SER_summary!T$27)</f>
        <v>21.439092017221348</v>
      </c>
      <c r="U7" s="133">
        <f>IF(SER_hh_emih_in!U7=0,0,SER_hh_emih_in!U7/SER_summary!U$27)</f>
        <v>19.415786103296032</v>
      </c>
      <c r="V7" s="133">
        <f>IF(SER_hh_emih_in!V7=0,0,SER_hh_emih_in!V7/SER_summary!V$27)</f>
        <v>17.012018551340759</v>
      </c>
      <c r="W7" s="133">
        <f>IF(SER_hh_emih_in!W7=0,0,SER_hh_emih_in!W7/SER_summary!W$27)</f>
        <v>14.687349413012971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16.828549358847198</v>
      </c>
      <c r="D8" s="133">
        <f>IF(SER_hh_emih_in!D8=0,0,SER_hh_emih_in!D8/SER_summary!D$27)</f>
        <v>13.311373538397316</v>
      </c>
      <c r="E8" s="133">
        <f>IF(SER_hh_emih_in!E8=0,0,SER_hh_emih_in!E8/SER_summary!E$27)</f>
        <v>13.814786222806154</v>
      </c>
      <c r="F8" s="133">
        <f>IF(SER_hh_emih_in!F8=0,0,SER_hh_emih_in!F8/SER_summary!F$27)</f>
        <v>12.304306970671481</v>
      </c>
      <c r="G8" s="133">
        <f>IF(SER_hh_emih_in!G8=0,0,SER_hh_emih_in!G8/SER_summary!G$27)</f>
        <v>15.571556132303231</v>
      </c>
      <c r="H8" s="133">
        <f>IF(SER_hh_emih_in!H8=0,0,SER_hh_emih_in!H8/SER_summary!H$27)</f>
        <v>12.992956089018032</v>
      </c>
      <c r="I8" s="133">
        <f>IF(SER_hh_emih_in!I8=0,0,SER_hh_emih_in!I8/SER_summary!I$27)</f>
        <v>12.186358131939592</v>
      </c>
      <c r="J8" s="133">
        <f>IF(SER_hh_emih_in!J8=0,0,SER_hh_emih_in!J8/SER_summary!J$27)</f>
        <v>11.807580397562742</v>
      </c>
      <c r="K8" s="133">
        <f>IF(SER_hh_emih_in!K8=0,0,SER_hh_emih_in!K8/SER_summary!K$27)</f>
        <v>8.7533026343244895</v>
      </c>
      <c r="L8" s="133">
        <f>IF(SER_hh_emih_in!L8=0,0,SER_hh_emih_in!L8/SER_summary!L$27)</f>
        <v>7.0192961102391456</v>
      </c>
      <c r="M8" s="133">
        <f>IF(SER_hh_emih_in!M8=0,0,SER_hh_emih_in!M8/SER_summary!M$27)</f>
        <v>9.1323149197256619</v>
      </c>
      <c r="N8" s="133">
        <f>IF(SER_hh_emih_in!N8=0,0,SER_hh_emih_in!N8/SER_summary!N$27)</f>
        <v>7.7201672239149124</v>
      </c>
      <c r="O8" s="133">
        <f>IF(SER_hh_emih_in!O8=0,0,SER_hh_emih_in!O8/SER_summary!O$27)</f>
        <v>7.7377268484418238</v>
      </c>
      <c r="P8" s="133">
        <f>IF(SER_hh_emih_in!P8=0,0,SER_hh_emih_in!P8/SER_summary!P$27)</f>
        <v>6.1934555589771687</v>
      </c>
      <c r="Q8" s="133">
        <f>IF(SER_hh_emih_in!Q8=0,0,SER_hh_emih_in!Q8/SER_summary!Q$27)</f>
        <v>6.1189149328011494</v>
      </c>
      <c r="R8" s="133">
        <f>IF(SER_hh_emih_in!R8=0,0,SER_hh_emih_in!R8/SER_summary!R$27)</f>
        <v>5.7664640211054472</v>
      </c>
      <c r="S8" s="133">
        <f>IF(SER_hh_emih_in!S8=0,0,SER_hh_emih_in!S8/SER_summary!S$27)</f>
        <v>5.3027403445534365</v>
      </c>
      <c r="T8" s="133">
        <f>IF(SER_hh_emih_in!T8=0,0,SER_hh_emih_in!T8/SER_summary!T$27)</f>
        <v>4.9416763060836884</v>
      </c>
      <c r="U8" s="133">
        <f>IF(SER_hh_emih_in!U8=0,0,SER_hh_emih_in!U8/SER_summary!U$27)</f>
        <v>4.5198941348682435</v>
      </c>
      <c r="V8" s="133">
        <f>IF(SER_hh_emih_in!V8=0,0,SER_hh_emih_in!V8/SER_summary!V$27)</f>
        <v>3.5916122777629207</v>
      </c>
      <c r="W8" s="133">
        <f>IF(SER_hh_emih_in!W8=0,0,SER_hh_emih_in!W8/SER_summary!W$27)</f>
        <v>3.3960407318616919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34.379686311542137</v>
      </c>
      <c r="D9" s="133">
        <f>IF(SER_hh_emih_in!D9=0,0,SER_hh_emih_in!D9/SER_summary!D$27)</f>
        <v>27.725933480114371</v>
      </c>
      <c r="E9" s="133">
        <f>IF(SER_hh_emih_in!E9=0,0,SER_hh_emih_in!E9/SER_summary!E$27)</f>
        <v>34.400437651807295</v>
      </c>
      <c r="F9" s="133">
        <f>IF(SER_hh_emih_in!F9=0,0,SER_hh_emih_in!F9/SER_summary!F$27)</f>
        <v>33.400272614690387</v>
      </c>
      <c r="G9" s="133">
        <f>IF(SER_hh_emih_in!G9=0,0,SER_hh_emih_in!G9/SER_summary!G$27)</f>
        <v>33.530601094412681</v>
      </c>
      <c r="H9" s="133">
        <f>IF(SER_hh_emih_in!H9=0,0,SER_hh_emih_in!H9/SER_summary!H$27)</f>
        <v>28.276998684434449</v>
      </c>
      <c r="I9" s="133">
        <f>IF(SER_hh_emih_in!I9=0,0,SER_hh_emih_in!I9/SER_summary!I$27)</f>
        <v>27.573577253002071</v>
      </c>
      <c r="J9" s="133">
        <f>IF(SER_hh_emih_in!J9=0,0,SER_hh_emih_in!J9/SER_summary!J$27)</f>
        <v>23.618194816215919</v>
      </c>
      <c r="K9" s="133">
        <f>IF(SER_hh_emih_in!K9=0,0,SER_hh_emih_in!K9/SER_summary!K$27)</f>
        <v>27.674467617194555</v>
      </c>
      <c r="L9" s="133">
        <f>IF(SER_hh_emih_in!L9=0,0,SER_hh_emih_in!L9/SER_summary!L$27)</f>
        <v>30.018955024067427</v>
      </c>
      <c r="M9" s="133">
        <f>IF(SER_hh_emih_in!M9=0,0,SER_hh_emih_in!M9/SER_summary!M$27)</f>
        <v>20.526596273502246</v>
      </c>
      <c r="N9" s="133">
        <f>IF(SER_hh_emih_in!N9=0,0,SER_hh_emih_in!N9/SER_summary!N$27)</f>
        <v>23.262696611487932</v>
      </c>
      <c r="O9" s="133">
        <f>IF(SER_hh_emih_in!O9=0,0,SER_hh_emih_in!O9/SER_summary!O$27)</f>
        <v>23.377234448526526</v>
      </c>
      <c r="P9" s="133">
        <f>IF(SER_hh_emih_in!P9=0,0,SER_hh_emih_in!P9/SER_summary!P$27)</f>
        <v>17.628385712396113</v>
      </c>
      <c r="Q9" s="133">
        <f>IF(SER_hh_emih_in!Q9=0,0,SER_hh_emih_in!Q9/SER_summary!Q$27)</f>
        <v>17.677544969574321</v>
      </c>
      <c r="R9" s="133">
        <f>IF(SER_hh_emih_in!R9=0,0,SER_hh_emih_in!R9/SER_summary!R$27)</f>
        <v>16.677351000214244</v>
      </c>
      <c r="S9" s="133">
        <f>IF(SER_hh_emih_in!S9=0,0,SER_hh_emih_in!S9/SER_summary!S$27)</f>
        <v>15.934274966850031</v>
      </c>
      <c r="T9" s="133">
        <f>IF(SER_hh_emih_in!T9=0,0,SER_hh_emih_in!T9/SER_summary!T$27)</f>
        <v>15.221234143168836</v>
      </c>
      <c r="U9" s="133">
        <f>IF(SER_hh_emih_in!U9=0,0,SER_hh_emih_in!U9/SER_summary!U$27)</f>
        <v>13.578363688036889</v>
      </c>
      <c r="V9" s="133">
        <f>IF(SER_hh_emih_in!V9=0,0,SER_hh_emih_in!V9/SER_summary!V$27)</f>
        <v>11.250626816717851</v>
      </c>
      <c r="W9" s="133">
        <f>IF(SER_hh_emih_in!W9=0,0,SER_hh_emih_in!W9/SER_summary!W$27)</f>
        <v>10.026826923867537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34.61084946920726</v>
      </c>
      <c r="D10" s="133">
        <f>IF(SER_hh_emih_in!D10=0,0,SER_hh_emih_in!D10/SER_summary!D$27)</f>
        <v>35.093163317086024</v>
      </c>
      <c r="E10" s="133">
        <f>IF(SER_hh_emih_in!E10=0,0,SER_hh_emih_in!E10/SER_summary!E$27)</f>
        <v>38.763205277605152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18.865977013133215</v>
      </c>
      <c r="J10" s="133">
        <f>IF(SER_hh_emih_in!J10=0,0,SER_hh_emih_in!J10/SER_summary!J$27)</f>
        <v>19.300483028990165</v>
      </c>
      <c r="K10" s="133">
        <f>IF(SER_hh_emih_in!K10=0,0,SER_hh_emih_in!K10/SER_summary!K$27)</f>
        <v>26.309866316213732</v>
      </c>
      <c r="L10" s="133">
        <f>IF(SER_hh_emih_in!L10=0,0,SER_hh_emih_in!L10/SER_summary!L$27)</f>
        <v>23.014137585815501</v>
      </c>
      <c r="M10" s="133">
        <f>IF(SER_hh_emih_in!M10=0,0,SER_hh_emih_in!M10/SER_summary!M$27)</f>
        <v>12.800953512937724</v>
      </c>
      <c r="N10" s="133">
        <f>IF(SER_hh_emih_in!N10=0,0,SER_hh_emih_in!N10/SER_summary!N$27)</f>
        <v>12.936809373583019</v>
      </c>
      <c r="O10" s="133">
        <f>IF(SER_hh_emih_in!O10=0,0,SER_hh_emih_in!O10/SER_summary!O$27)</f>
        <v>14.450191109847593</v>
      </c>
      <c r="P10" s="133">
        <f>IF(SER_hh_emih_in!P10=0,0,SER_hh_emih_in!P10/SER_summary!P$27)</f>
        <v>10.9160302047719</v>
      </c>
      <c r="Q10" s="133">
        <f>IF(SER_hh_emih_in!Q10=0,0,SER_hh_emih_in!Q10/SER_summary!Q$27)</f>
        <v>7.5622645421309409</v>
      </c>
      <c r="R10" s="133">
        <f>IF(SER_hh_emih_in!R10=0,0,SER_hh_emih_in!R10/SER_summary!R$27)</f>
        <v>8.4938166066072966</v>
      </c>
      <c r="S10" s="133">
        <f>IF(SER_hh_emih_in!S10=0,0,SER_hh_emih_in!S10/SER_summary!S$27)</f>
        <v>8.9430904668689575</v>
      </c>
      <c r="T10" s="133">
        <f>IF(SER_hh_emih_in!T10=0,0,SER_hh_emih_in!T10/SER_summary!T$27)</f>
        <v>6.7362528498202323</v>
      </c>
      <c r="U10" s="133">
        <f>IF(SER_hh_emih_in!U10=0,0,SER_hh_emih_in!U10/SER_summary!U$27)</f>
        <v>6.1418529253562495</v>
      </c>
      <c r="V10" s="133">
        <f>IF(SER_hh_emih_in!V10=0,0,SER_hh_emih_in!V10/SER_summary!V$27)</f>
        <v>6.8937394735242385</v>
      </c>
      <c r="W10" s="133">
        <f>IF(SER_hh_emih_in!W10=0,0,SER_hh_emih_in!W10/SER_summary!W$27)</f>
        <v>6.3905005011197327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2.1407319292395335E-2</v>
      </c>
      <c r="D16" s="131">
        <f>IF(SER_hh_emih_in!D16=0,0,SER_hh_emih_in!D16/SER_summary!D$27)</f>
        <v>1.8905632720649417E-2</v>
      </c>
      <c r="E16" s="131">
        <f>IF(SER_hh_emih_in!E16=0,0,SER_hh_emih_in!E16/SER_summary!E$27)</f>
        <v>7.6058405562931461E-2</v>
      </c>
      <c r="F16" s="131">
        <f>IF(SER_hh_emih_in!F16=0,0,SER_hh_emih_in!F16/SER_summary!F$27)</f>
        <v>1.6462449963238805E-2</v>
      </c>
      <c r="G16" s="131">
        <f>IF(SER_hh_emih_in!G16=0,0,SER_hh_emih_in!G16/SER_summary!G$27)</f>
        <v>8.6167862157023236E-3</v>
      </c>
      <c r="H16" s="131">
        <f>IF(SER_hh_emih_in!H16=0,0,SER_hh_emih_in!H16/SER_summary!H$27)</f>
        <v>6.914517683716867E-2</v>
      </c>
      <c r="I16" s="131">
        <f>IF(SER_hh_emih_in!I16=0,0,SER_hh_emih_in!I16/SER_summary!I$27)</f>
        <v>2.9626275784648298E-2</v>
      </c>
      <c r="J16" s="131">
        <f>IF(SER_hh_emih_in!J16=0,0,SER_hh_emih_in!J16/SER_summary!J$27)</f>
        <v>4.5161171921928242E-2</v>
      </c>
      <c r="K16" s="131">
        <f>IF(SER_hh_emih_in!K16=0,0,SER_hh_emih_in!K16/SER_summary!K$27)</f>
        <v>3.6507607566588891E-2</v>
      </c>
      <c r="L16" s="131">
        <f>IF(SER_hh_emih_in!L16=0,0,SER_hh_emih_in!L16/SER_summary!L$27)</f>
        <v>5.9952872732568968E-2</v>
      </c>
      <c r="M16" s="131">
        <f>IF(SER_hh_emih_in!M16=0,0,SER_hh_emih_in!M16/SER_summary!M$27)</f>
        <v>0.10412688332008636</v>
      </c>
      <c r="N16" s="131">
        <f>IF(SER_hh_emih_in!N16=0,0,SER_hh_emih_in!N16/SER_summary!N$27)</f>
        <v>0.19171548354711887</v>
      </c>
      <c r="O16" s="131">
        <f>IF(SER_hh_emih_in!O16=0,0,SER_hh_emih_in!O16/SER_summary!O$27)</f>
        <v>0.144103839507083</v>
      </c>
      <c r="P16" s="131">
        <f>IF(SER_hh_emih_in!P16=0,0,SER_hh_emih_in!P16/SER_summary!P$27)</f>
        <v>7.0867079520490858E-2</v>
      </c>
      <c r="Q16" s="131">
        <f>IF(SER_hh_emih_in!Q16=0,0,SER_hh_emih_in!Q16/SER_summary!Q$27)</f>
        <v>0.19840223947274432</v>
      </c>
      <c r="R16" s="131">
        <f>IF(SER_hh_emih_in!R16=0,0,SER_hh_emih_in!R16/SER_summary!R$27)</f>
        <v>0.10664813688260662</v>
      </c>
      <c r="S16" s="131">
        <f>IF(SER_hh_emih_in!S16=0,0,SER_hh_emih_in!S16/SER_summary!S$27)</f>
        <v>0.16080081509573191</v>
      </c>
      <c r="T16" s="131">
        <f>IF(SER_hh_emih_in!T16=0,0,SER_hh_emih_in!T16/SER_summary!T$27)</f>
        <v>0.13791193603966551</v>
      </c>
      <c r="U16" s="131">
        <f>IF(SER_hh_emih_in!U16=0,0,SER_hh_emih_in!U16/SER_summary!U$27)</f>
        <v>0.15385456866196603</v>
      </c>
      <c r="V16" s="131">
        <f>IF(SER_hh_emih_in!V16=0,0,SER_hh_emih_in!V16/SER_summary!V$27)</f>
        <v>0.17620107795024104</v>
      </c>
      <c r="W16" s="131">
        <f>IF(SER_hh_emih_in!W16=0,0,SER_hh_emih_in!W16/SER_summary!W$27)</f>
        <v>8.1198124381969772E-2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4.2695380735585351</v>
      </c>
      <c r="D17" s="133">
        <f>IF(SER_hh_emih_in!D17=0,0,SER_hh_emih_in!D17/SER_summary!D$27)</f>
        <v>4.0295630138329575</v>
      </c>
      <c r="E17" s="133">
        <f>IF(SER_hh_emih_in!E17=0,0,SER_hh_emih_in!E17/SER_summary!E$27)</f>
        <v>7.861301613128294</v>
      </c>
      <c r="F17" s="133">
        <f>IF(SER_hh_emih_in!F17=0,0,SER_hh_emih_in!F17/SER_summary!F$27)</f>
        <v>4.0773399658603511</v>
      </c>
      <c r="G17" s="133">
        <f>IF(SER_hh_emih_in!G17=0,0,SER_hh_emih_in!G17/SER_summary!G$27)</f>
        <v>4.4075218900349187</v>
      </c>
      <c r="H17" s="133">
        <f>IF(SER_hh_emih_in!H17=0,0,SER_hh_emih_in!H17/SER_summary!H$27)</f>
        <v>4.9776590817072455</v>
      </c>
      <c r="I17" s="133">
        <f>IF(SER_hh_emih_in!I17=0,0,SER_hh_emih_in!I17/SER_summary!I$27)</f>
        <v>3.8379177401676356</v>
      </c>
      <c r="J17" s="133">
        <f>IF(SER_hh_emih_in!J17=0,0,SER_hh_emih_in!J17/SER_summary!J$27)</f>
        <v>3.8355913036637026</v>
      </c>
      <c r="K17" s="133">
        <f>IF(SER_hh_emih_in!K17=0,0,SER_hh_emih_in!K17/SER_summary!K$27)</f>
        <v>4.0247566255052174</v>
      </c>
      <c r="L17" s="133">
        <f>IF(SER_hh_emih_in!L17=0,0,SER_hh_emih_in!L17/SER_summary!L$27)</f>
        <v>3.8973630763776379</v>
      </c>
      <c r="M17" s="133">
        <f>IF(SER_hh_emih_in!M17=0,0,SER_hh_emih_in!M17/SER_summary!M$27)</f>
        <v>3.7561911439046995</v>
      </c>
      <c r="N17" s="133">
        <f>IF(SER_hh_emih_in!N17=0,0,SER_hh_emih_in!N17/SER_summary!N$27)</f>
        <v>3.8169412967505467</v>
      </c>
      <c r="O17" s="133">
        <f>IF(SER_hh_emih_in!O17=0,0,SER_hh_emih_in!O17/SER_summary!O$27)</f>
        <v>3.6332417536228272</v>
      </c>
      <c r="P17" s="133">
        <f>IF(SER_hh_emih_in!P17=0,0,SER_hh_emih_in!P17/SER_summary!P$27)</f>
        <v>3.2337418728059326</v>
      </c>
      <c r="Q17" s="133">
        <f>IF(SER_hh_emih_in!Q17=0,0,SER_hh_emih_in!Q17/SER_summary!Q$27)</f>
        <v>3.7938306266199904</v>
      </c>
      <c r="R17" s="133">
        <f>IF(SER_hh_emih_in!R17=0,0,SER_hh_emih_in!R17/SER_summary!R$27)</f>
        <v>3.1785242398154301</v>
      </c>
      <c r="S17" s="133">
        <f>IF(SER_hh_emih_in!S17=0,0,SER_hh_emih_in!S17/SER_summary!S$27)</f>
        <v>3.2614120306666008</v>
      </c>
      <c r="T17" s="133">
        <f>IF(SER_hh_emih_in!T17=0,0,SER_hh_emih_in!T17/SER_summary!T$27)</f>
        <v>3.0423245490492032</v>
      </c>
      <c r="U17" s="133">
        <f>IF(SER_hh_emih_in!U17=0,0,SER_hh_emih_in!U17/SER_summary!U$27)</f>
        <v>2.887496225694401</v>
      </c>
      <c r="V17" s="133">
        <f>IF(SER_hh_emih_in!V17=0,0,SER_hh_emih_in!V17/SER_summary!V$27)</f>
        <v>2.6028287095370537</v>
      </c>
      <c r="W17" s="133">
        <f>IF(SER_hh_emih_in!W17=0,0,SER_hh_emih_in!W17/SER_summary!W$27)</f>
        <v>1.8396172586048916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2.6362584497396879</v>
      </c>
      <c r="D19" s="131">
        <f>IF(SER_hh_emih_in!D19=0,0,SER_hh_emih_in!D19/SER_summary!D$27)</f>
        <v>2.6914812446046219</v>
      </c>
      <c r="E19" s="131">
        <f>IF(SER_hh_emih_in!E19=0,0,SER_hh_emih_in!E19/SER_summary!E$27)</f>
        <v>2.5763721664294499</v>
      </c>
      <c r="F19" s="131">
        <f>IF(SER_hh_emih_in!F19=0,0,SER_hh_emih_in!F19/SER_summary!F$27)</f>
        <v>2.0378619916582825</v>
      </c>
      <c r="G19" s="131">
        <f>IF(SER_hh_emih_in!G19=0,0,SER_hh_emih_in!G19/SER_summary!G$27)</f>
        <v>1.7438519296319348</v>
      </c>
      <c r="H19" s="131">
        <f>IF(SER_hh_emih_in!H19=0,0,SER_hh_emih_in!H19/SER_summary!H$27)</f>
        <v>1.6262138562931672</v>
      </c>
      <c r="I19" s="131">
        <f>IF(SER_hh_emih_in!I19=0,0,SER_hh_emih_in!I19/SER_summary!I$27)</f>
        <v>1.636132535175207</v>
      </c>
      <c r="J19" s="131">
        <f>IF(SER_hh_emih_in!J19=0,0,SER_hh_emih_in!J19/SER_summary!J$27)</f>
        <v>1.8970152493155055</v>
      </c>
      <c r="K19" s="131">
        <f>IF(SER_hh_emih_in!K19=0,0,SER_hh_emih_in!K19/SER_summary!K$27)</f>
        <v>2.4030766142667974</v>
      </c>
      <c r="L19" s="131">
        <f>IF(SER_hh_emih_in!L19=0,0,SER_hh_emih_in!L19/SER_summary!L$27)</f>
        <v>1.8118779172861155</v>
      </c>
      <c r="M19" s="131">
        <f>IF(SER_hh_emih_in!M19=0,0,SER_hh_emih_in!M19/SER_summary!M$27)</f>
        <v>2.0691658218574429</v>
      </c>
      <c r="N19" s="131">
        <f>IF(SER_hh_emih_in!N19=0,0,SER_hh_emih_in!N19/SER_summary!N$27)</f>
        <v>2.3073153579639998</v>
      </c>
      <c r="O19" s="131">
        <f>IF(SER_hh_emih_in!O19=0,0,SER_hh_emih_in!O19/SER_summary!O$27)</f>
        <v>2.3066966168024048</v>
      </c>
      <c r="P19" s="131">
        <f>IF(SER_hh_emih_in!P19=0,0,SER_hh_emih_in!P19/SER_summary!P$27)</f>
        <v>1.5100144380218508</v>
      </c>
      <c r="Q19" s="131">
        <f>IF(SER_hh_emih_in!Q19=0,0,SER_hh_emih_in!Q19/SER_summary!Q$27)</f>
        <v>1.8030803577531753</v>
      </c>
      <c r="R19" s="131">
        <f>IF(SER_hh_emih_in!R19=0,0,SER_hh_emih_in!R19/SER_summary!R$27)</f>
        <v>1.2791839837349785</v>
      </c>
      <c r="S19" s="131">
        <f>IF(SER_hh_emih_in!S19=0,0,SER_hh_emih_in!S19/SER_summary!S$27)</f>
        <v>1.2593608215978231</v>
      </c>
      <c r="T19" s="131">
        <f>IF(SER_hh_emih_in!T19=0,0,SER_hh_emih_in!T19/SER_summary!T$27)</f>
        <v>0.97000472017421435</v>
      </c>
      <c r="U19" s="131">
        <f>IF(SER_hh_emih_in!U19=0,0,SER_hh_emih_in!U19/SER_summary!U$27)</f>
        <v>1.1343024595110593</v>
      </c>
      <c r="V19" s="131">
        <f>IF(SER_hh_emih_in!V19=0,0,SER_hh_emih_in!V19/SER_summary!V$27)</f>
        <v>1.1639734932260966</v>
      </c>
      <c r="W19" s="131">
        <f>IF(SER_hh_emih_in!W19=0,0,SER_hh_emih_in!W19/SER_summary!W$27)</f>
        <v>0.99546356258223212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6.3655568501749995</v>
      </c>
      <c r="D21" s="133">
        <f>IF(SER_hh_emih_in!D21=0,0,SER_hh_emih_in!D21/SER_summary!D$27)</f>
        <v>6.4778273405660229</v>
      </c>
      <c r="E21" s="133">
        <f>IF(SER_hh_emih_in!E21=0,0,SER_hh_emih_in!E21/SER_summary!E$27)</f>
        <v>6.4772192691498987</v>
      </c>
      <c r="F21" s="133">
        <f>IF(SER_hh_emih_in!F21=0,0,SER_hh_emih_in!F21/SER_summary!F$27)</f>
        <v>6.3925515651830835</v>
      </c>
      <c r="G21" s="133">
        <f>IF(SER_hh_emih_in!G21=0,0,SER_hh_emih_in!G21/SER_summary!G$27)</f>
        <v>5.9729995755665897</v>
      </c>
      <c r="H21" s="133">
        <f>IF(SER_hh_emih_in!H21=0,0,SER_hh_emih_in!H21/SER_summary!H$27)</f>
        <v>6.1344631569946406</v>
      </c>
      <c r="I21" s="133">
        <f>IF(SER_hh_emih_in!I21=0,0,SER_hh_emih_in!I21/SER_summary!I$27)</f>
        <v>6.0759520107581837</v>
      </c>
      <c r="J21" s="133">
        <f>IF(SER_hh_emih_in!J21=0,0,SER_hh_emih_in!J21/SER_summary!J$27)</f>
        <v>6.0678590257413401</v>
      </c>
      <c r="K21" s="133">
        <f>IF(SER_hh_emih_in!K21=0,0,SER_hh_emih_in!K21/SER_summary!K$27)</f>
        <v>6.1691037840332381</v>
      </c>
      <c r="L21" s="133">
        <f>IF(SER_hh_emih_in!L21=0,0,SER_hh_emih_in!L21/SER_summary!L$27)</f>
        <v>5.8304114140864032</v>
      </c>
      <c r="M21" s="133">
        <f>IF(SER_hh_emih_in!M21=0,0,SER_hh_emih_in!M21/SER_summary!M$27)</f>
        <v>5.842851958811071</v>
      </c>
      <c r="N21" s="133">
        <f>IF(SER_hh_emih_in!N21=0,0,SER_hh_emih_in!N21/SER_summary!N$27)</f>
        <v>5.4870908404153367</v>
      </c>
      <c r="O21" s="133">
        <f>IF(SER_hh_emih_in!O21=0,0,SER_hh_emih_in!O21/SER_summary!O$27)</f>
        <v>5.3914024148384696</v>
      </c>
      <c r="P21" s="133">
        <f>IF(SER_hh_emih_in!P21=0,0,SER_hh_emih_in!P21/SER_summary!P$27)</f>
        <v>5.2782886021319309</v>
      </c>
      <c r="Q21" s="133">
        <f>IF(SER_hh_emih_in!Q21=0,0,SER_hh_emih_in!Q21/SER_summary!Q$27)</f>
        <v>4.8896803558562327</v>
      </c>
      <c r="R21" s="133">
        <f>IF(SER_hh_emih_in!R21=0,0,SER_hh_emih_in!R21/SER_summary!R$27)</f>
        <v>4.9806737617551473</v>
      </c>
      <c r="S21" s="133">
        <f>IF(SER_hh_emih_in!S21=0,0,SER_hh_emih_in!S21/SER_summary!S$27)</f>
        <v>5.0940885837444245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4.015630423850574</v>
      </c>
      <c r="W21" s="133">
        <f>IF(SER_hh_emih_in!W21=0,0,SER_hh_emih_in!W21/SER_summary!W$27)</f>
        <v>4.1268883489873529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8.0947251154813422</v>
      </c>
      <c r="D22" s="133">
        <f>IF(SER_hh_emih_in!D22=0,0,SER_hh_emih_in!D22/SER_summary!D$27)</f>
        <v>7.9313506464939305</v>
      </c>
      <c r="E22" s="133">
        <f>IF(SER_hh_emih_in!E22=0,0,SER_hh_emih_in!E22/SER_summary!E$27)</f>
        <v>7.8157355431527122</v>
      </c>
      <c r="F22" s="133">
        <f>IF(SER_hh_emih_in!F22=0,0,SER_hh_emih_in!F22/SER_summary!F$27)</f>
        <v>7.8949258118948462</v>
      </c>
      <c r="G22" s="133">
        <f>IF(SER_hh_emih_in!G22=0,0,SER_hh_emih_in!G22/SER_summary!G$27)</f>
        <v>7.7153289952332971</v>
      </c>
      <c r="H22" s="133">
        <f>IF(SER_hh_emih_in!H22=0,0,SER_hh_emih_in!H22/SER_summary!H$27)</f>
        <v>7.5821421302118504</v>
      </c>
      <c r="I22" s="133">
        <f>IF(SER_hh_emih_in!I22=0,0,SER_hh_emih_in!I22/SER_summary!I$27)</f>
        <v>7.2994799232426475</v>
      </c>
      <c r="J22" s="133">
        <f>IF(SER_hh_emih_in!J22=0,0,SER_hh_emih_in!J22/SER_summary!J$27)</f>
        <v>7.5104456898280256</v>
      </c>
      <c r="K22" s="133">
        <f>IF(SER_hh_emih_in!K22=0,0,SER_hh_emih_in!K22/SER_summary!K$27)</f>
        <v>7.5631918457485394</v>
      </c>
      <c r="L22" s="133">
        <f>IF(SER_hh_emih_in!L22=0,0,SER_hh_emih_in!L22/SER_summary!L$27)</f>
        <v>7.1680034353075976</v>
      </c>
      <c r="M22" s="133">
        <f>IF(SER_hh_emih_in!M22=0,0,SER_hh_emih_in!M22/SER_summary!M$27)</f>
        <v>6.8087527391411076</v>
      </c>
      <c r="N22" s="133">
        <f>IF(SER_hh_emih_in!N22=0,0,SER_hh_emih_in!N22/SER_summary!N$27)</f>
        <v>7.0592574205962491</v>
      </c>
      <c r="O22" s="133">
        <f>IF(SER_hh_emih_in!O22=0,0,SER_hh_emih_in!O22/SER_summary!O$27)</f>
        <v>6.7437536953660659</v>
      </c>
      <c r="P22" s="133">
        <f>IF(SER_hh_emih_in!P22=0,0,SER_hh_emih_in!P22/SER_summary!P$27)</f>
        <v>6.3206281124452426</v>
      </c>
      <c r="Q22" s="133">
        <f>IF(SER_hh_emih_in!Q22=0,0,SER_hh_emih_in!Q22/SER_summary!Q$27)</f>
        <v>6.1684507576274505</v>
      </c>
      <c r="R22" s="133">
        <f>IF(SER_hh_emih_in!R22=0,0,SER_hh_emih_in!R22/SER_summary!R$27)</f>
        <v>5.5898067640754245</v>
      </c>
      <c r="S22" s="133">
        <f>IF(SER_hh_emih_in!S22=0,0,SER_hh_emih_in!S22/SER_summary!S$27)</f>
        <v>5.8008822849147172</v>
      </c>
      <c r="T22" s="133">
        <f>IF(SER_hh_emih_in!T22=0,0,SER_hh_emih_in!T22/SER_summary!T$27)</f>
        <v>5.4080598184661532</v>
      </c>
      <c r="U22" s="133">
        <f>IF(SER_hh_emih_in!U22=0,0,SER_hh_emih_in!U22/SER_summary!U$27)</f>
        <v>5.1232814041396306</v>
      </c>
      <c r="V22" s="133">
        <f>IF(SER_hh_emih_in!V22=0,0,SER_hh_emih_in!V22/SER_summary!V$27)</f>
        <v>4.8797496709301393</v>
      </c>
      <c r="W22" s="133">
        <f>IF(SER_hh_emih_in!W22=0,0,SER_hh_emih_in!W22/SER_summary!W$27)</f>
        <v>4.6836388428196765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5.5121350717497934</v>
      </c>
      <c r="D23" s="133">
        <f>IF(SER_hh_emih_in!D23=0,0,SER_hh_emih_in!D23/SER_summary!D$27)</f>
        <v>5.3744642766160302</v>
      </c>
      <c r="E23" s="133">
        <f>IF(SER_hh_emih_in!E23=0,0,SER_hh_emih_in!E23/SER_summary!E$27)</f>
        <v>5.4186505096984678</v>
      </c>
      <c r="F23" s="133">
        <f>IF(SER_hh_emih_in!F23=0,0,SER_hh_emih_in!F23/SER_summary!F$27)</f>
        <v>5.4122056390625497</v>
      </c>
      <c r="G23" s="133">
        <f>IF(SER_hh_emih_in!G23=0,0,SER_hh_emih_in!G23/SER_summary!G$27)</f>
        <v>5.0743108681427112</v>
      </c>
      <c r="H23" s="133">
        <f>IF(SER_hh_emih_in!H23=0,0,SER_hh_emih_in!H23/SER_summary!H$27)</f>
        <v>4.9970207527092869</v>
      </c>
      <c r="I23" s="133">
        <f>IF(SER_hh_emih_in!I23=0,0,SER_hh_emih_in!I23/SER_summary!I$27)</f>
        <v>4.9719872759963639</v>
      </c>
      <c r="J23" s="133">
        <f>IF(SER_hh_emih_in!J23=0,0,SER_hh_emih_in!J23/SER_summary!J$27)</f>
        <v>4.8402809219775929</v>
      </c>
      <c r="K23" s="133">
        <f>IF(SER_hh_emih_in!K23=0,0,SER_hh_emih_in!K23/SER_summary!K$27)</f>
        <v>5.1106819477084029</v>
      </c>
      <c r="L23" s="133">
        <f>IF(SER_hh_emih_in!L23=0,0,SER_hh_emih_in!L23/SER_summary!L$27)</f>
        <v>4.8457460010803777</v>
      </c>
      <c r="M23" s="133">
        <f>IF(SER_hh_emih_in!M23=0,0,SER_hh_emih_in!M23/SER_summary!M$27)</f>
        <v>5.269171324530797</v>
      </c>
      <c r="N23" s="133">
        <f>IF(SER_hh_emih_in!N23=0,0,SER_hh_emih_in!N23/SER_summary!N$27)</f>
        <v>3.9594279764263063</v>
      </c>
      <c r="O23" s="133">
        <f>IF(SER_hh_emih_in!O23=0,0,SER_hh_emih_in!O23/SER_summary!O$27)</f>
        <v>4.2340323216580016</v>
      </c>
      <c r="P23" s="133">
        <f>IF(SER_hh_emih_in!P23=0,0,SER_hh_emih_in!P23/SER_summary!P$27)</f>
        <v>4.3470150800629082</v>
      </c>
      <c r="Q23" s="133">
        <f>IF(SER_hh_emih_in!Q23=0,0,SER_hh_emih_in!Q23/SER_summary!Q$27)</f>
        <v>4.0224409671466823</v>
      </c>
      <c r="R23" s="133">
        <f>IF(SER_hh_emih_in!R23=0,0,SER_hh_emih_in!R23/SER_summary!R$27)</f>
        <v>4.3193132466684885</v>
      </c>
      <c r="S23" s="133">
        <f>IF(SER_hh_emih_in!S23=0,0,SER_hh_emih_in!S23/SER_summary!S$27)</f>
        <v>4.0081573979029459</v>
      </c>
      <c r="T23" s="133">
        <f>IF(SER_hh_emih_in!T23=0,0,SER_hh_emih_in!T23/SER_summary!T$27)</f>
        <v>3.9703728835712027</v>
      </c>
      <c r="U23" s="133">
        <f>IF(SER_hh_emih_in!U23=0,0,SER_hh_emih_in!U23/SER_summary!U$27)</f>
        <v>3.7856269058774368</v>
      </c>
      <c r="V23" s="133">
        <f>IF(SER_hh_emih_in!V23=0,0,SER_hh_emih_in!V23/SER_summary!V$27)</f>
        <v>3.3014962045660639</v>
      </c>
      <c r="W23" s="133">
        <f>IF(SER_hh_emih_in!W23=0,0,SER_hh_emih_in!W23/SER_summary!W$27)</f>
        <v>4.026464113951401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5.2254825827558307</v>
      </c>
      <c r="D24" s="133">
        <f>IF(SER_hh_emih_in!D24=0,0,SER_hh_emih_in!D24/SER_summary!D$27)</f>
        <v>5.0726702087158309</v>
      </c>
      <c r="E24" s="133">
        <f>IF(SER_hh_emih_in!E24=0,0,SER_hh_emih_in!E24/SER_summary!E$27)</f>
        <v>4.9079040071172981</v>
      </c>
      <c r="F24" s="133">
        <f>IF(SER_hh_emih_in!F24=0,0,SER_hh_emih_in!F24/SER_summary!F$27)</f>
        <v>4.9347135046410937</v>
      </c>
      <c r="G24" s="133">
        <f>IF(SER_hh_emih_in!G24=0,0,SER_hh_emih_in!G24/SER_summary!G$27)</f>
        <v>2.0467341574936757</v>
      </c>
      <c r="H24" s="133">
        <f>IF(SER_hh_emih_in!H24=0,0,SER_hh_emih_in!H24/SER_summary!H$27)</f>
        <v>2.2960970140175045</v>
      </c>
      <c r="I24" s="133">
        <f>IF(SER_hh_emih_in!I24=0,0,SER_hh_emih_in!I24/SER_summary!I$27)</f>
        <v>2.7981881939010962</v>
      </c>
      <c r="J24" s="133">
        <f>IF(SER_hh_emih_in!J24=0,0,SER_hh_emih_in!J24/SER_summary!J$27)</f>
        <v>2.7851229078958042</v>
      </c>
      <c r="K24" s="133">
        <f>IF(SER_hh_emih_in!K24=0,0,SER_hh_emih_in!K24/SER_summary!K$27)</f>
        <v>3.169246339684193</v>
      </c>
      <c r="L24" s="133">
        <f>IF(SER_hh_emih_in!L24=0,0,SER_hh_emih_in!L24/SER_summary!L$27)</f>
        <v>3.4210450086209194</v>
      </c>
      <c r="M24" s="133">
        <f>IF(SER_hh_emih_in!M24=0,0,SER_hh_emih_in!M24/SER_summary!M$27)</f>
        <v>0</v>
      </c>
      <c r="N24" s="133">
        <f>IF(SER_hh_emih_in!N24=0,0,SER_hh_emih_in!N24/SER_summary!N$27)</f>
        <v>1.818677533037466</v>
      </c>
      <c r="O24" s="133">
        <f>IF(SER_hh_emih_in!O24=0,0,SER_hh_emih_in!O24/SER_summary!O$27)</f>
        <v>2.2016087752310187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1.4789092728975297</v>
      </c>
      <c r="S24" s="133">
        <f>IF(SER_hh_emih_in!S24=0,0,SER_hh_emih_in!S24/SER_summary!S$27)</f>
        <v>1.5787488014572355</v>
      </c>
      <c r="T24" s="133">
        <f>IF(SER_hh_emih_in!T24=0,0,SER_hh_emih_in!T24/SER_summary!T$27)</f>
        <v>1.2978546961916682</v>
      </c>
      <c r="U24" s="133">
        <f>IF(SER_hh_emih_in!U24=0,0,SER_hh_emih_in!U24/SER_summary!U$27)</f>
        <v>1.2491960778978759</v>
      </c>
      <c r="V24" s="133">
        <f>IF(SER_hh_emih_in!V24=0,0,SER_hh_emih_in!V24/SER_summary!V$27)</f>
        <v>1.5045712129833553</v>
      </c>
      <c r="W24" s="133">
        <f>IF(SER_hh_emih_in!W24=0,0,SER_hh_emih_in!W24/SER_summary!W$27)</f>
        <v>1.5873140858037516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2.0762735483160983</v>
      </c>
      <c r="D29" s="131">
        <f>IF(SER_hh_emih_in!D29=0,0,SER_hh_emih_in!D29/SER_summary!D$27)</f>
        <v>5.6667537297259321</v>
      </c>
      <c r="E29" s="131">
        <f>IF(SER_hh_emih_in!E29=0,0,SER_hh_emih_in!E29/SER_summary!E$27)</f>
        <v>3.8014752622072598</v>
      </c>
      <c r="F29" s="131">
        <f>IF(SER_hh_emih_in!F29=0,0,SER_hh_emih_in!F29/SER_summary!F$27)</f>
        <v>1.7540979792516536</v>
      </c>
      <c r="G29" s="131">
        <f>IF(SER_hh_emih_in!G29=0,0,SER_hh_emih_in!G29/SER_summary!G$27)</f>
        <v>0.28664349178107268</v>
      </c>
      <c r="H29" s="131">
        <f>IF(SER_hh_emih_in!H29=0,0,SER_hh_emih_in!H29/SER_summary!H$27)</f>
        <v>0</v>
      </c>
      <c r="I29" s="131">
        <f>IF(SER_hh_emih_in!I29=0,0,SER_hh_emih_in!I29/SER_summary!I$27)</f>
        <v>1.7213020134562216</v>
      </c>
      <c r="J29" s="131">
        <f>IF(SER_hh_emih_in!J29=0,0,SER_hh_emih_in!J29/SER_summary!J$27)</f>
        <v>3.0336195304249132</v>
      </c>
      <c r="K29" s="131">
        <f>IF(SER_hh_emih_in!K29=0,0,SER_hh_emih_in!K29/SER_summary!K$27)</f>
        <v>4.0855700525142638</v>
      </c>
      <c r="L29" s="131">
        <f>IF(SER_hh_emih_in!L29=0,0,SER_hh_emih_in!L29/SER_summary!L$27)</f>
        <v>2.8928612202493307</v>
      </c>
      <c r="M29" s="131">
        <f>IF(SER_hh_emih_in!M29=0,0,SER_hh_emih_in!M29/SER_summary!M$27)</f>
        <v>1.6621733727152634</v>
      </c>
      <c r="N29" s="131">
        <f>IF(SER_hh_emih_in!N29=0,0,SER_hh_emih_in!N29/SER_summary!N$27)</f>
        <v>1.056140415033757</v>
      </c>
      <c r="O29" s="131">
        <f>IF(SER_hh_emih_in!O29=0,0,SER_hh_emih_in!O29/SER_summary!O$27)</f>
        <v>2.307347206506082</v>
      </c>
      <c r="P29" s="131">
        <f>IF(SER_hh_emih_in!P29=0,0,SER_hh_emih_in!P29/SER_summary!P$27)</f>
        <v>2.8909813904386379</v>
      </c>
      <c r="Q29" s="131">
        <f>IF(SER_hh_emih_in!Q29=0,0,SER_hh_emih_in!Q29/SER_summary!Q$27)</f>
        <v>3.0745117698687721</v>
      </c>
      <c r="R29" s="131">
        <f>IF(SER_hh_emih_in!R29=0,0,SER_hh_emih_in!R29/SER_summary!R$27)</f>
        <v>1.5989949149483005</v>
      </c>
      <c r="S29" s="131">
        <f>IF(SER_hh_emih_in!S29=0,0,SER_hh_emih_in!S29/SER_summary!S$27)</f>
        <v>1.9083436165672436</v>
      </c>
      <c r="T29" s="131">
        <f>IF(SER_hh_emih_in!T29=0,0,SER_hh_emih_in!T29/SER_summary!T$27)</f>
        <v>1.7670094038261106</v>
      </c>
      <c r="U29" s="131">
        <f>IF(SER_hh_emih_in!U29=0,0,SER_hh_emih_in!U29/SER_summary!U$27)</f>
        <v>2.9307229870084006</v>
      </c>
      <c r="V29" s="131">
        <f>IF(SER_hh_emih_in!V29=0,0,SER_hh_emih_in!V29/SER_summary!V$27)</f>
        <v>2.6664929901741892</v>
      </c>
      <c r="W29" s="131">
        <f>IF(SER_hh_emih_in!W29=0,0,SER_hh_emih_in!W29/SER_summary!W$27)</f>
        <v>2.9148067156294202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2.741510618608237</v>
      </c>
      <c r="D30" s="133">
        <f>IF(SER_hh_emih_in!D30=0,0,SER_hh_emih_in!D30/SER_summary!D$27)</f>
        <v>6.6851588667976261</v>
      </c>
      <c r="E30" s="133">
        <f>IF(SER_hh_emih_in!E30=0,0,SER_hh_emih_in!E30/SER_summary!E$27)</f>
        <v>6.5978572081998301</v>
      </c>
      <c r="F30" s="133">
        <f>IF(SER_hh_emih_in!F30=0,0,SER_hh_emih_in!F30/SER_summary!F$27)</f>
        <v>7.2296369668474512</v>
      </c>
      <c r="G30" s="133">
        <f>IF(SER_hh_emih_in!G30=0,0,SER_hh_emih_in!G30/SER_summary!G$27)</f>
        <v>5.9508136956479731</v>
      </c>
      <c r="H30" s="133">
        <f>IF(SER_hh_emih_in!H30=0,0,SER_hh_emih_in!H30/SER_summary!H$27)</f>
        <v>0</v>
      </c>
      <c r="I30" s="133">
        <f>IF(SER_hh_emih_in!I30=0,0,SER_hh_emih_in!I30/SER_summary!I$27)</f>
        <v>5.9240627902970795</v>
      </c>
      <c r="J30" s="133">
        <f>IF(SER_hh_emih_in!J30=0,0,SER_hh_emih_in!J30/SER_summary!J$27)</f>
        <v>6.5318308134698384</v>
      </c>
      <c r="K30" s="133">
        <f>IF(SER_hh_emih_in!K30=0,0,SER_hh_emih_in!K30/SER_summary!K$27)</f>
        <v>6.2542478623657711</v>
      </c>
      <c r="L30" s="133">
        <f>IF(SER_hh_emih_in!L30=0,0,SER_hh_emih_in!L30/SER_summary!L$27)</f>
        <v>6.8057362359939306</v>
      </c>
      <c r="M30" s="133">
        <f>IF(SER_hh_emih_in!M30=0,0,SER_hh_emih_in!M30/SER_summary!M$27)</f>
        <v>6.9157367278233588</v>
      </c>
      <c r="N30" s="133">
        <f>IF(SER_hh_emih_in!N30=0,0,SER_hh_emih_in!N30/SER_summary!N$27)</f>
        <v>6.4122032399523565</v>
      </c>
      <c r="O30" s="133">
        <f>IF(SER_hh_emih_in!O30=0,0,SER_hh_emih_in!O30/SER_summary!O$27)</f>
        <v>6.0145198893300451</v>
      </c>
      <c r="P30" s="133">
        <f>IF(SER_hh_emih_in!P30=0,0,SER_hh_emih_in!P30/SER_summary!P$27)</f>
        <v>6.307899733054608</v>
      </c>
      <c r="Q30" s="133">
        <f>IF(SER_hh_emih_in!Q30=0,0,SER_hh_emih_in!Q30/SER_summary!Q$27)</f>
        <v>7.050236227455593</v>
      </c>
      <c r="R30" s="133">
        <f>IF(SER_hh_emih_in!R30=0,0,SER_hh_emih_in!R30/SER_summary!R$27)</f>
        <v>6.6378033115690052</v>
      </c>
      <c r="S30" s="133">
        <f>IF(SER_hh_emih_in!S30=0,0,SER_hh_emih_in!S30/SER_summary!S$27)</f>
        <v>7.2671494923463342</v>
      </c>
      <c r="T30" s="133">
        <f>IF(SER_hh_emih_in!T30=0,0,SER_hh_emih_in!T30/SER_summary!T$27)</f>
        <v>6.092016646740853</v>
      </c>
      <c r="U30" s="133">
        <f>IF(SER_hh_emih_in!U30=0,0,SER_hh_emih_in!U30/SER_summary!U$27)</f>
        <v>6.9598326762373599</v>
      </c>
      <c r="V30" s="133">
        <f>IF(SER_hh_emih_in!V30=0,0,SER_hh_emih_in!V30/SER_summary!V$27)</f>
        <v>5.8229550605217693</v>
      </c>
      <c r="W30" s="133">
        <f>IF(SER_hh_emih_in!W30=0,0,SER_hh_emih_in!W30/SER_summary!W$27)</f>
        <v>6.4960154929521252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5.2620461295495176</v>
      </c>
      <c r="D31" s="133">
        <f>IF(SER_hh_emih_in!D31=0,0,SER_hh_emih_in!D31/SER_summary!D$27)</f>
        <v>5.2264106970135789</v>
      </c>
      <c r="E31" s="133">
        <f>IF(SER_hh_emih_in!E31=0,0,SER_hh_emih_in!E31/SER_summary!E$27)</f>
        <v>5.4522066942035661</v>
      </c>
      <c r="F31" s="133">
        <f>IF(SER_hh_emih_in!F31=0,0,SER_hh_emih_in!F31/SER_summary!F$27)</f>
        <v>5.8999938830635683</v>
      </c>
      <c r="G31" s="133">
        <f>IF(SER_hh_emih_in!G31=0,0,SER_hh_emih_in!G31/SER_summary!G$27)</f>
        <v>0</v>
      </c>
      <c r="H31" s="133">
        <f>IF(SER_hh_emih_in!H31=0,0,SER_hh_emih_in!H31/SER_summary!H$27)</f>
        <v>0</v>
      </c>
      <c r="I31" s="133">
        <f>IF(SER_hh_emih_in!I31=0,0,SER_hh_emih_in!I31/SER_summary!I$27)</f>
        <v>5.2088475084752792</v>
      </c>
      <c r="J31" s="133">
        <f>IF(SER_hh_emih_in!J31=0,0,SER_hh_emih_in!J31/SER_summary!J$27)</f>
        <v>4.857344902134308</v>
      </c>
      <c r="K31" s="133">
        <f>IF(SER_hh_emih_in!K31=0,0,SER_hh_emih_in!K31/SER_summary!K$27)</f>
        <v>6.1430777106821228</v>
      </c>
      <c r="L31" s="133">
        <f>IF(SER_hh_emih_in!L31=0,0,SER_hh_emih_in!L31/SER_summary!L$27)</f>
        <v>5.7368001772570478</v>
      </c>
      <c r="M31" s="133">
        <f>IF(SER_hh_emih_in!M31=0,0,SER_hh_emih_in!M31/SER_summary!M$27)</f>
        <v>5.804303059545358</v>
      </c>
      <c r="N31" s="133">
        <f>IF(SER_hh_emih_in!N31=0,0,SER_hh_emih_in!N31/SER_summary!N$27)</f>
        <v>5.4142213802523278</v>
      </c>
      <c r="O31" s="133">
        <f>IF(SER_hh_emih_in!O31=0,0,SER_hh_emih_in!O31/SER_summary!O$27)</f>
        <v>5.6936238649775799</v>
      </c>
      <c r="P31" s="133">
        <f>IF(SER_hh_emih_in!P31=0,0,SER_hh_emih_in!P31/SER_summary!P$27)</f>
        <v>5.9379598299259726</v>
      </c>
      <c r="Q31" s="133">
        <f>IF(SER_hh_emih_in!Q31=0,0,SER_hh_emih_in!Q31/SER_summary!Q$27)</f>
        <v>6.0817770031962075</v>
      </c>
      <c r="R31" s="133">
        <f>IF(SER_hh_emih_in!R31=0,0,SER_hh_emih_in!R31/SER_summary!R$27)</f>
        <v>5.7635953505830875</v>
      </c>
      <c r="S31" s="133">
        <f>IF(SER_hh_emih_in!S31=0,0,SER_hh_emih_in!S31/SER_summary!S$27)</f>
        <v>5.7961622255231404</v>
      </c>
      <c r="T31" s="133">
        <f>IF(SER_hh_emih_in!T31=0,0,SER_hh_emih_in!T31/SER_summary!T$27)</f>
        <v>5.8526451072137826</v>
      </c>
      <c r="U31" s="133">
        <f>IF(SER_hh_emih_in!U31=0,0,SER_hh_emih_in!U31/SER_summary!U$27)</f>
        <v>5.5306257568678898</v>
      </c>
      <c r="V31" s="133">
        <f>IF(SER_hh_emih_in!V31=0,0,SER_hh_emih_in!V31/SER_summary!V$27)</f>
        <v>4.8532814464618932</v>
      </c>
      <c r="W31" s="133">
        <f>IF(SER_hh_emih_in!W31=0,0,SER_hh_emih_in!W31/SER_summary!W$27)</f>
        <v>6.4865005437113492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4205.2254686123142</v>
      </c>
      <c r="C3" s="180">
        <f t="shared" ref="C3:W3" si="1">SUM(C4:C9)</f>
        <v>4372.8437107546588</v>
      </c>
      <c r="D3" s="180">
        <f t="shared" si="1"/>
        <v>4549.9514480201087</v>
      </c>
      <c r="E3" s="180">
        <f t="shared" si="1"/>
        <v>4739.0449135084973</v>
      </c>
      <c r="F3" s="180">
        <f t="shared" si="1"/>
        <v>4943.2679723383972</v>
      </c>
      <c r="G3" s="180">
        <f t="shared" si="1"/>
        <v>5106.9376678097815</v>
      </c>
      <c r="H3" s="180">
        <f t="shared" si="1"/>
        <v>5253.2605297787277</v>
      </c>
      <c r="I3" s="180">
        <f t="shared" si="1"/>
        <v>5406.7520861009798</v>
      </c>
      <c r="J3" s="180">
        <f t="shared" si="1"/>
        <v>5535.4891062187089</v>
      </c>
      <c r="K3" s="180">
        <f t="shared" si="1"/>
        <v>5632.7845554887172</v>
      </c>
      <c r="L3" s="180">
        <f t="shared" si="1"/>
        <v>5724.9203503059889</v>
      </c>
      <c r="M3" s="180">
        <f t="shared" si="1"/>
        <v>5804.3993657253704</v>
      </c>
      <c r="N3" s="180">
        <f t="shared" si="1"/>
        <v>5879.5187675506149</v>
      </c>
      <c r="O3" s="180">
        <f t="shared" si="1"/>
        <v>5944.6787104242412</v>
      </c>
      <c r="P3" s="180">
        <f t="shared" si="1"/>
        <v>6098.8154437682915</v>
      </c>
      <c r="Q3" s="180">
        <f t="shared" si="1"/>
        <v>6178.3015771283217</v>
      </c>
      <c r="R3" s="180">
        <f t="shared" si="1"/>
        <v>6161.6235442523275</v>
      </c>
      <c r="S3" s="180">
        <f t="shared" si="1"/>
        <v>6213.9232587015949</v>
      </c>
      <c r="T3" s="180">
        <f t="shared" si="1"/>
        <v>6170.8963433288563</v>
      </c>
      <c r="U3" s="180">
        <f t="shared" si="1"/>
        <v>6117.718007500338</v>
      </c>
      <c r="V3" s="180">
        <f t="shared" si="1"/>
        <v>5796.8929640104034</v>
      </c>
      <c r="W3" s="180">
        <f t="shared" si="1"/>
        <v>5839.2921575872169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247.45685303456915</v>
      </c>
      <c r="C4" s="181">
        <f t="shared" ref="C4:R9" si="3">C12*C44/11630</f>
        <v>253.57132164691683</v>
      </c>
      <c r="D4" s="181">
        <f t="shared" si="3"/>
        <v>259.61756288001487</v>
      </c>
      <c r="E4" s="181">
        <f t="shared" si="3"/>
        <v>265.10318384108729</v>
      </c>
      <c r="F4" s="181">
        <f t="shared" si="3"/>
        <v>270.65504904745359</v>
      </c>
      <c r="G4" s="181">
        <f t="shared" si="3"/>
        <v>276.90136546034392</v>
      </c>
      <c r="H4" s="181">
        <f t="shared" si="3"/>
        <v>282.80542778619025</v>
      </c>
      <c r="I4" s="181">
        <f t="shared" si="3"/>
        <v>289.82901115890763</v>
      </c>
      <c r="J4" s="181">
        <f t="shared" si="3"/>
        <v>295.54875084139746</v>
      </c>
      <c r="K4" s="181">
        <f t="shared" si="3"/>
        <v>299.54786526903649</v>
      </c>
      <c r="L4" s="181">
        <f t="shared" si="3"/>
        <v>304.0242336324842</v>
      </c>
      <c r="M4" s="181">
        <f t="shared" si="3"/>
        <v>309.13275930422924</v>
      </c>
      <c r="N4" s="181">
        <f t="shared" si="3"/>
        <v>312.83256896984659</v>
      </c>
      <c r="O4" s="181">
        <f t="shared" si="3"/>
        <v>315.49900284083111</v>
      </c>
      <c r="P4" s="181">
        <f t="shared" si="3"/>
        <v>319.09569622256703</v>
      </c>
      <c r="Q4" s="181">
        <f t="shared" si="3"/>
        <v>318.46955881622063</v>
      </c>
      <c r="R4" s="181">
        <f t="shared" si="3"/>
        <v>318.89048247899836</v>
      </c>
      <c r="S4" s="181">
        <f t="shared" ref="D4:W9" si="4">S12*S44/11630</f>
        <v>319.2639909098952</v>
      </c>
      <c r="T4" s="181">
        <f t="shared" si="4"/>
        <v>319.773081292521</v>
      </c>
      <c r="U4" s="181">
        <f t="shared" si="4"/>
        <v>321.57777325649573</v>
      </c>
      <c r="V4" s="181">
        <f t="shared" si="4"/>
        <v>323.08365530729935</v>
      </c>
      <c r="W4" s="181">
        <f t="shared" si="4"/>
        <v>324.51276869547621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572.87292269982902</v>
      </c>
      <c r="C5" s="181">
        <f t="shared" si="3"/>
        <v>579.34942156057161</v>
      </c>
      <c r="D5" s="181">
        <f t="shared" si="4"/>
        <v>587.64152689356411</v>
      </c>
      <c r="E5" s="181">
        <f t="shared" si="4"/>
        <v>596.87580275329344</v>
      </c>
      <c r="F5" s="181">
        <f t="shared" si="4"/>
        <v>604.49182864006457</v>
      </c>
      <c r="G5" s="181">
        <f t="shared" si="4"/>
        <v>613.4422779703151</v>
      </c>
      <c r="H5" s="181">
        <f t="shared" si="4"/>
        <v>622.05904874281271</v>
      </c>
      <c r="I5" s="181">
        <f t="shared" si="4"/>
        <v>625.96231664700849</v>
      </c>
      <c r="J5" s="181">
        <f t="shared" si="4"/>
        <v>633.01128649697716</v>
      </c>
      <c r="K5" s="181">
        <f t="shared" si="4"/>
        <v>644.69038610669338</v>
      </c>
      <c r="L5" s="181">
        <f t="shared" si="4"/>
        <v>655.7508821401168</v>
      </c>
      <c r="M5" s="181">
        <f t="shared" si="4"/>
        <v>664.06910669506578</v>
      </c>
      <c r="N5" s="181">
        <f t="shared" si="4"/>
        <v>671.55134650128059</v>
      </c>
      <c r="O5" s="181">
        <f t="shared" si="4"/>
        <v>680.96106712960852</v>
      </c>
      <c r="P5" s="181">
        <f t="shared" si="4"/>
        <v>693.82052938521076</v>
      </c>
      <c r="Q5" s="181">
        <f t="shared" si="4"/>
        <v>706.31646968081611</v>
      </c>
      <c r="R5" s="181">
        <f t="shared" si="4"/>
        <v>698.46597447376359</v>
      </c>
      <c r="S5" s="181">
        <f t="shared" si="4"/>
        <v>692.94186511799785</v>
      </c>
      <c r="T5" s="181">
        <f t="shared" si="4"/>
        <v>674.92462796908274</v>
      </c>
      <c r="U5" s="181">
        <f t="shared" si="4"/>
        <v>654.9178965785386</v>
      </c>
      <c r="V5" s="181">
        <f t="shared" si="4"/>
        <v>630.6908088427341</v>
      </c>
      <c r="W5" s="181">
        <f t="shared" si="4"/>
        <v>607.35045232743812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1493.4357347996131</v>
      </c>
      <c r="C6" s="181">
        <f t="shared" si="3"/>
        <v>1517.8125024512256</v>
      </c>
      <c r="D6" s="181">
        <f t="shared" si="4"/>
        <v>1544.1833371280397</v>
      </c>
      <c r="E6" s="181">
        <f t="shared" si="4"/>
        <v>1565.5355693745362</v>
      </c>
      <c r="F6" s="181">
        <f t="shared" si="4"/>
        <v>1590.8484370115088</v>
      </c>
      <c r="G6" s="181">
        <f t="shared" si="4"/>
        <v>1604.3519562033807</v>
      </c>
      <c r="H6" s="181">
        <f t="shared" si="4"/>
        <v>1616.0659127924546</v>
      </c>
      <c r="I6" s="181">
        <f t="shared" si="4"/>
        <v>1645.4181153265786</v>
      </c>
      <c r="J6" s="181">
        <f t="shared" si="4"/>
        <v>1665.0950569363197</v>
      </c>
      <c r="K6" s="181">
        <f t="shared" si="4"/>
        <v>1672.7307542688206</v>
      </c>
      <c r="L6" s="181">
        <f t="shared" si="4"/>
        <v>1694.6566163172954</v>
      </c>
      <c r="M6" s="181">
        <f t="shared" si="4"/>
        <v>1711.4820492092799</v>
      </c>
      <c r="N6" s="181">
        <f t="shared" si="4"/>
        <v>1716.9143685637468</v>
      </c>
      <c r="O6" s="181">
        <f t="shared" si="4"/>
        <v>1709.3369845342725</v>
      </c>
      <c r="P6" s="181">
        <f t="shared" si="4"/>
        <v>1720.0717912338077</v>
      </c>
      <c r="Q6" s="181">
        <f t="shared" si="4"/>
        <v>1708.4030967585761</v>
      </c>
      <c r="R6" s="181">
        <f t="shared" si="4"/>
        <v>1658.7940344393805</v>
      </c>
      <c r="S6" s="181">
        <f t="shared" si="4"/>
        <v>1625.3341469453098</v>
      </c>
      <c r="T6" s="181">
        <f t="shared" si="4"/>
        <v>1547.6096093111432</v>
      </c>
      <c r="U6" s="181">
        <f t="shared" si="4"/>
        <v>1475.6285028096418</v>
      </c>
      <c r="V6" s="181">
        <f t="shared" si="4"/>
        <v>1288.2494070161351</v>
      </c>
      <c r="W6" s="181">
        <f t="shared" si="4"/>
        <v>1262.5626554372357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951.6974325763158</v>
      </c>
      <c r="C7" s="181">
        <f t="shared" si="3"/>
        <v>983.87015692628427</v>
      </c>
      <c r="D7" s="181">
        <f t="shared" si="4"/>
        <v>1016.577396149563</v>
      </c>
      <c r="E7" s="181">
        <f t="shared" si="4"/>
        <v>1055.4459350989337</v>
      </c>
      <c r="F7" s="181">
        <f t="shared" si="4"/>
        <v>1091.0772629546393</v>
      </c>
      <c r="G7" s="181">
        <f t="shared" si="4"/>
        <v>1118.0635864773194</v>
      </c>
      <c r="H7" s="181">
        <f t="shared" si="4"/>
        <v>1138.7551730055227</v>
      </c>
      <c r="I7" s="181">
        <f t="shared" si="4"/>
        <v>1153.6421447840521</v>
      </c>
      <c r="J7" s="181">
        <f t="shared" si="4"/>
        <v>1169.2517813358995</v>
      </c>
      <c r="K7" s="181">
        <f t="shared" si="4"/>
        <v>1175.6255480206644</v>
      </c>
      <c r="L7" s="181">
        <f t="shared" si="4"/>
        <v>1177.5443930617771</v>
      </c>
      <c r="M7" s="181">
        <f t="shared" si="4"/>
        <v>1174.4966526089463</v>
      </c>
      <c r="N7" s="181">
        <f t="shared" si="4"/>
        <v>1174.6592589175973</v>
      </c>
      <c r="O7" s="181">
        <f t="shared" si="4"/>
        <v>1179.2701881786459</v>
      </c>
      <c r="P7" s="181">
        <f t="shared" si="4"/>
        <v>1187.047835130026</v>
      </c>
      <c r="Q7" s="181">
        <f t="shared" si="4"/>
        <v>1181.2908610712595</v>
      </c>
      <c r="R7" s="181">
        <f t="shared" si="4"/>
        <v>1175.442981521014</v>
      </c>
      <c r="S7" s="181">
        <f t="shared" si="4"/>
        <v>1168.7340250492471</v>
      </c>
      <c r="T7" s="181">
        <f t="shared" si="4"/>
        <v>1161.9257473568669</v>
      </c>
      <c r="U7" s="181">
        <f t="shared" si="4"/>
        <v>1155.8348886932179</v>
      </c>
      <c r="V7" s="181">
        <f t="shared" si="4"/>
        <v>1148.7177047980435</v>
      </c>
      <c r="W7" s="181">
        <f t="shared" si="4"/>
        <v>1137.4579702157778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399.88664808060423</v>
      </c>
      <c r="C8" s="55">
        <f t="shared" si="3"/>
        <v>431.46288470615445</v>
      </c>
      <c r="D8" s="55">
        <f t="shared" si="4"/>
        <v>458.17992626804698</v>
      </c>
      <c r="E8" s="55">
        <f t="shared" si="4"/>
        <v>487.6720112360012</v>
      </c>
      <c r="F8" s="55">
        <f t="shared" si="4"/>
        <v>516.65579734873927</v>
      </c>
      <c r="G8" s="55">
        <f t="shared" si="4"/>
        <v>543.28699646372274</v>
      </c>
      <c r="H8" s="55">
        <f t="shared" si="4"/>
        <v>568.12552124902709</v>
      </c>
      <c r="I8" s="55">
        <f t="shared" si="4"/>
        <v>594.13129177220787</v>
      </c>
      <c r="J8" s="55">
        <f t="shared" si="4"/>
        <v>616.30993763185859</v>
      </c>
      <c r="K8" s="55">
        <f t="shared" si="4"/>
        <v>632.23898716957183</v>
      </c>
      <c r="L8" s="55">
        <f t="shared" si="4"/>
        <v>651.04217976204131</v>
      </c>
      <c r="M8" s="55">
        <f t="shared" si="4"/>
        <v>664.99286794177897</v>
      </c>
      <c r="N8" s="55">
        <f t="shared" si="4"/>
        <v>673.03121552944685</v>
      </c>
      <c r="O8" s="55">
        <f t="shared" si="4"/>
        <v>677.76375097519849</v>
      </c>
      <c r="P8" s="55">
        <f t="shared" si="4"/>
        <v>681.88168641510049</v>
      </c>
      <c r="Q8" s="55">
        <f t="shared" si="4"/>
        <v>674.03736990628852</v>
      </c>
      <c r="R8" s="55">
        <f t="shared" si="4"/>
        <v>683.92647263109779</v>
      </c>
      <c r="S8" s="55">
        <f t="shared" si="4"/>
        <v>699.93468184038011</v>
      </c>
      <c r="T8" s="55">
        <f t="shared" si="4"/>
        <v>704.62535373845981</v>
      </c>
      <c r="U8" s="55">
        <f t="shared" si="4"/>
        <v>709.25473238335508</v>
      </c>
      <c r="V8" s="55">
        <f t="shared" si="4"/>
        <v>661.93770422309069</v>
      </c>
      <c r="W8" s="55">
        <f t="shared" si="4"/>
        <v>696.00077044112402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539.8758774213826</v>
      </c>
      <c r="C9" s="63">
        <f t="shared" si="3"/>
        <v>606.77742346350647</v>
      </c>
      <c r="D9" s="63">
        <f t="shared" si="4"/>
        <v>683.75169870087973</v>
      </c>
      <c r="E9" s="63">
        <f t="shared" si="4"/>
        <v>768.41241120464542</v>
      </c>
      <c r="F9" s="63">
        <f t="shared" si="4"/>
        <v>869.53959733599095</v>
      </c>
      <c r="G9" s="63">
        <f t="shared" si="4"/>
        <v>950.89148523469942</v>
      </c>
      <c r="H9" s="63">
        <f t="shared" si="4"/>
        <v>1025.4494462027203</v>
      </c>
      <c r="I9" s="63">
        <f t="shared" si="4"/>
        <v>1097.7692064122248</v>
      </c>
      <c r="J9" s="63">
        <f t="shared" si="4"/>
        <v>1156.2722929762563</v>
      </c>
      <c r="K9" s="63">
        <f t="shared" si="4"/>
        <v>1207.951014653931</v>
      </c>
      <c r="L9" s="63">
        <f t="shared" si="4"/>
        <v>1241.9020453922744</v>
      </c>
      <c r="M9" s="63">
        <f t="shared" si="4"/>
        <v>1280.22592996607</v>
      </c>
      <c r="N9" s="63">
        <f t="shared" si="4"/>
        <v>1330.5300090686969</v>
      </c>
      <c r="O9" s="63">
        <f t="shared" si="4"/>
        <v>1381.8477167656843</v>
      </c>
      <c r="P9" s="63">
        <f t="shared" si="4"/>
        <v>1496.8979053815788</v>
      </c>
      <c r="Q9" s="63">
        <f t="shared" si="4"/>
        <v>1589.7842208951608</v>
      </c>
      <c r="R9" s="63">
        <f t="shared" si="4"/>
        <v>1626.1035987080732</v>
      </c>
      <c r="S9" s="63">
        <f t="shared" si="4"/>
        <v>1707.714548838765</v>
      </c>
      <c r="T9" s="63">
        <f t="shared" si="4"/>
        <v>1762.0379236607823</v>
      </c>
      <c r="U9" s="63">
        <f t="shared" si="4"/>
        <v>1800.5042137790888</v>
      </c>
      <c r="V9" s="63">
        <f t="shared" si="4"/>
        <v>1744.2136838231006</v>
      </c>
      <c r="W9" s="63">
        <f t="shared" si="4"/>
        <v>1811.4075404701648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19473.809444770581</v>
      </c>
      <c r="C11" s="180">
        <f t="shared" ref="C11:W11" si="6">SUM(C12:C17)</f>
        <v>20442.410840857261</v>
      </c>
      <c r="D11" s="180">
        <f t="shared" si="6"/>
        <v>21387.828856109809</v>
      </c>
      <c r="E11" s="180">
        <f t="shared" si="6"/>
        <v>22402.62206703682</v>
      </c>
      <c r="F11" s="180">
        <f t="shared" si="6"/>
        <v>23490.446037202018</v>
      </c>
      <c r="G11" s="180">
        <f t="shared" si="6"/>
        <v>24359.935934945537</v>
      </c>
      <c r="H11" s="180">
        <f t="shared" si="6"/>
        <v>25120.067547250554</v>
      </c>
      <c r="I11" s="180">
        <f t="shared" si="6"/>
        <v>25957.047045086445</v>
      </c>
      <c r="J11" s="180">
        <f t="shared" si="6"/>
        <v>26631.388823296151</v>
      </c>
      <c r="K11" s="180">
        <f t="shared" si="6"/>
        <v>27150.698248366767</v>
      </c>
      <c r="L11" s="180">
        <f t="shared" si="6"/>
        <v>27618.478993384644</v>
      </c>
      <c r="M11" s="180">
        <f t="shared" si="6"/>
        <v>28024.635715099714</v>
      </c>
      <c r="N11" s="180">
        <f t="shared" si="6"/>
        <v>28393.373382148107</v>
      </c>
      <c r="O11" s="180">
        <f t="shared" si="6"/>
        <v>28670.630493524379</v>
      </c>
      <c r="P11" s="180">
        <f t="shared" si="6"/>
        <v>29395.909535932944</v>
      </c>
      <c r="Q11" s="180">
        <f t="shared" si="6"/>
        <v>29695.032242640522</v>
      </c>
      <c r="R11" s="180">
        <f t="shared" si="6"/>
        <v>29582.906889799229</v>
      </c>
      <c r="S11" s="180">
        <f t="shared" si="6"/>
        <v>29645.341670715621</v>
      </c>
      <c r="T11" s="180">
        <f t="shared" si="6"/>
        <v>29657.065193843409</v>
      </c>
      <c r="U11" s="180">
        <f t="shared" si="6"/>
        <v>29518.830115541467</v>
      </c>
      <c r="V11" s="180">
        <f t="shared" si="6"/>
        <v>29269.974003366013</v>
      </c>
      <c r="W11" s="180">
        <f t="shared" si="6"/>
        <v>28986.342710036348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328.53004575251583</v>
      </c>
      <c r="C12" s="181">
        <f t="shared" ref="C12:W12" si="7">C20*C52</f>
        <v>336.64777063397747</v>
      </c>
      <c r="D12" s="181">
        <f t="shared" si="7"/>
        <v>344.67491510212011</v>
      </c>
      <c r="E12" s="181">
        <f t="shared" si="7"/>
        <v>351.95776576162626</v>
      </c>
      <c r="F12" s="181">
        <f t="shared" si="7"/>
        <v>359.32856397510102</v>
      </c>
      <c r="G12" s="181">
        <f t="shared" si="7"/>
        <v>367.62133336801372</v>
      </c>
      <c r="H12" s="181">
        <f t="shared" si="7"/>
        <v>375.45971748326406</v>
      </c>
      <c r="I12" s="181">
        <f t="shared" si="7"/>
        <v>384.78440636736252</v>
      </c>
      <c r="J12" s="181">
        <f t="shared" si="7"/>
        <v>392.37807902801973</v>
      </c>
      <c r="K12" s="181">
        <f t="shared" si="7"/>
        <v>397.68740560261347</v>
      </c>
      <c r="L12" s="181">
        <f t="shared" si="7"/>
        <v>403.63034670614041</v>
      </c>
      <c r="M12" s="181">
        <f t="shared" si="7"/>
        <v>410.41255601691626</v>
      </c>
      <c r="N12" s="181">
        <f t="shared" si="7"/>
        <v>415.32451793599506</v>
      </c>
      <c r="O12" s="181">
        <f t="shared" si="7"/>
        <v>418.86454372589805</v>
      </c>
      <c r="P12" s="181">
        <f t="shared" si="7"/>
        <v>423.63960582973232</v>
      </c>
      <c r="Q12" s="181">
        <f t="shared" si="7"/>
        <v>422.80832979824743</v>
      </c>
      <c r="R12" s="181">
        <f t="shared" si="7"/>
        <v>423.36715881629607</v>
      </c>
      <c r="S12" s="181">
        <f t="shared" si="7"/>
        <v>423.86303816005505</v>
      </c>
      <c r="T12" s="181">
        <f t="shared" si="7"/>
        <v>424.5389195698653</v>
      </c>
      <c r="U12" s="181">
        <f t="shared" si="7"/>
        <v>426.93487476861247</v>
      </c>
      <c r="V12" s="181">
        <f t="shared" si="7"/>
        <v>428.93412228583242</v>
      </c>
      <c r="W12" s="181">
        <f t="shared" si="7"/>
        <v>430.83144976351463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1652.2491442465123</v>
      </c>
      <c r="C13" s="181">
        <f t="shared" ref="C13:W13" si="8">C21*C53/1000</f>
        <v>1676.8612119964457</v>
      </c>
      <c r="D13" s="181">
        <f t="shared" si="8"/>
        <v>1707.6183752020211</v>
      </c>
      <c r="E13" s="181">
        <f t="shared" si="8"/>
        <v>1741.2307878925903</v>
      </c>
      <c r="F13" s="181">
        <f t="shared" si="8"/>
        <v>1766.3545559196068</v>
      </c>
      <c r="G13" s="181">
        <f t="shared" si="8"/>
        <v>1797.216767695375</v>
      </c>
      <c r="H13" s="181">
        <f t="shared" si="8"/>
        <v>1825.3880562203028</v>
      </c>
      <c r="I13" s="181">
        <f t="shared" si="8"/>
        <v>1843.9854837693815</v>
      </c>
      <c r="J13" s="181">
        <f t="shared" si="8"/>
        <v>1870.7996088105331</v>
      </c>
      <c r="K13" s="181">
        <f t="shared" si="8"/>
        <v>1909.9160040229365</v>
      </c>
      <c r="L13" s="181">
        <f t="shared" si="8"/>
        <v>1947.2940978293339</v>
      </c>
      <c r="M13" s="181">
        <f t="shared" si="8"/>
        <v>1979.4687957847279</v>
      </c>
      <c r="N13" s="181">
        <f t="shared" si="8"/>
        <v>2012.7004783859159</v>
      </c>
      <c r="O13" s="181">
        <f t="shared" si="8"/>
        <v>2053.6423244768598</v>
      </c>
      <c r="P13" s="181">
        <f t="shared" si="8"/>
        <v>2109.7076711190912</v>
      </c>
      <c r="Q13" s="181">
        <f t="shared" si="8"/>
        <v>2164.8897249391871</v>
      </c>
      <c r="R13" s="181">
        <f t="shared" si="8"/>
        <v>2135.7396969238625</v>
      </c>
      <c r="S13" s="181">
        <f t="shared" si="8"/>
        <v>2096.221408089119</v>
      </c>
      <c r="T13" s="181">
        <f t="shared" si="8"/>
        <v>2051.9380020470458</v>
      </c>
      <c r="U13" s="181">
        <f t="shared" si="8"/>
        <v>1995.2734444774187</v>
      </c>
      <c r="V13" s="181">
        <f t="shared" si="8"/>
        <v>1924.8583468473428</v>
      </c>
      <c r="W13" s="181">
        <f t="shared" si="8"/>
        <v>1850.8443432452427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6989.0254473619916</v>
      </c>
      <c r="C14" s="181">
        <f t="shared" ref="C14:W14" si="9">C22*C54</f>
        <v>7055.6930712893291</v>
      </c>
      <c r="D14" s="181">
        <f t="shared" si="9"/>
        <v>7139.3293054412761</v>
      </c>
      <c r="E14" s="181">
        <f t="shared" si="9"/>
        <v>7204.0351666253264</v>
      </c>
      <c r="F14" s="181">
        <f t="shared" si="9"/>
        <v>7272.0432211056805</v>
      </c>
      <c r="G14" s="181">
        <f t="shared" si="9"/>
        <v>7298.2194488195564</v>
      </c>
      <c r="H14" s="181">
        <f t="shared" si="9"/>
        <v>7310.5108977601176</v>
      </c>
      <c r="I14" s="181">
        <f t="shared" si="9"/>
        <v>7402.5985131134876</v>
      </c>
      <c r="J14" s="181">
        <f t="shared" si="9"/>
        <v>7466.4253034097765</v>
      </c>
      <c r="K14" s="181">
        <f t="shared" si="9"/>
        <v>7486.4885015040882</v>
      </c>
      <c r="L14" s="181">
        <f t="shared" si="9"/>
        <v>7566.5587044351269</v>
      </c>
      <c r="M14" s="181">
        <f t="shared" si="9"/>
        <v>7623.408004971222</v>
      </c>
      <c r="N14" s="181">
        <f t="shared" si="9"/>
        <v>7628.2209295423145</v>
      </c>
      <c r="O14" s="181">
        <f t="shared" si="9"/>
        <v>7574.5102722522743</v>
      </c>
      <c r="P14" s="181">
        <f t="shared" si="9"/>
        <v>7598.1482002333987</v>
      </c>
      <c r="Q14" s="181">
        <f t="shared" si="9"/>
        <v>7521.8497852896098</v>
      </c>
      <c r="R14" s="181">
        <f t="shared" si="9"/>
        <v>7273.2933894189337</v>
      </c>
      <c r="S14" s="181">
        <f t="shared" si="9"/>
        <v>7022.8344215685702</v>
      </c>
      <c r="T14" s="181">
        <f t="shared" si="9"/>
        <v>6738.0904087123145</v>
      </c>
      <c r="U14" s="181">
        <f t="shared" si="9"/>
        <v>6436.036862132155</v>
      </c>
      <c r="V14" s="181">
        <f t="shared" si="9"/>
        <v>6064.5432280870109</v>
      </c>
      <c r="W14" s="181">
        <f t="shared" si="9"/>
        <v>5688.2562913034108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1263.497847130428</v>
      </c>
      <c r="C15" s="181">
        <f t="shared" ref="C15:W15" si="10">C23*C55/1000</f>
        <v>1306.2111786589826</v>
      </c>
      <c r="D15" s="181">
        <f t="shared" si="10"/>
        <v>1349.6341458013037</v>
      </c>
      <c r="E15" s="181">
        <f t="shared" si="10"/>
        <v>1401.237012009201</v>
      </c>
      <c r="F15" s="181">
        <f t="shared" si="10"/>
        <v>1448.5420739911478</v>
      </c>
      <c r="G15" s="181">
        <f t="shared" si="10"/>
        <v>1484.3698071610986</v>
      </c>
      <c r="H15" s="181">
        <f t="shared" si="10"/>
        <v>1511.8404865358712</v>
      </c>
      <c r="I15" s="181">
        <f t="shared" si="10"/>
        <v>1531.6048109404703</v>
      </c>
      <c r="J15" s="181">
        <f t="shared" si="10"/>
        <v>1552.3285635772277</v>
      </c>
      <c r="K15" s="181">
        <f t="shared" si="10"/>
        <v>1560.7905392100829</v>
      </c>
      <c r="L15" s="181">
        <f t="shared" si="10"/>
        <v>1563.3380469530211</v>
      </c>
      <c r="M15" s="181">
        <f t="shared" si="10"/>
        <v>1559.2917887947538</v>
      </c>
      <c r="N15" s="181">
        <f t="shared" si="10"/>
        <v>1559.5076690880887</v>
      </c>
      <c r="O15" s="181">
        <f t="shared" si="10"/>
        <v>1565.6292566800969</v>
      </c>
      <c r="P15" s="181">
        <f t="shared" si="10"/>
        <v>1575.9550596532197</v>
      </c>
      <c r="Q15" s="181">
        <f t="shared" si="10"/>
        <v>1568.3119536825056</v>
      </c>
      <c r="R15" s="181">
        <f t="shared" si="10"/>
        <v>1560.5481592567796</v>
      </c>
      <c r="S15" s="181">
        <f t="shared" si="10"/>
        <v>1551.6411770916375</v>
      </c>
      <c r="T15" s="181">
        <f t="shared" si="10"/>
        <v>1542.6023335342877</v>
      </c>
      <c r="U15" s="181">
        <f t="shared" si="10"/>
        <v>1534.5159538244429</v>
      </c>
      <c r="V15" s="181">
        <f t="shared" si="10"/>
        <v>1525.0669984932929</v>
      </c>
      <c r="W15" s="181">
        <f t="shared" si="10"/>
        <v>1510.1182869417235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5505.3798817214656</v>
      </c>
      <c r="C16" s="55">
        <f t="shared" ref="C16:W16" si="11">C24*C56</f>
        <v>5911.8607558098065</v>
      </c>
      <c r="D16" s="55">
        <f t="shared" si="11"/>
        <v>6250.6816922244998</v>
      </c>
      <c r="E16" s="55">
        <f t="shared" si="11"/>
        <v>6626.4519217151037</v>
      </c>
      <c r="F16" s="55">
        <f t="shared" si="11"/>
        <v>6994.3166988235662</v>
      </c>
      <c r="G16" s="55">
        <f t="shared" si="11"/>
        <v>7329.5132669565628</v>
      </c>
      <c r="H16" s="55">
        <f t="shared" si="11"/>
        <v>7639.9178329688084</v>
      </c>
      <c r="I16" s="55">
        <f t="shared" si="11"/>
        <v>7965.4509612612019</v>
      </c>
      <c r="J16" s="55">
        <f t="shared" si="11"/>
        <v>8239.2168470758843</v>
      </c>
      <c r="K16" s="55">
        <f t="shared" si="11"/>
        <v>8429.347947151984</v>
      </c>
      <c r="L16" s="55">
        <f t="shared" si="11"/>
        <v>8657.809280538655</v>
      </c>
      <c r="M16" s="55">
        <f t="shared" si="11"/>
        <v>8828.9603336892305</v>
      </c>
      <c r="N16" s="55">
        <f t="shared" si="11"/>
        <v>8921.8381279714849</v>
      </c>
      <c r="O16" s="55">
        <f t="shared" si="11"/>
        <v>8971.2707634474609</v>
      </c>
      <c r="P16" s="55">
        <f t="shared" si="11"/>
        <v>9012.9827486840204</v>
      </c>
      <c r="Q16" s="55">
        <f t="shared" si="11"/>
        <v>8897.1831287186869</v>
      </c>
      <c r="R16" s="55">
        <f t="shared" si="11"/>
        <v>8979.2809539844147</v>
      </c>
      <c r="S16" s="55">
        <f t="shared" si="11"/>
        <v>9073.1413749202384</v>
      </c>
      <c r="T16" s="55">
        <f t="shared" si="11"/>
        <v>9161.9919025125491</v>
      </c>
      <c r="U16" s="55">
        <f t="shared" si="11"/>
        <v>9240.6909124583472</v>
      </c>
      <c r="V16" s="55">
        <f t="shared" si="11"/>
        <v>9308.4201677560195</v>
      </c>
      <c r="W16" s="55">
        <f t="shared" si="11"/>
        <v>9366.9165470503831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3735.1270785576658</v>
      </c>
      <c r="C17" s="63">
        <f t="shared" ref="C17:W17" si="12">C25*C57/1000</f>
        <v>4155.1368524687196</v>
      </c>
      <c r="D17" s="63">
        <f t="shared" si="12"/>
        <v>4595.8904223385889</v>
      </c>
      <c r="E17" s="63">
        <f t="shared" si="12"/>
        <v>5077.7094130329733</v>
      </c>
      <c r="F17" s="63">
        <f t="shared" si="12"/>
        <v>5649.8609233869147</v>
      </c>
      <c r="G17" s="63">
        <f t="shared" si="12"/>
        <v>6082.9953109449307</v>
      </c>
      <c r="H17" s="63">
        <f t="shared" si="12"/>
        <v>6456.9505562821896</v>
      </c>
      <c r="I17" s="63">
        <f t="shared" si="12"/>
        <v>6828.6228696345406</v>
      </c>
      <c r="J17" s="63">
        <f t="shared" si="12"/>
        <v>7110.240421394712</v>
      </c>
      <c r="K17" s="63">
        <f t="shared" si="12"/>
        <v>7366.4678508750594</v>
      </c>
      <c r="L17" s="63">
        <f t="shared" si="12"/>
        <v>7479.8485169223686</v>
      </c>
      <c r="M17" s="63">
        <f t="shared" si="12"/>
        <v>7623.0942358428638</v>
      </c>
      <c r="N17" s="63">
        <f t="shared" si="12"/>
        <v>7855.7816592243098</v>
      </c>
      <c r="O17" s="63">
        <f t="shared" si="12"/>
        <v>8086.7133329417884</v>
      </c>
      <c r="P17" s="63">
        <f t="shared" si="12"/>
        <v>8675.4762504134815</v>
      </c>
      <c r="Q17" s="63">
        <f t="shared" si="12"/>
        <v>9119.9893202122876</v>
      </c>
      <c r="R17" s="63">
        <f t="shared" si="12"/>
        <v>9210.6775313989419</v>
      </c>
      <c r="S17" s="63">
        <f t="shared" si="12"/>
        <v>9477.6402508859992</v>
      </c>
      <c r="T17" s="63">
        <f t="shared" si="12"/>
        <v>9737.9036274673472</v>
      </c>
      <c r="U17" s="63">
        <f t="shared" si="12"/>
        <v>9885.3780678804924</v>
      </c>
      <c r="V17" s="63">
        <f t="shared" si="12"/>
        <v>10018.151139896516</v>
      </c>
      <c r="W17" s="63">
        <f t="shared" si="12"/>
        <v>10139.375791732075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489.60988340118496</v>
      </c>
      <c r="C20" s="182">
        <v>505.64884795383324</v>
      </c>
      <c r="D20" s="182">
        <v>522.05615847565082</v>
      </c>
      <c r="E20" s="182">
        <v>537.71215007667263</v>
      </c>
      <c r="F20" s="182">
        <v>554.07800876875331</v>
      </c>
      <c r="G20" s="182">
        <v>572.62676018099023</v>
      </c>
      <c r="H20" s="182">
        <v>590.97660252443518</v>
      </c>
      <c r="I20" s="182">
        <v>612.56935986392295</v>
      </c>
      <c r="J20" s="182">
        <v>631.73629288896382</v>
      </c>
      <c r="K20" s="182">
        <v>647.50905642362989</v>
      </c>
      <c r="L20" s="182">
        <v>665.31744104546522</v>
      </c>
      <c r="M20" s="182">
        <v>685.69695350152267</v>
      </c>
      <c r="N20" s="182">
        <v>703.69532048513361</v>
      </c>
      <c r="O20" s="182">
        <v>720.30037961545202</v>
      </c>
      <c r="P20" s="182">
        <v>740.82311972973162</v>
      </c>
      <c r="Q20" s="182">
        <v>751.40782121410882</v>
      </c>
      <c r="R20" s="182">
        <v>765.54929964583039</v>
      </c>
      <c r="S20" s="182">
        <v>780.43116260996953</v>
      </c>
      <c r="T20" s="182">
        <v>796.57695829541353</v>
      </c>
      <c r="U20" s="182">
        <v>812.58991995777808</v>
      </c>
      <c r="V20" s="182">
        <v>827.93156263427227</v>
      </c>
      <c r="W20" s="182">
        <v>842.69397254198941</v>
      </c>
      <c r="DA20" s="191" t="s">
        <v>921</v>
      </c>
    </row>
    <row r="21" spans="1:105" ht="12" customHeight="1" x14ac:dyDescent="0.25">
      <c r="A21" s="132" t="s">
        <v>163</v>
      </c>
      <c r="B21" s="182">
        <v>9053.0013997063379</v>
      </c>
      <c r="C21" s="182">
        <v>9277.1512426816062</v>
      </c>
      <c r="D21" s="182">
        <v>9554.9956228981355</v>
      </c>
      <c r="E21" s="182">
        <v>9871.6900947243867</v>
      </c>
      <c r="F21" s="182">
        <v>10155.125960119083</v>
      </c>
      <c r="G21" s="182">
        <v>10493.333185832762</v>
      </c>
      <c r="H21" s="182">
        <v>10847.354736417325</v>
      </c>
      <c r="I21" s="182">
        <v>11178.110564087396</v>
      </c>
      <c r="J21" s="182">
        <v>11470.455793330402</v>
      </c>
      <c r="K21" s="182">
        <v>11868.475963653458</v>
      </c>
      <c r="L21" s="182">
        <v>12297.510599986173</v>
      </c>
      <c r="M21" s="182">
        <v>12724.029633029993</v>
      </c>
      <c r="N21" s="182">
        <v>13225.030888604089</v>
      </c>
      <c r="O21" s="182">
        <v>13840.344010289078</v>
      </c>
      <c r="P21" s="182">
        <v>14658.921936261055</v>
      </c>
      <c r="Q21" s="182">
        <v>15546.603366182466</v>
      </c>
      <c r="R21" s="182">
        <v>15885.710343365883</v>
      </c>
      <c r="S21" s="182">
        <v>16210.597236173791</v>
      </c>
      <c r="T21" s="182">
        <v>16552.276072125558</v>
      </c>
      <c r="U21" s="182">
        <v>16878.976404305602</v>
      </c>
      <c r="V21" s="182">
        <v>17178.178004550049</v>
      </c>
      <c r="W21" s="182">
        <v>17434.938890583362</v>
      </c>
      <c r="DA21" s="191" t="s">
        <v>922</v>
      </c>
    </row>
    <row r="22" spans="1:105" ht="12" customHeight="1" x14ac:dyDescent="0.25">
      <c r="A22" s="132" t="s">
        <v>167</v>
      </c>
      <c r="B22" s="182">
        <v>163.68212878231171</v>
      </c>
      <c r="C22" s="182">
        <v>167.06839634307801</v>
      </c>
      <c r="D22" s="182">
        <v>171.89494622314311</v>
      </c>
      <c r="E22" s="182">
        <v>176.97057792189412</v>
      </c>
      <c r="F22" s="182">
        <v>182.85850749727251</v>
      </c>
      <c r="G22" s="182">
        <v>188.46600837570003</v>
      </c>
      <c r="H22" s="182">
        <v>194.56585838518401</v>
      </c>
      <c r="I22" s="182">
        <v>201.69907722814202</v>
      </c>
      <c r="J22" s="182">
        <v>208.65672884017681</v>
      </c>
      <c r="K22" s="182">
        <v>214.99280057641587</v>
      </c>
      <c r="L22" s="182">
        <v>223.70834449766295</v>
      </c>
      <c r="M22" s="182">
        <v>232.75367560942328</v>
      </c>
      <c r="N22" s="182">
        <v>241.61474399550968</v>
      </c>
      <c r="O22" s="182">
        <v>249.81063502509824</v>
      </c>
      <c r="P22" s="182">
        <v>262.7797749614046</v>
      </c>
      <c r="Q22" s="182">
        <v>273.47361966329743</v>
      </c>
      <c r="R22" s="182">
        <v>281.78429739771082</v>
      </c>
      <c r="S22" s="182">
        <v>290.50240637542032</v>
      </c>
      <c r="T22" s="182">
        <v>299.50462252301099</v>
      </c>
      <c r="U22" s="182">
        <v>308.06267321695896</v>
      </c>
      <c r="V22" s="182">
        <v>315.57238787535249</v>
      </c>
      <c r="W22" s="182">
        <v>321.49334532242415</v>
      </c>
      <c r="DA22" s="191" t="s">
        <v>923</v>
      </c>
    </row>
    <row r="23" spans="1:105" ht="12" customHeight="1" x14ac:dyDescent="0.25">
      <c r="A23" s="132" t="s">
        <v>180</v>
      </c>
      <c r="B23" s="182">
        <v>1924.7997430566402</v>
      </c>
      <c r="C23" s="182">
        <v>2014.5711767094228</v>
      </c>
      <c r="D23" s="182">
        <v>2112.4353352529224</v>
      </c>
      <c r="E23" s="182">
        <v>2229.0667327776896</v>
      </c>
      <c r="F23" s="182">
        <v>2342.0246619440331</v>
      </c>
      <c r="G23" s="182">
        <v>2438.7425716879866</v>
      </c>
      <c r="H23" s="182">
        <v>2525.3795350878499</v>
      </c>
      <c r="I23" s="182">
        <v>2603.2893767021669</v>
      </c>
      <c r="J23" s="182">
        <v>2688.4991393698897</v>
      </c>
      <c r="K23" s="182">
        <v>2759.0666730447006</v>
      </c>
      <c r="L23" s="182">
        <v>2827.0123549004848</v>
      </c>
      <c r="M23" s="182">
        <v>2876.1102077326896</v>
      </c>
      <c r="N23" s="182">
        <v>2933.1224009316684</v>
      </c>
      <c r="O23" s="182">
        <v>3010.7970265865679</v>
      </c>
      <c r="P23" s="182">
        <v>3103.7651074914415</v>
      </c>
      <c r="Q23" s="182">
        <v>3153.5695943032174</v>
      </c>
      <c r="R23" s="182">
        <v>3201.5509395690215</v>
      </c>
      <c r="S23" s="182">
        <v>3246.5772036887929</v>
      </c>
      <c r="T23" s="182">
        <v>3294.5769053740814</v>
      </c>
      <c r="U23" s="182">
        <v>3338.975695254343</v>
      </c>
      <c r="V23" s="182">
        <v>3376.9235130321645</v>
      </c>
      <c r="W23" s="182">
        <v>3404.7997091236566</v>
      </c>
      <c r="DA23" s="191" t="s">
        <v>924</v>
      </c>
    </row>
    <row r="24" spans="1:105" ht="12" customHeight="1" x14ac:dyDescent="0.25">
      <c r="A24" s="60" t="s">
        <v>166</v>
      </c>
      <c r="B24" s="36">
        <v>119.19825388927934</v>
      </c>
      <c r="C24" s="36">
        <v>128.73973887535288</v>
      </c>
      <c r="D24" s="36">
        <v>136.83598245086196</v>
      </c>
      <c r="E24" s="36">
        <v>145.91480365611929</v>
      </c>
      <c r="F24" s="36">
        <v>154.95191757367883</v>
      </c>
      <c r="G24" s="36">
        <v>163.37262188338806</v>
      </c>
      <c r="H24" s="36">
        <v>171.36914557002561</v>
      </c>
      <c r="I24" s="36">
        <v>179.95027769155251</v>
      </c>
      <c r="J24" s="36">
        <v>187.4938738654364</v>
      </c>
      <c r="K24" s="36">
        <v>193.263753740684</v>
      </c>
      <c r="L24" s="36">
        <v>200.31894727032028</v>
      </c>
      <c r="M24" s="36">
        <v>206.44672481772608</v>
      </c>
      <c r="N24" s="36">
        <v>211.158867164588</v>
      </c>
      <c r="O24" s="36">
        <v>215.42809140949385</v>
      </c>
      <c r="P24" s="36">
        <v>220.31331667333444</v>
      </c>
      <c r="Q24" s="36">
        <v>221.74348424268584</v>
      </c>
      <c r="R24" s="36">
        <v>227.38675667290175</v>
      </c>
      <c r="S24" s="36">
        <v>233.27792528807117</v>
      </c>
      <c r="T24" s="36">
        <v>239.56681510762834</v>
      </c>
      <c r="U24" s="36">
        <v>245.83047975683576</v>
      </c>
      <c r="V24" s="36">
        <v>251.89161837914372</v>
      </c>
      <c r="W24" s="36">
        <v>257.73725152015976</v>
      </c>
      <c r="DA24" s="89" t="s">
        <v>925</v>
      </c>
    </row>
    <row r="25" spans="1:105" ht="12" customHeight="1" x14ac:dyDescent="0.25">
      <c r="A25" s="62" t="s">
        <v>164</v>
      </c>
      <c r="B25" s="38">
        <v>9929.0083764577103</v>
      </c>
      <c r="C25" s="38">
        <v>11371.103055437354</v>
      </c>
      <c r="D25" s="38">
        <v>13050.648567336355</v>
      </c>
      <c r="E25" s="38">
        <v>15020.271991848591</v>
      </c>
      <c r="F25" s="38">
        <v>17507.048719877399</v>
      </c>
      <c r="G25" s="38">
        <v>19717.327716423682</v>
      </c>
      <c r="H25" s="38">
        <v>22113.955347000767</v>
      </c>
      <c r="I25" s="38">
        <v>24758.095940026094</v>
      </c>
      <c r="J25" s="38">
        <v>27393.795005804623</v>
      </c>
      <c r="K25" s="38">
        <v>30422.148865734223</v>
      </c>
      <c r="L25" s="38">
        <v>33093.130734700622</v>
      </c>
      <c r="M25" s="38">
        <v>36927.541986543976</v>
      </c>
      <c r="N25" s="38">
        <v>41495.878483684115</v>
      </c>
      <c r="O25" s="38">
        <v>45944.301540990717</v>
      </c>
      <c r="P25" s="38">
        <v>52632.10358201107</v>
      </c>
      <c r="Q25" s="38">
        <v>57236.602774089588</v>
      </c>
      <c r="R25" s="38">
        <v>59442.2138039118</v>
      </c>
      <c r="S25" s="38">
        <v>62708.782419078227</v>
      </c>
      <c r="T25" s="38">
        <v>65799.511985453544</v>
      </c>
      <c r="U25" s="38">
        <v>68369.007598977769</v>
      </c>
      <c r="V25" s="38">
        <v>70831.275906196024</v>
      </c>
      <c r="W25" s="38">
        <v>73370.69696953283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37.274974199442966</v>
      </c>
      <c r="D28" s="183">
        <v>38.243993321987546</v>
      </c>
      <c r="E28" s="183">
        <v>38.110337951689132</v>
      </c>
      <c r="F28" s="183">
        <v>39.455339573847255</v>
      </c>
      <c r="G28" s="183">
        <v>42.291331982774068</v>
      </c>
      <c r="H28" s="183">
        <v>42.763995915585269</v>
      </c>
      <c r="I28" s="183">
        <v>46.697479754696019</v>
      </c>
      <c r="J28" s="183">
        <v>44.981757433446774</v>
      </c>
      <c r="K28" s="183">
        <v>42.317775593159467</v>
      </c>
      <c r="L28" s="183">
        <v>45.104238122047832</v>
      </c>
      <c r="M28" s="183">
        <v>48.447445394391593</v>
      </c>
      <c r="N28" s="183">
        <v>46.860218085819156</v>
      </c>
      <c r="O28" s="183">
        <v>46.28328484348981</v>
      </c>
      <c r="P28" s="183">
        <v>51.040432079454945</v>
      </c>
      <c r="Q28" s="183">
        <v>41.965604503387453</v>
      </c>
      <c r="R28" s="183">
        <v>46.410008942228956</v>
      </c>
      <c r="S28" s="183">
        <v>48.063128037255865</v>
      </c>
      <c r="T28" s="183">
        <v>50.265612560709542</v>
      </c>
      <c r="U28" s="183">
        <v>53.287935861807568</v>
      </c>
      <c r="V28" s="183">
        <v>53.585635998481735</v>
      </c>
      <c r="W28" s="183">
        <v>52.872747859406331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1359.7984393495899</v>
      </c>
      <c r="D29" s="183">
        <v>1462.3768358594998</v>
      </c>
      <c r="E29" s="183">
        <v>1552.2149866678719</v>
      </c>
      <c r="F29" s="183">
        <v>1572.1392144016299</v>
      </c>
      <c r="G29" s="183">
        <v>1682.3826576809715</v>
      </c>
      <c r="H29" s="183">
        <v>1756.0568547503899</v>
      </c>
      <c r="I29" s="183">
        <v>1793.1415753774418</v>
      </c>
      <c r="J29" s="183">
        <v>1652.1436685925964</v>
      </c>
      <c r="K29" s="183">
        <v>1860.3970061825567</v>
      </c>
      <c r="L29" s="183">
        <v>1981.2496230005872</v>
      </c>
      <c r="M29" s="183">
        <v>1998.6582474454499</v>
      </c>
      <c r="N29" s="183">
        <v>2183.3839132550675</v>
      </c>
      <c r="O29" s="183">
        <v>2371.3699764353787</v>
      </c>
      <c r="P29" s="183">
        <v>2611.7195013494184</v>
      </c>
      <c r="Q29" s="183">
        <v>2539.8250985140075</v>
      </c>
      <c r="R29" s="183">
        <v>2199.5039833659739</v>
      </c>
      <c r="S29" s="183">
        <v>2306.1365158084955</v>
      </c>
      <c r="T29" s="183">
        <v>2340.3370833972167</v>
      </c>
      <c r="U29" s="183">
        <v>2510.0842454351114</v>
      </c>
      <c r="V29" s="183">
        <v>2670.5715766798257</v>
      </c>
      <c r="W29" s="183">
        <v>2868.4803873827314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28.94786680081171</v>
      </c>
      <c r="D30" s="183">
        <v>31.05219734502802</v>
      </c>
      <c r="E30" s="183">
        <v>31.982578267219878</v>
      </c>
      <c r="F30" s="183">
        <v>33.493874275339351</v>
      </c>
      <c r="G30" s="183">
        <v>33.930602529447384</v>
      </c>
      <c r="H30" s="183">
        <v>35.158739167337643</v>
      </c>
      <c r="I30" s="183">
        <v>36.081085643769711</v>
      </c>
      <c r="J30" s="183">
        <v>38.009848957062815</v>
      </c>
      <c r="K30" s="183">
        <v>38.318650003458941</v>
      </c>
      <c r="L30" s="183">
        <v>42.209418196586427</v>
      </c>
      <c r="M30" s="183">
        <v>42.975933641207718</v>
      </c>
      <c r="N30" s="183">
        <v>44.019807553424044</v>
      </c>
      <c r="O30" s="183">
        <v>44.276976673358263</v>
      </c>
      <c r="P30" s="183">
        <v>50.978988893369177</v>
      </c>
      <c r="Q30" s="183">
        <v>49.01249470535177</v>
      </c>
      <c r="R30" s="183">
        <v>50.520095930999815</v>
      </c>
      <c r="S30" s="183">
        <v>51.694042618917223</v>
      </c>
      <c r="T30" s="183">
        <v>53.022023701014717</v>
      </c>
      <c r="U30" s="183">
        <v>52.835027367306225</v>
      </c>
      <c r="V30" s="183">
        <v>58.48870355176274</v>
      </c>
      <c r="W30" s="183">
        <v>54.933452152423456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264.70320576343602</v>
      </c>
      <c r="D31" s="183">
        <v>276.48072589816252</v>
      </c>
      <c r="E31" s="183">
        <v>299.01037733286034</v>
      </c>
      <c r="F31" s="183">
        <v>299.17857358056131</v>
      </c>
      <c r="G31" s="183">
        <v>286.86114029901137</v>
      </c>
      <c r="H31" s="183">
        <v>280.78540617667068</v>
      </c>
      <c r="I31" s="183">
        <v>276.14786314485309</v>
      </c>
      <c r="J31" s="183">
        <v>287.62350659622007</v>
      </c>
      <c r="K31" s="183">
        <v>277.24495819117828</v>
      </c>
      <c r="L31" s="183">
        <v>278.97659791753131</v>
      </c>
      <c r="M31" s="183">
        <v>313.80105859564082</v>
      </c>
      <c r="N31" s="183">
        <v>333.49291909714157</v>
      </c>
      <c r="O31" s="183">
        <v>376.68500298775962</v>
      </c>
      <c r="P31" s="183">
        <v>392.14665448543519</v>
      </c>
      <c r="Q31" s="183">
        <v>336.66562711078723</v>
      </c>
      <c r="R31" s="183">
        <v>328.76675144247474</v>
      </c>
      <c r="S31" s="183">
        <v>321.17412726462453</v>
      </c>
      <c r="T31" s="183">
        <v>335.6232082815086</v>
      </c>
      <c r="U31" s="183">
        <v>321.64374807143986</v>
      </c>
      <c r="V31" s="183">
        <v>316.92441569535276</v>
      </c>
      <c r="W31" s="183">
        <v>341.67725468713297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12.936543834319295</v>
      </c>
      <c r="D32" s="41">
        <v>11.873353407382368</v>
      </c>
      <c r="E32" s="41">
        <v>13.280974781889881</v>
      </c>
      <c r="F32" s="41">
        <v>13.712142038954681</v>
      </c>
      <c r="G32" s="41">
        <v>13.621820246397562</v>
      </c>
      <c r="H32" s="41">
        <v>13.782928877030372</v>
      </c>
      <c r="I32" s="41">
        <v>15.018690029287001</v>
      </c>
      <c r="J32" s="41">
        <v>14.705581975460831</v>
      </c>
      <c r="K32" s="41">
        <v>13.737814510858072</v>
      </c>
      <c r="L32" s="41">
        <v>15.919771611232335</v>
      </c>
      <c r="M32" s="41">
        <v>15.989899685496425</v>
      </c>
      <c r="N32" s="41">
        <v>15.684063646595718</v>
      </c>
      <c r="O32" s="41">
        <v>16.475832044113162</v>
      </c>
      <c r="P32" s="41">
        <v>18.465460656823609</v>
      </c>
      <c r="Q32" s="41">
        <v>16.538606896844556</v>
      </c>
      <c r="R32" s="41">
        <v>18.579816264535225</v>
      </c>
      <c r="S32" s="41">
        <v>17.764522022551773</v>
      </c>
      <c r="T32" s="41">
        <v>19.569864601447051</v>
      </c>
      <c r="U32" s="41">
        <v>19.975806688162095</v>
      </c>
      <c r="V32" s="41">
        <v>19.682958868705526</v>
      </c>
      <c r="W32" s="41">
        <v>19.628562018046409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3427.8963542711854</v>
      </c>
      <c r="D33" s="42">
        <v>3665.347187190544</v>
      </c>
      <c r="E33" s="42">
        <v>3955.4250998037787</v>
      </c>
      <c r="F33" s="42">
        <v>4472.5784033203508</v>
      </c>
      <c r="G33" s="42">
        <v>4196.0806718378262</v>
      </c>
      <c r="H33" s="42">
        <v>5824.5239848482706</v>
      </c>
      <c r="I33" s="42">
        <v>6309.4877802158699</v>
      </c>
      <c r="J33" s="42">
        <v>6591.1241655823069</v>
      </c>
      <c r="K33" s="42">
        <v>7500.9322632499498</v>
      </c>
      <c r="L33" s="42">
        <v>6867.0625408042251</v>
      </c>
      <c r="M33" s="42">
        <v>9658.9352366916246</v>
      </c>
      <c r="N33" s="42">
        <v>10877.824277356009</v>
      </c>
      <c r="O33" s="42">
        <v>11039.547222888905</v>
      </c>
      <c r="P33" s="42">
        <v>14188.7343042703</v>
      </c>
      <c r="Q33" s="42">
        <v>11471.561732882743</v>
      </c>
      <c r="R33" s="42">
        <v>11864.546266513833</v>
      </c>
      <c r="S33" s="42">
        <v>14144.392892522432</v>
      </c>
      <c r="T33" s="42">
        <v>14130.276789264222</v>
      </c>
      <c r="U33" s="42">
        <v>16758.229917794524</v>
      </c>
      <c r="V33" s="42">
        <v>13933.830040100998</v>
      </c>
      <c r="W33" s="42">
        <v>14403.967329850639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21.236009646794685</v>
      </c>
      <c r="D36" s="183">
        <v>21.83668280016991</v>
      </c>
      <c r="E36" s="183">
        <v>22.454346350667379</v>
      </c>
      <c r="F36" s="183">
        <v>23.089480881766576</v>
      </c>
      <c r="G36" s="183">
        <v>23.742580570537143</v>
      </c>
      <c r="H36" s="183">
        <v>24.414153572140322</v>
      </c>
      <c r="I36" s="183">
        <v>25.104722415208244</v>
      </c>
      <c r="J36" s="183">
        <v>25.814824408405912</v>
      </c>
      <c r="K36" s="183">
        <v>26.545012058493398</v>
      </c>
      <c r="L36" s="183">
        <v>27.295853500212502</v>
      </c>
      <c r="M36" s="183">
        <v>28.067932938334138</v>
      </c>
      <c r="N36" s="183">
        <v>28.86185110220822</v>
      </c>
      <c r="O36" s="183">
        <v>29.6782257131714</v>
      </c>
      <c r="P36" s="183">
        <v>30.517691965175345</v>
      </c>
      <c r="Q36" s="183">
        <v>31.380903019010248</v>
      </c>
      <c r="R36" s="183">
        <v>32.268530510507389</v>
      </c>
      <c r="S36" s="183">
        <v>33.18126507311672</v>
      </c>
      <c r="T36" s="183">
        <v>34.119816875265542</v>
      </c>
      <c r="U36" s="183">
        <v>37.274974199443022</v>
      </c>
      <c r="V36" s="183">
        <v>38.243993321987546</v>
      </c>
      <c r="W36" s="183">
        <v>38.110337951689189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1135.6485963743216</v>
      </c>
      <c r="D37" s="183">
        <v>1184.5324556429696</v>
      </c>
      <c r="E37" s="183">
        <v>1235.5205148416208</v>
      </c>
      <c r="F37" s="183">
        <v>1288.7033490069334</v>
      </c>
      <c r="G37" s="183">
        <v>1344.1754319672928</v>
      </c>
      <c r="H37" s="183">
        <v>1402.0353041658273</v>
      </c>
      <c r="I37" s="183">
        <v>1462.3857477073707</v>
      </c>
      <c r="J37" s="183">
        <v>1359.7984393495899</v>
      </c>
      <c r="K37" s="183">
        <v>1462.3768358595007</v>
      </c>
      <c r="L37" s="183">
        <v>1552.2149866678719</v>
      </c>
      <c r="M37" s="183">
        <v>1572.1392144016299</v>
      </c>
      <c r="N37" s="183">
        <v>1682.3826576809715</v>
      </c>
      <c r="O37" s="183">
        <v>1756.0568547503899</v>
      </c>
      <c r="P37" s="183">
        <v>1793.1415753774399</v>
      </c>
      <c r="Q37" s="183">
        <v>1652.1436685925983</v>
      </c>
      <c r="R37" s="183">
        <v>1860.3970061825548</v>
      </c>
      <c r="S37" s="183">
        <v>1981.2496230005891</v>
      </c>
      <c r="T37" s="183">
        <v>1998.6582474454517</v>
      </c>
      <c r="U37" s="183">
        <v>2183.3839132550675</v>
      </c>
      <c r="V37" s="183">
        <v>2371.3699764353805</v>
      </c>
      <c r="W37" s="183">
        <v>2611.7195013494202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25.56159924004541</v>
      </c>
      <c r="D38" s="183">
        <v>26.225647464962918</v>
      </c>
      <c r="E38" s="183">
        <v>26.906946568468868</v>
      </c>
      <c r="F38" s="183">
        <v>27.605944699960958</v>
      </c>
      <c r="G38" s="183">
        <v>28.323101651019869</v>
      </c>
      <c r="H38" s="183">
        <v>29.058889157853656</v>
      </c>
      <c r="I38" s="183">
        <v>28.94786680081171</v>
      </c>
      <c r="J38" s="183">
        <v>31.05219734502802</v>
      </c>
      <c r="K38" s="183">
        <v>31.982578267219878</v>
      </c>
      <c r="L38" s="183">
        <v>33.493874275339351</v>
      </c>
      <c r="M38" s="183">
        <v>33.930602529447413</v>
      </c>
      <c r="N38" s="183">
        <v>35.158739167337671</v>
      </c>
      <c r="O38" s="183">
        <v>36.081085643769711</v>
      </c>
      <c r="P38" s="183">
        <v>38.009848957062843</v>
      </c>
      <c r="Q38" s="183">
        <v>38.31865000345897</v>
      </c>
      <c r="R38" s="183">
        <v>42.209418196586398</v>
      </c>
      <c r="S38" s="183">
        <v>42.975933641207746</v>
      </c>
      <c r="T38" s="183">
        <v>44.019807553424016</v>
      </c>
      <c r="U38" s="183">
        <v>44.276976673358263</v>
      </c>
      <c r="V38" s="183">
        <v>50.978988893369205</v>
      </c>
      <c r="W38" s="183">
        <v>49.012494705351799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174.93177211065336</v>
      </c>
      <c r="D39" s="183">
        <v>178.61656735466295</v>
      </c>
      <c r="E39" s="183">
        <v>182.37897980809294</v>
      </c>
      <c r="F39" s="183">
        <v>186.22064441421753</v>
      </c>
      <c r="G39" s="183">
        <v>190.14323055505793</v>
      </c>
      <c r="H39" s="183">
        <v>194.14844277680731</v>
      </c>
      <c r="I39" s="183">
        <v>198.23802153053612</v>
      </c>
      <c r="J39" s="183">
        <v>202.4137439284973</v>
      </c>
      <c r="K39" s="183">
        <v>206.67742451636741</v>
      </c>
      <c r="L39" s="183">
        <v>211.03091606174712</v>
      </c>
      <c r="M39" s="183">
        <v>264.70320576343602</v>
      </c>
      <c r="N39" s="183">
        <v>276.48072589816275</v>
      </c>
      <c r="O39" s="183">
        <v>299.01037733286012</v>
      </c>
      <c r="P39" s="183">
        <v>299.17857358056153</v>
      </c>
      <c r="Q39" s="183">
        <v>286.86114029901137</v>
      </c>
      <c r="R39" s="183">
        <v>280.78540617667068</v>
      </c>
      <c r="S39" s="183">
        <v>276.14786314485309</v>
      </c>
      <c r="T39" s="183">
        <v>287.62350659622007</v>
      </c>
      <c r="U39" s="183">
        <v>277.24495819117828</v>
      </c>
      <c r="V39" s="183">
        <v>278.97659791753131</v>
      </c>
      <c r="W39" s="183">
        <v>313.80105859564082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3.3950588482457533</v>
      </c>
      <c r="D40" s="41">
        <v>3.7771098318732754</v>
      </c>
      <c r="E40" s="41">
        <v>4.2021535766325542</v>
      </c>
      <c r="F40" s="41">
        <v>4.6750281213951439</v>
      </c>
      <c r="G40" s="41">
        <v>5.2011159366883248</v>
      </c>
      <c r="H40" s="41">
        <v>5.7864051903928271</v>
      </c>
      <c r="I40" s="41">
        <v>6.4375579077600946</v>
      </c>
      <c r="J40" s="41">
        <v>7.1619858015769466</v>
      </c>
      <c r="K40" s="41">
        <v>7.9679346356104759</v>
      </c>
      <c r="L40" s="41">
        <v>8.8645780815960507</v>
      </c>
      <c r="M40" s="41">
        <v>9.8621221380906263</v>
      </c>
      <c r="N40" s="41">
        <v>10.971921299733793</v>
      </c>
      <c r="O40" s="41">
        <v>12.206607799207319</v>
      </c>
      <c r="P40" s="41">
        <v>13.580235392983013</v>
      </c>
      <c r="Q40" s="41">
        <v>15.108439327493159</v>
      </c>
      <c r="R40" s="41">
        <v>12.936543834319309</v>
      </c>
      <c r="S40" s="41">
        <v>11.873353407382353</v>
      </c>
      <c r="T40" s="41">
        <v>13.280974781889881</v>
      </c>
      <c r="U40" s="41">
        <v>13.712142038954653</v>
      </c>
      <c r="V40" s="41">
        <v>13.62182024639759</v>
      </c>
      <c r="W40" s="41">
        <v>13.782928877030372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1985.8016752915428</v>
      </c>
      <c r="D41" s="42">
        <v>1985.8016752915428</v>
      </c>
      <c r="E41" s="42">
        <v>1985.801675291541</v>
      </c>
      <c r="F41" s="42">
        <v>1985.8016752915428</v>
      </c>
      <c r="G41" s="42">
        <v>1985.8016752915428</v>
      </c>
      <c r="H41" s="42">
        <v>3427.8963542711863</v>
      </c>
      <c r="I41" s="42">
        <v>3665.3471871905422</v>
      </c>
      <c r="J41" s="42">
        <v>3955.4250998037787</v>
      </c>
      <c r="K41" s="42">
        <v>4472.578403320349</v>
      </c>
      <c r="L41" s="42">
        <v>4196.0806718378299</v>
      </c>
      <c r="M41" s="42">
        <v>5824.5239848482743</v>
      </c>
      <c r="N41" s="42">
        <v>6309.4877802158662</v>
      </c>
      <c r="O41" s="42">
        <v>6591.1241655823032</v>
      </c>
      <c r="P41" s="42">
        <v>7500.9322632499461</v>
      </c>
      <c r="Q41" s="42">
        <v>6867.0625408042251</v>
      </c>
      <c r="R41" s="42">
        <v>9658.9352366916282</v>
      </c>
      <c r="S41" s="42">
        <v>10877.824277356005</v>
      </c>
      <c r="T41" s="42">
        <v>11039.547222888912</v>
      </c>
      <c r="U41" s="42">
        <v>14188.7343042703</v>
      </c>
      <c r="V41" s="42">
        <v>11471.561732882736</v>
      </c>
      <c r="W41" s="42">
        <v>11864.546266513833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8760.0000000000018</v>
      </c>
      <c r="C44" s="185">
        <v>8760</v>
      </c>
      <c r="D44" s="185">
        <v>8760.0000000000018</v>
      </c>
      <c r="E44" s="185">
        <v>8759.9999999999982</v>
      </c>
      <c r="F44" s="185">
        <v>8760</v>
      </c>
      <c r="G44" s="185">
        <v>8759.9999999999982</v>
      </c>
      <c r="H44" s="185">
        <v>8759.9999999999982</v>
      </c>
      <c r="I44" s="185">
        <v>8760</v>
      </c>
      <c r="J44" s="185">
        <v>8759.9999999999982</v>
      </c>
      <c r="K44" s="185">
        <v>8760</v>
      </c>
      <c r="L44" s="185">
        <v>8760.0000000000036</v>
      </c>
      <c r="M44" s="185">
        <v>8760</v>
      </c>
      <c r="N44" s="185">
        <v>8759.9999999999982</v>
      </c>
      <c r="O44" s="185">
        <v>8759.9999999999982</v>
      </c>
      <c r="P44" s="185">
        <v>8759.9999999999982</v>
      </c>
      <c r="Q44" s="185">
        <v>8759.9999999999964</v>
      </c>
      <c r="R44" s="185">
        <v>8759.9999999999945</v>
      </c>
      <c r="S44" s="185">
        <v>8759.9999999999982</v>
      </c>
      <c r="T44" s="185">
        <v>8759.9999999999982</v>
      </c>
      <c r="U44" s="185">
        <v>8760</v>
      </c>
      <c r="V44" s="185">
        <v>8759.9999999999982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4032.3894941627386</v>
      </c>
      <c r="C45" s="185">
        <v>4018.1225044423832</v>
      </c>
      <c r="D45" s="185">
        <v>4002.2238323381926</v>
      </c>
      <c r="E45" s="185">
        <v>3986.6430310609735</v>
      </c>
      <c r="F45" s="185">
        <v>3980.0842608429984</v>
      </c>
      <c r="G45" s="185">
        <v>3969.6567609611916</v>
      </c>
      <c r="H45" s="185">
        <v>3963.292469360711</v>
      </c>
      <c r="I45" s="185">
        <v>3947.9387482614134</v>
      </c>
      <c r="J45" s="185">
        <v>3935.1736162915936</v>
      </c>
      <c r="K45" s="185">
        <v>3925.6957764781382</v>
      </c>
      <c r="L45" s="185">
        <v>3916.4000793669306</v>
      </c>
      <c r="M45" s="185">
        <v>3901.6142751580528</v>
      </c>
      <c r="N45" s="185">
        <v>3880.4294248855313</v>
      </c>
      <c r="O45" s="185">
        <v>3856.3566383132279</v>
      </c>
      <c r="P45" s="185">
        <v>3824.7634339167671</v>
      </c>
      <c r="Q45" s="185">
        <v>3794.4013719306836</v>
      </c>
      <c r="R45" s="185">
        <v>3803.440697773131</v>
      </c>
      <c r="S45" s="185">
        <v>3844.4955576847619</v>
      </c>
      <c r="T45" s="185">
        <v>3825.3462899219048</v>
      </c>
      <c r="U45" s="185">
        <v>3817.3690720387899</v>
      </c>
      <c r="V45" s="185">
        <v>3810.6357898255869</v>
      </c>
      <c r="W45" s="185">
        <v>3816.3586183498796</v>
      </c>
      <c r="DA45" s="194" t="s">
        <v>940</v>
      </c>
    </row>
    <row r="46" spans="1:105" ht="12" customHeight="1" x14ac:dyDescent="0.25">
      <c r="A46" s="132" t="s">
        <v>5</v>
      </c>
      <c r="B46" s="185">
        <v>2485.1329740508104</v>
      </c>
      <c r="C46" s="185">
        <v>2501.8320985839127</v>
      </c>
      <c r="D46" s="185">
        <v>2515.4816989757946</v>
      </c>
      <c r="E46" s="185">
        <v>2527.3583832815834</v>
      </c>
      <c r="F46" s="185">
        <v>2544.2048073568476</v>
      </c>
      <c r="G46" s="185">
        <v>2556.598000579886</v>
      </c>
      <c r="H46" s="185">
        <v>2570.9347579982186</v>
      </c>
      <c r="I46" s="185">
        <v>2585.0669393117655</v>
      </c>
      <c r="J46" s="185">
        <v>2593.6180602149384</v>
      </c>
      <c r="K46" s="185">
        <v>2598.5291593299003</v>
      </c>
      <c r="L46" s="185">
        <v>2604.731849396454</v>
      </c>
      <c r="M46" s="185">
        <v>2610.9761171544515</v>
      </c>
      <c r="N46" s="185">
        <v>2617.6108808105037</v>
      </c>
      <c r="O46" s="185">
        <v>2624.5378797568665</v>
      </c>
      <c r="P46" s="185">
        <v>2632.8039944567931</v>
      </c>
      <c r="Q46" s="185">
        <v>2641.4683332495247</v>
      </c>
      <c r="R46" s="185">
        <v>2652.4125437584225</v>
      </c>
      <c r="S46" s="185">
        <v>2691.5964401666752</v>
      </c>
      <c r="T46" s="185">
        <v>2671.1870373565148</v>
      </c>
      <c r="U46" s="185">
        <v>2666.479365376224</v>
      </c>
      <c r="V46" s="185">
        <v>2470.4812943222528</v>
      </c>
      <c r="W46" s="185">
        <v>2581.3892572288514</v>
      </c>
      <c r="DA46" s="194" t="s">
        <v>941</v>
      </c>
    </row>
    <row r="47" spans="1:105" ht="12" customHeight="1" x14ac:dyDescent="0.25">
      <c r="A47" s="132" t="s">
        <v>179</v>
      </c>
      <c r="B47" s="185">
        <v>8760.0000000000018</v>
      </c>
      <c r="C47" s="185">
        <v>8759.9999999999982</v>
      </c>
      <c r="D47" s="185">
        <v>8759.9999999999982</v>
      </c>
      <c r="E47" s="185">
        <v>8759.9999999999982</v>
      </c>
      <c r="F47" s="185">
        <v>8760</v>
      </c>
      <c r="G47" s="185">
        <v>8760</v>
      </c>
      <c r="H47" s="185">
        <v>8759.9999999999982</v>
      </c>
      <c r="I47" s="185">
        <v>8760.0000000000036</v>
      </c>
      <c r="J47" s="185">
        <v>8759.9999999999982</v>
      </c>
      <c r="K47" s="185">
        <v>8760</v>
      </c>
      <c r="L47" s="185">
        <v>8760.0000000000018</v>
      </c>
      <c r="M47" s="185">
        <v>8760.0000000000018</v>
      </c>
      <c r="N47" s="185">
        <v>8760</v>
      </c>
      <c r="O47" s="185">
        <v>8760.0000000000018</v>
      </c>
      <c r="P47" s="185">
        <v>8759.9999999999982</v>
      </c>
      <c r="Q47" s="185">
        <v>8760</v>
      </c>
      <c r="R47" s="185">
        <v>8760.0000000000018</v>
      </c>
      <c r="S47" s="185">
        <v>8760</v>
      </c>
      <c r="T47" s="185">
        <v>8760</v>
      </c>
      <c r="U47" s="185">
        <v>8760.0000000000018</v>
      </c>
      <c r="V47" s="185">
        <v>8760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844.75219096474325</v>
      </c>
      <c r="C48" s="44">
        <v>848.78747257389057</v>
      </c>
      <c r="D48" s="44">
        <v>852.48822526443928</v>
      </c>
      <c r="E48" s="44">
        <v>855.90683486114017</v>
      </c>
      <c r="F48" s="44">
        <v>859.08419391082089</v>
      </c>
      <c r="G48" s="44">
        <v>862.05284563141242</v>
      </c>
      <c r="H48" s="44">
        <v>864.83911955354677</v>
      </c>
      <c r="I48" s="44">
        <v>867.46462402635007</v>
      </c>
      <c r="J48" s="44">
        <v>869.94731510220436</v>
      </c>
      <c r="K48" s="44">
        <v>872.30227852516771</v>
      </c>
      <c r="L48" s="44">
        <v>874.54231264395139</v>
      </c>
      <c r="M48" s="44">
        <v>875.96577194398265</v>
      </c>
      <c r="N48" s="44">
        <v>877.32515702872706</v>
      </c>
      <c r="O48" s="44">
        <v>878.62607557867636</v>
      </c>
      <c r="P48" s="44">
        <v>879.87342638212795</v>
      </c>
      <c r="Q48" s="44">
        <v>881.0715142758969</v>
      </c>
      <c r="R48" s="44">
        <v>885.82425669286761</v>
      </c>
      <c r="S48" s="44">
        <v>897.17993068031319</v>
      </c>
      <c r="T48" s="44">
        <v>894.4335414366584</v>
      </c>
      <c r="U48" s="44">
        <v>892.64240258242705</v>
      </c>
      <c r="V48" s="44">
        <v>827.02922315230876</v>
      </c>
      <c r="W48" s="44">
        <v>864.15726237885667</v>
      </c>
      <c r="DA48" s="95" t="s">
        <v>943</v>
      </c>
    </row>
    <row r="49" spans="1:105" ht="12" customHeight="1" x14ac:dyDescent="0.25">
      <c r="A49" s="62" t="s">
        <v>3</v>
      </c>
      <c r="B49" s="186">
        <v>1681.0020977479692</v>
      </c>
      <c r="C49" s="186">
        <v>1698.3367059710354</v>
      </c>
      <c r="D49" s="186">
        <v>1730.2484448367006</v>
      </c>
      <c r="E49" s="186">
        <v>1759.9739597883117</v>
      </c>
      <c r="F49" s="186">
        <v>1789.9105224266832</v>
      </c>
      <c r="G49" s="186">
        <v>1817.9971227960184</v>
      </c>
      <c r="H49" s="186">
        <v>1846.9983555525978</v>
      </c>
      <c r="I49" s="186">
        <v>1869.6384489684742</v>
      </c>
      <c r="J49" s="186">
        <v>1891.2787712283955</v>
      </c>
      <c r="K49" s="186">
        <v>1907.0836369368537</v>
      </c>
      <c r="L49" s="186">
        <v>1930.964344429658</v>
      </c>
      <c r="M49" s="186">
        <v>1953.1475152830978</v>
      </c>
      <c r="N49" s="186">
        <v>1969.7675771448153</v>
      </c>
      <c r="O49" s="186">
        <v>1987.3202232257975</v>
      </c>
      <c r="P49" s="186">
        <v>2006.6820699045811</v>
      </c>
      <c r="Q49" s="186">
        <v>2027.3258925900086</v>
      </c>
      <c r="R49" s="186">
        <v>2053.224074831176</v>
      </c>
      <c r="S49" s="186">
        <v>2095.53429727808</v>
      </c>
      <c r="T49" s="186">
        <v>2104.405818350107</v>
      </c>
      <c r="U49" s="186">
        <v>2118.2663791371292</v>
      </c>
      <c r="V49" s="186">
        <v>2024.8451894560055</v>
      </c>
      <c r="W49" s="186">
        <v>2077.708739511002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0.67100370497079864</v>
      </c>
      <c r="C52" s="181">
        <v>0.66577383098223553</v>
      </c>
      <c r="D52" s="181">
        <v>0.66022574297089931</v>
      </c>
      <c r="E52" s="181">
        <v>0.65454679741092037</v>
      </c>
      <c r="F52" s="181">
        <v>0.64851619860095955</v>
      </c>
      <c r="G52" s="181">
        <v>0.64199118681044454</v>
      </c>
      <c r="H52" s="181">
        <v>0.63532078237858813</v>
      </c>
      <c r="I52" s="181">
        <v>0.62814830707960823</v>
      </c>
      <c r="J52" s="181">
        <v>0.62111055426886086</v>
      </c>
      <c r="K52" s="181">
        <v>0.61418045301041824</v>
      </c>
      <c r="L52" s="181">
        <v>0.6066733288577022</v>
      </c>
      <c r="M52" s="181">
        <v>0.59853343947517612</v>
      </c>
      <c r="N52" s="181">
        <v>0.59020503028166615</v>
      </c>
      <c r="O52" s="181">
        <v>0.58151370675317149</v>
      </c>
      <c r="P52" s="181">
        <v>0.57184987151087463</v>
      </c>
      <c r="Q52" s="181">
        <v>0.56268822051264078</v>
      </c>
      <c r="R52" s="181">
        <v>0.5530240299509912</v>
      </c>
      <c r="S52" s="181">
        <v>0.5431139329989646</v>
      </c>
      <c r="T52" s="181">
        <v>0.53295405440590649</v>
      </c>
      <c r="U52" s="181">
        <v>0.52540016099485443</v>
      </c>
      <c r="V52" s="181">
        <v>0.51807920079900172</v>
      </c>
      <c r="W52" s="181">
        <v>0.51125493215990381</v>
      </c>
      <c r="DA52" s="190" t="s">
        <v>945</v>
      </c>
    </row>
    <row r="53" spans="1:105" ht="12" customHeight="1" x14ac:dyDescent="0.25">
      <c r="A53" s="132" t="s">
        <v>100</v>
      </c>
      <c r="B53" s="181">
        <v>182.50843795297635</v>
      </c>
      <c r="C53" s="181">
        <v>180.75173812858318</v>
      </c>
      <c r="D53" s="181">
        <v>178.7147208220365</v>
      </c>
      <c r="E53" s="181">
        <v>176.38628960031232</v>
      </c>
      <c r="F53" s="181">
        <v>173.93723749526922</v>
      </c>
      <c r="G53" s="181">
        <v>171.27224837593357</v>
      </c>
      <c r="H53" s="181">
        <v>168.27955760421585</v>
      </c>
      <c r="I53" s="181">
        <v>164.96396892813596</v>
      </c>
      <c r="J53" s="181">
        <v>163.09723366863295</v>
      </c>
      <c r="K53" s="181">
        <v>160.92344205540351</v>
      </c>
      <c r="L53" s="181">
        <v>158.34864153981889</v>
      </c>
      <c r="M53" s="181">
        <v>155.56933242644089</v>
      </c>
      <c r="N53" s="181">
        <v>152.18871663432142</v>
      </c>
      <c r="O53" s="181">
        <v>148.38087282730527</v>
      </c>
      <c r="P53" s="181">
        <v>143.91970161873985</v>
      </c>
      <c r="Q53" s="181">
        <v>139.25162133153364</v>
      </c>
      <c r="R53" s="181">
        <v>134.44407903457591</v>
      </c>
      <c r="S53" s="181">
        <v>129.31179385614621</v>
      </c>
      <c r="T53" s="181">
        <v>123.96712047973631</v>
      </c>
      <c r="U53" s="181">
        <v>118.2105713453365</v>
      </c>
      <c r="V53" s="181">
        <v>112.05253236620894</v>
      </c>
      <c r="W53" s="181">
        <v>106.15720277889169</v>
      </c>
      <c r="DA53" s="190" t="s">
        <v>946</v>
      </c>
    </row>
    <row r="54" spans="1:105" ht="12" customHeight="1" x14ac:dyDescent="0.25">
      <c r="A54" s="132" t="s">
        <v>140</v>
      </c>
      <c r="B54" s="181">
        <v>42.698769250838701</v>
      </c>
      <c r="C54" s="181">
        <v>42.232362467886112</v>
      </c>
      <c r="D54" s="181">
        <v>41.533096011871415</v>
      </c>
      <c r="E54" s="181">
        <v>40.707530320688811</v>
      </c>
      <c r="F54" s="181">
        <v>39.768689576634266</v>
      </c>
      <c r="G54" s="181">
        <v>38.724327594771495</v>
      </c>
      <c r="H54" s="181">
        <v>37.573451778407211</v>
      </c>
      <c r="I54" s="181">
        <v>36.701201685421701</v>
      </c>
      <c r="J54" s="181">
        <v>35.783295103455671</v>
      </c>
      <c r="K54" s="181">
        <v>34.822042791349801</v>
      </c>
      <c r="L54" s="181">
        <v>33.823319024714223</v>
      </c>
      <c r="M54" s="181">
        <v>32.753115434206187</v>
      </c>
      <c r="N54" s="181">
        <v>31.571835407875945</v>
      </c>
      <c r="O54" s="181">
        <v>30.32100803671257</v>
      </c>
      <c r="P54" s="181">
        <v>28.914509122132273</v>
      </c>
      <c r="Q54" s="181">
        <v>27.504845968508999</v>
      </c>
      <c r="R54" s="181">
        <v>25.811563868491209</v>
      </c>
      <c r="S54" s="181">
        <v>24.174789149570291</v>
      </c>
      <c r="T54" s="181">
        <v>22.497450463204874</v>
      </c>
      <c r="U54" s="181">
        <v>20.891972386409353</v>
      </c>
      <c r="V54" s="181">
        <v>19.217597803526576</v>
      </c>
      <c r="W54" s="181">
        <v>17.693231832213154</v>
      </c>
      <c r="DA54" s="190" t="s">
        <v>947</v>
      </c>
    </row>
    <row r="55" spans="1:105" ht="12" customHeight="1" x14ac:dyDescent="0.25">
      <c r="A55" s="132" t="s">
        <v>181</v>
      </c>
      <c r="B55" s="181">
        <v>656.43080621153626</v>
      </c>
      <c r="C55" s="181">
        <v>648.38174682541262</v>
      </c>
      <c r="D55" s="181">
        <v>638.89962607528128</v>
      </c>
      <c r="E55" s="181">
        <v>628.62048560703624</v>
      </c>
      <c r="F55" s="181">
        <v>618.49992339054336</v>
      </c>
      <c r="G55" s="181">
        <v>608.66194915098617</v>
      </c>
      <c r="H55" s="181">
        <v>598.65872259207924</v>
      </c>
      <c r="I55" s="181">
        <v>588.33444512445988</v>
      </c>
      <c r="J55" s="181">
        <v>577.39596819846884</v>
      </c>
      <c r="K55" s="181">
        <v>565.69511511213705</v>
      </c>
      <c r="L55" s="181">
        <v>553.00007594344345</v>
      </c>
      <c r="M55" s="181">
        <v>542.15300394346957</v>
      </c>
      <c r="N55" s="181">
        <v>531.68857480776501</v>
      </c>
      <c r="O55" s="181">
        <v>520.00491659017564</v>
      </c>
      <c r="P55" s="181">
        <v>507.7559045461901</v>
      </c>
      <c r="Q55" s="181">
        <v>497.31325305634329</v>
      </c>
      <c r="R55" s="181">
        <v>487.43505529443604</v>
      </c>
      <c r="S55" s="181">
        <v>477.93139658858183</v>
      </c>
      <c r="T55" s="181">
        <v>468.22471529440094</v>
      </c>
      <c r="U55" s="181">
        <v>459.5768564609312</v>
      </c>
      <c r="V55" s="181">
        <v>451.61431480688879</v>
      </c>
      <c r="W55" s="181">
        <v>443.52632047492887</v>
      </c>
      <c r="DA55" s="190" t="s">
        <v>948</v>
      </c>
    </row>
    <row r="56" spans="1:105" ht="12" customHeight="1" x14ac:dyDescent="0.25">
      <c r="A56" s="60" t="s">
        <v>99</v>
      </c>
      <c r="B56" s="55">
        <v>46.186749403521404</v>
      </c>
      <c r="C56" s="55">
        <v>45.921024910060829</v>
      </c>
      <c r="D56" s="55">
        <v>45.680102413625967</v>
      </c>
      <c r="E56" s="55">
        <v>45.413157237505608</v>
      </c>
      <c r="F56" s="55">
        <v>45.138626280618986</v>
      </c>
      <c r="G56" s="55">
        <v>44.863779392536252</v>
      </c>
      <c r="H56" s="55">
        <v>44.5816416225694</v>
      </c>
      <c r="I56" s="55">
        <v>44.264732810885391</v>
      </c>
      <c r="J56" s="55">
        <v>43.943925618546537</v>
      </c>
      <c r="K56" s="55">
        <v>43.615772663001529</v>
      </c>
      <c r="L56" s="55">
        <v>43.220121703492076</v>
      </c>
      <c r="M56" s="55">
        <v>42.766289179372592</v>
      </c>
      <c r="N56" s="55">
        <v>42.251780603735426</v>
      </c>
      <c r="O56" s="55">
        <v>41.643922595008888</v>
      </c>
      <c r="P56" s="55">
        <v>40.90984097002115</v>
      </c>
      <c r="Q56" s="55">
        <v>40.123763541936668</v>
      </c>
      <c r="R56" s="55">
        <v>39.489023395066077</v>
      </c>
      <c r="S56" s="55">
        <v>38.894127524993898</v>
      </c>
      <c r="T56" s="55">
        <v>38.243994262712938</v>
      </c>
      <c r="U56" s="55">
        <v>37.589687501724015</v>
      </c>
      <c r="V56" s="55">
        <v>36.954068688959374</v>
      </c>
      <c r="W56" s="55">
        <v>36.342889868668131</v>
      </c>
      <c r="DA56" s="101" t="s">
        <v>949</v>
      </c>
    </row>
    <row r="57" spans="1:105" ht="12" customHeight="1" x14ac:dyDescent="0.25">
      <c r="A57" s="62" t="s">
        <v>98</v>
      </c>
      <c r="B57" s="63">
        <v>376.18329413578522</v>
      </c>
      <c r="C57" s="63">
        <v>365.4119422021987</v>
      </c>
      <c r="D57" s="63">
        <v>352.15800951389906</v>
      </c>
      <c r="E57" s="63">
        <v>338.05708816648689</v>
      </c>
      <c r="F57" s="63">
        <v>322.71920949029499</v>
      </c>
      <c r="G57" s="63">
        <v>308.51012867621296</v>
      </c>
      <c r="H57" s="63">
        <v>291.98533030220312</v>
      </c>
      <c r="I57" s="63">
        <v>275.8137332602704</v>
      </c>
      <c r="J57" s="63">
        <v>259.5566046941683</v>
      </c>
      <c r="K57" s="63">
        <v>242.14160161356088</v>
      </c>
      <c r="L57" s="63">
        <v>226.0242035389897</v>
      </c>
      <c r="M57" s="63">
        <v>206.43383842392333</v>
      </c>
      <c r="N57" s="63">
        <v>189.31474513337866</v>
      </c>
      <c r="O57" s="63">
        <v>176.01123668681657</v>
      </c>
      <c r="P57" s="63">
        <v>164.83240569884117</v>
      </c>
      <c r="Q57" s="63">
        <v>159.33841070561951</v>
      </c>
      <c r="R57" s="63">
        <v>154.95179169778501</v>
      </c>
      <c r="S57" s="63">
        <v>151.13736681327376</v>
      </c>
      <c r="T57" s="63">
        <v>147.99355395857845</v>
      </c>
      <c r="U57" s="63">
        <v>144.58858501886891</v>
      </c>
      <c r="V57" s="63">
        <v>141.43683015344595</v>
      </c>
      <c r="W57" s="63">
        <v>138.19380502740009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0.60005852488532974</v>
      </c>
      <c r="D60" s="181">
        <v>0.59302487949891269</v>
      </c>
      <c r="E60" s="181">
        <v>0.58644980482286257</v>
      </c>
      <c r="F60" s="181">
        <v>0.57948875052003612</v>
      </c>
      <c r="G60" s="181">
        <v>0.572791817745956</v>
      </c>
      <c r="H60" s="181">
        <v>0.56637297561464217</v>
      </c>
      <c r="I60" s="181">
        <v>0.56041676712403143</v>
      </c>
      <c r="J60" s="181">
        <v>0.55390266862588089</v>
      </c>
      <c r="K60" s="181">
        <v>0.54636917206193569</v>
      </c>
      <c r="L60" s="181">
        <v>0.53783327116330526</v>
      </c>
      <c r="M60" s="181">
        <v>0.52873574849491178</v>
      </c>
      <c r="N60" s="181">
        <v>0.51810196223399829</v>
      </c>
      <c r="O60" s="181">
        <v>0.50675368612475924</v>
      </c>
      <c r="P60" s="181">
        <v>0.49475573483221474</v>
      </c>
      <c r="Q60" s="181">
        <v>0.48195245603974807</v>
      </c>
      <c r="R60" s="181">
        <v>0.47858496584671462</v>
      </c>
      <c r="S60" s="181">
        <v>0.4735570087280967</v>
      </c>
      <c r="T60" s="181">
        <v>0.46891709352136191</v>
      </c>
      <c r="U60" s="181">
        <v>0.46470408041741779</v>
      </c>
      <c r="V60" s="181">
        <v>0.46055041782555411</v>
      </c>
      <c r="W60" s="181">
        <v>0.45859405294498923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170.52344849624251</v>
      </c>
      <c r="D61" s="181">
        <v>168.86504581730301</v>
      </c>
      <c r="E61" s="181">
        <v>166.92618879385387</v>
      </c>
      <c r="F61" s="181">
        <v>165.58521080979634</v>
      </c>
      <c r="G61" s="181">
        <v>164.16334829531917</v>
      </c>
      <c r="H61" s="181">
        <v>161.7570416782066</v>
      </c>
      <c r="I61" s="181">
        <v>159.21507256768163</v>
      </c>
      <c r="J61" s="181">
        <v>156.5793877957496</v>
      </c>
      <c r="K61" s="181">
        <v>153.76326969530191</v>
      </c>
      <c r="L61" s="181">
        <v>149.64465975294206</v>
      </c>
      <c r="M61" s="181">
        <v>146.34703134879948</v>
      </c>
      <c r="N61" s="181">
        <v>141.71454269752471</v>
      </c>
      <c r="O61" s="181">
        <v>137.05006437782205</v>
      </c>
      <c r="P61" s="181">
        <v>130.7799373223659</v>
      </c>
      <c r="Q61" s="181">
        <v>123.58083168112195</v>
      </c>
      <c r="R61" s="181">
        <v>116.80392512565358</v>
      </c>
      <c r="S61" s="181">
        <v>111.42668056437066</v>
      </c>
      <c r="T61" s="181">
        <v>106.05920698913009</v>
      </c>
      <c r="U61" s="181">
        <v>100.69490523678955</v>
      </c>
      <c r="V61" s="181">
        <v>95.328398057967064</v>
      </c>
      <c r="W61" s="181">
        <v>93.271165549816885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40.006970445503654</v>
      </c>
      <c r="D62" s="181">
        <v>38.755360541495889</v>
      </c>
      <c r="E62" s="181">
        <v>37.945638835490975</v>
      </c>
      <c r="F62" s="181">
        <v>37.223162269207776</v>
      </c>
      <c r="G62" s="181">
        <v>36.413671360729133</v>
      </c>
      <c r="H62" s="181">
        <v>35.640363717637264</v>
      </c>
      <c r="I62" s="181">
        <v>34.649846161979305</v>
      </c>
      <c r="J62" s="181">
        <v>33.340461190468716</v>
      </c>
      <c r="K62" s="181">
        <v>32.19483363685044</v>
      </c>
      <c r="L62" s="181">
        <v>31.434172201258715</v>
      </c>
      <c r="M62" s="181">
        <v>30.072345161937445</v>
      </c>
      <c r="N62" s="181">
        <v>28.575390176841008</v>
      </c>
      <c r="O62" s="181">
        <v>27.022924768567531</v>
      </c>
      <c r="P62" s="181">
        <v>25.322271979340165</v>
      </c>
      <c r="Q62" s="181">
        <v>23.61365513149234</v>
      </c>
      <c r="R62" s="181">
        <v>21.343224005521531</v>
      </c>
      <c r="S62" s="181">
        <v>20.155671514134294</v>
      </c>
      <c r="T62" s="181">
        <v>18.353489655161294</v>
      </c>
      <c r="U62" s="181">
        <v>16.928918325820518</v>
      </c>
      <c r="V62" s="181">
        <v>15.719448921120819</v>
      </c>
      <c r="W62" s="181">
        <v>14.2186077830212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595.1719975313016</v>
      </c>
      <c r="D63" s="181">
        <v>581.13412402158099</v>
      </c>
      <c r="E63" s="181">
        <v>572.96354891604562</v>
      </c>
      <c r="F63" s="181">
        <v>566.70512095462198</v>
      </c>
      <c r="G63" s="181">
        <v>560.00477140760779</v>
      </c>
      <c r="H63" s="181">
        <v>551.7227561819692</v>
      </c>
      <c r="I63" s="181">
        <v>542.80292808582192</v>
      </c>
      <c r="J63" s="181">
        <v>534.01188091229028</v>
      </c>
      <c r="K63" s="181">
        <v>519.87024389626686</v>
      </c>
      <c r="L63" s="181">
        <v>505.68650977173803</v>
      </c>
      <c r="M63" s="181">
        <v>489.15602214934239</v>
      </c>
      <c r="N63" s="181">
        <v>482.43382552944036</v>
      </c>
      <c r="O63" s="181">
        <v>471.06636352373164</v>
      </c>
      <c r="P63" s="181">
        <v>458.68511344856302</v>
      </c>
      <c r="Q63" s="181">
        <v>454.45833790989133</v>
      </c>
      <c r="R63" s="181">
        <v>447.58754685535132</v>
      </c>
      <c r="S63" s="181">
        <v>438.97336231683465</v>
      </c>
      <c r="T63" s="181">
        <v>430.70777773341092</v>
      </c>
      <c r="U63" s="181">
        <v>422.96803572192152</v>
      </c>
      <c r="V63" s="181">
        <v>415.32220384145603</v>
      </c>
      <c r="W63" s="181">
        <v>405.49660276389676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43.542356717265754</v>
      </c>
      <c r="D64" s="55">
        <v>43.229014085428474</v>
      </c>
      <c r="E64" s="55">
        <v>42.907546550476198</v>
      </c>
      <c r="F64" s="55">
        <v>42.574612175637917</v>
      </c>
      <c r="G64" s="55">
        <v>42.242460707236049</v>
      </c>
      <c r="H64" s="55">
        <v>41.911252509678043</v>
      </c>
      <c r="I64" s="55">
        <v>41.472525295758913</v>
      </c>
      <c r="J64" s="55">
        <v>41.11056130063487</v>
      </c>
      <c r="K64" s="55">
        <v>40.628303716980241</v>
      </c>
      <c r="L64" s="55">
        <v>40.068877581084735</v>
      </c>
      <c r="M64" s="55">
        <v>39.190390762606775</v>
      </c>
      <c r="N64" s="55">
        <v>38.2321308647821</v>
      </c>
      <c r="O64" s="55">
        <v>37.219132200618496</v>
      </c>
      <c r="P64" s="55">
        <v>36.226494784244863</v>
      </c>
      <c r="Q64" s="55">
        <v>35.190997933625304</v>
      </c>
      <c r="R64" s="55">
        <v>34.735834972712006</v>
      </c>
      <c r="S64" s="55">
        <v>34.176758702208801</v>
      </c>
      <c r="T64" s="55">
        <v>33.659127679056397</v>
      </c>
      <c r="U64" s="55">
        <v>33.164524952284019</v>
      </c>
      <c r="V64" s="55">
        <v>32.675395305515472</v>
      </c>
      <c r="W64" s="55">
        <v>32.409719631913958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340.45229756391336</v>
      </c>
      <c r="D65" s="63">
        <v>324.05633761854506</v>
      </c>
      <c r="E65" s="63">
        <v>310.67315785271154</v>
      </c>
      <c r="F65" s="63">
        <v>294.94774760933115</v>
      </c>
      <c r="G65" s="63">
        <v>281.2528870548752</v>
      </c>
      <c r="H65" s="63">
        <v>264.56933458743225</v>
      </c>
      <c r="I65" s="63">
        <v>247.15973043383872</v>
      </c>
      <c r="J65" s="63">
        <v>229.166060329049</v>
      </c>
      <c r="K65" s="63">
        <v>210.02780724528807</v>
      </c>
      <c r="L65" s="63">
        <v>188.36882023872872</v>
      </c>
      <c r="M65" s="63">
        <v>174.37078856087513</v>
      </c>
      <c r="N65" s="63">
        <v>164.75157868157817</v>
      </c>
      <c r="O65" s="63">
        <v>157.7413997806938</v>
      </c>
      <c r="P65" s="63">
        <v>152.52715475588116</v>
      </c>
      <c r="Q65" s="63">
        <v>151.50975774585325</v>
      </c>
      <c r="R65" s="63">
        <v>149.59900911478539</v>
      </c>
      <c r="S65" s="63">
        <v>145.57722324659252</v>
      </c>
      <c r="T65" s="63">
        <v>141.6573106328475</v>
      </c>
      <c r="U65" s="63">
        <v>137.94068495122329</v>
      </c>
      <c r="V65" s="63">
        <v>134.26506608359117</v>
      </c>
      <c r="W65" s="63">
        <v>131.64074684986227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529.10665844097832</v>
      </c>
      <c r="C68" s="188">
        <f>1000000*C20/SER_summary!C$8</f>
        <v>538.45886337730531</v>
      </c>
      <c r="D68" s="188">
        <f>1000000*D20/SER_summary!D$8</f>
        <v>547.92842758752272</v>
      </c>
      <c r="E68" s="188">
        <f>1000000*E20/SER_summary!E$8</f>
        <v>556.35187705179612</v>
      </c>
      <c r="F68" s="188">
        <f>1000000*F20/SER_summary!F$8</f>
        <v>565.26380725546505</v>
      </c>
      <c r="G68" s="188">
        <f>1000000*G20/SER_summary!G$8</f>
        <v>576.12602419644031</v>
      </c>
      <c r="H68" s="188">
        <f>1000000*H20/SER_summary!H$8</f>
        <v>585.81790231971149</v>
      </c>
      <c r="I68" s="188">
        <f>1000000*I20/SER_summary!I$8</f>
        <v>596.3778810576207</v>
      </c>
      <c r="J68" s="188">
        <f>1000000*J20/SER_summary!J$8</f>
        <v>606.25569439692458</v>
      </c>
      <c r="K68" s="188">
        <f>1000000*K20/SER_summary!K$8</f>
        <v>617.36518018968138</v>
      </c>
      <c r="L68" s="188">
        <f>1000000*L20/SER_summary!L$8</f>
        <v>626.86271913146209</v>
      </c>
      <c r="M68" s="188">
        <f>1000000*M20/SER_summary!M$8</f>
        <v>637.65841174064667</v>
      </c>
      <c r="N68" s="188">
        <f>1000000*N20/SER_summary!N$8</f>
        <v>649.48350637653107</v>
      </c>
      <c r="O68" s="188">
        <f>1000000*O20/SER_summary!O$8</f>
        <v>660.66730198949165</v>
      </c>
      <c r="P68" s="188">
        <f>1000000*P20/SER_summary!P$8</f>
        <v>671.21665554213257</v>
      </c>
      <c r="Q68" s="188">
        <f>1000000*Q20/SER_summary!Q$8</f>
        <v>681.03138720563766</v>
      </c>
      <c r="R68" s="188">
        <f>1000000*R20/SER_summary!R$8</f>
        <v>687.94827607373747</v>
      </c>
      <c r="S68" s="188">
        <f>1000000*S20/SER_summary!S$8</f>
        <v>694.88241804214135</v>
      </c>
      <c r="T68" s="188">
        <f>1000000*T20/SER_summary!T$8</f>
        <v>701.74256618307641</v>
      </c>
      <c r="U68" s="188">
        <f>1000000*U20/SER_summary!U$8</f>
        <v>708.4733779718855</v>
      </c>
      <c r="V68" s="188">
        <f>1000000*V20/SER_summary!V$8</f>
        <v>714.97184113818389</v>
      </c>
      <c r="W68" s="188">
        <f>1000000*W20/SER_summary!W$8</f>
        <v>721.11615462511213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0.14952511537127425</v>
      </c>
      <c r="C69" s="188">
        <f>1000*C21/SER_summary!C$3</f>
        <v>0.15213603568163411</v>
      </c>
      <c r="D69" s="188">
        <f>1000*D21/SER_summary!D$3</f>
        <v>0.15555792561234719</v>
      </c>
      <c r="E69" s="188">
        <f>1000*E21/SER_summary!E$3</f>
        <v>0.15957060734047168</v>
      </c>
      <c r="F69" s="188">
        <f>1000*F21/SER_summary!F$3</f>
        <v>0.16302393038194088</v>
      </c>
      <c r="G69" s="188">
        <f>1000*G21/SER_summary!G$3</f>
        <v>0.16716350846843167</v>
      </c>
      <c r="H69" s="188">
        <f>1000*H21/SER_summary!H$3</f>
        <v>0.17155491624168517</v>
      </c>
      <c r="I69" s="188">
        <f>1000*I21/SER_summary!I$3</f>
        <v>0.17563200798188197</v>
      </c>
      <c r="J69" s="188">
        <f>1000*J21/SER_summary!J$3</f>
        <v>0.17920573072670759</v>
      </c>
      <c r="K69" s="188">
        <f>1000*K21/SER_summary!K$3</f>
        <v>0.18443565316543656</v>
      </c>
      <c r="L69" s="188">
        <f>1000*L21/SER_summary!L$3</f>
        <v>0.19019066158526179</v>
      </c>
      <c r="M69" s="188">
        <f>1000*M21/SER_summary!M$3</f>
        <v>0.19581840696787481</v>
      </c>
      <c r="N69" s="188">
        <f>1000*N21/SER_summary!N$3</f>
        <v>0.20259868457162136</v>
      </c>
      <c r="O69" s="188">
        <f>1000*O21/SER_summary!O$3</f>
        <v>0.21097972816134486</v>
      </c>
      <c r="P69" s="188">
        <f>1000*P21/SER_summary!P$3</f>
        <v>0.22154771887699773</v>
      </c>
      <c r="Q69" s="188">
        <f>1000*Q21/SER_summary!Q$3</f>
        <v>0.23393071676521712</v>
      </c>
      <c r="R69" s="188">
        <f>1000*R21/SER_summary!R$3</f>
        <v>0.23838676332034914</v>
      </c>
      <c r="S69" s="188">
        <f>1000*S21/SER_summary!S$3</f>
        <v>0.24263795661664136</v>
      </c>
      <c r="T69" s="188">
        <f>1000*T21/SER_summary!T$3</f>
        <v>0.24695223875546918</v>
      </c>
      <c r="U69" s="188">
        <f>1000*U21/SER_summary!U$3</f>
        <v>0.25125886246288276</v>
      </c>
      <c r="V69" s="188">
        <f>1000*V21/SER_summary!V$3</f>
        <v>0.25517116588797112</v>
      </c>
      <c r="W69" s="188">
        <f>1000*W21/SER_summary!W$3</f>
        <v>0.25769722036595533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176.88634797339392</v>
      </c>
      <c r="C70" s="188">
        <f>1000000*C22/SER_summary!C$8</f>
        <v>177.90895631463283</v>
      </c>
      <c r="D70" s="188">
        <f>1000000*D22/SER_summary!D$8</f>
        <v>180.41378511710727</v>
      </c>
      <c r="E70" s="188">
        <f>1000000*E22/SER_summary!E$8</f>
        <v>183.10524170924498</v>
      </c>
      <c r="F70" s="188">
        <f>1000000*F22/SER_summary!F$8</f>
        <v>186.55007869135511</v>
      </c>
      <c r="G70" s="188">
        <f>1000000*G22/SER_summary!G$8</f>
        <v>189.61770502542726</v>
      </c>
      <c r="H70" s="188">
        <f>1000000*H22/SER_summary!H$8</f>
        <v>192.86747146225608</v>
      </c>
      <c r="I70" s="188">
        <f>1000000*I22/SER_summary!I$8</f>
        <v>196.36775224166922</v>
      </c>
      <c r="J70" s="188">
        <f>1000000*J22/SER_summary!J$8</f>
        <v>200.24071983438532</v>
      </c>
      <c r="K70" s="188">
        <f>1000000*K22/SER_summary!K$8</f>
        <v>204.98411219210163</v>
      </c>
      <c r="L70" s="188">
        <f>1000000*L22/SER_summary!L$8</f>
        <v>210.77821273382156</v>
      </c>
      <c r="M70" s="188">
        <f>1000000*M22/SER_summary!M$8</f>
        <v>216.44742383352732</v>
      </c>
      <c r="N70" s="188">
        <f>1000000*N22/SER_summary!N$8</f>
        <v>223.00104399484457</v>
      </c>
      <c r="O70" s="188">
        <f>1000000*O22/SER_summary!O$8</f>
        <v>229.12901745022592</v>
      </c>
      <c r="P70" s="188">
        <f>1000000*P22/SER_summary!P$8</f>
        <v>238.08943997057798</v>
      </c>
      <c r="Q70" s="188">
        <f>1000000*Q22/SER_summary!Q$8</f>
        <v>247.8602342234249</v>
      </c>
      <c r="R70" s="188">
        <f>1000000*R22/SER_summary!R$8</f>
        <v>253.22082027778956</v>
      </c>
      <c r="S70" s="188">
        <f>1000000*S22/SER_summary!S$8</f>
        <v>258.65832152847736</v>
      </c>
      <c r="T70" s="188">
        <f>1000000*T22/SER_summary!T$8</f>
        <v>263.84788086607836</v>
      </c>
      <c r="U70" s="188">
        <f>1000000*U22/SER_summary!U$8</f>
        <v>268.59083205512621</v>
      </c>
      <c r="V70" s="188">
        <f>1000000*V22/SER_summary!V$8</f>
        <v>272.5169341940898</v>
      </c>
      <c r="W70" s="188">
        <f>1000000*W22/SER_summary!W$8</f>
        <v>275.11060061001928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3.1791213868196139E-2</v>
      </c>
      <c r="C71" s="188">
        <f>1000*C23/SER_summary!C$3</f>
        <v>3.3036959774136898E-2</v>
      </c>
      <c r="D71" s="188">
        <f>1000*D23/SER_summary!D$3</f>
        <v>3.4391021378877194E-2</v>
      </c>
      <c r="E71" s="188">
        <f>1000*E23/SER_summary!E$3</f>
        <v>3.6031675319899481E-2</v>
      </c>
      <c r="F71" s="188">
        <f>1000*F23/SER_summary!F$3</f>
        <v>3.7597373675222777E-2</v>
      </c>
      <c r="G71" s="188">
        <f>1000*G23/SER_summary!G$3</f>
        <v>3.8850264002394455E-2</v>
      </c>
      <c r="H71" s="188">
        <f>1000*H23/SER_summary!H$3</f>
        <v>3.9939808842607581E-2</v>
      </c>
      <c r="I71" s="188">
        <f>1000*I23/SER_summary!I$3</f>
        <v>4.0903240128707025E-2</v>
      </c>
      <c r="J71" s="188">
        <f>1000*J23/SER_summary!J$3</f>
        <v>4.2003078300432414E-2</v>
      </c>
      <c r="K71" s="188">
        <f>1000*K23/SER_summary!K$3</f>
        <v>4.287578839341917E-2</v>
      </c>
      <c r="L71" s="188">
        <f>1000*L23/SER_summary!L$3</f>
        <v>4.3721966792924463E-2</v>
      </c>
      <c r="M71" s="188">
        <f>1000*M23/SER_summary!M$3</f>
        <v>4.4262339477760565E-2</v>
      </c>
      <c r="N71" s="188">
        <f>1000*N23/SER_summary!N$3</f>
        <v>4.4933485987421758E-2</v>
      </c>
      <c r="O71" s="188">
        <f>1000*O23/SER_summary!O$3</f>
        <v>4.5896051264765633E-2</v>
      </c>
      <c r="P71" s="188">
        <f>1000*P23/SER_summary!P$3</f>
        <v>4.6908775589682816E-2</v>
      </c>
      <c r="Q71" s="188">
        <f>1000*Q23/SER_summary!Q$3</f>
        <v>4.7451959645992831E-2</v>
      </c>
      <c r="R71" s="188">
        <f>1000*R23/SER_summary!R$3</f>
        <v>4.8043641083246165E-2</v>
      </c>
      <c r="S71" s="188">
        <f>1000*S23/SER_summary!S$3</f>
        <v>4.8594314399680323E-2</v>
      </c>
      <c r="T71" s="188">
        <f>1000*T23/SER_summary!T$3</f>
        <v>4.9153550785944342E-2</v>
      </c>
      <c r="U71" s="188">
        <f>1000*U23/SER_summary!U$3</f>
        <v>4.9703679588462196E-2</v>
      </c>
      <c r="V71" s="188">
        <f>1000*V23/SER_summary!V$3</f>
        <v>5.0162101574839933E-2</v>
      </c>
      <c r="W71" s="188">
        <f>1000*W23/SER_summary!W$3</f>
        <v>5.0324662819315566E-2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128.81396382204505</v>
      </c>
      <c r="C72" s="188">
        <f>1000000*C24/SER_summary!C$8</f>
        <v>137.0932688699466</v>
      </c>
      <c r="D72" s="188">
        <f>1000000*D24/SER_summary!D$8</f>
        <v>143.61735511485514</v>
      </c>
      <c r="E72" s="188">
        <f>1000000*E24/SER_summary!E$8</f>
        <v>150.9729227657414</v>
      </c>
      <c r="F72" s="188">
        <f>1000000*F24/SER_summary!F$8</f>
        <v>158.08010692189049</v>
      </c>
      <c r="G72" s="188">
        <f>1000000*G24/SER_summary!G$8</f>
        <v>164.3709753949941</v>
      </c>
      <c r="H72" s="188">
        <f>1000000*H24/SER_summary!H$8</f>
        <v>169.87324532192935</v>
      </c>
      <c r="I72" s="188">
        <f>1000000*I24/SER_summary!I$8</f>
        <v>175.19381858938942</v>
      </c>
      <c r="J72" s="188">
        <f>1000000*J24/SER_summary!J$8</f>
        <v>179.9314523717548</v>
      </c>
      <c r="K72" s="188">
        <f>1000000*K24/SER_summary!K$8</f>
        <v>184.26663066499373</v>
      </c>
      <c r="L72" s="188">
        <f>1000000*L24/SER_summary!L$8</f>
        <v>188.74070065276373</v>
      </c>
      <c r="M72" s="188">
        <f>1000000*M24/SER_summary!M$8</f>
        <v>191.98348480928058</v>
      </c>
      <c r="N72" s="188">
        <f>1000000*N24/SER_summary!N$8</f>
        <v>194.89145011509294</v>
      </c>
      <c r="O72" s="188">
        <f>1000000*O24/SER_summary!O$8</f>
        <v>197.59297641942084</v>
      </c>
      <c r="P72" s="188">
        <f>1000000*P24/SER_summary!P$8</f>
        <v>199.61305695051664</v>
      </c>
      <c r="Q72" s="188">
        <f>1000000*Q24/SER_summary!Q$8</f>
        <v>200.97511419777629</v>
      </c>
      <c r="R72" s="188">
        <f>1000000*R24/SER_summary!R$8</f>
        <v>204.33736576794109</v>
      </c>
      <c r="S72" s="188">
        <f>1000000*S24/SER_summary!S$8</f>
        <v>207.70663264895899</v>
      </c>
      <c r="T72" s="188">
        <f>1000000*T24/SER_summary!T$8</f>
        <v>211.04581278082605</v>
      </c>
      <c r="U72" s="188">
        <f>1000000*U24/SER_summary!U$8</f>
        <v>214.33240325061402</v>
      </c>
      <c r="V72" s="188">
        <f>1000000*V24/SER_summary!V$8</f>
        <v>217.52451807344363</v>
      </c>
      <c r="W72" s="188">
        <f>1000000*W24/SER_summary!W$8</f>
        <v>220.55277689861731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0.16399380243775796</v>
      </c>
      <c r="C73" s="52">
        <f>1000*C25/SER_summary!C$3</f>
        <v>0.18647475878398034</v>
      </c>
      <c r="D73" s="52">
        <f>1000*D25/SER_summary!D$3</f>
        <v>0.21246810560179333</v>
      </c>
      <c r="E73" s="52">
        <f>1000*E25/SER_summary!E$3</f>
        <v>0.24279468876755431</v>
      </c>
      <c r="F73" s="52">
        <f>1000*F25/SER_summary!F$3</f>
        <v>0.28104702028423412</v>
      </c>
      <c r="G73" s="52">
        <f>1000*G25/SER_summary!G$3</f>
        <v>0.31410588230908804</v>
      </c>
      <c r="H73" s="52">
        <f>1000*H25/SER_summary!H$3</f>
        <v>0.34974036062363428</v>
      </c>
      <c r="I73" s="52">
        <f>1000*I25/SER_summary!I$3</f>
        <v>0.3890026027945151</v>
      </c>
      <c r="J73" s="52">
        <f>1000*J25/SER_summary!J$3</f>
        <v>0.42797994603207523</v>
      </c>
      <c r="K73" s="52">
        <f>1000*K25/SER_summary!K$3</f>
        <v>0.47275900578397695</v>
      </c>
      <c r="L73" s="52">
        <f>1000*L25/SER_summary!L$3</f>
        <v>0.5118112627093282</v>
      </c>
      <c r="M73" s="52">
        <f>1000*M25/SER_summary!M$3</f>
        <v>0.56830207517540976</v>
      </c>
      <c r="N73" s="52">
        <f>1000*N25/SER_summary!N$3</f>
        <v>0.63568928244867129</v>
      </c>
      <c r="O73" s="52">
        <f>1000*O25/SER_summary!O$3</f>
        <v>0.7003667136073316</v>
      </c>
      <c r="P73" s="52">
        <f>1000*P25/SER_summary!P$3</f>
        <v>0.79545566440655868</v>
      </c>
      <c r="Q73" s="52">
        <f>1000*Q25/SER_summary!Q$3</f>
        <v>0.86124275488200208</v>
      </c>
      <c r="R73" s="52">
        <f>1000*R25/SER_summary!R$3</f>
        <v>0.89201154037335317</v>
      </c>
      <c r="S73" s="52">
        <f>1000*S25/SER_summary!S$3</f>
        <v>0.93861630181825717</v>
      </c>
      <c r="T73" s="52">
        <f>1000*T25/SER_summary!T$3</f>
        <v>0.98169802890065161</v>
      </c>
      <c r="U73" s="52">
        <f>1000*U25/SER_summary!U$3</f>
        <v>1.0177346460803975</v>
      </c>
      <c r="V73" s="52">
        <f>1000*V25/SER_summary!V$3</f>
        <v>1.0521546143909584</v>
      </c>
      <c r="W73" s="52">
        <f>1000*W25/SER_summary!W$3</f>
        <v>1.0844560330276443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247.45685303456915</v>
      </c>
      <c r="C3" s="199">
        <f>'SER_se-appl'!C4</f>
        <v>253.57132164691683</v>
      </c>
      <c r="D3" s="199">
        <f>'SER_se-appl'!D4</f>
        <v>259.61756288001487</v>
      </c>
      <c r="E3" s="199">
        <f>'SER_se-appl'!E4</f>
        <v>265.10318384108729</v>
      </c>
      <c r="F3" s="199">
        <f>'SER_se-appl'!F4</f>
        <v>270.65504904745359</v>
      </c>
      <c r="G3" s="199">
        <f>'SER_se-appl'!G4</f>
        <v>276.90136546034392</v>
      </c>
      <c r="H3" s="199">
        <f>'SER_se-appl'!H4</f>
        <v>282.80542778619025</v>
      </c>
      <c r="I3" s="199">
        <f>'SER_se-appl'!I4</f>
        <v>289.82901115890763</v>
      </c>
      <c r="J3" s="199">
        <f>'SER_se-appl'!J4</f>
        <v>295.54875084139746</v>
      </c>
      <c r="K3" s="199">
        <f>'SER_se-appl'!K4</f>
        <v>299.54786526903649</v>
      </c>
      <c r="L3" s="199">
        <f>'SER_se-appl'!L4</f>
        <v>304.0242336324842</v>
      </c>
      <c r="M3" s="199">
        <f>'SER_se-appl'!M4</f>
        <v>309.13275930422924</v>
      </c>
      <c r="N3" s="199">
        <f>'SER_se-appl'!N4</f>
        <v>312.83256896984659</v>
      </c>
      <c r="O3" s="199">
        <f>'SER_se-appl'!O4</f>
        <v>315.49900284083111</v>
      </c>
      <c r="P3" s="199">
        <f>'SER_se-appl'!P4</f>
        <v>319.09569622256703</v>
      </c>
      <c r="Q3" s="199">
        <f>'SER_se-appl'!Q4</f>
        <v>318.46955881622063</v>
      </c>
      <c r="R3" s="199">
        <f>'SER_se-appl'!R4</f>
        <v>318.89048247899836</v>
      </c>
      <c r="S3" s="199">
        <f>'SER_se-appl'!S4</f>
        <v>319.2639909098952</v>
      </c>
      <c r="T3" s="199">
        <f>'SER_se-appl'!T4</f>
        <v>319.773081292521</v>
      </c>
      <c r="U3" s="199">
        <f>'SER_se-appl'!U4</f>
        <v>321.57777325649573</v>
      </c>
      <c r="V3" s="199">
        <f>'SER_se-appl'!V4</f>
        <v>323.08365530729935</v>
      </c>
      <c r="W3" s="199">
        <f>'SER_se-appl'!W4</f>
        <v>324.51276869547621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328.53004575251583</v>
      </c>
      <c r="C5" s="59">
        <f>'SER_se-appl'!C12</f>
        <v>336.64777063397747</v>
      </c>
      <c r="D5" s="59">
        <f>'SER_se-appl'!D12</f>
        <v>344.67491510212011</v>
      </c>
      <c r="E5" s="59">
        <f>'SER_se-appl'!E12</f>
        <v>351.95776576162626</v>
      </c>
      <c r="F5" s="59">
        <f>'SER_se-appl'!F12</f>
        <v>359.32856397510102</v>
      </c>
      <c r="G5" s="59">
        <f>'SER_se-appl'!G12</f>
        <v>367.62133336801372</v>
      </c>
      <c r="H5" s="59">
        <f>'SER_se-appl'!H12</f>
        <v>375.45971748326406</v>
      </c>
      <c r="I5" s="59">
        <f>'SER_se-appl'!I12</f>
        <v>384.78440636736252</v>
      </c>
      <c r="J5" s="59">
        <f>'SER_se-appl'!J12</f>
        <v>392.37807902801973</v>
      </c>
      <c r="K5" s="59">
        <f>'SER_se-appl'!K12</f>
        <v>397.68740560261347</v>
      </c>
      <c r="L5" s="59">
        <f>'SER_se-appl'!L12</f>
        <v>403.63034670614041</v>
      </c>
      <c r="M5" s="59">
        <f>'SER_se-appl'!M12</f>
        <v>410.41255601691626</v>
      </c>
      <c r="N5" s="59">
        <f>'SER_se-appl'!N12</f>
        <v>415.32451793599506</v>
      </c>
      <c r="O5" s="59">
        <f>'SER_se-appl'!O12</f>
        <v>418.86454372589805</v>
      </c>
      <c r="P5" s="59">
        <f>'SER_se-appl'!P12</f>
        <v>423.63960582973232</v>
      </c>
      <c r="Q5" s="59">
        <f>'SER_se-appl'!Q12</f>
        <v>422.80832979824743</v>
      </c>
      <c r="R5" s="59">
        <f>'SER_se-appl'!R12</f>
        <v>423.36715881629607</v>
      </c>
      <c r="S5" s="59">
        <f>'SER_se-appl'!S12</f>
        <v>423.86303816005505</v>
      </c>
      <c r="T5" s="59">
        <f>'SER_se-appl'!T12</f>
        <v>424.5389195698653</v>
      </c>
      <c r="U5" s="59">
        <f>'SER_se-appl'!U12</f>
        <v>426.93487476861247</v>
      </c>
      <c r="V5" s="59">
        <f>'SER_se-appl'!V12</f>
        <v>428.93412228583242</v>
      </c>
      <c r="W5" s="59">
        <f>'SER_se-appl'!W12</f>
        <v>430.83144976351463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529.10665844097832</v>
      </c>
      <c r="C6" s="202">
        <f>'SER_se-appl'!C68</f>
        <v>538.45886337730531</v>
      </c>
      <c r="D6" s="202">
        <f>'SER_se-appl'!D68</f>
        <v>547.92842758752272</v>
      </c>
      <c r="E6" s="202">
        <f>'SER_se-appl'!E68</f>
        <v>556.35187705179612</v>
      </c>
      <c r="F6" s="202">
        <f>'SER_se-appl'!F68</f>
        <v>565.26380725546505</v>
      </c>
      <c r="G6" s="202">
        <f>'SER_se-appl'!G68</f>
        <v>576.12602419644031</v>
      </c>
      <c r="H6" s="202">
        <f>'SER_se-appl'!H68</f>
        <v>585.81790231971149</v>
      </c>
      <c r="I6" s="202">
        <f>'SER_se-appl'!I68</f>
        <v>596.3778810576207</v>
      </c>
      <c r="J6" s="202">
        <f>'SER_se-appl'!J68</f>
        <v>606.25569439692458</v>
      </c>
      <c r="K6" s="202">
        <f>'SER_se-appl'!K68</f>
        <v>617.36518018968138</v>
      </c>
      <c r="L6" s="202">
        <f>'SER_se-appl'!L68</f>
        <v>626.86271913146209</v>
      </c>
      <c r="M6" s="202">
        <f>'SER_se-appl'!M68</f>
        <v>637.65841174064667</v>
      </c>
      <c r="N6" s="202">
        <f>'SER_se-appl'!N68</f>
        <v>649.48350637653107</v>
      </c>
      <c r="O6" s="202">
        <f>'SER_se-appl'!O68</f>
        <v>660.66730198949165</v>
      </c>
      <c r="P6" s="202">
        <f>'SER_se-appl'!P68</f>
        <v>671.21665554213257</v>
      </c>
      <c r="Q6" s="202">
        <f>'SER_se-appl'!Q68</f>
        <v>681.03138720563766</v>
      </c>
      <c r="R6" s="202">
        <f>'SER_se-appl'!R68</f>
        <v>687.94827607373747</v>
      </c>
      <c r="S6" s="202">
        <f>'SER_se-appl'!S68</f>
        <v>694.88241804214135</v>
      </c>
      <c r="T6" s="202">
        <f>'SER_se-appl'!T68</f>
        <v>701.74256618307641</v>
      </c>
      <c r="U6" s="202">
        <f>'SER_se-appl'!U68</f>
        <v>708.4733779718855</v>
      </c>
      <c r="V6" s="202">
        <f>'SER_se-appl'!V68</f>
        <v>714.97184113818389</v>
      </c>
      <c r="W6" s="202">
        <f>'SER_se-appl'!W68</f>
        <v>721.11615462511213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489.60988340118496</v>
      </c>
      <c r="C8" s="34">
        <f>'SER_se-appl'!C20</f>
        <v>505.64884795383324</v>
      </c>
      <c r="D8" s="34">
        <f>'SER_se-appl'!D20</f>
        <v>522.05615847565082</v>
      </c>
      <c r="E8" s="34">
        <f>'SER_se-appl'!E20</f>
        <v>537.71215007667263</v>
      </c>
      <c r="F8" s="34">
        <f>'SER_se-appl'!F20</f>
        <v>554.07800876875331</v>
      </c>
      <c r="G8" s="34">
        <f>'SER_se-appl'!G20</f>
        <v>572.62676018099023</v>
      </c>
      <c r="H8" s="34">
        <f>'SER_se-appl'!H20</f>
        <v>590.97660252443518</v>
      </c>
      <c r="I8" s="34">
        <f>'SER_se-appl'!I20</f>
        <v>612.56935986392295</v>
      </c>
      <c r="J8" s="34">
        <f>'SER_se-appl'!J20</f>
        <v>631.73629288896382</v>
      </c>
      <c r="K8" s="34">
        <f>'SER_se-appl'!K20</f>
        <v>647.50905642362989</v>
      </c>
      <c r="L8" s="34">
        <f>'SER_se-appl'!L20</f>
        <v>665.31744104546522</v>
      </c>
      <c r="M8" s="34">
        <f>'SER_se-appl'!M20</f>
        <v>685.69695350152267</v>
      </c>
      <c r="N8" s="34">
        <f>'SER_se-appl'!N20</f>
        <v>703.69532048513361</v>
      </c>
      <c r="O8" s="34">
        <f>'SER_se-appl'!O20</f>
        <v>720.30037961545202</v>
      </c>
      <c r="P8" s="34">
        <f>'SER_se-appl'!P20</f>
        <v>740.82311972973162</v>
      </c>
      <c r="Q8" s="34">
        <f>'SER_se-appl'!Q20</f>
        <v>751.40782121410882</v>
      </c>
      <c r="R8" s="34">
        <f>'SER_se-appl'!R20</f>
        <v>765.54929964583039</v>
      </c>
      <c r="S8" s="34">
        <f>'SER_se-appl'!S20</f>
        <v>780.43116260996953</v>
      </c>
      <c r="T8" s="34">
        <f>'SER_se-appl'!T20</f>
        <v>796.57695829541353</v>
      </c>
      <c r="U8" s="34">
        <f>'SER_se-appl'!U20</f>
        <v>812.58991995777808</v>
      </c>
      <c r="V8" s="34">
        <f>'SER_se-appl'!V20</f>
        <v>827.93156263427227</v>
      </c>
      <c r="W8" s="34">
        <f>'SER_se-appl'!W20</f>
        <v>842.69397254198941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37.274974199442966</v>
      </c>
      <c r="D9" s="36">
        <f>'SER_se-appl'!D28</f>
        <v>38.243993321987546</v>
      </c>
      <c r="E9" s="36">
        <f>'SER_se-appl'!E28</f>
        <v>38.110337951689132</v>
      </c>
      <c r="F9" s="36">
        <f>'SER_se-appl'!F28</f>
        <v>39.455339573847255</v>
      </c>
      <c r="G9" s="36">
        <f>'SER_se-appl'!G28</f>
        <v>42.291331982774068</v>
      </c>
      <c r="H9" s="36">
        <f>'SER_se-appl'!H28</f>
        <v>42.763995915585269</v>
      </c>
      <c r="I9" s="36">
        <f>'SER_se-appl'!I28</f>
        <v>46.697479754696019</v>
      </c>
      <c r="J9" s="36">
        <f>'SER_se-appl'!J28</f>
        <v>44.981757433446774</v>
      </c>
      <c r="K9" s="36">
        <f>'SER_se-appl'!K28</f>
        <v>42.317775593159467</v>
      </c>
      <c r="L9" s="36">
        <f>'SER_se-appl'!L28</f>
        <v>45.104238122047832</v>
      </c>
      <c r="M9" s="36">
        <f>'SER_se-appl'!M28</f>
        <v>48.447445394391593</v>
      </c>
      <c r="N9" s="36">
        <f>'SER_se-appl'!N28</f>
        <v>46.860218085819156</v>
      </c>
      <c r="O9" s="36">
        <f>'SER_se-appl'!O28</f>
        <v>46.28328484348981</v>
      </c>
      <c r="P9" s="36">
        <f>'SER_se-appl'!P28</f>
        <v>51.040432079454945</v>
      </c>
      <c r="Q9" s="36">
        <f>'SER_se-appl'!Q28</f>
        <v>41.965604503387453</v>
      </c>
      <c r="R9" s="36">
        <f>'SER_se-appl'!R28</f>
        <v>46.410008942228956</v>
      </c>
      <c r="S9" s="36">
        <f>'SER_se-appl'!S28</f>
        <v>48.063128037255865</v>
      </c>
      <c r="T9" s="36">
        <f>'SER_se-appl'!T28</f>
        <v>50.265612560709542</v>
      </c>
      <c r="U9" s="36">
        <f>'SER_se-appl'!U28</f>
        <v>53.287935861807568</v>
      </c>
      <c r="V9" s="36">
        <f>'SER_se-appl'!V28</f>
        <v>53.585635998481735</v>
      </c>
      <c r="W9" s="36">
        <f>'SER_se-appl'!W28</f>
        <v>52.872747859406331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21.236009646794685</v>
      </c>
      <c r="D10" s="38">
        <f>'SER_se-appl'!D36</f>
        <v>21.83668280016991</v>
      </c>
      <c r="E10" s="38">
        <f>'SER_se-appl'!E36</f>
        <v>22.454346350667379</v>
      </c>
      <c r="F10" s="38">
        <f>'SER_se-appl'!F36</f>
        <v>23.089480881766576</v>
      </c>
      <c r="G10" s="38">
        <f>'SER_se-appl'!G36</f>
        <v>23.742580570537143</v>
      </c>
      <c r="H10" s="38">
        <f>'SER_se-appl'!H36</f>
        <v>24.414153572140322</v>
      </c>
      <c r="I10" s="38">
        <f>'SER_se-appl'!I36</f>
        <v>25.104722415208244</v>
      </c>
      <c r="J10" s="38">
        <f>'SER_se-appl'!J36</f>
        <v>25.814824408405912</v>
      </c>
      <c r="K10" s="38">
        <f>'SER_se-appl'!K36</f>
        <v>26.545012058493398</v>
      </c>
      <c r="L10" s="38">
        <f>'SER_se-appl'!L36</f>
        <v>27.295853500212502</v>
      </c>
      <c r="M10" s="38">
        <f>'SER_se-appl'!M36</f>
        <v>28.067932938334138</v>
      </c>
      <c r="N10" s="38">
        <f>'SER_se-appl'!N36</f>
        <v>28.86185110220822</v>
      </c>
      <c r="O10" s="38">
        <f>'SER_se-appl'!O36</f>
        <v>29.6782257131714</v>
      </c>
      <c r="P10" s="38">
        <f>'SER_se-appl'!P36</f>
        <v>30.517691965175345</v>
      </c>
      <c r="Q10" s="38">
        <f>'SER_se-appl'!Q36</f>
        <v>31.380903019010248</v>
      </c>
      <c r="R10" s="38">
        <f>'SER_se-appl'!R36</f>
        <v>32.268530510507389</v>
      </c>
      <c r="S10" s="38">
        <f>'SER_se-appl'!S36</f>
        <v>33.18126507311672</v>
      </c>
      <c r="T10" s="38">
        <f>'SER_se-appl'!T36</f>
        <v>34.119816875265542</v>
      </c>
      <c r="U10" s="38">
        <f>'SER_se-appl'!U36</f>
        <v>37.274974199443022</v>
      </c>
      <c r="V10" s="38">
        <f>'SER_se-appl'!V36</f>
        <v>38.243993321987546</v>
      </c>
      <c r="W10" s="38">
        <f>'SER_se-appl'!W36</f>
        <v>38.110337951689189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8760.0000000000018</v>
      </c>
      <c r="C12" s="205">
        <f>'SER_se-appl'!C44</f>
        <v>8760</v>
      </c>
      <c r="D12" s="205">
        <f>'SER_se-appl'!D44</f>
        <v>8760.0000000000018</v>
      </c>
      <c r="E12" s="205">
        <f>'SER_se-appl'!E44</f>
        <v>8759.9999999999982</v>
      </c>
      <c r="F12" s="205">
        <f>'SER_se-appl'!F44</f>
        <v>8760</v>
      </c>
      <c r="G12" s="205">
        <f>'SER_se-appl'!G44</f>
        <v>8759.9999999999982</v>
      </c>
      <c r="H12" s="205">
        <f>'SER_se-appl'!H44</f>
        <v>8759.9999999999982</v>
      </c>
      <c r="I12" s="205">
        <f>'SER_se-appl'!I44</f>
        <v>8760</v>
      </c>
      <c r="J12" s="205">
        <f>'SER_se-appl'!J44</f>
        <v>8759.9999999999982</v>
      </c>
      <c r="K12" s="205">
        <f>'SER_se-appl'!K44</f>
        <v>8760</v>
      </c>
      <c r="L12" s="205">
        <f>'SER_se-appl'!L44</f>
        <v>8760.0000000000036</v>
      </c>
      <c r="M12" s="205">
        <f>'SER_se-appl'!M44</f>
        <v>8760</v>
      </c>
      <c r="N12" s="205">
        <f>'SER_se-appl'!N44</f>
        <v>8759.9999999999982</v>
      </c>
      <c r="O12" s="205">
        <f>'SER_se-appl'!O44</f>
        <v>8759.9999999999982</v>
      </c>
      <c r="P12" s="205">
        <f>'SER_se-appl'!P44</f>
        <v>8759.9999999999982</v>
      </c>
      <c r="Q12" s="205">
        <f>'SER_se-appl'!Q44</f>
        <v>8759.9999999999964</v>
      </c>
      <c r="R12" s="205">
        <f>'SER_se-appl'!R44</f>
        <v>8759.9999999999945</v>
      </c>
      <c r="S12" s="205">
        <f>'SER_se-appl'!S44</f>
        <v>8759.9999999999982</v>
      </c>
      <c r="T12" s="205">
        <f>'SER_se-appl'!T44</f>
        <v>8759.9999999999982</v>
      </c>
      <c r="U12" s="205">
        <f>'SER_se-appl'!U44</f>
        <v>8760</v>
      </c>
      <c r="V12" s="205">
        <f>'SER_se-appl'!V44</f>
        <v>8759.9999999999982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0.67100370497079864</v>
      </c>
      <c r="C14" s="59">
        <f>'SER_se-appl'!C52</f>
        <v>0.66577383098223553</v>
      </c>
      <c r="D14" s="59">
        <f>'SER_se-appl'!D52</f>
        <v>0.66022574297089931</v>
      </c>
      <c r="E14" s="59">
        <f>'SER_se-appl'!E52</f>
        <v>0.65454679741092037</v>
      </c>
      <c r="F14" s="59">
        <f>'SER_se-appl'!F52</f>
        <v>0.64851619860095955</v>
      </c>
      <c r="G14" s="59">
        <f>'SER_se-appl'!G52</f>
        <v>0.64199118681044454</v>
      </c>
      <c r="H14" s="59">
        <f>'SER_se-appl'!H52</f>
        <v>0.63532078237858813</v>
      </c>
      <c r="I14" s="59">
        <f>'SER_se-appl'!I52</f>
        <v>0.62814830707960823</v>
      </c>
      <c r="J14" s="59">
        <f>'SER_se-appl'!J52</f>
        <v>0.62111055426886086</v>
      </c>
      <c r="K14" s="59">
        <f>'SER_se-appl'!K52</f>
        <v>0.61418045301041824</v>
      </c>
      <c r="L14" s="59">
        <f>'SER_se-appl'!L52</f>
        <v>0.6066733288577022</v>
      </c>
      <c r="M14" s="59">
        <f>'SER_se-appl'!M52</f>
        <v>0.59853343947517612</v>
      </c>
      <c r="N14" s="59">
        <f>'SER_se-appl'!N52</f>
        <v>0.59020503028166615</v>
      </c>
      <c r="O14" s="59">
        <f>'SER_se-appl'!O52</f>
        <v>0.58151370675317149</v>
      </c>
      <c r="P14" s="59">
        <f>'SER_se-appl'!P52</f>
        <v>0.57184987151087463</v>
      </c>
      <c r="Q14" s="59">
        <f>'SER_se-appl'!Q52</f>
        <v>0.56268822051264078</v>
      </c>
      <c r="R14" s="59">
        <f>'SER_se-appl'!R52</f>
        <v>0.5530240299509912</v>
      </c>
      <c r="S14" s="59">
        <f>'SER_se-appl'!S52</f>
        <v>0.5431139329989646</v>
      </c>
      <c r="T14" s="59">
        <f>'SER_se-appl'!T52</f>
        <v>0.53295405440590649</v>
      </c>
      <c r="U14" s="59">
        <f>'SER_se-appl'!U52</f>
        <v>0.52540016099485443</v>
      </c>
      <c r="V14" s="59">
        <f>'SER_se-appl'!V52</f>
        <v>0.51807920079900172</v>
      </c>
      <c r="W14" s="59">
        <f>'SER_se-appl'!W52</f>
        <v>0.51125493215990381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0.60005852488532974</v>
      </c>
      <c r="D15" s="63">
        <f>'SER_se-appl'!D60</f>
        <v>0.59302487949891269</v>
      </c>
      <c r="E15" s="63">
        <f>'SER_se-appl'!E60</f>
        <v>0.58644980482286257</v>
      </c>
      <c r="F15" s="63">
        <f>'SER_se-appl'!F60</f>
        <v>0.57948875052003612</v>
      </c>
      <c r="G15" s="63">
        <f>'SER_se-appl'!G60</f>
        <v>0.572791817745956</v>
      </c>
      <c r="H15" s="63">
        <f>'SER_se-appl'!H60</f>
        <v>0.56637297561464217</v>
      </c>
      <c r="I15" s="63">
        <f>'SER_se-appl'!I60</f>
        <v>0.56041676712403143</v>
      </c>
      <c r="J15" s="63">
        <f>'SER_se-appl'!J60</f>
        <v>0.55390266862588089</v>
      </c>
      <c r="K15" s="63">
        <f>'SER_se-appl'!K60</f>
        <v>0.54636917206193569</v>
      </c>
      <c r="L15" s="63">
        <f>'SER_se-appl'!L60</f>
        <v>0.53783327116330526</v>
      </c>
      <c r="M15" s="63">
        <f>'SER_se-appl'!M60</f>
        <v>0.52873574849491178</v>
      </c>
      <c r="N15" s="63">
        <f>'SER_se-appl'!N60</f>
        <v>0.51810196223399829</v>
      </c>
      <c r="O15" s="63">
        <f>'SER_se-appl'!O60</f>
        <v>0.50675368612475924</v>
      </c>
      <c r="P15" s="63">
        <f>'SER_se-appl'!P60</f>
        <v>0.49475573483221474</v>
      </c>
      <c r="Q15" s="63">
        <f>'SER_se-appl'!Q60</f>
        <v>0.48195245603974807</v>
      </c>
      <c r="R15" s="63">
        <f>'SER_se-appl'!R60</f>
        <v>0.47858496584671462</v>
      </c>
      <c r="S15" s="63">
        <f>'SER_se-appl'!S60</f>
        <v>0.4735570087280967</v>
      </c>
      <c r="T15" s="63">
        <f>'SER_se-appl'!T60</f>
        <v>0.46891709352136191</v>
      </c>
      <c r="U15" s="63">
        <f>'SER_se-appl'!U60</f>
        <v>0.46470408041741779</v>
      </c>
      <c r="V15" s="63">
        <f>'SER_se-appl'!V60</f>
        <v>0.46055041782555411</v>
      </c>
      <c r="W15" s="63">
        <f>'SER_se-appl'!W60</f>
        <v>0.45859405294498923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572.87292269982902</v>
      </c>
      <c r="C3" s="199">
        <f>'SER_se-appl'!C5</f>
        <v>579.34942156057161</v>
      </c>
      <c r="D3" s="199">
        <f>'SER_se-appl'!D5</f>
        <v>587.64152689356411</v>
      </c>
      <c r="E3" s="199">
        <f>'SER_se-appl'!E5</f>
        <v>596.87580275329344</v>
      </c>
      <c r="F3" s="199">
        <f>'SER_se-appl'!F5</f>
        <v>604.49182864006457</v>
      </c>
      <c r="G3" s="199">
        <f>'SER_se-appl'!G5</f>
        <v>613.4422779703151</v>
      </c>
      <c r="H3" s="199">
        <f>'SER_se-appl'!H5</f>
        <v>622.05904874281271</v>
      </c>
      <c r="I3" s="199">
        <f>'SER_se-appl'!I5</f>
        <v>625.96231664700849</v>
      </c>
      <c r="J3" s="199">
        <f>'SER_se-appl'!J5</f>
        <v>633.01128649697716</v>
      </c>
      <c r="K3" s="199">
        <f>'SER_se-appl'!K5</f>
        <v>644.69038610669338</v>
      </c>
      <c r="L3" s="199">
        <f>'SER_se-appl'!L5</f>
        <v>655.7508821401168</v>
      </c>
      <c r="M3" s="199">
        <f>'SER_se-appl'!M5</f>
        <v>664.06910669506578</v>
      </c>
      <c r="N3" s="199">
        <f>'SER_se-appl'!N5</f>
        <v>671.55134650128059</v>
      </c>
      <c r="O3" s="199">
        <f>'SER_se-appl'!O5</f>
        <v>680.96106712960852</v>
      </c>
      <c r="P3" s="199">
        <f>'SER_se-appl'!P5</f>
        <v>693.82052938521076</v>
      </c>
      <c r="Q3" s="199">
        <f>'SER_se-appl'!Q5</f>
        <v>706.31646968081611</v>
      </c>
      <c r="R3" s="199">
        <f>'SER_se-appl'!R5</f>
        <v>698.46597447376359</v>
      </c>
      <c r="S3" s="199">
        <f>'SER_se-appl'!S5</f>
        <v>692.94186511799785</v>
      </c>
      <c r="T3" s="199">
        <f>'SER_se-appl'!T5</f>
        <v>674.92462796908274</v>
      </c>
      <c r="U3" s="199">
        <f>'SER_se-appl'!U5</f>
        <v>654.9178965785386</v>
      </c>
      <c r="V3" s="199">
        <f>'SER_se-appl'!V5</f>
        <v>630.6908088427341</v>
      </c>
      <c r="W3" s="199">
        <f>'SER_se-appl'!W5</f>
        <v>607.35045232743812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1652.2491442465123</v>
      </c>
      <c r="C5" s="59">
        <f>'SER_se-appl'!C13</f>
        <v>1676.8612119964457</v>
      </c>
      <c r="D5" s="59">
        <f>'SER_se-appl'!D13</f>
        <v>1707.6183752020211</v>
      </c>
      <c r="E5" s="59">
        <f>'SER_se-appl'!E13</f>
        <v>1741.2307878925903</v>
      </c>
      <c r="F5" s="59">
        <f>'SER_se-appl'!F13</f>
        <v>1766.3545559196068</v>
      </c>
      <c r="G5" s="59">
        <f>'SER_se-appl'!G13</f>
        <v>1797.216767695375</v>
      </c>
      <c r="H5" s="59">
        <f>'SER_se-appl'!H13</f>
        <v>1825.3880562203028</v>
      </c>
      <c r="I5" s="59">
        <f>'SER_se-appl'!I13</f>
        <v>1843.9854837693815</v>
      </c>
      <c r="J5" s="59">
        <f>'SER_se-appl'!J13</f>
        <v>1870.7996088105331</v>
      </c>
      <c r="K5" s="59">
        <f>'SER_se-appl'!K13</f>
        <v>1909.9160040229365</v>
      </c>
      <c r="L5" s="59">
        <f>'SER_se-appl'!L13</f>
        <v>1947.2940978293339</v>
      </c>
      <c r="M5" s="59">
        <f>'SER_se-appl'!M13</f>
        <v>1979.4687957847279</v>
      </c>
      <c r="N5" s="59">
        <f>'SER_se-appl'!N13</f>
        <v>2012.7004783859159</v>
      </c>
      <c r="O5" s="59">
        <f>'SER_se-appl'!O13</f>
        <v>2053.6423244768598</v>
      </c>
      <c r="P5" s="59">
        <f>'SER_se-appl'!P13</f>
        <v>2109.7076711190912</v>
      </c>
      <c r="Q5" s="59">
        <f>'SER_se-appl'!Q13</f>
        <v>2164.8897249391871</v>
      </c>
      <c r="R5" s="59">
        <f>'SER_se-appl'!R13</f>
        <v>2135.7396969238625</v>
      </c>
      <c r="S5" s="59">
        <f>'SER_se-appl'!S13</f>
        <v>2096.221408089119</v>
      </c>
      <c r="T5" s="59">
        <f>'SER_se-appl'!T13</f>
        <v>2051.9380020470458</v>
      </c>
      <c r="U5" s="59">
        <f>'SER_se-appl'!U13</f>
        <v>1995.2734444774187</v>
      </c>
      <c r="V5" s="59">
        <f>'SER_se-appl'!V13</f>
        <v>1924.8583468473428</v>
      </c>
      <c r="W5" s="59">
        <f>'SER_se-appl'!W13</f>
        <v>1850.8443432452427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0.14952511537127425</v>
      </c>
      <c r="C6" s="202">
        <f>'SER_se-appl'!C69</f>
        <v>0.15213603568163411</v>
      </c>
      <c r="D6" s="202">
        <f>'SER_se-appl'!D69</f>
        <v>0.15555792561234719</v>
      </c>
      <c r="E6" s="202">
        <f>'SER_se-appl'!E69</f>
        <v>0.15957060734047168</v>
      </c>
      <c r="F6" s="202">
        <f>'SER_se-appl'!F69</f>
        <v>0.16302393038194088</v>
      </c>
      <c r="G6" s="202">
        <f>'SER_se-appl'!G69</f>
        <v>0.16716350846843167</v>
      </c>
      <c r="H6" s="202">
        <f>'SER_se-appl'!H69</f>
        <v>0.17155491624168517</v>
      </c>
      <c r="I6" s="202">
        <f>'SER_se-appl'!I69</f>
        <v>0.17563200798188197</v>
      </c>
      <c r="J6" s="202">
        <f>'SER_se-appl'!J69</f>
        <v>0.17920573072670759</v>
      </c>
      <c r="K6" s="202">
        <f>'SER_se-appl'!K69</f>
        <v>0.18443565316543656</v>
      </c>
      <c r="L6" s="202">
        <f>'SER_se-appl'!L69</f>
        <v>0.19019066158526179</v>
      </c>
      <c r="M6" s="202">
        <f>'SER_se-appl'!M69</f>
        <v>0.19581840696787481</v>
      </c>
      <c r="N6" s="202">
        <f>'SER_se-appl'!N69</f>
        <v>0.20259868457162136</v>
      </c>
      <c r="O6" s="202">
        <f>'SER_se-appl'!O69</f>
        <v>0.21097972816134486</v>
      </c>
      <c r="P6" s="202">
        <f>'SER_se-appl'!P69</f>
        <v>0.22154771887699773</v>
      </c>
      <c r="Q6" s="202">
        <f>'SER_se-appl'!Q69</f>
        <v>0.23393071676521712</v>
      </c>
      <c r="R6" s="202">
        <f>'SER_se-appl'!R69</f>
        <v>0.23838676332034914</v>
      </c>
      <c r="S6" s="202">
        <f>'SER_se-appl'!S69</f>
        <v>0.24263795661664136</v>
      </c>
      <c r="T6" s="202">
        <f>'SER_se-appl'!T69</f>
        <v>0.24695223875546918</v>
      </c>
      <c r="U6" s="202">
        <f>'SER_se-appl'!U69</f>
        <v>0.25125886246288276</v>
      </c>
      <c r="V6" s="202">
        <f>'SER_se-appl'!V69</f>
        <v>0.25517116588797112</v>
      </c>
      <c r="W6" s="202">
        <f>'SER_se-appl'!W69</f>
        <v>0.25769722036595533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9053.0013997063379</v>
      </c>
      <c r="C8" s="34">
        <f>'SER_se-appl'!C21</f>
        <v>9277.1512426816062</v>
      </c>
      <c r="D8" s="34">
        <f>'SER_se-appl'!D21</f>
        <v>9554.9956228981355</v>
      </c>
      <c r="E8" s="34">
        <f>'SER_se-appl'!E21</f>
        <v>9871.6900947243867</v>
      </c>
      <c r="F8" s="34">
        <f>'SER_se-appl'!F21</f>
        <v>10155.125960119083</v>
      </c>
      <c r="G8" s="34">
        <f>'SER_se-appl'!G21</f>
        <v>10493.333185832762</v>
      </c>
      <c r="H8" s="34">
        <f>'SER_se-appl'!H21</f>
        <v>10847.354736417325</v>
      </c>
      <c r="I8" s="34">
        <f>'SER_se-appl'!I21</f>
        <v>11178.110564087396</v>
      </c>
      <c r="J8" s="34">
        <f>'SER_se-appl'!J21</f>
        <v>11470.455793330402</v>
      </c>
      <c r="K8" s="34">
        <f>'SER_se-appl'!K21</f>
        <v>11868.475963653458</v>
      </c>
      <c r="L8" s="34">
        <f>'SER_se-appl'!L21</f>
        <v>12297.510599986173</v>
      </c>
      <c r="M8" s="34">
        <f>'SER_se-appl'!M21</f>
        <v>12724.029633029993</v>
      </c>
      <c r="N8" s="34">
        <f>'SER_se-appl'!N21</f>
        <v>13225.030888604089</v>
      </c>
      <c r="O8" s="34">
        <f>'SER_se-appl'!O21</f>
        <v>13840.344010289078</v>
      </c>
      <c r="P8" s="34">
        <f>'SER_se-appl'!P21</f>
        <v>14658.921936261055</v>
      </c>
      <c r="Q8" s="34">
        <f>'SER_se-appl'!Q21</f>
        <v>15546.603366182466</v>
      </c>
      <c r="R8" s="34">
        <f>'SER_se-appl'!R21</f>
        <v>15885.710343365883</v>
      </c>
      <c r="S8" s="34">
        <f>'SER_se-appl'!S21</f>
        <v>16210.597236173791</v>
      </c>
      <c r="T8" s="34">
        <f>'SER_se-appl'!T21</f>
        <v>16552.276072125558</v>
      </c>
      <c r="U8" s="34">
        <f>'SER_se-appl'!U21</f>
        <v>16878.976404305602</v>
      </c>
      <c r="V8" s="34">
        <f>'SER_se-appl'!V21</f>
        <v>17178.178004550049</v>
      </c>
      <c r="W8" s="34">
        <f>'SER_se-appl'!W21</f>
        <v>17434.938890583362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1359.7984393495899</v>
      </c>
      <c r="D9" s="36">
        <f>'SER_se-appl'!D29</f>
        <v>1462.3768358594998</v>
      </c>
      <c r="E9" s="36">
        <f>'SER_se-appl'!E29</f>
        <v>1552.2149866678719</v>
      </c>
      <c r="F9" s="36">
        <f>'SER_se-appl'!F29</f>
        <v>1572.1392144016299</v>
      </c>
      <c r="G9" s="36">
        <f>'SER_se-appl'!G29</f>
        <v>1682.3826576809715</v>
      </c>
      <c r="H9" s="36">
        <f>'SER_se-appl'!H29</f>
        <v>1756.0568547503899</v>
      </c>
      <c r="I9" s="36">
        <f>'SER_se-appl'!I29</f>
        <v>1793.1415753774418</v>
      </c>
      <c r="J9" s="36">
        <f>'SER_se-appl'!J29</f>
        <v>1652.1436685925964</v>
      </c>
      <c r="K9" s="36">
        <f>'SER_se-appl'!K29</f>
        <v>1860.3970061825567</v>
      </c>
      <c r="L9" s="36">
        <f>'SER_se-appl'!L29</f>
        <v>1981.2496230005872</v>
      </c>
      <c r="M9" s="36">
        <f>'SER_se-appl'!M29</f>
        <v>1998.6582474454499</v>
      </c>
      <c r="N9" s="36">
        <f>'SER_se-appl'!N29</f>
        <v>2183.3839132550675</v>
      </c>
      <c r="O9" s="36">
        <f>'SER_se-appl'!O29</f>
        <v>2371.3699764353787</v>
      </c>
      <c r="P9" s="36">
        <f>'SER_se-appl'!P29</f>
        <v>2611.7195013494184</v>
      </c>
      <c r="Q9" s="36">
        <f>'SER_se-appl'!Q29</f>
        <v>2539.8250985140075</v>
      </c>
      <c r="R9" s="36">
        <f>'SER_se-appl'!R29</f>
        <v>2199.5039833659739</v>
      </c>
      <c r="S9" s="36">
        <f>'SER_se-appl'!S29</f>
        <v>2306.1365158084955</v>
      </c>
      <c r="T9" s="36">
        <f>'SER_se-appl'!T29</f>
        <v>2340.3370833972167</v>
      </c>
      <c r="U9" s="36">
        <f>'SER_se-appl'!U29</f>
        <v>2510.0842454351114</v>
      </c>
      <c r="V9" s="36">
        <f>'SER_se-appl'!V29</f>
        <v>2670.5715766798257</v>
      </c>
      <c r="W9" s="36">
        <f>'SER_se-appl'!W29</f>
        <v>2868.4803873827314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1135.6485963743216</v>
      </c>
      <c r="D10" s="38">
        <f>'SER_se-appl'!D37</f>
        <v>1184.5324556429696</v>
      </c>
      <c r="E10" s="38">
        <f>'SER_se-appl'!E37</f>
        <v>1235.5205148416208</v>
      </c>
      <c r="F10" s="38">
        <f>'SER_se-appl'!F37</f>
        <v>1288.7033490069334</v>
      </c>
      <c r="G10" s="38">
        <f>'SER_se-appl'!G37</f>
        <v>1344.1754319672928</v>
      </c>
      <c r="H10" s="38">
        <f>'SER_se-appl'!H37</f>
        <v>1402.0353041658273</v>
      </c>
      <c r="I10" s="38">
        <f>'SER_se-appl'!I37</f>
        <v>1462.3857477073707</v>
      </c>
      <c r="J10" s="38">
        <f>'SER_se-appl'!J37</f>
        <v>1359.7984393495899</v>
      </c>
      <c r="K10" s="38">
        <f>'SER_se-appl'!K37</f>
        <v>1462.3768358595007</v>
      </c>
      <c r="L10" s="38">
        <f>'SER_se-appl'!L37</f>
        <v>1552.2149866678719</v>
      </c>
      <c r="M10" s="38">
        <f>'SER_se-appl'!M37</f>
        <v>1572.1392144016299</v>
      </c>
      <c r="N10" s="38">
        <f>'SER_se-appl'!N37</f>
        <v>1682.3826576809715</v>
      </c>
      <c r="O10" s="38">
        <f>'SER_se-appl'!O37</f>
        <v>1756.0568547503899</v>
      </c>
      <c r="P10" s="38">
        <f>'SER_se-appl'!P37</f>
        <v>1793.1415753774399</v>
      </c>
      <c r="Q10" s="38">
        <f>'SER_se-appl'!Q37</f>
        <v>1652.1436685925983</v>
      </c>
      <c r="R10" s="38">
        <f>'SER_se-appl'!R37</f>
        <v>1860.3970061825548</v>
      </c>
      <c r="S10" s="38">
        <f>'SER_se-appl'!S37</f>
        <v>1981.2496230005891</v>
      </c>
      <c r="T10" s="38">
        <f>'SER_se-appl'!T37</f>
        <v>1998.6582474454517</v>
      </c>
      <c r="U10" s="38">
        <f>'SER_se-appl'!U37</f>
        <v>2183.3839132550675</v>
      </c>
      <c r="V10" s="38">
        <f>'SER_se-appl'!V37</f>
        <v>2371.3699764353805</v>
      </c>
      <c r="W10" s="38">
        <f>'SER_se-appl'!W37</f>
        <v>2611.7195013494202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4032.3894941627386</v>
      </c>
      <c r="C12" s="205">
        <f>'SER_se-appl'!C45</f>
        <v>4018.1225044423832</v>
      </c>
      <c r="D12" s="205">
        <f>'SER_se-appl'!D45</f>
        <v>4002.2238323381926</v>
      </c>
      <c r="E12" s="205">
        <f>'SER_se-appl'!E45</f>
        <v>3986.6430310609735</v>
      </c>
      <c r="F12" s="205">
        <f>'SER_se-appl'!F45</f>
        <v>3980.0842608429984</v>
      </c>
      <c r="G12" s="205">
        <f>'SER_se-appl'!G45</f>
        <v>3969.6567609611916</v>
      </c>
      <c r="H12" s="205">
        <f>'SER_se-appl'!H45</f>
        <v>3963.292469360711</v>
      </c>
      <c r="I12" s="205">
        <f>'SER_se-appl'!I45</f>
        <v>3947.9387482614134</v>
      </c>
      <c r="J12" s="205">
        <f>'SER_se-appl'!J45</f>
        <v>3935.1736162915936</v>
      </c>
      <c r="K12" s="205">
        <f>'SER_se-appl'!K45</f>
        <v>3925.6957764781382</v>
      </c>
      <c r="L12" s="205">
        <f>'SER_se-appl'!L45</f>
        <v>3916.4000793669306</v>
      </c>
      <c r="M12" s="205">
        <f>'SER_se-appl'!M45</f>
        <v>3901.6142751580528</v>
      </c>
      <c r="N12" s="205">
        <f>'SER_se-appl'!N45</f>
        <v>3880.4294248855313</v>
      </c>
      <c r="O12" s="205">
        <f>'SER_se-appl'!O45</f>
        <v>3856.3566383132279</v>
      </c>
      <c r="P12" s="205">
        <f>'SER_se-appl'!P45</f>
        <v>3824.7634339167671</v>
      </c>
      <c r="Q12" s="205">
        <f>'SER_se-appl'!Q45</f>
        <v>3794.4013719306836</v>
      </c>
      <c r="R12" s="205">
        <f>'SER_se-appl'!R45</f>
        <v>3803.440697773131</v>
      </c>
      <c r="S12" s="205">
        <f>'SER_se-appl'!S45</f>
        <v>3844.4955576847619</v>
      </c>
      <c r="T12" s="205">
        <f>'SER_se-appl'!T45</f>
        <v>3825.3462899219048</v>
      </c>
      <c r="U12" s="205">
        <f>'SER_se-appl'!U45</f>
        <v>3817.3690720387899</v>
      </c>
      <c r="V12" s="205">
        <f>'SER_se-appl'!V45</f>
        <v>3810.6357898255869</v>
      </c>
      <c r="W12" s="205">
        <f>'SER_se-appl'!W45</f>
        <v>3816.3586183498796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182.50843795297635</v>
      </c>
      <c r="C14" s="59">
        <f>'SER_se-appl'!C53</f>
        <v>180.75173812858318</v>
      </c>
      <c r="D14" s="59">
        <f>'SER_se-appl'!D53</f>
        <v>178.7147208220365</v>
      </c>
      <c r="E14" s="59">
        <f>'SER_se-appl'!E53</f>
        <v>176.38628960031232</v>
      </c>
      <c r="F14" s="59">
        <f>'SER_se-appl'!F53</f>
        <v>173.93723749526922</v>
      </c>
      <c r="G14" s="59">
        <f>'SER_se-appl'!G53</f>
        <v>171.27224837593357</v>
      </c>
      <c r="H14" s="59">
        <f>'SER_se-appl'!H53</f>
        <v>168.27955760421585</v>
      </c>
      <c r="I14" s="59">
        <f>'SER_se-appl'!I53</f>
        <v>164.96396892813596</v>
      </c>
      <c r="J14" s="59">
        <f>'SER_se-appl'!J53</f>
        <v>163.09723366863295</v>
      </c>
      <c r="K14" s="59">
        <f>'SER_se-appl'!K53</f>
        <v>160.92344205540351</v>
      </c>
      <c r="L14" s="59">
        <f>'SER_se-appl'!L53</f>
        <v>158.34864153981889</v>
      </c>
      <c r="M14" s="59">
        <f>'SER_se-appl'!M53</f>
        <v>155.56933242644089</v>
      </c>
      <c r="N14" s="59">
        <f>'SER_se-appl'!N53</f>
        <v>152.18871663432142</v>
      </c>
      <c r="O14" s="59">
        <f>'SER_se-appl'!O53</f>
        <v>148.38087282730527</v>
      </c>
      <c r="P14" s="59">
        <f>'SER_se-appl'!P53</f>
        <v>143.91970161873985</v>
      </c>
      <c r="Q14" s="59">
        <f>'SER_se-appl'!Q53</f>
        <v>139.25162133153364</v>
      </c>
      <c r="R14" s="59">
        <f>'SER_se-appl'!R53</f>
        <v>134.44407903457591</v>
      </c>
      <c r="S14" s="59">
        <f>'SER_se-appl'!S53</f>
        <v>129.31179385614621</v>
      </c>
      <c r="T14" s="59">
        <f>'SER_se-appl'!T53</f>
        <v>123.96712047973631</v>
      </c>
      <c r="U14" s="59">
        <f>'SER_se-appl'!U53</f>
        <v>118.2105713453365</v>
      </c>
      <c r="V14" s="59">
        <f>'SER_se-appl'!V53</f>
        <v>112.05253236620894</v>
      </c>
      <c r="W14" s="59">
        <f>'SER_se-appl'!W53</f>
        <v>106.15720277889169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170.52344849624251</v>
      </c>
      <c r="D15" s="63">
        <f>'SER_se-appl'!D61</f>
        <v>168.86504581730301</v>
      </c>
      <c r="E15" s="63">
        <f>'SER_se-appl'!E61</f>
        <v>166.92618879385387</v>
      </c>
      <c r="F15" s="63">
        <f>'SER_se-appl'!F61</f>
        <v>165.58521080979634</v>
      </c>
      <c r="G15" s="63">
        <f>'SER_se-appl'!G61</f>
        <v>164.16334829531917</v>
      </c>
      <c r="H15" s="63">
        <f>'SER_se-appl'!H61</f>
        <v>161.7570416782066</v>
      </c>
      <c r="I15" s="63">
        <f>'SER_se-appl'!I61</f>
        <v>159.21507256768163</v>
      </c>
      <c r="J15" s="63">
        <f>'SER_se-appl'!J61</f>
        <v>156.5793877957496</v>
      </c>
      <c r="K15" s="63">
        <f>'SER_se-appl'!K61</f>
        <v>153.76326969530191</v>
      </c>
      <c r="L15" s="63">
        <f>'SER_se-appl'!L61</f>
        <v>149.64465975294206</v>
      </c>
      <c r="M15" s="63">
        <f>'SER_se-appl'!M61</f>
        <v>146.34703134879948</v>
      </c>
      <c r="N15" s="63">
        <f>'SER_se-appl'!N61</f>
        <v>141.71454269752471</v>
      </c>
      <c r="O15" s="63">
        <f>'SER_se-appl'!O61</f>
        <v>137.05006437782205</v>
      </c>
      <c r="P15" s="63">
        <f>'SER_se-appl'!P61</f>
        <v>130.7799373223659</v>
      </c>
      <c r="Q15" s="63">
        <f>'SER_se-appl'!Q61</f>
        <v>123.58083168112195</v>
      </c>
      <c r="R15" s="63">
        <f>'SER_se-appl'!R61</f>
        <v>116.80392512565358</v>
      </c>
      <c r="S15" s="63">
        <f>'SER_se-appl'!S61</f>
        <v>111.42668056437066</v>
      </c>
      <c r="T15" s="63">
        <f>'SER_se-appl'!T61</f>
        <v>106.05920698913009</v>
      </c>
      <c r="U15" s="63">
        <f>'SER_se-appl'!U61</f>
        <v>100.69490523678955</v>
      </c>
      <c r="V15" s="63">
        <f>'SER_se-appl'!V61</f>
        <v>95.328398057967064</v>
      </c>
      <c r="W15" s="63">
        <f>'SER_se-appl'!W61</f>
        <v>93.271165549816885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1493.4357347996131</v>
      </c>
      <c r="C3" s="199">
        <f>'SER_se-appl'!C6</f>
        <v>1517.8125024512256</v>
      </c>
      <c r="D3" s="199">
        <f>'SER_se-appl'!D6</f>
        <v>1544.1833371280397</v>
      </c>
      <c r="E3" s="199">
        <f>'SER_se-appl'!E6</f>
        <v>1565.5355693745362</v>
      </c>
      <c r="F3" s="199">
        <f>'SER_se-appl'!F6</f>
        <v>1590.8484370115088</v>
      </c>
      <c r="G3" s="199">
        <f>'SER_se-appl'!G6</f>
        <v>1604.3519562033807</v>
      </c>
      <c r="H3" s="199">
        <f>'SER_se-appl'!H6</f>
        <v>1616.0659127924546</v>
      </c>
      <c r="I3" s="199">
        <f>'SER_se-appl'!I6</f>
        <v>1645.4181153265786</v>
      </c>
      <c r="J3" s="199">
        <f>'SER_se-appl'!J6</f>
        <v>1665.0950569363197</v>
      </c>
      <c r="K3" s="199">
        <f>'SER_se-appl'!K6</f>
        <v>1672.7307542688206</v>
      </c>
      <c r="L3" s="199">
        <f>'SER_se-appl'!L6</f>
        <v>1694.6566163172954</v>
      </c>
      <c r="M3" s="199">
        <f>'SER_se-appl'!M6</f>
        <v>1711.4820492092799</v>
      </c>
      <c r="N3" s="199">
        <f>'SER_se-appl'!N6</f>
        <v>1716.9143685637468</v>
      </c>
      <c r="O3" s="199">
        <f>'SER_se-appl'!O6</f>
        <v>1709.3369845342725</v>
      </c>
      <c r="P3" s="199">
        <f>'SER_se-appl'!P6</f>
        <v>1720.0717912338077</v>
      </c>
      <c r="Q3" s="199">
        <f>'SER_se-appl'!Q6</f>
        <v>1708.4030967585761</v>
      </c>
      <c r="R3" s="199">
        <f>'SER_se-appl'!R6</f>
        <v>1658.7940344393805</v>
      </c>
      <c r="S3" s="199">
        <f>'SER_se-appl'!S6</f>
        <v>1625.3341469453098</v>
      </c>
      <c r="T3" s="199">
        <f>'SER_se-appl'!T6</f>
        <v>1547.6096093111432</v>
      </c>
      <c r="U3" s="199">
        <f>'SER_se-appl'!U6</f>
        <v>1475.6285028096418</v>
      </c>
      <c r="V3" s="199">
        <f>'SER_se-appl'!V6</f>
        <v>1288.2494070161351</v>
      </c>
      <c r="W3" s="199">
        <f>'SER_se-appl'!W6</f>
        <v>1262.5626554372357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6989.0254473619916</v>
      </c>
      <c r="C5" s="59">
        <f>'SER_se-appl'!C14</f>
        <v>7055.6930712893291</v>
      </c>
      <c r="D5" s="59">
        <f>'SER_se-appl'!D14</f>
        <v>7139.3293054412761</v>
      </c>
      <c r="E5" s="59">
        <f>'SER_se-appl'!E14</f>
        <v>7204.0351666253264</v>
      </c>
      <c r="F5" s="59">
        <f>'SER_se-appl'!F14</f>
        <v>7272.0432211056805</v>
      </c>
      <c r="G5" s="59">
        <f>'SER_se-appl'!G14</f>
        <v>7298.2194488195564</v>
      </c>
      <c r="H5" s="59">
        <f>'SER_se-appl'!H14</f>
        <v>7310.5108977601176</v>
      </c>
      <c r="I5" s="59">
        <f>'SER_se-appl'!I14</f>
        <v>7402.5985131134876</v>
      </c>
      <c r="J5" s="59">
        <f>'SER_se-appl'!J14</f>
        <v>7466.4253034097765</v>
      </c>
      <c r="K5" s="59">
        <f>'SER_se-appl'!K14</f>
        <v>7486.4885015040882</v>
      </c>
      <c r="L5" s="59">
        <f>'SER_se-appl'!L14</f>
        <v>7566.5587044351269</v>
      </c>
      <c r="M5" s="59">
        <f>'SER_se-appl'!M14</f>
        <v>7623.408004971222</v>
      </c>
      <c r="N5" s="59">
        <f>'SER_se-appl'!N14</f>
        <v>7628.2209295423145</v>
      </c>
      <c r="O5" s="59">
        <f>'SER_se-appl'!O14</f>
        <v>7574.5102722522743</v>
      </c>
      <c r="P5" s="59">
        <f>'SER_se-appl'!P14</f>
        <v>7598.1482002333987</v>
      </c>
      <c r="Q5" s="59">
        <f>'SER_se-appl'!Q14</f>
        <v>7521.8497852896098</v>
      </c>
      <c r="R5" s="59">
        <f>'SER_se-appl'!R14</f>
        <v>7273.2933894189337</v>
      </c>
      <c r="S5" s="59">
        <f>'SER_se-appl'!S14</f>
        <v>7022.8344215685702</v>
      </c>
      <c r="T5" s="59">
        <f>'SER_se-appl'!T14</f>
        <v>6738.0904087123145</v>
      </c>
      <c r="U5" s="59">
        <f>'SER_se-appl'!U14</f>
        <v>6436.036862132155</v>
      </c>
      <c r="V5" s="59">
        <f>'SER_se-appl'!V14</f>
        <v>6064.5432280870109</v>
      </c>
      <c r="W5" s="59">
        <f>'SER_se-appl'!W14</f>
        <v>5688.2562913034108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176.88634797339392</v>
      </c>
      <c r="C6" s="202">
        <f>'SER_se-appl'!C70</f>
        <v>177.90895631463283</v>
      </c>
      <c r="D6" s="202">
        <f>'SER_se-appl'!D70</f>
        <v>180.41378511710727</v>
      </c>
      <c r="E6" s="202">
        <f>'SER_se-appl'!E70</f>
        <v>183.10524170924498</v>
      </c>
      <c r="F6" s="202">
        <f>'SER_se-appl'!F70</f>
        <v>186.55007869135511</v>
      </c>
      <c r="G6" s="202">
        <f>'SER_se-appl'!G70</f>
        <v>189.61770502542726</v>
      </c>
      <c r="H6" s="202">
        <f>'SER_se-appl'!H70</f>
        <v>192.86747146225608</v>
      </c>
      <c r="I6" s="202">
        <f>'SER_se-appl'!I70</f>
        <v>196.36775224166922</v>
      </c>
      <c r="J6" s="202">
        <f>'SER_se-appl'!J70</f>
        <v>200.24071983438532</v>
      </c>
      <c r="K6" s="202">
        <f>'SER_se-appl'!K70</f>
        <v>204.98411219210163</v>
      </c>
      <c r="L6" s="202">
        <f>'SER_se-appl'!L70</f>
        <v>210.77821273382156</v>
      </c>
      <c r="M6" s="202">
        <f>'SER_se-appl'!M70</f>
        <v>216.44742383352732</v>
      </c>
      <c r="N6" s="202">
        <f>'SER_se-appl'!N70</f>
        <v>223.00104399484457</v>
      </c>
      <c r="O6" s="202">
        <f>'SER_se-appl'!O70</f>
        <v>229.12901745022592</v>
      </c>
      <c r="P6" s="202">
        <f>'SER_se-appl'!P70</f>
        <v>238.08943997057798</v>
      </c>
      <c r="Q6" s="202">
        <f>'SER_se-appl'!Q70</f>
        <v>247.8602342234249</v>
      </c>
      <c r="R6" s="202">
        <f>'SER_se-appl'!R70</f>
        <v>253.22082027778956</v>
      </c>
      <c r="S6" s="202">
        <f>'SER_se-appl'!S70</f>
        <v>258.65832152847736</v>
      </c>
      <c r="T6" s="202">
        <f>'SER_se-appl'!T70</f>
        <v>263.84788086607836</v>
      </c>
      <c r="U6" s="202">
        <f>'SER_se-appl'!U70</f>
        <v>268.59083205512621</v>
      </c>
      <c r="V6" s="202">
        <f>'SER_se-appl'!V70</f>
        <v>272.5169341940898</v>
      </c>
      <c r="W6" s="202">
        <f>'SER_se-appl'!W70</f>
        <v>275.11060061001928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163.68212878231171</v>
      </c>
      <c r="C8" s="34">
        <f>'SER_se-appl'!C22</f>
        <v>167.06839634307801</v>
      </c>
      <c r="D8" s="34">
        <f>'SER_se-appl'!D22</f>
        <v>171.89494622314311</v>
      </c>
      <c r="E8" s="34">
        <f>'SER_se-appl'!E22</f>
        <v>176.97057792189412</v>
      </c>
      <c r="F8" s="34">
        <f>'SER_se-appl'!F22</f>
        <v>182.85850749727251</v>
      </c>
      <c r="G8" s="34">
        <f>'SER_se-appl'!G22</f>
        <v>188.46600837570003</v>
      </c>
      <c r="H8" s="34">
        <f>'SER_se-appl'!H22</f>
        <v>194.56585838518401</v>
      </c>
      <c r="I8" s="34">
        <f>'SER_se-appl'!I22</f>
        <v>201.69907722814202</v>
      </c>
      <c r="J8" s="34">
        <f>'SER_se-appl'!J22</f>
        <v>208.65672884017681</v>
      </c>
      <c r="K8" s="34">
        <f>'SER_se-appl'!K22</f>
        <v>214.99280057641587</v>
      </c>
      <c r="L8" s="34">
        <f>'SER_se-appl'!L22</f>
        <v>223.70834449766295</v>
      </c>
      <c r="M8" s="34">
        <f>'SER_se-appl'!M22</f>
        <v>232.75367560942328</v>
      </c>
      <c r="N8" s="34">
        <f>'SER_se-appl'!N22</f>
        <v>241.61474399550968</v>
      </c>
      <c r="O8" s="34">
        <f>'SER_se-appl'!O22</f>
        <v>249.81063502509824</v>
      </c>
      <c r="P8" s="34">
        <f>'SER_se-appl'!P22</f>
        <v>262.7797749614046</v>
      </c>
      <c r="Q8" s="34">
        <f>'SER_se-appl'!Q22</f>
        <v>273.47361966329743</v>
      </c>
      <c r="R8" s="34">
        <f>'SER_se-appl'!R22</f>
        <v>281.78429739771082</v>
      </c>
      <c r="S8" s="34">
        <f>'SER_se-appl'!S22</f>
        <v>290.50240637542032</v>
      </c>
      <c r="T8" s="34">
        <f>'SER_se-appl'!T22</f>
        <v>299.50462252301099</v>
      </c>
      <c r="U8" s="34">
        <f>'SER_se-appl'!U22</f>
        <v>308.06267321695896</v>
      </c>
      <c r="V8" s="34">
        <f>'SER_se-appl'!V22</f>
        <v>315.57238787535249</v>
      </c>
      <c r="W8" s="34">
        <f>'SER_se-appl'!W22</f>
        <v>321.49334532242415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28.94786680081171</v>
      </c>
      <c r="D9" s="36">
        <f>'SER_se-appl'!D30</f>
        <v>31.05219734502802</v>
      </c>
      <c r="E9" s="36">
        <f>'SER_se-appl'!E30</f>
        <v>31.982578267219878</v>
      </c>
      <c r="F9" s="36">
        <f>'SER_se-appl'!F30</f>
        <v>33.493874275339351</v>
      </c>
      <c r="G9" s="36">
        <f>'SER_se-appl'!G30</f>
        <v>33.930602529447384</v>
      </c>
      <c r="H9" s="36">
        <f>'SER_se-appl'!H30</f>
        <v>35.158739167337643</v>
      </c>
      <c r="I9" s="36">
        <f>'SER_se-appl'!I30</f>
        <v>36.081085643769711</v>
      </c>
      <c r="J9" s="36">
        <f>'SER_se-appl'!J30</f>
        <v>38.009848957062815</v>
      </c>
      <c r="K9" s="36">
        <f>'SER_se-appl'!K30</f>
        <v>38.318650003458941</v>
      </c>
      <c r="L9" s="36">
        <f>'SER_se-appl'!L30</f>
        <v>42.209418196586427</v>
      </c>
      <c r="M9" s="36">
        <f>'SER_se-appl'!M30</f>
        <v>42.975933641207718</v>
      </c>
      <c r="N9" s="36">
        <f>'SER_se-appl'!N30</f>
        <v>44.019807553424044</v>
      </c>
      <c r="O9" s="36">
        <f>'SER_se-appl'!O30</f>
        <v>44.276976673358263</v>
      </c>
      <c r="P9" s="36">
        <f>'SER_se-appl'!P30</f>
        <v>50.978988893369177</v>
      </c>
      <c r="Q9" s="36">
        <f>'SER_se-appl'!Q30</f>
        <v>49.01249470535177</v>
      </c>
      <c r="R9" s="36">
        <f>'SER_se-appl'!R30</f>
        <v>50.520095930999815</v>
      </c>
      <c r="S9" s="36">
        <f>'SER_se-appl'!S30</f>
        <v>51.694042618917223</v>
      </c>
      <c r="T9" s="36">
        <f>'SER_se-appl'!T30</f>
        <v>53.022023701014717</v>
      </c>
      <c r="U9" s="36">
        <f>'SER_se-appl'!U30</f>
        <v>52.835027367306225</v>
      </c>
      <c r="V9" s="36">
        <f>'SER_se-appl'!V30</f>
        <v>58.48870355176274</v>
      </c>
      <c r="W9" s="36">
        <f>'SER_se-appl'!W30</f>
        <v>54.933452152423456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25.56159924004541</v>
      </c>
      <c r="D10" s="38">
        <f>'SER_se-appl'!D38</f>
        <v>26.225647464962918</v>
      </c>
      <c r="E10" s="38">
        <f>'SER_se-appl'!E38</f>
        <v>26.906946568468868</v>
      </c>
      <c r="F10" s="38">
        <f>'SER_se-appl'!F38</f>
        <v>27.605944699960958</v>
      </c>
      <c r="G10" s="38">
        <f>'SER_se-appl'!G38</f>
        <v>28.323101651019869</v>
      </c>
      <c r="H10" s="38">
        <f>'SER_se-appl'!H38</f>
        <v>29.058889157853656</v>
      </c>
      <c r="I10" s="38">
        <f>'SER_se-appl'!I38</f>
        <v>28.94786680081171</v>
      </c>
      <c r="J10" s="38">
        <f>'SER_se-appl'!J38</f>
        <v>31.05219734502802</v>
      </c>
      <c r="K10" s="38">
        <f>'SER_se-appl'!K38</f>
        <v>31.982578267219878</v>
      </c>
      <c r="L10" s="38">
        <f>'SER_se-appl'!L38</f>
        <v>33.493874275339351</v>
      </c>
      <c r="M10" s="38">
        <f>'SER_se-appl'!M38</f>
        <v>33.930602529447413</v>
      </c>
      <c r="N10" s="38">
        <f>'SER_se-appl'!N38</f>
        <v>35.158739167337671</v>
      </c>
      <c r="O10" s="38">
        <f>'SER_se-appl'!O38</f>
        <v>36.081085643769711</v>
      </c>
      <c r="P10" s="38">
        <f>'SER_se-appl'!P38</f>
        <v>38.009848957062843</v>
      </c>
      <c r="Q10" s="38">
        <f>'SER_se-appl'!Q38</f>
        <v>38.31865000345897</v>
      </c>
      <c r="R10" s="38">
        <f>'SER_se-appl'!R38</f>
        <v>42.209418196586398</v>
      </c>
      <c r="S10" s="38">
        <f>'SER_se-appl'!S38</f>
        <v>42.975933641207746</v>
      </c>
      <c r="T10" s="38">
        <f>'SER_se-appl'!T38</f>
        <v>44.019807553424016</v>
      </c>
      <c r="U10" s="38">
        <f>'SER_se-appl'!U38</f>
        <v>44.276976673358263</v>
      </c>
      <c r="V10" s="38">
        <f>'SER_se-appl'!V38</f>
        <v>50.978988893369205</v>
      </c>
      <c r="W10" s="38">
        <f>'SER_se-appl'!W38</f>
        <v>49.012494705351799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2485.1329740508104</v>
      </c>
      <c r="C12" s="205">
        <f>'SER_se-appl'!C46</f>
        <v>2501.8320985839127</v>
      </c>
      <c r="D12" s="205">
        <f>'SER_se-appl'!D46</f>
        <v>2515.4816989757946</v>
      </c>
      <c r="E12" s="205">
        <f>'SER_se-appl'!E46</f>
        <v>2527.3583832815834</v>
      </c>
      <c r="F12" s="205">
        <f>'SER_se-appl'!F46</f>
        <v>2544.2048073568476</v>
      </c>
      <c r="G12" s="205">
        <f>'SER_se-appl'!G46</f>
        <v>2556.598000579886</v>
      </c>
      <c r="H12" s="205">
        <f>'SER_se-appl'!H46</f>
        <v>2570.9347579982186</v>
      </c>
      <c r="I12" s="205">
        <f>'SER_se-appl'!I46</f>
        <v>2585.0669393117655</v>
      </c>
      <c r="J12" s="205">
        <f>'SER_se-appl'!J46</f>
        <v>2593.6180602149384</v>
      </c>
      <c r="K12" s="205">
        <f>'SER_se-appl'!K46</f>
        <v>2598.5291593299003</v>
      </c>
      <c r="L12" s="205">
        <f>'SER_se-appl'!L46</f>
        <v>2604.731849396454</v>
      </c>
      <c r="M12" s="205">
        <f>'SER_se-appl'!M46</f>
        <v>2610.9761171544515</v>
      </c>
      <c r="N12" s="205">
        <f>'SER_se-appl'!N46</f>
        <v>2617.6108808105037</v>
      </c>
      <c r="O12" s="205">
        <f>'SER_se-appl'!O46</f>
        <v>2624.5378797568665</v>
      </c>
      <c r="P12" s="205">
        <f>'SER_se-appl'!P46</f>
        <v>2632.8039944567931</v>
      </c>
      <c r="Q12" s="205">
        <f>'SER_se-appl'!Q46</f>
        <v>2641.4683332495247</v>
      </c>
      <c r="R12" s="205">
        <f>'SER_se-appl'!R46</f>
        <v>2652.4125437584225</v>
      </c>
      <c r="S12" s="205">
        <f>'SER_se-appl'!S46</f>
        <v>2691.5964401666752</v>
      </c>
      <c r="T12" s="205">
        <f>'SER_se-appl'!T46</f>
        <v>2671.1870373565148</v>
      </c>
      <c r="U12" s="205">
        <f>'SER_se-appl'!U46</f>
        <v>2666.479365376224</v>
      </c>
      <c r="V12" s="205">
        <f>'SER_se-appl'!V46</f>
        <v>2470.4812943222528</v>
      </c>
      <c r="W12" s="205">
        <f>'SER_se-appl'!W46</f>
        <v>2581.3892572288514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42.698769250838701</v>
      </c>
      <c r="C14" s="59">
        <f>'SER_se-appl'!C54</f>
        <v>42.232362467886112</v>
      </c>
      <c r="D14" s="59">
        <f>'SER_se-appl'!D54</f>
        <v>41.533096011871415</v>
      </c>
      <c r="E14" s="59">
        <f>'SER_se-appl'!E54</f>
        <v>40.707530320688811</v>
      </c>
      <c r="F14" s="59">
        <f>'SER_se-appl'!F54</f>
        <v>39.768689576634266</v>
      </c>
      <c r="G14" s="59">
        <f>'SER_se-appl'!G54</f>
        <v>38.724327594771495</v>
      </c>
      <c r="H14" s="59">
        <f>'SER_se-appl'!H54</f>
        <v>37.573451778407211</v>
      </c>
      <c r="I14" s="59">
        <f>'SER_se-appl'!I54</f>
        <v>36.701201685421701</v>
      </c>
      <c r="J14" s="59">
        <f>'SER_se-appl'!J54</f>
        <v>35.783295103455671</v>
      </c>
      <c r="K14" s="59">
        <f>'SER_se-appl'!K54</f>
        <v>34.822042791349801</v>
      </c>
      <c r="L14" s="59">
        <f>'SER_se-appl'!L54</f>
        <v>33.823319024714223</v>
      </c>
      <c r="M14" s="59">
        <f>'SER_se-appl'!M54</f>
        <v>32.753115434206187</v>
      </c>
      <c r="N14" s="59">
        <f>'SER_se-appl'!N54</f>
        <v>31.571835407875945</v>
      </c>
      <c r="O14" s="59">
        <f>'SER_se-appl'!O54</f>
        <v>30.32100803671257</v>
      </c>
      <c r="P14" s="59">
        <f>'SER_se-appl'!P54</f>
        <v>28.914509122132273</v>
      </c>
      <c r="Q14" s="59">
        <f>'SER_se-appl'!Q54</f>
        <v>27.504845968508999</v>
      </c>
      <c r="R14" s="59">
        <f>'SER_se-appl'!R54</f>
        <v>25.811563868491209</v>
      </c>
      <c r="S14" s="59">
        <f>'SER_se-appl'!S54</f>
        <v>24.174789149570291</v>
      </c>
      <c r="T14" s="59">
        <f>'SER_se-appl'!T54</f>
        <v>22.497450463204874</v>
      </c>
      <c r="U14" s="59">
        <f>'SER_se-appl'!U54</f>
        <v>20.891972386409353</v>
      </c>
      <c r="V14" s="59">
        <f>'SER_se-appl'!V54</f>
        <v>19.217597803526576</v>
      </c>
      <c r="W14" s="59">
        <f>'SER_se-appl'!W54</f>
        <v>17.693231832213154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40.006970445503654</v>
      </c>
      <c r="D15" s="63">
        <f>'SER_se-appl'!D62</f>
        <v>38.755360541495889</v>
      </c>
      <c r="E15" s="63">
        <f>'SER_se-appl'!E62</f>
        <v>37.945638835490975</v>
      </c>
      <c r="F15" s="63">
        <f>'SER_se-appl'!F62</f>
        <v>37.223162269207776</v>
      </c>
      <c r="G15" s="63">
        <f>'SER_se-appl'!G62</f>
        <v>36.413671360729133</v>
      </c>
      <c r="H15" s="63">
        <f>'SER_se-appl'!H62</f>
        <v>35.640363717637264</v>
      </c>
      <c r="I15" s="63">
        <f>'SER_se-appl'!I62</f>
        <v>34.649846161979305</v>
      </c>
      <c r="J15" s="63">
        <f>'SER_se-appl'!J62</f>
        <v>33.340461190468716</v>
      </c>
      <c r="K15" s="63">
        <f>'SER_se-appl'!K62</f>
        <v>32.19483363685044</v>
      </c>
      <c r="L15" s="63">
        <f>'SER_se-appl'!L62</f>
        <v>31.434172201258715</v>
      </c>
      <c r="M15" s="63">
        <f>'SER_se-appl'!M62</f>
        <v>30.072345161937445</v>
      </c>
      <c r="N15" s="63">
        <f>'SER_se-appl'!N62</f>
        <v>28.575390176841008</v>
      </c>
      <c r="O15" s="63">
        <f>'SER_se-appl'!O62</f>
        <v>27.022924768567531</v>
      </c>
      <c r="P15" s="63">
        <f>'SER_se-appl'!P62</f>
        <v>25.322271979340165</v>
      </c>
      <c r="Q15" s="63">
        <f>'SER_se-appl'!Q62</f>
        <v>23.61365513149234</v>
      </c>
      <c r="R15" s="63">
        <f>'SER_se-appl'!R62</f>
        <v>21.343224005521531</v>
      </c>
      <c r="S15" s="63">
        <f>'SER_se-appl'!S62</f>
        <v>20.155671514134294</v>
      </c>
      <c r="T15" s="63">
        <f>'SER_se-appl'!T62</f>
        <v>18.353489655161294</v>
      </c>
      <c r="U15" s="63">
        <f>'SER_se-appl'!U62</f>
        <v>16.928918325820518</v>
      </c>
      <c r="V15" s="63">
        <f>'SER_se-appl'!V62</f>
        <v>15.719448921120819</v>
      </c>
      <c r="W15" s="63">
        <f>'SER_se-appl'!W62</f>
        <v>14.2186077830212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951.6974325763158</v>
      </c>
      <c r="C3" s="199">
        <f>'SER_se-appl'!C7</f>
        <v>983.87015692628427</v>
      </c>
      <c r="D3" s="199">
        <f>'SER_se-appl'!D7</f>
        <v>1016.577396149563</v>
      </c>
      <c r="E3" s="199">
        <f>'SER_se-appl'!E7</f>
        <v>1055.4459350989337</v>
      </c>
      <c r="F3" s="199">
        <f>'SER_se-appl'!F7</f>
        <v>1091.0772629546393</v>
      </c>
      <c r="G3" s="199">
        <f>'SER_se-appl'!G7</f>
        <v>1118.0635864773194</v>
      </c>
      <c r="H3" s="199">
        <f>'SER_se-appl'!H7</f>
        <v>1138.7551730055227</v>
      </c>
      <c r="I3" s="199">
        <f>'SER_se-appl'!I7</f>
        <v>1153.6421447840521</v>
      </c>
      <c r="J3" s="199">
        <f>'SER_se-appl'!J7</f>
        <v>1169.2517813358995</v>
      </c>
      <c r="K3" s="199">
        <f>'SER_se-appl'!K7</f>
        <v>1175.6255480206644</v>
      </c>
      <c r="L3" s="199">
        <f>'SER_se-appl'!L7</f>
        <v>1177.5443930617771</v>
      </c>
      <c r="M3" s="199">
        <f>'SER_se-appl'!M7</f>
        <v>1174.4966526089463</v>
      </c>
      <c r="N3" s="199">
        <f>'SER_se-appl'!N7</f>
        <v>1174.6592589175973</v>
      </c>
      <c r="O3" s="199">
        <f>'SER_se-appl'!O7</f>
        <v>1179.2701881786459</v>
      </c>
      <c r="P3" s="199">
        <f>'SER_se-appl'!P7</f>
        <v>1187.047835130026</v>
      </c>
      <c r="Q3" s="199">
        <f>'SER_se-appl'!Q7</f>
        <v>1181.2908610712595</v>
      </c>
      <c r="R3" s="199">
        <f>'SER_se-appl'!R7</f>
        <v>1175.442981521014</v>
      </c>
      <c r="S3" s="199">
        <f>'SER_se-appl'!S7</f>
        <v>1168.7340250492471</v>
      </c>
      <c r="T3" s="199">
        <f>'SER_se-appl'!T7</f>
        <v>1161.9257473568669</v>
      </c>
      <c r="U3" s="199">
        <f>'SER_se-appl'!U7</f>
        <v>1155.8348886932179</v>
      </c>
      <c r="V3" s="199">
        <f>'SER_se-appl'!V7</f>
        <v>1148.7177047980435</v>
      </c>
      <c r="W3" s="199">
        <f>'SER_se-appl'!W7</f>
        <v>1137.4579702157778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1263.497847130428</v>
      </c>
      <c r="C5" s="59">
        <f>'SER_se-appl'!C15</f>
        <v>1306.2111786589826</v>
      </c>
      <c r="D5" s="59">
        <f>'SER_se-appl'!D15</f>
        <v>1349.6341458013037</v>
      </c>
      <c r="E5" s="59">
        <f>'SER_se-appl'!E15</f>
        <v>1401.237012009201</v>
      </c>
      <c r="F5" s="59">
        <f>'SER_se-appl'!F15</f>
        <v>1448.5420739911478</v>
      </c>
      <c r="G5" s="59">
        <f>'SER_se-appl'!G15</f>
        <v>1484.3698071610986</v>
      </c>
      <c r="H5" s="59">
        <f>'SER_se-appl'!H15</f>
        <v>1511.8404865358712</v>
      </c>
      <c r="I5" s="59">
        <f>'SER_se-appl'!I15</f>
        <v>1531.6048109404703</v>
      </c>
      <c r="J5" s="59">
        <f>'SER_se-appl'!J15</f>
        <v>1552.3285635772277</v>
      </c>
      <c r="K5" s="59">
        <f>'SER_se-appl'!K15</f>
        <v>1560.7905392100829</v>
      </c>
      <c r="L5" s="59">
        <f>'SER_se-appl'!L15</f>
        <v>1563.3380469530211</v>
      </c>
      <c r="M5" s="59">
        <f>'SER_se-appl'!M15</f>
        <v>1559.2917887947538</v>
      </c>
      <c r="N5" s="59">
        <f>'SER_se-appl'!N15</f>
        <v>1559.5076690880887</v>
      </c>
      <c r="O5" s="59">
        <f>'SER_se-appl'!O15</f>
        <v>1565.6292566800969</v>
      </c>
      <c r="P5" s="59">
        <f>'SER_se-appl'!P15</f>
        <v>1575.9550596532197</v>
      </c>
      <c r="Q5" s="59">
        <f>'SER_se-appl'!Q15</f>
        <v>1568.3119536825056</v>
      </c>
      <c r="R5" s="59">
        <f>'SER_se-appl'!R15</f>
        <v>1560.5481592567796</v>
      </c>
      <c r="S5" s="59">
        <f>'SER_se-appl'!S15</f>
        <v>1551.6411770916375</v>
      </c>
      <c r="T5" s="59">
        <f>'SER_se-appl'!T15</f>
        <v>1542.6023335342877</v>
      </c>
      <c r="U5" s="59">
        <f>'SER_se-appl'!U15</f>
        <v>1534.5159538244429</v>
      </c>
      <c r="V5" s="59">
        <f>'SER_se-appl'!V15</f>
        <v>1525.0669984932929</v>
      </c>
      <c r="W5" s="59">
        <f>'SER_se-appl'!W15</f>
        <v>1510.1182869417235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3.1791213868196139E-2</v>
      </c>
      <c r="C6" s="202">
        <f>'SER_se-appl'!C71</f>
        <v>3.3036959774136898E-2</v>
      </c>
      <c r="D6" s="202">
        <f>'SER_se-appl'!D71</f>
        <v>3.4391021378877194E-2</v>
      </c>
      <c r="E6" s="202">
        <f>'SER_se-appl'!E71</f>
        <v>3.6031675319899481E-2</v>
      </c>
      <c r="F6" s="202">
        <f>'SER_se-appl'!F71</f>
        <v>3.7597373675222777E-2</v>
      </c>
      <c r="G6" s="202">
        <f>'SER_se-appl'!G71</f>
        <v>3.8850264002394455E-2</v>
      </c>
      <c r="H6" s="202">
        <f>'SER_se-appl'!H71</f>
        <v>3.9939808842607581E-2</v>
      </c>
      <c r="I6" s="202">
        <f>'SER_se-appl'!I71</f>
        <v>4.0903240128707025E-2</v>
      </c>
      <c r="J6" s="202">
        <f>'SER_se-appl'!J71</f>
        <v>4.2003078300432414E-2</v>
      </c>
      <c r="K6" s="202">
        <f>'SER_se-appl'!K71</f>
        <v>4.287578839341917E-2</v>
      </c>
      <c r="L6" s="202">
        <f>'SER_se-appl'!L71</f>
        <v>4.3721966792924463E-2</v>
      </c>
      <c r="M6" s="202">
        <f>'SER_se-appl'!M71</f>
        <v>4.4262339477760565E-2</v>
      </c>
      <c r="N6" s="202">
        <f>'SER_se-appl'!N71</f>
        <v>4.4933485987421758E-2</v>
      </c>
      <c r="O6" s="202">
        <f>'SER_se-appl'!O71</f>
        <v>4.5896051264765633E-2</v>
      </c>
      <c r="P6" s="202">
        <f>'SER_se-appl'!P71</f>
        <v>4.6908775589682816E-2</v>
      </c>
      <c r="Q6" s="202">
        <f>'SER_se-appl'!Q71</f>
        <v>4.7451959645992831E-2</v>
      </c>
      <c r="R6" s="202">
        <f>'SER_se-appl'!R71</f>
        <v>4.8043641083246165E-2</v>
      </c>
      <c r="S6" s="202">
        <f>'SER_se-appl'!S71</f>
        <v>4.8594314399680323E-2</v>
      </c>
      <c r="T6" s="202">
        <f>'SER_se-appl'!T71</f>
        <v>4.9153550785944342E-2</v>
      </c>
      <c r="U6" s="202">
        <f>'SER_se-appl'!U71</f>
        <v>4.9703679588462196E-2</v>
      </c>
      <c r="V6" s="202">
        <f>'SER_se-appl'!V71</f>
        <v>5.0162101574839933E-2</v>
      </c>
      <c r="W6" s="202">
        <f>'SER_se-appl'!W71</f>
        <v>5.0324662819315566E-2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1924.7997430566402</v>
      </c>
      <c r="C8" s="34">
        <f>'SER_se-appl'!C23</f>
        <v>2014.5711767094228</v>
      </c>
      <c r="D8" s="34">
        <f>'SER_se-appl'!D23</f>
        <v>2112.4353352529224</v>
      </c>
      <c r="E8" s="34">
        <f>'SER_se-appl'!E23</f>
        <v>2229.0667327776896</v>
      </c>
      <c r="F8" s="34">
        <f>'SER_se-appl'!F23</f>
        <v>2342.0246619440331</v>
      </c>
      <c r="G8" s="34">
        <f>'SER_se-appl'!G23</f>
        <v>2438.7425716879866</v>
      </c>
      <c r="H8" s="34">
        <f>'SER_se-appl'!H23</f>
        <v>2525.3795350878499</v>
      </c>
      <c r="I8" s="34">
        <f>'SER_se-appl'!I23</f>
        <v>2603.2893767021669</v>
      </c>
      <c r="J8" s="34">
        <f>'SER_se-appl'!J23</f>
        <v>2688.4991393698897</v>
      </c>
      <c r="K8" s="34">
        <f>'SER_se-appl'!K23</f>
        <v>2759.0666730447006</v>
      </c>
      <c r="L8" s="34">
        <f>'SER_se-appl'!L23</f>
        <v>2827.0123549004848</v>
      </c>
      <c r="M8" s="34">
        <f>'SER_se-appl'!M23</f>
        <v>2876.1102077326896</v>
      </c>
      <c r="N8" s="34">
        <f>'SER_se-appl'!N23</f>
        <v>2933.1224009316684</v>
      </c>
      <c r="O8" s="34">
        <f>'SER_se-appl'!O23</f>
        <v>3010.7970265865679</v>
      </c>
      <c r="P8" s="34">
        <f>'SER_se-appl'!P23</f>
        <v>3103.7651074914415</v>
      </c>
      <c r="Q8" s="34">
        <f>'SER_se-appl'!Q23</f>
        <v>3153.5695943032174</v>
      </c>
      <c r="R8" s="34">
        <f>'SER_se-appl'!R23</f>
        <v>3201.5509395690215</v>
      </c>
      <c r="S8" s="34">
        <f>'SER_se-appl'!S23</f>
        <v>3246.5772036887929</v>
      </c>
      <c r="T8" s="34">
        <f>'SER_se-appl'!T23</f>
        <v>3294.5769053740814</v>
      </c>
      <c r="U8" s="34">
        <f>'SER_se-appl'!U23</f>
        <v>3338.975695254343</v>
      </c>
      <c r="V8" s="34">
        <f>'SER_se-appl'!V23</f>
        <v>3376.9235130321645</v>
      </c>
      <c r="W8" s="34">
        <f>'SER_se-appl'!W23</f>
        <v>3404.7997091236566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264.70320576343602</v>
      </c>
      <c r="D9" s="36">
        <f>'SER_se-appl'!D31</f>
        <v>276.48072589816252</v>
      </c>
      <c r="E9" s="36">
        <f>'SER_se-appl'!E31</f>
        <v>299.01037733286034</v>
      </c>
      <c r="F9" s="36">
        <f>'SER_se-appl'!F31</f>
        <v>299.17857358056131</v>
      </c>
      <c r="G9" s="36">
        <f>'SER_se-appl'!G31</f>
        <v>286.86114029901137</v>
      </c>
      <c r="H9" s="36">
        <f>'SER_se-appl'!H31</f>
        <v>280.78540617667068</v>
      </c>
      <c r="I9" s="36">
        <f>'SER_se-appl'!I31</f>
        <v>276.14786314485309</v>
      </c>
      <c r="J9" s="36">
        <f>'SER_se-appl'!J31</f>
        <v>287.62350659622007</v>
      </c>
      <c r="K9" s="36">
        <f>'SER_se-appl'!K31</f>
        <v>277.24495819117828</v>
      </c>
      <c r="L9" s="36">
        <f>'SER_se-appl'!L31</f>
        <v>278.97659791753131</v>
      </c>
      <c r="M9" s="36">
        <f>'SER_se-appl'!M31</f>
        <v>313.80105859564082</v>
      </c>
      <c r="N9" s="36">
        <f>'SER_se-appl'!N31</f>
        <v>333.49291909714157</v>
      </c>
      <c r="O9" s="36">
        <f>'SER_se-appl'!O31</f>
        <v>376.68500298775962</v>
      </c>
      <c r="P9" s="36">
        <f>'SER_se-appl'!P31</f>
        <v>392.14665448543519</v>
      </c>
      <c r="Q9" s="36">
        <f>'SER_se-appl'!Q31</f>
        <v>336.66562711078723</v>
      </c>
      <c r="R9" s="36">
        <f>'SER_se-appl'!R31</f>
        <v>328.76675144247474</v>
      </c>
      <c r="S9" s="36">
        <f>'SER_se-appl'!S31</f>
        <v>321.17412726462453</v>
      </c>
      <c r="T9" s="36">
        <f>'SER_se-appl'!T31</f>
        <v>335.6232082815086</v>
      </c>
      <c r="U9" s="36">
        <f>'SER_se-appl'!U31</f>
        <v>321.64374807143986</v>
      </c>
      <c r="V9" s="36">
        <f>'SER_se-appl'!V31</f>
        <v>316.92441569535276</v>
      </c>
      <c r="W9" s="36">
        <f>'SER_se-appl'!W31</f>
        <v>341.67725468713297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174.93177211065336</v>
      </c>
      <c r="D10" s="38">
        <f>'SER_se-appl'!D39</f>
        <v>178.61656735466295</v>
      </c>
      <c r="E10" s="38">
        <f>'SER_se-appl'!E39</f>
        <v>182.37897980809294</v>
      </c>
      <c r="F10" s="38">
        <f>'SER_se-appl'!F39</f>
        <v>186.22064441421753</v>
      </c>
      <c r="G10" s="38">
        <f>'SER_se-appl'!G39</f>
        <v>190.14323055505793</v>
      </c>
      <c r="H10" s="38">
        <f>'SER_se-appl'!H39</f>
        <v>194.14844277680731</v>
      </c>
      <c r="I10" s="38">
        <f>'SER_se-appl'!I39</f>
        <v>198.23802153053612</v>
      </c>
      <c r="J10" s="38">
        <f>'SER_se-appl'!J39</f>
        <v>202.4137439284973</v>
      </c>
      <c r="K10" s="38">
        <f>'SER_se-appl'!K39</f>
        <v>206.67742451636741</v>
      </c>
      <c r="L10" s="38">
        <f>'SER_se-appl'!L39</f>
        <v>211.03091606174712</v>
      </c>
      <c r="M10" s="38">
        <f>'SER_se-appl'!M39</f>
        <v>264.70320576343602</v>
      </c>
      <c r="N10" s="38">
        <f>'SER_se-appl'!N39</f>
        <v>276.48072589816275</v>
      </c>
      <c r="O10" s="38">
        <f>'SER_se-appl'!O39</f>
        <v>299.01037733286012</v>
      </c>
      <c r="P10" s="38">
        <f>'SER_se-appl'!P39</f>
        <v>299.17857358056153</v>
      </c>
      <c r="Q10" s="38">
        <f>'SER_se-appl'!Q39</f>
        <v>286.86114029901137</v>
      </c>
      <c r="R10" s="38">
        <f>'SER_se-appl'!R39</f>
        <v>280.78540617667068</v>
      </c>
      <c r="S10" s="38">
        <f>'SER_se-appl'!S39</f>
        <v>276.14786314485309</v>
      </c>
      <c r="T10" s="38">
        <f>'SER_se-appl'!T39</f>
        <v>287.62350659622007</v>
      </c>
      <c r="U10" s="38">
        <f>'SER_se-appl'!U39</f>
        <v>277.24495819117828</v>
      </c>
      <c r="V10" s="38">
        <f>'SER_se-appl'!V39</f>
        <v>278.97659791753131</v>
      </c>
      <c r="W10" s="38">
        <f>'SER_se-appl'!W39</f>
        <v>313.80105859564082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8760.0000000000018</v>
      </c>
      <c r="C12" s="205">
        <f>'SER_se-appl'!C47</f>
        <v>8759.9999999999982</v>
      </c>
      <c r="D12" s="205">
        <f>'SER_se-appl'!D47</f>
        <v>8759.9999999999982</v>
      </c>
      <c r="E12" s="205">
        <f>'SER_se-appl'!E47</f>
        <v>8759.9999999999982</v>
      </c>
      <c r="F12" s="205">
        <f>'SER_se-appl'!F47</f>
        <v>8760</v>
      </c>
      <c r="G12" s="205">
        <f>'SER_se-appl'!G47</f>
        <v>8760</v>
      </c>
      <c r="H12" s="205">
        <f>'SER_se-appl'!H47</f>
        <v>8759.9999999999982</v>
      </c>
      <c r="I12" s="205">
        <f>'SER_se-appl'!I47</f>
        <v>8760.0000000000036</v>
      </c>
      <c r="J12" s="205">
        <f>'SER_se-appl'!J47</f>
        <v>8759.9999999999982</v>
      </c>
      <c r="K12" s="205">
        <f>'SER_se-appl'!K47</f>
        <v>8760</v>
      </c>
      <c r="L12" s="205">
        <f>'SER_se-appl'!L47</f>
        <v>8760.0000000000018</v>
      </c>
      <c r="M12" s="205">
        <f>'SER_se-appl'!M47</f>
        <v>8760.0000000000018</v>
      </c>
      <c r="N12" s="205">
        <f>'SER_se-appl'!N47</f>
        <v>8760</v>
      </c>
      <c r="O12" s="205">
        <f>'SER_se-appl'!O47</f>
        <v>8760.0000000000018</v>
      </c>
      <c r="P12" s="205">
        <f>'SER_se-appl'!P47</f>
        <v>8759.9999999999982</v>
      </c>
      <c r="Q12" s="205">
        <f>'SER_se-appl'!Q47</f>
        <v>8760</v>
      </c>
      <c r="R12" s="205">
        <f>'SER_se-appl'!R47</f>
        <v>8760.0000000000018</v>
      </c>
      <c r="S12" s="205">
        <f>'SER_se-appl'!S47</f>
        <v>8760</v>
      </c>
      <c r="T12" s="205">
        <f>'SER_se-appl'!T47</f>
        <v>8760</v>
      </c>
      <c r="U12" s="205">
        <f>'SER_se-appl'!U47</f>
        <v>8760.0000000000018</v>
      </c>
      <c r="V12" s="205">
        <f>'SER_se-appl'!V47</f>
        <v>8760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656.43080621153626</v>
      </c>
      <c r="C14" s="59">
        <f>'SER_se-appl'!C55</f>
        <v>648.38174682541262</v>
      </c>
      <c r="D14" s="59">
        <f>'SER_se-appl'!D55</f>
        <v>638.89962607528128</v>
      </c>
      <c r="E14" s="59">
        <f>'SER_se-appl'!E55</f>
        <v>628.62048560703624</v>
      </c>
      <c r="F14" s="59">
        <f>'SER_se-appl'!F55</f>
        <v>618.49992339054336</v>
      </c>
      <c r="G14" s="59">
        <f>'SER_se-appl'!G55</f>
        <v>608.66194915098617</v>
      </c>
      <c r="H14" s="59">
        <f>'SER_se-appl'!H55</f>
        <v>598.65872259207924</v>
      </c>
      <c r="I14" s="59">
        <f>'SER_se-appl'!I55</f>
        <v>588.33444512445988</v>
      </c>
      <c r="J14" s="59">
        <f>'SER_se-appl'!J55</f>
        <v>577.39596819846884</v>
      </c>
      <c r="K14" s="59">
        <f>'SER_se-appl'!K55</f>
        <v>565.69511511213705</v>
      </c>
      <c r="L14" s="59">
        <f>'SER_se-appl'!L55</f>
        <v>553.00007594344345</v>
      </c>
      <c r="M14" s="59">
        <f>'SER_se-appl'!M55</f>
        <v>542.15300394346957</v>
      </c>
      <c r="N14" s="59">
        <f>'SER_se-appl'!N55</f>
        <v>531.68857480776501</v>
      </c>
      <c r="O14" s="59">
        <f>'SER_se-appl'!O55</f>
        <v>520.00491659017564</v>
      </c>
      <c r="P14" s="59">
        <f>'SER_se-appl'!P55</f>
        <v>507.7559045461901</v>
      </c>
      <c r="Q14" s="59">
        <f>'SER_se-appl'!Q55</f>
        <v>497.31325305634329</v>
      </c>
      <c r="R14" s="59">
        <f>'SER_se-appl'!R55</f>
        <v>487.43505529443604</v>
      </c>
      <c r="S14" s="59">
        <f>'SER_se-appl'!S55</f>
        <v>477.93139658858183</v>
      </c>
      <c r="T14" s="59">
        <f>'SER_se-appl'!T55</f>
        <v>468.22471529440094</v>
      </c>
      <c r="U14" s="59">
        <f>'SER_se-appl'!U55</f>
        <v>459.5768564609312</v>
      </c>
      <c r="V14" s="59">
        <f>'SER_se-appl'!V55</f>
        <v>451.61431480688879</v>
      </c>
      <c r="W14" s="59">
        <f>'SER_se-appl'!W55</f>
        <v>443.52632047492887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595.1719975313016</v>
      </c>
      <c r="D15" s="63">
        <f>'SER_se-appl'!D63</f>
        <v>581.13412402158099</v>
      </c>
      <c r="E15" s="63">
        <f>'SER_se-appl'!E63</f>
        <v>572.96354891604562</v>
      </c>
      <c r="F15" s="63">
        <f>'SER_se-appl'!F63</f>
        <v>566.70512095462198</v>
      </c>
      <c r="G15" s="63">
        <f>'SER_se-appl'!G63</f>
        <v>560.00477140760779</v>
      </c>
      <c r="H15" s="63">
        <f>'SER_se-appl'!H63</f>
        <v>551.7227561819692</v>
      </c>
      <c r="I15" s="63">
        <f>'SER_se-appl'!I63</f>
        <v>542.80292808582192</v>
      </c>
      <c r="J15" s="63">
        <f>'SER_se-appl'!J63</f>
        <v>534.01188091229028</v>
      </c>
      <c r="K15" s="63">
        <f>'SER_se-appl'!K63</f>
        <v>519.87024389626686</v>
      </c>
      <c r="L15" s="63">
        <f>'SER_se-appl'!L63</f>
        <v>505.68650977173803</v>
      </c>
      <c r="M15" s="63">
        <f>'SER_se-appl'!M63</f>
        <v>489.15602214934239</v>
      </c>
      <c r="N15" s="63">
        <f>'SER_se-appl'!N63</f>
        <v>482.43382552944036</v>
      </c>
      <c r="O15" s="63">
        <f>'SER_se-appl'!O63</f>
        <v>471.06636352373164</v>
      </c>
      <c r="P15" s="63">
        <f>'SER_se-appl'!P63</f>
        <v>458.68511344856302</v>
      </c>
      <c r="Q15" s="63">
        <f>'SER_se-appl'!Q63</f>
        <v>454.45833790989133</v>
      </c>
      <c r="R15" s="63">
        <f>'SER_se-appl'!R63</f>
        <v>447.58754685535132</v>
      </c>
      <c r="S15" s="63">
        <f>'SER_se-appl'!S63</f>
        <v>438.97336231683465</v>
      </c>
      <c r="T15" s="63">
        <f>'SER_se-appl'!T63</f>
        <v>430.70777773341092</v>
      </c>
      <c r="U15" s="63">
        <f>'SER_se-appl'!U63</f>
        <v>422.96803572192152</v>
      </c>
      <c r="V15" s="63">
        <f>'SER_se-appl'!V63</f>
        <v>415.32220384145603</v>
      </c>
      <c r="W15" s="63">
        <f>'SER_se-appl'!W63</f>
        <v>405.49660276389676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399.88664808060423</v>
      </c>
      <c r="C3" s="199">
        <f>'SER_se-appl'!C8</f>
        <v>431.46288470615445</v>
      </c>
      <c r="D3" s="199">
        <f>'SER_se-appl'!D8</f>
        <v>458.17992626804698</v>
      </c>
      <c r="E3" s="199">
        <f>'SER_se-appl'!E8</f>
        <v>487.6720112360012</v>
      </c>
      <c r="F3" s="199">
        <f>'SER_se-appl'!F8</f>
        <v>516.65579734873927</v>
      </c>
      <c r="G3" s="199">
        <f>'SER_se-appl'!G8</f>
        <v>543.28699646372274</v>
      </c>
      <c r="H3" s="199">
        <f>'SER_se-appl'!H8</f>
        <v>568.12552124902709</v>
      </c>
      <c r="I3" s="199">
        <f>'SER_se-appl'!I8</f>
        <v>594.13129177220787</v>
      </c>
      <c r="J3" s="199">
        <f>'SER_se-appl'!J8</f>
        <v>616.30993763185859</v>
      </c>
      <c r="K3" s="199">
        <f>'SER_se-appl'!K8</f>
        <v>632.23898716957183</v>
      </c>
      <c r="L3" s="199">
        <f>'SER_se-appl'!L8</f>
        <v>651.04217976204131</v>
      </c>
      <c r="M3" s="199">
        <f>'SER_se-appl'!M8</f>
        <v>664.99286794177897</v>
      </c>
      <c r="N3" s="199">
        <f>'SER_se-appl'!N8</f>
        <v>673.03121552944685</v>
      </c>
      <c r="O3" s="199">
        <f>'SER_se-appl'!O8</f>
        <v>677.76375097519849</v>
      </c>
      <c r="P3" s="199">
        <f>'SER_se-appl'!P8</f>
        <v>681.88168641510049</v>
      </c>
      <c r="Q3" s="199">
        <f>'SER_se-appl'!Q8</f>
        <v>674.03736990628852</v>
      </c>
      <c r="R3" s="199">
        <f>'SER_se-appl'!R8</f>
        <v>683.92647263109779</v>
      </c>
      <c r="S3" s="199">
        <f>'SER_se-appl'!S8</f>
        <v>699.93468184038011</v>
      </c>
      <c r="T3" s="199">
        <f>'SER_se-appl'!T8</f>
        <v>704.62535373845981</v>
      </c>
      <c r="U3" s="199">
        <f>'SER_se-appl'!U8</f>
        <v>709.25473238335508</v>
      </c>
      <c r="V3" s="199">
        <f>'SER_se-appl'!V8</f>
        <v>661.93770422309069</v>
      </c>
      <c r="W3" s="199">
        <f>'SER_se-appl'!W8</f>
        <v>696.00077044112402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5505.3798817214656</v>
      </c>
      <c r="C5" s="59">
        <f>'SER_se-appl'!C16</f>
        <v>5911.8607558098065</v>
      </c>
      <c r="D5" s="59">
        <f>'SER_se-appl'!D16</f>
        <v>6250.6816922244998</v>
      </c>
      <c r="E5" s="59">
        <f>'SER_se-appl'!E16</f>
        <v>6626.4519217151037</v>
      </c>
      <c r="F5" s="59">
        <f>'SER_se-appl'!F16</f>
        <v>6994.3166988235662</v>
      </c>
      <c r="G5" s="59">
        <f>'SER_se-appl'!G16</f>
        <v>7329.5132669565628</v>
      </c>
      <c r="H5" s="59">
        <f>'SER_se-appl'!H16</f>
        <v>7639.9178329688084</v>
      </c>
      <c r="I5" s="59">
        <f>'SER_se-appl'!I16</f>
        <v>7965.4509612612019</v>
      </c>
      <c r="J5" s="59">
        <f>'SER_se-appl'!J16</f>
        <v>8239.2168470758843</v>
      </c>
      <c r="K5" s="59">
        <f>'SER_se-appl'!K16</f>
        <v>8429.347947151984</v>
      </c>
      <c r="L5" s="59">
        <f>'SER_se-appl'!L16</f>
        <v>8657.809280538655</v>
      </c>
      <c r="M5" s="59">
        <f>'SER_se-appl'!M16</f>
        <v>8828.9603336892305</v>
      </c>
      <c r="N5" s="59">
        <f>'SER_se-appl'!N16</f>
        <v>8921.8381279714849</v>
      </c>
      <c r="O5" s="59">
        <f>'SER_se-appl'!O16</f>
        <v>8971.2707634474609</v>
      </c>
      <c r="P5" s="59">
        <f>'SER_se-appl'!P16</f>
        <v>9012.9827486840204</v>
      </c>
      <c r="Q5" s="59">
        <f>'SER_se-appl'!Q16</f>
        <v>8897.1831287186869</v>
      </c>
      <c r="R5" s="59">
        <f>'SER_se-appl'!R16</f>
        <v>8979.2809539844147</v>
      </c>
      <c r="S5" s="59">
        <f>'SER_se-appl'!S16</f>
        <v>9073.1413749202384</v>
      </c>
      <c r="T5" s="59">
        <f>'SER_se-appl'!T16</f>
        <v>9161.9919025125491</v>
      </c>
      <c r="U5" s="59">
        <f>'SER_se-appl'!U16</f>
        <v>9240.6909124583472</v>
      </c>
      <c r="V5" s="59">
        <f>'SER_se-appl'!V16</f>
        <v>9308.4201677560195</v>
      </c>
      <c r="W5" s="59">
        <f>'SER_se-appl'!W16</f>
        <v>9366.9165470503831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128.81396382204505</v>
      </c>
      <c r="C6" s="202">
        <f>'SER_se-appl'!C72</f>
        <v>137.0932688699466</v>
      </c>
      <c r="D6" s="202">
        <f>'SER_se-appl'!D72</f>
        <v>143.61735511485514</v>
      </c>
      <c r="E6" s="202">
        <f>'SER_se-appl'!E72</f>
        <v>150.9729227657414</v>
      </c>
      <c r="F6" s="202">
        <f>'SER_se-appl'!F72</f>
        <v>158.08010692189049</v>
      </c>
      <c r="G6" s="202">
        <f>'SER_se-appl'!G72</f>
        <v>164.3709753949941</v>
      </c>
      <c r="H6" s="202">
        <f>'SER_se-appl'!H72</f>
        <v>169.87324532192935</v>
      </c>
      <c r="I6" s="202">
        <f>'SER_se-appl'!I72</f>
        <v>175.19381858938942</v>
      </c>
      <c r="J6" s="202">
        <f>'SER_se-appl'!J72</f>
        <v>179.9314523717548</v>
      </c>
      <c r="K6" s="202">
        <f>'SER_se-appl'!K72</f>
        <v>184.26663066499373</v>
      </c>
      <c r="L6" s="202">
        <f>'SER_se-appl'!L72</f>
        <v>188.74070065276373</v>
      </c>
      <c r="M6" s="202">
        <f>'SER_se-appl'!M72</f>
        <v>191.98348480928058</v>
      </c>
      <c r="N6" s="202">
        <f>'SER_se-appl'!N72</f>
        <v>194.89145011509294</v>
      </c>
      <c r="O6" s="202">
        <f>'SER_se-appl'!O72</f>
        <v>197.59297641942084</v>
      </c>
      <c r="P6" s="202">
        <f>'SER_se-appl'!P72</f>
        <v>199.61305695051664</v>
      </c>
      <c r="Q6" s="202">
        <f>'SER_se-appl'!Q72</f>
        <v>200.97511419777629</v>
      </c>
      <c r="R6" s="202">
        <f>'SER_se-appl'!R72</f>
        <v>204.33736576794109</v>
      </c>
      <c r="S6" s="202">
        <f>'SER_se-appl'!S72</f>
        <v>207.70663264895899</v>
      </c>
      <c r="T6" s="202">
        <f>'SER_se-appl'!T72</f>
        <v>211.04581278082605</v>
      </c>
      <c r="U6" s="202">
        <f>'SER_se-appl'!U72</f>
        <v>214.33240325061402</v>
      </c>
      <c r="V6" s="202">
        <f>'SER_se-appl'!V72</f>
        <v>217.52451807344363</v>
      </c>
      <c r="W6" s="202">
        <f>'SER_se-appl'!W72</f>
        <v>220.55277689861731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119.19825388927934</v>
      </c>
      <c r="C8" s="34">
        <f>'SER_se-appl'!C24</f>
        <v>128.73973887535288</v>
      </c>
      <c r="D8" s="34">
        <f>'SER_se-appl'!D24</f>
        <v>136.83598245086196</v>
      </c>
      <c r="E8" s="34">
        <f>'SER_se-appl'!E24</f>
        <v>145.91480365611929</v>
      </c>
      <c r="F8" s="34">
        <f>'SER_se-appl'!F24</f>
        <v>154.95191757367883</v>
      </c>
      <c r="G8" s="34">
        <f>'SER_se-appl'!G24</f>
        <v>163.37262188338806</v>
      </c>
      <c r="H8" s="34">
        <f>'SER_se-appl'!H24</f>
        <v>171.36914557002561</v>
      </c>
      <c r="I8" s="34">
        <f>'SER_se-appl'!I24</f>
        <v>179.95027769155251</v>
      </c>
      <c r="J8" s="34">
        <f>'SER_se-appl'!J24</f>
        <v>187.4938738654364</v>
      </c>
      <c r="K8" s="34">
        <f>'SER_se-appl'!K24</f>
        <v>193.263753740684</v>
      </c>
      <c r="L8" s="34">
        <f>'SER_se-appl'!L24</f>
        <v>200.31894727032028</v>
      </c>
      <c r="M8" s="34">
        <f>'SER_se-appl'!M24</f>
        <v>206.44672481772608</v>
      </c>
      <c r="N8" s="34">
        <f>'SER_se-appl'!N24</f>
        <v>211.158867164588</v>
      </c>
      <c r="O8" s="34">
        <f>'SER_se-appl'!O24</f>
        <v>215.42809140949385</v>
      </c>
      <c r="P8" s="34">
        <f>'SER_se-appl'!P24</f>
        <v>220.31331667333444</v>
      </c>
      <c r="Q8" s="34">
        <f>'SER_se-appl'!Q24</f>
        <v>221.74348424268584</v>
      </c>
      <c r="R8" s="34">
        <f>'SER_se-appl'!R24</f>
        <v>227.38675667290175</v>
      </c>
      <c r="S8" s="34">
        <f>'SER_se-appl'!S24</f>
        <v>233.27792528807117</v>
      </c>
      <c r="T8" s="34">
        <f>'SER_se-appl'!T24</f>
        <v>239.56681510762834</v>
      </c>
      <c r="U8" s="34">
        <f>'SER_se-appl'!U24</f>
        <v>245.83047975683576</v>
      </c>
      <c r="V8" s="34">
        <f>'SER_se-appl'!V24</f>
        <v>251.89161837914372</v>
      </c>
      <c r="W8" s="34">
        <f>'SER_se-appl'!W24</f>
        <v>257.73725152015976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12.936543834319295</v>
      </c>
      <c r="D9" s="36">
        <f>'SER_se-appl'!D32</f>
        <v>11.873353407382368</v>
      </c>
      <c r="E9" s="36">
        <f>'SER_se-appl'!E32</f>
        <v>13.280974781889881</v>
      </c>
      <c r="F9" s="36">
        <f>'SER_se-appl'!F32</f>
        <v>13.712142038954681</v>
      </c>
      <c r="G9" s="36">
        <f>'SER_se-appl'!G32</f>
        <v>13.621820246397562</v>
      </c>
      <c r="H9" s="36">
        <f>'SER_se-appl'!H32</f>
        <v>13.782928877030372</v>
      </c>
      <c r="I9" s="36">
        <f>'SER_se-appl'!I32</f>
        <v>15.018690029287001</v>
      </c>
      <c r="J9" s="36">
        <f>'SER_se-appl'!J32</f>
        <v>14.705581975460831</v>
      </c>
      <c r="K9" s="36">
        <f>'SER_se-appl'!K32</f>
        <v>13.737814510858072</v>
      </c>
      <c r="L9" s="36">
        <f>'SER_se-appl'!L32</f>
        <v>15.919771611232335</v>
      </c>
      <c r="M9" s="36">
        <f>'SER_se-appl'!M32</f>
        <v>15.989899685496425</v>
      </c>
      <c r="N9" s="36">
        <f>'SER_se-appl'!N32</f>
        <v>15.684063646595718</v>
      </c>
      <c r="O9" s="36">
        <f>'SER_se-appl'!O32</f>
        <v>16.475832044113162</v>
      </c>
      <c r="P9" s="36">
        <f>'SER_se-appl'!P32</f>
        <v>18.465460656823609</v>
      </c>
      <c r="Q9" s="36">
        <f>'SER_se-appl'!Q32</f>
        <v>16.538606896844556</v>
      </c>
      <c r="R9" s="36">
        <f>'SER_se-appl'!R32</f>
        <v>18.579816264535225</v>
      </c>
      <c r="S9" s="36">
        <f>'SER_se-appl'!S32</f>
        <v>17.764522022551773</v>
      </c>
      <c r="T9" s="36">
        <f>'SER_se-appl'!T32</f>
        <v>19.569864601447051</v>
      </c>
      <c r="U9" s="36">
        <f>'SER_se-appl'!U32</f>
        <v>19.975806688162095</v>
      </c>
      <c r="V9" s="36">
        <f>'SER_se-appl'!V32</f>
        <v>19.682958868705526</v>
      </c>
      <c r="W9" s="36">
        <f>'SER_se-appl'!W32</f>
        <v>19.628562018046409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3.3950588482457533</v>
      </c>
      <c r="D10" s="38">
        <f>'SER_se-appl'!D40</f>
        <v>3.7771098318732754</v>
      </c>
      <c r="E10" s="38">
        <f>'SER_se-appl'!E40</f>
        <v>4.2021535766325542</v>
      </c>
      <c r="F10" s="38">
        <f>'SER_se-appl'!F40</f>
        <v>4.6750281213951439</v>
      </c>
      <c r="G10" s="38">
        <f>'SER_se-appl'!G40</f>
        <v>5.2011159366883248</v>
      </c>
      <c r="H10" s="38">
        <f>'SER_se-appl'!H40</f>
        <v>5.7864051903928271</v>
      </c>
      <c r="I10" s="38">
        <f>'SER_se-appl'!I40</f>
        <v>6.4375579077600946</v>
      </c>
      <c r="J10" s="38">
        <f>'SER_se-appl'!J40</f>
        <v>7.1619858015769466</v>
      </c>
      <c r="K10" s="38">
        <f>'SER_se-appl'!K40</f>
        <v>7.9679346356104759</v>
      </c>
      <c r="L10" s="38">
        <f>'SER_se-appl'!L40</f>
        <v>8.8645780815960507</v>
      </c>
      <c r="M10" s="38">
        <f>'SER_se-appl'!M40</f>
        <v>9.8621221380906263</v>
      </c>
      <c r="N10" s="38">
        <f>'SER_se-appl'!N40</f>
        <v>10.971921299733793</v>
      </c>
      <c r="O10" s="38">
        <f>'SER_se-appl'!O40</f>
        <v>12.206607799207319</v>
      </c>
      <c r="P10" s="38">
        <f>'SER_se-appl'!P40</f>
        <v>13.580235392983013</v>
      </c>
      <c r="Q10" s="38">
        <f>'SER_se-appl'!Q40</f>
        <v>15.108439327493159</v>
      </c>
      <c r="R10" s="38">
        <f>'SER_se-appl'!R40</f>
        <v>12.936543834319309</v>
      </c>
      <c r="S10" s="38">
        <f>'SER_se-appl'!S40</f>
        <v>11.873353407382353</v>
      </c>
      <c r="T10" s="38">
        <f>'SER_se-appl'!T40</f>
        <v>13.280974781889881</v>
      </c>
      <c r="U10" s="38">
        <f>'SER_se-appl'!U40</f>
        <v>13.712142038954653</v>
      </c>
      <c r="V10" s="38">
        <f>'SER_se-appl'!V40</f>
        <v>13.62182024639759</v>
      </c>
      <c r="W10" s="38">
        <f>'SER_se-appl'!W40</f>
        <v>13.782928877030372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844.75219096474325</v>
      </c>
      <c r="C12" s="205">
        <f>'SER_se-appl'!C48</f>
        <v>848.78747257389057</v>
      </c>
      <c r="D12" s="205">
        <f>'SER_se-appl'!D48</f>
        <v>852.48822526443928</v>
      </c>
      <c r="E12" s="205">
        <f>'SER_se-appl'!E48</f>
        <v>855.90683486114017</v>
      </c>
      <c r="F12" s="205">
        <f>'SER_se-appl'!F48</f>
        <v>859.08419391082089</v>
      </c>
      <c r="G12" s="205">
        <f>'SER_se-appl'!G48</f>
        <v>862.05284563141242</v>
      </c>
      <c r="H12" s="205">
        <f>'SER_se-appl'!H48</f>
        <v>864.83911955354677</v>
      </c>
      <c r="I12" s="205">
        <f>'SER_se-appl'!I48</f>
        <v>867.46462402635007</v>
      </c>
      <c r="J12" s="205">
        <f>'SER_se-appl'!J48</f>
        <v>869.94731510220436</v>
      </c>
      <c r="K12" s="205">
        <f>'SER_se-appl'!K48</f>
        <v>872.30227852516771</v>
      </c>
      <c r="L12" s="205">
        <f>'SER_se-appl'!L48</f>
        <v>874.54231264395139</v>
      </c>
      <c r="M12" s="205">
        <f>'SER_se-appl'!M48</f>
        <v>875.96577194398265</v>
      </c>
      <c r="N12" s="205">
        <f>'SER_se-appl'!N48</f>
        <v>877.32515702872706</v>
      </c>
      <c r="O12" s="205">
        <f>'SER_se-appl'!O48</f>
        <v>878.62607557867636</v>
      </c>
      <c r="P12" s="205">
        <f>'SER_se-appl'!P48</f>
        <v>879.87342638212795</v>
      </c>
      <c r="Q12" s="205">
        <f>'SER_se-appl'!Q48</f>
        <v>881.0715142758969</v>
      </c>
      <c r="R12" s="205">
        <f>'SER_se-appl'!R48</f>
        <v>885.82425669286761</v>
      </c>
      <c r="S12" s="205">
        <f>'SER_se-appl'!S48</f>
        <v>897.17993068031319</v>
      </c>
      <c r="T12" s="205">
        <f>'SER_se-appl'!T48</f>
        <v>894.4335414366584</v>
      </c>
      <c r="U12" s="205">
        <f>'SER_se-appl'!U48</f>
        <v>892.64240258242705</v>
      </c>
      <c r="V12" s="205">
        <f>'SER_se-appl'!V48</f>
        <v>827.02922315230876</v>
      </c>
      <c r="W12" s="205">
        <f>'SER_se-appl'!W48</f>
        <v>864.15726237885667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46.186749403521404</v>
      </c>
      <c r="C14" s="59">
        <f>'SER_se-appl'!C56</f>
        <v>45.921024910060829</v>
      </c>
      <c r="D14" s="59">
        <f>'SER_se-appl'!D56</f>
        <v>45.680102413625967</v>
      </c>
      <c r="E14" s="59">
        <f>'SER_se-appl'!E56</f>
        <v>45.413157237505608</v>
      </c>
      <c r="F14" s="59">
        <f>'SER_se-appl'!F56</f>
        <v>45.138626280618986</v>
      </c>
      <c r="G14" s="59">
        <f>'SER_se-appl'!G56</f>
        <v>44.863779392536252</v>
      </c>
      <c r="H14" s="59">
        <f>'SER_se-appl'!H56</f>
        <v>44.5816416225694</v>
      </c>
      <c r="I14" s="59">
        <f>'SER_se-appl'!I56</f>
        <v>44.264732810885391</v>
      </c>
      <c r="J14" s="59">
        <f>'SER_se-appl'!J56</f>
        <v>43.943925618546537</v>
      </c>
      <c r="K14" s="59">
        <f>'SER_se-appl'!K56</f>
        <v>43.615772663001529</v>
      </c>
      <c r="L14" s="59">
        <f>'SER_se-appl'!L56</f>
        <v>43.220121703492076</v>
      </c>
      <c r="M14" s="59">
        <f>'SER_se-appl'!M56</f>
        <v>42.766289179372592</v>
      </c>
      <c r="N14" s="59">
        <f>'SER_se-appl'!N56</f>
        <v>42.251780603735426</v>
      </c>
      <c r="O14" s="59">
        <f>'SER_se-appl'!O56</f>
        <v>41.643922595008888</v>
      </c>
      <c r="P14" s="59">
        <f>'SER_se-appl'!P56</f>
        <v>40.90984097002115</v>
      </c>
      <c r="Q14" s="59">
        <f>'SER_se-appl'!Q56</f>
        <v>40.123763541936668</v>
      </c>
      <c r="R14" s="59">
        <f>'SER_se-appl'!R56</f>
        <v>39.489023395066077</v>
      </c>
      <c r="S14" s="59">
        <f>'SER_se-appl'!S56</f>
        <v>38.894127524993898</v>
      </c>
      <c r="T14" s="59">
        <f>'SER_se-appl'!T56</f>
        <v>38.243994262712938</v>
      </c>
      <c r="U14" s="59">
        <f>'SER_se-appl'!U56</f>
        <v>37.589687501724015</v>
      </c>
      <c r="V14" s="59">
        <f>'SER_se-appl'!V56</f>
        <v>36.954068688959374</v>
      </c>
      <c r="W14" s="59">
        <f>'SER_se-appl'!W56</f>
        <v>36.342889868668131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43.542356717265754</v>
      </c>
      <c r="D15" s="63">
        <f>'SER_se-appl'!D64</f>
        <v>43.229014085428474</v>
      </c>
      <c r="E15" s="63">
        <f>'SER_se-appl'!E64</f>
        <v>42.907546550476198</v>
      </c>
      <c r="F15" s="63">
        <f>'SER_se-appl'!F64</f>
        <v>42.574612175637917</v>
      </c>
      <c r="G15" s="63">
        <f>'SER_se-appl'!G64</f>
        <v>42.242460707236049</v>
      </c>
      <c r="H15" s="63">
        <f>'SER_se-appl'!H64</f>
        <v>41.911252509678043</v>
      </c>
      <c r="I15" s="63">
        <f>'SER_se-appl'!I64</f>
        <v>41.472525295758913</v>
      </c>
      <c r="J15" s="63">
        <f>'SER_se-appl'!J64</f>
        <v>41.11056130063487</v>
      </c>
      <c r="K15" s="63">
        <f>'SER_se-appl'!K64</f>
        <v>40.628303716980241</v>
      </c>
      <c r="L15" s="63">
        <f>'SER_se-appl'!L64</f>
        <v>40.068877581084735</v>
      </c>
      <c r="M15" s="63">
        <f>'SER_se-appl'!M64</f>
        <v>39.190390762606775</v>
      </c>
      <c r="N15" s="63">
        <f>'SER_se-appl'!N64</f>
        <v>38.2321308647821</v>
      </c>
      <c r="O15" s="63">
        <f>'SER_se-appl'!O64</f>
        <v>37.219132200618496</v>
      </c>
      <c r="P15" s="63">
        <f>'SER_se-appl'!P64</f>
        <v>36.226494784244863</v>
      </c>
      <c r="Q15" s="63">
        <f>'SER_se-appl'!Q64</f>
        <v>35.190997933625304</v>
      </c>
      <c r="R15" s="63">
        <f>'SER_se-appl'!R64</f>
        <v>34.735834972712006</v>
      </c>
      <c r="S15" s="63">
        <f>'SER_se-appl'!S64</f>
        <v>34.176758702208801</v>
      </c>
      <c r="T15" s="63">
        <f>'SER_se-appl'!T64</f>
        <v>33.659127679056397</v>
      </c>
      <c r="U15" s="63">
        <f>'SER_se-appl'!U64</f>
        <v>33.164524952284019</v>
      </c>
      <c r="V15" s="63">
        <f>'SER_se-appl'!V64</f>
        <v>32.675395305515472</v>
      </c>
      <c r="W15" s="63">
        <f>'SER_se-appl'!W64</f>
        <v>32.409719631913958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539.8758774213826</v>
      </c>
      <c r="C3" s="199">
        <f>'SER_se-appl'!C9</f>
        <v>606.77742346350647</v>
      </c>
      <c r="D3" s="199">
        <f>'SER_se-appl'!D9</f>
        <v>683.75169870087973</v>
      </c>
      <c r="E3" s="199">
        <f>'SER_se-appl'!E9</f>
        <v>768.41241120464542</v>
      </c>
      <c r="F3" s="199">
        <f>'SER_se-appl'!F9</f>
        <v>869.53959733599095</v>
      </c>
      <c r="G3" s="199">
        <f>'SER_se-appl'!G9</f>
        <v>950.89148523469942</v>
      </c>
      <c r="H3" s="199">
        <f>'SER_se-appl'!H9</f>
        <v>1025.4494462027203</v>
      </c>
      <c r="I3" s="199">
        <f>'SER_se-appl'!I9</f>
        <v>1097.7692064122248</v>
      </c>
      <c r="J3" s="199">
        <f>'SER_se-appl'!J9</f>
        <v>1156.2722929762563</v>
      </c>
      <c r="K3" s="199">
        <f>'SER_se-appl'!K9</f>
        <v>1207.951014653931</v>
      </c>
      <c r="L3" s="199">
        <f>'SER_se-appl'!L9</f>
        <v>1241.9020453922744</v>
      </c>
      <c r="M3" s="199">
        <f>'SER_se-appl'!M9</f>
        <v>1280.22592996607</v>
      </c>
      <c r="N3" s="199">
        <f>'SER_se-appl'!N9</f>
        <v>1330.5300090686969</v>
      </c>
      <c r="O3" s="199">
        <f>'SER_se-appl'!O9</f>
        <v>1381.8477167656843</v>
      </c>
      <c r="P3" s="199">
        <f>'SER_se-appl'!P9</f>
        <v>1496.8979053815788</v>
      </c>
      <c r="Q3" s="199">
        <f>'SER_se-appl'!Q9</f>
        <v>1589.7842208951608</v>
      </c>
      <c r="R3" s="199">
        <f>'SER_se-appl'!R9</f>
        <v>1626.1035987080732</v>
      </c>
      <c r="S3" s="199">
        <f>'SER_se-appl'!S9</f>
        <v>1707.714548838765</v>
      </c>
      <c r="T3" s="199">
        <f>'SER_se-appl'!T9</f>
        <v>1762.0379236607823</v>
      </c>
      <c r="U3" s="199">
        <f>'SER_se-appl'!U9</f>
        <v>1800.5042137790888</v>
      </c>
      <c r="V3" s="199">
        <f>'SER_se-appl'!V9</f>
        <v>1744.2136838231006</v>
      </c>
      <c r="W3" s="199">
        <f>'SER_se-appl'!W9</f>
        <v>1811.4075404701648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3735.1270785576658</v>
      </c>
      <c r="C5" s="59">
        <f>'SER_se-appl'!C17</f>
        <v>4155.1368524687196</v>
      </c>
      <c r="D5" s="59">
        <f>'SER_se-appl'!D17</f>
        <v>4595.8904223385889</v>
      </c>
      <c r="E5" s="59">
        <f>'SER_se-appl'!E17</f>
        <v>5077.7094130329733</v>
      </c>
      <c r="F5" s="59">
        <f>'SER_se-appl'!F17</f>
        <v>5649.8609233869147</v>
      </c>
      <c r="G5" s="59">
        <f>'SER_se-appl'!G17</f>
        <v>6082.9953109449307</v>
      </c>
      <c r="H5" s="59">
        <f>'SER_se-appl'!H17</f>
        <v>6456.9505562821896</v>
      </c>
      <c r="I5" s="59">
        <f>'SER_se-appl'!I17</f>
        <v>6828.6228696345406</v>
      </c>
      <c r="J5" s="59">
        <f>'SER_se-appl'!J17</f>
        <v>7110.240421394712</v>
      </c>
      <c r="K5" s="59">
        <f>'SER_se-appl'!K17</f>
        <v>7366.4678508750594</v>
      </c>
      <c r="L5" s="59">
        <f>'SER_se-appl'!L17</f>
        <v>7479.8485169223686</v>
      </c>
      <c r="M5" s="59">
        <f>'SER_se-appl'!M17</f>
        <v>7623.0942358428638</v>
      </c>
      <c r="N5" s="59">
        <f>'SER_se-appl'!N17</f>
        <v>7855.7816592243098</v>
      </c>
      <c r="O5" s="59">
        <f>'SER_se-appl'!O17</f>
        <v>8086.7133329417884</v>
      </c>
      <c r="P5" s="59">
        <f>'SER_se-appl'!P17</f>
        <v>8675.4762504134815</v>
      </c>
      <c r="Q5" s="59">
        <f>'SER_se-appl'!Q17</f>
        <v>9119.9893202122876</v>
      </c>
      <c r="R5" s="59">
        <f>'SER_se-appl'!R17</f>
        <v>9210.6775313989419</v>
      </c>
      <c r="S5" s="59">
        <f>'SER_se-appl'!S17</f>
        <v>9477.6402508859992</v>
      </c>
      <c r="T5" s="59">
        <f>'SER_se-appl'!T17</f>
        <v>9737.9036274673472</v>
      </c>
      <c r="U5" s="59">
        <f>'SER_se-appl'!U17</f>
        <v>9885.3780678804924</v>
      </c>
      <c r="V5" s="59">
        <f>'SER_se-appl'!V17</f>
        <v>10018.151139896516</v>
      </c>
      <c r="W5" s="59">
        <f>'SER_se-appl'!W17</f>
        <v>10139.375791732075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0.16399380243775796</v>
      </c>
      <c r="C6" s="202">
        <f>'SER_se-appl'!C73</f>
        <v>0.18647475878398034</v>
      </c>
      <c r="D6" s="202">
        <f>'SER_se-appl'!D73</f>
        <v>0.21246810560179333</v>
      </c>
      <c r="E6" s="202">
        <f>'SER_se-appl'!E73</f>
        <v>0.24279468876755431</v>
      </c>
      <c r="F6" s="202">
        <f>'SER_se-appl'!F73</f>
        <v>0.28104702028423412</v>
      </c>
      <c r="G6" s="202">
        <f>'SER_se-appl'!G73</f>
        <v>0.31410588230908804</v>
      </c>
      <c r="H6" s="202">
        <f>'SER_se-appl'!H73</f>
        <v>0.34974036062363428</v>
      </c>
      <c r="I6" s="202">
        <f>'SER_se-appl'!I73</f>
        <v>0.3890026027945151</v>
      </c>
      <c r="J6" s="202">
        <f>'SER_se-appl'!J73</f>
        <v>0.42797994603207523</v>
      </c>
      <c r="K6" s="202">
        <f>'SER_se-appl'!K73</f>
        <v>0.47275900578397695</v>
      </c>
      <c r="L6" s="202">
        <f>'SER_se-appl'!L73</f>
        <v>0.5118112627093282</v>
      </c>
      <c r="M6" s="202">
        <f>'SER_se-appl'!M73</f>
        <v>0.56830207517540976</v>
      </c>
      <c r="N6" s="202">
        <f>'SER_se-appl'!N73</f>
        <v>0.63568928244867129</v>
      </c>
      <c r="O6" s="202">
        <f>'SER_se-appl'!O73</f>
        <v>0.7003667136073316</v>
      </c>
      <c r="P6" s="202">
        <f>'SER_se-appl'!P73</f>
        <v>0.79545566440655868</v>
      </c>
      <c r="Q6" s="202">
        <f>'SER_se-appl'!Q73</f>
        <v>0.86124275488200208</v>
      </c>
      <c r="R6" s="202">
        <f>'SER_se-appl'!R73</f>
        <v>0.89201154037335317</v>
      </c>
      <c r="S6" s="202">
        <f>'SER_se-appl'!S73</f>
        <v>0.93861630181825717</v>
      </c>
      <c r="T6" s="202">
        <f>'SER_se-appl'!T73</f>
        <v>0.98169802890065161</v>
      </c>
      <c r="U6" s="202">
        <f>'SER_se-appl'!U73</f>
        <v>1.0177346460803975</v>
      </c>
      <c r="V6" s="202">
        <f>'SER_se-appl'!V73</f>
        <v>1.0521546143909584</v>
      </c>
      <c r="W6" s="202">
        <f>'SER_se-appl'!W73</f>
        <v>1.0844560330276443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9929.0083764577103</v>
      </c>
      <c r="C8" s="34">
        <f>'SER_se-appl'!C25</f>
        <v>11371.103055437354</v>
      </c>
      <c r="D8" s="34">
        <f>'SER_se-appl'!D25</f>
        <v>13050.648567336355</v>
      </c>
      <c r="E8" s="34">
        <f>'SER_se-appl'!E25</f>
        <v>15020.271991848591</v>
      </c>
      <c r="F8" s="34">
        <f>'SER_se-appl'!F25</f>
        <v>17507.048719877399</v>
      </c>
      <c r="G8" s="34">
        <f>'SER_se-appl'!G25</f>
        <v>19717.327716423682</v>
      </c>
      <c r="H8" s="34">
        <f>'SER_se-appl'!H25</f>
        <v>22113.955347000767</v>
      </c>
      <c r="I8" s="34">
        <f>'SER_se-appl'!I25</f>
        <v>24758.095940026094</v>
      </c>
      <c r="J8" s="34">
        <f>'SER_se-appl'!J25</f>
        <v>27393.795005804623</v>
      </c>
      <c r="K8" s="34">
        <f>'SER_se-appl'!K25</f>
        <v>30422.148865734223</v>
      </c>
      <c r="L8" s="34">
        <f>'SER_se-appl'!L25</f>
        <v>33093.130734700622</v>
      </c>
      <c r="M8" s="34">
        <f>'SER_se-appl'!M25</f>
        <v>36927.541986543976</v>
      </c>
      <c r="N8" s="34">
        <f>'SER_se-appl'!N25</f>
        <v>41495.878483684115</v>
      </c>
      <c r="O8" s="34">
        <f>'SER_se-appl'!O25</f>
        <v>45944.301540990717</v>
      </c>
      <c r="P8" s="34">
        <f>'SER_se-appl'!P25</f>
        <v>52632.10358201107</v>
      </c>
      <c r="Q8" s="34">
        <f>'SER_se-appl'!Q25</f>
        <v>57236.602774089588</v>
      </c>
      <c r="R8" s="34">
        <f>'SER_se-appl'!R25</f>
        <v>59442.2138039118</v>
      </c>
      <c r="S8" s="34">
        <f>'SER_se-appl'!S25</f>
        <v>62708.782419078227</v>
      </c>
      <c r="T8" s="34">
        <f>'SER_se-appl'!T25</f>
        <v>65799.511985453544</v>
      </c>
      <c r="U8" s="34">
        <f>'SER_se-appl'!U25</f>
        <v>68369.007598977769</v>
      </c>
      <c r="V8" s="34">
        <f>'SER_se-appl'!V25</f>
        <v>70831.275906196024</v>
      </c>
      <c r="W8" s="34">
        <f>'SER_se-appl'!W25</f>
        <v>73370.69696953283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3427.8963542711854</v>
      </c>
      <c r="D9" s="36">
        <f>'SER_se-appl'!D33</f>
        <v>3665.347187190544</v>
      </c>
      <c r="E9" s="36">
        <f>'SER_se-appl'!E33</f>
        <v>3955.4250998037787</v>
      </c>
      <c r="F9" s="36">
        <f>'SER_se-appl'!F33</f>
        <v>4472.5784033203508</v>
      </c>
      <c r="G9" s="36">
        <f>'SER_se-appl'!G33</f>
        <v>4196.0806718378262</v>
      </c>
      <c r="H9" s="36">
        <f>'SER_se-appl'!H33</f>
        <v>5824.5239848482706</v>
      </c>
      <c r="I9" s="36">
        <f>'SER_se-appl'!I33</f>
        <v>6309.4877802158699</v>
      </c>
      <c r="J9" s="36">
        <f>'SER_se-appl'!J33</f>
        <v>6591.1241655823069</v>
      </c>
      <c r="K9" s="36">
        <f>'SER_se-appl'!K33</f>
        <v>7500.9322632499498</v>
      </c>
      <c r="L9" s="36">
        <f>'SER_se-appl'!L33</f>
        <v>6867.0625408042251</v>
      </c>
      <c r="M9" s="36">
        <f>'SER_se-appl'!M33</f>
        <v>9658.9352366916246</v>
      </c>
      <c r="N9" s="36">
        <f>'SER_se-appl'!N33</f>
        <v>10877.824277356009</v>
      </c>
      <c r="O9" s="36">
        <f>'SER_se-appl'!O33</f>
        <v>11039.547222888905</v>
      </c>
      <c r="P9" s="36">
        <f>'SER_se-appl'!P33</f>
        <v>14188.7343042703</v>
      </c>
      <c r="Q9" s="36">
        <f>'SER_se-appl'!Q33</f>
        <v>11471.561732882743</v>
      </c>
      <c r="R9" s="36">
        <f>'SER_se-appl'!R33</f>
        <v>11864.546266513833</v>
      </c>
      <c r="S9" s="36">
        <f>'SER_se-appl'!S33</f>
        <v>14144.392892522432</v>
      </c>
      <c r="T9" s="36">
        <f>'SER_se-appl'!T33</f>
        <v>14130.276789264222</v>
      </c>
      <c r="U9" s="36">
        <f>'SER_se-appl'!U33</f>
        <v>16758.229917794524</v>
      </c>
      <c r="V9" s="36">
        <f>'SER_se-appl'!V33</f>
        <v>13933.830040100998</v>
      </c>
      <c r="W9" s="36">
        <f>'SER_se-appl'!W33</f>
        <v>14403.967329850639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1985.8016752915428</v>
      </c>
      <c r="D10" s="38">
        <f>'SER_se-appl'!D41</f>
        <v>1985.8016752915428</v>
      </c>
      <c r="E10" s="38">
        <f>'SER_se-appl'!E41</f>
        <v>1985.801675291541</v>
      </c>
      <c r="F10" s="38">
        <f>'SER_se-appl'!F41</f>
        <v>1985.8016752915428</v>
      </c>
      <c r="G10" s="38">
        <f>'SER_se-appl'!G41</f>
        <v>1985.8016752915428</v>
      </c>
      <c r="H10" s="38">
        <f>'SER_se-appl'!H41</f>
        <v>3427.8963542711863</v>
      </c>
      <c r="I10" s="38">
        <f>'SER_se-appl'!I41</f>
        <v>3665.3471871905422</v>
      </c>
      <c r="J10" s="38">
        <f>'SER_se-appl'!J41</f>
        <v>3955.4250998037787</v>
      </c>
      <c r="K10" s="38">
        <f>'SER_se-appl'!K41</f>
        <v>4472.578403320349</v>
      </c>
      <c r="L10" s="38">
        <f>'SER_se-appl'!L41</f>
        <v>4196.0806718378299</v>
      </c>
      <c r="M10" s="38">
        <f>'SER_se-appl'!M41</f>
        <v>5824.5239848482743</v>
      </c>
      <c r="N10" s="38">
        <f>'SER_se-appl'!N41</f>
        <v>6309.4877802158662</v>
      </c>
      <c r="O10" s="38">
        <f>'SER_se-appl'!O41</f>
        <v>6591.1241655823032</v>
      </c>
      <c r="P10" s="38">
        <f>'SER_se-appl'!P41</f>
        <v>7500.9322632499461</v>
      </c>
      <c r="Q10" s="38">
        <f>'SER_se-appl'!Q41</f>
        <v>6867.0625408042251</v>
      </c>
      <c r="R10" s="38">
        <f>'SER_se-appl'!R41</f>
        <v>9658.9352366916282</v>
      </c>
      <c r="S10" s="38">
        <f>'SER_se-appl'!S41</f>
        <v>10877.824277356005</v>
      </c>
      <c r="T10" s="38">
        <f>'SER_se-appl'!T41</f>
        <v>11039.547222888912</v>
      </c>
      <c r="U10" s="38">
        <f>'SER_se-appl'!U41</f>
        <v>14188.7343042703</v>
      </c>
      <c r="V10" s="38">
        <f>'SER_se-appl'!V41</f>
        <v>11471.561732882736</v>
      </c>
      <c r="W10" s="38">
        <f>'SER_se-appl'!W41</f>
        <v>11864.546266513833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1681.0020977479692</v>
      </c>
      <c r="C12" s="205">
        <f>'SER_se-appl'!C49</f>
        <v>1698.3367059710354</v>
      </c>
      <c r="D12" s="205">
        <f>'SER_se-appl'!D49</f>
        <v>1730.2484448367006</v>
      </c>
      <c r="E12" s="205">
        <f>'SER_se-appl'!E49</f>
        <v>1759.9739597883117</v>
      </c>
      <c r="F12" s="205">
        <f>'SER_se-appl'!F49</f>
        <v>1789.9105224266832</v>
      </c>
      <c r="G12" s="205">
        <f>'SER_se-appl'!G49</f>
        <v>1817.9971227960184</v>
      </c>
      <c r="H12" s="205">
        <f>'SER_se-appl'!H49</f>
        <v>1846.9983555525978</v>
      </c>
      <c r="I12" s="205">
        <f>'SER_se-appl'!I49</f>
        <v>1869.6384489684742</v>
      </c>
      <c r="J12" s="205">
        <f>'SER_se-appl'!J49</f>
        <v>1891.2787712283955</v>
      </c>
      <c r="K12" s="205">
        <f>'SER_se-appl'!K49</f>
        <v>1907.0836369368537</v>
      </c>
      <c r="L12" s="205">
        <f>'SER_se-appl'!L49</f>
        <v>1930.964344429658</v>
      </c>
      <c r="M12" s="205">
        <f>'SER_se-appl'!M49</f>
        <v>1953.1475152830978</v>
      </c>
      <c r="N12" s="205">
        <f>'SER_se-appl'!N49</f>
        <v>1969.7675771448153</v>
      </c>
      <c r="O12" s="205">
        <f>'SER_se-appl'!O49</f>
        <v>1987.3202232257975</v>
      </c>
      <c r="P12" s="205">
        <f>'SER_se-appl'!P49</f>
        <v>2006.6820699045811</v>
      </c>
      <c r="Q12" s="205">
        <f>'SER_se-appl'!Q49</f>
        <v>2027.3258925900086</v>
      </c>
      <c r="R12" s="205">
        <f>'SER_se-appl'!R49</f>
        <v>2053.224074831176</v>
      </c>
      <c r="S12" s="205">
        <f>'SER_se-appl'!S49</f>
        <v>2095.53429727808</v>
      </c>
      <c r="T12" s="205">
        <f>'SER_se-appl'!T49</f>
        <v>2104.405818350107</v>
      </c>
      <c r="U12" s="205">
        <f>'SER_se-appl'!U49</f>
        <v>2118.2663791371292</v>
      </c>
      <c r="V12" s="205">
        <f>'SER_se-appl'!V49</f>
        <v>2024.8451894560055</v>
      </c>
      <c r="W12" s="205">
        <f>'SER_se-appl'!W49</f>
        <v>2077.708739511002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376.18329413578522</v>
      </c>
      <c r="C14" s="59">
        <f>'SER_se-appl'!C57</f>
        <v>365.4119422021987</v>
      </c>
      <c r="D14" s="59">
        <f>'SER_se-appl'!D57</f>
        <v>352.15800951389906</v>
      </c>
      <c r="E14" s="59">
        <f>'SER_se-appl'!E57</f>
        <v>338.05708816648689</v>
      </c>
      <c r="F14" s="59">
        <f>'SER_se-appl'!F57</f>
        <v>322.71920949029499</v>
      </c>
      <c r="G14" s="59">
        <f>'SER_se-appl'!G57</f>
        <v>308.51012867621296</v>
      </c>
      <c r="H14" s="59">
        <f>'SER_se-appl'!H57</f>
        <v>291.98533030220312</v>
      </c>
      <c r="I14" s="59">
        <f>'SER_se-appl'!I57</f>
        <v>275.8137332602704</v>
      </c>
      <c r="J14" s="59">
        <f>'SER_se-appl'!J57</f>
        <v>259.5566046941683</v>
      </c>
      <c r="K14" s="59">
        <f>'SER_se-appl'!K57</f>
        <v>242.14160161356088</v>
      </c>
      <c r="L14" s="59">
        <f>'SER_se-appl'!L57</f>
        <v>226.0242035389897</v>
      </c>
      <c r="M14" s="59">
        <f>'SER_se-appl'!M57</f>
        <v>206.43383842392333</v>
      </c>
      <c r="N14" s="59">
        <f>'SER_se-appl'!N57</f>
        <v>189.31474513337866</v>
      </c>
      <c r="O14" s="59">
        <f>'SER_se-appl'!O57</f>
        <v>176.01123668681657</v>
      </c>
      <c r="P14" s="59">
        <f>'SER_se-appl'!P57</f>
        <v>164.83240569884117</v>
      </c>
      <c r="Q14" s="59">
        <f>'SER_se-appl'!Q57</f>
        <v>159.33841070561951</v>
      </c>
      <c r="R14" s="59">
        <f>'SER_se-appl'!R57</f>
        <v>154.95179169778501</v>
      </c>
      <c r="S14" s="59">
        <f>'SER_se-appl'!S57</f>
        <v>151.13736681327376</v>
      </c>
      <c r="T14" s="59">
        <f>'SER_se-appl'!T57</f>
        <v>147.99355395857845</v>
      </c>
      <c r="U14" s="59">
        <f>'SER_se-appl'!U57</f>
        <v>144.58858501886891</v>
      </c>
      <c r="V14" s="59">
        <f>'SER_se-appl'!V57</f>
        <v>141.43683015344595</v>
      </c>
      <c r="W14" s="59">
        <f>'SER_se-appl'!W57</f>
        <v>138.19380502740009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340.45229756391336</v>
      </c>
      <c r="D15" s="63">
        <f>'SER_se-appl'!D65</f>
        <v>324.05633761854506</v>
      </c>
      <c r="E15" s="63">
        <f>'SER_se-appl'!E65</f>
        <v>310.67315785271154</v>
      </c>
      <c r="F15" s="63">
        <f>'SER_se-appl'!F65</f>
        <v>294.94774760933115</v>
      </c>
      <c r="G15" s="63">
        <f>'SER_se-appl'!G65</f>
        <v>281.2528870548752</v>
      </c>
      <c r="H15" s="63">
        <f>'SER_se-appl'!H65</f>
        <v>264.56933458743225</v>
      </c>
      <c r="I15" s="63">
        <f>'SER_se-appl'!I65</f>
        <v>247.15973043383872</v>
      </c>
      <c r="J15" s="63">
        <f>'SER_se-appl'!J65</f>
        <v>229.166060329049</v>
      </c>
      <c r="K15" s="63">
        <f>'SER_se-appl'!K65</f>
        <v>210.02780724528807</v>
      </c>
      <c r="L15" s="63">
        <f>'SER_se-appl'!L65</f>
        <v>188.36882023872872</v>
      </c>
      <c r="M15" s="63">
        <f>'SER_se-appl'!M65</f>
        <v>174.37078856087513</v>
      </c>
      <c r="N15" s="63">
        <f>'SER_se-appl'!N65</f>
        <v>164.75157868157817</v>
      </c>
      <c r="O15" s="63">
        <f>'SER_se-appl'!O65</f>
        <v>157.7413997806938</v>
      </c>
      <c r="P15" s="63">
        <f>'SER_se-appl'!P65</f>
        <v>152.52715475588116</v>
      </c>
      <c r="Q15" s="63">
        <f>'SER_se-appl'!Q65</f>
        <v>151.50975774585325</v>
      </c>
      <c r="R15" s="63">
        <f>'SER_se-appl'!R65</f>
        <v>149.59900911478539</v>
      </c>
      <c r="S15" s="63">
        <f>'SER_se-appl'!S65</f>
        <v>145.57722324659252</v>
      </c>
      <c r="T15" s="63">
        <f>'SER_se-appl'!T65</f>
        <v>141.6573106328475</v>
      </c>
      <c r="U15" s="63">
        <f>'SER_se-appl'!U65</f>
        <v>137.94068495122329</v>
      </c>
      <c r="V15" s="63">
        <f>'SER_se-appl'!V65</f>
        <v>134.26506608359117</v>
      </c>
      <c r="W15" s="63">
        <f>'SER_se-appl'!W65</f>
        <v>131.64074684986227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38369.547742422183</v>
      </c>
      <c r="C3" s="220">
        <v>39173.264035776883</v>
      </c>
      <c r="D3" s="220">
        <v>37761.667100314589</v>
      </c>
      <c r="E3" s="220">
        <v>34981.3324675927</v>
      </c>
      <c r="F3" s="220">
        <v>35567.541569328023</v>
      </c>
      <c r="G3" s="220">
        <v>33318.734137412117</v>
      </c>
      <c r="H3" s="220">
        <v>30962.047661076791</v>
      </c>
      <c r="I3" s="220">
        <v>33639.498533629827</v>
      </c>
      <c r="J3" s="220">
        <v>31683.178707862811</v>
      </c>
      <c r="K3" s="220">
        <v>26822.859416056868</v>
      </c>
      <c r="L3" s="220">
        <v>33184.71667789932</v>
      </c>
      <c r="M3" s="220">
        <v>35020.309697107157</v>
      </c>
      <c r="N3" s="220">
        <v>34834.285480689643</v>
      </c>
      <c r="O3" s="220">
        <v>31346.55595931708</v>
      </c>
      <c r="P3" s="220">
        <v>33851.010228755847</v>
      </c>
      <c r="Q3" s="220">
        <v>35299</v>
      </c>
      <c r="R3" s="220">
        <v>31941.860580797282</v>
      </c>
      <c r="S3" s="220">
        <v>35148.996111419729</v>
      </c>
      <c r="T3" s="220">
        <v>38341.499891768501</v>
      </c>
      <c r="U3" s="220">
        <v>36048.567265662939</v>
      </c>
      <c r="V3" s="220">
        <v>34498.030568590868</v>
      </c>
      <c r="W3" s="220">
        <v>37749.314327294444</v>
      </c>
      <c r="DA3" s="211" t="s">
        <v>972</v>
      </c>
    </row>
    <row r="5" spans="1:105" x14ac:dyDescent="0.25">
      <c r="A5" s="219" t="s">
        <v>120</v>
      </c>
      <c r="B5" s="220">
        <v>34286.127757339338</v>
      </c>
      <c r="C5" s="220">
        <v>36731.060593260459</v>
      </c>
      <c r="D5" s="220">
        <v>35916.196735913421</v>
      </c>
      <c r="E5" s="220">
        <v>33467.631994451047</v>
      </c>
      <c r="F5" s="220">
        <v>37212.380272499773</v>
      </c>
      <c r="G5" s="220">
        <v>32142.905136644858</v>
      </c>
      <c r="H5" s="220">
        <v>32990.864271483908</v>
      </c>
      <c r="I5" s="220">
        <v>34195.609877320378</v>
      </c>
      <c r="J5" s="220">
        <v>34075.92820028909</v>
      </c>
      <c r="K5" s="220">
        <v>30642.59669889529</v>
      </c>
      <c r="L5" s="220">
        <v>32504.329257102319</v>
      </c>
      <c r="M5" s="220">
        <v>35867.765170375787</v>
      </c>
      <c r="N5" s="220">
        <v>34272.795733172279</v>
      </c>
      <c r="O5" s="220">
        <v>36265.786866647257</v>
      </c>
      <c r="P5" s="220">
        <v>36306.224050104451</v>
      </c>
      <c r="Q5" s="220">
        <v>35776.027009016507</v>
      </c>
      <c r="R5" s="220">
        <v>33487.069092608333</v>
      </c>
      <c r="S5" s="220">
        <v>36196.43004262467</v>
      </c>
      <c r="T5" s="220">
        <v>32812.50328794356</v>
      </c>
      <c r="U5" s="220">
        <v>32380.814996726629</v>
      </c>
      <c r="V5" s="220">
        <v>32496.057727662181</v>
      </c>
      <c r="W5" s="220">
        <v>33671.47009523715</v>
      </c>
      <c r="DA5" s="211" t="s">
        <v>973</v>
      </c>
    </row>
    <row r="6" spans="1:105" x14ac:dyDescent="0.25">
      <c r="A6" s="221" t="s">
        <v>119</v>
      </c>
      <c r="B6" s="222">
        <v>42857.659696674171</v>
      </c>
      <c r="C6" s="222">
        <v>40714.776711840459</v>
      </c>
      <c r="D6" s="222">
        <v>38571.893727006747</v>
      </c>
      <c r="E6" s="222">
        <v>38571.893727006747</v>
      </c>
      <c r="F6" s="222">
        <v>40714.776711840459</v>
      </c>
      <c r="G6" s="222">
        <v>38571.893727006747</v>
      </c>
      <c r="H6" s="222">
        <v>38571.893727006747</v>
      </c>
      <c r="I6" s="222">
        <v>36429.010742173043</v>
      </c>
      <c r="J6" s="222">
        <v>36429.010742173043</v>
      </c>
      <c r="K6" s="222">
        <v>36429.010742173043</v>
      </c>
      <c r="L6" s="222">
        <v>34286.127757339324</v>
      </c>
      <c r="M6" s="222">
        <v>38571.89372700674</v>
      </c>
      <c r="N6" s="222">
        <v>38571.89372700674</v>
      </c>
      <c r="O6" s="222">
        <v>38571.89372700674</v>
      </c>
      <c r="P6" s="222">
        <v>38571.89372700674</v>
      </c>
      <c r="Q6" s="222">
        <v>38571.89372700674</v>
      </c>
      <c r="R6" s="222">
        <v>36429.010742173028</v>
      </c>
      <c r="S6" s="222">
        <v>38571.89372700674</v>
      </c>
      <c r="T6" s="222">
        <v>38571.89372700674</v>
      </c>
      <c r="U6" s="222">
        <v>36429.010742173028</v>
      </c>
      <c r="V6" s="222">
        <v>34286.127757339324</v>
      </c>
      <c r="W6" s="222">
        <v>36429.010742173028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4285.7659696674173</v>
      </c>
      <c r="G7" s="226">
        <v>0</v>
      </c>
      <c r="H7" s="226">
        <v>0</v>
      </c>
      <c r="I7" s="226">
        <v>0</v>
      </c>
      <c r="J7" s="226">
        <v>2142.8829848337091</v>
      </c>
      <c r="K7" s="226">
        <v>0</v>
      </c>
      <c r="L7" s="226">
        <v>0</v>
      </c>
      <c r="M7" s="226">
        <v>6428.6489545011264</v>
      </c>
      <c r="N7" s="226">
        <v>0</v>
      </c>
      <c r="O7" s="226">
        <v>2142.8829848337091</v>
      </c>
      <c r="P7" s="226">
        <v>2142.8829848337091</v>
      </c>
      <c r="Q7" s="226">
        <v>0</v>
      </c>
      <c r="R7" s="226">
        <v>0</v>
      </c>
      <c r="S7" s="226">
        <v>4285.7659696674173</v>
      </c>
      <c r="T7" s="226">
        <v>0</v>
      </c>
      <c r="U7" s="226">
        <v>0</v>
      </c>
      <c r="V7" s="226">
        <v>0</v>
      </c>
      <c r="W7" s="226">
        <v>2142.8829848337091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2142.8829848337118</v>
      </c>
      <c r="D8" s="228">
        <f t="shared" ref="D8" si="1">IF(C6=0,0,C6+D7-D6)</f>
        <v>2142.8829848337118</v>
      </c>
      <c r="E8" s="228">
        <f t="shared" ref="E8" si="2">IF(D6=0,0,D6+E7-E6)</f>
        <v>0</v>
      </c>
      <c r="F8" s="228">
        <f t="shared" ref="F8" si="3">IF(E6=0,0,E6+F7-F6)</f>
        <v>2142.8829848337045</v>
      </c>
      <c r="G8" s="228">
        <f t="shared" ref="G8" si="4">IF(F6=0,0,F6+G7-G6)</f>
        <v>2142.8829848337118</v>
      </c>
      <c r="H8" s="228">
        <f t="shared" ref="H8" si="5">IF(G6=0,0,G6+H7-H6)</f>
        <v>0</v>
      </c>
      <c r="I8" s="228">
        <f t="shared" ref="I8" si="6">IF(H6=0,0,H6+I7-I6)</f>
        <v>2142.8829848337045</v>
      </c>
      <c r="J8" s="228">
        <f t="shared" ref="J8" si="7">IF(I6=0,0,I6+J7-J6)</f>
        <v>2142.8829848337118</v>
      </c>
      <c r="K8" s="228">
        <f t="shared" ref="K8" si="8">IF(J6=0,0,J6+K7-K6)</f>
        <v>0</v>
      </c>
      <c r="L8" s="228">
        <f t="shared" ref="L8" si="9">IF(K6=0,0,K6+L7-L6)</f>
        <v>2142.8829848337191</v>
      </c>
      <c r="M8" s="228">
        <f t="shared" ref="M8" si="10">IF(L6=0,0,L6+M7-M6)</f>
        <v>2142.8829848337118</v>
      </c>
      <c r="N8" s="228">
        <f t="shared" ref="N8" si="11">IF(M6=0,0,M6+N7-N6)</f>
        <v>0</v>
      </c>
      <c r="O8" s="228">
        <f t="shared" ref="O8" si="12">IF(N6=0,0,N6+O7-O6)</f>
        <v>2142.8829848337118</v>
      </c>
      <c r="P8" s="228">
        <f t="shared" ref="P8" si="13">IF(O6=0,0,O6+P7-P6)</f>
        <v>2142.8829848337118</v>
      </c>
      <c r="Q8" s="228">
        <f t="shared" ref="Q8" si="14">IF(P6=0,0,P6+Q7-Q6)</f>
        <v>0</v>
      </c>
      <c r="R8" s="228">
        <f t="shared" ref="R8" si="15">IF(Q6=0,0,Q6+R7-R6)</f>
        <v>2142.8829848337118</v>
      </c>
      <c r="S8" s="228">
        <f t="shared" ref="S8" si="16">IF(R6=0,0,R6+S7-S6)</f>
        <v>2142.8829848337045</v>
      </c>
      <c r="T8" s="228">
        <f t="shared" ref="T8" si="17">IF(S6=0,0,S6+T7-T6)</f>
        <v>0</v>
      </c>
      <c r="U8" s="228">
        <f t="shared" ref="U8" si="18">IF(T6=0,0,T6+U7-U6)</f>
        <v>2142.8829848337118</v>
      </c>
      <c r="V8" s="228">
        <f t="shared" ref="V8" si="19">IF(U6=0,0,U6+V7-V6)</f>
        <v>2142.8829848337045</v>
      </c>
      <c r="W8" s="228">
        <f t="shared" ref="W8" si="20">IF(V6=0,0,V6+W7-W6)</f>
        <v>7.2759576141834259E-12</v>
      </c>
      <c r="DA8" s="214" t="s">
        <v>976</v>
      </c>
    </row>
    <row r="9" spans="1:105" x14ac:dyDescent="0.25">
      <c r="A9" s="223" t="s">
        <v>116</v>
      </c>
      <c r="B9" s="224">
        <f>B6-B5</f>
        <v>8571.5319393348327</v>
      </c>
      <c r="C9" s="224">
        <f t="shared" ref="C9:W9" si="21">C6-C5</f>
        <v>3983.7161185799996</v>
      </c>
      <c r="D9" s="224">
        <f t="shared" si="21"/>
        <v>2655.6969910933258</v>
      </c>
      <c r="E9" s="224">
        <f t="shared" si="21"/>
        <v>5104.2617325557003</v>
      </c>
      <c r="F9" s="224">
        <f t="shared" si="21"/>
        <v>3502.3964393406859</v>
      </c>
      <c r="G9" s="224">
        <f t="shared" si="21"/>
        <v>6428.9885903618888</v>
      </c>
      <c r="H9" s="224">
        <f t="shared" si="21"/>
        <v>5581.0294555228393</v>
      </c>
      <c r="I9" s="224">
        <f t="shared" si="21"/>
        <v>2233.4008648526651</v>
      </c>
      <c r="J9" s="224">
        <f t="shared" si="21"/>
        <v>2353.0825418839522</v>
      </c>
      <c r="K9" s="224">
        <f t="shared" si="21"/>
        <v>5786.4140432777531</v>
      </c>
      <c r="L9" s="224">
        <f t="shared" si="21"/>
        <v>1781.7985002370042</v>
      </c>
      <c r="M9" s="224">
        <f t="shared" si="21"/>
        <v>2704.1285566309525</v>
      </c>
      <c r="N9" s="224">
        <f t="shared" si="21"/>
        <v>4299.0979938344608</v>
      </c>
      <c r="O9" s="224">
        <f t="shared" si="21"/>
        <v>2306.1068603594831</v>
      </c>
      <c r="P9" s="224">
        <f t="shared" si="21"/>
        <v>2265.6696769022892</v>
      </c>
      <c r="Q9" s="224">
        <f t="shared" si="21"/>
        <v>2795.8667179902332</v>
      </c>
      <c r="R9" s="224">
        <f t="shared" si="21"/>
        <v>2941.9416495646947</v>
      </c>
      <c r="S9" s="224">
        <f t="shared" si="21"/>
        <v>2375.4636843820699</v>
      </c>
      <c r="T9" s="224">
        <f t="shared" si="21"/>
        <v>5759.3904390631797</v>
      </c>
      <c r="U9" s="224">
        <f t="shared" si="21"/>
        <v>4048.1957454463991</v>
      </c>
      <c r="V9" s="224">
        <f t="shared" si="21"/>
        <v>1790.0700296771429</v>
      </c>
      <c r="W9" s="224">
        <f t="shared" si="21"/>
        <v>2757.5406469358786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4335.7854686156488</v>
      </c>
      <c r="C12" s="230">
        <f t="shared" ref="C12:W12" si="22">SUM(C13,C14,C18,C19,C26,C27)</f>
        <v>4493.9730868443676</v>
      </c>
      <c r="D12" s="230">
        <f t="shared" si="22"/>
        <v>4590.4693035253649</v>
      </c>
      <c r="E12" s="230">
        <f t="shared" si="22"/>
        <v>4532.6177987962174</v>
      </c>
      <c r="F12" s="230">
        <f t="shared" si="22"/>
        <v>5017.8524505588994</v>
      </c>
      <c r="G12" s="230">
        <f t="shared" si="22"/>
        <v>4963.7181427343085</v>
      </c>
      <c r="H12" s="230">
        <f t="shared" si="22"/>
        <v>4847.3543422184002</v>
      </c>
      <c r="I12" s="230">
        <f t="shared" si="22"/>
        <v>4692.9546001719682</v>
      </c>
      <c r="J12" s="230">
        <f t="shared" si="22"/>
        <v>4747.7047291487543</v>
      </c>
      <c r="K12" s="230">
        <f t="shared" si="22"/>
        <v>4791.283576956148</v>
      </c>
      <c r="L12" s="230">
        <f t="shared" si="22"/>
        <v>4699.6663800515898</v>
      </c>
      <c r="M12" s="230">
        <f t="shared" si="22"/>
        <v>4763.2487532244195</v>
      </c>
      <c r="N12" s="230">
        <f t="shared" si="22"/>
        <v>4628.3016337059325</v>
      </c>
      <c r="O12" s="230">
        <f t="shared" si="22"/>
        <v>4821.5437661220976</v>
      </c>
      <c r="P12" s="230">
        <f t="shared" si="22"/>
        <v>4725.5962166809968</v>
      </c>
      <c r="Q12" s="230">
        <f t="shared" si="22"/>
        <v>4755.2840068787609</v>
      </c>
      <c r="R12" s="230">
        <f t="shared" si="22"/>
        <v>4533.6605331040419</v>
      </c>
      <c r="S12" s="230">
        <f t="shared" si="22"/>
        <v>4521.0104901117793</v>
      </c>
      <c r="T12" s="230">
        <f t="shared" si="22"/>
        <v>4635.7457437661214</v>
      </c>
      <c r="U12" s="230">
        <f t="shared" si="22"/>
        <v>4598.4638005159068</v>
      </c>
      <c r="V12" s="230">
        <f t="shared" si="22"/>
        <v>4829.7594153052451</v>
      </c>
      <c r="W12" s="230">
        <f t="shared" si="22"/>
        <v>4799.5361134995692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2.1572656921754083</v>
      </c>
      <c r="N13" s="59">
        <v>2.1572656921754083</v>
      </c>
      <c r="O13" s="59">
        <v>2.1572656921754083</v>
      </c>
      <c r="P13" s="59">
        <v>2.1572656921754083</v>
      </c>
      <c r="Q13" s="59">
        <v>2.1572656921754083</v>
      </c>
      <c r="R13" s="59">
        <v>2.00627687016337</v>
      </c>
      <c r="S13" s="59">
        <v>2.0608770421324158</v>
      </c>
      <c r="T13" s="59">
        <v>1.568529664660361</v>
      </c>
      <c r="U13" s="59">
        <v>1.4430782459157352</v>
      </c>
      <c r="V13" s="59">
        <v>1.3254514187446258</v>
      </c>
      <c r="W13" s="59">
        <v>1.4190025795356833</v>
      </c>
      <c r="DA13" s="9" t="s">
        <v>979</v>
      </c>
    </row>
    <row r="14" spans="1:105" x14ac:dyDescent="0.25">
      <c r="A14" s="60" t="s">
        <v>28</v>
      </c>
      <c r="B14" s="55">
        <f>SUM(B15:B17)</f>
        <v>3760.4996560619088</v>
      </c>
      <c r="C14" s="55">
        <f t="shared" ref="C14:W14" si="23">SUM(C15:C17)</f>
        <v>3856.6208942390367</v>
      </c>
      <c r="D14" s="55">
        <f t="shared" si="23"/>
        <v>3963.2631986242468</v>
      </c>
      <c r="E14" s="55">
        <f t="shared" si="23"/>
        <v>3892.8085984522781</v>
      </c>
      <c r="F14" s="55">
        <f t="shared" si="23"/>
        <v>4039.8976784178853</v>
      </c>
      <c r="G14" s="55">
        <f t="shared" si="23"/>
        <v>3933.4429062768704</v>
      </c>
      <c r="H14" s="55">
        <f t="shared" si="23"/>
        <v>3824.9472914875319</v>
      </c>
      <c r="I14" s="55">
        <f t="shared" si="23"/>
        <v>3736.6110920034389</v>
      </c>
      <c r="J14" s="55">
        <f t="shared" si="23"/>
        <v>3822.7728288908006</v>
      </c>
      <c r="K14" s="55">
        <f t="shared" si="23"/>
        <v>3813.8005159071372</v>
      </c>
      <c r="L14" s="55">
        <f t="shared" si="23"/>
        <v>3695.9028374892514</v>
      </c>
      <c r="M14" s="55">
        <f t="shared" si="23"/>
        <v>3742.4288048151334</v>
      </c>
      <c r="N14" s="55">
        <f t="shared" si="23"/>
        <v>3534.4333619948407</v>
      </c>
      <c r="O14" s="55">
        <f t="shared" si="23"/>
        <v>3728.0400687876181</v>
      </c>
      <c r="P14" s="55">
        <f t="shared" si="23"/>
        <v>3657.410060189166</v>
      </c>
      <c r="Q14" s="55">
        <f t="shared" si="23"/>
        <v>3643.5182287188304</v>
      </c>
      <c r="R14" s="55">
        <f t="shared" si="23"/>
        <v>3326.2509888220129</v>
      </c>
      <c r="S14" s="55">
        <f t="shared" si="23"/>
        <v>3253.2963026655202</v>
      </c>
      <c r="T14" s="55">
        <f t="shared" si="23"/>
        <v>3308.4766122098022</v>
      </c>
      <c r="U14" s="55">
        <f t="shared" si="23"/>
        <v>3249.1343938091145</v>
      </c>
      <c r="V14" s="55">
        <f t="shared" si="23"/>
        <v>3511.0269131556315</v>
      </c>
      <c r="W14" s="55">
        <f t="shared" si="23"/>
        <v>3472.6374032674112</v>
      </c>
      <c r="DA14" s="10"/>
    </row>
    <row r="15" spans="1:105" x14ac:dyDescent="0.25">
      <c r="A15" s="61" t="s">
        <v>52</v>
      </c>
      <c r="B15" s="55">
        <v>467.71281169389499</v>
      </c>
      <c r="C15" s="55">
        <v>462.06414445399821</v>
      </c>
      <c r="D15" s="55">
        <v>328.7546861564918</v>
      </c>
      <c r="E15" s="55">
        <v>272.47540842648323</v>
      </c>
      <c r="F15" s="55">
        <v>325.40705073086838</v>
      </c>
      <c r="G15" s="55">
        <v>352.23490971625108</v>
      </c>
      <c r="H15" s="55">
        <v>339.44505588993979</v>
      </c>
      <c r="I15" s="55">
        <v>322.5405846947549</v>
      </c>
      <c r="J15" s="55">
        <v>326.25193465176272</v>
      </c>
      <c r="K15" s="55">
        <v>315.29690455717969</v>
      </c>
      <c r="L15" s="55">
        <v>335.16345657781602</v>
      </c>
      <c r="M15" s="55">
        <v>322.84488392089418</v>
      </c>
      <c r="N15" s="55">
        <v>339.68452278589848</v>
      </c>
      <c r="O15" s="55">
        <v>376.24677558039548</v>
      </c>
      <c r="P15" s="55">
        <v>306.36999140154768</v>
      </c>
      <c r="Q15" s="55">
        <v>311.72063628546857</v>
      </c>
      <c r="R15" s="55">
        <v>288.95580395528799</v>
      </c>
      <c r="S15" s="55">
        <v>270.27798796216678</v>
      </c>
      <c r="T15" s="55">
        <v>284.23026655202062</v>
      </c>
      <c r="U15" s="55">
        <v>311.42072226999142</v>
      </c>
      <c r="V15" s="55">
        <v>317.81401547721413</v>
      </c>
      <c r="W15" s="55">
        <v>317.9414445399828</v>
      </c>
      <c r="DA15" s="10" t="s">
        <v>980</v>
      </c>
    </row>
    <row r="16" spans="1:105" x14ac:dyDescent="0.25">
      <c r="A16" s="61" t="s">
        <v>172</v>
      </c>
      <c r="B16" s="55">
        <v>3159.1668959587278</v>
      </c>
      <c r="C16" s="55">
        <v>3270.0870163370591</v>
      </c>
      <c r="D16" s="55">
        <v>3521.7110920034384</v>
      </c>
      <c r="E16" s="55">
        <v>3531.7681857265688</v>
      </c>
      <c r="F16" s="55">
        <v>3619.6197764402414</v>
      </c>
      <c r="G16" s="55">
        <v>3501.7191745485816</v>
      </c>
      <c r="H16" s="55">
        <v>3399.4209802235596</v>
      </c>
      <c r="I16" s="55">
        <v>3341.2694754944109</v>
      </c>
      <c r="J16" s="55">
        <v>3419.8027515047297</v>
      </c>
      <c r="K16" s="55">
        <v>3426.8490111779884</v>
      </c>
      <c r="L16" s="55">
        <v>3292.0465176268267</v>
      </c>
      <c r="M16" s="55">
        <v>3350.7871883061052</v>
      </c>
      <c r="N16" s="55">
        <v>3124.9016337059329</v>
      </c>
      <c r="O16" s="55">
        <v>3280.034823731728</v>
      </c>
      <c r="P16" s="55">
        <v>3280.0450558899397</v>
      </c>
      <c r="Q16" s="55">
        <v>3281.1530524505588</v>
      </c>
      <c r="R16" s="55">
        <v>2987.5105760963033</v>
      </c>
      <c r="S16" s="55">
        <v>2933.233705932932</v>
      </c>
      <c r="T16" s="55">
        <v>2965.2485812553741</v>
      </c>
      <c r="U16" s="55">
        <v>2884.2295786758382</v>
      </c>
      <c r="V16" s="55">
        <v>3141.0850386930347</v>
      </c>
      <c r="W16" s="55">
        <v>3093.4911435941522</v>
      </c>
      <c r="DA16" s="10" t="s">
        <v>981</v>
      </c>
    </row>
    <row r="17" spans="1:105" x14ac:dyDescent="0.25">
      <c r="A17" s="61" t="s">
        <v>113</v>
      </c>
      <c r="B17" s="55">
        <v>133.61994840928634</v>
      </c>
      <c r="C17" s="55">
        <v>124.46973344797935</v>
      </c>
      <c r="D17" s="55">
        <v>112.7974204643164</v>
      </c>
      <c r="E17" s="55">
        <v>88.565004299226118</v>
      </c>
      <c r="F17" s="55">
        <v>94.870851246775558</v>
      </c>
      <c r="G17" s="55">
        <v>79.488822012037815</v>
      </c>
      <c r="H17" s="55">
        <v>86.081255374032665</v>
      </c>
      <c r="I17" s="55">
        <v>72.801031814273415</v>
      </c>
      <c r="J17" s="55">
        <v>76.718142734307804</v>
      </c>
      <c r="K17" s="55">
        <v>71.654600171969037</v>
      </c>
      <c r="L17" s="55">
        <v>68.692863284608777</v>
      </c>
      <c r="M17" s="55">
        <v>68.796732588134134</v>
      </c>
      <c r="N17" s="55">
        <v>69.847205503009448</v>
      </c>
      <c r="O17" s="55">
        <v>71.758469475494408</v>
      </c>
      <c r="P17" s="55">
        <v>70.995012897678421</v>
      </c>
      <c r="Q17" s="55">
        <v>50.644539982803103</v>
      </c>
      <c r="R17" s="55">
        <v>49.784608770421322</v>
      </c>
      <c r="S17" s="55">
        <v>49.784608770421322</v>
      </c>
      <c r="T17" s="55">
        <v>58.997764402407562</v>
      </c>
      <c r="U17" s="55">
        <v>53.484092863284602</v>
      </c>
      <c r="V17" s="55">
        <v>52.127858985382623</v>
      </c>
      <c r="W17" s="55">
        <v>61.204815133276</v>
      </c>
      <c r="DA17" s="10" t="s">
        <v>982</v>
      </c>
    </row>
    <row r="18" spans="1:105" x14ac:dyDescent="0.25">
      <c r="A18" s="60" t="s">
        <v>153</v>
      </c>
      <c r="B18" s="55">
        <v>295.8695614789338</v>
      </c>
      <c r="C18" s="55">
        <v>340.86319862424762</v>
      </c>
      <c r="D18" s="55">
        <v>320.14101461736891</v>
      </c>
      <c r="E18" s="55">
        <v>299.48245915735168</v>
      </c>
      <c r="F18" s="55">
        <v>326.63637145313839</v>
      </c>
      <c r="G18" s="55">
        <v>293.26844368013758</v>
      </c>
      <c r="H18" s="55">
        <v>265.60472914875322</v>
      </c>
      <c r="I18" s="55">
        <v>242.8821152192605</v>
      </c>
      <c r="J18" s="55">
        <v>230.28675838349099</v>
      </c>
      <c r="K18" s="55">
        <v>202.12588134135856</v>
      </c>
      <c r="L18" s="55">
        <v>205.67781599312119</v>
      </c>
      <c r="M18" s="55">
        <v>156.35760963026661</v>
      </c>
      <c r="N18" s="55">
        <v>191.96792777300081</v>
      </c>
      <c r="O18" s="55">
        <v>161.29785038693029</v>
      </c>
      <c r="P18" s="55">
        <v>176.252192605331</v>
      </c>
      <c r="Q18" s="55">
        <v>157.4772141014617</v>
      </c>
      <c r="R18" s="55">
        <v>165.15460017196901</v>
      </c>
      <c r="S18" s="55">
        <v>165.17007738607049</v>
      </c>
      <c r="T18" s="55">
        <v>199.03361994840932</v>
      </c>
      <c r="U18" s="55">
        <v>203.11427343078242</v>
      </c>
      <c r="V18" s="55">
        <v>193.60137575236456</v>
      </c>
      <c r="W18" s="55">
        <v>202.20636285468612</v>
      </c>
      <c r="DA18" s="10" t="s">
        <v>983</v>
      </c>
    </row>
    <row r="19" spans="1:105" x14ac:dyDescent="0.25">
      <c r="A19" s="60" t="s">
        <v>51</v>
      </c>
      <c r="B19" s="55">
        <f>SUM(B20:B25)</f>
        <v>45.022441960447118</v>
      </c>
      <c r="C19" s="55">
        <f t="shared" ref="C19:W19" si="24">SUM(C20:C25)</f>
        <v>48.939552880481514</v>
      </c>
      <c r="D19" s="55">
        <f t="shared" si="24"/>
        <v>48.939552880481514</v>
      </c>
      <c r="E19" s="55">
        <f t="shared" si="24"/>
        <v>49.011177987962164</v>
      </c>
      <c r="F19" s="55">
        <f t="shared" si="24"/>
        <v>49.08280309544282</v>
      </c>
      <c r="G19" s="55">
        <f t="shared" si="24"/>
        <v>97.711865864144443</v>
      </c>
      <c r="H19" s="55">
        <f t="shared" si="24"/>
        <v>103.49191745485813</v>
      </c>
      <c r="I19" s="55">
        <f t="shared" si="24"/>
        <v>109.67807394668958</v>
      </c>
      <c r="J19" s="55">
        <f t="shared" si="24"/>
        <v>116.48521066208082</v>
      </c>
      <c r="K19" s="55">
        <f t="shared" si="24"/>
        <v>123.76646603611343</v>
      </c>
      <c r="L19" s="55">
        <f t="shared" si="24"/>
        <v>132.65150472914871</v>
      </c>
      <c r="M19" s="55">
        <f t="shared" si="24"/>
        <v>149.3145313843508</v>
      </c>
      <c r="N19" s="55">
        <f t="shared" si="24"/>
        <v>160.1349957007738</v>
      </c>
      <c r="O19" s="55">
        <f t="shared" si="24"/>
        <v>165.39922613929485</v>
      </c>
      <c r="P19" s="55">
        <f t="shared" si="24"/>
        <v>170.31736887360279</v>
      </c>
      <c r="Q19" s="55">
        <f t="shared" si="24"/>
        <v>179.73912295786755</v>
      </c>
      <c r="R19" s="55">
        <f t="shared" si="24"/>
        <v>263.69071367153907</v>
      </c>
      <c r="S19" s="55">
        <f t="shared" si="24"/>
        <v>324.79079965606184</v>
      </c>
      <c r="T19" s="55">
        <f t="shared" si="24"/>
        <v>369.46276870163371</v>
      </c>
      <c r="U19" s="55">
        <f t="shared" si="24"/>
        <v>394.52252794496985</v>
      </c>
      <c r="V19" s="55">
        <f t="shared" si="24"/>
        <v>412.77815993121237</v>
      </c>
      <c r="W19" s="55">
        <f t="shared" si="24"/>
        <v>439.14058469475498</v>
      </c>
      <c r="DA19" s="10"/>
    </row>
    <row r="20" spans="1:105" x14ac:dyDescent="0.25">
      <c r="A20" s="61" t="s">
        <v>171</v>
      </c>
      <c r="B20" s="55">
        <v>39.982803095442819</v>
      </c>
      <c r="C20" s="55">
        <v>39.982803095442819</v>
      </c>
      <c r="D20" s="55">
        <v>39.982803095442819</v>
      </c>
      <c r="E20" s="55">
        <v>39.982803095442819</v>
      </c>
      <c r="F20" s="55">
        <v>39.982803095442819</v>
      </c>
      <c r="G20" s="55">
        <v>89.901633705932923</v>
      </c>
      <c r="H20" s="55">
        <v>95.681685296646606</v>
      </c>
      <c r="I20" s="55">
        <v>101.8200343938091</v>
      </c>
      <c r="J20" s="55">
        <v>108.3883061049011</v>
      </c>
      <c r="K20" s="55">
        <v>115.3386930352536</v>
      </c>
      <c r="L20" s="55">
        <v>122.76680997420461</v>
      </c>
      <c r="M20" s="55">
        <v>130.64866723989681</v>
      </c>
      <c r="N20" s="55">
        <v>131.5717110920034</v>
      </c>
      <c r="O20" s="55">
        <v>133.05021496130689</v>
      </c>
      <c r="P20" s="55">
        <v>134.92089423903701</v>
      </c>
      <c r="Q20" s="55">
        <v>137.1895098882201</v>
      </c>
      <c r="R20" s="55">
        <v>138.2906276870163</v>
      </c>
      <c r="S20" s="55">
        <v>149.60653482373175</v>
      </c>
      <c r="T20" s="55">
        <v>147.47136715391227</v>
      </c>
      <c r="U20" s="55">
        <v>151.00584694754937</v>
      </c>
      <c r="V20" s="55">
        <v>150.99200343938088</v>
      </c>
      <c r="W20" s="55">
        <v>158.2788478073947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7.1625107480653469E-2</v>
      </c>
      <c r="H21" s="55">
        <v>7.1625107480653469E-2</v>
      </c>
      <c r="I21" s="55">
        <v>7.1625107480653469E-2</v>
      </c>
      <c r="J21" s="55">
        <v>0.2149613069647463</v>
      </c>
      <c r="K21" s="55">
        <v>0.45382631126397238</v>
      </c>
      <c r="L21" s="55">
        <v>1.8152192605331039</v>
      </c>
      <c r="M21" s="55">
        <v>2.0810834049871021</v>
      </c>
      <c r="N21" s="55">
        <v>4.1107480653482371</v>
      </c>
      <c r="O21" s="55">
        <v>7.5043852106620799</v>
      </c>
      <c r="P21" s="55">
        <v>10.37910576096303</v>
      </c>
      <c r="Q21" s="55">
        <v>17.489337919174549</v>
      </c>
      <c r="R21" s="55">
        <v>18.377214101461739</v>
      </c>
      <c r="S21" s="55">
        <v>25.27515047291487</v>
      </c>
      <c r="T21" s="55">
        <v>31.61659501289768</v>
      </c>
      <c r="U21" s="55">
        <v>37.503439380911438</v>
      </c>
      <c r="V21" s="55">
        <v>42.241272570937227</v>
      </c>
      <c r="W21" s="55">
        <v>56.950042992261388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5.2450558899398104E-3</v>
      </c>
      <c r="R22" s="55">
        <v>81.961736887360274</v>
      </c>
      <c r="S22" s="55">
        <v>124.79621668099736</v>
      </c>
      <c r="T22" s="55">
        <v>165.2494411006019</v>
      </c>
      <c r="U22" s="55">
        <v>180.88615649183143</v>
      </c>
      <c r="V22" s="55">
        <v>194.40971625107483</v>
      </c>
      <c r="W22" s="55">
        <v>198.78331900257956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0.3821152192605331</v>
      </c>
      <c r="H23" s="55">
        <v>0.3821152192605331</v>
      </c>
      <c r="I23" s="55">
        <v>0.42992261392949271</v>
      </c>
      <c r="J23" s="55">
        <v>0.52545141874462586</v>
      </c>
      <c r="K23" s="55">
        <v>0.62098022355975924</v>
      </c>
      <c r="L23" s="55">
        <v>0.7165090283748925</v>
      </c>
      <c r="M23" s="55">
        <v>1.150558899398108</v>
      </c>
      <c r="N23" s="55">
        <v>1.0183147033533959</v>
      </c>
      <c r="O23" s="55">
        <v>1.410404127257094</v>
      </c>
      <c r="P23" s="55">
        <v>1.5831470335339639</v>
      </c>
      <c r="Q23" s="55">
        <v>1.620808254514188</v>
      </c>
      <c r="R23" s="55">
        <v>1.626913155631986</v>
      </c>
      <c r="S23" s="55">
        <v>1.6786758383490969</v>
      </c>
      <c r="T23" s="55">
        <v>1.6911435941530519</v>
      </c>
      <c r="U23" s="55">
        <v>1.6928632846087699</v>
      </c>
      <c r="V23" s="55">
        <v>1.700945829750645</v>
      </c>
      <c r="W23" s="55">
        <v>1.694153052450559</v>
      </c>
      <c r="DA23" s="10" t="s">
        <v>987</v>
      </c>
    </row>
    <row r="24" spans="1:105" x14ac:dyDescent="0.25">
      <c r="A24" s="61" t="s">
        <v>25</v>
      </c>
      <c r="B24" s="55">
        <v>5.0396388650042976</v>
      </c>
      <c r="C24" s="55">
        <v>8.9567497850386921</v>
      </c>
      <c r="D24" s="55">
        <v>8.9567497850386921</v>
      </c>
      <c r="E24" s="55">
        <v>9.0283748925193468</v>
      </c>
      <c r="F24" s="55">
        <v>9.1</v>
      </c>
      <c r="G24" s="55">
        <v>7.3564918314703345</v>
      </c>
      <c r="H24" s="55">
        <v>7.3564918314703345</v>
      </c>
      <c r="I24" s="55">
        <v>7.3564918314703345</v>
      </c>
      <c r="J24" s="55">
        <v>7.3564918314703345</v>
      </c>
      <c r="K24" s="55">
        <v>7.3529664660361131</v>
      </c>
      <c r="L24" s="55">
        <v>7.3529664660361131</v>
      </c>
      <c r="M24" s="55">
        <v>15.434221840068787</v>
      </c>
      <c r="N24" s="55">
        <v>23.434221840068783</v>
      </c>
      <c r="O24" s="55">
        <v>23.434221840068783</v>
      </c>
      <c r="P24" s="55">
        <v>23.434221840068783</v>
      </c>
      <c r="Q24" s="55">
        <v>23.434221840068783</v>
      </c>
      <c r="R24" s="55">
        <v>23.434221840068783</v>
      </c>
      <c r="S24" s="55">
        <v>23.434221840068783</v>
      </c>
      <c r="T24" s="55">
        <v>23.434221840068783</v>
      </c>
      <c r="U24" s="55">
        <v>23.434221840068783</v>
      </c>
      <c r="V24" s="55">
        <v>23.434221840068783</v>
      </c>
      <c r="W24" s="55">
        <v>23.434221840068783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10.527858985382631</v>
      </c>
      <c r="Q26" s="55">
        <v>6.6688736027515043</v>
      </c>
      <c r="R26" s="55">
        <v>10.075752364574379</v>
      </c>
      <c r="S26" s="55">
        <v>7.9509888220120368</v>
      </c>
      <c r="T26" s="55">
        <v>14.129664660361129</v>
      </c>
      <c r="U26" s="55">
        <v>21.150816852966461</v>
      </c>
      <c r="V26" s="55">
        <v>16.31685296646603</v>
      </c>
      <c r="W26" s="55">
        <v>22.964402407566642</v>
      </c>
      <c r="DA26" s="10" t="s">
        <v>990</v>
      </c>
    </row>
    <row r="27" spans="1:105" x14ac:dyDescent="0.25">
      <c r="A27" s="62" t="s">
        <v>24</v>
      </c>
      <c r="B27" s="63">
        <v>234.39380911435941</v>
      </c>
      <c r="C27" s="63">
        <v>247.54944110060191</v>
      </c>
      <c r="D27" s="63">
        <v>258.1255374032674</v>
      </c>
      <c r="E27" s="63">
        <v>291.31556319862426</v>
      </c>
      <c r="F27" s="63">
        <v>602.23559759243324</v>
      </c>
      <c r="G27" s="63">
        <v>639.29492691315556</v>
      </c>
      <c r="H27" s="63">
        <v>653.31040412725713</v>
      </c>
      <c r="I27" s="63">
        <v>603.78331900257956</v>
      </c>
      <c r="J27" s="63">
        <v>578.15993121238171</v>
      </c>
      <c r="K27" s="63">
        <v>651.59071367153899</v>
      </c>
      <c r="L27" s="63">
        <v>665.43422184006874</v>
      </c>
      <c r="M27" s="63">
        <v>712.99054170249349</v>
      </c>
      <c r="N27" s="63">
        <v>739.60808254514188</v>
      </c>
      <c r="O27" s="63">
        <v>764.64935511607905</v>
      </c>
      <c r="P27" s="63">
        <v>708.93147033533955</v>
      </c>
      <c r="Q27" s="63">
        <v>765.72330180567496</v>
      </c>
      <c r="R27" s="63">
        <v>766.48220120378312</v>
      </c>
      <c r="S27" s="63">
        <v>767.74144453998269</v>
      </c>
      <c r="T27" s="63">
        <v>743.07454858125527</v>
      </c>
      <c r="U27" s="63">
        <v>729.09871023215817</v>
      </c>
      <c r="V27" s="63">
        <v>694.71066208082539</v>
      </c>
      <c r="W27" s="63">
        <v>661.16835769561476</v>
      </c>
      <c r="DA27" s="11" t="s">
        <v>991</v>
      </c>
    </row>
    <row r="29" spans="1:105" x14ac:dyDescent="0.25">
      <c r="A29" s="219" t="s">
        <v>84</v>
      </c>
      <c r="B29" s="220">
        <v>12151.81418868</v>
      </c>
      <c r="C29" s="220">
        <v>12558.834750959999</v>
      </c>
      <c r="D29" s="220">
        <v>12901.153202999998</v>
      </c>
      <c r="E29" s="220">
        <v>12657.702153239999</v>
      </c>
      <c r="F29" s="220">
        <v>13155.76310328</v>
      </c>
      <c r="G29" s="220">
        <v>12732.96623004</v>
      </c>
      <c r="H29" s="220">
        <v>12338.54858088</v>
      </c>
      <c r="I29" s="220">
        <v>12016.716010200002</v>
      </c>
      <c r="J29" s="220">
        <v>12252.917450880002</v>
      </c>
      <c r="K29" s="220">
        <v>12164.383152720002</v>
      </c>
      <c r="L29" s="220">
        <v>11797.75563048</v>
      </c>
      <c r="M29" s="220">
        <v>11840.525159760025</v>
      </c>
      <c r="N29" s="220">
        <v>11270.910945960022</v>
      </c>
      <c r="O29" s="220">
        <v>11782.947565080021</v>
      </c>
      <c r="P29" s="220">
        <v>11630.311402680025</v>
      </c>
      <c r="Q29" s="220">
        <v>11538.877109760022</v>
      </c>
      <c r="R29" s="220">
        <v>10582.024962960024</v>
      </c>
      <c r="S29" s="220">
        <v>10390.689192875676</v>
      </c>
      <c r="T29" s="220">
        <v>10618.573458516612</v>
      </c>
      <c r="U29" s="220">
        <v>10431.146970559163</v>
      </c>
      <c r="V29" s="220">
        <v>11206.840439715308</v>
      </c>
      <c r="W29" s="220">
        <v>11111.623292107481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113.00069257323857</v>
      </c>
      <c r="C31" s="59">
        <f t="shared" si="25"/>
        <v>114.7204144832054</v>
      </c>
      <c r="D31" s="59">
        <f t="shared" si="25"/>
        <v>121.56426492852383</v>
      </c>
      <c r="E31" s="59">
        <f t="shared" si="25"/>
        <v>129.57247420450068</v>
      </c>
      <c r="F31" s="59">
        <f t="shared" si="25"/>
        <v>141.07954132219493</v>
      </c>
      <c r="G31" s="59">
        <f t="shared" si="25"/>
        <v>148.9767925234822</v>
      </c>
      <c r="H31" s="59">
        <f t="shared" si="25"/>
        <v>156.55793813379267</v>
      </c>
      <c r="I31" s="59">
        <f t="shared" si="25"/>
        <v>139.50726986849591</v>
      </c>
      <c r="J31" s="59">
        <f t="shared" si="25"/>
        <v>149.84938136811749</v>
      </c>
      <c r="K31" s="59">
        <f t="shared" si="25"/>
        <v>178.62687577924521</v>
      </c>
      <c r="L31" s="59">
        <f t="shared" si="25"/>
        <v>141.62141041214673</v>
      </c>
      <c r="M31" s="59">
        <f t="shared" si="25"/>
        <v>136.01389577710921</v>
      </c>
      <c r="N31" s="59">
        <f t="shared" si="25"/>
        <v>132.86627154363845</v>
      </c>
      <c r="O31" s="59">
        <f t="shared" si="25"/>
        <v>153.81414699527775</v>
      </c>
      <c r="P31" s="59">
        <f t="shared" si="25"/>
        <v>139.59985786972717</v>
      </c>
      <c r="Q31" s="59">
        <f t="shared" si="25"/>
        <v>134.71441136799231</v>
      </c>
      <c r="R31" s="59">
        <f t="shared" si="25"/>
        <v>141.93476681285046</v>
      </c>
      <c r="S31" s="59">
        <f t="shared" si="25"/>
        <v>128.62417110805978</v>
      </c>
      <c r="T31" s="59">
        <f t="shared" si="25"/>
        <v>120.90673961248358</v>
      </c>
      <c r="U31" s="59">
        <f t="shared" si="25"/>
        <v>127.56301149577298</v>
      </c>
      <c r="V31" s="59">
        <f t="shared" si="25"/>
        <v>140.00101848430023</v>
      </c>
      <c r="W31" s="59">
        <f t="shared" si="25"/>
        <v>127.14233884850431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126.45888445910968</v>
      </c>
      <c r="C32" s="55">
        <f t="shared" si="26"/>
        <v>122.34803499436488</v>
      </c>
      <c r="D32" s="55">
        <f t="shared" si="26"/>
        <v>127.8105623843866</v>
      </c>
      <c r="E32" s="55">
        <f t="shared" si="26"/>
        <v>135.43288032890192</v>
      </c>
      <c r="F32" s="55">
        <f t="shared" si="26"/>
        <v>134.84363036747558</v>
      </c>
      <c r="G32" s="55">
        <f t="shared" si="26"/>
        <v>154.42655608236757</v>
      </c>
      <c r="H32" s="55">
        <f t="shared" si="26"/>
        <v>146.93020171673027</v>
      </c>
      <c r="I32" s="55">
        <f t="shared" si="26"/>
        <v>137.23851152262927</v>
      </c>
      <c r="J32" s="55">
        <f t="shared" si="26"/>
        <v>139.32723127138399</v>
      </c>
      <c r="K32" s="55">
        <f t="shared" si="26"/>
        <v>156.36023356757102</v>
      </c>
      <c r="L32" s="55">
        <f t="shared" si="26"/>
        <v>144.5858594059342</v>
      </c>
      <c r="M32" s="55">
        <f t="shared" si="26"/>
        <v>132.80026593791024</v>
      </c>
      <c r="N32" s="55">
        <f t="shared" si="26"/>
        <v>135.04301399101351</v>
      </c>
      <c r="O32" s="55">
        <f t="shared" si="26"/>
        <v>132.95020410976804</v>
      </c>
      <c r="P32" s="55">
        <f t="shared" si="26"/>
        <v>130.15939664117732</v>
      </c>
      <c r="Q32" s="55">
        <f t="shared" si="26"/>
        <v>132.91816907674806</v>
      </c>
      <c r="R32" s="55">
        <f t="shared" si="26"/>
        <v>135.38540863538176</v>
      </c>
      <c r="S32" s="55">
        <f t="shared" si="26"/>
        <v>124.90211009173744</v>
      </c>
      <c r="T32" s="55">
        <f t="shared" si="26"/>
        <v>141.27985612939972</v>
      </c>
      <c r="U32" s="55">
        <f t="shared" si="26"/>
        <v>142.0119845958406</v>
      </c>
      <c r="V32" s="55">
        <f t="shared" si="26"/>
        <v>148.62601044661258</v>
      </c>
      <c r="W32" s="55">
        <f t="shared" si="26"/>
        <v>142.54014154785793</v>
      </c>
      <c r="DA32" s="217"/>
    </row>
    <row r="33" spans="1:105" x14ac:dyDescent="0.25">
      <c r="A33" s="35" t="s">
        <v>111</v>
      </c>
      <c r="B33" s="55">
        <f>IF(AGR_ued!B$5=0,"",AGR_ued!B$5/B$5*1000)</f>
        <v>47.131019577304421</v>
      </c>
      <c r="C33" s="55">
        <f>IF(AGR_ued!C$5=0,"",AGR_ued!C$5/C$5*1000)</f>
        <v>45.701870322231649</v>
      </c>
      <c r="D33" s="55">
        <f>IF(AGR_ued!D$5=0,"",AGR_ued!D$5/D$5*1000)</f>
        <v>47.831954995746443</v>
      </c>
      <c r="E33" s="55">
        <f>IF(AGR_ued!E$5=0,"",AGR_ued!E$5/E$5*1000)</f>
        <v>50.875096879759653</v>
      </c>
      <c r="F33" s="55">
        <f>IF(AGR_ued!F$5=0,"",AGR_ued!F$5/F$5*1000)</f>
        <v>51.856994737877216</v>
      </c>
      <c r="G33" s="55">
        <f>IF(AGR_ued!G$5=0,"",AGR_ued!G$5/G$5*1000)</f>
        <v>59.499945064737169</v>
      </c>
      <c r="H33" s="55">
        <f>IF(AGR_ued!H$5=0,"",AGR_ued!H$5/H$5*1000)</f>
        <v>56.726217303912705</v>
      </c>
      <c r="I33" s="55">
        <f>IF(AGR_ued!I$5=0,"",AGR_ued!I$5/I$5*1000)</f>
        <v>52.804307446895898</v>
      </c>
      <c r="J33" s="55">
        <f>IF(AGR_ued!J$5=0,"",AGR_ued!J$5/J$5*1000)</f>
        <v>53.392140386560612</v>
      </c>
      <c r="K33" s="55">
        <f>IF(AGR_ued!K$5=0,"",AGR_ued!K$5/K$5*1000)</f>
        <v>60.303694890619823</v>
      </c>
      <c r="L33" s="55">
        <f>IF(AGR_ued!L$5=0,"",AGR_ued!L$5/L$5*1000)</f>
        <v>55.903672742236552</v>
      </c>
      <c r="M33" s="55">
        <f>IF(AGR_ued!M$5=0,"",AGR_ued!M$5/M$5*1000)</f>
        <v>51.498040554942335</v>
      </c>
      <c r="N33" s="55">
        <f>IF(AGR_ued!N$5=0,"",AGR_ued!N$5/N$5*1000)</f>
        <v>52.687708686332208</v>
      </c>
      <c r="O33" s="55">
        <f>IF(AGR_ued!O$5=0,"",AGR_ued!O$5/O$5*1000)</f>
        <v>51.789377400067245</v>
      </c>
      <c r="P33" s="55">
        <f>IF(AGR_ued!P$5=0,"",AGR_ued!P$5/P$5*1000)</f>
        <v>50.56863539666945</v>
      </c>
      <c r="Q33" s="55">
        <f>IF(AGR_ued!Q$5=0,"",AGR_ued!Q$5/Q$5*1000)</f>
        <v>51.936464494815404</v>
      </c>
      <c r="R33" s="55">
        <f>IF(AGR_ued!R$5=0,"",AGR_ued!R$5/R$5*1000)</f>
        <v>53.167333953309047</v>
      </c>
      <c r="S33" s="55">
        <f>IF(AGR_ued!S$5=0,"",AGR_ued!S$5/S$5*1000)</f>
        <v>49.05692883895474</v>
      </c>
      <c r="T33" s="55">
        <f>IF(AGR_ued!T$5=0,"",AGR_ued!T$5/T$5*1000)</f>
        <v>55.27649586884921</v>
      </c>
      <c r="U33" s="55">
        <f>IF(AGR_ued!U$5=0,"",AGR_ued!U$5/U$5*1000)</f>
        <v>55.549792698476836</v>
      </c>
      <c r="V33" s="55">
        <f>IF(AGR_ued!V$5=0,"",AGR_ued!V$5/V$5*1000)</f>
        <v>57.652657216598662</v>
      </c>
      <c r="W33" s="55">
        <f>IF(AGR_ued!W$5=0,"",AGR_ued!W$5/W$5*1000)</f>
        <v>55.157345659016535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2.8026788402332765</v>
      </c>
      <c r="C34" s="218">
        <f t="shared" si="27"/>
        <v>2.7945950071941161</v>
      </c>
      <c r="D34" s="218">
        <f t="shared" si="27"/>
        <v>2.810421407914053</v>
      </c>
      <c r="E34" s="218">
        <f t="shared" si="27"/>
        <v>2.7925809576535792</v>
      </c>
      <c r="F34" s="218">
        <f t="shared" si="27"/>
        <v>2.621791539887683</v>
      </c>
      <c r="G34" s="218">
        <f t="shared" si="27"/>
        <v>2.5652073433456337</v>
      </c>
      <c r="H34" s="218">
        <f t="shared" si="27"/>
        <v>2.5454191523438827</v>
      </c>
      <c r="I34" s="218">
        <f t="shared" si="27"/>
        <v>2.5605864607681612</v>
      </c>
      <c r="J34" s="218">
        <f t="shared" si="27"/>
        <v>2.5808086538433286</v>
      </c>
      <c r="K34" s="218">
        <f t="shared" si="27"/>
        <v>2.5388568548154913</v>
      </c>
      <c r="L34" s="218">
        <f t="shared" si="27"/>
        <v>2.5103389637522509</v>
      </c>
      <c r="M34" s="218">
        <f t="shared" si="27"/>
        <v>2.4858086934352812</v>
      </c>
      <c r="N34" s="218">
        <f t="shared" si="27"/>
        <v>2.4352152988212392</v>
      </c>
      <c r="O34" s="218">
        <f t="shared" si="27"/>
        <v>2.4438122179604078</v>
      </c>
      <c r="P34" s="218">
        <f t="shared" si="27"/>
        <v>2.4611310127653114</v>
      </c>
      <c r="Q34" s="218">
        <f t="shared" si="27"/>
        <v>2.4265379508497174</v>
      </c>
      <c r="R34" s="218">
        <f t="shared" si="27"/>
        <v>2.3341017453097384</v>
      </c>
      <c r="S34" s="218">
        <f t="shared" si="27"/>
        <v>2.2983112327657467</v>
      </c>
      <c r="T34" s="218">
        <f t="shared" si="27"/>
        <v>2.2905858184297201</v>
      </c>
      <c r="U34" s="218">
        <f t="shared" si="27"/>
        <v>2.2683981918894047</v>
      </c>
      <c r="V34" s="218">
        <f t="shared" si="27"/>
        <v>2.3203723987164744</v>
      </c>
      <c r="W34" s="218">
        <f t="shared" si="27"/>
        <v>2.3151452618210366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4335.7854686156488</v>
      </c>
      <c r="C5" s="80">
        <f t="shared" ref="C5:W5" si="1">SUM(C6:C9,C16:C17,C25:C27)</f>
        <v>4493.9730868443667</v>
      </c>
      <c r="D5" s="80">
        <f t="shared" si="1"/>
        <v>4590.4693035253622</v>
      </c>
      <c r="E5" s="80">
        <f t="shared" si="1"/>
        <v>4532.6177987962137</v>
      </c>
      <c r="F5" s="80">
        <f t="shared" si="1"/>
        <v>5017.8524505588994</v>
      </c>
      <c r="G5" s="80">
        <f t="shared" si="1"/>
        <v>4963.7181427343075</v>
      </c>
      <c r="H5" s="80">
        <f t="shared" si="1"/>
        <v>4847.3543422183984</v>
      </c>
      <c r="I5" s="80">
        <f t="shared" si="1"/>
        <v>4692.9546001719655</v>
      </c>
      <c r="J5" s="80">
        <f t="shared" si="1"/>
        <v>4747.7047291487524</v>
      </c>
      <c r="K5" s="80">
        <f t="shared" si="1"/>
        <v>4791.2835769561489</v>
      </c>
      <c r="L5" s="80">
        <f t="shared" si="1"/>
        <v>4699.6663800515889</v>
      </c>
      <c r="M5" s="80">
        <f t="shared" si="1"/>
        <v>4763.2487532244204</v>
      </c>
      <c r="N5" s="80">
        <f t="shared" si="1"/>
        <v>4628.3016337059335</v>
      </c>
      <c r="O5" s="80">
        <f t="shared" si="1"/>
        <v>4821.5437661220994</v>
      </c>
      <c r="P5" s="80">
        <f t="shared" si="1"/>
        <v>4725.5962166809977</v>
      </c>
      <c r="Q5" s="80">
        <f t="shared" si="1"/>
        <v>4755.2840068787591</v>
      </c>
      <c r="R5" s="80">
        <f t="shared" si="1"/>
        <v>4533.66053310404</v>
      </c>
      <c r="S5" s="80">
        <f t="shared" si="1"/>
        <v>4521.0104901117784</v>
      </c>
      <c r="T5" s="80">
        <f t="shared" si="1"/>
        <v>4635.7457437661214</v>
      </c>
      <c r="U5" s="80">
        <f t="shared" si="1"/>
        <v>4598.4638005159059</v>
      </c>
      <c r="V5" s="80">
        <f t="shared" si="1"/>
        <v>4829.7594153052423</v>
      </c>
      <c r="W5" s="80">
        <f t="shared" si="1"/>
        <v>4799.5361134995674</v>
      </c>
      <c r="DA5" s="103"/>
    </row>
    <row r="6" spans="1:105" x14ac:dyDescent="0.25">
      <c r="A6" s="239" t="s">
        <v>125</v>
      </c>
      <c r="B6" s="240">
        <v>45.542368486981438</v>
      </c>
      <c r="C6" s="240">
        <v>48.066739326389452</v>
      </c>
      <c r="D6" s="240">
        <v>50.134415024566053</v>
      </c>
      <c r="E6" s="240">
        <v>56.130280586445068</v>
      </c>
      <c r="F6" s="240">
        <v>106.69130348727489</v>
      </c>
      <c r="G6" s="240">
        <v>111.215966756128</v>
      </c>
      <c r="H6" s="240">
        <v>112.33514719794439</v>
      </c>
      <c r="I6" s="240">
        <v>105.0331911109436</v>
      </c>
      <c r="J6" s="240">
        <v>101.81481340291531</v>
      </c>
      <c r="K6" s="240">
        <v>111.8092341593221</v>
      </c>
      <c r="L6" s="240">
        <v>112.8245439635934</v>
      </c>
      <c r="M6" s="240">
        <v>119.0450211906786</v>
      </c>
      <c r="N6" s="240">
        <v>120.9242438959548</v>
      </c>
      <c r="O6" s="240">
        <v>125.1818733601781</v>
      </c>
      <c r="P6" s="240">
        <v>118.40847788842871</v>
      </c>
      <c r="Q6" s="240">
        <v>125.26950992844949</v>
      </c>
      <c r="R6" s="240">
        <v>123.49816007203729</v>
      </c>
      <c r="S6" s="240">
        <v>123.55165686296461</v>
      </c>
      <c r="T6" s="240">
        <v>121.81247946749509</v>
      </c>
      <c r="U6" s="240">
        <v>119.80617220913869</v>
      </c>
      <c r="V6" s="240">
        <v>117.4875816924131</v>
      </c>
      <c r="W6" s="240">
        <v>113.0659943793799</v>
      </c>
      <c r="DA6" s="268" t="s">
        <v>993</v>
      </c>
    </row>
    <row r="7" spans="1:105" x14ac:dyDescent="0.25">
      <c r="A7" s="241" t="s">
        <v>124</v>
      </c>
      <c r="B7" s="242">
        <v>29.602539516537931</v>
      </c>
      <c r="C7" s="242">
        <v>31.243380562153149</v>
      </c>
      <c r="D7" s="242">
        <v>32.587369765967921</v>
      </c>
      <c r="E7" s="242">
        <v>36.48468238118928</v>
      </c>
      <c r="F7" s="242">
        <v>69.349347266728628</v>
      </c>
      <c r="G7" s="242">
        <v>72.290378391483173</v>
      </c>
      <c r="H7" s="242">
        <v>73.017845678663846</v>
      </c>
      <c r="I7" s="242">
        <v>68.271574222113344</v>
      </c>
      <c r="J7" s="242">
        <v>66.179628711894949</v>
      </c>
      <c r="K7" s="242">
        <v>72.676002203559364</v>
      </c>
      <c r="L7" s="242">
        <v>73.335953576335683</v>
      </c>
      <c r="M7" s="242">
        <v>77.379263773941062</v>
      </c>
      <c r="N7" s="242">
        <v>78.600758532370577</v>
      </c>
      <c r="O7" s="242">
        <v>81.36821768411572</v>
      </c>
      <c r="P7" s="242">
        <v>76.965510627478665</v>
      </c>
      <c r="Q7" s="242">
        <v>81.425181453492172</v>
      </c>
      <c r="R7" s="242">
        <v>80.27380404682421</v>
      </c>
      <c r="S7" s="242">
        <v>80.308576960926985</v>
      </c>
      <c r="T7" s="242">
        <v>79.178111653871753</v>
      </c>
      <c r="U7" s="242">
        <v>77.874011935940146</v>
      </c>
      <c r="V7" s="242">
        <v>76.366928100068506</v>
      </c>
      <c r="W7" s="242">
        <v>73.492896346596922</v>
      </c>
      <c r="DA7" s="269" t="s">
        <v>994</v>
      </c>
    </row>
    <row r="8" spans="1:105" x14ac:dyDescent="0.25">
      <c r="A8" s="241" t="s">
        <v>123</v>
      </c>
      <c r="B8" s="242">
        <v>40.988131638283278</v>
      </c>
      <c r="C8" s="242">
        <v>43.260065393750523</v>
      </c>
      <c r="D8" s="242">
        <v>45.120973522109438</v>
      </c>
      <c r="E8" s="242">
        <v>50.517252527800551</v>
      </c>
      <c r="F8" s="242">
        <v>96.022173138547345</v>
      </c>
      <c r="G8" s="242">
        <v>100.0943700805152</v>
      </c>
      <c r="H8" s="242">
        <v>101.1016324781499</v>
      </c>
      <c r="I8" s="242">
        <v>94.529871999849263</v>
      </c>
      <c r="J8" s="242">
        <v>91.633332062623822</v>
      </c>
      <c r="K8" s="242">
        <v>100.6283107433899</v>
      </c>
      <c r="L8" s="242">
        <v>101.5420895672341</v>
      </c>
      <c r="M8" s="242">
        <v>107.1405190716107</v>
      </c>
      <c r="N8" s="242">
        <v>108.8318195063593</v>
      </c>
      <c r="O8" s="242">
        <v>112.6636860241602</v>
      </c>
      <c r="P8" s="242">
        <v>106.5676300995859</v>
      </c>
      <c r="Q8" s="242">
        <v>112.74255893560461</v>
      </c>
      <c r="R8" s="242">
        <v>111.14834406483349</v>
      </c>
      <c r="S8" s="242">
        <v>111.1964911766682</v>
      </c>
      <c r="T8" s="242">
        <v>109.6312315207455</v>
      </c>
      <c r="U8" s="242">
        <v>107.82555498822489</v>
      </c>
      <c r="V8" s="242">
        <v>105.7388235231718</v>
      </c>
      <c r="W8" s="242">
        <v>101.7593949414419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882.4882894471092</v>
      </c>
      <c r="C9" s="244">
        <f t="shared" ref="C9:W9" si="3">SUM(C10:C15)</f>
        <v>918.40180730236921</v>
      </c>
      <c r="D9" s="244">
        <f t="shared" si="3"/>
        <v>949.30034626415693</v>
      </c>
      <c r="E9" s="244">
        <f t="shared" si="3"/>
        <v>933.47303708626907</v>
      </c>
      <c r="F9" s="244">
        <f t="shared" si="3"/>
        <v>979.98789010848168</v>
      </c>
      <c r="G9" s="244">
        <f t="shared" si="3"/>
        <v>958.59208706840809</v>
      </c>
      <c r="H9" s="244">
        <f t="shared" si="3"/>
        <v>931.91843129889537</v>
      </c>
      <c r="I9" s="244">
        <f t="shared" si="3"/>
        <v>904.87738586484556</v>
      </c>
      <c r="J9" s="244">
        <f t="shared" si="3"/>
        <v>917.65049501879253</v>
      </c>
      <c r="K9" s="244">
        <f t="shared" si="3"/>
        <v>919.62775212051588</v>
      </c>
      <c r="L9" s="244">
        <f t="shared" si="3"/>
        <v>897.81879532360904</v>
      </c>
      <c r="M9" s="244">
        <f t="shared" si="3"/>
        <v>907.05448906752736</v>
      </c>
      <c r="N9" s="244">
        <f t="shared" si="3"/>
        <v>878.87785131376836</v>
      </c>
      <c r="O9" s="244">
        <f t="shared" si="3"/>
        <v>913.1386358176195</v>
      </c>
      <c r="P9" s="244">
        <f t="shared" si="3"/>
        <v>904.86316652853179</v>
      </c>
      <c r="Q9" s="244">
        <f t="shared" si="3"/>
        <v>908.25883123451217</v>
      </c>
      <c r="R9" s="244">
        <f t="shared" si="3"/>
        <v>867.16026664059405</v>
      </c>
      <c r="S9" s="244">
        <f t="shared" si="3"/>
        <v>864.72855451190253</v>
      </c>
      <c r="T9" s="244">
        <f t="shared" si="3"/>
        <v>889.80488037844407</v>
      </c>
      <c r="U9" s="244">
        <f t="shared" si="3"/>
        <v>883.45508945361803</v>
      </c>
      <c r="V9" s="244">
        <f t="shared" si="3"/>
        <v>929.95342277399254</v>
      </c>
      <c r="W9" s="244">
        <f t="shared" si="3"/>
        <v>927.56524995353243</v>
      </c>
      <c r="DA9" s="270"/>
    </row>
    <row r="10" spans="1:105" x14ac:dyDescent="0.25">
      <c r="A10" s="254" t="s">
        <v>173</v>
      </c>
      <c r="B10" s="255">
        <v>748.42596809590657</v>
      </c>
      <c r="C10" s="255">
        <v>764.78169210602653</v>
      </c>
      <c r="D10" s="255">
        <v>810.03126018628507</v>
      </c>
      <c r="E10" s="255">
        <v>802.11386722692816</v>
      </c>
      <c r="F10" s="255">
        <v>783.67389196473755</v>
      </c>
      <c r="G10" s="255">
        <v>759.84365062438462</v>
      </c>
      <c r="H10" s="255">
        <v>735.58522368706383</v>
      </c>
      <c r="I10" s="255">
        <v>729.91729542364283</v>
      </c>
      <c r="J10" s="255">
        <v>756.22062508935267</v>
      </c>
      <c r="K10" s="255">
        <v>746.82471089865385</v>
      </c>
      <c r="L10" s="255">
        <v>713.98860694263317</v>
      </c>
      <c r="M10" s="255">
        <v>723.00241248504153</v>
      </c>
      <c r="N10" s="255">
        <v>660.46959225419437</v>
      </c>
      <c r="O10" s="255">
        <v>700.6861301043723</v>
      </c>
      <c r="P10" s="255">
        <v>697.8196663379249</v>
      </c>
      <c r="Q10" s="255">
        <v>688.07534762778857</v>
      </c>
      <c r="R10" s="255">
        <v>631.62761782780137</v>
      </c>
      <c r="S10" s="255">
        <v>627.91049645483793</v>
      </c>
      <c r="T10" s="255">
        <v>647.02515447067537</v>
      </c>
      <c r="U10" s="255">
        <v>633.19645783005546</v>
      </c>
      <c r="V10" s="255">
        <v>707.88633448521989</v>
      </c>
      <c r="W10" s="255">
        <v>700.56294084709691</v>
      </c>
      <c r="DA10" s="271" t="s">
        <v>996</v>
      </c>
    </row>
    <row r="11" spans="1:105" x14ac:dyDescent="0.25">
      <c r="A11" s="254" t="s">
        <v>176</v>
      </c>
      <c r="B11" s="256">
        <v>125.24698359019099</v>
      </c>
      <c r="C11" s="256">
        <v>142.65585003246261</v>
      </c>
      <c r="D11" s="256">
        <v>128.2281197546119</v>
      </c>
      <c r="E11" s="256">
        <v>117.16294629329801</v>
      </c>
      <c r="F11" s="256">
        <v>124.07813506936201</v>
      </c>
      <c r="G11" s="256">
        <v>112.5637967540234</v>
      </c>
      <c r="H11" s="256">
        <v>101.73520179872619</v>
      </c>
      <c r="I11" s="256">
        <v>93.350926968223945</v>
      </c>
      <c r="J11" s="256">
        <v>89.290733524084075</v>
      </c>
      <c r="K11" s="256">
        <v>77.219002360534674</v>
      </c>
      <c r="L11" s="256">
        <v>79.42964033119182</v>
      </c>
      <c r="M11" s="256">
        <v>60.005486765219402</v>
      </c>
      <c r="N11" s="256">
        <v>74.171618096078703</v>
      </c>
      <c r="O11" s="256">
        <v>64.255302810910152</v>
      </c>
      <c r="P11" s="256">
        <v>70.214514124303179</v>
      </c>
      <c r="Q11" s="256">
        <v>64.852103407341588</v>
      </c>
      <c r="R11" s="256">
        <v>67.278645739044094</v>
      </c>
      <c r="S11" s="256">
        <v>69.693795992393945</v>
      </c>
      <c r="T11" s="256">
        <v>85.341431937999431</v>
      </c>
      <c r="U11" s="256">
        <v>89.675396021836562</v>
      </c>
      <c r="V11" s="256">
        <v>88.992966688183046</v>
      </c>
      <c r="W11" s="256">
        <v>98.635596593210721</v>
      </c>
      <c r="DA11" s="272" t="s">
        <v>997</v>
      </c>
    </row>
    <row r="12" spans="1:105" x14ac:dyDescent="0.25">
      <c r="A12" s="254" t="s">
        <v>158</v>
      </c>
      <c r="B12" s="256">
        <v>2.1333710810620978</v>
      </c>
      <c r="C12" s="256">
        <v>3.748520694723886</v>
      </c>
      <c r="D12" s="256">
        <v>3.5875040423068749</v>
      </c>
      <c r="E12" s="256">
        <v>3.5320632988799781</v>
      </c>
      <c r="F12" s="256">
        <v>3.4567829176769589</v>
      </c>
      <c r="G12" s="256">
        <v>2.9695465567249162</v>
      </c>
      <c r="H12" s="256">
        <v>2.963337675086593</v>
      </c>
      <c r="I12" s="256">
        <v>2.991800024396821</v>
      </c>
      <c r="J12" s="256">
        <v>3.0532722070447891</v>
      </c>
      <c r="K12" s="256">
        <v>3.0394959859579491</v>
      </c>
      <c r="L12" s="256">
        <v>3.08904602700945</v>
      </c>
      <c r="M12" s="256">
        <v>6.2811540672373027</v>
      </c>
      <c r="N12" s="256">
        <v>9.2497778976962941</v>
      </c>
      <c r="O12" s="256">
        <v>9.4572145866597488</v>
      </c>
      <c r="P12" s="256">
        <v>9.4120461868132441</v>
      </c>
      <c r="Q12" s="256">
        <v>9.2867544327918559</v>
      </c>
      <c r="R12" s="256">
        <v>9.1868498650710517</v>
      </c>
      <c r="S12" s="256">
        <v>9.1901130170269205</v>
      </c>
      <c r="T12" s="256">
        <v>9.2964780652023897</v>
      </c>
      <c r="U12" s="256">
        <v>9.3645695618146974</v>
      </c>
      <c r="V12" s="256">
        <v>9.4845150147558375</v>
      </c>
      <c r="W12" s="256">
        <v>9.56392430602423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10.52785898538237</v>
      </c>
      <c r="Q14" s="255">
        <v>6.668873602751499</v>
      </c>
      <c r="R14" s="255">
        <v>10.075752364574489</v>
      </c>
      <c r="S14" s="255">
        <v>7.9509888220121221</v>
      </c>
      <c r="T14" s="255">
        <v>14.12966466036112</v>
      </c>
      <c r="U14" s="255">
        <v>21.150816852966429</v>
      </c>
      <c r="V14" s="255">
        <v>16.316852966465589</v>
      </c>
      <c r="W14" s="255">
        <v>22.964402407565441</v>
      </c>
      <c r="DA14" s="271" t="s">
        <v>1000</v>
      </c>
    </row>
    <row r="15" spans="1:105" x14ac:dyDescent="0.25">
      <c r="A15" s="254" t="s">
        <v>24</v>
      </c>
      <c r="B15" s="256">
        <v>6.6819666799495083</v>
      </c>
      <c r="C15" s="256">
        <v>7.2157444691562356</v>
      </c>
      <c r="D15" s="256">
        <v>7.4534622809532518</v>
      </c>
      <c r="E15" s="256">
        <v>10.66416026716297</v>
      </c>
      <c r="F15" s="256">
        <v>68.779080156705163</v>
      </c>
      <c r="G15" s="256">
        <v>83.215093133275062</v>
      </c>
      <c r="H15" s="256">
        <v>91.634668138018782</v>
      </c>
      <c r="I15" s="256">
        <v>78.617363448581941</v>
      </c>
      <c r="J15" s="256">
        <v>69.085864198311043</v>
      </c>
      <c r="K15" s="256">
        <v>92.544542875369402</v>
      </c>
      <c r="L15" s="256">
        <v>101.3115020227746</v>
      </c>
      <c r="M15" s="256">
        <v>117.7654357500291</v>
      </c>
      <c r="N15" s="256">
        <v>134.98686306579901</v>
      </c>
      <c r="O15" s="256">
        <v>138.73998831567721</v>
      </c>
      <c r="P15" s="256">
        <v>116.8890808941081</v>
      </c>
      <c r="Q15" s="256">
        <v>139.3757521638386</v>
      </c>
      <c r="R15" s="256">
        <v>148.99140084410311</v>
      </c>
      <c r="S15" s="256">
        <v>149.98316022563171</v>
      </c>
      <c r="T15" s="256">
        <v>134.0121512442058</v>
      </c>
      <c r="U15" s="256">
        <v>130.06784918694481</v>
      </c>
      <c r="V15" s="256">
        <v>107.2727536193681</v>
      </c>
      <c r="W15" s="256">
        <v>95.838385799635105</v>
      </c>
      <c r="DA15" s="272" t="s">
        <v>1001</v>
      </c>
    </row>
    <row r="16" spans="1:105" x14ac:dyDescent="0.25">
      <c r="A16" s="257" t="s">
        <v>175</v>
      </c>
      <c r="B16" s="258">
        <v>1166.9326845645689</v>
      </c>
      <c r="C16" s="258">
        <v>1210.1669505445991</v>
      </c>
      <c r="D16" s="258">
        <v>1257.672524396165</v>
      </c>
      <c r="E16" s="258">
        <v>1242.678484353675</v>
      </c>
      <c r="F16" s="258">
        <v>1305.6939765218419</v>
      </c>
      <c r="G16" s="258">
        <v>1276.3192445690211</v>
      </c>
      <c r="H16" s="258">
        <v>1240.1685113745809</v>
      </c>
      <c r="I16" s="258">
        <v>1209.233278135428</v>
      </c>
      <c r="J16" s="258">
        <v>1231.0770481225561</v>
      </c>
      <c r="K16" s="258">
        <v>1231.0415183439161</v>
      </c>
      <c r="L16" s="258">
        <v>1196.907454138799</v>
      </c>
      <c r="M16" s="258">
        <v>1209.3772262951479</v>
      </c>
      <c r="N16" s="258">
        <v>1156.6389879641181</v>
      </c>
      <c r="O16" s="258">
        <v>1207.3007013522999</v>
      </c>
      <c r="P16" s="258">
        <v>1195.5033263544849</v>
      </c>
      <c r="Q16" s="258">
        <v>1195.12475538232</v>
      </c>
      <c r="R16" s="258">
        <v>1129.40772776524</v>
      </c>
      <c r="S16" s="258">
        <v>1125.858884708033</v>
      </c>
      <c r="T16" s="258">
        <v>1159.0732673595669</v>
      </c>
      <c r="U16" s="258">
        <v>1145.920040433595</v>
      </c>
      <c r="V16" s="258">
        <v>1224.255326709125</v>
      </c>
      <c r="W16" s="258">
        <v>1217.6290247399679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1834.416811933653</v>
      </c>
      <c r="C17" s="258">
        <f t="shared" ref="C17:W17" si="5">SUM(C18:C24)</f>
        <v>1892.5269676194841</v>
      </c>
      <c r="D17" s="258">
        <f t="shared" si="5"/>
        <v>1891.1521010822669</v>
      </c>
      <c r="E17" s="258">
        <f t="shared" si="5"/>
        <v>1837.0238475144756</v>
      </c>
      <c r="F17" s="258">
        <f t="shared" si="5"/>
        <v>1947.8140876087236</v>
      </c>
      <c r="G17" s="258">
        <f t="shared" si="5"/>
        <v>1927.4715979784391</v>
      </c>
      <c r="H17" s="258">
        <f t="shared" si="5"/>
        <v>1875.2829488709895</v>
      </c>
      <c r="I17" s="258">
        <f t="shared" si="5"/>
        <v>1821.3137288053997</v>
      </c>
      <c r="J17" s="258">
        <f t="shared" si="5"/>
        <v>1853.3414047382494</v>
      </c>
      <c r="K17" s="258">
        <f t="shared" si="5"/>
        <v>1845.0132487835892</v>
      </c>
      <c r="L17" s="258">
        <f t="shared" si="5"/>
        <v>1810.8216687606221</v>
      </c>
      <c r="M17" s="258">
        <f t="shared" si="5"/>
        <v>1819.2000192582632</v>
      </c>
      <c r="N17" s="258">
        <f t="shared" si="5"/>
        <v>1765.9057542994772</v>
      </c>
      <c r="O17" s="258">
        <f t="shared" si="5"/>
        <v>1843.2021710741556</v>
      </c>
      <c r="P17" s="258">
        <f t="shared" si="5"/>
        <v>1803.4614072006161</v>
      </c>
      <c r="Q17" s="258">
        <f t="shared" si="5"/>
        <v>1795.8996890316669</v>
      </c>
      <c r="R17" s="258">
        <f t="shared" si="5"/>
        <v>1702.5766312742774</v>
      </c>
      <c r="S17" s="258">
        <f t="shared" si="5"/>
        <v>1696.3215992818032</v>
      </c>
      <c r="T17" s="258">
        <f t="shared" si="5"/>
        <v>1755.0796109693883</v>
      </c>
      <c r="U17" s="258">
        <f t="shared" si="5"/>
        <v>1749.8597240309566</v>
      </c>
      <c r="V17" s="258">
        <f t="shared" si="5"/>
        <v>1852.861893725423</v>
      </c>
      <c r="W17" s="258">
        <f t="shared" si="5"/>
        <v>1855.0343024196852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2.1572656921747888</v>
      </c>
      <c r="N18" s="55">
        <v>2.157265692175101</v>
      </c>
      <c r="O18" s="55">
        <v>2.1572656921750748</v>
      </c>
      <c r="P18" s="55">
        <v>2.157265692174795</v>
      </c>
      <c r="Q18" s="55">
        <v>2.1572656921751232</v>
      </c>
      <c r="R18" s="55">
        <v>2.00627687016302</v>
      </c>
      <c r="S18" s="55">
        <v>2.0608770421320788</v>
      </c>
      <c r="T18" s="55">
        <v>1.5685296646601421</v>
      </c>
      <c r="U18" s="55">
        <v>1.443078245915506</v>
      </c>
      <c r="V18" s="55">
        <v>1.325451418744384</v>
      </c>
      <c r="W18" s="55">
        <v>1.4190025795352981</v>
      </c>
      <c r="DA18" s="101" t="s">
        <v>1003</v>
      </c>
    </row>
    <row r="19" spans="1:105" x14ac:dyDescent="0.25">
      <c r="A19" s="61" t="s">
        <v>27</v>
      </c>
      <c r="B19" s="55">
        <v>467.7128116938361</v>
      </c>
      <c r="C19" s="55">
        <v>462.06414445394148</v>
      </c>
      <c r="D19" s="55">
        <v>328.7546861564511</v>
      </c>
      <c r="E19" s="55">
        <v>272.4754084264319</v>
      </c>
      <c r="F19" s="55">
        <v>325.40705073081341</v>
      </c>
      <c r="G19" s="55">
        <v>352.23490971617753</v>
      </c>
      <c r="H19" s="55">
        <v>339.4450558898925</v>
      </c>
      <c r="I19" s="55">
        <v>322.54058469468708</v>
      </c>
      <c r="J19" s="55">
        <v>326.25193465171623</v>
      </c>
      <c r="K19" s="55">
        <v>315.29690455713899</v>
      </c>
      <c r="L19" s="55">
        <v>335.16345657774718</v>
      </c>
      <c r="M19" s="55">
        <v>322.84488392080158</v>
      </c>
      <c r="N19" s="55">
        <v>339.68452278585011</v>
      </c>
      <c r="O19" s="55">
        <v>376.24677558033721</v>
      </c>
      <c r="P19" s="55">
        <v>306.3699914014606</v>
      </c>
      <c r="Q19" s="55">
        <v>311.72063628542742</v>
      </c>
      <c r="R19" s="55">
        <v>288.95580395523751</v>
      </c>
      <c r="S19" s="55">
        <v>270.27798796212272</v>
      </c>
      <c r="T19" s="55">
        <v>284.230266551981</v>
      </c>
      <c r="U19" s="55">
        <v>311.42072226994202</v>
      </c>
      <c r="V19" s="55">
        <v>317.8140154771562</v>
      </c>
      <c r="W19" s="55">
        <v>317.94144453989651</v>
      </c>
      <c r="DA19" s="101" t="s">
        <v>1004</v>
      </c>
    </row>
    <row r="20" spans="1:105" x14ac:dyDescent="0.25">
      <c r="A20" s="61" t="s">
        <v>173</v>
      </c>
      <c r="B20" s="55">
        <v>1019.57240306246</v>
      </c>
      <c r="C20" s="55">
        <v>1062.5947089400811</v>
      </c>
      <c r="D20" s="55">
        <v>1212.3350507606251</v>
      </c>
      <c r="E20" s="55">
        <v>1248.18480723576</v>
      </c>
      <c r="F20" s="55">
        <v>1279.351929069659</v>
      </c>
      <c r="G20" s="55">
        <v>1220.300900016771</v>
      </c>
      <c r="H20" s="55">
        <v>1185.358530477318</v>
      </c>
      <c r="I20" s="55">
        <v>1169.754650123185</v>
      </c>
      <c r="J20" s="55">
        <v>1195.943364037834</v>
      </c>
      <c r="K20" s="55">
        <v>1212.427895023545</v>
      </c>
      <c r="L20" s="55">
        <v>1151.154714534267</v>
      </c>
      <c r="M20" s="55">
        <v>1186.015636875082</v>
      </c>
      <c r="N20" s="55">
        <v>1085.5352328384911</v>
      </c>
      <c r="O20" s="55">
        <v>1140.055101197544</v>
      </c>
      <c r="P20" s="55">
        <v>1156.996136041583</v>
      </c>
      <c r="Q20" s="55">
        <v>1168.305012907997</v>
      </c>
      <c r="R20" s="55">
        <v>1091.4118603264781</v>
      </c>
      <c r="S20" s="55">
        <v>1087.9173741554671</v>
      </c>
      <c r="T20" s="55">
        <v>1101.674012804152</v>
      </c>
      <c r="U20" s="55">
        <v>1065.8011513516039</v>
      </c>
      <c r="V20" s="55">
        <v>1168.1022301146461</v>
      </c>
      <c r="W20" s="55">
        <v>1140.104932519464</v>
      </c>
      <c r="DA20" s="101" t="s">
        <v>1005</v>
      </c>
    </row>
    <row r="21" spans="1:105" x14ac:dyDescent="0.25">
      <c r="A21" s="61" t="s">
        <v>129</v>
      </c>
      <c r="B21" s="55">
        <v>133.61994840926951</v>
      </c>
      <c r="C21" s="55">
        <v>124.469733447964</v>
      </c>
      <c r="D21" s="55">
        <v>112.79742046430241</v>
      </c>
      <c r="E21" s="55">
        <v>88.565004299209448</v>
      </c>
      <c r="F21" s="55">
        <v>94.870851246759486</v>
      </c>
      <c r="G21" s="55">
        <v>79.488822012021217</v>
      </c>
      <c r="H21" s="55">
        <v>86.081255374020685</v>
      </c>
      <c r="I21" s="55">
        <v>72.801031814258124</v>
      </c>
      <c r="J21" s="55">
        <v>76.718142734296848</v>
      </c>
      <c r="K21" s="55">
        <v>71.6546001719598</v>
      </c>
      <c r="L21" s="55">
        <v>68.692863284594651</v>
      </c>
      <c r="M21" s="55">
        <v>68.796732588114395</v>
      </c>
      <c r="N21" s="55">
        <v>69.8472055029995</v>
      </c>
      <c r="O21" s="55">
        <v>71.758469475483309</v>
      </c>
      <c r="P21" s="55">
        <v>70.995012897658214</v>
      </c>
      <c r="Q21" s="55">
        <v>50.64453998279641</v>
      </c>
      <c r="R21" s="55">
        <v>49.784608770412611</v>
      </c>
      <c r="S21" s="55">
        <v>49.784608770413193</v>
      </c>
      <c r="T21" s="55">
        <v>58.997764402399348</v>
      </c>
      <c r="U21" s="55">
        <v>53.484092863276111</v>
      </c>
      <c r="V21" s="55">
        <v>52.127858985373109</v>
      </c>
      <c r="W21" s="55">
        <v>61.20481513325938</v>
      </c>
      <c r="DA21" s="101" t="s">
        <v>1006</v>
      </c>
    </row>
    <row r="22" spans="1:105" x14ac:dyDescent="0.25">
      <c r="A22" s="61" t="s">
        <v>176</v>
      </c>
      <c r="B22" s="55">
        <v>170.62257788870809</v>
      </c>
      <c r="C22" s="55">
        <v>198.20734859174581</v>
      </c>
      <c r="D22" s="55">
        <v>191.9128948627197</v>
      </c>
      <c r="E22" s="55">
        <v>182.31951286400141</v>
      </c>
      <c r="F22" s="55">
        <v>202.55823638373391</v>
      </c>
      <c r="G22" s="55">
        <v>180.7762720335503</v>
      </c>
      <c r="H22" s="55">
        <v>163.94115245748151</v>
      </c>
      <c r="I22" s="55">
        <v>149.60281335848009</v>
      </c>
      <c r="J22" s="55">
        <v>141.21098616634711</v>
      </c>
      <c r="K22" s="55">
        <v>125.3607052920695</v>
      </c>
      <c r="L22" s="55">
        <v>128.0633949224335</v>
      </c>
      <c r="M22" s="55">
        <v>98.433206270004519</v>
      </c>
      <c r="N22" s="55">
        <v>121.9070577422531</v>
      </c>
      <c r="O22" s="55">
        <v>104.5469327866661</v>
      </c>
      <c r="P22" s="55">
        <v>116.41678424195599</v>
      </c>
      <c r="Q22" s="55">
        <v>110.11444861328</v>
      </c>
      <c r="R22" s="55">
        <v>116.25316853436701</v>
      </c>
      <c r="S22" s="55">
        <v>120.7514318665724</v>
      </c>
      <c r="T22" s="55">
        <v>145.30878302328719</v>
      </c>
      <c r="U22" s="55">
        <v>150.9423167898332</v>
      </c>
      <c r="V22" s="55">
        <v>146.84968163508961</v>
      </c>
      <c r="W22" s="55">
        <v>160.52080925368799</v>
      </c>
      <c r="DA22" s="101" t="s">
        <v>1007</v>
      </c>
    </row>
    <row r="23" spans="1:105" x14ac:dyDescent="0.25">
      <c r="A23" s="61" t="s">
        <v>171</v>
      </c>
      <c r="B23" s="55">
        <v>39.982803095437781</v>
      </c>
      <c r="C23" s="55">
        <v>39.982803095437909</v>
      </c>
      <c r="D23" s="55">
        <v>39.982803095437873</v>
      </c>
      <c r="E23" s="55">
        <v>39.982803095435287</v>
      </c>
      <c r="F23" s="55">
        <v>39.98280309543604</v>
      </c>
      <c r="G23" s="55">
        <v>89.901633705914151</v>
      </c>
      <c r="H23" s="55">
        <v>95.681685296633262</v>
      </c>
      <c r="I23" s="55">
        <v>101.82003439378769</v>
      </c>
      <c r="J23" s="55">
        <v>108.3883061048856</v>
      </c>
      <c r="K23" s="55">
        <v>115.33869303523871</v>
      </c>
      <c r="L23" s="55">
        <v>122.7668099741794</v>
      </c>
      <c r="M23" s="55">
        <v>130.64866723985929</v>
      </c>
      <c r="N23" s="55">
        <v>131.5717110919847</v>
      </c>
      <c r="O23" s="55">
        <v>133.05021496128629</v>
      </c>
      <c r="P23" s="55">
        <v>134.92089423899861</v>
      </c>
      <c r="Q23" s="55">
        <v>137.189509888202</v>
      </c>
      <c r="R23" s="55">
        <v>138.29062768699211</v>
      </c>
      <c r="S23" s="55">
        <v>149.60653482370731</v>
      </c>
      <c r="T23" s="55">
        <v>147.47136715389169</v>
      </c>
      <c r="U23" s="55">
        <v>151.00584694752541</v>
      </c>
      <c r="V23" s="55">
        <v>150.9920034393534</v>
      </c>
      <c r="W23" s="55">
        <v>158.2788478073517</v>
      </c>
      <c r="DA23" s="101" t="s">
        <v>1008</v>
      </c>
    </row>
    <row r="24" spans="1:105" x14ac:dyDescent="0.25">
      <c r="A24" s="61" t="s">
        <v>158</v>
      </c>
      <c r="B24" s="55">
        <v>2.9062677839416069</v>
      </c>
      <c r="C24" s="55">
        <v>5.2082290903137753</v>
      </c>
      <c r="D24" s="55">
        <v>5.3692457427307723</v>
      </c>
      <c r="E24" s="55">
        <v>5.4963115936377918</v>
      </c>
      <c r="F24" s="55">
        <v>5.6432170823218604</v>
      </c>
      <c r="G24" s="55">
        <v>4.7690604940047754</v>
      </c>
      <c r="H24" s="55">
        <v>4.7752693756435134</v>
      </c>
      <c r="I24" s="55">
        <v>4.7946144210018149</v>
      </c>
      <c r="J24" s="55">
        <v>4.8286710431693303</v>
      </c>
      <c r="K24" s="55">
        <v>4.934450703637201</v>
      </c>
      <c r="L24" s="55">
        <v>4.9804294674004304</v>
      </c>
      <c r="M24" s="55">
        <v>10.30362667222647</v>
      </c>
      <c r="N24" s="55">
        <v>15.20275864572373</v>
      </c>
      <c r="O24" s="55">
        <v>15.38741138066375</v>
      </c>
      <c r="P24" s="55">
        <v>15.605322686784829</v>
      </c>
      <c r="Q24" s="55">
        <v>15.76827566178903</v>
      </c>
      <c r="R24" s="55">
        <v>15.87428513062704</v>
      </c>
      <c r="S24" s="55">
        <v>15.92278466138846</v>
      </c>
      <c r="T24" s="55">
        <v>15.828887369017229</v>
      </c>
      <c r="U24" s="55">
        <v>15.76251556286034</v>
      </c>
      <c r="V24" s="55">
        <v>15.65065265506049</v>
      </c>
      <c r="W24" s="55">
        <v>15.56445058649037</v>
      </c>
      <c r="DA24" s="101" t="s">
        <v>1009</v>
      </c>
    </row>
    <row r="25" spans="1:105" x14ac:dyDescent="0.25">
      <c r="A25" s="257" t="s">
        <v>174</v>
      </c>
      <c r="B25" s="258">
        <v>224.2358402354115</v>
      </c>
      <c r="C25" s="258">
        <v>232.54366474596659</v>
      </c>
      <c r="D25" s="258">
        <v>241.67225665994329</v>
      </c>
      <c r="E25" s="258">
        <v>238.7910269095695</v>
      </c>
      <c r="F25" s="258">
        <v>250.8999788834783</v>
      </c>
      <c r="G25" s="258">
        <v>245.2553793377995</v>
      </c>
      <c r="H25" s="258">
        <v>238.3087146842114</v>
      </c>
      <c r="I25" s="258">
        <v>232.36425181157509</v>
      </c>
      <c r="J25" s="258">
        <v>236.56171425457831</v>
      </c>
      <c r="K25" s="258">
        <v>236.55488691151709</v>
      </c>
      <c r="L25" s="258">
        <v>229.99574201059261</v>
      </c>
      <c r="M25" s="258">
        <v>232.39191265008969</v>
      </c>
      <c r="N25" s="258">
        <v>222.25782064879601</v>
      </c>
      <c r="O25" s="258">
        <v>231.99289107713309</v>
      </c>
      <c r="P25" s="258">
        <v>229.72592715522151</v>
      </c>
      <c r="Q25" s="258">
        <v>229.65318158801369</v>
      </c>
      <c r="R25" s="258">
        <v>217.0251070637421</v>
      </c>
      <c r="S25" s="258">
        <v>216.34316729521689</v>
      </c>
      <c r="T25" s="258">
        <v>222.72558772124711</v>
      </c>
      <c r="U25" s="258">
        <v>220.19808555204281</v>
      </c>
      <c r="V25" s="258">
        <v>235.25086363463569</v>
      </c>
      <c r="W25" s="258">
        <v>233.97756448948249</v>
      </c>
      <c r="DA25" s="273" t="s">
        <v>1010</v>
      </c>
    </row>
    <row r="26" spans="1:105" x14ac:dyDescent="0.25">
      <c r="A26" s="257" t="s">
        <v>177</v>
      </c>
      <c r="B26" s="258">
        <v>45.542368486981438</v>
      </c>
      <c r="C26" s="258">
        <v>48.066739326389452</v>
      </c>
      <c r="D26" s="258">
        <v>50.134415024566053</v>
      </c>
      <c r="E26" s="258">
        <v>56.130280586445068</v>
      </c>
      <c r="F26" s="258">
        <v>106.69130348727489</v>
      </c>
      <c r="G26" s="258">
        <v>111.215966756128</v>
      </c>
      <c r="H26" s="258">
        <v>112.33514719794439</v>
      </c>
      <c r="I26" s="258">
        <v>105.0331911109436</v>
      </c>
      <c r="J26" s="258">
        <v>101.81481340291531</v>
      </c>
      <c r="K26" s="258">
        <v>111.8092341593221</v>
      </c>
      <c r="L26" s="258">
        <v>112.8245439635934</v>
      </c>
      <c r="M26" s="258">
        <v>119.0450211906786</v>
      </c>
      <c r="N26" s="258">
        <v>120.9242438959548</v>
      </c>
      <c r="O26" s="258">
        <v>125.1818733601781</v>
      </c>
      <c r="P26" s="258">
        <v>118.40847788842871</v>
      </c>
      <c r="Q26" s="258">
        <v>125.26950992844949</v>
      </c>
      <c r="R26" s="258">
        <v>123.49816007203729</v>
      </c>
      <c r="S26" s="258">
        <v>123.55165686296461</v>
      </c>
      <c r="T26" s="258">
        <v>121.81247946749509</v>
      </c>
      <c r="U26" s="258">
        <v>119.80617220913869</v>
      </c>
      <c r="V26" s="258">
        <v>117.4875816924131</v>
      </c>
      <c r="W26" s="258">
        <v>113.0659943793799</v>
      </c>
      <c r="DA26" s="273" t="s">
        <v>1011</v>
      </c>
    </row>
    <row r="27" spans="1:105" x14ac:dyDescent="0.25">
      <c r="A27" s="129" t="s">
        <v>33</v>
      </c>
      <c r="B27" s="259">
        <v>66.036434306123084</v>
      </c>
      <c r="C27" s="259">
        <v>69.696772023264714</v>
      </c>
      <c r="D27" s="259">
        <v>72.694901785620772</v>
      </c>
      <c r="E27" s="259">
        <v>81.388906850345379</v>
      </c>
      <c r="F27" s="259">
        <v>154.70239005654861</v>
      </c>
      <c r="G27" s="259">
        <v>161.26315179638561</v>
      </c>
      <c r="H27" s="259">
        <v>162.8859634370194</v>
      </c>
      <c r="I27" s="259">
        <v>152.29812711086831</v>
      </c>
      <c r="J27" s="259">
        <v>147.63147943422729</v>
      </c>
      <c r="K27" s="259">
        <v>162.1233895310171</v>
      </c>
      <c r="L27" s="259">
        <v>163.5955887472104</v>
      </c>
      <c r="M27" s="259">
        <v>172.615280726484</v>
      </c>
      <c r="N27" s="259">
        <v>175.34015364913449</v>
      </c>
      <c r="O27" s="259">
        <v>181.51371637225819</v>
      </c>
      <c r="P27" s="259">
        <v>171.69229293822161</v>
      </c>
      <c r="Q27" s="259">
        <v>181.64078939625179</v>
      </c>
      <c r="R27" s="259">
        <v>179.07233210445401</v>
      </c>
      <c r="S27" s="259">
        <v>179.14990245129869</v>
      </c>
      <c r="T27" s="259">
        <v>176.62809522786779</v>
      </c>
      <c r="U27" s="259">
        <v>173.7189497032511</v>
      </c>
      <c r="V27" s="259">
        <v>170.356993453999</v>
      </c>
      <c r="W27" s="259">
        <v>163.9456918501009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0.99999999999999978</v>
      </c>
      <c r="D31" s="236">
        <f t="shared" si="6"/>
        <v>0.99999999999999989</v>
      </c>
      <c r="E31" s="236">
        <f t="shared" si="6"/>
        <v>1.0000000000000002</v>
      </c>
      <c r="F31" s="236">
        <f t="shared" si="6"/>
        <v>1.0000000000000002</v>
      </c>
      <c r="G31" s="236">
        <f t="shared" si="6"/>
        <v>1</v>
      </c>
      <c r="H31" s="236">
        <f t="shared" si="6"/>
        <v>1</v>
      </c>
      <c r="I31" s="236">
        <f t="shared" si="6"/>
        <v>1.0000000000000004</v>
      </c>
      <c r="J31" s="236">
        <f t="shared" si="6"/>
        <v>1</v>
      </c>
      <c r="K31" s="236">
        <f t="shared" si="6"/>
        <v>1</v>
      </c>
      <c r="L31" s="236">
        <f t="shared" si="6"/>
        <v>1</v>
      </c>
      <c r="M31" s="236">
        <f t="shared" si="6"/>
        <v>1.0000000000000002</v>
      </c>
      <c r="N31" s="236">
        <f t="shared" si="6"/>
        <v>0.99999999999999989</v>
      </c>
      <c r="O31" s="236">
        <f t="shared" si="6"/>
        <v>0.99999999999999989</v>
      </c>
      <c r="P31" s="236">
        <f t="shared" si="6"/>
        <v>1</v>
      </c>
      <c r="Q31" s="236">
        <f t="shared" si="6"/>
        <v>1.0000000000000002</v>
      </c>
      <c r="R31" s="236">
        <f t="shared" ref="R31:W31" si="7">SUM(R32:R40)</f>
        <v>0.99999999999999978</v>
      </c>
      <c r="S31" s="236">
        <f t="shared" si="7"/>
        <v>1</v>
      </c>
      <c r="T31" s="236">
        <f t="shared" si="7"/>
        <v>1</v>
      </c>
      <c r="U31" s="236">
        <f t="shared" si="7"/>
        <v>0.99999999999999989</v>
      </c>
      <c r="V31" s="236">
        <f t="shared" si="7"/>
        <v>0.99999999999999978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1.0503833461465618E-2</v>
      </c>
      <c r="C32" s="245">
        <f t="shared" si="8"/>
        <v>1.0695822693531426E-2</v>
      </c>
      <c r="D32" s="245">
        <f t="shared" si="8"/>
        <v>1.0921413848920439E-2</v>
      </c>
      <c r="E32" s="245">
        <f t="shared" si="8"/>
        <v>1.2383634155377564E-2</v>
      </c>
      <c r="F32" s="245">
        <f t="shared" si="8"/>
        <v>2.126234370948699E-2</v>
      </c>
      <c r="G32" s="245">
        <f t="shared" si="8"/>
        <v>2.2405777999083509E-2</v>
      </c>
      <c r="H32" s="245">
        <f t="shared" si="8"/>
        <v>2.3174527642749975E-2</v>
      </c>
      <c r="I32" s="245">
        <f t="shared" si="8"/>
        <v>2.238103712043045E-2</v>
      </c>
      <c r="J32" s="245">
        <f t="shared" si="8"/>
        <v>2.1445060131439632E-2</v>
      </c>
      <c r="K32" s="245">
        <f t="shared" si="8"/>
        <v>2.3335966732813029E-2</v>
      </c>
      <c r="L32" s="245">
        <f t="shared" si="8"/>
        <v>2.4006926202781848E-2</v>
      </c>
      <c r="M32" s="245">
        <f t="shared" si="8"/>
        <v>2.4992400640443686E-2</v>
      </c>
      <c r="N32" s="245">
        <f t="shared" si="8"/>
        <v>2.6127131173844735E-2</v>
      </c>
      <c r="O32" s="245">
        <f t="shared" si="8"/>
        <v>2.5963027493341648E-2</v>
      </c>
      <c r="P32" s="245">
        <f t="shared" si="8"/>
        <v>2.505683356323499E-2</v>
      </c>
      <c r="Q32" s="245">
        <f t="shared" si="8"/>
        <v>2.6343223611300776E-2</v>
      </c>
      <c r="R32" s="245">
        <f t="shared" si="8"/>
        <v>2.7240275086825343E-2</v>
      </c>
      <c r="S32" s="245">
        <f t="shared" si="8"/>
        <v>2.7328327844669497E-2</v>
      </c>
      <c r="T32" s="245">
        <f t="shared" si="8"/>
        <v>2.6276781816884882E-2</v>
      </c>
      <c r="U32" s="245">
        <f t="shared" si="8"/>
        <v>2.6053520785723601E-2</v>
      </c>
      <c r="V32" s="245">
        <f t="shared" si="8"/>
        <v>2.4325762753337445E-2</v>
      </c>
      <c r="W32" s="245">
        <f t="shared" si="8"/>
        <v>2.3557692182242622E-2</v>
      </c>
      <c r="DA32" s="276"/>
    </row>
    <row r="33" spans="1:105" x14ac:dyDescent="0.25">
      <c r="A33" s="241" t="s">
        <v>124</v>
      </c>
      <c r="B33" s="246">
        <f t="shared" ref="B33:W33" si="9">IF(B$7=0,0,B$7/B$5)</f>
        <v>6.827491749952651E-3</v>
      </c>
      <c r="C33" s="246">
        <f t="shared" si="9"/>
        <v>6.952284750795428E-3</v>
      </c>
      <c r="D33" s="246">
        <f t="shared" si="9"/>
        <v>7.0989190017982824E-3</v>
      </c>
      <c r="E33" s="246">
        <f t="shared" si="9"/>
        <v>8.0493622009954139E-3</v>
      </c>
      <c r="F33" s="246">
        <f t="shared" si="9"/>
        <v>1.3820523411166533E-2</v>
      </c>
      <c r="G33" s="246">
        <f t="shared" si="9"/>
        <v>1.4563755699404275E-2</v>
      </c>
      <c r="H33" s="246">
        <f t="shared" si="9"/>
        <v>1.5063442967787482E-2</v>
      </c>
      <c r="I33" s="246">
        <f t="shared" si="9"/>
        <v>1.4547674128279793E-2</v>
      </c>
      <c r="J33" s="246">
        <f t="shared" si="9"/>
        <v>1.3939289085435761E-2</v>
      </c>
      <c r="K33" s="246">
        <f t="shared" si="9"/>
        <v>1.5168378376328468E-2</v>
      </c>
      <c r="L33" s="246">
        <f t="shared" si="9"/>
        <v>1.5604502031808194E-2</v>
      </c>
      <c r="M33" s="246">
        <f t="shared" si="9"/>
        <v>1.6245060416288391E-2</v>
      </c>
      <c r="N33" s="246">
        <f t="shared" si="9"/>
        <v>1.6982635262999066E-2</v>
      </c>
      <c r="O33" s="246">
        <f t="shared" si="9"/>
        <v>1.6875967870672061E-2</v>
      </c>
      <c r="P33" s="246">
        <f t="shared" si="9"/>
        <v>1.6286941816102744E-2</v>
      </c>
      <c r="Q33" s="246">
        <f t="shared" si="9"/>
        <v>1.7123095347345504E-2</v>
      </c>
      <c r="R33" s="246">
        <f t="shared" si="9"/>
        <v>1.7706178806436469E-2</v>
      </c>
      <c r="S33" s="246">
        <f t="shared" si="9"/>
        <v>1.7763413099035171E-2</v>
      </c>
      <c r="T33" s="246">
        <f t="shared" si="9"/>
        <v>1.707990818097516E-2</v>
      </c>
      <c r="U33" s="246">
        <f t="shared" si="9"/>
        <v>1.693478851072034E-2</v>
      </c>
      <c r="V33" s="246">
        <f t="shared" si="9"/>
        <v>1.5811745789669339E-2</v>
      </c>
      <c r="W33" s="246">
        <f t="shared" si="9"/>
        <v>1.5312499918457703E-2</v>
      </c>
      <c r="DA33" s="277"/>
    </row>
    <row r="34" spans="1:105" x14ac:dyDescent="0.25">
      <c r="A34" s="241" t="s">
        <v>123</v>
      </c>
      <c r="B34" s="246">
        <f t="shared" ref="B34:W34" si="10">IF(B$8=0,0,B$8/B$5)</f>
        <v>9.4534501153190533E-3</v>
      </c>
      <c r="C34" s="246">
        <f t="shared" si="10"/>
        <v>9.6262404241782874E-3</v>
      </c>
      <c r="D34" s="246">
        <f t="shared" si="10"/>
        <v>9.8292724640283921E-3</v>
      </c>
      <c r="E34" s="246">
        <f t="shared" si="10"/>
        <v>1.1145270739839806E-2</v>
      </c>
      <c r="F34" s="246">
        <f t="shared" si="10"/>
        <v>1.9136109338538279E-2</v>
      </c>
      <c r="G34" s="246">
        <f t="shared" si="10"/>
        <v>2.0165200199175157E-2</v>
      </c>
      <c r="H34" s="246">
        <f t="shared" si="10"/>
        <v>2.0857074878474966E-2</v>
      </c>
      <c r="I34" s="246">
        <f t="shared" si="10"/>
        <v>2.0142933408387409E-2</v>
      </c>
      <c r="J34" s="246">
        <f t="shared" si="10"/>
        <v>1.930055411829568E-2</v>
      </c>
      <c r="K34" s="246">
        <f t="shared" si="10"/>
        <v>2.100237005953173E-2</v>
      </c>
      <c r="L34" s="246">
        <f t="shared" si="10"/>
        <v>2.1606233582503669E-2</v>
      </c>
      <c r="M34" s="246">
        <f t="shared" si="10"/>
        <v>2.2493160576399308E-2</v>
      </c>
      <c r="N34" s="246">
        <f t="shared" si="10"/>
        <v>2.3514418056460255E-2</v>
      </c>
      <c r="O34" s="246">
        <f t="shared" si="10"/>
        <v>2.3366724744007465E-2</v>
      </c>
      <c r="P34" s="246">
        <f t="shared" si="10"/>
        <v>2.2551150206911504E-2</v>
      </c>
      <c r="Q34" s="246">
        <f t="shared" si="10"/>
        <v>2.3708901250170712E-2</v>
      </c>
      <c r="R34" s="246">
        <f t="shared" si="10"/>
        <v>2.4516247578142795E-2</v>
      </c>
      <c r="S34" s="246">
        <f t="shared" si="10"/>
        <v>2.459549506020256E-2</v>
      </c>
      <c r="T34" s="246">
        <f t="shared" si="10"/>
        <v>2.3649103635196372E-2</v>
      </c>
      <c r="U34" s="246">
        <f t="shared" si="10"/>
        <v>2.3448168707151256E-2</v>
      </c>
      <c r="V34" s="246">
        <f t="shared" si="10"/>
        <v>2.1893186478003705E-2</v>
      </c>
      <c r="W34" s="246">
        <f t="shared" si="10"/>
        <v>2.1201922964018356E-2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0.20353596732009771</v>
      </c>
      <c r="C35" s="247">
        <f t="shared" si="11"/>
        <v>0.20436299674132313</v>
      </c>
      <c r="D35" s="247">
        <f t="shared" si="11"/>
        <v>0.20679810352617295</v>
      </c>
      <c r="E35" s="247">
        <f t="shared" si="11"/>
        <v>0.20594567610227002</v>
      </c>
      <c r="F35" s="247">
        <f t="shared" si="11"/>
        <v>0.19530026037320578</v>
      </c>
      <c r="G35" s="247">
        <f t="shared" si="11"/>
        <v>0.19311976617196866</v>
      </c>
      <c r="H35" s="247">
        <f t="shared" si="11"/>
        <v>0.19225300349559377</v>
      </c>
      <c r="I35" s="247">
        <f t="shared" si="11"/>
        <v>0.192816138863071</v>
      </c>
      <c r="J35" s="247">
        <f t="shared" si="11"/>
        <v>0.1932829751152878</v>
      </c>
      <c r="K35" s="247">
        <f t="shared" si="11"/>
        <v>0.19193765874002924</v>
      </c>
      <c r="L35" s="247">
        <f t="shared" si="11"/>
        <v>0.1910388361043095</v>
      </c>
      <c r="M35" s="247">
        <f t="shared" si="11"/>
        <v>0.19042769673817864</v>
      </c>
      <c r="N35" s="247">
        <f t="shared" si="11"/>
        <v>0.18989208588162845</v>
      </c>
      <c r="O35" s="247">
        <f t="shared" si="11"/>
        <v>0.18938719217559735</v>
      </c>
      <c r="P35" s="247">
        <f t="shared" si="11"/>
        <v>0.19148127030710604</v>
      </c>
      <c r="Q35" s="247">
        <f t="shared" si="11"/>
        <v>0.19099991292227125</v>
      </c>
      <c r="R35" s="247">
        <f t="shared" si="11"/>
        <v>0.19127154763986695</v>
      </c>
      <c r="S35" s="247">
        <f t="shared" si="11"/>
        <v>0.19126886708252755</v>
      </c>
      <c r="T35" s="247">
        <f t="shared" si="11"/>
        <v>0.19194428028651084</v>
      </c>
      <c r="U35" s="247">
        <f t="shared" si="11"/>
        <v>0.19211961380548487</v>
      </c>
      <c r="V35" s="247">
        <f t="shared" si="11"/>
        <v>0.19254653137111161</v>
      </c>
      <c r="W35" s="247">
        <f t="shared" si="11"/>
        <v>0.19326143777616062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0.26913985782076827</v>
      </c>
      <c r="C36" s="260">
        <f t="shared" si="12"/>
        <v>0.26928664839743599</v>
      </c>
      <c r="D36" s="260">
        <f t="shared" si="12"/>
        <v>0.27397471614292357</v>
      </c>
      <c r="E36" s="260">
        <f t="shared" si="12"/>
        <v>0.27416352746170419</v>
      </c>
      <c r="F36" s="260">
        <f t="shared" si="12"/>
        <v>0.26020971907542056</v>
      </c>
      <c r="G36" s="260">
        <f t="shared" si="12"/>
        <v>0.25712967736438586</v>
      </c>
      <c r="H36" s="260">
        <f t="shared" si="12"/>
        <v>0.25584440992341734</v>
      </c>
      <c r="I36" s="260">
        <f t="shared" si="12"/>
        <v>0.25766992889535256</v>
      </c>
      <c r="J36" s="260">
        <f t="shared" si="12"/>
        <v>0.25929941273818097</v>
      </c>
      <c r="K36" s="260">
        <f t="shared" si="12"/>
        <v>0.25693355414500085</v>
      </c>
      <c r="L36" s="260">
        <f t="shared" si="12"/>
        <v>0.25467923834322476</v>
      </c>
      <c r="M36" s="260">
        <f t="shared" si="12"/>
        <v>0.2538975579380513</v>
      </c>
      <c r="N36" s="260">
        <f t="shared" si="12"/>
        <v>0.24990570613220472</v>
      </c>
      <c r="O36" s="260">
        <f t="shared" si="12"/>
        <v>0.25039712588221824</v>
      </c>
      <c r="P36" s="260">
        <f t="shared" si="12"/>
        <v>0.25298465453617225</v>
      </c>
      <c r="Q36" s="260">
        <f t="shared" si="12"/>
        <v>0.25132563137207192</v>
      </c>
      <c r="R36" s="260">
        <f t="shared" si="12"/>
        <v>0.24911607728864818</v>
      </c>
      <c r="S36" s="260">
        <f t="shared" si="12"/>
        <v>0.24902815137688322</v>
      </c>
      <c r="T36" s="260">
        <f t="shared" si="12"/>
        <v>0.25002951659249661</v>
      </c>
      <c r="U36" s="260">
        <f t="shared" si="12"/>
        <v>0.24919627296077293</v>
      </c>
      <c r="V36" s="260">
        <f t="shared" si="12"/>
        <v>0.25348163778707633</v>
      </c>
      <c r="W36" s="260">
        <f t="shared" si="12"/>
        <v>0.25369723155435064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0.42308754093392786</v>
      </c>
      <c r="C37" s="260">
        <f t="shared" si="13"/>
        <v>0.42112556774308635</v>
      </c>
      <c r="D37" s="260">
        <f t="shared" si="13"/>
        <v>0.4119735861494403</v>
      </c>
      <c r="E37" s="260">
        <f t="shared" si="13"/>
        <v>0.40528981905387168</v>
      </c>
      <c r="F37" s="260">
        <f t="shared" si="13"/>
        <v>0.38817683596730146</v>
      </c>
      <c r="G37" s="260">
        <f t="shared" si="13"/>
        <v>0.38831205611458725</v>
      </c>
      <c r="H37" s="260">
        <f t="shared" si="13"/>
        <v>0.38686731286344617</v>
      </c>
      <c r="I37" s="260">
        <f t="shared" si="13"/>
        <v>0.38809532245180056</v>
      </c>
      <c r="J37" s="260">
        <f t="shared" si="13"/>
        <v>0.39036576840163928</v>
      </c>
      <c r="K37" s="260">
        <f t="shared" si="13"/>
        <v>0.38507702980830588</v>
      </c>
      <c r="L37" s="260">
        <f t="shared" si="13"/>
        <v>0.38530855646411744</v>
      </c>
      <c r="M37" s="260">
        <f t="shared" si="13"/>
        <v>0.38192421045127634</v>
      </c>
      <c r="N37" s="260">
        <f t="shared" si="13"/>
        <v>0.38154508803815718</v>
      </c>
      <c r="O37" s="260">
        <f t="shared" si="13"/>
        <v>0.38228464999636774</v>
      </c>
      <c r="P37" s="260">
        <f t="shared" si="13"/>
        <v>0.38163679766682851</v>
      </c>
      <c r="Q37" s="260">
        <f t="shared" si="13"/>
        <v>0.37766402310225994</v>
      </c>
      <c r="R37" s="260">
        <f t="shared" si="13"/>
        <v>0.3755412693214113</v>
      </c>
      <c r="S37" s="260">
        <f t="shared" si="13"/>
        <v>0.37520850769799097</v>
      </c>
      <c r="T37" s="260">
        <f t="shared" si="13"/>
        <v>0.37859703874603484</v>
      </c>
      <c r="U37" s="260">
        <f t="shared" si="13"/>
        <v>0.38053136872244991</v>
      </c>
      <c r="V37" s="260">
        <f t="shared" si="13"/>
        <v>0.38363440792802339</v>
      </c>
      <c r="W37" s="260">
        <f t="shared" si="13"/>
        <v>0.38650283247209333</v>
      </c>
      <c r="DA37" s="279"/>
    </row>
    <row r="38" spans="1:105" x14ac:dyDescent="0.25">
      <c r="A38" s="128" t="s">
        <v>174</v>
      </c>
      <c r="B38" s="260">
        <f t="shared" ref="B38:W38" si="14">IF(B$25=0,0,B$25/B$5)</f>
        <v>5.1717466617878266E-2</v>
      </c>
      <c r="C38" s="260">
        <f t="shared" si="14"/>
        <v>5.1745673650497308E-2</v>
      </c>
      <c r="D38" s="260">
        <f t="shared" si="14"/>
        <v>5.2646524936861075E-2</v>
      </c>
      <c r="E38" s="260">
        <f t="shared" si="14"/>
        <v>5.2682806605266461E-2</v>
      </c>
      <c r="F38" s="260">
        <f t="shared" si="14"/>
        <v>5.0001466036637347E-2</v>
      </c>
      <c r="G38" s="260">
        <f t="shared" si="14"/>
        <v>4.9409610353640755E-2</v>
      </c>
      <c r="H38" s="260">
        <f t="shared" si="14"/>
        <v>4.9162635503792997E-2</v>
      </c>
      <c r="I38" s="260">
        <f t="shared" si="14"/>
        <v>4.9513424187623827E-2</v>
      </c>
      <c r="J38" s="260">
        <f t="shared" si="14"/>
        <v>4.9826543087693881E-2</v>
      </c>
      <c r="K38" s="260">
        <f t="shared" si="14"/>
        <v>4.9371923642598896E-2</v>
      </c>
      <c r="L38" s="260">
        <f t="shared" si="14"/>
        <v>4.8938738074439214E-2</v>
      </c>
      <c r="M38" s="260">
        <f t="shared" si="14"/>
        <v>4.8788531670275449E-2</v>
      </c>
      <c r="N38" s="260">
        <f t="shared" si="14"/>
        <v>4.8021464078785991E-2</v>
      </c>
      <c r="O38" s="260">
        <f t="shared" si="14"/>
        <v>4.8115894479108245E-2</v>
      </c>
      <c r="P38" s="260">
        <f t="shared" si="14"/>
        <v>4.8613109673718277E-2</v>
      </c>
      <c r="Q38" s="260">
        <f t="shared" si="14"/>
        <v>4.8294314546893251E-2</v>
      </c>
      <c r="R38" s="260">
        <f t="shared" si="14"/>
        <v>4.7869730315946823E-2</v>
      </c>
      <c r="S38" s="260">
        <f t="shared" si="14"/>
        <v>4.7852834619250786E-2</v>
      </c>
      <c r="T38" s="260">
        <f t="shared" si="14"/>
        <v>4.804525529053344E-2</v>
      </c>
      <c r="U38" s="260">
        <f t="shared" si="14"/>
        <v>4.7885140582674283E-2</v>
      </c>
      <c r="V38" s="260">
        <f t="shared" si="14"/>
        <v>4.8708609147101331E-2</v>
      </c>
      <c r="W38" s="260">
        <f t="shared" si="14"/>
        <v>4.8750037286182317E-2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1.0503833461465618E-2</v>
      </c>
      <c r="C39" s="260">
        <f t="shared" si="15"/>
        <v>1.0695822693531426E-2</v>
      </c>
      <c r="D39" s="260">
        <f t="shared" si="15"/>
        <v>1.0921413848920439E-2</v>
      </c>
      <c r="E39" s="260">
        <f t="shared" si="15"/>
        <v>1.2383634155377564E-2</v>
      </c>
      <c r="F39" s="260">
        <f t="shared" si="15"/>
        <v>2.126234370948699E-2</v>
      </c>
      <c r="G39" s="260">
        <f t="shared" si="15"/>
        <v>2.2405777999083509E-2</v>
      </c>
      <c r="H39" s="260">
        <f t="shared" si="15"/>
        <v>2.3174527642749975E-2</v>
      </c>
      <c r="I39" s="260">
        <f t="shared" si="15"/>
        <v>2.238103712043045E-2</v>
      </c>
      <c r="J39" s="260">
        <f t="shared" si="15"/>
        <v>2.1445060131439632E-2</v>
      </c>
      <c r="K39" s="260">
        <f t="shared" si="15"/>
        <v>2.3335966732813029E-2</v>
      </c>
      <c r="L39" s="260">
        <f t="shared" si="15"/>
        <v>2.4006926202781848E-2</v>
      </c>
      <c r="M39" s="260">
        <f t="shared" si="15"/>
        <v>2.4992400640443686E-2</v>
      </c>
      <c r="N39" s="260">
        <f t="shared" si="15"/>
        <v>2.6127131173844735E-2</v>
      </c>
      <c r="O39" s="260">
        <f t="shared" si="15"/>
        <v>2.5963027493341648E-2</v>
      </c>
      <c r="P39" s="260">
        <f t="shared" si="15"/>
        <v>2.505683356323499E-2</v>
      </c>
      <c r="Q39" s="260">
        <f t="shared" si="15"/>
        <v>2.6343223611300776E-2</v>
      </c>
      <c r="R39" s="260">
        <f t="shared" si="15"/>
        <v>2.7240275086825343E-2</v>
      </c>
      <c r="S39" s="260">
        <f t="shared" si="15"/>
        <v>2.7328327844669497E-2</v>
      </c>
      <c r="T39" s="260">
        <f t="shared" si="15"/>
        <v>2.6276781816884882E-2</v>
      </c>
      <c r="U39" s="260">
        <f t="shared" si="15"/>
        <v>2.6053520785723601E-2</v>
      </c>
      <c r="V39" s="260">
        <f t="shared" si="15"/>
        <v>2.4325762753337445E-2</v>
      </c>
      <c r="W39" s="260">
        <f t="shared" si="15"/>
        <v>2.3557692182242622E-2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1.5230558519125146E-2</v>
      </c>
      <c r="C40" s="262">
        <f t="shared" si="16"/>
        <v>1.5508942905620569E-2</v>
      </c>
      <c r="D40" s="262">
        <f t="shared" si="16"/>
        <v>1.5836050080934635E-2</v>
      </c>
      <c r="E40" s="262">
        <f t="shared" si="16"/>
        <v>1.7956269525297476E-2</v>
      </c>
      <c r="F40" s="262">
        <f t="shared" si="16"/>
        <v>3.0830398378756139E-2</v>
      </c>
      <c r="G40" s="262">
        <f t="shared" si="16"/>
        <v>3.248837809867109E-2</v>
      </c>
      <c r="H40" s="262">
        <f t="shared" si="16"/>
        <v>3.3603065081987467E-2</v>
      </c>
      <c r="I40" s="262">
        <f t="shared" si="16"/>
        <v>3.2452503824624168E-2</v>
      </c>
      <c r="J40" s="262">
        <f t="shared" si="16"/>
        <v>3.1095337190587484E-2</v>
      </c>
      <c r="K40" s="262">
        <f t="shared" si="16"/>
        <v>3.3837151762578899E-2</v>
      </c>
      <c r="L40" s="262">
        <f t="shared" si="16"/>
        <v>3.4810042994033674E-2</v>
      </c>
      <c r="M40" s="262">
        <f t="shared" si="16"/>
        <v>3.6238980928643354E-2</v>
      </c>
      <c r="N40" s="262">
        <f t="shared" si="16"/>
        <v>3.7884340202074873E-2</v>
      </c>
      <c r="O40" s="262">
        <f t="shared" si="16"/>
        <v>3.7646389865345374E-2</v>
      </c>
      <c r="P40" s="262">
        <f t="shared" si="16"/>
        <v>3.6332408666690734E-2</v>
      </c>
      <c r="Q40" s="262">
        <f t="shared" si="16"/>
        <v>3.8197674236386134E-2</v>
      </c>
      <c r="R40" s="262">
        <f t="shared" si="16"/>
        <v>3.9498398875896734E-2</v>
      </c>
      <c r="S40" s="262">
        <f t="shared" si="16"/>
        <v>3.9626075374770774E-2</v>
      </c>
      <c r="T40" s="262">
        <f t="shared" si="16"/>
        <v>3.8101333634483057E-2</v>
      </c>
      <c r="U40" s="262">
        <f t="shared" si="16"/>
        <v>3.7777605139299217E-2</v>
      </c>
      <c r="V40" s="262">
        <f t="shared" si="16"/>
        <v>3.5272355992339292E-2</v>
      </c>
      <c r="W40" s="262">
        <f t="shared" si="16"/>
        <v>3.415865366425181E-2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126.45888445910971</v>
      </c>
      <c r="C44" s="237">
        <f t="shared" si="17"/>
        <v>122.34803499436484</v>
      </c>
      <c r="D44" s="237">
        <f t="shared" si="17"/>
        <v>127.81056238438653</v>
      </c>
      <c r="E44" s="237">
        <f t="shared" si="17"/>
        <v>135.43288032890183</v>
      </c>
      <c r="F44" s="237">
        <f t="shared" si="17"/>
        <v>134.84363036747558</v>
      </c>
      <c r="G44" s="237">
        <f t="shared" si="17"/>
        <v>154.42655608236754</v>
      </c>
      <c r="H44" s="237">
        <f t="shared" si="17"/>
        <v>146.93020171673021</v>
      </c>
      <c r="I44" s="237">
        <f t="shared" si="17"/>
        <v>137.23851152262924</v>
      </c>
      <c r="J44" s="237">
        <f t="shared" si="17"/>
        <v>139.32723127138397</v>
      </c>
      <c r="K44" s="237">
        <f t="shared" si="17"/>
        <v>156.36023356757104</v>
      </c>
      <c r="L44" s="237">
        <f t="shared" si="17"/>
        <v>144.58585940593423</v>
      </c>
      <c r="M44" s="237">
        <f t="shared" si="17"/>
        <v>132.8002659379103</v>
      </c>
      <c r="N44" s="237">
        <f t="shared" si="17"/>
        <v>135.04301399101357</v>
      </c>
      <c r="O44" s="237">
        <f t="shared" si="17"/>
        <v>132.95020410976804</v>
      </c>
      <c r="P44" s="237">
        <f t="shared" si="17"/>
        <v>130.15939664117738</v>
      </c>
      <c r="Q44" s="237">
        <f t="shared" si="17"/>
        <v>132.91816907674803</v>
      </c>
      <c r="R44" s="237">
        <f t="shared" si="17"/>
        <v>135.38540863538171</v>
      </c>
      <c r="S44" s="237">
        <f t="shared" si="17"/>
        <v>124.90211009173743</v>
      </c>
      <c r="T44" s="237">
        <f t="shared" si="17"/>
        <v>141.27985612939975</v>
      </c>
      <c r="U44" s="237">
        <f t="shared" si="17"/>
        <v>142.0119845958406</v>
      </c>
      <c r="V44" s="237">
        <f t="shared" si="17"/>
        <v>148.62601044661247</v>
      </c>
      <c r="W44" s="237">
        <f t="shared" si="17"/>
        <v>142.5401415478579</v>
      </c>
      <c r="DA44" s="281"/>
    </row>
    <row r="45" spans="1:105" x14ac:dyDescent="0.25">
      <c r="A45" s="239" t="s">
        <v>125</v>
      </c>
      <c r="B45" s="248">
        <f>IF(B$6=0,0,B$6/AGR!B$5*1000)</f>
        <v>1.3283030620812106</v>
      </c>
      <c r="C45" s="248">
        <f>IF(C$6=0,0,C$6/AGR!C$5*1000)</f>
        <v>1.3086128892017046</v>
      </c>
      <c r="D45" s="248">
        <f>IF(D$6=0,0,D$6/AGR!D$5*1000)</f>
        <v>1.3958720460631489</v>
      </c>
      <c r="E45" s="248">
        <f>IF(E$6=0,0,E$6/AGR!E$5*1000)</f>
        <v>1.6771512426021506</v>
      </c>
      <c r="F45" s="248">
        <f>IF(F$6=0,0,F$6/AGR!F$5*1000)</f>
        <v>2.8670916159082833</v>
      </c>
      <c r="G45" s="248">
        <f>IF(G$6=0,0,G$6/AGR!G$5*1000)</f>
        <v>3.4600471327445468</v>
      </c>
      <c r="H45" s="248">
        <f>IF(H$6=0,0,H$6/AGR!H$5*1000)</f>
        <v>3.4050380212391942</v>
      </c>
      <c r="I45" s="248">
        <f>IF(I$6=0,0,I$6/AGR!I$5*1000)</f>
        <v>3.071540220740586</v>
      </c>
      <c r="J45" s="248">
        <f>IF(J$6=0,0,J$6/AGR!J$5*1000)</f>
        <v>2.9878808525618252</v>
      </c>
      <c r="K45" s="248">
        <f>IF(K$6=0,0,K$6/AGR!K$5*1000)</f>
        <v>3.6488172088677131</v>
      </c>
      <c r="L45" s="248">
        <f>IF(L$6=0,0,L$6/AGR!L$5*1000)</f>
        <v>3.4710620567240533</v>
      </c>
      <c r="M45" s="248">
        <f>IF(M$6=0,0,M$6/AGR!M$5*1000)</f>
        <v>3.318997451477721</v>
      </c>
      <c r="N45" s="248">
        <f>IF(N$6=0,0,N$6/AGR!N$5*1000)</f>
        <v>3.5282865406545603</v>
      </c>
      <c r="O45" s="248">
        <f>IF(O$6=0,0,O$6/AGR!O$5*1000)</f>
        <v>3.4517898045472921</v>
      </c>
      <c r="P45" s="248">
        <f>IF(P$6=0,0,P$6/AGR!P$5*1000)</f>
        <v>3.2613823383290681</v>
      </c>
      <c r="Q45" s="248">
        <f>IF(Q$6=0,0,Q$6/AGR!Q$5*1000)</f>
        <v>3.5014930499934569</v>
      </c>
      <c r="R45" s="248">
        <f>IF(R$6=0,0,R$6/AGR!R$5*1000)</f>
        <v>3.6879357739700573</v>
      </c>
      <c r="S45" s="248">
        <f>IF(S$6=0,0,S$6/AGR!S$5*1000)</f>
        <v>3.4133658130780029</v>
      </c>
      <c r="T45" s="248">
        <f>IF(T$6=0,0,T$6/AGR!T$5*1000)</f>
        <v>3.7123799546331226</v>
      </c>
      <c r="U45" s="248">
        <f>IF(U$6=0,0,U$6/AGR!U$5*1000)</f>
        <v>3.6999121924895926</v>
      </c>
      <c r="V45" s="248">
        <f>IF(V$6=0,0,V$6/AGR!V$5*1000)</f>
        <v>3.6154410690993486</v>
      </c>
      <c r="W45" s="248">
        <f>IF(W$6=0,0,W$6/AGR!W$5*1000)</f>
        <v>3.3579167781977288</v>
      </c>
      <c r="DA45" s="282"/>
    </row>
    <row r="46" spans="1:105" x14ac:dyDescent="0.25">
      <c r="A46" s="241" t="s">
        <v>124</v>
      </c>
      <c r="B46" s="249">
        <f>IF(B$7=0,0,B$7/AGR!B$5*1000)</f>
        <v>0.86339699035278683</v>
      </c>
      <c r="C46" s="249">
        <f>IF(C$7=0,0,C$7/AGR!C$5*1000)</f>
        <v>0.85059837798110827</v>
      </c>
      <c r="D46" s="249">
        <f>IF(D$7=0,0,D$7/AGR!D$5*1000)</f>
        <v>0.90731682994104634</v>
      </c>
      <c r="E46" s="249">
        <f>IF(E$7=0,0,E$7/AGR!E$5*1000)</f>
        <v>1.0901483076913976</v>
      </c>
      <c r="F46" s="249">
        <f>IF(F$7=0,0,F$7/AGR!F$5*1000)</f>
        <v>1.8636095503403827</v>
      </c>
      <c r="G46" s="249">
        <f>IF(G$7=0,0,G$7/AGR!G$5*1000)</f>
        <v>2.2490306362839543</v>
      </c>
      <c r="H46" s="249">
        <f>IF(H$7=0,0,H$7/AGR!H$5*1000)</f>
        <v>2.2132747138054758</v>
      </c>
      <c r="I46" s="249">
        <f>IF(I$7=0,0,I$7/AGR!I$5*1000)</f>
        <v>1.9965011434813813</v>
      </c>
      <c r="J46" s="249">
        <f>IF(J$7=0,0,J$7/AGR!J$5*1000)</f>
        <v>1.9421225541651863</v>
      </c>
      <c r="K46" s="249">
        <f>IF(K$7=0,0,K$7/AGR!K$5*1000)</f>
        <v>2.3717311857640131</v>
      </c>
      <c r="L46" s="249">
        <f>IF(L$7=0,0,L$7/AGR!L$5*1000)</f>
        <v>2.2561903368706338</v>
      </c>
      <c r="M46" s="249">
        <f>IF(M$7=0,0,M$7/AGR!M$5*1000)</f>
        <v>2.1573483434605176</v>
      </c>
      <c r="N46" s="249">
        <f>IF(N$7=0,0,N$7/AGR!N$5*1000)</f>
        <v>2.293386251425463</v>
      </c>
      <c r="O46" s="249">
        <f>IF(O$7=0,0,O$7/AGR!O$5*1000)</f>
        <v>2.2436633729557385</v>
      </c>
      <c r="P46" s="249">
        <f>IF(P$7=0,0,P$7/AGR!P$5*1000)</f>
        <v>2.1198985199138942</v>
      </c>
      <c r="Q46" s="249">
        <f>IF(Q$7=0,0,Q$7/AGR!Q$5*1000)</f>
        <v>2.275970482495747</v>
      </c>
      <c r="R46" s="249">
        <f>IF(R$7=0,0,R$7/AGR!R$5*1000)</f>
        <v>2.3971582530805362</v>
      </c>
      <c r="S46" s="249">
        <f>IF(S$7=0,0,S$7/AGR!S$5*1000)</f>
        <v>2.2186877785007013</v>
      </c>
      <c r="T46" s="249">
        <f>IF(T$7=0,0,T$7/AGR!T$5*1000)</f>
        <v>2.4130469705115276</v>
      </c>
      <c r="U46" s="249">
        <f>IF(U$7=0,0,U$7/AGR!U$5*1000)</f>
        <v>2.4049429251182346</v>
      </c>
      <c r="V46" s="249">
        <f>IF(V$7=0,0,V$7/AGR!V$5*1000)</f>
        <v>2.3500366949145763</v>
      </c>
      <c r="W46" s="249">
        <f>IF(W$7=0,0,W$7/AGR!W$5*1000)</f>
        <v>2.1826459058285232</v>
      </c>
      <c r="DA46" s="283"/>
    </row>
    <row r="47" spans="1:105" x14ac:dyDescent="0.25">
      <c r="A47" s="241" t="s">
        <v>123</v>
      </c>
      <c r="B47" s="249">
        <f>IF(B$8=0,0,B$8/AGR!B$5*1000)</f>
        <v>1.1954727558730891</v>
      </c>
      <c r="C47" s="249">
        <f>IF(C$8=0,0,C$8/AGR!C$5*1000)</f>
        <v>1.1777516002815347</v>
      </c>
      <c r="D47" s="249">
        <f>IF(D$8=0,0,D$8/AGR!D$5*1000)</f>
        <v>1.2562848414568335</v>
      </c>
      <c r="E47" s="249">
        <f>IF(E$8=0,0,E$8/AGR!E$5*1000)</f>
        <v>1.5094361183419354</v>
      </c>
      <c r="F47" s="249">
        <f>IF(F$8=0,0,F$8/AGR!F$5*1000)</f>
        <v>2.5803824543174536</v>
      </c>
      <c r="G47" s="249">
        <f>IF(G$8=0,0,G$8/AGR!G$5*1000)</f>
        <v>3.114042419470092</v>
      </c>
      <c r="H47" s="249">
        <f>IF(H$8=0,0,H$8/AGR!H$5*1000)</f>
        <v>3.0645342191152731</v>
      </c>
      <c r="I47" s="249">
        <f>IF(I$8=0,0,I$8/AGR!I$5*1000)</f>
        <v>2.7643861986665281</v>
      </c>
      <c r="J47" s="249">
        <f>IF(J$8=0,0,J$8/AGR!J$5*1000)</f>
        <v>2.6890927673056439</v>
      </c>
      <c r="K47" s="249">
        <f>IF(K$8=0,0,K$8/AGR!K$5*1000)</f>
        <v>3.2839354879809419</v>
      </c>
      <c r="L47" s="249">
        <f>IF(L$8=0,0,L$8/AGR!L$5*1000)</f>
        <v>3.1239558510516492</v>
      </c>
      <c r="M47" s="249">
        <f>IF(M$8=0,0,M$8/AGR!M$5*1000)</f>
        <v>2.9870977063299473</v>
      </c>
      <c r="N47" s="249">
        <f>IF(N$8=0,0,N$8/AGR!N$5*1000)</f>
        <v>3.1754578865891037</v>
      </c>
      <c r="O47" s="249">
        <f>IF(O$8=0,0,O$8/AGR!O$5*1000)</f>
        <v>3.1066108240925607</v>
      </c>
      <c r="P47" s="249">
        <f>IF(P$8=0,0,P$8/AGR!P$5*1000)</f>
        <v>2.9352441044961632</v>
      </c>
      <c r="Q47" s="249">
        <f>IF(Q$8=0,0,Q$8/AGR!Q$5*1000)</f>
        <v>3.1513437449941128</v>
      </c>
      <c r="R47" s="249">
        <f>IF(R$8=0,0,R$8/AGR!R$5*1000)</f>
        <v>3.3191421965730492</v>
      </c>
      <c r="S47" s="249">
        <f>IF(S$8=0,0,S$8/AGR!S$5*1000)</f>
        <v>3.072029231770204</v>
      </c>
      <c r="T47" s="249">
        <f>IF(T$8=0,0,T$8/AGR!T$5*1000)</f>
        <v>3.3411419591698075</v>
      </c>
      <c r="U47" s="249">
        <f>IF(U$8=0,0,U$8/AGR!U$5*1000)</f>
        <v>3.3299209732406352</v>
      </c>
      <c r="V47" s="249">
        <f>IF(V$8=0,0,V$8/AGR!V$5*1000)</f>
        <v>3.253896962189414</v>
      </c>
      <c r="W47" s="249">
        <f>IF(W$8=0,0,W$8/AGR!W$5*1000)</f>
        <v>3.0221251003779557</v>
      </c>
      <c r="DA47" s="283"/>
    </row>
    <row r="48" spans="1:105" x14ac:dyDescent="0.25">
      <c r="A48" s="243" t="s">
        <v>122</v>
      </c>
      <c r="B48" s="250">
        <f>IF(B$9=0,0,B$9/AGR!B$5*1000)</f>
        <v>25.738931374605361</v>
      </c>
      <c r="C48" s="250">
        <f>IF(C$9=0,0,C$9/AGR!C$5*1000)</f>
        <v>25.003411076860672</v>
      </c>
      <c r="D48" s="250">
        <f>IF(D$9=0,0,D$9/AGR!D$5*1000)</f>
        <v>26.430981911704752</v>
      </c>
      <c r="E48" s="250">
        <f>IF(E$9=0,0,E$9/AGR!E$5*1000)</f>
        <v>27.891816105813504</v>
      </c>
      <c r="F48" s="250">
        <f>IF(F$9=0,0,F$9/AGR!F$5*1000)</f>
        <v>26.334996120436294</v>
      </c>
      <c r="G48" s="250">
        <f>IF(G$9=0,0,G$9/AGR!G$5*1000)</f>
        <v>29.822820401369228</v>
      </c>
      <c r="H48" s="250">
        <f>IF(H$9=0,0,H$9/AGR!H$5*1000)</f>
        <v>28.247772584254832</v>
      </c>
      <c r="I48" s="250">
        <f>IF(I$9=0,0,I$9/AGR!I$5*1000)</f>
        <v>26.461799895108442</v>
      </c>
      <c r="J48" s="250">
        <f>IF(J$9=0,0,J$9/AGR!J$5*1000)</f>
        <v>26.929581774708854</v>
      </c>
      <c r="K48" s="250">
        <f>IF(K$9=0,0,K$9/AGR!K$5*1000)</f>
        <v>30.011417151003716</v>
      </c>
      <c r="L48" s="250">
        <f>IF(L$9=0,0,L$9/AGR!L$5*1000)</f>
        <v>27.621514298050997</v>
      </c>
      <c r="M48" s="250">
        <f>IF(M$9=0,0,M$9/AGR!M$5*1000)</f>
        <v>25.288848768773853</v>
      </c>
      <c r="N48" s="250">
        <f>IF(N$9=0,0,N$9/AGR!N$5*1000)</f>
        <v>25.643599610495496</v>
      </c>
      <c r="O48" s="250">
        <f>IF(O$9=0,0,O$9/AGR!O$5*1000)</f>
        <v>25.179065855521543</v>
      </c>
      <c r="P48" s="250">
        <f>IF(P$9=0,0,P$9/AGR!P$5*1000)</f>
        <v>24.923086611259112</v>
      </c>
      <c r="Q48" s="250">
        <f>IF(Q$9=0,0,Q$9/AGR!Q$5*1000)</f>
        <v>25.387358719446599</v>
      </c>
      <c r="R48" s="250">
        <f>IF(R$9=0,0,R$9/AGR!R$5*1000)</f>
        <v>25.895376637545269</v>
      </c>
      <c r="S48" s="250">
        <f>IF(S$9=0,0,S$9/AGR!S$5*1000)</f>
        <v>23.88988509346375</v>
      </c>
      <c r="T48" s="250">
        <f>IF(T$9=0,0,T$9/AGR!T$5*1000)</f>
        <v>27.117860303739427</v>
      </c>
      <c r="U48" s="250">
        <f>IF(U$9=0,0,U$9/AGR!U$5*1000)</f>
        <v>27.28328763630336</v>
      </c>
      <c r="V48" s="250">
        <f>IF(V$9=0,0,V$9/AGR!V$5*1000)</f>
        <v>28.617422783021837</v>
      </c>
      <c r="W48" s="250">
        <f>IF(W$9=0,0,W$9/AGR!W$5*1000)</f>
        <v>27.547512696356467</v>
      </c>
      <c r="DA48" s="284"/>
    </row>
    <row r="49" spans="1:105" x14ac:dyDescent="0.25">
      <c r="A49" s="128" t="s">
        <v>175</v>
      </c>
      <c r="B49" s="263">
        <f>IF(B$16=0,0,B$16/AGR!B$5*1000)</f>
        <v>34.035126183497745</v>
      </c>
      <c r="C49" s="263">
        <f>IF(C$16=0,0,C$16/AGR!C$5*1000)</f>
        <v>32.946692281644729</v>
      </c>
      <c r="D49" s="263">
        <f>IF(D$16=0,0,D$16/AGR!D$5*1000)</f>
        <v>35.016862549329723</v>
      </c>
      <c r="E49" s="263">
        <f>IF(E$16=0,0,E$16/AGR!E$5*1000)</f>
        <v>37.130756205270565</v>
      </c>
      <c r="F49" s="263">
        <f>IF(F$16=0,0,F$16/AGR!F$5*1000)</f>
        <v>35.087623177030672</v>
      </c>
      <c r="G49" s="263">
        <f>IF(G$16=0,0,G$16/AGR!G$5*1000)</f>
        <v>39.707650541952411</v>
      </c>
      <c r="H49" s="263">
        <f>IF(H$16=0,0,H$16/AGR!H$5*1000)</f>
        <v>37.591270758145519</v>
      </c>
      <c r="I49" s="263">
        <f>IF(I$16=0,0,I$16/AGR!I$5*1000)</f>
        <v>35.362237505739884</v>
      </c>
      <c r="J49" s="263">
        <f>IF(J$16=0,0,J$16/AGR!J$5*1000)</f>
        <v>36.127469247106582</v>
      </c>
      <c r="K49" s="263">
        <f>IF(K$16=0,0,K$16/AGR!K$5*1000)</f>
        <v>40.174190537458493</v>
      </c>
      <c r="L49" s="263">
        <f>IF(L$16=0,0,L$16/AGR!L$5*1000)</f>
        <v>36.823016548703905</v>
      </c>
      <c r="M49" s="263">
        <f>IF(M$16=0,0,M$16/AGR!M$5*1000)</f>
        <v>33.717663215159199</v>
      </c>
      <c r="N49" s="263">
        <f>IF(N$16=0,0,N$16/AGR!N$5*1000)</f>
        <v>33.748019769645438</v>
      </c>
      <c r="O49" s="263">
        <f>IF(O$16=0,0,O$16/AGR!O$5*1000)</f>
        <v>33.290348994540203</v>
      </c>
      <c r="P49" s="263">
        <f>IF(P$16=0,0,P$16/AGR!P$5*1000)</f>
        <v>32.928329993904875</v>
      </c>
      <c r="Q49" s="263">
        <f>IF(Q$16=0,0,Q$16/AGR!Q$5*1000)</f>
        <v>33.405742764033491</v>
      </c>
      <c r="R49" s="263">
        <f>IF(R$16=0,0,R$16/AGR!R$5*1000)</f>
        <v>33.726681921366968</v>
      </c>
      <c r="S49" s="263">
        <f>IF(S$16=0,0,S$16/AGR!S$5*1000)</f>
        <v>31.104141579217323</v>
      </c>
      <c r="T49" s="263">
        <f>IF(T$16=0,0,T$16/AGR!T$5*1000)</f>
        <v>35.324134132291277</v>
      </c>
      <c r="U49" s="263">
        <f>IF(U$16=0,0,U$16/AGR!U$5*1000)</f>
        <v>35.388857277046171</v>
      </c>
      <c r="V49" s="263">
        <f>IF(V$16=0,0,V$16/AGR!V$5*1000)</f>
        <v>37.673964545766459</v>
      </c>
      <c r="W49" s="263">
        <f>IF(W$16=0,0,W$16/AGR!W$5*1000)</f>
        <v>36.162039296056818</v>
      </c>
      <c r="DA49" s="285"/>
    </row>
    <row r="50" spans="1:105" x14ac:dyDescent="0.25">
      <c r="A50" s="128" t="s">
        <v>121</v>
      </c>
      <c r="B50" s="263">
        <f>IF(B$17=0,0,B$17/AGR!B$5*1000)</f>
        <v>53.503178455052428</v>
      </c>
      <c r="C50" s="263">
        <f>IF(C$17=0,0,C$17/AGR!C$5*1000)</f>
        <v>51.523885699252894</v>
      </c>
      <c r="D50" s="263">
        <f>IF(D$17=0,0,D$17/AGR!D$5*1000)</f>
        <v>52.654575733272473</v>
      </c>
      <c r="E50" s="263">
        <f>IF(E$17=0,0,E$17/AGR!E$5*1000)</f>
        <v>54.889567562445272</v>
      </c>
      <c r="F50" s="263">
        <f>IF(F$17=0,0,F$17/AGR!F$5*1000)</f>
        <v>52.343173786390999</v>
      </c>
      <c r="G50" s="263">
        <f>IF(G$17=0,0,G$17/AGR!G$5*1000)</f>
        <v>59.965693511038765</v>
      </c>
      <c r="H50" s="263">
        <f>IF(H$17=0,0,H$17/AGR!H$5*1000)</f>
        <v>56.842492316635521</v>
      </c>
      <c r="I50" s="263">
        <f>IF(I$17=0,0,I$17/AGR!I$5*1000)</f>
        <v>53.261624382179924</v>
      </c>
      <c r="J50" s="263">
        <f>IF(J$17=0,0,J$17/AGR!J$5*1000)</f>
        <v>54.3885816945267</v>
      </c>
      <c r="K50" s="263">
        <f>IF(K$17=0,0,K$17/AGR!K$5*1000)</f>
        <v>60.210734322333217</v>
      </c>
      <c r="L50" s="263">
        <f>IF(L$17=0,0,L$17/AGR!L$5*1000)</f>
        <v>55.710168772824339</v>
      </c>
      <c r="M50" s="263">
        <f>IF(M$17=0,0,M$17/AGR!M$5*1000)</f>
        <v>50.719636716055909</v>
      </c>
      <c r="N50" s="263">
        <f>IF(N$17=0,0,N$17/AGR!N$5*1000)</f>
        <v>51.52499866213936</v>
      </c>
      <c r="O50" s="263">
        <f>IF(O$17=0,0,O$17/AGR!O$5*1000)</f>
        <v>50.824822245048338</v>
      </c>
      <c r="P50" s="263">
        <f>IF(P$17=0,0,P$17/AGR!P$5*1000)</f>
        <v>49.67361532038548</v>
      </c>
      <c r="Q50" s="263">
        <f>IF(Q$17=0,0,Q$17/AGR!Q$5*1000)</f>
        <v>50.19841047691105</v>
      </c>
      <c r="R50" s="263">
        <f>IF(R$17=0,0,R$17/AGR!R$5*1000)</f>
        <v>50.842808206529199</v>
      </c>
      <c r="S50" s="263">
        <f>IF(S$17=0,0,S$17/AGR!S$5*1000)</f>
        <v>46.864334335850977</v>
      </c>
      <c r="T50" s="263">
        <f>IF(T$17=0,0,T$17/AGR!T$5*1000)</f>
        <v>53.488135165056569</v>
      </c>
      <c r="U50" s="263">
        <f>IF(U$17=0,0,U$17/AGR!U$5*1000)</f>
        <v>54.040014873246697</v>
      </c>
      <c r="V50" s="263">
        <f>IF(V$17=0,0,V$17/AGR!V$5*1000)</f>
        <v>57.018051520390408</v>
      </c>
      <c r="W50" s="263">
        <f>IF(W$17=0,0,W$17/AGR!W$5*1000)</f>
        <v>55.092168449220196</v>
      </c>
      <c r="DA50" s="285"/>
    </row>
    <row r="51" spans="1:105" x14ac:dyDescent="0.25">
      <c r="A51" s="128" t="s">
        <v>174</v>
      </c>
      <c r="B51" s="263">
        <f>IF(B$25=0,0,B$25/AGR!B$5*1000)</f>
        <v>6.54013313554813</v>
      </c>
      <c r="C51" s="263">
        <f>IF(C$25=0,0,C$25/AGR!C$5*1000)</f>
        <v>6.3309814905980275</v>
      </c>
      <c r="D51" s="263">
        <f>IF(D$25=0,0,D$25/AGR!D$5*1000)</f>
        <v>6.7287819597638432</v>
      </c>
      <c r="E51" s="263">
        <f>IF(E$25=0,0,E$25/AGR!E$5*1000)</f>
        <v>7.13498424236173</v>
      </c>
      <c r="F51" s="263">
        <f>IF(F$25=0,0,F$25/AGR!F$5*1000)</f>
        <v>6.7423792040762107</v>
      </c>
      <c r="G51" s="263">
        <f>IF(G$25=0,0,G$25/AGR!G$5*1000)</f>
        <v>7.630155964284433</v>
      </c>
      <c r="H51" s="263">
        <f>IF(H$25=0,0,H$25/AGR!H$5*1000)</f>
        <v>7.2234759514983882</v>
      </c>
      <c r="I51" s="263">
        <f>IF(I$25=0,0,I$25/AGR!I$5*1000)</f>
        <v>6.7951486358980393</v>
      </c>
      <c r="J51" s="263">
        <f>IF(J$25=0,0,J$25/AGR!J$5*1000)</f>
        <v>6.9421942922327018</v>
      </c>
      <c r="K51" s="263">
        <f>IF(K$25=0,0,K$25/AGR!K$5*1000)</f>
        <v>7.7198055124370457</v>
      </c>
      <c r="L51" s="263">
        <f>IF(L$25=0,0,L$25/AGR!L$5*1000)</f>
        <v>7.0758495027347061</v>
      </c>
      <c r="M51" s="263">
        <f>IF(M$25=0,0,M$25/AGR!M$5*1000)</f>
        <v>6.479129980532738</v>
      </c>
      <c r="N51" s="263">
        <f>IF(N$25=0,0,N$25/AGR!N$5*1000)</f>
        <v>6.4849632454604516</v>
      </c>
      <c r="O51" s="263">
        <f>IF(O$25=0,0,O$25/AGR!O$5*1000)</f>
        <v>6.397017991921504</v>
      </c>
      <c r="P51" s="263">
        <f>IF(P$25=0,0,P$25/AGR!P$5*1000)</f>
        <v>6.327453023982553</v>
      </c>
      <c r="Q51" s="263">
        <f>IF(Q$25=0,0,Q$25/AGR!Q$5*1000)</f>
        <v>6.4191918663896077</v>
      </c>
      <c r="R51" s="263">
        <f>IF(R$25=0,0,R$25/AGR!R$5*1000)</f>
        <v>6.4808630000899798</v>
      </c>
      <c r="S51" s="263">
        <f>IF(S$25=0,0,S$25/AGR!S$5*1000)</f>
        <v>5.9769200178153659</v>
      </c>
      <c r="T51" s="263">
        <f>IF(T$25=0,0,T$25/AGR!T$5*1000)</f>
        <v>6.7878267551468445</v>
      </c>
      <c r="U51" s="263">
        <f>IF(U$25=0,0,U$25/AGR!U$5*1000)</f>
        <v>6.8002638467964012</v>
      </c>
      <c r="V51" s="263">
        <f>IF(V$25=0,0,V$25/AGR!V$5*1000)</f>
        <v>7.2393662519370476</v>
      </c>
      <c r="W51" s="263">
        <f>IF(W$25=0,0,W$25/AGR!W$5*1000)</f>
        <v>6.9488372152357778</v>
      </c>
      <c r="DA51" s="285"/>
    </row>
    <row r="52" spans="1:105" x14ac:dyDescent="0.25">
      <c r="A52" s="128" t="s">
        <v>177</v>
      </c>
      <c r="B52" s="263">
        <f>IF(B$26=0,0,B$26/AGR!B$5*1000)</f>
        <v>1.3283030620812106</v>
      </c>
      <c r="C52" s="263">
        <f>IF(C$26=0,0,C$26/AGR!C$5*1000)</f>
        <v>1.3086128892017046</v>
      </c>
      <c r="D52" s="263">
        <f>IF(D$26=0,0,D$26/AGR!D$5*1000)</f>
        <v>1.3958720460631489</v>
      </c>
      <c r="E52" s="263">
        <f>IF(E$26=0,0,E$26/AGR!E$5*1000)</f>
        <v>1.6771512426021506</v>
      </c>
      <c r="F52" s="263">
        <f>IF(F$26=0,0,F$26/AGR!F$5*1000)</f>
        <v>2.8670916159082833</v>
      </c>
      <c r="G52" s="263">
        <f>IF(G$26=0,0,G$26/AGR!G$5*1000)</f>
        <v>3.4600471327445468</v>
      </c>
      <c r="H52" s="263">
        <f>IF(H$26=0,0,H$26/AGR!H$5*1000)</f>
        <v>3.4050380212391942</v>
      </c>
      <c r="I52" s="263">
        <f>IF(I$26=0,0,I$26/AGR!I$5*1000)</f>
        <v>3.071540220740586</v>
      </c>
      <c r="J52" s="263">
        <f>IF(J$26=0,0,J$26/AGR!J$5*1000)</f>
        <v>2.9878808525618252</v>
      </c>
      <c r="K52" s="263">
        <f>IF(K$26=0,0,K$26/AGR!K$5*1000)</f>
        <v>3.6488172088677131</v>
      </c>
      <c r="L52" s="263">
        <f>IF(L$26=0,0,L$26/AGR!L$5*1000)</f>
        <v>3.4710620567240533</v>
      </c>
      <c r="M52" s="263">
        <f>IF(M$26=0,0,M$26/AGR!M$5*1000)</f>
        <v>3.318997451477721</v>
      </c>
      <c r="N52" s="263">
        <f>IF(N$26=0,0,N$26/AGR!N$5*1000)</f>
        <v>3.5282865406545603</v>
      </c>
      <c r="O52" s="263">
        <f>IF(O$26=0,0,O$26/AGR!O$5*1000)</f>
        <v>3.4517898045472921</v>
      </c>
      <c r="P52" s="263">
        <f>IF(P$26=0,0,P$26/AGR!P$5*1000)</f>
        <v>3.2613823383290681</v>
      </c>
      <c r="Q52" s="263">
        <f>IF(Q$26=0,0,Q$26/AGR!Q$5*1000)</f>
        <v>3.5014930499934569</v>
      </c>
      <c r="R52" s="263">
        <f>IF(R$26=0,0,R$26/AGR!R$5*1000)</f>
        <v>3.6879357739700573</v>
      </c>
      <c r="S52" s="263">
        <f>IF(S$26=0,0,S$26/AGR!S$5*1000)</f>
        <v>3.4133658130780029</v>
      </c>
      <c r="T52" s="263">
        <f>IF(T$26=0,0,T$26/AGR!T$5*1000)</f>
        <v>3.7123799546331226</v>
      </c>
      <c r="U52" s="263">
        <f>IF(U$26=0,0,U$26/AGR!U$5*1000)</f>
        <v>3.6999121924895926</v>
      </c>
      <c r="V52" s="263">
        <f>IF(V$26=0,0,V$26/AGR!V$5*1000)</f>
        <v>3.6154410690993486</v>
      </c>
      <c r="W52" s="263">
        <f>IF(W$26=0,0,W$26/AGR!W$5*1000)</f>
        <v>3.3579167781977288</v>
      </c>
      <c r="DA52" s="285"/>
    </row>
    <row r="53" spans="1:105" x14ac:dyDescent="0.25">
      <c r="A53" s="261" t="s">
        <v>33</v>
      </c>
      <c r="B53" s="264">
        <f>IF(B$27=0,0,B$27/AGR!B$5*1000)</f>
        <v>1.9260394400177556</v>
      </c>
      <c r="C53" s="264">
        <f>IF(C$27=0,0,C$27/AGR!C$5*1000)</f>
        <v>1.8974886893424721</v>
      </c>
      <c r="D53" s="264">
        <f>IF(D$27=0,0,D$27/AGR!D$5*1000)</f>
        <v>2.0240144667915656</v>
      </c>
      <c r="E53" s="264">
        <f>IF(E$27=0,0,E$27/AGR!E$5*1000)</f>
        <v>2.4318693017731192</v>
      </c>
      <c r="F53" s="264">
        <f>IF(F$27=0,0,F$27/AGR!F$5*1000)</f>
        <v>4.1572828430670112</v>
      </c>
      <c r="G53" s="264">
        <f>IF(G$27=0,0,G$27/AGR!G$5*1000)</f>
        <v>5.0170683424795932</v>
      </c>
      <c r="H53" s="264">
        <f>IF(H$27=0,0,H$27/AGR!H$5*1000)</f>
        <v>4.9373051307968323</v>
      </c>
      <c r="I53" s="264">
        <f>IF(I$27=0,0,I$27/AGR!I$5*1000)</f>
        <v>4.4537333200738525</v>
      </c>
      <c r="J53" s="264">
        <f>IF(J$27=0,0,J$27/AGR!J$5*1000)</f>
        <v>4.3324272362146496</v>
      </c>
      <c r="K53" s="264">
        <f>IF(K$27=0,0,K$27/AGR!K$5*1000)</f>
        <v>5.2907849528581856</v>
      </c>
      <c r="L53" s="264">
        <f>IF(L$27=0,0,L$27/AGR!L$5*1000)</f>
        <v>5.0330399822498766</v>
      </c>
      <c r="M53" s="264">
        <f>IF(M$27=0,0,M$27/AGR!M$5*1000)</f>
        <v>4.8125463046426962</v>
      </c>
      <c r="N53" s="264">
        <f>IF(N$27=0,0,N$27/AGR!N$5*1000)</f>
        <v>5.1160154839491137</v>
      </c>
      <c r="O53" s="264">
        <f>IF(O$27=0,0,O$27/AGR!O$5*1000)</f>
        <v>5.0050952165935723</v>
      </c>
      <c r="P53" s="264">
        <f>IF(P$27=0,0,P$27/AGR!P$5*1000)</f>
        <v>4.7290043905771491</v>
      </c>
      <c r="Q53" s="264">
        <f>IF(Q$27=0,0,Q$27/AGR!Q$5*1000)</f>
        <v>5.0771649224905131</v>
      </c>
      <c r="R53" s="264">
        <f>IF(R$27=0,0,R$27/AGR!R$5*1000)</f>
        <v>5.3475068722565808</v>
      </c>
      <c r="S53" s="264">
        <f>IF(S$27=0,0,S$27/AGR!S$5*1000)</f>
        <v>4.9493804289631047</v>
      </c>
      <c r="T53" s="264">
        <f>IF(T$27=0,0,T$27/AGR!T$5*1000)</f>
        <v>5.382950934218024</v>
      </c>
      <c r="U53" s="264">
        <f>IF(U$27=0,0,U$27/AGR!U$5*1000)</f>
        <v>5.3648726791099088</v>
      </c>
      <c r="V53" s="264">
        <f>IF(V$27=0,0,V$27/AGR!V$5*1000)</f>
        <v>5.2423895501940549</v>
      </c>
      <c r="W53" s="264">
        <f>IF(W$27=0,0,W$27/AGR!W$5*1000)</f>
        <v>4.8689793283867084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1615.9401585611208</v>
      </c>
      <c r="C5" s="80">
        <f t="shared" ref="C5:W5" si="1">SUM(C6:C9,C16:C17,C25:C27)</f>
        <v>1678.6781680312226</v>
      </c>
      <c r="D5" s="80">
        <f t="shared" si="1"/>
        <v>1717.941905890586</v>
      </c>
      <c r="E5" s="80">
        <f t="shared" si="1"/>
        <v>1702.6690200538408</v>
      </c>
      <c r="F5" s="80">
        <f t="shared" si="1"/>
        <v>1929.7222079749065</v>
      </c>
      <c r="G5" s="80">
        <f t="shared" si="1"/>
        <v>1912.5010898514272</v>
      </c>
      <c r="H5" s="80">
        <f t="shared" si="1"/>
        <v>1871.4469357080859</v>
      </c>
      <c r="I5" s="80">
        <f t="shared" si="1"/>
        <v>1805.6754972961353</v>
      </c>
      <c r="J5" s="80">
        <f t="shared" si="1"/>
        <v>1819.3867422721949</v>
      </c>
      <c r="K5" s="80">
        <f t="shared" si="1"/>
        <v>1847.8618019864957</v>
      </c>
      <c r="L5" s="80">
        <f t="shared" si="1"/>
        <v>1817.1113854949531</v>
      </c>
      <c r="M5" s="80">
        <f t="shared" si="1"/>
        <v>1847.1196253591606</v>
      </c>
      <c r="N5" s="80">
        <f t="shared" si="1"/>
        <v>1805.7550774555505</v>
      </c>
      <c r="O5" s="80">
        <f t="shared" si="1"/>
        <v>1878.182522747197</v>
      </c>
      <c r="P5" s="80">
        <f t="shared" si="1"/>
        <v>1835.9562066195235</v>
      </c>
      <c r="Q5" s="80">
        <f t="shared" si="1"/>
        <v>1858.0803565193428</v>
      </c>
      <c r="R5" s="80">
        <f t="shared" si="1"/>
        <v>1780.418185564241</v>
      </c>
      <c r="S5" s="80">
        <f t="shared" si="1"/>
        <v>1775.6856928252419</v>
      </c>
      <c r="T5" s="80">
        <f t="shared" si="1"/>
        <v>1813.7602024426133</v>
      </c>
      <c r="U5" s="80">
        <f t="shared" si="1"/>
        <v>1798.747560475894</v>
      </c>
      <c r="V5" s="80">
        <f t="shared" si="1"/>
        <v>1873.4840770637099</v>
      </c>
      <c r="W5" s="80">
        <f t="shared" si="1"/>
        <v>1857.2289148902337</v>
      </c>
      <c r="DA5" s="103"/>
    </row>
    <row r="6" spans="1:105" x14ac:dyDescent="0.25">
      <c r="A6" s="239" t="s">
        <v>125</v>
      </c>
      <c r="B6" s="240">
        <v>21.494583883470721</v>
      </c>
      <c r="C6" s="240">
        <v>22.686008540626041</v>
      </c>
      <c r="D6" s="240">
        <v>23.661887271021349</v>
      </c>
      <c r="E6" s="240">
        <v>26.491749650942641</v>
      </c>
      <c r="F6" s="240">
        <v>50.354982593837008</v>
      </c>
      <c r="G6" s="240">
        <v>52.490483170725632</v>
      </c>
      <c r="H6" s="240">
        <v>53.018701589893681</v>
      </c>
      <c r="I6" s="240">
        <v>49.57240503484465</v>
      </c>
      <c r="J6" s="240">
        <v>48.053430683879988</v>
      </c>
      <c r="K6" s="240">
        <v>52.770486964707708</v>
      </c>
      <c r="L6" s="240">
        <v>53.249681668027932</v>
      </c>
      <c r="M6" s="240">
        <v>56.185553779971841</v>
      </c>
      <c r="N6" s="240">
        <v>57.072488548984317</v>
      </c>
      <c r="O6" s="240">
        <v>59.081957461204901</v>
      </c>
      <c r="P6" s="240">
        <v>55.885125105306358</v>
      </c>
      <c r="Q6" s="240">
        <v>59.123319200406257</v>
      </c>
      <c r="R6" s="240">
        <v>58.287297066719667</v>
      </c>
      <c r="S6" s="240">
        <v>58.312545891018587</v>
      </c>
      <c r="T6" s="240">
        <v>57.491708159976049</v>
      </c>
      <c r="U6" s="240">
        <v>56.544793427750747</v>
      </c>
      <c r="V6" s="240">
        <v>55.450490693640113</v>
      </c>
      <c r="W6" s="240">
        <v>53.363638767499047</v>
      </c>
      <c r="DA6" s="268" t="s">
        <v>1014</v>
      </c>
    </row>
    <row r="7" spans="1:105" x14ac:dyDescent="0.25">
      <c r="A7" s="241" t="s">
        <v>124</v>
      </c>
      <c r="B7" s="242">
        <v>13.85450909289033</v>
      </c>
      <c r="C7" s="242">
        <v>14.62245155856168</v>
      </c>
      <c r="D7" s="242">
        <v>15.25146214174478</v>
      </c>
      <c r="E7" s="242">
        <v>17.075472984978521</v>
      </c>
      <c r="F7" s="242">
        <v>32.45671411927799</v>
      </c>
      <c r="G7" s="242">
        <v>33.833168407519757</v>
      </c>
      <c r="H7" s="242">
        <v>34.17363589137851</v>
      </c>
      <c r="I7" s="242">
        <v>31.952297380357582</v>
      </c>
      <c r="J7" s="242">
        <v>30.97323009199334</v>
      </c>
      <c r="K7" s="242">
        <v>34.01364713326759</v>
      </c>
      <c r="L7" s="242">
        <v>34.322515981829973</v>
      </c>
      <c r="M7" s="242">
        <v>36.214856261176763</v>
      </c>
      <c r="N7" s="242">
        <v>36.786537289695453</v>
      </c>
      <c r="O7" s="242">
        <v>38.081756842079983</v>
      </c>
      <c r="P7" s="242">
        <v>36.021212512245249</v>
      </c>
      <c r="Q7" s="242">
        <v>38.108416887930119</v>
      </c>
      <c r="R7" s="242">
        <v>37.56955201314063</v>
      </c>
      <c r="S7" s="242">
        <v>37.585826348467641</v>
      </c>
      <c r="T7" s="242">
        <v>37.056748704063381</v>
      </c>
      <c r="U7" s="242">
        <v>36.446407101782093</v>
      </c>
      <c r="V7" s="242">
        <v>35.741065362565188</v>
      </c>
      <c r="W7" s="242">
        <v>34.395967958354909</v>
      </c>
      <c r="DA7" s="269" t="s">
        <v>1015</v>
      </c>
    </row>
    <row r="8" spans="1:105" x14ac:dyDescent="0.25">
      <c r="A8" s="241" t="s">
        <v>123</v>
      </c>
      <c r="B8" s="242">
        <v>27.532127033953369</v>
      </c>
      <c r="C8" s="242">
        <v>29.058207054390969</v>
      </c>
      <c r="D8" s="242">
        <v>30.308197159835071</v>
      </c>
      <c r="E8" s="242">
        <v>33.93293029981983</v>
      </c>
      <c r="F8" s="242">
        <v>64.499028456752484</v>
      </c>
      <c r="G8" s="242">
        <v>67.234362784819723</v>
      </c>
      <c r="H8" s="242">
        <v>67.910950742839788</v>
      </c>
      <c r="I8" s="242">
        <v>63.496635254590181</v>
      </c>
      <c r="J8" s="242">
        <v>61.551001181430209</v>
      </c>
      <c r="K8" s="242">
        <v>67.593015925894605</v>
      </c>
      <c r="L8" s="242">
        <v>68.206810057352769</v>
      </c>
      <c r="M8" s="242">
        <v>71.967329655205447</v>
      </c>
      <c r="N8" s="242">
        <v>73.10339262174935</v>
      </c>
      <c r="O8" s="242">
        <v>75.67729466432769</v>
      </c>
      <c r="P8" s="242">
        <v>71.582514555719257</v>
      </c>
      <c r="Q8" s="242">
        <v>75.730274366759261</v>
      </c>
      <c r="R8" s="242">
        <v>74.659424718650655</v>
      </c>
      <c r="S8" s="242">
        <v>74.691765602373948</v>
      </c>
      <c r="T8" s="242">
        <v>73.640365453953095</v>
      </c>
      <c r="U8" s="242">
        <v>72.427474949103782</v>
      </c>
      <c r="V8" s="242">
        <v>71.025797110050306</v>
      </c>
      <c r="W8" s="242">
        <v>68.352776192639183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544.01474112842732</v>
      </c>
      <c r="C9" s="244">
        <f t="shared" ref="C9:W9" si="3">SUM(C10:C15)</f>
        <v>567.27915534843157</v>
      </c>
      <c r="D9" s="244">
        <f t="shared" si="3"/>
        <v>585.04385830576177</v>
      </c>
      <c r="E9" s="244">
        <f t="shared" si="3"/>
        <v>575.4708231917906</v>
      </c>
      <c r="F9" s="244">
        <f t="shared" si="3"/>
        <v>617.49505541694873</v>
      </c>
      <c r="G9" s="244">
        <f t="shared" si="3"/>
        <v>607.04951294707541</v>
      </c>
      <c r="H9" s="244">
        <f t="shared" si="3"/>
        <v>592.14381686988713</v>
      </c>
      <c r="I9" s="244">
        <f t="shared" si="3"/>
        <v>572.22523953778114</v>
      </c>
      <c r="J9" s="244">
        <f t="shared" si="3"/>
        <v>577.48867656592518</v>
      </c>
      <c r="K9" s="244">
        <f t="shared" si="3"/>
        <v>583.30920115142885</v>
      </c>
      <c r="L9" s="244">
        <f t="shared" si="3"/>
        <v>572.29874483809135</v>
      </c>
      <c r="M9" s="244">
        <f t="shared" si="3"/>
        <v>580.92737089678394</v>
      </c>
      <c r="N9" s="244">
        <f t="shared" si="3"/>
        <v>569.28897535307647</v>
      </c>
      <c r="O9" s="244">
        <f t="shared" si="3"/>
        <v>590.25946537285006</v>
      </c>
      <c r="P9" s="244">
        <f t="shared" si="3"/>
        <v>581.47637191484785</v>
      </c>
      <c r="Q9" s="244">
        <f t="shared" si="3"/>
        <v>588.02983832607958</v>
      </c>
      <c r="R9" s="244">
        <f t="shared" si="3"/>
        <v>565.82485646951784</v>
      </c>
      <c r="S9" s="244">
        <f t="shared" si="3"/>
        <v>564.56409140203664</v>
      </c>
      <c r="T9" s="244">
        <f t="shared" si="3"/>
        <v>577.61445903354422</v>
      </c>
      <c r="U9" s="244">
        <f t="shared" si="3"/>
        <v>573.75242746704203</v>
      </c>
      <c r="V9" s="244">
        <f t="shared" si="3"/>
        <v>596.17368060215188</v>
      </c>
      <c r="W9" s="244">
        <f t="shared" si="3"/>
        <v>593.2973799712729</v>
      </c>
      <c r="DA9" s="270"/>
    </row>
    <row r="10" spans="1:105" x14ac:dyDescent="0.25">
      <c r="A10" s="254" t="s">
        <v>173</v>
      </c>
      <c r="B10" s="255">
        <v>452.73425067227959</v>
      </c>
      <c r="C10" s="255">
        <v>462.62807687497423</v>
      </c>
      <c r="D10" s="255">
        <v>490.00022879292447</v>
      </c>
      <c r="E10" s="255">
        <v>485.21087737871341</v>
      </c>
      <c r="F10" s="255">
        <v>474.05625589493098</v>
      </c>
      <c r="G10" s="255">
        <v>459.64098048163618</v>
      </c>
      <c r="H10" s="255">
        <v>444.96668908859789</v>
      </c>
      <c r="I10" s="255">
        <v>441.5380730803472</v>
      </c>
      <c r="J10" s="255">
        <v>457.44935723405928</v>
      </c>
      <c r="K10" s="255">
        <v>451.76562584065317</v>
      </c>
      <c r="L10" s="255">
        <v>431.90256716385818</v>
      </c>
      <c r="M10" s="255">
        <v>437.35515522454517</v>
      </c>
      <c r="N10" s="255">
        <v>399.52810122525233</v>
      </c>
      <c r="O10" s="255">
        <v>423.85569661128062</v>
      </c>
      <c r="P10" s="255">
        <v>422.12172908382632</v>
      </c>
      <c r="Q10" s="255">
        <v>416.22724249783948</v>
      </c>
      <c r="R10" s="255">
        <v>382.08115224636708</v>
      </c>
      <c r="S10" s="255">
        <v>379.8326089953519</v>
      </c>
      <c r="T10" s="255">
        <v>391.39535633784942</v>
      </c>
      <c r="U10" s="255">
        <v>383.03016742371608</v>
      </c>
      <c r="V10" s="255">
        <v>428.21120974685982</v>
      </c>
      <c r="W10" s="255">
        <v>423.78117755600857</v>
      </c>
      <c r="DA10" s="271" t="s">
        <v>1017</v>
      </c>
    </row>
    <row r="11" spans="1:105" x14ac:dyDescent="0.25">
      <c r="A11" s="254" t="s">
        <v>176</v>
      </c>
      <c r="B11" s="256">
        <v>84.053718678028517</v>
      </c>
      <c r="C11" s="256">
        <v>95.736873996402721</v>
      </c>
      <c r="D11" s="256">
        <v>86.054370297112726</v>
      </c>
      <c r="E11" s="256">
        <v>78.628491041736339</v>
      </c>
      <c r="F11" s="256">
        <v>83.26930006824827</v>
      </c>
      <c r="G11" s="256">
        <v>75.54198460101243</v>
      </c>
      <c r="H11" s="256">
        <v>68.274874065009456</v>
      </c>
      <c r="I11" s="256">
        <v>62.648155898061873</v>
      </c>
      <c r="J11" s="256">
        <v>59.923344906615071</v>
      </c>
      <c r="K11" s="256">
        <v>51.821961016223021</v>
      </c>
      <c r="L11" s="256">
        <v>53.305528418473301</v>
      </c>
      <c r="M11" s="256">
        <v>40.26990638117789</v>
      </c>
      <c r="N11" s="256">
        <v>49.776850049666422</v>
      </c>
      <c r="O11" s="256">
        <v>43.121973809058353</v>
      </c>
      <c r="P11" s="256">
        <v>47.121222788321518</v>
      </c>
      <c r="Q11" s="256">
        <v>43.522488919294148</v>
      </c>
      <c r="R11" s="256">
        <v>45.150950544977761</v>
      </c>
      <c r="S11" s="256">
        <v>46.77176690431191</v>
      </c>
      <c r="T11" s="256">
        <v>57.27295385546126</v>
      </c>
      <c r="U11" s="256">
        <v>60.181493346164459</v>
      </c>
      <c r="V11" s="256">
        <v>59.723512470423508</v>
      </c>
      <c r="W11" s="256">
        <v>66.19471742978206</v>
      </c>
      <c r="DA11" s="272" t="s">
        <v>1018</v>
      </c>
    </row>
    <row r="12" spans="1:105" x14ac:dyDescent="0.25">
      <c r="A12" s="254" t="s">
        <v>158</v>
      </c>
      <c r="B12" s="256">
        <v>1.639288894612021</v>
      </c>
      <c r="C12" s="256">
        <v>2.880374821160959</v>
      </c>
      <c r="D12" s="256">
        <v>2.7566491306339271</v>
      </c>
      <c r="E12" s="256">
        <v>2.7140482930133571</v>
      </c>
      <c r="F12" s="256">
        <v>2.6562026167577142</v>
      </c>
      <c r="G12" s="256">
        <v>2.2818086997077951</v>
      </c>
      <c r="H12" s="256">
        <v>2.2770377759767979</v>
      </c>
      <c r="I12" s="256">
        <v>2.2989083326525712</v>
      </c>
      <c r="J12" s="256">
        <v>2.3461437467054358</v>
      </c>
      <c r="K12" s="256">
        <v>2.3355580560874989</v>
      </c>
      <c r="L12" s="256">
        <v>2.3736324599004801</v>
      </c>
      <c r="M12" s="256">
        <v>4.8264580874711518</v>
      </c>
      <c r="N12" s="256">
        <v>7.1075577614806393</v>
      </c>
      <c r="O12" s="256">
        <v>7.2669527507403542</v>
      </c>
      <c r="P12" s="256">
        <v>7.2322452134942292</v>
      </c>
      <c r="Q12" s="256">
        <v>7.1359706446782543</v>
      </c>
      <c r="R12" s="256">
        <v>7.0592036678313592</v>
      </c>
      <c r="S12" s="256">
        <v>7.0617110838220292</v>
      </c>
      <c r="T12" s="256">
        <v>7.143442313703571</v>
      </c>
      <c r="U12" s="256">
        <v>7.1957640289480169</v>
      </c>
      <c r="V12" s="256">
        <v>7.2879304835845584</v>
      </c>
      <c r="W12" s="256">
        <v>7.3489488270227206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7.2581344868300581</v>
      </c>
      <c r="Q14" s="255">
        <v>4.5976662065523737</v>
      </c>
      <c r="R14" s="255">
        <v>6.9464423696801187</v>
      </c>
      <c r="S14" s="255">
        <v>5.4815842664281762</v>
      </c>
      <c r="T14" s="255">
        <v>9.7412974946858277</v>
      </c>
      <c r="U14" s="255">
        <v>14.581832207127199</v>
      </c>
      <c r="V14" s="255">
        <v>11.2491925848243</v>
      </c>
      <c r="W14" s="255">
        <v>15.832157451502971</v>
      </c>
      <c r="DA14" s="271" t="s">
        <v>1021</v>
      </c>
    </row>
    <row r="15" spans="1:105" x14ac:dyDescent="0.25">
      <c r="A15" s="254" t="s">
        <v>24</v>
      </c>
      <c r="B15" s="256">
        <v>5.5874828835071781</v>
      </c>
      <c r="C15" s="256">
        <v>6.0338296558935731</v>
      </c>
      <c r="D15" s="256">
        <v>6.2326100850906014</v>
      </c>
      <c r="E15" s="256">
        <v>8.9174064783275284</v>
      </c>
      <c r="F15" s="256">
        <v>57.513296837011801</v>
      </c>
      <c r="G15" s="256">
        <v>69.584739164719025</v>
      </c>
      <c r="H15" s="256">
        <v>76.625215940302994</v>
      </c>
      <c r="I15" s="256">
        <v>65.740102226719529</v>
      </c>
      <c r="J15" s="256">
        <v>57.769830678545262</v>
      </c>
      <c r="K15" s="256">
        <v>77.386056238465102</v>
      </c>
      <c r="L15" s="256">
        <v>84.717016795859479</v>
      </c>
      <c r="M15" s="256">
        <v>98.47585120358967</v>
      </c>
      <c r="N15" s="256">
        <v>112.8764663166771</v>
      </c>
      <c r="O15" s="256">
        <v>116.0148422017707</v>
      </c>
      <c r="P15" s="256">
        <v>97.743040342375735</v>
      </c>
      <c r="Q15" s="256">
        <v>116.5464700577153</v>
      </c>
      <c r="R15" s="256">
        <v>124.5871076406615</v>
      </c>
      <c r="S15" s="256">
        <v>125.4164201521226</v>
      </c>
      <c r="T15" s="256">
        <v>112.06140903184409</v>
      </c>
      <c r="U15" s="256">
        <v>108.7631704610863</v>
      </c>
      <c r="V15" s="256">
        <v>89.701835316459736</v>
      </c>
      <c r="W15" s="256">
        <v>80.140378706956525</v>
      </c>
      <c r="DA15" s="272" t="s">
        <v>1022</v>
      </c>
    </row>
    <row r="16" spans="1:105" x14ac:dyDescent="0.25">
      <c r="A16" s="257" t="s">
        <v>175</v>
      </c>
      <c r="B16" s="258">
        <v>394.10981532604438</v>
      </c>
      <c r="C16" s="258">
        <v>408.7113847280574</v>
      </c>
      <c r="D16" s="258">
        <v>424.75550893954482</v>
      </c>
      <c r="E16" s="258">
        <v>419.69155072644372</v>
      </c>
      <c r="F16" s="258">
        <v>440.97386144545737</v>
      </c>
      <c r="G16" s="258">
        <v>431.05309194580269</v>
      </c>
      <c r="H16" s="258">
        <v>418.84385402521258</v>
      </c>
      <c r="I16" s="258">
        <v>408.39605423331631</v>
      </c>
      <c r="J16" s="258">
        <v>415.77338136582688</v>
      </c>
      <c r="K16" s="258">
        <v>415.76138184376032</v>
      </c>
      <c r="L16" s="258">
        <v>404.23323637474772</v>
      </c>
      <c r="M16" s="258">
        <v>408.44467004757371</v>
      </c>
      <c r="N16" s="258">
        <v>390.6333107085224</v>
      </c>
      <c r="O16" s="258">
        <v>407.74336236070292</v>
      </c>
      <c r="P16" s="258">
        <v>403.7590183250777</v>
      </c>
      <c r="Q16" s="258">
        <v>403.63116301868251</v>
      </c>
      <c r="R16" s="258">
        <v>381.43645893632299</v>
      </c>
      <c r="S16" s="258">
        <v>380.23790318379582</v>
      </c>
      <c r="T16" s="258">
        <v>391.45544330938492</v>
      </c>
      <c r="U16" s="258">
        <v>387.01318549682668</v>
      </c>
      <c r="V16" s="258">
        <v>413.46947180701932</v>
      </c>
      <c r="W16" s="258">
        <v>411.23156153172931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508.12283767321884</v>
      </c>
      <c r="C17" s="258">
        <f t="shared" ref="C17:W17" si="5">SUM(C18:C24)</f>
        <v>524.56329094191619</v>
      </c>
      <c r="D17" s="258">
        <f t="shared" si="5"/>
        <v>522.56265455358368</v>
      </c>
      <c r="E17" s="258">
        <f t="shared" si="5"/>
        <v>507.24635681307376</v>
      </c>
      <c r="F17" s="258">
        <f t="shared" si="5"/>
        <v>538.59165352894763</v>
      </c>
      <c r="G17" s="258">
        <f t="shared" si="5"/>
        <v>531.47899416191751</v>
      </c>
      <c r="H17" s="258">
        <f t="shared" si="5"/>
        <v>516.3146795810469</v>
      </c>
      <c r="I17" s="258">
        <f t="shared" si="5"/>
        <v>501.02276069183762</v>
      </c>
      <c r="J17" s="258">
        <f t="shared" si="5"/>
        <v>509.34647791891848</v>
      </c>
      <c r="K17" s="258">
        <f t="shared" si="5"/>
        <v>506.40866245386769</v>
      </c>
      <c r="L17" s="258">
        <f t="shared" si="5"/>
        <v>497.14625825280814</v>
      </c>
      <c r="M17" s="258">
        <f t="shared" si="5"/>
        <v>497.81093157099485</v>
      </c>
      <c r="N17" s="258">
        <f t="shared" si="5"/>
        <v>483.47734222229138</v>
      </c>
      <c r="O17" s="258">
        <f t="shared" si="5"/>
        <v>504.61460184889484</v>
      </c>
      <c r="P17" s="258">
        <f t="shared" si="5"/>
        <v>493.0452748403016</v>
      </c>
      <c r="Q17" s="258">
        <f t="shared" si="5"/>
        <v>491.18287021930428</v>
      </c>
      <c r="R17" s="258">
        <f t="shared" si="5"/>
        <v>465.44405744548862</v>
      </c>
      <c r="S17" s="258">
        <f t="shared" si="5"/>
        <v>463.19504409946177</v>
      </c>
      <c r="T17" s="258">
        <f t="shared" si="5"/>
        <v>479.9485827048843</v>
      </c>
      <c r="U17" s="258">
        <f t="shared" si="5"/>
        <v>478.97797294711955</v>
      </c>
      <c r="V17" s="258">
        <f t="shared" si="5"/>
        <v>507.21858176802584</v>
      </c>
      <c r="W17" s="258">
        <f t="shared" si="5"/>
        <v>507.70687460413791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0.53259916193023149</v>
      </c>
      <c r="N18" s="55">
        <v>0.53259916193030854</v>
      </c>
      <c r="O18" s="55">
        <v>0.53259916193030199</v>
      </c>
      <c r="P18" s="55">
        <v>0.53259916193023282</v>
      </c>
      <c r="Q18" s="55">
        <v>0.53259916193031376</v>
      </c>
      <c r="R18" s="55">
        <v>0.495322103125652</v>
      </c>
      <c r="S18" s="55">
        <v>0.50880213293257459</v>
      </c>
      <c r="T18" s="55">
        <v>0.38724835234296762</v>
      </c>
      <c r="U18" s="55">
        <v>0.35627612637714628</v>
      </c>
      <c r="V18" s="55">
        <v>0.32723568421042598</v>
      </c>
      <c r="W18" s="55">
        <v>0.35033217622602503</v>
      </c>
      <c r="DA18" s="101" t="s">
        <v>1024</v>
      </c>
    </row>
    <row r="19" spans="1:105" x14ac:dyDescent="0.25">
      <c r="A19" s="61" t="s">
        <v>27</v>
      </c>
      <c r="B19" s="55">
        <v>134.0225608108781</v>
      </c>
      <c r="C19" s="55">
        <v>132.40394179995661</v>
      </c>
      <c r="D19" s="55">
        <v>94.204271971292641</v>
      </c>
      <c r="E19" s="55">
        <v>78.077510562624568</v>
      </c>
      <c r="F19" s="55">
        <v>93.245010943611263</v>
      </c>
      <c r="G19" s="55">
        <v>100.9325026530436</v>
      </c>
      <c r="H19" s="55">
        <v>97.267584952825402</v>
      </c>
      <c r="I19" s="55">
        <v>92.423628443423226</v>
      </c>
      <c r="J19" s="55">
        <v>93.487111445962782</v>
      </c>
      <c r="K19" s="55">
        <v>90.347960346555737</v>
      </c>
      <c r="L19" s="55">
        <v>96.040697662520785</v>
      </c>
      <c r="M19" s="55">
        <v>92.510825031835964</v>
      </c>
      <c r="N19" s="55">
        <v>97.336203912629912</v>
      </c>
      <c r="O19" s="55">
        <v>107.8130748172043</v>
      </c>
      <c r="P19" s="55">
        <v>87.789963791089335</v>
      </c>
      <c r="Q19" s="55">
        <v>89.32318484343088</v>
      </c>
      <c r="R19" s="55">
        <v>82.799948684316433</v>
      </c>
      <c r="S19" s="55">
        <v>77.447842290895167</v>
      </c>
      <c r="T19" s="55">
        <v>81.445851451661213</v>
      </c>
      <c r="U19" s="55">
        <v>89.237244832010504</v>
      </c>
      <c r="V19" s="55">
        <v>91.069235545590814</v>
      </c>
      <c r="W19" s="55">
        <v>91.105750194929456</v>
      </c>
      <c r="DA19" s="101" t="s">
        <v>1025</v>
      </c>
    </row>
    <row r="20" spans="1:105" x14ac:dyDescent="0.25">
      <c r="A20" s="61" t="s">
        <v>173</v>
      </c>
      <c r="B20" s="55">
        <v>279.27858584317659</v>
      </c>
      <c r="C20" s="55">
        <v>291.063142495676</v>
      </c>
      <c r="D20" s="55">
        <v>332.0796223275193</v>
      </c>
      <c r="E20" s="55">
        <v>341.89949314897848</v>
      </c>
      <c r="F20" s="55">
        <v>350.43670902931069</v>
      </c>
      <c r="G20" s="55">
        <v>334.26160676394989</v>
      </c>
      <c r="H20" s="55">
        <v>324.69028498074317</v>
      </c>
      <c r="I20" s="55">
        <v>320.41611119389012</v>
      </c>
      <c r="J20" s="55">
        <v>327.58965469621131</v>
      </c>
      <c r="K20" s="55">
        <v>332.1050539833526</v>
      </c>
      <c r="L20" s="55">
        <v>315.32126585240712</v>
      </c>
      <c r="M20" s="55">
        <v>324.8702778335948</v>
      </c>
      <c r="N20" s="55">
        <v>297.34695034846379</v>
      </c>
      <c r="O20" s="55">
        <v>312.2808890172015</v>
      </c>
      <c r="P20" s="55">
        <v>316.92133263822552</v>
      </c>
      <c r="Q20" s="55">
        <v>320.0190303880272</v>
      </c>
      <c r="R20" s="55">
        <v>298.95666066373161</v>
      </c>
      <c r="S20" s="55">
        <v>297.99946022052899</v>
      </c>
      <c r="T20" s="55">
        <v>301.76764242732531</v>
      </c>
      <c r="U20" s="55">
        <v>291.94144275134011</v>
      </c>
      <c r="V20" s="55">
        <v>319.96348465965127</v>
      </c>
      <c r="W20" s="55">
        <v>312.29453868158521</v>
      </c>
      <c r="DA20" s="101" t="s">
        <v>1026</v>
      </c>
    </row>
    <row r="21" spans="1:105" x14ac:dyDescent="0.25">
      <c r="A21" s="61" t="s">
        <v>129</v>
      </c>
      <c r="B21" s="55">
        <v>34.118888976995002</v>
      </c>
      <c r="C21" s="55">
        <v>31.782447658935311</v>
      </c>
      <c r="D21" s="55">
        <v>28.802006822552968</v>
      </c>
      <c r="E21" s="55">
        <v>22.614434333385709</v>
      </c>
      <c r="F21" s="55">
        <v>24.22458681788148</v>
      </c>
      <c r="G21" s="55">
        <v>20.29689672408319</v>
      </c>
      <c r="H21" s="55">
        <v>21.980226980111741</v>
      </c>
      <c r="I21" s="55">
        <v>18.589217788599591</v>
      </c>
      <c r="J21" s="55">
        <v>19.589423777169671</v>
      </c>
      <c r="K21" s="55">
        <v>18.296484746947129</v>
      </c>
      <c r="L21" s="55">
        <v>17.540226619009761</v>
      </c>
      <c r="M21" s="55">
        <v>17.56674889563909</v>
      </c>
      <c r="N21" s="55">
        <v>17.834979569149962</v>
      </c>
      <c r="O21" s="55">
        <v>18.323007023577421</v>
      </c>
      <c r="P21" s="55">
        <v>18.128063899233549</v>
      </c>
      <c r="Q21" s="55">
        <v>12.93171758809139</v>
      </c>
      <c r="R21" s="55">
        <v>12.7121403624416</v>
      </c>
      <c r="S21" s="55">
        <v>12.71214036244174</v>
      </c>
      <c r="T21" s="55">
        <v>15.064653126274729</v>
      </c>
      <c r="U21" s="55">
        <v>13.65677691214268</v>
      </c>
      <c r="V21" s="55">
        <v>13.310472384578571</v>
      </c>
      <c r="W21" s="55">
        <v>15.62820759362241</v>
      </c>
      <c r="DA21" s="101" t="s">
        <v>1027</v>
      </c>
    </row>
    <row r="22" spans="1:105" x14ac:dyDescent="0.25">
      <c r="A22" s="61" t="s">
        <v>176</v>
      </c>
      <c r="B22" s="55">
        <v>50.60873248662152</v>
      </c>
      <c r="C22" s="55">
        <v>58.790711088101929</v>
      </c>
      <c r="D22" s="55">
        <v>56.923699530408257</v>
      </c>
      <c r="E22" s="55">
        <v>54.078185711411898</v>
      </c>
      <c r="F22" s="55">
        <v>60.081237342415463</v>
      </c>
      <c r="G22" s="55">
        <v>53.620441705213167</v>
      </c>
      <c r="H22" s="55">
        <v>48.626940413952141</v>
      </c>
      <c r="I22" s="55">
        <v>44.374014589345599</v>
      </c>
      <c r="J22" s="55">
        <v>41.884896544735852</v>
      </c>
      <c r="K22" s="55">
        <v>37.183510394496381</v>
      </c>
      <c r="L22" s="55">
        <v>37.98516102121868</v>
      </c>
      <c r="M22" s="55">
        <v>29.196486570308579</v>
      </c>
      <c r="N22" s="55">
        <v>36.159116512311918</v>
      </c>
      <c r="O22" s="55">
        <v>31.009892237991711</v>
      </c>
      <c r="P22" s="55">
        <v>34.53063459454274</v>
      </c>
      <c r="Q22" s="55">
        <v>32.661285169517598</v>
      </c>
      <c r="R22" s="55">
        <v>34.482104185036327</v>
      </c>
      <c r="S22" s="55">
        <v>35.816343817627342</v>
      </c>
      <c r="T22" s="55">
        <v>43.100352948475518</v>
      </c>
      <c r="U22" s="55">
        <v>44.771327604194532</v>
      </c>
      <c r="V22" s="55">
        <v>43.557402224126371</v>
      </c>
      <c r="W22" s="55">
        <v>47.612425005996428</v>
      </c>
      <c r="DA22" s="101" t="s">
        <v>1028</v>
      </c>
    </row>
    <row r="23" spans="1:105" x14ac:dyDescent="0.25">
      <c r="A23" s="61" t="s">
        <v>171</v>
      </c>
      <c r="B23" s="55">
        <v>9.5524766378695105</v>
      </c>
      <c r="C23" s="55">
        <v>9.5524766378695407</v>
      </c>
      <c r="D23" s="55">
        <v>9.5524766378695283</v>
      </c>
      <c r="E23" s="55">
        <v>9.5524766378689119</v>
      </c>
      <c r="F23" s="55">
        <v>9.5524766378690913</v>
      </c>
      <c r="G23" s="55">
        <v>21.478815620609598</v>
      </c>
      <c r="H23" s="55">
        <v>22.859754512118311</v>
      </c>
      <c r="I23" s="55">
        <v>24.32629592007542</v>
      </c>
      <c r="J23" s="55">
        <v>25.895552130593611</v>
      </c>
      <c r="K23" s="55">
        <v>27.556101257623869</v>
      </c>
      <c r="L23" s="55">
        <v>29.330787073253688</v>
      </c>
      <c r="M23" s="55">
        <v>31.213878091502501</v>
      </c>
      <c r="N23" s="55">
        <v>31.434406772598461</v>
      </c>
      <c r="O23" s="55">
        <v>31.787642978594111</v>
      </c>
      <c r="P23" s="55">
        <v>32.234575627479167</v>
      </c>
      <c r="Q23" s="55">
        <v>32.776581097620728</v>
      </c>
      <c r="R23" s="55">
        <v>33.039654249930187</v>
      </c>
      <c r="S23" s="55">
        <v>35.743190025092147</v>
      </c>
      <c r="T23" s="55">
        <v>35.233067229670262</v>
      </c>
      <c r="U23" s="55">
        <v>36.077506164457198</v>
      </c>
      <c r="V23" s="55">
        <v>36.074198747814002</v>
      </c>
      <c r="W23" s="55">
        <v>37.815132479322131</v>
      </c>
      <c r="DA23" s="101" t="s">
        <v>1029</v>
      </c>
    </row>
    <row r="24" spans="1:105" x14ac:dyDescent="0.25">
      <c r="A24" s="61" t="s">
        <v>158</v>
      </c>
      <c r="B24" s="55">
        <v>0.54159291767807427</v>
      </c>
      <c r="C24" s="55">
        <v>0.97057126137676497</v>
      </c>
      <c r="D24" s="55">
        <v>1.00057726394099</v>
      </c>
      <c r="E24" s="55">
        <v>1.024256418804224</v>
      </c>
      <c r="F24" s="55">
        <v>1.0516327578597471</v>
      </c>
      <c r="G24" s="55">
        <v>0.88873069501815072</v>
      </c>
      <c r="H24" s="55">
        <v>0.8898877412961369</v>
      </c>
      <c r="I24" s="55">
        <v>0.8934927565036509</v>
      </c>
      <c r="J24" s="55">
        <v>0.89983932424523372</v>
      </c>
      <c r="K24" s="55">
        <v>0.91955172489198034</v>
      </c>
      <c r="L24" s="55">
        <v>0.9281200243980865</v>
      </c>
      <c r="M24" s="55">
        <v>1.920115986183633</v>
      </c>
      <c r="N24" s="55">
        <v>2.8330859452070771</v>
      </c>
      <c r="O24" s="55">
        <v>2.8674966123954149</v>
      </c>
      <c r="P24" s="55">
        <v>2.9081051278010701</v>
      </c>
      <c r="Q24" s="55">
        <v>2.9384719706861242</v>
      </c>
      <c r="R24" s="55">
        <v>2.95822719690675</v>
      </c>
      <c r="S24" s="55">
        <v>2.9672652499437859</v>
      </c>
      <c r="T24" s="55">
        <v>2.9497671691343039</v>
      </c>
      <c r="U24" s="55">
        <v>2.9373985565973948</v>
      </c>
      <c r="V24" s="55">
        <v>2.9165525220543871</v>
      </c>
      <c r="W24" s="55">
        <v>2.9004884724562281</v>
      </c>
      <c r="DA24" s="101" t="s">
        <v>1030</v>
      </c>
    </row>
    <row r="25" spans="1:105" x14ac:dyDescent="0.25">
      <c r="A25" s="257" t="s">
        <v>174</v>
      </c>
      <c r="B25" s="258">
        <v>53.01203979246155</v>
      </c>
      <c r="C25" s="258">
        <v>54.976109064706201</v>
      </c>
      <c r="D25" s="258">
        <v>57.134217586897982</v>
      </c>
      <c r="E25" s="258">
        <v>56.453060346299473</v>
      </c>
      <c r="F25" s="258">
        <v>59.315761702210942</v>
      </c>
      <c r="G25" s="258">
        <v>57.981310726783079</v>
      </c>
      <c r="H25" s="258">
        <v>56.339035956370417</v>
      </c>
      <c r="I25" s="258">
        <v>54.933693696996649</v>
      </c>
      <c r="J25" s="258">
        <v>55.926024119386973</v>
      </c>
      <c r="K25" s="258">
        <v>55.92441005367089</v>
      </c>
      <c r="L25" s="258">
        <v>54.373749596683773</v>
      </c>
      <c r="M25" s="258">
        <v>54.940233050698943</v>
      </c>
      <c r="N25" s="258">
        <v>52.544412258317827</v>
      </c>
      <c r="O25" s="258">
        <v>54.845899569122487</v>
      </c>
      <c r="P25" s="258">
        <v>54.309962131510893</v>
      </c>
      <c r="Q25" s="258">
        <v>54.292764207666529</v>
      </c>
      <c r="R25" s="258">
        <v>51.307336059873329</v>
      </c>
      <c r="S25" s="258">
        <v>51.14611732647564</v>
      </c>
      <c r="T25" s="258">
        <v>52.65499799979586</v>
      </c>
      <c r="U25" s="258">
        <v>52.057466198328576</v>
      </c>
      <c r="V25" s="258">
        <v>55.616123324075119</v>
      </c>
      <c r="W25" s="258">
        <v>55.315100147406753</v>
      </c>
      <c r="DA25" s="273" t="s">
        <v>1031</v>
      </c>
    </row>
    <row r="26" spans="1:105" x14ac:dyDescent="0.25">
      <c r="A26" s="257" t="s">
        <v>177</v>
      </c>
      <c r="B26" s="258">
        <v>21.314629373677441</v>
      </c>
      <c r="C26" s="258">
        <v>22.49607932086413</v>
      </c>
      <c r="D26" s="258">
        <v>23.463787910376588</v>
      </c>
      <c r="E26" s="258">
        <v>26.26995843842851</v>
      </c>
      <c r="F26" s="258">
        <v>49.933406337350768</v>
      </c>
      <c r="G26" s="258">
        <v>52.051028319261192</v>
      </c>
      <c r="H26" s="258">
        <v>52.574824448274647</v>
      </c>
      <c r="I26" s="258">
        <v>49.157380585165512</v>
      </c>
      <c r="J26" s="258">
        <v>47.651123218451318</v>
      </c>
      <c r="K26" s="258">
        <v>52.328687897334767</v>
      </c>
      <c r="L26" s="258">
        <v>52.803870741276882</v>
      </c>
      <c r="M26" s="258">
        <v>55.715163478733487</v>
      </c>
      <c r="N26" s="258">
        <v>56.594672753377637</v>
      </c>
      <c r="O26" s="258">
        <v>58.587318218584578</v>
      </c>
      <c r="P26" s="258">
        <v>55.417250018838878</v>
      </c>
      <c r="Q26" s="258">
        <v>58.628333673738659</v>
      </c>
      <c r="R26" s="258">
        <v>57.799310789447127</v>
      </c>
      <c r="S26" s="258">
        <v>57.824348228411793</v>
      </c>
      <c r="T26" s="258">
        <v>57.010382621636012</v>
      </c>
      <c r="U26" s="258">
        <v>56.071395541203223</v>
      </c>
      <c r="V26" s="258">
        <v>54.986254403946482</v>
      </c>
      <c r="W26" s="258">
        <v>52.916873782084487</v>
      </c>
      <c r="DA26" s="273" t="s">
        <v>1032</v>
      </c>
    </row>
    <row r="27" spans="1:105" x14ac:dyDescent="0.25">
      <c r="A27" s="129" t="s">
        <v>33</v>
      </c>
      <c r="B27" s="259">
        <v>32.484875256976927</v>
      </c>
      <c r="C27" s="259">
        <v>34.285481473668561</v>
      </c>
      <c r="D27" s="259">
        <v>35.760332021820233</v>
      </c>
      <c r="E27" s="259">
        <v>40.037117602063432</v>
      </c>
      <c r="F27" s="259">
        <v>76.101744374123356</v>
      </c>
      <c r="G27" s="259">
        <v>79.329137387522223</v>
      </c>
      <c r="H27" s="259">
        <v>80.127436603182161</v>
      </c>
      <c r="I27" s="259">
        <v>74.919030881245476</v>
      </c>
      <c r="J27" s="259">
        <v>72.62339712638223</v>
      </c>
      <c r="K27" s="259">
        <v>79.752308562563357</v>
      </c>
      <c r="L27" s="259">
        <v>80.476517984134489</v>
      </c>
      <c r="M27" s="259">
        <v>84.913516618021802</v>
      </c>
      <c r="N27" s="259">
        <v>86.253945699535791</v>
      </c>
      <c r="O27" s="259">
        <v>89.290866409429469</v>
      </c>
      <c r="P27" s="259">
        <v>84.459477215675776</v>
      </c>
      <c r="Q27" s="259">
        <v>89.353376618775755</v>
      </c>
      <c r="R27" s="259">
        <v>88.089892065080093</v>
      </c>
      <c r="S27" s="259">
        <v>88.128050743200262</v>
      </c>
      <c r="T27" s="259">
        <v>86.887514455375566</v>
      </c>
      <c r="U27" s="259">
        <v>85.456437346737644</v>
      </c>
      <c r="V27" s="259">
        <v>83.802611992235697</v>
      </c>
      <c r="W27" s="259">
        <v>80.648741935109101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</v>
      </c>
      <c r="D31" s="236">
        <f t="shared" si="6"/>
        <v>1.0000000000000002</v>
      </c>
      <c r="E31" s="236">
        <f t="shared" si="6"/>
        <v>0.99999999999999967</v>
      </c>
      <c r="F31" s="236">
        <f t="shared" si="6"/>
        <v>0.99999999999999978</v>
      </c>
      <c r="G31" s="236">
        <f t="shared" si="6"/>
        <v>1</v>
      </c>
      <c r="H31" s="236">
        <f t="shared" si="6"/>
        <v>1</v>
      </c>
      <c r="I31" s="236">
        <f t="shared" si="6"/>
        <v>0.99999999999999989</v>
      </c>
      <c r="J31" s="236">
        <f t="shared" si="6"/>
        <v>0.99999999999999989</v>
      </c>
      <c r="K31" s="236">
        <f t="shared" si="6"/>
        <v>0.99999999999999989</v>
      </c>
      <c r="L31" s="236">
        <f t="shared" si="6"/>
        <v>1</v>
      </c>
      <c r="M31" s="236">
        <f t="shared" si="6"/>
        <v>1.0000000000000002</v>
      </c>
      <c r="N31" s="236">
        <f t="shared" si="6"/>
        <v>1</v>
      </c>
      <c r="O31" s="236">
        <f t="shared" si="6"/>
        <v>1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1.0000000000000002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1.3301596454295753E-2</v>
      </c>
      <c r="C32" s="245">
        <f t="shared" si="8"/>
        <v>1.3514209556458646E-2</v>
      </c>
      <c r="D32" s="245">
        <f t="shared" si="8"/>
        <v>1.377339198135164E-2</v>
      </c>
      <c r="E32" s="245">
        <f t="shared" si="8"/>
        <v>1.5558954405657145E-2</v>
      </c>
      <c r="F32" s="245">
        <f t="shared" si="8"/>
        <v>2.6094420422657957E-2</v>
      </c>
      <c r="G32" s="245">
        <f t="shared" si="8"/>
        <v>2.7445988631987321E-2</v>
      </c>
      <c r="H32" s="245">
        <f t="shared" si="8"/>
        <v>2.8330325898251223E-2</v>
      </c>
      <c r="I32" s="245">
        <f t="shared" si="8"/>
        <v>2.7453662138670894E-2</v>
      </c>
      <c r="J32" s="245">
        <f t="shared" si="8"/>
        <v>2.641188350304622E-2</v>
      </c>
      <c r="K32" s="245">
        <f t="shared" si="8"/>
        <v>2.8557593921784717E-2</v>
      </c>
      <c r="L32" s="245">
        <f t="shared" si="8"/>
        <v>2.930457763519188E-2</v>
      </c>
      <c r="M32" s="245">
        <f t="shared" si="8"/>
        <v>3.0417929087319894E-2</v>
      </c>
      <c r="N32" s="245">
        <f t="shared" si="8"/>
        <v>3.160588568268289E-2</v>
      </c>
      <c r="O32" s="245">
        <f t="shared" si="8"/>
        <v>3.1456983943597965E-2</v>
      </c>
      <c r="P32" s="245">
        <f t="shared" si="8"/>
        <v>3.0439247354491925E-2</v>
      </c>
      <c r="Q32" s="245">
        <f t="shared" si="8"/>
        <v>3.1819570662250191E-2</v>
      </c>
      <c r="R32" s="245">
        <f t="shared" si="8"/>
        <v>3.2737981188530468E-2</v>
      </c>
      <c r="S32" s="245">
        <f t="shared" si="8"/>
        <v>3.2839452458638216E-2</v>
      </c>
      <c r="T32" s="245">
        <f t="shared" si="8"/>
        <v>3.1697524337865199E-2</v>
      </c>
      <c r="U32" s="245">
        <f t="shared" si="8"/>
        <v>3.143564704142849E-2</v>
      </c>
      <c r="V32" s="245">
        <f t="shared" si="8"/>
        <v>2.9597524405196456E-2</v>
      </c>
      <c r="W32" s="245">
        <f t="shared" si="8"/>
        <v>2.8732935579270237E-2</v>
      </c>
      <c r="DA32" s="276"/>
    </row>
    <row r="33" spans="1:105" x14ac:dyDescent="0.25">
      <c r="A33" s="241" t="s">
        <v>124</v>
      </c>
      <c r="B33" s="246">
        <f t="shared" ref="B33:W33" si="9">IF(B$7=0,0,B$7/B$5)</f>
        <v>8.5736523221421647E-3</v>
      </c>
      <c r="C33" s="246">
        <f t="shared" si="9"/>
        <v>8.7106938286515608E-3</v>
      </c>
      <c r="D33" s="246">
        <f t="shared" si="9"/>
        <v>8.8777519713848403E-3</v>
      </c>
      <c r="E33" s="246">
        <f t="shared" si="9"/>
        <v>1.0028650773500637E-2</v>
      </c>
      <c r="F33" s="246">
        <f t="shared" si="9"/>
        <v>1.6819371195058583E-2</v>
      </c>
      <c r="G33" s="246">
        <f t="shared" si="9"/>
        <v>1.7690535491484655E-2</v>
      </c>
      <c r="H33" s="246">
        <f t="shared" si="9"/>
        <v>1.8260542278452835E-2</v>
      </c>
      <c r="I33" s="246">
        <f t="shared" si="9"/>
        <v>1.7695481512710214E-2</v>
      </c>
      <c r="J33" s="246">
        <f t="shared" si="9"/>
        <v>1.7023994608926032E-2</v>
      </c>
      <c r="K33" s="246">
        <f t="shared" si="9"/>
        <v>1.8407029733880587E-2</v>
      </c>
      <c r="L33" s="246">
        <f t="shared" si="9"/>
        <v>1.8888504169754596E-2</v>
      </c>
      <c r="M33" s="246">
        <f t="shared" si="9"/>
        <v>1.9606123915301379E-2</v>
      </c>
      <c r="N33" s="246">
        <f t="shared" si="9"/>
        <v>2.0371831013500763E-2</v>
      </c>
      <c r="O33" s="246">
        <f t="shared" si="9"/>
        <v>2.0275855184925379E-2</v>
      </c>
      <c r="P33" s="246">
        <f t="shared" si="9"/>
        <v>1.9619864778021988E-2</v>
      </c>
      <c r="Q33" s="246">
        <f t="shared" si="9"/>
        <v>2.0509563407320488E-2</v>
      </c>
      <c r="R33" s="246">
        <f t="shared" si="9"/>
        <v>2.1101532391523108E-2</v>
      </c>
      <c r="S33" s="246">
        <f t="shared" si="9"/>
        <v>2.1166936525047926E-2</v>
      </c>
      <c r="T33" s="246">
        <f t="shared" si="9"/>
        <v>2.0430897454999066E-2</v>
      </c>
      <c r="U33" s="246">
        <f t="shared" si="9"/>
        <v>2.026210231086539E-2</v>
      </c>
      <c r="V33" s="246">
        <f t="shared" si="9"/>
        <v>1.9077325396104645E-2</v>
      </c>
      <c r="W33" s="246">
        <f t="shared" si="9"/>
        <v>1.8520047627186436E-2</v>
      </c>
      <c r="DA33" s="277"/>
    </row>
    <row r="34" spans="1:105" x14ac:dyDescent="0.25">
      <c r="A34" s="241" t="s">
        <v>123</v>
      </c>
      <c r="B34" s="246">
        <f t="shared" ref="B34:W34" si="10">IF(B$8=0,0,B$8/B$5)</f>
        <v>1.7037838244250803E-2</v>
      </c>
      <c r="C34" s="246">
        <f t="shared" si="10"/>
        <v>1.7310171543167708E-2</v>
      </c>
      <c r="D34" s="246">
        <f t="shared" si="10"/>
        <v>1.7642154869097985E-2</v>
      </c>
      <c r="E34" s="246">
        <f t="shared" si="10"/>
        <v>1.9929258064933151E-2</v>
      </c>
      <c r="F34" s="246">
        <f t="shared" si="10"/>
        <v>3.3423996568106663E-2</v>
      </c>
      <c r="G34" s="246">
        <f t="shared" si="10"/>
        <v>3.5155202337710995E-2</v>
      </c>
      <c r="H34" s="246">
        <f t="shared" si="10"/>
        <v>3.6287938197480767E-2</v>
      </c>
      <c r="I34" s="246">
        <f t="shared" si="10"/>
        <v>3.5165031230512719E-2</v>
      </c>
      <c r="J34" s="246">
        <f t="shared" si="10"/>
        <v>3.3830630811654931E-2</v>
      </c>
      <c r="K34" s="246">
        <f t="shared" si="10"/>
        <v>3.6579042790554191E-2</v>
      </c>
      <c r="L34" s="246">
        <f t="shared" si="10"/>
        <v>3.7535844308616388E-2</v>
      </c>
      <c r="M34" s="246">
        <f t="shared" si="10"/>
        <v>3.8961921397598631E-2</v>
      </c>
      <c r="N34" s="246">
        <f t="shared" si="10"/>
        <v>4.0483559223744629E-2</v>
      </c>
      <c r="O34" s="246">
        <f t="shared" si="10"/>
        <v>4.0292832963664968E-2</v>
      </c>
      <c r="P34" s="246">
        <f t="shared" si="10"/>
        <v>3.898922768289851E-2</v>
      </c>
      <c r="Q34" s="246">
        <f t="shared" si="10"/>
        <v>4.0757265476193578E-2</v>
      </c>
      <c r="R34" s="246">
        <f t="shared" si="10"/>
        <v>4.1933645322202756E-2</v>
      </c>
      <c r="S34" s="246">
        <f t="shared" si="10"/>
        <v>4.206361852447775E-2</v>
      </c>
      <c r="T34" s="246">
        <f t="shared" si="10"/>
        <v>4.0600937960145286E-2</v>
      </c>
      <c r="U34" s="246">
        <f t="shared" si="10"/>
        <v>4.0265502809044347E-2</v>
      </c>
      <c r="V34" s="246">
        <f t="shared" si="10"/>
        <v>3.7911075935787096E-2</v>
      </c>
      <c r="W34" s="246">
        <f t="shared" si="10"/>
        <v>3.6803635590973438E-2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0.33665525189548701</v>
      </c>
      <c r="C35" s="247">
        <f t="shared" si="11"/>
        <v>0.33793205043808044</v>
      </c>
      <c r="D35" s="247">
        <f t="shared" si="11"/>
        <v>0.34054926787671169</v>
      </c>
      <c r="E35" s="247">
        <f t="shared" si="11"/>
        <v>0.33798161381569825</v>
      </c>
      <c r="F35" s="247">
        <f t="shared" si="11"/>
        <v>0.31999168215251139</v>
      </c>
      <c r="G35" s="247">
        <f t="shared" si="11"/>
        <v>0.31741132915863285</v>
      </c>
      <c r="H35" s="247">
        <f t="shared" si="11"/>
        <v>0.31640962165237241</v>
      </c>
      <c r="I35" s="247">
        <f t="shared" si="11"/>
        <v>0.31690369636994348</v>
      </c>
      <c r="J35" s="247">
        <f t="shared" si="11"/>
        <v>0.31740842293085603</v>
      </c>
      <c r="K35" s="247">
        <f t="shared" si="11"/>
        <v>0.31566711348454601</v>
      </c>
      <c r="L35" s="247">
        <f t="shared" si="11"/>
        <v>0.31494973252958075</v>
      </c>
      <c r="M35" s="247">
        <f t="shared" si="11"/>
        <v>0.31450446572123142</v>
      </c>
      <c r="N35" s="247">
        <f t="shared" si="11"/>
        <v>0.3152636713918307</v>
      </c>
      <c r="O35" s="247">
        <f t="shared" si="11"/>
        <v>0.31427162068864534</v>
      </c>
      <c r="P35" s="247">
        <f t="shared" si="11"/>
        <v>0.31671581806708682</v>
      </c>
      <c r="Q35" s="247">
        <f t="shared" si="11"/>
        <v>0.31647169416698911</v>
      </c>
      <c r="R35" s="247">
        <f t="shared" si="11"/>
        <v>0.31780446922934541</v>
      </c>
      <c r="S35" s="247">
        <f t="shared" si="11"/>
        <v>0.31794145421297793</v>
      </c>
      <c r="T35" s="247">
        <f t="shared" si="11"/>
        <v>0.3184624176093751</v>
      </c>
      <c r="U35" s="247">
        <f t="shared" si="11"/>
        <v>0.31897329012373726</v>
      </c>
      <c r="V35" s="247">
        <f t="shared" si="11"/>
        <v>0.31821657194788017</v>
      </c>
      <c r="W35" s="247">
        <f t="shared" si="11"/>
        <v>0.31945301691920841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0.2438888675660929</v>
      </c>
      <c r="C36" s="260">
        <f t="shared" si="12"/>
        <v>0.24347215119107665</v>
      </c>
      <c r="D36" s="260">
        <f t="shared" si="12"/>
        <v>0.24724672439918763</v>
      </c>
      <c r="E36" s="260">
        <f t="shared" si="12"/>
        <v>0.24649038996032974</v>
      </c>
      <c r="F36" s="260">
        <f t="shared" si="12"/>
        <v>0.22851675729442175</v>
      </c>
      <c r="G36" s="260">
        <f t="shared" si="12"/>
        <v>0.22538710918030855</v>
      </c>
      <c r="H36" s="260">
        <f t="shared" si="12"/>
        <v>0.22380749677347259</v>
      </c>
      <c r="I36" s="260">
        <f t="shared" si="12"/>
        <v>0.22617355933824157</v>
      </c>
      <c r="J36" s="260">
        <f t="shared" si="12"/>
        <v>0.22852391506743422</v>
      </c>
      <c r="K36" s="260">
        <f t="shared" si="12"/>
        <v>0.2249959284816683</v>
      </c>
      <c r="L36" s="260">
        <f t="shared" si="12"/>
        <v>0.22245925021522048</v>
      </c>
      <c r="M36" s="260">
        <f t="shared" si="12"/>
        <v>0.2211251856349879</v>
      </c>
      <c r="N36" s="260">
        <f t="shared" si="12"/>
        <v>0.21632685162317536</v>
      </c>
      <c r="O36" s="260">
        <f t="shared" si="12"/>
        <v>0.21709464198628639</v>
      </c>
      <c r="P36" s="260">
        <f t="shared" si="12"/>
        <v>0.21991756495570439</v>
      </c>
      <c r="Q36" s="260">
        <f t="shared" si="12"/>
        <v>0.2172301976082382</v>
      </c>
      <c r="R36" s="260">
        <f t="shared" si="12"/>
        <v>0.21423981288724037</v>
      </c>
      <c r="S36" s="260">
        <f t="shared" si="12"/>
        <v>0.2141358150939485</v>
      </c>
      <c r="T36" s="260">
        <f t="shared" si="12"/>
        <v>0.21582535705778913</v>
      </c>
      <c r="U36" s="260">
        <f t="shared" si="12"/>
        <v>0.21515703148163534</v>
      </c>
      <c r="V36" s="260">
        <f t="shared" si="12"/>
        <v>0.2206954822135693</v>
      </c>
      <c r="W36" s="260">
        <f t="shared" si="12"/>
        <v>0.22142211885390228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0.3144440931065578</v>
      </c>
      <c r="C37" s="260">
        <f t="shared" si="13"/>
        <v>0.3124859195358044</v>
      </c>
      <c r="D37" s="260">
        <f t="shared" si="13"/>
        <v>0.30417946774671972</v>
      </c>
      <c r="E37" s="260">
        <f t="shared" si="13"/>
        <v>0.29791248377622676</v>
      </c>
      <c r="F37" s="260">
        <f t="shared" si="13"/>
        <v>0.27910320527126942</v>
      </c>
      <c r="G37" s="260">
        <f t="shared" si="13"/>
        <v>0.27789735492553652</v>
      </c>
      <c r="H37" s="260">
        <f t="shared" si="13"/>
        <v>0.27589063292659838</v>
      </c>
      <c r="I37" s="260">
        <f t="shared" si="13"/>
        <v>0.27747109679567672</v>
      </c>
      <c r="J37" s="260">
        <f t="shared" si="13"/>
        <v>0.27995503434459795</v>
      </c>
      <c r="K37" s="260">
        <f t="shared" si="13"/>
        <v>0.27405115572466848</v>
      </c>
      <c r="L37" s="260">
        <f t="shared" si="13"/>
        <v>0.27359151575476653</v>
      </c>
      <c r="M37" s="260">
        <f t="shared" si="13"/>
        <v>0.26950660083761424</v>
      </c>
      <c r="N37" s="260">
        <f t="shared" si="13"/>
        <v>0.26774247972961462</v>
      </c>
      <c r="O37" s="260">
        <f t="shared" si="13"/>
        <v>0.26867175886122108</v>
      </c>
      <c r="P37" s="260">
        <f t="shared" si="13"/>
        <v>0.26854958362439763</v>
      </c>
      <c r="Q37" s="260">
        <f t="shared" si="13"/>
        <v>0.26434963832210934</v>
      </c>
      <c r="R37" s="260">
        <f t="shared" si="13"/>
        <v>0.26142400769624946</v>
      </c>
      <c r="S37" s="260">
        <f t="shared" si="13"/>
        <v>0.26085418493319368</v>
      </c>
      <c r="T37" s="260">
        <f t="shared" si="13"/>
        <v>0.26461523527670949</v>
      </c>
      <c r="U37" s="260">
        <f t="shared" si="13"/>
        <v>0.26628415430367369</v>
      </c>
      <c r="V37" s="260">
        <f t="shared" si="13"/>
        <v>0.27073546446307872</v>
      </c>
      <c r="W37" s="260">
        <f t="shared" si="13"/>
        <v>0.27336795724728663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3.2805694883939876E-2</v>
      </c>
      <c r="C38" s="260">
        <f t="shared" si="14"/>
        <v>3.2749642016958472E-2</v>
      </c>
      <c r="D38" s="260">
        <f t="shared" si="14"/>
        <v>3.3257363005694561E-2</v>
      </c>
      <c r="E38" s="260">
        <f t="shared" si="14"/>
        <v>3.3155627829837622E-2</v>
      </c>
      <c r="F38" s="260">
        <f t="shared" si="14"/>
        <v>3.0737979516988732E-2</v>
      </c>
      <c r="G38" s="260">
        <f t="shared" si="14"/>
        <v>3.0317007940260762E-2</v>
      </c>
      <c r="H38" s="260">
        <f t="shared" si="14"/>
        <v>3.0104532958640275E-2</v>
      </c>
      <c r="I38" s="260">
        <f t="shared" si="14"/>
        <v>3.0422794006595186E-2</v>
      </c>
      <c r="J38" s="260">
        <f t="shared" si="14"/>
        <v>3.0738942315003411E-2</v>
      </c>
      <c r="K38" s="260">
        <f t="shared" si="14"/>
        <v>3.0264389898395437E-2</v>
      </c>
      <c r="L38" s="260">
        <f t="shared" si="14"/>
        <v>2.9923179190181125E-2</v>
      </c>
      <c r="M38" s="260">
        <f t="shared" si="14"/>
        <v>2.974373305140763E-2</v>
      </c>
      <c r="N38" s="260">
        <f t="shared" si="14"/>
        <v>2.9098305143550805E-2</v>
      </c>
      <c r="O38" s="260">
        <f t="shared" si="14"/>
        <v>2.9201581265328777E-2</v>
      </c>
      <c r="P38" s="260">
        <f t="shared" si="14"/>
        <v>2.9581294987155365E-2</v>
      </c>
      <c r="Q38" s="260">
        <f t="shared" si="14"/>
        <v>2.9219814965037727E-2</v>
      </c>
      <c r="R38" s="260">
        <f t="shared" si="14"/>
        <v>2.8817575823408742E-2</v>
      </c>
      <c r="S38" s="260">
        <f t="shared" si="14"/>
        <v>2.8803586993539684E-2</v>
      </c>
      <c r="T38" s="260">
        <f t="shared" si="14"/>
        <v>2.9030848691510996E-2</v>
      </c>
      <c r="U38" s="260">
        <f t="shared" si="14"/>
        <v>2.8940951661141238E-2</v>
      </c>
      <c r="V38" s="260">
        <f t="shared" si="14"/>
        <v>2.9685933285988546E-2</v>
      </c>
      <c r="W38" s="260">
        <f t="shared" si="14"/>
        <v>2.9783673786209601E-2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1.3190234341757182E-2</v>
      </c>
      <c r="C39" s="260">
        <f t="shared" si="15"/>
        <v>1.3401067428694714E-2</v>
      </c>
      <c r="D39" s="260">
        <f t="shared" si="15"/>
        <v>1.365807995597668E-2</v>
      </c>
      <c r="E39" s="260">
        <f t="shared" si="15"/>
        <v>1.5428693497693297E-2</v>
      </c>
      <c r="F39" s="260">
        <f t="shared" si="15"/>
        <v>2.5875955684705521E-2</v>
      </c>
      <c r="G39" s="260">
        <f t="shared" si="15"/>
        <v>2.7216208448437945E-2</v>
      </c>
      <c r="H39" s="260">
        <f t="shared" si="15"/>
        <v>2.8093141966850525E-2</v>
      </c>
      <c r="I39" s="260">
        <f t="shared" si="15"/>
        <v>2.7223817711861865E-2</v>
      </c>
      <c r="J39" s="260">
        <f t="shared" si="15"/>
        <v>2.6190760936809294E-2</v>
      </c>
      <c r="K39" s="260">
        <f t="shared" si="15"/>
        <v>2.8318507282893219E-2</v>
      </c>
      <c r="L39" s="260">
        <f t="shared" si="15"/>
        <v>2.9059237184237842E-2</v>
      </c>
      <c r="M39" s="260">
        <f t="shared" si="15"/>
        <v>3.0163267562002126E-2</v>
      </c>
      <c r="N39" s="260">
        <f t="shared" si="15"/>
        <v>3.1341278482308874E-2</v>
      </c>
      <c r="O39" s="260">
        <f t="shared" si="15"/>
        <v>3.1193623361423655E-2</v>
      </c>
      <c r="P39" s="260">
        <f t="shared" si="15"/>
        <v>3.0184407350803077E-2</v>
      </c>
      <c r="Q39" s="260">
        <f t="shared" si="15"/>
        <v>3.155317447280076E-2</v>
      </c>
      <c r="R39" s="260">
        <f t="shared" si="15"/>
        <v>3.2463895986958632E-2</v>
      </c>
      <c r="S39" s="260">
        <f t="shared" si="15"/>
        <v>3.2564517730842985E-2</v>
      </c>
      <c r="T39" s="260">
        <f t="shared" si="15"/>
        <v>3.1432149930767816E-2</v>
      </c>
      <c r="U39" s="260">
        <f t="shared" si="15"/>
        <v>3.1172465093639062E-2</v>
      </c>
      <c r="V39" s="260">
        <f t="shared" si="15"/>
        <v>2.9349731378622554E-2</v>
      </c>
      <c r="W39" s="260">
        <f t="shared" si="15"/>
        <v>2.8492380964902215E-2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2.0102771185476563E-2</v>
      </c>
      <c r="C40" s="262">
        <f t="shared" si="16"/>
        <v>2.0424094461107489E-2</v>
      </c>
      <c r="D40" s="262">
        <f t="shared" si="16"/>
        <v>2.0815798193875464E-2</v>
      </c>
      <c r="E40" s="262">
        <f t="shared" si="16"/>
        <v>2.3514327876123221E-2</v>
      </c>
      <c r="F40" s="262">
        <f t="shared" si="16"/>
        <v>3.9436631894279865E-2</v>
      </c>
      <c r="G40" s="262">
        <f t="shared" si="16"/>
        <v>4.1479263885640411E-2</v>
      </c>
      <c r="H40" s="262">
        <f t="shared" si="16"/>
        <v>4.2815767347880972E-2</v>
      </c>
      <c r="I40" s="262">
        <f t="shared" si="16"/>
        <v>4.1490860895787282E-2</v>
      </c>
      <c r="J40" s="262">
        <f t="shared" si="16"/>
        <v>3.9916415481671783E-2</v>
      </c>
      <c r="K40" s="262">
        <f t="shared" si="16"/>
        <v>4.3159238681609043E-2</v>
      </c>
      <c r="L40" s="262">
        <f t="shared" si="16"/>
        <v>4.4288159012450375E-2</v>
      </c>
      <c r="M40" s="262">
        <f t="shared" si="16"/>
        <v>4.5970772792536869E-2</v>
      </c>
      <c r="N40" s="262">
        <f t="shared" si="16"/>
        <v>4.7766137709591448E-2</v>
      </c>
      <c r="O40" s="262">
        <f t="shared" si="16"/>
        <v>4.7541101744906396E-2</v>
      </c>
      <c r="P40" s="262">
        <f t="shared" si="16"/>
        <v>4.6002991199440318E-2</v>
      </c>
      <c r="Q40" s="262">
        <f t="shared" si="16"/>
        <v>4.808908091906066E-2</v>
      </c>
      <c r="R40" s="262">
        <f t="shared" si="16"/>
        <v>4.9477079474541032E-2</v>
      </c>
      <c r="S40" s="262">
        <f t="shared" si="16"/>
        <v>4.9630433527333477E-2</v>
      </c>
      <c r="T40" s="262">
        <f t="shared" si="16"/>
        <v>4.7904631680838007E-2</v>
      </c>
      <c r="U40" s="262">
        <f t="shared" si="16"/>
        <v>4.750885517483535E-2</v>
      </c>
      <c r="V40" s="262">
        <f t="shared" si="16"/>
        <v>4.4730890973772551E-2</v>
      </c>
      <c r="W40" s="262">
        <f t="shared" si="16"/>
        <v>4.3424233431060714E-2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0.3726983657881639</v>
      </c>
      <c r="C44" s="238">
        <f>IF(C$5=0,0,C$5/AGR_fec!C$5)</f>
        <v>0.37353988009972205</v>
      </c>
      <c r="D44" s="238">
        <f>IF(D$5=0,0,D$5/AGR_fec!D$5)</f>
        <v>0.37424101813974681</v>
      </c>
      <c r="E44" s="238">
        <f>IF(E$5=0,0,E$5/AGR_fec!E$5)</f>
        <v>0.37564804614808706</v>
      </c>
      <c r="F44" s="238">
        <f>IF(F$5=0,0,F$5/AGR_fec!F$5)</f>
        <v>0.38457133345161831</v>
      </c>
      <c r="G44" s="238">
        <f>IF(G$5=0,0,G$5/AGR_fec!G$5)</f>
        <v>0.38529606936906158</v>
      </c>
      <c r="H44" s="238">
        <f>IF(H$5=0,0,H$5/AGR_fec!H$5)</f>
        <v>0.38607595062910455</v>
      </c>
      <c r="I44" s="238">
        <f>IF(I$5=0,0,I$5/AGR_fec!I$5)</f>
        <v>0.38476304399577388</v>
      </c>
      <c r="J44" s="238">
        <f>IF(J$5=0,0,J$5/AGR_fec!J$5)</f>
        <v>0.38321396254952123</v>
      </c>
      <c r="K44" s="238">
        <f>IF(K$5=0,0,K$5/AGR_fec!K$5)</f>
        <v>0.38567155800876696</v>
      </c>
      <c r="L44" s="238">
        <f>IF(L$5=0,0,L$5/AGR_fec!L$5)</f>
        <v>0.38664688906598649</v>
      </c>
      <c r="M44" s="238">
        <f>IF(M$5=0,0,M$5/AGR_fec!M$5)</f>
        <v>0.38778567340384579</v>
      </c>
      <c r="N44" s="238">
        <f>IF(N$5=0,0,N$5/AGR_fec!N$5)</f>
        <v>0.3901550115716339</v>
      </c>
      <c r="O44" s="238">
        <f>IF(O$5=0,0,O$5/AGR_fec!O$5)</f>
        <v>0.38953966070866825</v>
      </c>
      <c r="P44" s="238">
        <f>IF(P$5=0,0,P$5/AGR_fec!P$5)</f>
        <v>0.38851313621310613</v>
      </c>
      <c r="Q44" s="238">
        <f>IF(Q$5=0,0,Q$5/AGR_fec!Q$5)</f>
        <v>0.39074014377091576</v>
      </c>
      <c r="R44" s="238">
        <f>IF(R$5=0,0,R$5/AGR_fec!R$5)</f>
        <v>0.3927109611678955</v>
      </c>
      <c r="S44" s="238">
        <f>IF(S$5=0,0,S$5/AGR_fec!S$5)</f>
        <v>0.39276301099255789</v>
      </c>
      <c r="T44" s="238">
        <f>IF(T$5=0,0,T$5/AGR_fec!T$5)</f>
        <v>0.39125532388864326</v>
      </c>
      <c r="U44" s="238">
        <f>IF(U$5=0,0,U$5/AGR_fec!U$5)</f>
        <v>0.3911627096584061</v>
      </c>
      <c r="V44" s="238">
        <f>IF(V$5=0,0,V$5/AGR_fec!V$5)</f>
        <v>0.38790422378529699</v>
      </c>
      <c r="W44" s="238">
        <f>IF(W$5=0,0,W$5/AGR_fec!W$5)</f>
        <v>0.38696008759397393</v>
      </c>
      <c r="DA44" s="287"/>
    </row>
    <row r="45" spans="1:105" x14ac:dyDescent="0.25">
      <c r="A45" s="239" t="s">
        <v>125</v>
      </c>
      <c r="B45" s="251">
        <f>IF(B$6=0,0,B$6/AGR_fec!B$6)</f>
        <v>0.47196895105741105</v>
      </c>
      <c r="C45" s="251">
        <f>IF(C$6=0,0,C$6/AGR_fec!C$6)</f>
        <v>0.4719689510574111</v>
      </c>
      <c r="D45" s="251">
        <f>IF(D$6=0,0,D$6/AGR_fec!D$6)</f>
        <v>0.47196895105741105</v>
      </c>
      <c r="E45" s="251">
        <f>IF(E$6=0,0,E$6/AGR_fec!E$6)</f>
        <v>0.47196895105741105</v>
      </c>
      <c r="F45" s="251">
        <f>IF(F$6=0,0,F$6/AGR_fec!F$6)</f>
        <v>0.47196895105741082</v>
      </c>
      <c r="G45" s="251">
        <f>IF(G$6=0,0,G$6/AGR_fec!G$6)</f>
        <v>0.4719689510574111</v>
      </c>
      <c r="H45" s="251">
        <f>IF(H$6=0,0,H$6/AGR_fec!H$6)</f>
        <v>0.47196895105741105</v>
      </c>
      <c r="I45" s="251">
        <f>IF(I$6=0,0,I$6/AGR_fec!I$6)</f>
        <v>0.4719689510574111</v>
      </c>
      <c r="J45" s="251">
        <f>IF(J$6=0,0,J$6/AGR_fec!J$6)</f>
        <v>0.47196895105741121</v>
      </c>
      <c r="K45" s="251">
        <f>IF(K$6=0,0,K$6/AGR_fec!K$6)</f>
        <v>0.47196895105741105</v>
      </c>
      <c r="L45" s="251">
        <f>IF(L$6=0,0,L$6/AGR_fec!L$6)</f>
        <v>0.47196895105741105</v>
      </c>
      <c r="M45" s="251">
        <f>IF(M$6=0,0,M$6/AGR_fec!M$6)</f>
        <v>0.47196895105741099</v>
      </c>
      <c r="N45" s="251">
        <f>IF(N$6=0,0,N$6/AGR_fec!N$6)</f>
        <v>0.47196895105741093</v>
      </c>
      <c r="O45" s="251">
        <f>IF(O$6=0,0,O$6/AGR_fec!O$6)</f>
        <v>0.47196895105741082</v>
      </c>
      <c r="P45" s="251">
        <f>IF(P$6=0,0,P$6/AGR_fec!P$6)</f>
        <v>0.47196895105741116</v>
      </c>
      <c r="Q45" s="251">
        <f>IF(Q$6=0,0,Q$6/AGR_fec!Q$6)</f>
        <v>0.47196895105741116</v>
      </c>
      <c r="R45" s="251">
        <f>IF(R$6=0,0,R$6/AGR_fec!R$6)</f>
        <v>0.47196895105741088</v>
      </c>
      <c r="S45" s="251">
        <f>IF(S$6=0,0,S$6/AGR_fec!S$6)</f>
        <v>0.47196895105741105</v>
      </c>
      <c r="T45" s="251">
        <f>IF(T$6=0,0,T$6/AGR_fec!T$6)</f>
        <v>0.47196895105741077</v>
      </c>
      <c r="U45" s="251">
        <f>IF(U$6=0,0,U$6/AGR_fec!U$6)</f>
        <v>0.4719689510574111</v>
      </c>
      <c r="V45" s="251">
        <f>IF(V$6=0,0,V$6/AGR_fec!V$6)</f>
        <v>0.47196895105741116</v>
      </c>
      <c r="W45" s="251">
        <f>IF(W$6=0,0,W$6/AGR_fec!W$6)</f>
        <v>0.47196895105741088</v>
      </c>
      <c r="DA45" s="288"/>
    </row>
    <row r="46" spans="1:105" x14ac:dyDescent="0.25">
      <c r="A46" s="241" t="s">
        <v>124</v>
      </c>
      <c r="B46" s="252">
        <f>IF(B$7=0,0,B$7/AGR_fec!B$7)</f>
        <v>0.46801758630033374</v>
      </c>
      <c r="C46" s="252">
        <f>IF(C$7=0,0,C$7/AGR_fec!C$7)</f>
        <v>0.46801758630033369</v>
      </c>
      <c r="D46" s="252">
        <f>IF(D$7=0,0,D$7/AGR_fec!D$7)</f>
        <v>0.4680175863003338</v>
      </c>
      <c r="E46" s="252">
        <f>IF(E$7=0,0,E$7/AGR_fec!E$7)</f>
        <v>0.4680175863003338</v>
      </c>
      <c r="F46" s="252">
        <f>IF(F$7=0,0,F$7/AGR_fec!F$7)</f>
        <v>0.46801758630033391</v>
      </c>
      <c r="G46" s="252">
        <f>IF(G$7=0,0,G$7/AGR_fec!G$7)</f>
        <v>0.46801758630033374</v>
      </c>
      <c r="H46" s="252">
        <f>IF(H$7=0,0,H$7/AGR_fec!H$7)</f>
        <v>0.46801758630033374</v>
      </c>
      <c r="I46" s="252">
        <f>IF(I$7=0,0,I$7/AGR_fec!I$7)</f>
        <v>0.46801758630033385</v>
      </c>
      <c r="J46" s="252">
        <f>IF(J$7=0,0,J$7/AGR_fec!J$7)</f>
        <v>0.46801758630033374</v>
      </c>
      <c r="K46" s="252">
        <f>IF(K$7=0,0,K$7/AGR_fec!K$7)</f>
        <v>0.46801758630033374</v>
      </c>
      <c r="L46" s="252">
        <f>IF(L$7=0,0,L$7/AGR_fec!L$7)</f>
        <v>0.46801758630033402</v>
      </c>
      <c r="M46" s="252">
        <f>IF(M$7=0,0,M$7/AGR_fec!M$7)</f>
        <v>0.46801758630033391</v>
      </c>
      <c r="N46" s="252">
        <f>IF(N$7=0,0,N$7/AGR_fec!N$7)</f>
        <v>0.46801758630033391</v>
      </c>
      <c r="O46" s="252">
        <f>IF(O$7=0,0,O$7/AGR_fec!O$7)</f>
        <v>0.46801758630033391</v>
      </c>
      <c r="P46" s="252">
        <f>IF(P$7=0,0,P$7/AGR_fec!P$7)</f>
        <v>0.46801758630033374</v>
      </c>
      <c r="Q46" s="252">
        <f>IF(Q$7=0,0,Q$7/AGR_fec!Q$7)</f>
        <v>0.46801758630033391</v>
      </c>
      <c r="R46" s="252">
        <f>IF(R$7=0,0,R$7/AGR_fec!R$7)</f>
        <v>0.46801758630033374</v>
      </c>
      <c r="S46" s="252">
        <f>IF(S$7=0,0,S$7/AGR_fec!S$7)</f>
        <v>0.46801758630033374</v>
      </c>
      <c r="T46" s="252">
        <f>IF(T$7=0,0,T$7/AGR_fec!T$7)</f>
        <v>0.46801758630033369</v>
      </c>
      <c r="U46" s="252">
        <f>IF(U$7=0,0,U$7/AGR_fec!U$7)</f>
        <v>0.4680175863003338</v>
      </c>
      <c r="V46" s="252">
        <f>IF(V$7=0,0,V$7/AGR_fec!V$7)</f>
        <v>0.46801758630033363</v>
      </c>
      <c r="W46" s="252">
        <f>IF(W$7=0,0,W$7/AGR_fec!W$7)</f>
        <v>0.46801758630033374</v>
      </c>
      <c r="DA46" s="289"/>
    </row>
    <row r="47" spans="1:105" x14ac:dyDescent="0.25">
      <c r="A47" s="241" t="s">
        <v>123</v>
      </c>
      <c r="B47" s="252">
        <f>IF(B$8=0,0,B$8/AGR_fec!B$8)</f>
        <v>0.67170973483060936</v>
      </c>
      <c r="C47" s="252">
        <f>IF(C$8=0,0,C$8/AGR_fec!C$8)</f>
        <v>0.67170973483060903</v>
      </c>
      <c r="D47" s="252">
        <f>IF(D$8=0,0,D$8/AGR_fec!D$8)</f>
        <v>0.67170973483060925</v>
      </c>
      <c r="E47" s="252">
        <f>IF(E$8=0,0,E$8/AGR_fec!E$8)</f>
        <v>0.67170973483060925</v>
      </c>
      <c r="F47" s="252">
        <f>IF(F$8=0,0,F$8/AGR_fec!F$8)</f>
        <v>0.67170973483060925</v>
      </c>
      <c r="G47" s="252">
        <f>IF(G$8=0,0,G$8/AGR_fec!G$8)</f>
        <v>0.67170973483060914</v>
      </c>
      <c r="H47" s="252">
        <f>IF(H$8=0,0,H$8/AGR_fec!H$8)</f>
        <v>0.67170973483060936</v>
      </c>
      <c r="I47" s="252">
        <f>IF(I$8=0,0,I$8/AGR_fec!I$8)</f>
        <v>0.67170973483060925</v>
      </c>
      <c r="J47" s="252">
        <f>IF(J$8=0,0,J$8/AGR_fec!J$8)</f>
        <v>0.67170973483060925</v>
      </c>
      <c r="K47" s="252">
        <f>IF(K$8=0,0,K$8/AGR_fec!K$8)</f>
        <v>0.67170973483060947</v>
      </c>
      <c r="L47" s="252">
        <f>IF(L$8=0,0,L$8/AGR_fec!L$8)</f>
        <v>0.67170973483060903</v>
      </c>
      <c r="M47" s="252">
        <f>IF(M$8=0,0,M$8/AGR_fec!M$8)</f>
        <v>0.67170973483060914</v>
      </c>
      <c r="N47" s="252">
        <f>IF(N$8=0,0,N$8/AGR_fec!N$8)</f>
        <v>0.67170973483060947</v>
      </c>
      <c r="O47" s="252">
        <f>IF(O$8=0,0,O$8/AGR_fec!O$8)</f>
        <v>0.67170973483060947</v>
      </c>
      <c r="P47" s="252">
        <f>IF(P$8=0,0,P$8/AGR_fec!P$8)</f>
        <v>0.67170973483060892</v>
      </c>
      <c r="Q47" s="252">
        <f>IF(Q$8=0,0,Q$8/AGR_fec!Q$8)</f>
        <v>0.67170973483060881</v>
      </c>
      <c r="R47" s="252">
        <f>IF(R$8=0,0,R$8/AGR_fec!R$8)</f>
        <v>0.67170973483060947</v>
      </c>
      <c r="S47" s="252">
        <f>IF(S$8=0,0,S$8/AGR_fec!S$8)</f>
        <v>0.67170973483060892</v>
      </c>
      <c r="T47" s="252">
        <f>IF(T$8=0,0,T$8/AGR_fec!T$8)</f>
        <v>0.67170973483060925</v>
      </c>
      <c r="U47" s="252">
        <f>IF(U$8=0,0,U$8/AGR_fec!U$8)</f>
        <v>0.67170973483060892</v>
      </c>
      <c r="V47" s="252">
        <f>IF(V$8=0,0,V$8/AGR_fec!V$8)</f>
        <v>0.67170973483060914</v>
      </c>
      <c r="W47" s="252">
        <f>IF(W$8=0,0,W$8/AGR_fec!W$8)</f>
        <v>0.67170973483060936</v>
      </c>
      <c r="DA47" s="289"/>
    </row>
    <row r="48" spans="1:105" x14ac:dyDescent="0.25">
      <c r="A48" s="243" t="s">
        <v>122</v>
      </c>
      <c r="B48" s="253">
        <f>IF(B$9=0,0,B$9/AGR_fec!B$9)</f>
        <v>0.616455478938151</v>
      </c>
      <c r="C48" s="253">
        <f>IF(C$9=0,0,C$9/AGR_fec!C$9)</f>
        <v>0.61768079160765843</v>
      </c>
      <c r="D48" s="253">
        <f>IF(D$9=0,0,D$9/AGR_fec!D$9)</f>
        <v>0.61628952376149737</v>
      </c>
      <c r="E48" s="253">
        <f>IF(E$9=0,0,E$9/AGR_fec!E$9)</f>
        <v>0.61648360512699751</v>
      </c>
      <c r="F48" s="253">
        <f>IF(F$9=0,0,F$9/AGR_fec!F$9)</f>
        <v>0.63010478154846783</v>
      </c>
      <c r="G48" s="253">
        <f>IF(G$9=0,0,G$9/AGR_fec!G$9)</f>
        <v>0.63327198412785823</v>
      </c>
      <c r="H48" s="253">
        <f>IF(H$9=0,0,H$9/AGR_fec!H$9)</f>
        <v>0.63540305351034321</v>
      </c>
      <c r="I48" s="253">
        <f>IF(I$9=0,0,I$9/AGR_fec!I$9)</f>
        <v>0.63237876034538221</v>
      </c>
      <c r="J48" s="253">
        <f>IF(J$9=0,0,J$9/AGR_fec!J$9)</f>
        <v>0.62931222693243227</v>
      </c>
      <c r="K48" s="253">
        <f>IF(K$9=0,0,K$9/AGR_fec!K$9)</f>
        <v>0.63428838441033375</v>
      </c>
      <c r="L48" s="253">
        <f>IF(L$9=0,0,L$9/AGR_fec!L$9)</f>
        <v>0.6374323502904754</v>
      </c>
      <c r="M48" s="253">
        <f>IF(M$9=0,0,M$9/AGR_fec!M$9)</f>
        <v>0.64045476638783905</v>
      </c>
      <c r="N48" s="253">
        <f>IF(N$9=0,0,N$9/AGR_fec!N$9)</f>
        <v>0.64774527484347144</v>
      </c>
      <c r="O48" s="253">
        <f>IF(O$9=0,0,O$9/AGR_fec!O$9)</f>
        <v>0.64640728386696167</v>
      </c>
      <c r="P48" s="253">
        <f>IF(P$9=0,0,P$9/AGR_fec!P$9)</f>
        <v>0.64261248929565418</v>
      </c>
      <c r="Q48" s="253">
        <f>IF(Q$9=0,0,Q$9/AGR_fec!Q$9)</f>
        <v>0.64742540133281723</v>
      </c>
      <c r="R48" s="253">
        <f>IF(R$9=0,0,R$9/AGR_fec!R$9)</f>
        <v>0.65250320873388379</v>
      </c>
      <c r="S48" s="253">
        <f>IF(S$9=0,0,S$9/AGR_fec!S$9)</f>
        <v>0.65288013036727555</v>
      </c>
      <c r="T48" s="253">
        <f>IF(T$9=0,0,T$9/AGR_fec!T$9)</f>
        <v>0.64914732630807581</v>
      </c>
      <c r="U48" s="253">
        <f>IF(U$9=0,0,U$9/AGR_fec!U$9)</f>
        <v>0.6494415328139489</v>
      </c>
      <c r="V48" s="253">
        <f>IF(V$9=0,0,V$9/AGR_fec!V$9)</f>
        <v>0.64107907557757382</v>
      </c>
      <c r="W48" s="253">
        <f>IF(W$9=0,0,W$9/AGR_fec!W$9)</f>
        <v>0.63962872692890871</v>
      </c>
      <c r="DA48" s="290"/>
    </row>
    <row r="49" spans="1:105" x14ac:dyDescent="0.25">
      <c r="A49" s="128" t="s">
        <v>175</v>
      </c>
      <c r="B49" s="265">
        <f>IF(B$16=0,0,B$16/AGR_fec!B$16)</f>
        <v>0.33773140519506756</v>
      </c>
      <c r="C49" s="265">
        <f>IF(C$16=0,0,C$16/AGR_fec!C$16)</f>
        <v>0.33773140519506767</v>
      </c>
      <c r="D49" s="265">
        <f>IF(D$16=0,0,D$16/AGR_fec!D$16)</f>
        <v>0.33773140519506767</v>
      </c>
      <c r="E49" s="265">
        <f>IF(E$16=0,0,E$16/AGR_fec!E$16)</f>
        <v>0.33773140519506778</v>
      </c>
      <c r="F49" s="265">
        <f>IF(F$16=0,0,F$16/AGR_fec!F$16)</f>
        <v>0.33773140519506767</v>
      </c>
      <c r="G49" s="265">
        <f>IF(G$16=0,0,G$16/AGR_fec!G$16)</f>
        <v>0.33773140519506767</v>
      </c>
      <c r="H49" s="265">
        <f>IF(H$16=0,0,H$16/AGR_fec!H$16)</f>
        <v>0.33773140519506772</v>
      </c>
      <c r="I49" s="265">
        <f>IF(I$16=0,0,I$16/AGR_fec!I$16)</f>
        <v>0.33773140519506778</v>
      </c>
      <c r="J49" s="265">
        <f>IF(J$16=0,0,J$16/AGR_fec!J$16)</f>
        <v>0.33773140519506772</v>
      </c>
      <c r="K49" s="265">
        <f>IF(K$16=0,0,K$16/AGR_fec!K$16)</f>
        <v>0.33773140519506756</v>
      </c>
      <c r="L49" s="265">
        <f>IF(L$16=0,0,L$16/AGR_fec!L$16)</f>
        <v>0.33773140519506778</v>
      </c>
      <c r="M49" s="265">
        <f>IF(M$16=0,0,M$16/AGR_fec!M$16)</f>
        <v>0.33773140519506772</v>
      </c>
      <c r="N49" s="265">
        <f>IF(N$16=0,0,N$16/AGR_fec!N$16)</f>
        <v>0.3377314051950675</v>
      </c>
      <c r="O49" s="265">
        <f>IF(O$16=0,0,O$16/AGR_fec!O$16)</f>
        <v>0.33773140519506761</v>
      </c>
      <c r="P49" s="265">
        <f>IF(P$16=0,0,P$16/AGR_fec!P$16)</f>
        <v>0.33773140519506761</v>
      </c>
      <c r="Q49" s="265">
        <f>IF(Q$16=0,0,Q$16/AGR_fec!Q$16)</f>
        <v>0.33773140519506772</v>
      </c>
      <c r="R49" s="265">
        <f>IF(R$16=0,0,R$16/AGR_fec!R$16)</f>
        <v>0.33773140519506772</v>
      </c>
      <c r="S49" s="265">
        <f>IF(S$16=0,0,S$16/AGR_fec!S$16)</f>
        <v>0.33773140519506784</v>
      </c>
      <c r="T49" s="265">
        <f>IF(T$16=0,0,T$16/AGR_fec!T$16)</f>
        <v>0.33773140519506767</v>
      </c>
      <c r="U49" s="265">
        <f>IF(U$16=0,0,U$16/AGR_fec!U$16)</f>
        <v>0.33773140519506756</v>
      </c>
      <c r="V49" s="265">
        <f>IF(V$16=0,0,V$16/AGR_fec!V$16)</f>
        <v>0.33773140519506756</v>
      </c>
      <c r="W49" s="265">
        <f>IF(W$16=0,0,W$16/AGR_fec!W$16)</f>
        <v>0.33773140519506778</v>
      </c>
      <c r="DA49" s="291"/>
    </row>
    <row r="50" spans="1:105" x14ac:dyDescent="0.25">
      <c r="A50" s="128" t="s">
        <v>121</v>
      </c>
      <c r="B50" s="265">
        <f>IF(B$17=0,0,B$17/AGR_fec!B$17)</f>
        <v>0.27699421111258143</v>
      </c>
      <c r="C50" s="265">
        <f>IF(C$17=0,0,C$17/AGR_fec!C$17)</f>
        <v>0.2771761247881917</v>
      </c>
      <c r="D50" s="265">
        <f>IF(D$17=0,0,D$17/AGR_fec!D$17)</f>
        <v>0.27631973877433336</v>
      </c>
      <c r="E50" s="265">
        <f>IF(E$17=0,0,E$17/AGR_fec!E$17)</f>
        <v>0.27612399125867998</v>
      </c>
      <c r="F50" s="265">
        <f>IF(F$17=0,0,F$17/AGR_fec!F$17)</f>
        <v>0.27651081125004151</v>
      </c>
      <c r="G50" s="265">
        <f>IF(G$17=0,0,G$17/AGR_fec!G$17)</f>
        <v>0.27573894978236801</v>
      </c>
      <c r="H50" s="265">
        <f>IF(H$17=0,0,H$17/AGR_fec!H$17)</f>
        <v>0.27532628070440951</v>
      </c>
      <c r="I50" s="265">
        <f>IF(I$17=0,0,I$17/AGR_fec!I$17)</f>
        <v>0.27508866417015293</v>
      </c>
      <c r="J50" s="265">
        <f>IF(J$17=0,0,J$17/AGR_fec!J$17)</f>
        <v>0.27482603939928402</v>
      </c>
      <c r="K50" s="265">
        <f>IF(K$17=0,0,K$17/AGR_fec!K$17)</f>
        <v>0.27447426883668241</v>
      </c>
      <c r="L50" s="265">
        <f>IF(L$17=0,0,L$17/AGR_fec!L$17)</f>
        <v>0.27454180984760868</v>
      </c>
      <c r="M50" s="265">
        <f>IF(M$17=0,0,M$17/AGR_fec!M$17)</f>
        <v>0.27364276951468247</v>
      </c>
      <c r="N50" s="265">
        <f>IF(N$17=0,0,N$17/AGR_fec!N$17)</f>
        <v>0.27378434044125055</v>
      </c>
      <c r="O50" s="265">
        <f>IF(O$17=0,0,O$17/AGR_fec!O$17)</f>
        <v>0.27377062037357658</v>
      </c>
      <c r="P50" s="265">
        <f>IF(P$17=0,0,P$17/AGR_fec!P$17)</f>
        <v>0.27338831475502456</v>
      </c>
      <c r="Q50" s="265">
        <f>IF(Q$17=0,0,Q$17/AGR_fec!Q$17)</f>
        <v>0.27350239727706938</v>
      </c>
      <c r="R50" s="265">
        <f>IF(R$17=0,0,R$17/AGR_fec!R$17)</f>
        <v>0.27337627505032264</v>
      </c>
      <c r="S50" s="265">
        <f>IF(S$17=0,0,S$17/AGR_fec!S$17)</f>
        <v>0.2730585074761599</v>
      </c>
      <c r="T50" s="265">
        <f>IF(T$17=0,0,T$17/AGR_fec!T$17)</f>
        <v>0.27346257098832849</v>
      </c>
      <c r="U50" s="265">
        <f>IF(U$17=0,0,U$17/AGR_fec!U$17)</f>
        <v>0.27372363988340243</v>
      </c>
      <c r="V50" s="265">
        <f>IF(V$17=0,0,V$17/AGR_fec!V$17)</f>
        <v>0.27374872540996353</v>
      </c>
      <c r="W50" s="265">
        <f>IF(W$17=0,0,W$17/AGR_fec!W$17)</f>
        <v>0.27369136729271848</v>
      </c>
      <c r="DA50" s="291"/>
    </row>
    <row r="51" spans="1:105" x14ac:dyDescent="0.25">
      <c r="A51" s="128" t="s">
        <v>174</v>
      </c>
      <c r="B51" s="265">
        <f>IF(B$25=0,0,B$25/AGR_fec!B$25)</f>
        <v>0.23641198363654736</v>
      </c>
      <c r="C51" s="265">
        <f>IF(C$25=0,0,C$25/AGR_fec!C$25)</f>
        <v>0.23641198363654731</v>
      </c>
      <c r="D51" s="265">
        <f>IF(D$25=0,0,D$25/AGR_fec!D$25)</f>
        <v>0.23641198363654733</v>
      </c>
      <c r="E51" s="265">
        <f>IF(E$25=0,0,E$25/AGR_fec!E$25)</f>
        <v>0.23641198363654731</v>
      </c>
      <c r="F51" s="265">
        <f>IF(F$25=0,0,F$25/AGR_fec!F$25)</f>
        <v>0.23641198363654733</v>
      </c>
      <c r="G51" s="265">
        <f>IF(G$25=0,0,G$25/AGR_fec!G$25)</f>
        <v>0.23641198363654739</v>
      </c>
      <c r="H51" s="265">
        <f>IF(H$25=0,0,H$25/AGR_fec!H$25)</f>
        <v>0.23641198363654736</v>
      </c>
      <c r="I51" s="265">
        <f>IF(I$25=0,0,I$25/AGR_fec!I$25)</f>
        <v>0.23641198363654731</v>
      </c>
      <c r="J51" s="265">
        <f>IF(J$25=0,0,J$25/AGR_fec!J$25)</f>
        <v>0.23641198363654742</v>
      </c>
      <c r="K51" s="265">
        <f>IF(K$25=0,0,K$25/AGR_fec!K$25)</f>
        <v>0.23641198363654736</v>
      </c>
      <c r="L51" s="265">
        <f>IF(L$25=0,0,L$25/AGR_fec!L$25)</f>
        <v>0.23641198363654731</v>
      </c>
      <c r="M51" s="265">
        <f>IF(M$25=0,0,M$25/AGR_fec!M$25)</f>
        <v>0.23641198363654733</v>
      </c>
      <c r="N51" s="265">
        <f>IF(N$25=0,0,N$25/AGR_fec!N$25)</f>
        <v>0.23641198363654731</v>
      </c>
      <c r="O51" s="265">
        <f>IF(O$25=0,0,O$25/AGR_fec!O$25)</f>
        <v>0.23641198363654728</v>
      </c>
      <c r="P51" s="265">
        <f>IF(P$25=0,0,P$25/AGR_fec!P$25)</f>
        <v>0.23641198363654733</v>
      </c>
      <c r="Q51" s="265">
        <f>IF(Q$25=0,0,Q$25/AGR_fec!Q$25)</f>
        <v>0.23641198363654733</v>
      </c>
      <c r="R51" s="265">
        <f>IF(R$25=0,0,R$25/AGR_fec!R$25)</f>
        <v>0.23641198363654733</v>
      </c>
      <c r="S51" s="265">
        <f>IF(S$25=0,0,S$25/AGR_fec!S$25)</f>
        <v>0.23641198363654733</v>
      </c>
      <c r="T51" s="265">
        <f>IF(T$25=0,0,T$25/AGR_fec!T$25)</f>
        <v>0.23641198363654733</v>
      </c>
      <c r="U51" s="265">
        <f>IF(U$25=0,0,U$25/AGR_fec!U$25)</f>
        <v>0.23641198363654725</v>
      </c>
      <c r="V51" s="265">
        <f>IF(V$25=0,0,V$25/AGR_fec!V$25)</f>
        <v>0.23641198363654733</v>
      </c>
      <c r="W51" s="265">
        <f>IF(W$25=0,0,W$25/AGR_fec!W$25)</f>
        <v>0.23641198363654742</v>
      </c>
      <c r="DA51" s="291"/>
    </row>
    <row r="52" spans="1:105" x14ac:dyDescent="0.25">
      <c r="A52" s="128" t="s">
        <v>177</v>
      </c>
      <c r="B52" s="265">
        <f>IF(B$26=0,0,B$26/AGR_fec!B$26)</f>
        <v>0.46801758630033385</v>
      </c>
      <c r="C52" s="265">
        <f>IF(C$26=0,0,C$26/AGR_fec!C$26)</f>
        <v>0.46801758630033391</v>
      </c>
      <c r="D52" s="265">
        <f>IF(D$26=0,0,D$26/AGR_fec!D$26)</f>
        <v>0.46801758630033369</v>
      </c>
      <c r="E52" s="265">
        <f>IF(E$26=0,0,E$26/AGR_fec!E$26)</f>
        <v>0.46801758630033391</v>
      </c>
      <c r="F52" s="265">
        <f>IF(F$26=0,0,F$26/AGR_fec!F$26)</f>
        <v>0.46801758630033369</v>
      </c>
      <c r="G52" s="265">
        <f>IF(G$26=0,0,G$26/AGR_fec!G$26)</f>
        <v>0.4680175863003338</v>
      </c>
      <c r="H52" s="265">
        <f>IF(H$26=0,0,H$26/AGR_fec!H$26)</f>
        <v>0.46801758630033385</v>
      </c>
      <c r="I52" s="265">
        <f>IF(I$26=0,0,I$26/AGR_fec!I$26)</f>
        <v>0.46801758630033391</v>
      </c>
      <c r="J52" s="265">
        <f>IF(J$26=0,0,J$26/AGR_fec!J$26)</f>
        <v>0.46801758630033402</v>
      </c>
      <c r="K52" s="265">
        <f>IF(K$26=0,0,K$26/AGR_fec!K$26)</f>
        <v>0.46801758630033385</v>
      </c>
      <c r="L52" s="265">
        <f>IF(L$26=0,0,L$26/AGR_fec!L$26)</f>
        <v>0.4680175863003338</v>
      </c>
      <c r="M52" s="265">
        <f>IF(M$26=0,0,M$26/AGR_fec!M$26)</f>
        <v>0.4680175863003338</v>
      </c>
      <c r="N52" s="265">
        <f>IF(N$26=0,0,N$26/AGR_fec!N$26)</f>
        <v>0.4680175863003338</v>
      </c>
      <c r="O52" s="265">
        <f>IF(O$26=0,0,O$26/AGR_fec!O$26)</f>
        <v>0.46801758630033352</v>
      </c>
      <c r="P52" s="265">
        <f>IF(P$26=0,0,P$26/AGR_fec!P$26)</f>
        <v>0.46801758630033408</v>
      </c>
      <c r="Q52" s="265">
        <f>IF(Q$26=0,0,Q$26/AGR_fec!Q$26)</f>
        <v>0.46801758630033402</v>
      </c>
      <c r="R52" s="265">
        <f>IF(R$26=0,0,R$26/AGR_fec!R$26)</f>
        <v>0.46801758630033358</v>
      </c>
      <c r="S52" s="265">
        <f>IF(S$26=0,0,S$26/AGR_fec!S$26)</f>
        <v>0.46801758630033402</v>
      </c>
      <c r="T52" s="265">
        <f>IF(T$26=0,0,T$26/AGR_fec!T$26)</f>
        <v>0.46801758630033369</v>
      </c>
      <c r="U52" s="265">
        <f>IF(U$26=0,0,U$26/AGR_fec!U$26)</f>
        <v>0.4680175863003338</v>
      </c>
      <c r="V52" s="265">
        <f>IF(V$26=0,0,V$26/AGR_fec!V$26)</f>
        <v>0.46801758630033391</v>
      </c>
      <c r="W52" s="265">
        <f>IF(W$26=0,0,W$26/AGR_fec!W$26)</f>
        <v>0.4680175863003338</v>
      </c>
      <c r="DA52" s="291"/>
    </row>
    <row r="53" spans="1:105" x14ac:dyDescent="0.25">
      <c r="A53" s="261" t="s">
        <v>33</v>
      </c>
      <c r="B53" s="266">
        <f>IF(B$27=0,0,B$27/AGR_fec!B$27)</f>
        <v>0.49192352067932349</v>
      </c>
      <c r="C53" s="266">
        <f>IF(C$27=0,0,C$27/AGR_fec!C$27)</f>
        <v>0.4919235206793236</v>
      </c>
      <c r="D53" s="266">
        <f>IF(D$27=0,0,D$27/AGR_fec!D$27)</f>
        <v>0.49192352067932382</v>
      </c>
      <c r="E53" s="266">
        <f>IF(E$27=0,0,E$27/AGR_fec!E$27)</f>
        <v>0.49192352067932377</v>
      </c>
      <c r="F53" s="266">
        <f>IF(F$27=0,0,F$27/AGR_fec!F$27)</f>
        <v>0.49192352067932349</v>
      </c>
      <c r="G53" s="266">
        <f>IF(G$27=0,0,G$27/AGR_fec!G$27)</f>
        <v>0.49192352067932377</v>
      </c>
      <c r="H53" s="266">
        <f>IF(H$27=0,0,H$27/AGR_fec!H$27)</f>
        <v>0.4919235206793236</v>
      </c>
      <c r="I53" s="266">
        <f>IF(I$27=0,0,I$27/AGR_fec!I$27)</f>
        <v>0.4919235206793236</v>
      </c>
      <c r="J53" s="266">
        <f>IF(J$27=0,0,J$27/AGR_fec!J$27)</f>
        <v>0.49192352067932349</v>
      </c>
      <c r="K53" s="266">
        <f>IF(K$27=0,0,K$27/AGR_fec!K$27)</f>
        <v>0.49192352067932382</v>
      </c>
      <c r="L53" s="266">
        <f>IF(L$27=0,0,L$27/AGR_fec!L$27)</f>
        <v>0.49192352067932371</v>
      </c>
      <c r="M53" s="266">
        <f>IF(M$27=0,0,M$27/AGR_fec!M$27)</f>
        <v>0.4919235206793236</v>
      </c>
      <c r="N53" s="266">
        <f>IF(N$27=0,0,N$27/AGR_fec!N$27)</f>
        <v>0.4919235206793236</v>
      </c>
      <c r="O53" s="266">
        <f>IF(O$27=0,0,O$27/AGR_fec!O$27)</f>
        <v>0.49192352067932382</v>
      </c>
      <c r="P53" s="266">
        <f>IF(P$27=0,0,P$27/AGR_fec!P$27)</f>
        <v>0.49192352067932377</v>
      </c>
      <c r="Q53" s="266">
        <f>IF(Q$27=0,0,Q$27/AGR_fec!Q$27)</f>
        <v>0.49192352067932371</v>
      </c>
      <c r="R53" s="266">
        <f>IF(R$27=0,0,R$27/AGR_fec!R$27)</f>
        <v>0.49192352067932366</v>
      </c>
      <c r="S53" s="266">
        <f>IF(S$27=0,0,S$27/AGR_fec!S$27)</f>
        <v>0.49192352067932377</v>
      </c>
      <c r="T53" s="266">
        <f>IF(T$27=0,0,T$27/AGR_fec!T$27)</f>
        <v>0.49192352067932366</v>
      </c>
      <c r="U53" s="266">
        <f>IF(U$27=0,0,U$27/AGR_fec!U$27)</f>
        <v>0.49192352067932377</v>
      </c>
      <c r="V53" s="266">
        <f>IF(V$27=0,0,V$27/AGR_fec!V$27)</f>
        <v>0.49192352067932377</v>
      </c>
      <c r="W53" s="266">
        <f>IF(W$27=0,0,W$27/AGR_fec!W$27)</f>
        <v>0.49192352067932343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12151.814188678529</v>
      </c>
      <c r="C5" s="80">
        <f t="shared" ref="C5:W5" si="0">SUM(C6:C9,C16:C17,C25:C27)</f>
        <v>12558.834750958513</v>
      </c>
      <c r="D5" s="80">
        <f t="shared" si="0"/>
        <v>12901.153202998456</v>
      </c>
      <c r="E5" s="80">
        <f t="shared" si="0"/>
        <v>12657.702153237718</v>
      </c>
      <c r="F5" s="80">
        <f t="shared" si="0"/>
        <v>13155.763103278077</v>
      </c>
      <c r="G5" s="80">
        <f t="shared" si="0"/>
        <v>12732.966230037771</v>
      </c>
      <c r="H5" s="80">
        <f t="shared" si="0"/>
        <v>12338.54858087858</v>
      </c>
      <c r="I5" s="80">
        <f t="shared" si="0"/>
        <v>12016.716010197892</v>
      </c>
      <c r="J5" s="80">
        <f t="shared" si="0"/>
        <v>12252.917450878522</v>
      </c>
      <c r="K5" s="80">
        <f t="shared" si="0"/>
        <v>12164.383152718714</v>
      </c>
      <c r="L5" s="80">
        <f t="shared" si="0"/>
        <v>11797.755630478046</v>
      </c>
      <c r="M5" s="80">
        <f t="shared" si="0"/>
        <v>11840.525159757339</v>
      </c>
      <c r="N5" s="80">
        <f t="shared" si="0"/>
        <v>11270.910945958787</v>
      </c>
      <c r="O5" s="80">
        <f t="shared" si="0"/>
        <v>11782.947565078617</v>
      </c>
      <c r="P5" s="80">
        <f t="shared" si="0"/>
        <v>11630.311402677398</v>
      </c>
      <c r="Q5" s="80">
        <f t="shared" si="0"/>
        <v>11538.87710975884</v>
      </c>
      <c r="R5" s="80">
        <f t="shared" si="0"/>
        <v>10582.024962958607</v>
      </c>
      <c r="S5" s="80">
        <f t="shared" si="0"/>
        <v>10390.689192874377</v>
      </c>
      <c r="T5" s="80">
        <f t="shared" si="0"/>
        <v>10618.573458515457</v>
      </c>
      <c r="U5" s="80">
        <f t="shared" si="0"/>
        <v>10431.146970557867</v>
      </c>
      <c r="V5" s="80">
        <f t="shared" si="0"/>
        <v>11206.840439713656</v>
      </c>
      <c r="W5" s="80">
        <f t="shared" si="0"/>
        <v>11111.623292105012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2616.1102576012659</v>
      </c>
      <c r="C9" s="244">
        <f t="shared" ref="C9:W9" si="1">SUM(C10:C15)</f>
        <v>2707.7424182313762</v>
      </c>
      <c r="D9" s="244">
        <f t="shared" si="1"/>
        <v>2814.2377510830324</v>
      </c>
      <c r="E9" s="244">
        <f t="shared" si="1"/>
        <v>2763.6848604319039</v>
      </c>
      <c r="F9" s="244">
        <f t="shared" si="1"/>
        <v>2722.7186939451854</v>
      </c>
      <c r="G9" s="244">
        <f t="shared" si="1"/>
        <v>2621.6779310791571</v>
      </c>
      <c r="H9" s="244">
        <f t="shared" si="1"/>
        <v>2520.9841187454449</v>
      </c>
      <c r="I9" s="244">
        <f t="shared" si="1"/>
        <v>2483.7066710011741</v>
      </c>
      <c r="J9" s="244">
        <f t="shared" si="1"/>
        <v>2555.6431088925651</v>
      </c>
      <c r="K9" s="244">
        <f t="shared" si="1"/>
        <v>2497.9282994723844</v>
      </c>
      <c r="L9" s="244">
        <f t="shared" si="1"/>
        <v>2400.0234790057257</v>
      </c>
      <c r="M9" s="244">
        <f t="shared" si="1"/>
        <v>2382.1456056212423</v>
      </c>
      <c r="N9" s="244">
        <f t="shared" si="1"/>
        <v>2219.6148328475847</v>
      </c>
      <c r="O9" s="244">
        <f t="shared" si="1"/>
        <v>2318.0348313978538</v>
      </c>
      <c r="P9" s="244">
        <f t="shared" si="1"/>
        <v>2320.6766883946962</v>
      </c>
      <c r="Q9" s="244">
        <f t="shared" si="1"/>
        <v>2271.7927071882023</v>
      </c>
      <c r="R9" s="244">
        <f t="shared" si="1"/>
        <v>2049.449096051826</v>
      </c>
      <c r="S9" s="244">
        <f t="shared" si="1"/>
        <v>2010.5142986566002</v>
      </c>
      <c r="T9" s="244">
        <f t="shared" si="1"/>
        <v>2074.3541958570327</v>
      </c>
      <c r="U9" s="244">
        <f t="shared" si="1"/>
        <v>2026.309973889244</v>
      </c>
      <c r="V9" s="244">
        <f t="shared" si="1"/>
        <v>2239.7444063446069</v>
      </c>
      <c r="W9" s="244">
        <f t="shared" si="1"/>
        <v>2222.97400050346</v>
      </c>
      <c r="DA9" s="270"/>
    </row>
    <row r="10" spans="1:105" x14ac:dyDescent="0.25">
      <c r="A10" s="254" t="s">
        <v>173</v>
      </c>
      <c r="B10" s="255">
        <v>2321.9307938289398</v>
      </c>
      <c r="C10" s="255">
        <v>2372.6730994855479</v>
      </c>
      <c r="D10" s="255">
        <v>2513.056210189623</v>
      </c>
      <c r="E10" s="255">
        <v>2488.4931414255261</v>
      </c>
      <c r="F10" s="255">
        <v>2431.28461550057</v>
      </c>
      <c r="G10" s="255">
        <v>2357.353226757722</v>
      </c>
      <c r="H10" s="255">
        <v>2282.0934269689519</v>
      </c>
      <c r="I10" s="255">
        <v>2264.5091397674641</v>
      </c>
      <c r="J10" s="255">
        <v>2346.113084224959</v>
      </c>
      <c r="K10" s="255">
        <v>2316.963023396549</v>
      </c>
      <c r="L10" s="255">
        <v>2215.0916771646362</v>
      </c>
      <c r="M10" s="255">
        <v>2243.056276938948</v>
      </c>
      <c r="N10" s="255">
        <v>2049.0532798377471</v>
      </c>
      <c r="O10" s="255">
        <v>2173.82182293505</v>
      </c>
      <c r="P10" s="255">
        <v>2164.9288518565058</v>
      </c>
      <c r="Q10" s="255">
        <v>2134.6944819015011</v>
      </c>
      <c r="R10" s="255">
        <v>1907.2484286196629</v>
      </c>
      <c r="S10" s="255">
        <v>1868.5430264367169</v>
      </c>
      <c r="T10" s="255">
        <v>1901.38148950393</v>
      </c>
      <c r="U10" s="255">
        <v>1848.510189763625</v>
      </c>
      <c r="V10" s="255">
        <v>2068.1564279045351</v>
      </c>
      <c r="W10" s="255">
        <v>2042.2101342101851</v>
      </c>
      <c r="DA10" s="271" t="s">
        <v>1038</v>
      </c>
    </row>
    <row r="11" spans="1:105" x14ac:dyDescent="0.25">
      <c r="A11" s="254" t="s">
        <v>176</v>
      </c>
      <c r="B11" s="256">
        <v>294.17946377232602</v>
      </c>
      <c r="C11" s="256">
        <v>335.06931874582801</v>
      </c>
      <c r="D11" s="256">
        <v>301.18154089340959</v>
      </c>
      <c r="E11" s="256">
        <v>275.19171900637758</v>
      </c>
      <c r="F11" s="256">
        <v>291.43407844461518</v>
      </c>
      <c r="G11" s="256">
        <v>264.32470432143498</v>
      </c>
      <c r="H11" s="256">
        <v>238.8906917764929</v>
      </c>
      <c r="I11" s="256">
        <v>219.1975312337097</v>
      </c>
      <c r="J11" s="256">
        <v>209.5300246676062</v>
      </c>
      <c r="K11" s="256">
        <v>180.96527607583531</v>
      </c>
      <c r="L11" s="256">
        <v>184.93180184108959</v>
      </c>
      <c r="M11" s="256">
        <v>139.08932868229451</v>
      </c>
      <c r="N11" s="256">
        <v>170.56155300983761</v>
      </c>
      <c r="O11" s="256">
        <v>144.21300846280371</v>
      </c>
      <c r="P11" s="256">
        <v>155.74783653819031</v>
      </c>
      <c r="Q11" s="256">
        <v>137.09822528670131</v>
      </c>
      <c r="R11" s="256">
        <v>142.2006674321629</v>
      </c>
      <c r="S11" s="256">
        <v>141.97127221988319</v>
      </c>
      <c r="T11" s="256">
        <v>172.97270635310289</v>
      </c>
      <c r="U11" s="256">
        <v>177.79978412561891</v>
      </c>
      <c r="V11" s="256">
        <v>171.58797844007191</v>
      </c>
      <c r="W11" s="256">
        <v>180.76386629327521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3620.3138989275881</v>
      </c>
      <c r="C16" s="258">
        <v>3754.444698508235</v>
      </c>
      <c r="D16" s="258">
        <v>3901.8268839301209</v>
      </c>
      <c r="E16" s="258">
        <v>3855.3090922143492</v>
      </c>
      <c r="F16" s="258">
        <v>4050.8095398081209</v>
      </c>
      <c r="G16" s="258">
        <v>3959.676819152729</v>
      </c>
      <c r="H16" s="258">
        <v>3847.522104856514</v>
      </c>
      <c r="I16" s="258">
        <v>3751.5480556729831</v>
      </c>
      <c r="J16" s="258">
        <v>3819.316578343924</v>
      </c>
      <c r="K16" s="258">
        <v>3819.2063500907088</v>
      </c>
      <c r="L16" s="258">
        <v>3713.30818758035</v>
      </c>
      <c r="M16" s="258">
        <v>3751.9946431499229</v>
      </c>
      <c r="N16" s="258">
        <v>3588.3785410728519</v>
      </c>
      <c r="O16" s="258">
        <v>3745.5523931285602</v>
      </c>
      <c r="P16" s="258">
        <v>3708.95199514469</v>
      </c>
      <c r="Q16" s="258">
        <v>3707.7715824206439</v>
      </c>
      <c r="R16" s="258">
        <v>3410.3339582570538</v>
      </c>
      <c r="S16" s="258">
        <v>3350.3433684426782</v>
      </c>
      <c r="T16" s="258">
        <v>3406.1124831217112</v>
      </c>
      <c r="U16" s="258">
        <v>3345.320153329671</v>
      </c>
      <c r="V16" s="258">
        <v>3576.776948478735</v>
      </c>
      <c r="W16" s="258">
        <v>3549.5088150475808</v>
      </c>
      <c r="DA16" s="273" t="s">
        <v>1044</v>
      </c>
    </row>
    <row r="17" spans="1:105" x14ac:dyDescent="0.25">
      <c r="A17" s="257" t="s">
        <v>121</v>
      </c>
      <c r="B17" s="258">
        <f>SUM(B18:B24)</f>
        <v>5219.7165457695373</v>
      </c>
      <c r="C17" s="258">
        <f t="shared" ref="C17:W17" si="2">SUM(C18:C24)</f>
        <v>5375.1997968901178</v>
      </c>
      <c r="D17" s="258">
        <f t="shared" si="2"/>
        <v>5435.3200154850692</v>
      </c>
      <c r="E17" s="258">
        <f t="shared" si="2"/>
        <v>5297.8784294359111</v>
      </c>
      <c r="F17" s="258">
        <f t="shared" si="2"/>
        <v>5603.8380581170659</v>
      </c>
      <c r="G17" s="258">
        <f t="shared" si="2"/>
        <v>5390.7265801471649</v>
      </c>
      <c r="H17" s="258">
        <f t="shared" si="2"/>
        <v>5230.7089206364881</v>
      </c>
      <c r="I17" s="258">
        <f t="shared" si="2"/>
        <v>5060.5700602555689</v>
      </c>
      <c r="J17" s="258">
        <f t="shared" si="2"/>
        <v>5144.0442539783999</v>
      </c>
      <c r="K17" s="258">
        <f t="shared" si="2"/>
        <v>5113.3561747694566</v>
      </c>
      <c r="L17" s="258">
        <f t="shared" si="2"/>
        <v>4970.8808499583592</v>
      </c>
      <c r="M17" s="258">
        <f t="shared" si="2"/>
        <v>4985.4078722125769</v>
      </c>
      <c r="N17" s="258">
        <f t="shared" si="2"/>
        <v>4773.3807308104961</v>
      </c>
      <c r="O17" s="258">
        <f t="shared" si="2"/>
        <v>4999.6212338081541</v>
      </c>
      <c r="P17" s="258">
        <f t="shared" si="2"/>
        <v>4887.9766838842224</v>
      </c>
      <c r="Q17" s="258">
        <f t="shared" si="2"/>
        <v>4846.8336110383634</v>
      </c>
      <c r="R17" s="258">
        <f t="shared" si="2"/>
        <v>4466.917817784557</v>
      </c>
      <c r="S17" s="258">
        <f t="shared" si="2"/>
        <v>4386.0351266878515</v>
      </c>
      <c r="T17" s="258">
        <f t="shared" si="2"/>
        <v>4483.5938802994124</v>
      </c>
      <c r="U17" s="258">
        <f t="shared" si="2"/>
        <v>4416.6856968977654</v>
      </c>
      <c r="V17" s="258">
        <f t="shared" si="2"/>
        <v>4703.0115863639057</v>
      </c>
      <c r="W17" s="258">
        <f t="shared" si="2"/>
        <v>4657.0727771114898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8.9411148000187683</v>
      </c>
      <c r="N18" s="55">
        <v>8.9411148000200633</v>
      </c>
      <c r="O18" s="55">
        <v>8.9411148000199514</v>
      </c>
      <c r="P18" s="55">
        <v>8.9411148000187914</v>
      </c>
      <c r="Q18" s="55">
        <v>8.9411148000201504</v>
      </c>
      <c r="R18" s="55">
        <v>8.3430914400198759</v>
      </c>
      <c r="S18" s="55">
        <v>8.6144774400228901</v>
      </c>
      <c r="T18" s="55">
        <v>6.4140897600099436</v>
      </c>
      <c r="U18" s="55">
        <v>5.8695818400073474</v>
      </c>
      <c r="V18" s="55">
        <v>5.3636090400051444</v>
      </c>
      <c r="W18" s="55">
        <v>5.7952504800078319</v>
      </c>
      <c r="DA18" s="101" t="s">
        <v>1045</v>
      </c>
    </row>
    <row r="19" spans="1:105" x14ac:dyDescent="0.25">
      <c r="A19" s="61" t="s">
        <v>27</v>
      </c>
      <c r="B19" s="55">
        <v>1235.636819999844</v>
      </c>
      <c r="C19" s="55">
        <v>1220.7137709598501</v>
      </c>
      <c r="D19" s="55">
        <v>868.5274057198925</v>
      </c>
      <c r="E19" s="55">
        <v>719.84482523986446</v>
      </c>
      <c r="F19" s="55">
        <v>859.68338543985465</v>
      </c>
      <c r="G19" s="55">
        <v>930.55912271980583</v>
      </c>
      <c r="H19" s="55">
        <v>896.76998135987515</v>
      </c>
      <c r="I19" s="55">
        <v>852.11055251982089</v>
      </c>
      <c r="J19" s="55">
        <v>861.91545959987729</v>
      </c>
      <c r="K19" s="55">
        <v>832.97368547989265</v>
      </c>
      <c r="L19" s="55">
        <v>885.4585491598184</v>
      </c>
      <c r="M19" s="55">
        <v>852.91447175975532</v>
      </c>
      <c r="N19" s="55">
        <v>897.40262195987214</v>
      </c>
      <c r="O19" s="55">
        <v>993.99536999984605</v>
      </c>
      <c r="P19" s="55">
        <v>809.38993427976993</v>
      </c>
      <c r="Q19" s="55">
        <v>823.52564675989117</v>
      </c>
      <c r="R19" s="55">
        <v>763.38390095986642</v>
      </c>
      <c r="S19" s="55">
        <v>714.03952427988349</v>
      </c>
      <c r="T19" s="55">
        <v>750.89964167989547</v>
      </c>
      <c r="U19" s="55">
        <v>822.73331267986953</v>
      </c>
      <c r="V19" s="55">
        <v>839.62356731984721</v>
      </c>
      <c r="W19" s="55">
        <v>839.96021843977201</v>
      </c>
      <c r="DA19" s="101" t="s">
        <v>1046</v>
      </c>
    </row>
    <row r="20" spans="1:105" x14ac:dyDescent="0.25">
      <c r="A20" s="61" t="s">
        <v>173</v>
      </c>
      <c r="B20" s="55">
        <v>3163.1405912221539</v>
      </c>
      <c r="C20" s="55">
        <v>3296.6138017962371</v>
      </c>
      <c r="D20" s="55">
        <v>3761.1710533787182</v>
      </c>
      <c r="E20" s="55">
        <v>3872.392011842599</v>
      </c>
      <c r="F20" s="55">
        <v>3969.085476561977</v>
      </c>
      <c r="G20" s="55">
        <v>3785.8844538689509</v>
      </c>
      <c r="H20" s="55">
        <v>3677.4785896932049</v>
      </c>
      <c r="I20" s="55">
        <v>3629.068817929593</v>
      </c>
      <c r="J20" s="55">
        <v>3710.3171763262199</v>
      </c>
      <c r="K20" s="55">
        <v>3761.4590951654709</v>
      </c>
      <c r="L20" s="55">
        <v>3571.3640280797422</v>
      </c>
      <c r="M20" s="55">
        <v>3679.5172089352282</v>
      </c>
      <c r="N20" s="55">
        <v>3367.7849144205129</v>
      </c>
      <c r="O20" s="55">
        <v>3536.9283789911619</v>
      </c>
      <c r="P20" s="55">
        <v>3589.4865639827649</v>
      </c>
      <c r="Q20" s="55">
        <v>3624.5656421652052</v>
      </c>
      <c r="R20" s="55">
        <v>3295.602498736901</v>
      </c>
      <c r="S20" s="55">
        <v>3237.4366001122448</v>
      </c>
      <c r="T20" s="55">
        <v>3237.4360732960772</v>
      </c>
      <c r="U20" s="55">
        <v>3111.4265788644288</v>
      </c>
      <c r="V20" s="55">
        <v>3412.7204015289099</v>
      </c>
      <c r="W20" s="55">
        <v>3323.518432817652</v>
      </c>
      <c r="DA20" s="101" t="s">
        <v>1047</v>
      </c>
    </row>
    <row r="21" spans="1:105" x14ac:dyDescent="0.25">
      <c r="A21" s="61" t="s">
        <v>129</v>
      </c>
      <c r="B21" s="55">
        <v>420.18171083994719</v>
      </c>
      <c r="C21" s="55">
        <v>392.32383443995178</v>
      </c>
      <c r="D21" s="55">
        <v>354.85754687995598</v>
      </c>
      <c r="E21" s="55">
        <v>277.41046859994782</v>
      </c>
      <c r="F21" s="55">
        <v>299.30146379994932</v>
      </c>
      <c r="G21" s="55">
        <v>249.78031235994791</v>
      </c>
      <c r="H21" s="55">
        <v>271.5000346799622</v>
      </c>
      <c r="I21" s="55">
        <v>228.10797179995211</v>
      </c>
      <c r="J21" s="55">
        <v>240.4453021199657</v>
      </c>
      <c r="K21" s="55">
        <v>225.13645115997099</v>
      </c>
      <c r="L21" s="55">
        <v>215.89508987995561</v>
      </c>
      <c r="M21" s="55">
        <v>215.8724649599381</v>
      </c>
      <c r="N21" s="55">
        <v>218.92036211996879</v>
      </c>
      <c r="O21" s="55">
        <v>225.11382623996519</v>
      </c>
      <c r="P21" s="55">
        <v>221.9266738799368</v>
      </c>
      <c r="Q21" s="55">
        <v>157.01777099997929</v>
      </c>
      <c r="R21" s="55">
        <v>153.87472799997309</v>
      </c>
      <c r="S21" s="55">
        <v>153.87472799997491</v>
      </c>
      <c r="T21" s="55">
        <v>180.60475103997479</v>
      </c>
      <c r="U21" s="55">
        <v>164.60367587997391</v>
      </c>
      <c r="V21" s="55">
        <v>160.6661330399707</v>
      </c>
      <c r="W21" s="55">
        <v>187.00350731994919</v>
      </c>
      <c r="DA21" s="101" t="s">
        <v>1048</v>
      </c>
    </row>
    <row r="22" spans="1:105" x14ac:dyDescent="0.25">
      <c r="A22" s="61" t="s">
        <v>176</v>
      </c>
      <c r="B22" s="55">
        <v>400.75742370759258</v>
      </c>
      <c r="C22" s="55">
        <v>465.54838969408002</v>
      </c>
      <c r="D22" s="55">
        <v>450.7640095065027</v>
      </c>
      <c r="E22" s="55">
        <v>428.23112375349967</v>
      </c>
      <c r="F22" s="55">
        <v>475.76773231528517</v>
      </c>
      <c r="G22" s="55">
        <v>424.50269119846052</v>
      </c>
      <c r="H22" s="55">
        <v>384.96031490344569</v>
      </c>
      <c r="I22" s="55">
        <v>351.28271800620331</v>
      </c>
      <c r="J22" s="55">
        <v>331.36631593233642</v>
      </c>
      <c r="K22" s="55">
        <v>293.78694296412181</v>
      </c>
      <c r="L22" s="55">
        <v>298.16318283884289</v>
      </c>
      <c r="M22" s="55">
        <v>228.16261175763651</v>
      </c>
      <c r="N22" s="55">
        <v>280.3317175101227</v>
      </c>
      <c r="O22" s="55">
        <v>234.64254377716</v>
      </c>
      <c r="P22" s="55">
        <v>258.23239694173242</v>
      </c>
      <c r="Q22" s="55">
        <v>232.7834363132678</v>
      </c>
      <c r="R22" s="55">
        <v>245.71359864779569</v>
      </c>
      <c r="S22" s="55">
        <v>245.97934666007811</v>
      </c>
      <c r="T22" s="55">
        <v>294.51642520685601</v>
      </c>
      <c r="U22" s="55">
        <v>299.27396511433318</v>
      </c>
      <c r="V22" s="55">
        <v>283.14192619987188</v>
      </c>
      <c r="W22" s="55">
        <v>294.17738730663541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26.090450195647051</v>
      </c>
      <c r="T23" s="55">
        <v>13.72289931659876</v>
      </c>
      <c r="U23" s="55">
        <v>12.778582519153151</v>
      </c>
      <c r="V23" s="55">
        <v>1.495949235300555</v>
      </c>
      <c r="W23" s="55">
        <v>6.6179807474734114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695.67348638013698</v>
      </c>
      <c r="C25" s="258">
        <v>721.44783732878398</v>
      </c>
      <c r="D25" s="258">
        <v>749.76855250023323</v>
      </c>
      <c r="E25" s="258">
        <v>740.82977115555423</v>
      </c>
      <c r="F25" s="258">
        <v>778.39681140770597</v>
      </c>
      <c r="G25" s="258">
        <v>760.88489965872077</v>
      </c>
      <c r="H25" s="258">
        <v>739.33343664013353</v>
      </c>
      <c r="I25" s="258">
        <v>720.89122326816471</v>
      </c>
      <c r="J25" s="258">
        <v>733.91350966363188</v>
      </c>
      <c r="K25" s="258">
        <v>733.89232838616454</v>
      </c>
      <c r="L25" s="258">
        <v>713.5431139336124</v>
      </c>
      <c r="M25" s="258">
        <v>720.97703877359629</v>
      </c>
      <c r="N25" s="258">
        <v>689.53684122785285</v>
      </c>
      <c r="O25" s="258">
        <v>719.73910674404988</v>
      </c>
      <c r="P25" s="258">
        <v>712.70603525378988</v>
      </c>
      <c r="Q25" s="258">
        <v>712.47920911162942</v>
      </c>
      <c r="R25" s="258">
        <v>655.32409086516907</v>
      </c>
      <c r="S25" s="258">
        <v>643.79639908724607</v>
      </c>
      <c r="T25" s="258">
        <v>654.51289923729939</v>
      </c>
      <c r="U25" s="258">
        <v>642.83114644118746</v>
      </c>
      <c r="V25" s="258">
        <v>687.30749852640861</v>
      </c>
      <c r="W25" s="258">
        <v>682.06769944248106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0.99999999999999989</v>
      </c>
      <c r="C31" s="236">
        <f t="shared" si="3"/>
        <v>1</v>
      </c>
      <c r="D31" s="236">
        <f t="shared" si="3"/>
        <v>1</v>
      </c>
      <c r="E31" s="236">
        <f t="shared" si="3"/>
        <v>1</v>
      </c>
      <c r="F31" s="236">
        <f t="shared" si="3"/>
        <v>1</v>
      </c>
      <c r="G31" s="236">
        <f t="shared" si="3"/>
        <v>1</v>
      </c>
      <c r="H31" s="236">
        <f t="shared" si="3"/>
        <v>1</v>
      </c>
      <c r="I31" s="236">
        <f t="shared" si="3"/>
        <v>0.99999999999999989</v>
      </c>
      <c r="J31" s="236">
        <f t="shared" si="3"/>
        <v>0.99999999999999978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0.99999999999999989</v>
      </c>
      <c r="O31" s="236">
        <f t="shared" si="3"/>
        <v>1</v>
      </c>
      <c r="P31" s="236">
        <f t="shared" si="3"/>
        <v>1</v>
      </c>
      <c r="Q31" s="236">
        <f t="shared" si="3"/>
        <v>0.99999999999999978</v>
      </c>
      <c r="R31" s="236">
        <f t="shared" ref="R31:W31" si="4">SUM(R32:R40)</f>
        <v>0.99999999999999989</v>
      </c>
      <c r="S31" s="236">
        <f t="shared" si="4"/>
        <v>0.99999999999999989</v>
      </c>
      <c r="T31" s="236">
        <f t="shared" si="4"/>
        <v>0.99999999999999989</v>
      </c>
      <c r="U31" s="236">
        <f t="shared" si="4"/>
        <v>1.0000000000000002</v>
      </c>
      <c r="V31" s="236">
        <f t="shared" si="4"/>
        <v>1</v>
      </c>
      <c r="W31" s="236">
        <f t="shared" si="4"/>
        <v>0.99999999999999989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0.21528557110744956</v>
      </c>
      <c r="C35" s="247">
        <f t="shared" si="8"/>
        <v>0.21560459006952984</v>
      </c>
      <c r="D35" s="247">
        <f t="shared" si="8"/>
        <v>0.21813846458539488</v>
      </c>
      <c r="E35" s="247">
        <f t="shared" si="8"/>
        <v>0.21834017161835176</v>
      </c>
      <c r="F35" s="247">
        <f t="shared" si="8"/>
        <v>0.20696014914305913</v>
      </c>
      <c r="G35" s="247">
        <f t="shared" si="8"/>
        <v>0.2058968730235437</v>
      </c>
      <c r="H35" s="247">
        <f t="shared" si="8"/>
        <v>0.20431772037209384</v>
      </c>
      <c r="I35" s="247">
        <f t="shared" si="8"/>
        <v>0.20668763985879302</v>
      </c>
      <c r="J35" s="247">
        <f t="shared" si="8"/>
        <v>0.20857425336766044</v>
      </c>
      <c r="K35" s="247">
        <f t="shared" si="8"/>
        <v>0.20534771620656347</v>
      </c>
      <c r="L35" s="247">
        <f t="shared" si="8"/>
        <v>0.20343051290243383</v>
      </c>
      <c r="M35" s="247">
        <f t="shared" si="8"/>
        <v>0.20118580666653998</v>
      </c>
      <c r="N35" s="247">
        <f t="shared" si="8"/>
        <v>0.19693304680429874</v>
      </c>
      <c r="O35" s="247">
        <f t="shared" si="8"/>
        <v>0.19672792555471139</v>
      </c>
      <c r="P35" s="247">
        <f t="shared" si="8"/>
        <v>0.19953693482880058</v>
      </c>
      <c r="Q35" s="247">
        <f t="shared" si="8"/>
        <v>0.19688161036630386</v>
      </c>
      <c r="R35" s="247">
        <f t="shared" si="8"/>
        <v>0.19367267637581009</v>
      </c>
      <c r="S35" s="247">
        <f t="shared" si="8"/>
        <v>0.1934919100491766</v>
      </c>
      <c r="T35" s="247">
        <f t="shared" si="8"/>
        <v>0.19535149462035556</v>
      </c>
      <c r="U35" s="247">
        <f t="shared" si="8"/>
        <v>0.19425572083382073</v>
      </c>
      <c r="V35" s="247">
        <f t="shared" si="8"/>
        <v>0.19985511691659583</v>
      </c>
      <c r="W35" s="247">
        <f t="shared" si="8"/>
        <v>0.2000584380936419</v>
      </c>
      <c r="DA35" s="278"/>
    </row>
    <row r="36" spans="1:105" x14ac:dyDescent="0.25">
      <c r="A36" s="128" t="s">
        <v>175</v>
      </c>
      <c r="B36" s="260">
        <f t="shared" ref="B36:W36" si="9">IF(B$16=0,0,B$16/B$5)</f>
        <v>0.2979237373708794</v>
      </c>
      <c r="C36" s="260">
        <f t="shared" si="9"/>
        <v>0.29894849107889482</v>
      </c>
      <c r="D36" s="260">
        <f t="shared" si="9"/>
        <v>0.30244016349044422</v>
      </c>
      <c r="E36" s="260">
        <f t="shared" si="9"/>
        <v>0.30458206754598016</v>
      </c>
      <c r="F36" s="260">
        <f t="shared" si="9"/>
        <v>0.30791140795160438</v>
      </c>
      <c r="G36" s="260">
        <f t="shared" si="9"/>
        <v>0.31097834924054324</v>
      </c>
      <c r="H36" s="260">
        <f t="shared" si="9"/>
        <v>0.31182939222034062</v>
      </c>
      <c r="I36" s="260">
        <f t="shared" si="9"/>
        <v>0.31219411796777602</v>
      </c>
      <c r="J36" s="260">
        <f t="shared" si="9"/>
        <v>0.31170670933313788</v>
      </c>
      <c r="K36" s="260">
        <f t="shared" si="9"/>
        <v>0.31396629834346546</v>
      </c>
      <c r="L36" s="260">
        <f t="shared" si="9"/>
        <v>0.31474699967402919</v>
      </c>
      <c r="M36" s="260">
        <f t="shared" si="9"/>
        <v>0.31687738445097963</v>
      </c>
      <c r="N36" s="260">
        <f t="shared" si="9"/>
        <v>0.3183752012839276</v>
      </c>
      <c r="O36" s="260">
        <f t="shared" si="9"/>
        <v>0.31787906824174766</v>
      </c>
      <c r="P36" s="260">
        <f t="shared" si="9"/>
        <v>0.318903928427132</v>
      </c>
      <c r="Q36" s="260">
        <f t="shared" si="9"/>
        <v>0.32132863078027318</v>
      </c>
      <c r="R36" s="260">
        <f t="shared" si="9"/>
        <v>0.32227612108217568</v>
      </c>
      <c r="S36" s="260">
        <f t="shared" si="9"/>
        <v>0.32243706901946823</v>
      </c>
      <c r="T36" s="260">
        <f t="shared" si="9"/>
        <v>0.32076931015533106</v>
      </c>
      <c r="U36" s="260">
        <f t="shared" si="9"/>
        <v>0.32070491986853483</v>
      </c>
      <c r="V36" s="260">
        <f t="shared" si="9"/>
        <v>0.31916015648832818</v>
      </c>
      <c r="W36" s="260">
        <f t="shared" si="9"/>
        <v>0.31944106830633506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0.42954216257129629</v>
      </c>
      <c r="C37" s="260">
        <f t="shared" si="10"/>
        <v>0.42800147493618967</v>
      </c>
      <c r="D37" s="260">
        <f t="shared" si="10"/>
        <v>0.42130497405625761</v>
      </c>
      <c r="E37" s="260">
        <f t="shared" si="10"/>
        <v>0.41854977825345374</v>
      </c>
      <c r="F37" s="260">
        <f t="shared" si="10"/>
        <v>0.42596069981837342</v>
      </c>
      <c r="G37" s="260">
        <f t="shared" si="10"/>
        <v>0.42336769632123444</v>
      </c>
      <c r="H37" s="260">
        <f t="shared" si="10"/>
        <v>0.42393227099196051</v>
      </c>
      <c r="I37" s="260">
        <f t="shared" si="10"/>
        <v>0.421127540665932</v>
      </c>
      <c r="J37" s="260">
        <f t="shared" si="10"/>
        <v>0.41982199542277804</v>
      </c>
      <c r="K37" s="260">
        <f t="shared" si="10"/>
        <v>0.42035474471441919</v>
      </c>
      <c r="L37" s="260">
        <f t="shared" si="10"/>
        <v>0.42134122842116695</v>
      </c>
      <c r="M37" s="260">
        <f t="shared" si="10"/>
        <v>0.42104617869117794</v>
      </c>
      <c r="N37" s="260">
        <f t="shared" si="10"/>
        <v>0.42351330373362622</v>
      </c>
      <c r="O37" s="260">
        <f t="shared" si="10"/>
        <v>0.4243098941240851</v>
      </c>
      <c r="P37" s="260">
        <f t="shared" si="10"/>
        <v>0.42027908923908674</v>
      </c>
      <c r="Q37" s="260">
        <f t="shared" si="10"/>
        <v>0.42004378458448294</v>
      </c>
      <c r="R37" s="260">
        <f t="shared" si="10"/>
        <v>0.42212316011543982</v>
      </c>
      <c r="S37" s="260">
        <f t="shared" si="10"/>
        <v>0.42211205101733412</v>
      </c>
      <c r="T37" s="260">
        <f t="shared" si="10"/>
        <v>0.42224069907468031</v>
      </c>
      <c r="U37" s="260">
        <f t="shared" si="10"/>
        <v>0.42341323627823041</v>
      </c>
      <c r="V37" s="260">
        <f t="shared" si="10"/>
        <v>0.41965544273280214</v>
      </c>
      <c r="W37" s="260">
        <f t="shared" si="10"/>
        <v>0.41911723019087727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5.7248528950374716E-2</v>
      </c>
      <c r="C38" s="260">
        <f t="shared" si="11"/>
        <v>5.7445443915385683E-2</v>
      </c>
      <c r="D38" s="260">
        <f t="shared" si="11"/>
        <v>5.8116397867903298E-2</v>
      </c>
      <c r="E38" s="260">
        <f t="shared" si="11"/>
        <v>5.8527982582214345E-2</v>
      </c>
      <c r="F38" s="260">
        <f t="shared" si="11"/>
        <v>5.9167743086963119E-2</v>
      </c>
      <c r="G38" s="260">
        <f t="shared" si="11"/>
        <v>5.9757081414678635E-2</v>
      </c>
      <c r="H38" s="260">
        <f t="shared" si="11"/>
        <v>5.992061641560506E-2</v>
      </c>
      <c r="I38" s="260">
        <f t="shared" si="11"/>
        <v>5.9990701507498891E-2</v>
      </c>
      <c r="J38" s="260">
        <f t="shared" si="11"/>
        <v>5.9897041876423564E-2</v>
      </c>
      <c r="K38" s="260">
        <f t="shared" si="11"/>
        <v>6.0331240735551898E-2</v>
      </c>
      <c r="L38" s="260">
        <f t="shared" si="11"/>
        <v>6.0481259002370058E-2</v>
      </c>
      <c r="M38" s="260">
        <f t="shared" si="11"/>
        <v>6.0890630191302433E-2</v>
      </c>
      <c r="N38" s="260">
        <f t="shared" si="11"/>
        <v>6.1178448178147299E-2</v>
      </c>
      <c r="O38" s="260">
        <f t="shared" si="11"/>
        <v>6.1083112079455958E-2</v>
      </c>
      <c r="P38" s="260">
        <f t="shared" si="11"/>
        <v>6.1280047504980714E-2</v>
      </c>
      <c r="Q38" s="260">
        <f t="shared" si="11"/>
        <v>6.1745974268939942E-2</v>
      </c>
      <c r="R38" s="260">
        <f t="shared" si="11"/>
        <v>6.1928042426574313E-2</v>
      </c>
      <c r="S38" s="260">
        <f t="shared" si="11"/>
        <v>6.1958969914020945E-2</v>
      </c>
      <c r="T38" s="260">
        <f t="shared" si="11"/>
        <v>6.1638496149632925E-2</v>
      </c>
      <c r="U38" s="260">
        <f t="shared" si="11"/>
        <v>6.1626123019414066E-2</v>
      </c>
      <c r="V38" s="260">
        <f t="shared" si="11"/>
        <v>6.1329283862273841E-2</v>
      </c>
      <c r="W38" s="260">
        <f t="shared" si="11"/>
        <v>6.1383263409145732E-2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2.8026788402329372</v>
      </c>
      <c r="C44" s="238">
        <f>IF(C$5=0,0,C$5/AGR_fec!C$5)</f>
        <v>2.7945950071937857</v>
      </c>
      <c r="D44" s="238">
        <f>IF(D$5=0,0,D$5/AGR_fec!D$5)</f>
        <v>2.8104214079137186</v>
      </c>
      <c r="E44" s="238">
        <f>IF(E$5=0,0,E$5/AGR_fec!E$5)</f>
        <v>2.7925809576530782</v>
      </c>
      <c r="F44" s="238">
        <f>IF(F$5=0,0,F$5/AGR_fec!F$5)</f>
        <v>2.6217915398872997</v>
      </c>
      <c r="G44" s="238">
        <f>IF(G$5=0,0,G$5/AGR_fec!G$5)</f>
        <v>2.5652073433451856</v>
      </c>
      <c r="H44" s="238">
        <f>IF(H$5=0,0,H$5/AGR_fec!H$5)</f>
        <v>2.545419152343591</v>
      </c>
      <c r="I44" s="238">
        <f>IF(I$5=0,0,I$5/AGR_fec!I$5)</f>
        <v>2.5605864607677131</v>
      </c>
      <c r="J44" s="238">
        <f>IF(J$5=0,0,J$5/AGR_fec!J$5)</f>
        <v>2.5808086538430177</v>
      </c>
      <c r="K44" s="238">
        <f>IF(K$5=0,0,K$5/AGR_fec!K$5)</f>
        <v>2.5388568548152217</v>
      </c>
      <c r="L44" s="238">
        <f>IF(L$5=0,0,L$5/AGR_fec!L$5)</f>
        <v>2.5103389637518356</v>
      </c>
      <c r="M44" s="238">
        <f>IF(M$5=0,0,M$5/AGR_fec!M$5)</f>
        <v>2.4858086934347163</v>
      </c>
      <c r="N44" s="238">
        <f>IF(N$5=0,0,N$5/AGR_fec!N$5)</f>
        <v>2.4352152988209719</v>
      </c>
      <c r="O44" s="238">
        <f>IF(O$5=0,0,O$5/AGR_fec!O$5)</f>
        <v>2.4438122179601156</v>
      </c>
      <c r="P44" s="238">
        <f>IF(P$5=0,0,P$5/AGR_fec!P$5)</f>
        <v>2.461131012764755</v>
      </c>
      <c r="Q44" s="238">
        <f>IF(Q$5=0,0,Q$5/AGR_fec!Q$5)</f>
        <v>2.4265379508494695</v>
      </c>
      <c r="R44" s="238">
        <f>IF(R$5=0,0,R$5/AGR_fec!R$5)</f>
        <v>2.334101745309427</v>
      </c>
      <c r="S44" s="238">
        <f>IF(S$5=0,0,S$5/AGR_fec!S$5)</f>
        <v>2.2983112327654598</v>
      </c>
      <c r="T44" s="238">
        <f>IF(T$5=0,0,T$5/AGR_fec!T$5)</f>
        <v>2.290585818429471</v>
      </c>
      <c r="U44" s="238">
        <f>IF(U$5=0,0,U$5/AGR_fec!U$5)</f>
        <v>2.2683981918891236</v>
      </c>
      <c r="V44" s="238">
        <f>IF(V$5=0,0,V$5/AGR_fec!V$5)</f>
        <v>2.3203723987161338</v>
      </c>
      <c r="W44" s="238">
        <f>IF(W$5=0,0,W$5/AGR_fec!W$5)</f>
        <v>2.3151452618205233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2.9644702245740779</v>
      </c>
      <c r="C48" s="253">
        <f>IF(C$9=0,0,C$9/AGR_fec!C$9)</f>
        <v>2.9483200018789759</v>
      </c>
      <c r="D48" s="253">
        <f>IF(D$9=0,0,D$9/AGR_fec!D$9)</f>
        <v>2.9645388439581679</v>
      </c>
      <c r="E48" s="253">
        <f>IF(E$9=0,0,E$9/AGR_fec!E$9)</f>
        <v>2.960647764458666</v>
      </c>
      <c r="F48" s="253">
        <f>IF(F$9=0,0,F$9/AGR_fec!F$9)</f>
        <v>2.7783187133504157</v>
      </c>
      <c r="G48" s="253">
        <f>IF(G$9=0,0,G$9/AGR_fec!G$9)</f>
        <v>2.7349254875416742</v>
      </c>
      <c r="H48" s="253">
        <f>IF(H$9=0,0,H$9/AGR_fec!H$9)</f>
        <v>2.7051553377174127</v>
      </c>
      <c r="I48" s="253">
        <f>IF(I$9=0,0,I$9/AGR_fec!I$9)</f>
        <v>2.7447991405237149</v>
      </c>
      <c r="J48" s="253">
        <f>IF(J$9=0,0,J$9/AGR_fec!J$9)</f>
        <v>2.7849852670108657</v>
      </c>
      <c r="K48" s="253">
        <f>IF(K$9=0,0,K$9/AGR_fec!K$9)</f>
        <v>2.7162384929255969</v>
      </c>
      <c r="L48" s="253">
        <f>IF(L$9=0,0,L$9/AGR_fec!L$9)</f>
        <v>2.6731713476110324</v>
      </c>
      <c r="M48" s="253">
        <f>IF(M$9=0,0,M$9/AGR_fec!M$9)</f>
        <v>2.6262431136525679</v>
      </c>
      <c r="N48" s="253">
        <f>IF(N$9=0,0,N$9/AGR_fec!N$9)</f>
        <v>2.5255100347899875</v>
      </c>
      <c r="O48" s="253">
        <f>IF(O$9=0,0,O$9/AGR_fec!O$9)</f>
        <v>2.5385354868073211</v>
      </c>
      <c r="P48" s="253">
        <f>IF(P$9=0,0,P$9/AGR_fec!P$9)</f>
        <v>2.5646714047361119</v>
      </c>
      <c r="Q48" s="253">
        <f>IF(Q$9=0,0,Q$9/AGR_fec!Q$9)</f>
        <v>2.5012613465044593</v>
      </c>
      <c r="R48" s="253">
        <f>IF(R$9=0,0,R$9/AGR_fec!R$9)</f>
        <v>2.3634029081976458</v>
      </c>
      <c r="S48" s="253">
        <f>IF(S$9=0,0,S$9/AGR_fec!S$9)</f>
        <v>2.3250236021076445</v>
      </c>
      <c r="T48" s="253">
        <f>IF(T$9=0,0,T$9/AGR_fec!T$9)</f>
        <v>2.3312461435082108</v>
      </c>
      <c r="U48" s="253">
        <f>IF(U$9=0,0,U$9/AGR_fec!U$9)</f>
        <v>2.2936196735732617</v>
      </c>
      <c r="V48" s="253">
        <f>IF(V$9=0,0,V$9/AGR_fec!V$9)</f>
        <v>2.4084479410415955</v>
      </c>
      <c r="W48" s="253">
        <f>IF(W$9=0,0,W$9/AGR_fec!W$9)</f>
        <v>2.3965688673813759</v>
      </c>
      <c r="DA48" s="290"/>
    </row>
    <row r="49" spans="1:105" x14ac:dyDescent="0.25">
      <c r="A49" s="128" t="s">
        <v>175</v>
      </c>
      <c r="B49" s="265">
        <f>IF(B$16=0,0,B$16/AGR_fec!B$16)</f>
        <v>3.1024187999999997</v>
      </c>
      <c r="C49" s="265">
        <f>IF(C$16=0,0,C$16/AGR_fec!C$16)</f>
        <v>3.1024188000000006</v>
      </c>
      <c r="D49" s="265">
        <f>IF(D$16=0,0,D$16/AGR_fec!D$16)</f>
        <v>3.1024187999999997</v>
      </c>
      <c r="E49" s="265">
        <f>IF(E$16=0,0,E$16/AGR_fec!E$16)</f>
        <v>3.1024188000000015</v>
      </c>
      <c r="F49" s="265">
        <f>IF(F$16=0,0,F$16/AGR_fec!F$16)</f>
        <v>3.1024187999999997</v>
      </c>
      <c r="G49" s="265">
        <f>IF(G$16=0,0,G$16/AGR_fec!G$16)</f>
        <v>3.1024188000000001</v>
      </c>
      <c r="H49" s="265">
        <f>IF(H$16=0,0,H$16/AGR_fec!H$16)</f>
        <v>3.1024188000000001</v>
      </c>
      <c r="I49" s="265">
        <f>IF(I$16=0,0,I$16/AGR_fec!I$16)</f>
        <v>3.1024188000000019</v>
      </c>
      <c r="J49" s="265">
        <f>IF(J$16=0,0,J$16/AGR_fec!J$16)</f>
        <v>3.102418800000001</v>
      </c>
      <c r="K49" s="265">
        <f>IF(K$16=0,0,K$16/AGR_fec!K$16)</f>
        <v>3.1024187999999988</v>
      </c>
      <c r="L49" s="265">
        <f>IF(L$16=0,0,L$16/AGR_fec!L$16)</f>
        <v>3.1024188000000019</v>
      </c>
      <c r="M49" s="265">
        <f>IF(M$16=0,0,M$16/AGR_fec!M$16)</f>
        <v>3.1024188000000015</v>
      </c>
      <c r="N49" s="265">
        <f>IF(N$16=0,0,N$16/AGR_fec!N$16)</f>
        <v>3.1024187999999984</v>
      </c>
      <c r="O49" s="265">
        <f>IF(O$16=0,0,O$16/AGR_fec!O$16)</f>
        <v>3.1024187999999997</v>
      </c>
      <c r="P49" s="265">
        <f>IF(P$16=0,0,P$16/AGR_fec!P$16)</f>
        <v>3.1024188000000006</v>
      </c>
      <c r="Q49" s="265">
        <f>IF(Q$16=0,0,Q$16/AGR_fec!Q$16)</f>
        <v>3.1024138406659723</v>
      </c>
      <c r="R49" s="265">
        <f>IF(R$16=0,0,R$16/AGR_fec!R$16)</f>
        <v>3.0195773186403501</v>
      </c>
      <c r="S49" s="265">
        <f>IF(S$16=0,0,S$16/AGR_fec!S$16)</f>
        <v>2.9758111020383491</v>
      </c>
      <c r="T49" s="265">
        <f>IF(T$16=0,0,T$16/AGR_fec!T$16)</f>
        <v>2.9386515753926616</v>
      </c>
      <c r="U49" s="265">
        <f>IF(U$16=0,0,U$16/AGR_fec!U$16)</f>
        <v>2.9193312232011088</v>
      </c>
      <c r="V49" s="265">
        <f>IF(V$16=0,0,V$16/AGR_fec!V$16)</f>
        <v>2.9215939440454268</v>
      </c>
      <c r="W49" s="265">
        <f>IF(W$16=0,0,W$16/AGR_fec!W$16)</f>
        <v>2.9150987229510235</v>
      </c>
      <c r="DA49" s="291"/>
    </row>
    <row r="50" spans="1:105" x14ac:dyDescent="0.25">
      <c r="A50" s="128" t="s">
        <v>121</v>
      </c>
      <c r="B50" s="265">
        <f>IF(B$17=0,0,B$17/AGR_fec!B$17)</f>
        <v>2.8454364961185949</v>
      </c>
      <c r="C50" s="265">
        <f>IF(C$17=0,0,C$17/AGR_fec!C$17)</f>
        <v>2.8402236210410861</v>
      </c>
      <c r="D50" s="265">
        <f>IF(D$17=0,0,D$17/AGR_fec!D$17)</f>
        <v>2.8740787228983584</v>
      </c>
      <c r="E50" s="265">
        <f>IF(E$17=0,0,E$17/AGR_fec!E$17)</f>
        <v>2.8839464640614385</v>
      </c>
      <c r="F50" s="265">
        <f>IF(F$17=0,0,F$17/AGR_fec!F$17)</f>
        <v>2.8769881549613081</v>
      </c>
      <c r="G50" s="265">
        <f>IF(G$17=0,0,G$17/AGR_fec!G$17)</f>
        <v>2.7967865185671421</v>
      </c>
      <c r="H50" s="265">
        <f>IF(H$17=0,0,H$17/AGR_fec!H$17)</f>
        <v>2.7892905034867548</v>
      </c>
      <c r="I50" s="265">
        <f>IF(I$17=0,0,I$17/AGR_fec!I$17)</f>
        <v>2.7785273784625772</v>
      </c>
      <c r="J50" s="265">
        <f>IF(J$17=0,0,J$17/AGR_fec!J$17)</f>
        <v>2.7755513586580136</v>
      </c>
      <c r="K50" s="265">
        <f>IF(K$17=0,0,K$17/AGR_fec!K$17)</f>
        <v>2.77144685987522</v>
      </c>
      <c r="L50" s="265">
        <f>IF(L$17=0,0,L$17/AGR_fec!L$17)</f>
        <v>2.7450968451026831</v>
      </c>
      <c r="M50" s="265">
        <f>IF(M$17=0,0,M$17/AGR_fec!M$17)</f>
        <v>2.7404396544835472</v>
      </c>
      <c r="N50" s="265">
        <f>IF(N$17=0,0,N$17/AGR_fec!N$17)</f>
        <v>2.7030778506659683</v>
      </c>
      <c r="O50" s="265">
        <f>IF(O$17=0,0,O$17/AGR_fec!O$17)</f>
        <v>2.7124649223338015</v>
      </c>
      <c r="P50" s="265">
        <f>IF(P$17=0,0,P$17/AGR_fec!P$17)</f>
        <v>2.7103306255227708</v>
      </c>
      <c r="Q50" s="265">
        <f>IF(Q$17=0,0,Q$17/AGR_fec!Q$17)</f>
        <v>2.6988331478868584</v>
      </c>
      <c r="R50" s="265">
        <f>IF(R$17=0,0,R$17/AGR_fec!R$17)</f>
        <v>2.6236221828331656</v>
      </c>
      <c r="S50" s="265">
        <f>IF(S$17=0,0,S$17/AGR_fec!S$17)</f>
        <v>2.5856153270375337</v>
      </c>
      <c r="T50" s="265">
        <f>IF(T$17=0,0,T$17/AGR_fec!T$17)</f>
        <v>2.5546384632791534</v>
      </c>
      <c r="U50" s="265">
        <f>IF(U$17=0,0,U$17/AGR_fec!U$17)</f>
        <v>2.5240227180745318</v>
      </c>
      <c r="V50" s="265">
        <f>IF(V$17=0,0,V$17/AGR_fec!V$17)</f>
        <v>2.5382418421417698</v>
      </c>
      <c r="W50" s="265">
        <f>IF(W$17=0,0,W$17/AGR_fec!W$17)</f>
        <v>2.5105049383921676</v>
      </c>
      <c r="DA50" s="291"/>
    </row>
    <row r="51" spans="1:105" x14ac:dyDescent="0.25">
      <c r="A51" s="128" t="s">
        <v>174</v>
      </c>
      <c r="B51" s="265">
        <f>IF(B$25=0,0,B$25/AGR_fec!B$25)</f>
        <v>3.1024187999999997</v>
      </c>
      <c r="C51" s="265">
        <f>IF(C$25=0,0,C$25/AGR_fec!C$25)</f>
        <v>3.1024188000000001</v>
      </c>
      <c r="D51" s="265">
        <f>IF(D$25=0,0,D$25/AGR_fec!D$25)</f>
        <v>3.1024187999999997</v>
      </c>
      <c r="E51" s="265">
        <f>IF(E$25=0,0,E$25/AGR_fec!E$25)</f>
        <v>3.1024187999999997</v>
      </c>
      <c r="F51" s="265">
        <f>IF(F$25=0,0,F$25/AGR_fec!F$25)</f>
        <v>3.1024187999999997</v>
      </c>
      <c r="G51" s="265">
        <f>IF(G$25=0,0,G$25/AGR_fec!G$25)</f>
        <v>3.1024188000000001</v>
      </c>
      <c r="H51" s="265">
        <f>IF(H$25=0,0,H$25/AGR_fec!H$25)</f>
        <v>3.1024188000000001</v>
      </c>
      <c r="I51" s="265">
        <f>IF(I$25=0,0,I$25/AGR_fec!I$25)</f>
        <v>3.1024188000000006</v>
      </c>
      <c r="J51" s="265">
        <f>IF(J$25=0,0,J$25/AGR_fec!J$25)</f>
        <v>3.1024188000000006</v>
      </c>
      <c r="K51" s="265">
        <f>IF(K$25=0,0,K$25/AGR_fec!K$25)</f>
        <v>3.1024188000000001</v>
      </c>
      <c r="L51" s="265">
        <f>IF(L$25=0,0,L$25/AGR_fec!L$25)</f>
        <v>3.1024188000000006</v>
      </c>
      <c r="M51" s="265">
        <f>IF(M$25=0,0,M$25/AGR_fec!M$25)</f>
        <v>3.102418800000001</v>
      </c>
      <c r="N51" s="265">
        <f>IF(N$25=0,0,N$25/AGR_fec!N$25)</f>
        <v>3.1024187999999997</v>
      </c>
      <c r="O51" s="265">
        <f>IF(O$25=0,0,O$25/AGR_fec!O$25)</f>
        <v>3.1024187999999997</v>
      </c>
      <c r="P51" s="265">
        <f>IF(P$25=0,0,P$25/AGR_fec!P$25)</f>
        <v>3.1024188000000006</v>
      </c>
      <c r="Q51" s="265">
        <f>IF(Q$25=0,0,Q$25/AGR_fec!Q$25)</f>
        <v>3.1024138406659718</v>
      </c>
      <c r="R51" s="265">
        <f>IF(R$25=0,0,R$25/AGR_fec!R$25)</f>
        <v>3.0195773186403492</v>
      </c>
      <c r="S51" s="265">
        <f>IF(S$25=0,0,S$25/AGR_fec!S$25)</f>
        <v>2.9758111020383482</v>
      </c>
      <c r="T51" s="265">
        <f>IF(T$25=0,0,T$25/AGR_fec!T$25)</f>
        <v>2.9386515753926621</v>
      </c>
      <c r="U51" s="265">
        <f>IF(U$25=0,0,U$25/AGR_fec!U$25)</f>
        <v>2.9193312232011084</v>
      </c>
      <c r="V51" s="265">
        <f>IF(V$25=0,0,V$25/AGR_fec!V$25)</f>
        <v>2.9215939440454286</v>
      </c>
      <c r="W51" s="265">
        <f>IF(W$25=0,0,W$25/AGR_fec!W$25)</f>
        <v>2.915098722951023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AAD317-07C7-4017-83A2-1460045A4314}"/>
</file>

<file path=customXml/itemProps2.xml><?xml version="1.0" encoding="utf-8"?>
<ds:datastoreItem xmlns:ds="http://schemas.openxmlformats.org/officeDocument/2006/customXml" ds:itemID="{F01FFA1C-9CD8-4453-B517-923C8F9DF146}"/>
</file>

<file path=customXml/itemProps3.xml><?xml version="1.0" encoding="utf-8"?>
<ds:datastoreItem xmlns:ds="http://schemas.openxmlformats.org/officeDocument/2006/customXml" ds:itemID="{1B5DEFE6-DC82-44CF-92E8-FF87B7225E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2024-05-20T16:50:36Z</dcterms:created>
  <dcterms:modified xsi:type="dcterms:W3CDTF">2024-05-20T16:50:36Z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