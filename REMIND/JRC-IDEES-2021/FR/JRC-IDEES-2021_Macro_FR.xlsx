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P9" i="59"/>
  <c r="H9" i="59"/>
  <c r="Y21" i="59"/>
  <c r="W21" i="59"/>
  <c r="X20" i="59"/>
  <c r="W20" i="59"/>
  <c r="V20" i="59"/>
  <c r="U93" i="59"/>
  <c r="W90" i="59"/>
  <c r="W122" i="59"/>
  <c r="Y120" i="59"/>
  <c r="T119" i="59"/>
  <c r="Y118" i="59"/>
  <c r="U117" i="59"/>
  <c r="W84" i="59"/>
  <c r="U116" i="59"/>
  <c r="Y115" i="59"/>
  <c r="U115" i="59"/>
  <c r="W113" i="59"/>
  <c r="U113" i="59"/>
  <c r="Y80" i="59"/>
  <c r="X112" i="59"/>
  <c r="W112" i="59"/>
  <c r="Y111" i="59"/>
  <c r="W111" i="59"/>
  <c r="X110" i="59"/>
  <c r="U108" i="59"/>
  <c r="Y107" i="59"/>
  <c r="W75" i="59"/>
  <c r="U107" i="59"/>
  <c r="W74" i="59"/>
  <c r="R106" i="59"/>
  <c r="M106" i="59"/>
  <c r="J106" i="59"/>
  <c r="Y73" i="59"/>
  <c r="Y105" i="59"/>
  <c r="Y72" i="59"/>
  <c r="W72" i="59"/>
  <c r="W104" i="59"/>
  <c r="U104" i="59"/>
  <c r="Y103" i="59"/>
  <c r="T71" i="59"/>
  <c r="X102" i="59"/>
  <c r="W101" i="59"/>
  <c r="V101" i="59"/>
  <c r="U101" i="59"/>
  <c r="Y68" i="59"/>
  <c r="X100" i="59"/>
  <c r="T98" i="59"/>
  <c r="Y67" i="59"/>
  <c r="Y97" i="59"/>
  <c r="V74" i="59"/>
  <c r="U71" i="59"/>
  <c r="T90" i="59"/>
  <c r="X122" i="59"/>
  <c r="V113" i="59"/>
  <c r="T112" i="59"/>
  <c r="V111" i="59"/>
  <c r="Y93" i="59"/>
  <c r="T80" i="59"/>
  <c r="W78" i="59"/>
  <c r="Y122" i="59"/>
  <c r="U121" i="59"/>
  <c r="W87" i="59"/>
  <c r="T118" i="59"/>
  <c r="W85" i="59"/>
  <c r="V115" i="59"/>
  <c r="Y114" i="59"/>
  <c r="W81" i="59"/>
  <c r="W80" i="59"/>
  <c r="W110" i="59"/>
  <c r="Y77" i="59"/>
  <c r="U109" i="59"/>
  <c r="W73" i="59"/>
  <c r="W105" i="59"/>
  <c r="V103" i="59"/>
  <c r="Y102" i="59"/>
  <c r="W69" i="59"/>
  <c r="U100" i="59"/>
  <c r="Y99" i="59"/>
  <c r="W67" i="59"/>
  <c r="W98" i="59"/>
  <c r="W65" i="59"/>
  <c r="Y20" i="59"/>
  <c r="U94" i="59"/>
  <c r="U20" i="59"/>
  <c r="X13" i="59"/>
  <c r="Y13" i="59"/>
  <c r="V13" i="59"/>
  <c r="Y10" i="59"/>
  <c r="W5" i="59"/>
  <c r="T5" i="59"/>
  <c r="Y5" i="59"/>
  <c r="X21" i="59"/>
  <c r="U5" i="59"/>
  <c r="Y70" i="59" l="1"/>
  <c r="Y71" i="59"/>
  <c r="Y89" i="59"/>
  <c r="U103" i="59"/>
  <c r="Y69" i="59"/>
  <c r="V94" i="59"/>
  <c r="Y75" i="59"/>
  <c r="E106" i="59"/>
  <c r="Y66" i="59"/>
  <c r="T67" i="59"/>
  <c r="Y74" i="59"/>
  <c r="Y82" i="59"/>
  <c r="Y65" i="59"/>
  <c r="Y84" i="59"/>
  <c r="L106" i="59"/>
  <c r="T106" i="59"/>
  <c r="U110" i="59"/>
  <c r="W117" i="59"/>
  <c r="T83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6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<sst xmlns="http://schemas.openxmlformats.org/spreadsheetml/2006/main" count="722" uniqueCount="281">
  <si>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</si>
  <si>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</si>
  <si>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</si>
  <si>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</si>
  <si>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</si>
  <si>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</si>
  <si>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</si>
  <si>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</si>
  <si>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</si>
  <si>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</si>
  <si>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</si>
  <si>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</si>
  <si>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</si>
  <si>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</si>
  <si>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</si>
  <si>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</si>
  <si>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</si>
  <si>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</si>
  <si>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</si>
  <si>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</si>
  <si>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</si>
  <si>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</si>
  <si>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</si>
  <si>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</si>
  <si>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</si>
  <si>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</si>
  <si>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</si>
  <si>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</si>
  <si>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</si>
  <si>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</si>
  <si>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</si>
  <si>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</si>
  <si>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</si>
  <si>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</si>
  <si>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</si>
  <si>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</si>
  <si>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</si>
  <si>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</si>
  <si>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</si>
  <si>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</si>
  <si>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</si>
  <si>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</si>
  <si>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</si>
  <si>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</si>
  <si>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</si>
  <si>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</si>
  <si>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</si>
  <si>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</si>
  <si>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</si>
  <si>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</si>
  <si>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</si>
  <si>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</si>
  <si>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</si>
  <si>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</si>
  <si>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</si>
  <si>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</si>
  <si>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</si>
  <si>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</si>
  <si>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</si>
  <si>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</si>
  <si>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</si>
  <si>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</si>
  <si>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</si>
  <si>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</si>
  <si>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</si>
  <si>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</si>
  <si>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</si>
  <si>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</si>
  <si>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</si>
  <si>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</si>
  <si>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</si>
  <si>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</si>
  <si>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</si>
  <si>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</si>
  <si>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</si>
  <si>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</si>
  <si>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</si>
  <si>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</si>
  <si>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</si>
  <si>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</si>
  <si>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</si>
  <si>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</si>
  <si>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</si>
  <si>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</si>
  <si>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</si>
  <si>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</si>
  <si>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</si>
  <si>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</si>
  <si>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</si>
  <si>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</si>
  <si>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</si>
  <si>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</si>
  <si>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</si>
  <si>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</si>
  <si>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</si>
  <si>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</si>
  <si>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</si>
  <si>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</si>
  <si>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</si>
  <si>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</si>
  <si>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</si>
  <si>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</si>
  <si>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</si>
  <si>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</si>
  <si>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</si>
  <si>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</si>
  <si>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</si>
  <si>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</si>
  <si>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</si>
  <si>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</si>
  <si>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</si>
  <si>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</si>
  <si>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</si>
  <si>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</si>
  <si>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</si>
  <si>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</si>
  <si>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</si>
  <si>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</si>
  <si>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</si>
  <si>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</si>
  <si>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</si>
  <si>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</si>
  <si>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</si>
  <si>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</si>
  <si>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</si>
  <si>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</si>
  <si>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</si>
  <si>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</si>
  <si>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</si>
  <si>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</si>
  <si>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</si>
  <si>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</si>
  <si>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</si>
  <si>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</si>
  <si>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</si>
  <si>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</si>
  <si>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</si>
  <si>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</si>
  <si>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</si>
  <si>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</si>
  <si>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</si>
  <si>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</si>
  <si>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</si>
  <si>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</si>
  <si>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</si>
  <si>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</si>
  <si>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</si>
  <si>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</si>
  <si>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</si>
  <si>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</si>
  <si>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</si>
  <si>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</si>
  <si>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</si>
  <si>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</si>
  <si>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</si>
  <si>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</si>
  <si>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</si>
  <si>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</si>
  <si>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</si>
  <si>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</si>
  <si>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</si>
  <si>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</si>
  <si>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</si>
  <si>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</si>
  <si>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</si>
  <si>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</si>
  <si>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</si>
  <si>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</si>
  <si>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</si>
  <si>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</si>
  <si>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</si>
  <si>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</si>
  <si>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</si>
  <si>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</si>
  <si>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</si>
  <si>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</si>
  <si>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</si>
  <si>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</si>
  <si>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</si>
  <si>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</si>
  <si>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</si>
  <si>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</si>
  <si>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</si>
  <si>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</si>
  <si>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</si>
  <si>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</si>
  <si>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</si>
  <si>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</si>
  <si>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</si>
  <si>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</si>
  <si>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</si>
  <si>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</si>
  <si>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</si>
  <si>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</si>
  <si>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</si>
  <si>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</si>
  <si>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</si>
  <si>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</si>
  <si>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</si>
  <si>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</si>
  <si>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</si>
  <si>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</si>
  <si>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</si>
  <si>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</si>
  <si>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</si>
  <si>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</si>
  <si>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</si>
  <si>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</si>
  <si>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</si>
  <si>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</si>
  <si>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</si>
  <si>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</si>
  <si>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</si>
  <si>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</si>
  <si>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</si>
  <si>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</si>
  <si>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</si>
  <si>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</si>
  <si>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</si>
  <si>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</si>
  <si>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</si>
  <si>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</si>
  <si>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</si>
  <si>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</si>
  <si>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</si>
  <si>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</si>
  <si>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</si>
  <si>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</si>
  <si>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</si>
  <si>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</si>
  <si>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</si>
  <si>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</si>
  <si>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</si>
  <si>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</si>
  <si>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</si>
  <si>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</si>
  <si>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</si>
  <si>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</si>
  <si>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</si>
  <si>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</si>
  <si>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</si>
  <si>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</si>
  <si>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</si>
  <si>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</si>
  <si>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</si>
  <si>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</si>
  <si>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</si>
  <si>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</si>
  <si>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</si>
  <si>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</si>
  <si>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</si>
  <si>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</si>
  <si>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</si>
  <si>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</si>
  <si>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</si>
  <si>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</si>
  <si>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</si>
  <si>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</si>
  <si>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</si>
  <si>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</si>
  <si>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</si>
  <si>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</si>
  <si>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</si>
  <si>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</si>
  <si>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</si>
  <si>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</si>
  <si>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</si>
  <si>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</si>
  <si>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</si>
  <si>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</si>
  <si>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</si>
  <si>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</si>
  <si>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</si>
  <si>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</si>
  <si>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</si>
  <si>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</si>
  <si>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</si>
  <si>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</si>
  <si>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</si>
  <si>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FR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</si>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</sst>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45432.78497685185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1547882.7201791371</v>
      </c>
      <c r="E2" s="19">
        <v>1610301.9493225066</v>
      </c>
      <c r="F2" s="19">
        <v>1662253.1337135462</v>
      </c>
      <c r="G2" s="19">
        <v>1707102.8693391678</v>
      </c>
      <c r="H2" s="19">
        <v>1783880.714135241</v>
      </c>
      <c r="I2" s="19">
        <v>1848679.9169940727</v>
      </c>
      <c r="J2" s="19">
        <v>1934780.831234369</v>
      </c>
      <c r="K2" s="19">
        <v>2032341.852706877</v>
      </c>
      <c r="L2" s="19">
        <v>2085766.5499899418</v>
      </c>
      <c r="M2" s="19">
        <v>2027186.6590909092</v>
      </c>
      <c r="N2" s="19">
        <v>2088804.7904693112</v>
      </c>
      <c r="O2" s="19">
        <v>2154853.7127390383</v>
      </c>
      <c r="P2" s="19">
        <v>2186726.0557264118</v>
      </c>
      <c r="Q2" s="19">
        <v>2216429.2058042665</v>
      </c>
      <c r="R2" s="19">
        <v>2250518.5879646018</v>
      </c>
      <c r="S2" s="19">
        <v>2301472.5078400001</v>
      </c>
      <c r="T2" s="19">
        <v>2338831.2245555744</v>
      </c>
      <c r="U2" s="19">
        <v>2404912.0754302456</v>
      </c>
      <c r="V2" s="19">
        <v>2474096.4624641105</v>
      </c>
      <c r="W2" s="19">
        <v>2551905.7739903633</v>
      </c>
      <c r="X2" s="19">
        <v>2426495.7079660175</v>
      </c>
      <c r="Y2" s="19">
        <v>2619398.6160681983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831464.61143917253</v>
      </c>
      <c r="E3" s="23">
        <v>869211.28550024971</v>
      </c>
      <c r="F3" s="23">
        <v>894804.0720914054</v>
      </c>
      <c r="G3" s="23">
        <v>923566.17868364009</v>
      </c>
      <c r="H3" s="23">
        <v>961712.87866645469</v>
      </c>
      <c r="I3" s="23">
        <v>1002944.7744136272</v>
      </c>
      <c r="J3" s="23">
        <v>1046591.9632163589</v>
      </c>
      <c r="K3" s="23">
        <v>1096933.2275044075</v>
      </c>
      <c r="L3" s="23">
        <v>1133037.5824381521</v>
      </c>
      <c r="M3" s="23">
        <v>1119654.9890433515</v>
      </c>
      <c r="N3" s="23">
        <v>1153229.9660663011</v>
      </c>
      <c r="O3" s="23">
        <v>1181673.1795168864</v>
      </c>
      <c r="P3" s="23">
        <v>1193393.7877072382</v>
      </c>
      <c r="Q3" s="23">
        <v>1207769.7631544601</v>
      </c>
      <c r="R3" s="23">
        <v>1219036.9656323961</v>
      </c>
      <c r="S3" s="23">
        <v>1240592.0604000001</v>
      </c>
      <c r="T3" s="23">
        <v>1265787.8166147952</v>
      </c>
      <c r="U3" s="23">
        <v>1294873.0703874126</v>
      </c>
      <c r="V3" s="23">
        <v>1329566.1876113086</v>
      </c>
      <c r="W3" s="23">
        <v>1364443.9425968463</v>
      </c>
      <c r="X3" s="23">
        <v>1287405.0505769306</v>
      </c>
      <c r="Y3" s="23">
        <v>1373526.687720025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1326341</v>
      </c>
      <c r="E4" s="27">
        <v>1384016</v>
      </c>
      <c r="F4" s="27">
        <v>1430220</v>
      </c>
      <c r="G4" s="27">
        <v>1469233</v>
      </c>
      <c r="H4" s="27">
        <v>1532690</v>
      </c>
      <c r="I4" s="27">
        <v>1586085</v>
      </c>
      <c r="J4" s="27">
        <v>1654464</v>
      </c>
      <c r="K4" s="27">
        <v>1742512</v>
      </c>
      <c r="L4" s="27">
        <v>1792805</v>
      </c>
      <c r="M4" s="27">
        <v>1750127</v>
      </c>
      <c r="N4" s="27">
        <v>1797790</v>
      </c>
      <c r="O4" s="27">
        <v>1848583</v>
      </c>
      <c r="P4" s="27">
        <v>1875325</v>
      </c>
      <c r="Q4" s="27">
        <v>1899841</v>
      </c>
      <c r="R4" s="27">
        <v>1927230</v>
      </c>
      <c r="S4" s="27">
        <v>1967466</v>
      </c>
      <c r="T4" s="27">
        <v>1996790</v>
      </c>
      <c r="U4" s="27">
        <v>2046129</v>
      </c>
      <c r="V4" s="27">
        <v>2101770</v>
      </c>
      <c r="W4" s="27">
        <v>2169269</v>
      </c>
      <c r="X4" s="27">
        <v>2068844</v>
      </c>
      <c r="Y4" s="27">
        <v>2217805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31026.000000000004</v>
      </c>
      <c r="E6" s="19">
        <v>32410</v>
      </c>
      <c r="F6" s="19">
        <v>31929</v>
      </c>
      <c r="G6" s="19">
        <v>30170</v>
      </c>
      <c r="H6" s="19">
        <v>31059</v>
      </c>
      <c r="I6" s="19">
        <v>29669</v>
      </c>
      <c r="J6" s="19">
        <v>28064</v>
      </c>
      <c r="K6" s="19">
        <v>31314</v>
      </c>
      <c r="L6" s="19">
        <v>30189</v>
      </c>
      <c r="M6" s="19">
        <v>25622</v>
      </c>
      <c r="N6" s="19">
        <v>32004.999999999996</v>
      </c>
      <c r="O6" s="19">
        <v>33969</v>
      </c>
      <c r="P6" s="19">
        <v>34085.000000000007</v>
      </c>
      <c r="Q6" s="19">
        <v>30882</v>
      </c>
      <c r="R6" s="19">
        <v>33458</v>
      </c>
      <c r="S6" s="19">
        <v>35299</v>
      </c>
      <c r="T6" s="19">
        <v>32107</v>
      </c>
      <c r="U6" s="19">
        <v>35433.000000000007</v>
      </c>
      <c r="V6" s="19">
        <v>38968</v>
      </c>
      <c r="W6" s="19">
        <v>37111.999999999993</v>
      </c>
      <c r="X6" s="19">
        <v>36610</v>
      </c>
      <c r="Y6" s="19">
        <v>40465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250448</v>
      </c>
      <c r="E7" s="23">
        <v>253371.00000000012</v>
      </c>
      <c r="F7" s="23">
        <v>256276.99999999985</v>
      </c>
      <c r="G7" s="23">
        <v>254158.00000000012</v>
      </c>
      <c r="H7" s="23">
        <v>259255.00000000017</v>
      </c>
      <c r="I7" s="23">
        <v>260127.99999999985</v>
      </c>
      <c r="J7" s="23">
        <v>261755.00000000003</v>
      </c>
      <c r="K7" s="23">
        <v>266557.99999999965</v>
      </c>
      <c r="L7" s="23">
        <v>261278.00000000015</v>
      </c>
      <c r="M7" s="23">
        <v>245642.99999999991</v>
      </c>
      <c r="N7" s="23">
        <v>247959.99999999974</v>
      </c>
      <c r="O7" s="23">
        <v>258421.99999999988</v>
      </c>
      <c r="P7" s="23">
        <v>263614.99999999988</v>
      </c>
      <c r="Q7" s="23">
        <v>268568.99999999977</v>
      </c>
      <c r="R7" s="23">
        <v>271378.00000000006</v>
      </c>
      <c r="S7" s="23">
        <v>280791</v>
      </c>
      <c r="T7" s="23">
        <v>281138.00000000017</v>
      </c>
      <c r="U7" s="23">
        <v>282932.99999999983</v>
      </c>
      <c r="V7" s="23">
        <v>288828</v>
      </c>
      <c r="W7" s="23">
        <v>300635.00000000023</v>
      </c>
      <c r="X7" s="23">
        <v>276847.00000000029</v>
      </c>
      <c r="Y7" s="23">
        <v>286342.00000000023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64400</v>
      </c>
      <c r="E8" s="23">
        <v>68702</v>
      </c>
      <c r="F8" s="23">
        <v>71601</v>
      </c>
      <c r="G8" s="23">
        <v>75103</v>
      </c>
      <c r="H8" s="23">
        <v>80825</v>
      </c>
      <c r="I8" s="23">
        <v>86159</v>
      </c>
      <c r="J8" s="23">
        <v>94645</v>
      </c>
      <c r="K8" s="23">
        <v>104954</v>
      </c>
      <c r="L8" s="23">
        <v>113565</v>
      </c>
      <c r="M8" s="23">
        <v>108816</v>
      </c>
      <c r="N8" s="23">
        <v>108114</v>
      </c>
      <c r="O8" s="23">
        <v>111634</v>
      </c>
      <c r="P8" s="23">
        <v>109623</v>
      </c>
      <c r="Q8" s="23">
        <v>111927</v>
      </c>
      <c r="R8" s="23">
        <v>110116</v>
      </c>
      <c r="S8" s="23">
        <v>107884</v>
      </c>
      <c r="T8" s="23">
        <v>108362</v>
      </c>
      <c r="U8" s="23">
        <v>113137</v>
      </c>
      <c r="V8" s="23">
        <v>117386</v>
      </c>
      <c r="W8" s="23">
        <v>124114</v>
      </c>
      <c r="X8" s="23">
        <v>112222</v>
      </c>
      <c r="Y8" s="23">
        <v>123895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238811</v>
      </c>
      <c r="E9" s="23">
        <v>254462</v>
      </c>
      <c r="F9" s="23">
        <v>263568.00000000006</v>
      </c>
      <c r="G9" s="23">
        <v>274623</v>
      </c>
      <c r="H9" s="23">
        <v>282209.99999999994</v>
      </c>
      <c r="I9" s="23">
        <v>287676.00000000006</v>
      </c>
      <c r="J9" s="23">
        <v>294249</v>
      </c>
      <c r="K9" s="23">
        <v>309531.00000000006</v>
      </c>
      <c r="L9" s="23">
        <v>324432</v>
      </c>
      <c r="M9" s="23">
        <v>315816</v>
      </c>
      <c r="N9" s="23">
        <v>319888.00000000006</v>
      </c>
      <c r="O9" s="23">
        <v>327263.99999999994</v>
      </c>
      <c r="P9" s="23">
        <v>332077.00000000006</v>
      </c>
      <c r="Q9" s="23">
        <v>333352</v>
      </c>
      <c r="R9" s="23">
        <v>336866</v>
      </c>
      <c r="S9" s="23">
        <v>348573</v>
      </c>
      <c r="T9" s="23">
        <v>354385</v>
      </c>
      <c r="U9" s="23">
        <v>363169</v>
      </c>
      <c r="V9" s="23">
        <v>368965</v>
      </c>
      <c r="W9" s="23">
        <v>387355</v>
      </c>
      <c r="X9" s="23">
        <v>344790</v>
      </c>
      <c r="Y9" s="23">
        <v>392764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68411</v>
      </c>
      <c r="E10" s="23">
        <v>73788</v>
      </c>
      <c r="F10" s="23">
        <v>78972</v>
      </c>
      <c r="G10" s="23">
        <v>80056</v>
      </c>
      <c r="H10" s="23">
        <v>83646.000000000015</v>
      </c>
      <c r="I10" s="23">
        <v>84668</v>
      </c>
      <c r="J10" s="23">
        <v>88460</v>
      </c>
      <c r="K10" s="23">
        <v>91576</v>
      </c>
      <c r="L10" s="23">
        <v>93959</v>
      </c>
      <c r="M10" s="23">
        <v>91749</v>
      </c>
      <c r="N10" s="23">
        <v>92297</v>
      </c>
      <c r="O10" s="23">
        <v>93436</v>
      </c>
      <c r="P10" s="23">
        <v>93557</v>
      </c>
      <c r="Q10" s="23">
        <v>93101</v>
      </c>
      <c r="R10" s="23">
        <v>94376</v>
      </c>
      <c r="S10" s="23">
        <v>98038</v>
      </c>
      <c r="T10" s="23">
        <v>102020</v>
      </c>
      <c r="U10" s="23">
        <v>106839</v>
      </c>
      <c r="V10" s="23">
        <v>112046</v>
      </c>
      <c r="W10" s="23">
        <v>116240</v>
      </c>
      <c r="X10" s="23">
        <v>115908</v>
      </c>
      <c r="Y10" s="23">
        <v>123545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54425</v>
      </c>
      <c r="E11" s="23">
        <v>51107</v>
      </c>
      <c r="F11" s="23">
        <v>52564</v>
      </c>
      <c r="G11" s="23">
        <v>52926</v>
      </c>
      <c r="H11" s="23">
        <v>57224</v>
      </c>
      <c r="I11" s="23">
        <v>60117.999999999993</v>
      </c>
      <c r="J11" s="23">
        <v>63705</v>
      </c>
      <c r="K11" s="23">
        <v>66988.000000000015</v>
      </c>
      <c r="L11" s="23">
        <v>63881</v>
      </c>
      <c r="M11" s="23">
        <v>69147</v>
      </c>
      <c r="N11" s="23">
        <v>81573.000000000015</v>
      </c>
      <c r="O11" s="23">
        <v>78798</v>
      </c>
      <c r="P11" s="23">
        <v>79364</v>
      </c>
      <c r="Q11" s="23">
        <v>83951</v>
      </c>
      <c r="R11" s="23">
        <v>86923</v>
      </c>
      <c r="S11" s="23">
        <v>87555</v>
      </c>
      <c r="T11" s="23">
        <v>86041</v>
      </c>
      <c r="U11" s="23">
        <v>79388</v>
      </c>
      <c r="V11" s="23">
        <v>85698</v>
      </c>
      <c r="W11" s="23">
        <v>83196</v>
      </c>
      <c r="X11" s="23">
        <v>81951.000000000015</v>
      </c>
      <c r="Y11" s="23">
        <v>91543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146605</v>
      </c>
      <c r="E12" s="23">
        <v>156027</v>
      </c>
      <c r="F12" s="23">
        <v>158925.00000000003</v>
      </c>
      <c r="G12" s="23">
        <v>166385</v>
      </c>
      <c r="H12" s="23">
        <v>179646</v>
      </c>
      <c r="I12" s="23">
        <v>193368</v>
      </c>
      <c r="J12" s="23">
        <v>209654</v>
      </c>
      <c r="K12" s="23">
        <v>225444</v>
      </c>
      <c r="L12" s="23">
        <v>235309</v>
      </c>
      <c r="M12" s="23">
        <v>225616</v>
      </c>
      <c r="N12" s="23">
        <v>227561</v>
      </c>
      <c r="O12" s="23">
        <v>233509</v>
      </c>
      <c r="P12" s="23">
        <v>239198</v>
      </c>
      <c r="Q12" s="23">
        <v>242379</v>
      </c>
      <c r="R12" s="23">
        <v>245921</v>
      </c>
      <c r="S12" s="23">
        <v>250513</v>
      </c>
      <c r="T12" s="23">
        <v>257242</v>
      </c>
      <c r="U12" s="23">
        <v>264349.00000000006</v>
      </c>
      <c r="V12" s="23">
        <v>270072</v>
      </c>
      <c r="W12" s="23">
        <v>277995</v>
      </c>
      <c r="X12" s="23">
        <v>279015</v>
      </c>
      <c r="Y12" s="23">
        <v>284954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158719.00000000003</v>
      </c>
      <c r="E13" s="23">
        <v>167395</v>
      </c>
      <c r="F13" s="23">
        <v>172802</v>
      </c>
      <c r="G13" s="23">
        <v>178496</v>
      </c>
      <c r="H13" s="23">
        <v>186093</v>
      </c>
      <c r="I13" s="23">
        <v>196333</v>
      </c>
      <c r="J13" s="23">
        <v>210816</v>
      </c>
      <c r="K13" s="23">
        <v>225715</v>
      </c>
      <c r="L13" s="23">
        <v>235747</v>
      </c>
      <c r="M13" s="23">
        <v>220890</v>
      </c>
      <c r="N13" s="23">
        <v>230391</v>
      </c>
      <c r="O13" s="23">
        <v>242105</v>
      </c>
      <c r="P13" s="23">
        <v>243743</v>
      </c>
      <c r="Q13" s="23">
        <v>245287</v>
      </c>
      <c r="R13" s="23">
        <v>250226</v>
      </c>
      <c r="S13" s="23">
        <v>257118</v>
      </c>
      <c r="T13" s="23">
        <v>266697.99999999994</v>
      </c>
      <c r="U13" s="23">
        <v>280140.00000000006</v>
      </c>
      <c r="V13" s="23">
        <v>292688</v>
      </c>
      <c r="W13" s="23">
        <v>305668</v>
      </c>
      <c r="X13" s="23">
        <v>287810</v>
      </c>
      <c r="Y13" s="23">
        <v>308137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275115.00000000006</v>
      </c>
      <c r="E14" s="23">
        <v>286229.00000000006</v>
      </c>
      <c r="F14" s="23">
        <v>300644</v>
      </c>
      <c r="G14" s="23">
        <v>312799</v>
      </c>
      <c r="H14" s="23">
        <v>326123</v>
      </c>
      <c r="I14" s="23">
        <v>339715</v>
      </c>
      <c r="J14" s="23">
        <v>352645</v>
      </c>
      <c r="K14" s="23">
        <v>367605</v>
      </c>
      <c r="L14" s="23">
        <v>381066</v>
      </c>
      <c r="M14" s="23">
        <v>393459</v>
      </c>
      <c r="N14" s="23">
        <v>403147</v>
      </c>
      <c r="O14" s="23">
        <v>414251</v>
      </c>
      <c r="P14" s="23">
        <v>423764</v>
      </c>
      <c r="Q14" s="23">
        <v>432865</v>
      </c>
      <c r="R14" s="23">
        <v>439705</v>
      </c>
      <c r="S14" s="23">
        <v>443572</v>
      </c>
      <c r="T14" s="23">
        <v>449937</v>
      </c>
      <c r="U14" s="23">
        <v>460019</v>
      </c>
      <c r="V14" s="23">
        <v>466704</v>
      </c>
      <c r="W14" s="23">
        <v>474229</v>
      </c>
      <c r="X14" s="23">
        <v>478600</v>
      </c>
      <c r="Y14" s="23">
        <v>506975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38381</v>
      </c>
      <c r="E15" s="23">
        <v>40524.999999999993</v>
      </c>
      <c r="F15" s="23">
        <v>42938</v>
      </c>
      <c r="G15" s="23">
        <v>44517</v>
      </c>
      <c r="H15" s="23">
        <v>46609</v>
      </c>
      <c r="I15" s="23">
        <v>48251</v>
      </c>
      <c r="J15" s="23">
        <v>50471</v>
      </c>
      <c r="K15" s="23">
        <v>52827</v>
      </c>
      <c r="L15" s="23">
        <v>53379</v>
      </c>
      <c r="M15" s="23">
        <v>53369</v>
      </c>
      <c r="N15" s="23">
        <v>54854</v>
      </c>
      <c r="O15" s="23">
        <v>55195</v>
      </c>
      <c r="P15" s="23">
        <v>56299</v>
      </c>
      <c r="Q15" s="23">
        <v>57528</v>
      </c>
      <c r="R15" s="23">
        <v>58261</v>
      </c>
      <c r="S15" s="23">
        <v>58123</v>
      </c>
      <c r="T15" s="23">
        <v>58860</v>
      </c>
      <c r="U15" s="23">
        <v>60722</v>
      </c>
      <c r="V15" s="23">
        <v>60415</v>
      </c>
      <c r="W15" s="23">
        <v>62725</v>
      </c>
      <c r="X15" s="23">
        <v>55091</v>
      </c>
      <c r="Y15" s="23">
        <v>59185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1326341</v>
      </c>
      <c r="E16" s="30">
        <f t="shared" ref="E16:S16" si="0">SUM(E6:E15)</f>
        <v>1384016</v>
      </c>
      <c r="F16" s="30">
        <f t="shared" si="0"/>
        <v>1430220</v>
      </c>
      <c r="G16" s="30">
        <f t="shared" si="0"/>
        <v>1469233</v>
      </c>
      <c r="H16" s="30">
        <f t="shared" si="0"/>
        <v>1532690</v>
      </c>
      <c r="I16" s="30">
        <f t="shared" si="0"/>
        <v>1586085</v>
      </c>
      <c r="J16" s="30">
        <f t="shared" si="0"/>
        <v>1654464</v>
      </c>
      <c r="K16" s="30">
        <f t="shared" si="0"/>
        <v>1742511.9999999998</v>
      </c>
      <c r="L16" s="30">
        <f t="shared" si="0"/>
        <v>1792805</v>
      </c>
      <c r="M16" s="30">
        <f t="shared" si="0"/>
        <v>1750127</v>
      </c>
      <c r="N16" s="30">
        <f t="shared" si="0"/>
        <v>1797789.9999999998</v>
      </c>
      <c r="O16" s="30">
        <f t="shared" si="0"/>
        <v>1848582.9999999998</v>
      </c>
      <c r="P16" s="30">
        <f t="shared" si="0"/>
        <v>1875325</v>
      </c>
      <c r="Q16" s="30">
        <f t="shared" si="0"/>
        <v>1899840.9999999998</v>
      </c>
      <c r="R16" s="30">
        <f t="shared" si="0"/>
        <v>1927230</v>
      </c>
      <c r="S16" s="30">
        <f t="shared" si="0"/>
        <v>1967466</v>
      </c>
      <c r="T16" s="30">
        <f t="shared" ref="T16:Y16" si="1">SUM(T6:T15)</f>
        <v>1996790.0000000002</v>
      </c>
      <c r="U16" s="30">
        <f t="shared" si="1"/>
        <v>2046128.9999999998</v>
      </c>
      <c r="V16" s="30">
        <f t="shared" si="1"/>
        <v>2101770</v>
      </c>
      <c r="W16" s="30">
        <f t="shared" si="1"/>
        <v>2169269</v>
      </c>
      <c r="X16" s="30">
        <f t="shared" si="1"/>
        <v>2068844.0000000002</v>
      </c>
      <c r="Y16" s="30">
        <f t="shared" si="1"/>
        <v>2217805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31026.000000000004</v>
      </c>
      <c r="E18" s="19">
        <v>32410</v>
      </c>
      <c r="F18" s="19">
        <v>31929</v>
      </c>
      <c r="G18" s="19">
        <v>30170</v>
      </c>
      <c r="H18" s="19">
        <v>31059</v>
      </c>
      <c r="I18" s="19">
        <v>29669</v>
      </c>
      <c r="J18" s="19">
        <v>28064</v>
      </c>
      <c r="K18" s="19">
        <v>31314</v>
      </c>
      <c r="L18" s="19">
        <v>30189</v>
      </c>
      <c r="M18" s="19">
        <v>25622</v>
      </c>
      <c r="N18" s="19">
        <v>32004.999999999996</v>
      </c>
      <c r="O18" s="19">
        <v>33969</v>
      </c>
      <c r="P18" s="19">
        <v>34085.000000000007</v>
      </c>
      <c r="Q18" s="19">
        <v>30882</v>
      </c>
      <c r="R18" s="19">
        <v>33458</v>
      </c>
      <c r="S18" s="19">
        <v>35299</v>
      </c>
      <c r="T18" s="19">
        <v>32107</v>
      </c>
      <c r="U18" s="19">
        <v>35433.000000000007</v>
      </c>
      <c r="V18" s="19">
        <v>38968</v>
      </c>
      <c r="W18" s="19">
        <v>37111.999999999993</v>
      </c>
      <c r="X18" s="19">
        <v>36610</v>
      </c>
      <c r="Y18" s="19">
        <v>40465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1981</v>
      </c>
      <c r="E19" s="23">
        <v>1998</v>
      </c>
      <c r="F19" s="23">
        <v>2037</v>
      </c>
      <c r="G19" s="23">
        <v>1875</v>
      </c>
      <c r="H19" s="23">
        <v>1820</v>
      </c>
      <c r="I19" s="23">
        <v>1990</v>
      </c>
      <c r="J19" s="23">
        <v>2187.0000000000005</v>
      </c>
      <c r="K19" s="23">
        <v>2402.9999999999995</v>
      </c>
      <c r="L19" s="23">
        <v>2375.0000000000005</v>
      </c>
      <c r="M19" s="23">
        <v>2193.9999999999995</v>
      </c>
      <c r="N19" s="23">
        <v>2250</v>
      </c>
      <c r="O19" s="23">
        <v>2240</v>
      </c>
      <c r="P19" s="23">
        <v>2215.0000000000005</v>
      </c>
      <c r="Q19" s="23">
        <v>2111</v>
      </c>
      <c r="R19" s="23">
        <v>2184</v>
      </c>
      <c r="S19" s="23">
        <v>1944</v>
      </c>
      <c r="T19" s="23">
        <v>1853</v>
      </c>
      <c r="U19" s="23">
        <v>1867</v>
      </c>
      <c r="V19" s="23">
        <v>1907</v>
      </c>
      <c r="W19" s="23">
        <v>1904</v>
      </c>
      <c r="X19" s="23">
        <v>1746</v>
      </c>
      <c r="Y19" s="23">
        <v>1827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214062.00000000003</v>
      </c>
      <c r="E20" s="23">
        <v>215815.00000000012</v>
      </c>
      <c r="F20" s="23">
        <v>215707.99999999983</v>
      </c>
      <c r="G20" s="23">
        <v>213517.00000000015</v>
      </c>
      <c r="H20" s="23">
        <v>216149.00000000015</v>
      </c>
      <c r="I20" s="23">
        <v>216310.99999999985</v>
      </c>
      <c r="J20" s="23">
        <v>216737.00000000003</v>
      </c>
      <c r="K20" s="23">
        <v>225772.99999999965</v>
      </c>
      <c r="L20" s="23">
        <v>221245.00000000015</v>
      </c>
      <c r="M20" s="23">
        <v>205064.99999999997</v>
      </c>
      <c r="N20" s="23">
        <v>206055.99999999974</v>
      </c>
      <c r="O20" s="23">
        <v>213986.99999999988</v>
      </c>
      <c r="P20" s="23">
        <v>216432.99999999985</v>
      </c>
      <c r="Q20" s="23">
        <v>219219.99999999974</v>
      </c>
      <c r="R20" s="23">
        <v>221003.00000000003</v>
      </c>
      <c r="S20" s="23">
        <v>229376</v>
      </c>
      <c r="T20" s="23">
        <v>229735.00000000015</v>
      </c>
      <c r="U20" s="23">
        <v>232853.99999999983</v>
      </c>
      <c r="V20" s="23">
        <v>235663.00000000003</v>
      </c>
      <c r="W20" s="23">
        <v>243953.00000000023</v>
      </c>
      <c r="X20" s="23">
        <v>219140.00000000029</v>
      </c>
      <c r="Y20" s="23">
        <v>226091.00000000023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25476</v>
      </c>
      <c r="E21" s="23">
        <v>25965</v>
      </c>
      <c r="F21" s="23">
        <v>28017</v>
      </c>
      <c r="G21" s="23">
        <v>28256</v>
      </c>
      <c r="H21" s="23">
        <v>29835.999999999996</v>
      </c>
      <c r="I21" s="23">
        <v>31052</v>
      </c>
      <c r="J21" s="23">
        <v>31251</v>
      </c>
      <c r="K21" s="23">
        <v>25986</v>
      </c>
      <c r="L21" s="23">
        <v>24979</v>
      </c>
      <c r="M21" s="23">
        <v>25912</v>
      </c>
      <c r="N21" s="23">
        <v>25720</v>
      </c>
      <c r="O21" s="23">
        <v>27660</v>
      </c>
      <c r="P21" s="23">
        <v>30734</v>
      </c>
      <c r="Q21" s="23">
        <v>32953.000000000007</v>
      </c>
      <c r="R21" s="23">
        <v>34085</v>
      </c>
      <c r="S21" s="23">
        <v>35336</v>
      </c>
      <c r="T21" s="23">
        <v>35325.000000000007</v>
      </c>
      <c r="U21" s="23">
        <v>33148.000000000007</v>
      </c>
      <c r="V21" s="23">
        <v>35997</v>
      </c>
      <c r="W21" s="23">
        <v>39711.000000000007</v>
      </c>
      <c r="X21" s="23">
        <v>41328</v>
      </c>
      <c r="Y21" s="23">
        <v>40826.999999999993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8929</v>
      </c>
      <c r="E22" s="23">
        <v>9593</v>
      </c>
      <c r="F22" s="23">
        <v>10515</v>
      </c>
      <c r="G22" s="23">
        <v>10510</v>
      </c>
      <c r="H22" s="23">
        <v>11450</v>
      </c>
      <c r="I22" s="23">
        <v>10775</v>
      </c>
      <c r="J22" s="23">
        <v>11580</v>
      </c>
      <c r="K22" s="23">
        <v>12396</v>
      </c>
      <c r="L22" s="23">
        <v>12679</v>
      </c>
      <c r="M22" s="23">
        <v>12472</v>
      </c>
      <c r="N22" s="23">
        <v>13934</v>
      </c>
      <c r="O22" s="23">
        <v>14535</v>
      </c>
      <c r="P22" s="23">
        <v>14233</v>
      </c>
      <c r="Q22" s="23">
        <v>14285</v>
      </c>
      <c r="R22" s="23">
        <v>14106</v>
      </c>
      <c r="S22" s="23">
        <v>14135</v>
      </c>
      <c r="T22" s="23">
        <v>14225</v>
      </c>
      <c r="U22" s="23">
        <v>15064</v>
      </c>
      <c r="V22" s="23">
        <v>15261</v>
      </c>
      <c r="W22" s="23">
        <v>15067</v>
      </c>
      <c r="X22" s="23">
        <v>14633</v>
      </c>
      <c r="Y22" s="23">
        <v>17597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64400</v>
      </c>
      <c r="E23" s="23">
        <v>68702</v>
      </c>
      <c r="F23" s="23">
        <v>71601</v>
      </c>
      <c r="G23" s="23">
        <v>75103</v>
      </c>
      <c r="H23" s="23">
        <v>80825</v>
      </c>
      <c r="I23" s="23">
        <v>86159</v>
      </c>
      <c r="J23" s="23">
        <v>94645</v>
      </c>
      <c r="K23" s="23">
        <v>104954</v>
      </c>
      <c r="L23" s="23">
        <v>113565</v>
      </c>
      <c r="M23" s="23">
        <v>108816</v>
      </c>
      <c r="N23" s="23">
        <v>108114</v>
      </c>
      <c r="O23" s="23">
        <v>111634</v>
      </c>
      <c r="P23" s="23">
        <v>109623</v>
      </c>
      <c r="Q23" s="23">
        <v>111927</v>
      </c>
      <c r="R23" s="23">
        <v>110116</v>
      </c>
      <c r="S23" s="23">
        <v>107884</v>
      </c>
      <c r="T23" s="23">
        <v>108362</v>
      </c>
      <c r="U23" s="23">
        <v>113137</v>
      </c>
      <c r="V23" s="23">
        <v>117386</v>
      </c>
      <c r="W23" s="23">
        <v>124114</v>
      </c>
      <c r="X23" s="23">
        <v>112222</v>
      </c>
      <c r="Y23" s="23">
        <v>123895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147542.99999999997</v>
      </c>
      <c r="E24" s="23">
        <v>158992</v>
      </c>
      <c r="F24" s="23">
        <v>163414.00000000003</v>
      </c>
      <c r="G24" s="23">
        <v>172159</v>
      </c>
      <c r="H24" s="23">
        <v>174954.99999999997</v>
      </c>
      <c r="I24" s="23">
        <v>176238.00000000003</v>
      </c>
      <c r="J24" s="23">
        <v>179131</v>
      </c>
      <c r="K24" s="23">
        <v>186312.00000000003</v>
      </c>
      <c r="L24" s="23">
        <v>197677.00000000003</v>
      </c>
      <c r="M24" s="23">
        <v>192260</v>
      </c>
      <c r="N24" s="23">
        <v>189616.00000000003</v>
      </c>
      <c r="O24" s="23">
        <v>194679</v>
      </c>
      <c r="P24" s="23">
        <v>197127.00000000003</v>
      </c>
      <c r="Q24" s="23">
        <v>197479.00000000003</v>
      </c>
      <c r="R24" s="23">
        <v>198272</v>
      </c>
      <c r="S24" s="23">
        <v>205731</v>
      </c>
      <c r="T24" s="23">
        <v>207996</v>
      </c>
      <c r="U24" s="23">
        <v>212945.99999999997</v>
      </c>
      <c r="V24" s="23">
        <v>217108.99999999997</v>
      </c>
      <c r="W24" s="23">
        <v>224943.99999999997</v>
      </c>
      <c r="X24" s="23">
        <v>223910.99999999997</v>
      </c>
      <c r="Y24" s="23">
        <v>247921.00000000003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58532</v>
      </c>
      <c r="E25" s="23">
        <v>61956</v>
      </c>
      <c r="F25" s="23">
        <v>64714</v>
      </c>
      <c r="G25" s="23">
        <v>65924</v>
      </c>
      <c r="H25" s="23">
        <v>69649</v>
      </c>
      <c r="I25" s="23">
        <v>71686</v>
      </c>
      <c r="J25" s="23">
        <v>73771.000000000015</v>
      </c>
      <c r="K25" s="23">
        <v>79074</v>
      </c>
      <c r="L25" s="23">
        <v>82063</v>
      </c>
      <c r="M25" s="23">
        <v>79364</v>
      </c>
      <c r="N25" s="23">
        <v>83048.999999999985</v>
      </c>
      <c r="O25" s="23">
        <v>83120</v>
      </c>
      <c r="P25" s="23">
        <v>84710</v>
      </c>
      <c r="Q25" s="23">
        <v>84815</v>
      </c>
      <c r="R25" s="23">
        <v>87696</v>
      </c>
      <c r="S25" s="23">
        <v>90702</v>
      </c>
      <c r="T25" s="23">
        <v>91887</v>
      </c>
      <c r="U25" s="23">
        <v>94738</v>
      </c>
      <c r="V25" s="23">
        <v>93401</v>
      </c>
      <c r="W25" s="23">
        <v>99336</v>
      </c>
      <c r="X25" s="23">
        <v>82418.999999999985</v>
      </c>
      <c r="Y25" s="23">
        <v>103132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32736</v>
      </c>
      <c r="E26" s="23">
        <v>33513.999999999993</v>
      </c>
      <c r="F26" s="23">
        <v>35440.000000000007</v>
      </c>
      <c r="G26" s="23">
        <v>36540</v>
      </c>
      <c r="H26" s="23">
        <v>37606</v>
      </c>
      <c r="I26" s="23">
        <v>39752.000000000007</v>
      </c>
      <c r="J26" s="23">
        <v>41347</v>
      </c>
      <c r="K26" s="23">
        <v>44145</v>
      </c>
      <c r="L26" s="23">
        <v>44692</v>
      </c>
      <c r="M26" s="23">
        <v>44192</v>
      </c>
      <c r="N26" s="23">
        <v>47223</v>
      </c>
      <c r="O26" s="23">
        <v>49465</v>
      </c>
      <c r="P26" s="23">
        <v>50240</v>
      </c>
      <c r="Q26" s="23">
        <v>51058</v>
      </c>
      <c r="R26" s="23">
        <v>50898</v>
      </c>
      <c r="S26" s="23">
        <v>52140</v>
      </c>
      <c r="T26" s="23">
        <v>54502</v>
      </c>
      <c r="U26" s="23">
        <v>55485</v>
      </c>
      <c r="V26" s="23">
        <v>58455</v>
      </c>
      <c r="W26" s="23">
        <v>63075</v>
      </c>
      <c r="X26" s="23">
        <v>38460</v>
      </c>
      <c r="Y26" s="23">
        <v>41710.999999999993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68411</v>
      </c>
      <c r="E27" s="23">
        <v>73788</v>
      </c>
      <c r="F27" s="23">
        <v>78972</v>
      </c>
      <c r="G27" s="23">
        <v>80056</v>
      </c>
      <c r="H27" s="23">
        <v>83646.000000000015</v>
      </c>
      <c r="I27" s="23">
        <v>84668</v>
      </c>
      <c r="J27" s="23">
        <v>88460</v>
      </c>
      <c r="K27" s="23">
        <v>91576</v>
      </c>
      <c r="L27" s="23">
        <v>93959</v>
      </c>
      <c r="M27" s="23">
        <v>91749</v>
      </c>
      <c r="N27" s="23">
        <v>92297</v>
      </c>
      <c r="O27" s="23">
        <v>93436</v>
      </c>
      <c r="P27" s="23">
        <v>93557</v>
      </c>
      <c r="Q27" s="23">
        <v>93101</v>
      </c>
      <c r="R27" s="23">
        <v>94376</v>
      </c>
      <c r="S27" s="23">
        <v>98038</v>
      </c>
      <c r="T27" s="23">
        <v>102020</v>
      </c>
      <c r="U27" s="23">
        <v>106839</v>
      </c>
      <c r="V27" s="23">
        <v>112046</v>
      </c>
      <c r="W27" s="23">
        <v>116240</v>
      </c>
      <c r="X27" s="23">
        <v>115908</v>
      </c>
      <c r="Y27" s="23">
        <v>123545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54425</v>
      </c>
      <c r="E28" s="23">
        <v>51107</v>
      </c>
      <c r="F28" s="23">
        <v>52564</v>
      </c>
      <c r="G28" s="23">
        <v>52926</v>
      </c>
      <c r="H28" s="23">
        <v>57224</v>
      </c>
      <c r="I28" s="23">
        <v>60117.999999999993</v>
      </c>
      <c r="J28" s="23">
        <v>63705</v>
      </c>
      <c r="K28" s="23">
        <v>66988.000000000015</v>
      </c>
      <c r="L28" s="23">
        <v>63881</v>
      </c>
      <c r="M28" s="23">
        <v>69147</v>
      </c>
      <c r="N28" s="23">
        <v>81573.000000000015</v>
      </c>
      <c r="O28" s="23">
        <v>78798</v>
      </c>
      <c r="P28" s="23">
        <v>79364</v>
      </c>
      <c r="Q28" s="23">
        <v>83951</v>
      </c>
      <c r="R28" s="23">
        <v>86923</v>
      </c>
      <c r="S28" s="23">
        <v>87555</v>
      </c>
      <c r="T28" s="23">
        <v>86041</v>
      </c>
      <c r="U28" s="23">
        <v>79388</v>
      </c>
      <c r="V28" s="23">
        <v>85698</v>
      </c>
      <c r="W28" s="23">
        <v>83196</v>
      </c>
      <c r="X28" s="23">
        <v>81951.000000000015</v>
      </c>
      <c r="Y28" s="23">
        <v>91543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146605</v>
      </c>
      <c r="E29" s="23">
        <v>156027</v>
      </c>
      <c r="F29" s="23">
        <v>158925.00000000003</v>
      </c>
      <c r="G29" s="23">
        <v>166385</v>
      </c>
      <c r="H29" s="23">
        <v>179646</v>
      </c>
      <c r="I29" s="23">
        <v>193368</v>
      </c>
      <c r="J29" s="23">
        <v>209654</v>
      </c>
      <c r="K29" s="23">
        <v>225444</v>
      </c>
      <c r="L29" s="23">
        <v>235309</v>
      </c>
      <c r="M29" s="23">
        <v>225616</v>
      </c>
      <c r="N29" s="23">
        <v>227561</v>
      </c>
      <c r="O29" s="23">
        <v>233509</v>
      </c>
      <c r="P29" s="23">
        <v>239198</v>
      </c>
      <c r="Q29" s="23">
        <v>242379</v>
      </c>
      <c r="R29" s="23">
        <v>245921</v>
      </c>
      <c r="S29" s="23">
        <v>250513</v>
      </c>
      <c r="T29" s="23">
        <v>257242</v>
      </c>
      <c r="U29" s="23">
        <v>264349.00000000006</v>
      </c>
      <c r="V29" s="23">
        <v>270072</v>
      </c>
      <c r="W29" s="23">
        <v>277995</v>
      </c>
      <c r="X29" s="23">
        <v>279015</v>
      </c>
      <c r="Y29" s="23">
        <v>284954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84128</v>
      </c>
      <c r="E30" s="23">
        <v>89498</v>
      </c>
      <c r="F30" s="23">
        <v>94705</v>
      </c>
      <c r="G30" s="23">
        <v>99124.000000000015</v>
      </c>
      <c r="H30" s="23">
        <v>104839.99999999999</v>
      </c>
      <c r="I30" s="23">
        <v>111207</v>
      </c>
      <c r="J30" s="23">
        <v>119784</v>
      </c>
      <c r="K30" s="23">
        <v>128019</v>
      </c>
      <c r="L30" s="23">
        <v>134702.99999999997</v>
      </c>
      <c r="M30" s="23">
        <v>130098.99999999999</v>
      </c>
      <c r="N30" s="23">
        <v>135514</v>
      </c>
      <c r="O30" s="23">
        <v>142353.99999999997</v>
      </c>
      <c r="P30" s="23">
        <v>144685</v>
      </c>
      <c r="Q30" s="23">
        <v>146039.00000000003</v>
      </c>
      <c r="R30" s="23">
        <v>148744.99999999997</v>
      </c>
      <c r="S30" s="23">
        <v>152309</v>
      </c>
      <c r="T30" s="23">
        <v>156512.99999999997</v>
      </c>
      <c r="U30" s="23">
        <v>163910.00000000003</v>
      </c>
      <c r="V30" s="23">
        <v>169696</v>
      </c>
      <c r="W30" s="23">
        <v>178338</v>
      </c>
      <c r="X30" s="23">
        <v>172127</v>
      </c>
      <c r="Y30" s="23">
        <v>183312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74591</v>
      </c>
      <c r="E31" s="23">
        <v>77897</v>
      </c>
      <c r="F31" s="23">
        <v>78097</v>
      </c>
      <c r="G31" s="23">
        <v>79372</v>
      </c>
      <c r="H31" s="23">
        <v>81253</v>
      </c>
      <c r="I31" s="23">
        <v>85126</v>
      </c>
      <c r="J31" s="23">
        <v>91032</v>
      </c>
      <c r="K31" s="23">
        <v>97696</v>
      </c>
      <c r="L31" s="23">
        <v>101044</v>
      </c>
      <c r="M31" s="23">
        <v>90791</v>
      </c>
      <c r="N31" s="23">
        <v>94877</v>
      </c>
      <c r="O31" s="23">
        <v>99751</v>
      </c>
      <c r="P31" s="23">
        <v>99058</v>
      </c>
      <c r="Q31" s="23">
        <v>99248</v>
      </c>
      <c r="R31" s="23">
        <v>101481</v>
      </c>
      <c r="S31" s="23">
        <v>104809</v>
      </c>
      <c r="T31" s="23">
        <v>110185</v>
      </c>
      <c r="U31" s="23">
        <v>116230</v>
      </c>
      <c r="V31" s="23">
        <v>122992</v>
      </c>
      <c r="W31" s="23">
        <v>127330</v>
      </c>
      <c r="X31" s="23">
        <v>115683</v>
      </c>
      <c r="Y31" s="23">
        <v>124825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108740.00000000004</v>
      </c>
      <c r="E32" s="23">
        <v>111708.00000000004</v>
      </c>
      <c r="F32" s="23">
        <v>114750.00000000004</v>
      </c>
      <c r="G32" s="23">
        <v>118352.99999999996</v>
      </c>
      <c r="H32" s="23">
        <v>123424.99999999999</v>
      </c>
      <c r="I32" s="23">
        <v>128234.99999999999</v>
      </c>
      <c r="J32" s="23">
        <v>131760.00000000003</v>
      </c>
      <c r="K32" s="23">
        <v>136061</v>
      </c>
      <c r="L32" s="23">
        <v>139273.99999999997</v>
      </c>
      <c r="M32" s="23">
        <v>144109.00000000003</v>
      </c>
      <c r="N32" s="23">
        <v>147073.00000000003</v>
      </c>
      <c r="O32" s="23">
        <v>150538</v>
      </c>
      <c r="P32" s="23">
        <v>154025.99999999997</v>
      </c>
      <c r="Q32" s="23">
        <v>156764.99999999997</v>
      </c>
      <c r="R32" s="23">
        <v>158179</v>
      </c>
      <c r="S32" s="23">
        <v>157116</v>
      </c>
      <c r="T32" s="23">
        <v>158092.99999999997</v>
      </c>
      <c r="U32" s="23">
        <v>160885</v>
      </c>
      <c r="V32" s="23">
        <v>163470.00000000003</v>
      </c>
      <c r="W32" s="23">
        <v>166096.99999999994</v>
      </c>
      <c r="X32" s="23">
        <v>168539.00000000003</v>
      </c>
      <c r="Y32" s="23">
        <v>172106.99999999997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70464</v>
      </c>
      <c r="E33" s="23">
        <v>73497</v>
      </c>
      <c r="F33" s="23">
        <v>76858</v>
      </c>
      <c r="G33" s="23">
        <v>79553</v>
      </c>
      <c r="H33" s="23">
        <v>80215</v>
      </c>
      <c r="I33" s="23">
        <v>83152</v>
      </c>
      <c r="J33" s="23">
        <v>84965</v>
      </c>
      <c r="K33" s="23">
        <v>88742</v>
      </c>
      <c r="L33" s="23">
        <v>92784</v>
      </c>
      <c r="M33" s="23">
        <v>94961</v>
      </c>
      <c r="N33" s="23">
        <v>97151</v>
      </c>
      <c r="O33" s="23">
        <v>99048</v>
      </c>
      <c r="P33" s="23">
        <v>100593</v>
      </c>
      <c r="Q33" s="23">
        <v>102059</v>
      </c>
      <c r="R33" s="23">
        <v>103454</v>
      </c>
      <c r="S33" s="23">
        <v>105270</v>
      </c>
      <c r="T33" s="23">
        <v>106965</v>
      </c>
      <c r="U33" s="23">
        <v>110635</v>
      </c>
      <c r="V33" s="23">
        <v>112239</v>
      </c>
      <c r="W33" s="23">
        <v>114116</v>
      </c>
      <c r="X33" s="23">
        <v>115226</v>
      </c>
      <c r="Y33" s="23">
        <v>120460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95911</v>
      </c>
      <c r="E34" s="23">
        <v>101024</v>
      </c>
      <c r="F34" s="23">
        <v>109036</v>
      </c>
      <c r="G34" s="23">
        <v>114893.00000000001</v>
      </c>
      <c r="H34" s="23">
        <v>122483</v>
      </c>
      <c r="I34" s="23">
        <v>128327.99999999999</v>
      </c>
      <c r="J34" s="23">
        <v>135920</v>
      </c>
      <c r="K34" s="23">
        <v>142802.00000000003</v>
      </c>
      <c r="L34" s="23">
        <v>149007.99999999997</v>
      </c>
      <c r="M34" s="23">
        <v>154389.00000000003</v>
      </c>
      <c r="N34" s="23">
        <v>158923</v>
      </c>
      <c r="O34" s="23">
        <v>164665</v>
      </c>
      <c r="P34" s="23">
        <v>169145</v>
      </c>
      <c r="Q34" s="23">
        <v>174041</v>
      </c>
      <c r="R34" s="23">
        <v>178072</v>
      </c>
      <c r="S34" s="23">
        <v>181186</v>
      </c>
      <c r="T34" s="23">
        <v>184879</v>
      </c>
      <c r="U34" s="23">
        <v>188499</v>
      </c>
      <c r="V34" s="23">
        <v>190995</v>
      </c>
      <c r="W34" s="23">
        <v>194016</v>
      </c>
      <c r="X34" s="23">
        <v>194835</v>
      </c>
      <c r="Y34" s="23">
        <v>214408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14463.000000000002</v>
      </c>
      <c r="E35" s="23">
        <v>15724</v>
      </c>
      <c r="F35" s="23">
        <v>17552.999999999996</v>
      </c>
      <c r="G35" s="23">
        <v>18374</v>
      </c>
      <c r="H35" s="23">
        <v>18994</v>
      </c>
      <c r="I35" s="23">
        <v>19973.999999999996</v>
      </c>
      <c r="J35" s="23">
        <v>21039.999999999996</v>
      </c>
      <c r="K35" s="23">
        <v>22282</v>
      </c>
      <c r="L35" s="23">
        <v>22994</v>
      </c>
      <c r="M35" s="23">
        <v>23314.000000000004</v>
      </c>
      <c r="N35" s="23">
        <v>24309</v>
      </c>
      <c r="O35" s="23">
        <v>24928.000000000004</v>
      </c>
      <c r="P35" s="23">
        <v>25370.000000000004</v>
      </c>
      <c r="Q35" s="23">
        <v>26488</v>
      </c>
      <c r="R35" s="23">
        <v>27183</v>
      </c>
      <c r="S35" s="23">
        <v>27591</v>
      </c>
      <c r="T35" s="23">
        <v>28038</v>
      </c>
      <c r="U35" s="23">
        <v>29443.999999999996</v>
      </c>
      <c r="V35" s="23">
        <v>30739</v>
      </c>
      <c r="W35" s="23">
        <v>32480</v>
      </c>
      <c r="X35" s="23">
        <v>28554.999999999996</v>
      </c>
      <c r="Y35" s="23">
        <v>30054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20741</v>
      </c>
      <c r="E36" s="23">
        <v>21473</v>
      </c>
      <c r="F36" s="23">
        <v>21750</v>
      </c>
      <c r="G36" s="23">
        <v>22148</v>
      </c>
      <c r="H36" s="23">
        <v>23302</v>
      </c>
      <c r="I36" s="23">
        <v>23757</v>
      </c>
      <c r="J36" s="23">
        <v>24824</v>
      </c>
      <c r="K36" s="23">
        <v>25812</v>
      </c>
      <c r="L36" s="23">
        <v>26338</v>
      </c>
      <c r="M36" s="23">
        <v>26072</v>
      </c>
      <c r="N36" s="23">
        <v>26555</v>
      </c>
      <c r="O36" s="23">
        <v>26329</v>
      </c>
      <c r="P36" s="23">
        <v>27079</v>
      </c>
      <c r="Q36" s="23">
        <v>27355</v>
      </c>
      <c r="R36" s="23">
        <v>27475</v>
      </c>
      <c r="S36" s="23">
        <v>27062</v>
      </c>
      <c r="T36" s="23">
        <v>27446</v>
      </c>
      <c r="U36" s="23">
        <v>27897</v>
      </c>
      <c r="V36" s="23">
        <v>28106</v>
      </c>
      <c r="W36" s="23">
        <v>28772</v>
      </c>
      <c r="X36" s="23">
        <v>25692</v>
      </c>
      <c r="Y36" s="23">
        <v>27669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3177</v>
      </c>
      <c r="E37" s="23">
        <v>3328</v>
      </c>
      <c r="F37" s="23">
        <v>3635</v>
      </c>
      <c r="G37" s="23">
        <v>3995</v>
      </c>
      <c r="H37" s="23">
        <v>4313</v>
      </c>
      <c r="I37" s="23">
        <v>4520</v>
      </c>
      <c r="J37" s="23">
        <v>4607</v>
      </c>
      <c r="K37" s="23">
        <v>4733.0000000000009</v>
      </c>
      <c r="L37" s="23">
        <v>4047</v>
      </c>
      <c r="M37" s="23">
        <v>3983</v>
      </c>
      <c r="N37" s="23">
        <v>3990</v>
      </c>
      <c r="O37" s="23">
        <v>3938</v>
      </c>
      <c r="P37" s="23">
        <v>3850</v>
      </c>
      <c r="Q37" s="23">
        <v>3685</v>
      </c>
      <c r="R37" s="23">
        <v>3602.9999999999955</v>
      </c>
      <c r="S37" s="23">
        <v>3470</v>
      </c>
      <c r="T37" s="23">
        <v>3376</v>
      </c>
      <c r="U37" s="23">
        <v>3381</v>
      </c>
      <c r="V37" s="23">
        <v>1570</v>
      </c>
      <c r="W37" s="23">
        <v>1473</v>
      </c>
      <c r="X37" s="23">
        <v>844</v>
      </c>
      <c r="Y37" s="23">
        <v>1462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1326341</v>
      </c>
      <c r="E39" s="30">
        <f t="shared" ref="E39:S39" si="2">SUM(E18:E38)</f>
        <v>1384016</v>
      </c>
      <c r="F39" s="30">
        <f t="shared" si="2"/>
        <v>1430220</v>
      </c>
      <c r="G39" s="30">
        <f t="shared" si="2"/>
        <v>1469233</v>
      </c>
      <c r="H39" s="30">
        <f t="shared" si="2"/>
        <v>1532690</v>
      </c>
      <c r="I39" s="30">
        <f t="shared" si="2"/>
        <v>1586085</v>
      </c>
      <c r="J39" s="30">
        <f t="shared" si="2"/>
        <v>1654464</v>
      </c>
      <c r="K39" s="30">
        <f t="shared" si="2"/>
        <v>1742511.9999999995</v>
      </c>
      <c r="L39" s="30">
        <f t="shared" si="2"/>
        <v>1792805</v>
      </c>
      <c r="M39" s="30">
        <f t="shared" si="2"/>
        <v>1750127</v>
      </c>
      <c r="N39" s="30">
        <f t="shared" si="2"/>
        <v>1797789.9999999998</v>
      </c>
      <c r="O39" s="30">
        <f t="shared" si="2"/>
        <v>1848583</v>
      </c>
      <c r="P39" s="30">
        <f t="shared" si="2"/>
        <v>1875325</v>
      </c>
      <c r="Q39" s="30">
        <f t="shared" si="2"/>
        <v>1899840.9999999998</v>
      </c>
      <c r="R39" s="30">
        <f t="shared" si="2"/>
        <v>1927230</v>
      </c>
      <c r="S39" s="30">
        <f t="shared" si="2"/>
        <v>1967466</v>
      </c>
      <c r="T39" s="30">
        <f t="shared" ref="T39:Y39" si="3">SUM(T18:T38)</f>
        <v>1996790</v>
      </c>
      <c r="U39" s="30">
        <f t="shared" si="3"/>
        <v>2046128.9999999998</v>
      </c>
      <c r="V39" s="30">
        <f t="shared" si="3"/>
        <v>2101770</v>
      </c>
      <c r="W39" s="30">
        <f t="shared" si="3"/>
        <v>2169269</v>
      </c>
      <c r="X39" s="30">
        <f t="shared" si="3"/>
        <v>2068844.0000000002</v>
      </c>
      <c r="Y39" s="30">
        <f t="shared" si="3"/>
        <v>2217805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34268</v>
      </c>
      <c r="E41" s="19">
        <v>34248</v>
      </c>
      <c r="F41" s="19">
        <v>36064.999999999993</v>
      </c>
      <c r="G41" s="19">
        <v>37296</v>
      </c>
      <c r="H41" s="19">
        <v>38842</v>
      </c>
      <c r="I41" s="19">
        <v>37862</v>
      </c>
      <c r="J41" s="19">
        <v>37144</v>
      </c>
      <c r="K41" s="19">
        <v>38823</v>
      </c>
      <c r="L41" s="19">
        <v>38477</v>
      </c>
      <c r="M41" s="19">
        <v>37878</v>
      </c>
      <c r="N41" s="19">
        <v>37047</v>
      </c>
      <c r="O41" s="19">
        <v>39150.999999999993</v>
      </c>
      <c r="P41" s="19">
        <v>39956</v>
      </c>
      <c r="Q41" s="19">
        <v>41579</v>
      </c>
      <c r="R41" s="19">
        <v>42826</v>
      </c>
      <c r="S41" s="19">
        <v>43787</v>
      </c>
      <c r="T41" s="19">
        <v>44595</v>
      </c>
      <c r="U41" s="19">
        <v>44829</v>
      </c>
      <c r="V41" s="19">
        <v>44685</v>
      </c>
      <c r="W41" s="19">
        <v>46216</v>
      </c>
      <c r="X41" s="19">
        <v>46239</v>
      </c>
      <c r="Y41" s="19">
        <v>43542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8002</v>
      </c>
      <c r="E42" s="23">
        <v>7993</v>
      </c>
      <c r="F42" s="23">
        <v>7800.9999999999991</v>
      </c>
      <c r="G42" s="23">
        <v>7610</v>
      </c>
      <c r="H42" s="23">
        <v>7092</v>
      </c>
      <c r="I42" s="23">
        <v>6507</v>
      </c>
      <c r="J42" s="23">
        <v>6186</v>
      </c>
      <c r="K42" s="23">
        <v>6374</v>
      </c>
      <c r="L42" s="23">
        <v>6028</v>
      </c>
      <c r="M42" s="23">
        <v>5126</v>
      </c>
      <c r="N42" s="23">
        <v>4936.0000000000009</v>
      </c>
      <c r="O42" s="23">
        <v>5266</v>
      </c>
      <c r="P42" s="23">
        <v>5453</v>
      </c>
      <c r="Q42" s="23">
        <v>5274</v>
      </c>
      <c r="R42" s="23">
        <v>5048</v>
      </c>
      <c r="S42" s="23">
        <v>5246</v>
      </c>
      <c r="T42" s="23">
        <v>5231</v>
      </c>
      <c r="U42" s="23">
        <v>5375</v>
      </c>
      <c r="V42" s="23">
        <v>5556</v>
      </c>
      <c r="W42" s="23">
        <v>5846</v>
      </c>
      <c r="X42" s="23">
        <v>5526</v>
      </c>
      <c r="Y42" s="23">
        <v>5819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13810.000000000002</v>
      </c>
      <c r="E43" s="23">
        <v>14187</v>
      </c>
      <c r="F43" s="23">
        <v>14090</v>
      </c>
      <c r="G43" s="23">
        <v>13966</v>
      </c>
      <c r="H43" s="23">
        <v>13582</v>
      </c>
      <c r="I43" s="23">
        <v>13017</v>
      </c>
      <c r="J43" s="23">
        <v>12654</v>
      </c>
      <c r="K43" s="23">
        <v>12899</v>
      </c>
      <c r="L43" s="23">
        <v>12649</v>
      </c>
      <c r="M43" s="23">
        <v>11638</v>
      </c>
      <c r="N43" s="23">
        <v>10943</v>
      </c>
      <c r="O43" s="23">
        <v>11623</v>
      </c>
      <c r="P43" s="23">
        <v>11490</v>
      </c>
      <c r="Q43" s="23">
        <v>11230</v>
      </c>
      <c r="R43" s="23">
        <v>11156</v>
      </c>
      <c r="S43" s="23">
        <v>11091</v>
      </c>
      <c r="T43" s="23">
        <v>11227</v>
      </c>
      <c r="U43" s="23">
        <v>11298</v>
      </c>
      <c r="V43" s="23">
        <v>11339</v>
      </c>
      <c r="W43" s="23">
        <v>11522</v>
      </c>
      <c r="X43" s="23">
        <v>10981</v>
      </c>
      <c r="Y43" s="23">
        <v>11581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2200</v>
      </c>
      <c r="E44" s="23">
        <v>1227.0000000000002</v>
      </c>
      <c r="F44" s="23">
        <v>928.99999999999989</v>
      </c>
      <c r="G44" s="23">
        <v>1321</v>
      </c>
      <c r="H44" s="23">
        <v>2024.0000000000002</v>
      </c>
      <c r="I44" s="23">
        <v>2698</v>
      </c>
      <c r="J44" s="23">
        <v>2168</v>
      </c>
      <c r="K44" s="23">
        <v>3017</v>
      </c>
      <c r="L44" s="23">
        <v>2141</v>
      </c>
      <c r="M44" s="23">
        <v>1582</v>
      </c>
      <c r="N44" s="23">
        <v>1845</v>
      </c>
      <c r="O44" s="23">
        <v>2230.9999999999995</v>
      </c>
      <c r="P44" s="23">
        <v>2596.9999999999995</v>
      </c>
      <c r="Q44" s="23">
        <v>2445</v>
      </c>
      <c r="R44" s="23">
        <v>2259.0000000000005</v>
      </c>
      <c r="S44" s="23">
        <v>2621</v>
      </c>
      <c r="T44" s="23">
        <v>2653</v>
      </c>
      <c r="U44" s="23">
        <v>2734</v>
      </c>
      <c r="V44" s="23">
        <v>1987</v>
      </c>
      <c r="W44" s="23">
        <v>1813</v>
      </c>
      <c r="X44" s="23">
        <v>1379</v>
      </c>
      <c r="Y44" s="23">
        <v>3986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14669</v>
      </c>
      <c r="E45" s="23">
        <v>14085</v>
      </c>
      <c r="F45" s="23">
        <v>12815</v>
      </c>
      <c r="G45" s="23">
        <v>12728</v>
      </c>
      <c r="H45" s="23">
        <v>13034</v>
      </c>
      <c r="I45" s="23">
        <v>13740</v>
      </c>
      <c r="J45" s="23">
        <v>13698</v>
      </c>
      <c r="K45" s="23">
        <v>14644</v>
      </c>
      <c r="L45" s="23">
        <v>15173</v>
      </c>
      <c r="M45" s="23">
        <v>14744</v>
      </c>
      <c r="N45" s="23">
        <v>14521</v>
      </c>
      <c r="O45" s="23">
        <v>15801</v>
      </c>
      <c r="P45" s="23">
        <v>16002</v>
      </c>
      <c r="Q45" s="23">
        <v>17692</v>
      </c>
      <c r="R45" s="23">
        <v>18203</v>
      </c>
      <c r="S45" s="23">
        <v>19595</v>
      </c>
      <c r="T45" s="23">
        <v>18950</v>
      </c>
      <c r="U45" s="23">
        <v>20536</v>
      </c>
      <c r="V45" s="23">
        <v>19932</v>
      </c>
      <c r="W45" s="23">
        <v>20899</v>
      </c>
      <c r="X45" s="23">
        <v>19978</v>
      </c>
      <c r="Y45" s="23">
        <v>23737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9954.0000000000018</v>
      </c>
      <c r="E46" s="23">
        <v>11110</v>
      </c>
      <c r="F46" s="23">
        <v>11480</v>
      </c>
      <c r="G46" s="23">
        <v>12212</v>
      </c>
      <c r="H46" s="23">
        <v>11786</v>
      </c>
      <c r="I46" s="23">
        <v>12344</v>
      </c>
      <c r="J46" s="23">
        <v>13640</v>
      </c>
      <c r="K46" s="23">
        <v>13148</v>
      </c>
      <c r="L46" s="23">
        <v>12393</v>
      </c>
      <c r="M46" s="23">
        <v>11936</v>
      </c>
      <c r="N46" s="23">
        <v>11776</v>
      </c>
      <c r="O46" s="23">
        <v>11980</v>
      </c>
      <c r="P46" s="23">
        <v>11783</v>
      </c>
      <c r="Q46" s="23">
        <v>12003</v>
      </c>
      <c r="R46" s="23">
        <v>11518</v>
      </c>
      <c r="S46" s="23">
        <v>12412</v>
      </c>
      <c r="T46" s="23">
        <v>12513</v>
      </c>
      <c r="U46" s="23">
        <v>12465</v>
      </c>
      <c r="V46" s="23">
        <v>12590</v>
      </c>
      <c r="W46" s="23">
        <v>12829</v>
      </c>
      <c r="X46" s="23">
        <v>12961</v>
      </c>
      <c r="Y46" s="23">
        <v>11768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20007</v>
      </c>
      <c r="E47" s="23">
        <v>21008</v>
      </c>
      <c r="F47" s="23">
        <v>21400</v>
      </c>
      <c r="G47" s="23">
        <v>21938</v>
      </c>
      <c r="H47" s="23">
        <v>21591</v>
      </c>
      <c r="I47" s="23">
        <v>21602</v>
      </c>
      <c r="J47" s="23">
        <v>21781</v>
      </c>
      <c r="K47" s="23">
        <v>22553</v>
      </c>
      <c r="L47" s="23">
        <v>21228</v>
      </c>
      <c r="M47" s="23">
        <v>19154</v>
      </c>
      <c r="N47" s="23">
        <v>18053</v>
      </c>
      <c r="O47" s="23">
        <v>19030.000000000004</v>
      </c>
      <c r="P47" s="23">
        <v>18762</v>
      </c>
      <c r="Q47" s="23">
        <v>18599</v>
      </c>
      <c r="R47" s="23">
        <v>18524</v>
      </c>
      <c r="S47" s="23">
        <v>18930</v>
      </c>
      <c r="T47" s="23">
        <v>19058.999999999996</v>
      </c>
      <c r="U47" s="23">
        <v>18837</v>
      </c>
      <c r="V47" s="23">
        <v>19479</v>
      </c>
      <c r="W47" s="23">
        <v>20106.999999999996</v>
      </c>
      <c r="X47" s="23">
        <v>18289</v>
      </c>
      <c r="Y47" s="23">
        <v>17275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25263</v>
      </c>
      <c r="E48" s="23">
        <v>24858</v>
      </c>
      <c r="F48" s="23">
        <v>24075</v>
      </c>
      <c r="G48" s="23">
        <v>23369</v>
      </c>
      <c r="H48" s="23">
        <v>24536</v>
      </c>
      <c r="I48" s="23">
        <v>25381</v>
      </c>
      <c r="J48" s="23">
        <v>25569</v>
      </c>
      <c r="K48" s="23">
        <v>27659</v>
      </c>
      <c r="L48" s="23">
        <v>27599</v>
      </c>
      <c r="M48" s="23">
        <v>24307</v>
      </c>
      <c r="N48" s="23">
        <v>25268</v>
      </c>
      <c r="O48" s="23">
        <v>26843</v>
      </c>
      <c r="P48" s="23">
        <v>25508</v>
      </c>
      <c r="Q48" s="23">
        <v>25697</v>
      </c>
      <c r="R48" s="23">
        <v>25215</v>
      </c>
      <c r="S48" s="23">
        <v>25863</v>
      </c>
      <c r="T48" s="23">
        <v>25327</v>
      </c>
      <c r="U48" s="23">
        <v>26221</v>
      </c>
      <c r="V48" s="23">
        <v>26084</v>
      </c>
      <c r="W48" s="23">
        <v>25545</v>
      </c>
      <c r="X48" s="23">
        <v>22242</v>
      </c>
      <c r="Y48" s="23">
        <v>26420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16079</v>
      </c>
      <c r="E49" s="23">
        <v>15724</v>
      </c>
      <c r="F49" s="23">
        <v>15689</v>
      </c>
      <c r="G49" s="23">
        <v>14415</v>
      </c>
      <c r="H49" s="23">
        <v>14396</v>
      </c>
      <c r="I49" s="23">
        <v>13308</v>
      </c>
      <c r="J49" s="23">
        <v>13205</v>
      </c>
      <c r="K49" s="23">
        <v>13188</v>
      </c>
      <c r="L49" s="23">
        <v>12300</v>
      </c>
      <c r="M49" s="23">
        <v>10813</v>
      </c>
      <c r="N49" s="23">
        <v>11460</v>
      </c>
      <c r="O49" s="23">
        <v>11059</v>
      </c>
      <c r="P49" s="23">
        <v>10991</v>
      </c>
      <c r="Q49" s="23">
        <v>11095</v>
      </c>
      <c r="R49" s="23">
        <v>11123</v>
      </c>
      <c r="S49" s="23">
        <v>11497</v>
      </c>
      <c r="T49" s="23">
        <v>11830</v>
      </c>
      <c r="U49" s="23">
        <v>12003</v>
      </c>
      <c r="V49" s="23">
        <v>12086</v>
      </c>
      <c r="W49" s="23">
        <v>13289</v>
      </c>
      <c r="X49" s="23">
        <v>12301</v>
      </c>
      <c r="Y49" s="23">
        <v>12419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8726</v>
      </c>
      <c r="E50" s="23">
        <v>8412</v>
      </c>
      <c r="F50" s="23">
        <v>8112.0000000000009</v>
      </c>
      <c r="G50" s="23">
        <v>7608</v>
      </c>
      <c r="H50" s="23">
        <v>7941</v>
      </c>
      <c r="I50" s="23">
        <v>7463</v>
      </c>
      <c r="J50" s="23">
        <v>7189</v>
      </c>
      <c r="K50" s="23">
        <v>7770</v>
      </c>
      <c r="L50" s="23">
        <v>7709</v>
      </c>
      <c r="M50" s="23">
        <v>7151</v>
      </c>
      <c r="N50" s="23">
        <v>7077</v>
      </c>
      <c r="O50" s="23">
        <v>6951</v>
      </c>
      <c r="P50" s="23">
        <v>7089</v>
      </c>
      <c r="Q50" s="23">
        <v>7077</v>
      </c>
      <c r="R50" s="23">
        <v>6920</v>
      </c>
      <c r="S50" s="23">
        <v>6792</v>
      </c>
      <c r="T50" s="23">
        <v>6871</v>
      </c>
      <c r="U50" s="23">
        <v>6963</v>
      </c>
      <c r="V50" s="23">
        <v>7094</v>
      </c>
      <c r="W50" s="23">
        <v>7152</v>
      </c>
      <c r="X50" s="23">
        <v>6439</v>
      </c>
      <c r="Y50" s="23">
        <v>6593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12122</v>
      </c>
      <c r="E51" s="23">
        <v>12714</v>
      </c>
      <c r="F51" s="23">
        <v>12070</v>
      </c>
      <c r="G51" s="23">
        <v>12070</v>
      </c>
      <c r="H51" s="23">
        <v>12429</v>
      </c>
      <c r="I51" s="23">
        <v>12418</v>
      </c>
      <c r="J51" s="23">
        <v>12939</v>
      </c>
      <c r="K51" s="23">
        <v>13638</v>
      </c>
      <c r="L51" s="23">
        <v>13702</v>
      </c>
      <c r="M51" s="23">
        <v>11336</v>
      </c>
      <c r="N51" s="23">
        <v>11275</v>
      </c>
      <c r="O51" s="23">
        <v>12382</v>
      </c>
      <c r="P51" s="23">
        <v>12539</v>
      </c>
      <c r="Q51" s="23">
        <v>12094</v>
      </c>
      <c r="R51" s="23">
        <v>12487</v>
      </c>
      <c r="S51" s="23">
        <v>12175</v>
      </c>
      <c r="T51" s="23">
        <v>11835</v>
      </c>
      <c r="U51" s="23">
        <v>11598</v>
      </c>
      <c r="V51" s="23">
        <v>11724</v>
      </c>
      <c r="W51" s="23">
        <v>12313</v>
      </c>
      <c r="X51" s="23">
        <v>11786</v>
      </c>
      <c r="Y51" s="23">
        <v>11738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25210</v>
      </c>
      <c r="E52" s="23">
        <v>26092</v>
      </c>
      <c r="F52" s="23">
        <v>27381</v>
      </c>
      <c r="G52" s="23">
        <v>26349</v>
      </c>
      <c r="H52" s="23">
        <v>26024</v>
      </c>
      <c r="I52" s="23">
        <v>26509</v>
      </c>
      <c r="J52" s="23">
        <v>26548</v>
      </c>
      <c r="K52" s="23">
        <v>26914</v>
      </c>
      <c r="L52" s="23">
        <v>26532</v>
      </c>
      <c r="M52" s="23">
        <v>23536</v>
      </c>
      <c r="N52" s="23">
        <v>25716</v>
      </c>
      <c r="O52" s="23">
        <v>24536</v>
      </c>
      <c r="P52" s="23">
        <v>26104</v>
      </c>
      <c r="Q52" s="23">
        <v>26359</v>
      </c>
      <c r="R52" s="23">
        <v>27035</v>
      </c>
      <c r="S52" s="23">
        <v>29917</v>
      </c>
      <c r="T52" s="23">
        <v>30154</v>
      </c>
      <c r="U52" s="23">
        <v>30354</v>
      </c>
      <c r="V52" s="23">
        <v>32644</v>
      </c>
      <c r="W52" s="23">
        <v>34303</v>
      </c>
      <c r="X52" s="23">
        <v>22739</v>
      </c>
      <c r="Y52" s="23">
        <v>22997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23752.000000000018</v>
      </c>
      <c r="E53" s="23">
        <v>24157.000000000127</v>
      </c>
      <c r="F53" s="23">
        <v>23800.9999999998</v>
      </c>
      <c r="G53" s="23">
        <v>22635.000000000138</v>
      </c>
      <c r="H53" s="23">
        <v>22872.00000000016</v>
      </c>
      <c r="I53" s="23">
        <v>23461.999999999854</v>
      </c>
      <c r="J53" s="23">
        <v>24016.000000000055</v>
      </c>
      <c r="K53" s="23">
        <v>25145.999999999662</v>
      </c>
      <c r="L53" s="23">
        <v>25314.000000000153</v>
      </c>
      <c r="M53" s="23">
        <v>25863.999999999956</v>
      </c>
      <c r="N53" s="23">
        <v>26138.99999999972</v>
      </c>
      <c r="O53" s="23">
        <v>27133.999999999894</v>
      </c>
      <c r="P53" s="23">
        <v>28158.999999999836</v>
      </c>
      <c r="Q53" s="23">
        <v>28075.999999999749</v>
      </c>
      <c r="R53" s="23">
        <v>28689.000000000018</v>
      </c>
      <c r="S53" s="23">
        <v>29450</v>
      </c>
      <c r="T53" s="23">
        <v>29490.000000000135</v>
      </c>
      <c r="U53" s="23">
        <v>29640.999999999811</v>
      </c>
      <c r="V53" s="23">
        <v>30463.000000000015</v>
      </c>
      <c r="W53" s="23">
        <v>32119.000000000211</v>
      </c>
      <c r="X53" s="23">
        <v>28280.000000000331</v>
      </c>
      <c r="Y53" s="23">
        <v>28216.000000000218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214062.00000000003</v>
      </c>
      <c r="E54" s="30">
        <f t="shared" ref="E54:S54" si="4">SUM(E41:E53)</f>
        <v>215815.00000000012</v>
      </c>
      <c r="F54" s="30">
        <f t="shared" si="4"/>
        <v>215707.9999999998</v>
      </c>
      <c r="G54" s="30">
        <f t="shared" si="4"/>
        <v>213517.00000000015</v>
      </c>
      <c r="H54" s="30">
        <f t="shared" si="4"/>
        <v>216149.00000000017</v>
      </c>
      <c r="I54" s="30">
        <f t="shared" si="4"/>
        <v>216310.99999999985</v>
      </c>
      <c r="J54" s="30">
        <f t="shared" si="4"/>
        <v>216737.00000000006</v>
      </c>
      <c r="K54" s="30">
        <f t="shared" si="4"/>
        <v>225772.99999999965</v>
      </c>
      <c r="L54" s="30">
        <f t="shared" si="4"/>
        <v>221245.00000000015</v>
      </c>
      <c r="M54" s="30">
        <f t="shared" si="4"/>
        <v>205064.99999999994</v>
      </c>
      <c r="N54" s="30">
        <f t="shared" si="4"/>
        <v>206055.99999999971</v>
      </c>
      <c r="O54" s="30">
        <f t="shared" si="4"/>
        <v>213986.99999999988</v>
      </c>
      <c r="P54" s="30">
        <f t="shared" si="4"/>
        <v>216432.99999999983</v>
      </c>
      <c r="Q54" s="30">
        <f t="shared" si="4"/>
        <v>219219.99999999974</v>
      </c>
      <c r="R54" s="30">
        <f t="shared" si="4"/>
        <v>221003.00000000003</v>
      </c>
      <c r="S54" s="30">
        <f t="shared" si="4"/>
        <v>229376</v>
      </c>
      <c r="T54" s="30">
        <f t="shared" ref="T54:Y54" si="5">SUM(T41:T53)</f>
        <v>229735.00000000015</v>
      </c>
      <c r="U54" s="30">
        <f t="shared" si="5"/>
        <v>232853.99999999983</v>
      </c>
      <c r="V54" s="30">
        <f t="shared" si="5"/>
        <v>235663</v>
      </c>
      <c r="W54" s="30">
        <f t="shared" si="5"/>
        <v>243953.0000000002</v>
      </c>
      <c r="X54" s="30">
        <f t="shared" si="5"/>
        <v>219140.00000000032</v>
      </c>
      <c r="Y54" s="30">
        <f t="shared" si="5"/>
        <v>226091.00000000023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34268</v>
      </c>
      <c r="E56" s="19">
        <v>34248</v>
      </c>
      <c r="F56" s="19">
        <v>36064.999999999993</v>
      </c>
      <c r="G56" s="19">
        <v>37296</v>
      </c>
      <c r="H56" s="19">
        <v>38842</v>
      </c>
      <c r="I56" s="19">
        <v>37862</v>
      </c>
      <c r="J56" s="19">
        <v>37144</v>
      </c>
      <c r="K56" s="19">
        <v>38823</v>
      </c>
      <c r="L56" s="19">
        <v>38477</v>
      </c>
      <c r="M56" s="19">
        <v>37878</v>
      </c>
      <c r="N56" s="19">
        <v>37047</v>
      </c>
      <c r="O56" s="19">
        <v>39150.999999999993</v>
      </c>
      <c r="P56" s="19">
        <v>39956</v>
      </c>
      <c r="Q56" s="19">
        <v>41579</v>
      </c>
      <c r="R56" s="19">
        <v>42826</v>
      </c>
      <c r="S56" s="19">
        <v>43787</v>
      </c>
      <c r="T56" s="19">
        <v>44595</v>
      </c>
      <c r="U56" s="19">
        <v>44829</v>
      </c>
      <c r="V56" s="19">
        <v>44685</v>
      </c>
      <c r="W56" s="19">
        <v>46216</v>
      </c>
      <c r="X56" s="19">
        <v>46239</v>
      </c>
      <c r="Y56" s="19">
        <v>43542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8002</v>
      </c>
      <c r="E57" s="23">
        <v>7993</v>
      </c>
      <c r="F57" s="23">
        <v>7800.9999999999991</v>
      </c>
      <c r="G57" s="23">
        <v>7610</v>
      </c>
      <c r="H57" s="23">
        <v>7092</v>
      </c>
      <c r="I57" s="23">
        <v>6507</v>
      </c>
      <c r="J57" s="23">
        <v>6186</v>
      </c>
      <c r="K57" s="23">
        <v>6374</v>
      </c>
      <c r="L57" s="23">
        <v>6028</v>
      </c>
      <c r="M57" s="23">
        <v>5126</v>
      </c>
      <c r="N57" s="23">
        <v>4936.0000000000009</v>
      </c>
      <c r="O57" s="23">
        <v>5266</v>
      </c>
      <c r="P57" s="23">
        <v>5453</v>
      </c>
      <c r="Q57" s="23">
        <v>5274</v>
      </c>
      <c r="R57" s="23">
        <v>5048</v>
      </c>
      <c r="S57" s="23">
        <v>5246</v>
      </c>
      <c r="T57" s="23">
        <v>5231</v>
      </c>
      <c r="U57" s="23">
        <v>5375</v>
      </c>
      <c r="V57" s="23">
        <v>5556</v>
      </c>
      <c r="W57" s="23">
        <v>5846</v>
      </c>
      <c r="X57" s="23">
        <v>5526</v>
      </c>
      <c r="Y57" s="23">
        <v>5819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3287</v>
      </c>
      <c r="E58" s="23">
        <v>3238</v>
      </c>
      <c r="F58" s="23">
        <v>3327</v>
      </c>
      <c r="G58" s="23">
        <v>3551</v>
      </c>
      <c r="H58" s="23">
        <v>3182</v>
      </c>
      <c r="I58" s="23">
        <v>2990</v>
      </c>
      <c r="J58" s="23">
        <v>3064</v>
      </c>
      <c r="K58" s="23">
        <v>3380</v>
      </c>
      <c r="L58" s="23">
        <v>3505</v>
      </c>
      <c r="M58" s="23">
        <v>3190</v>
      </c>
      <c r="N58" s="23">
        <v>2871</v>
      </c>
      <c r="O58" s="23">
        <v>3301</v>
      </c>
      <c r="P58" s="23">
        <v>3193</v>
      </c>
      <c r="Q58" s="23">
        <v>3200</v>
      </c>
      <c r="R58" s="23">
        <v>2902</v>
      </c>
      <c r="S58" s="23">
        <v>2919</v>
      </c>
      <c r="T58" s="23">
        <v>2961</v>
      </c>
      <c r="U58" s="23">
        <v>3104</v>
      </c>
      <c r="V58" s="23">
        <v>3057</v>
      </c>
      <c r="W58" s="23">
        <v>3290</v>
      </c>
      <c r="X58" s="23">
        <v>3430</v>
      </c>
      <c r="Y58" s="23">
        <v>4110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5342</v>
      </c>
      <c r="E59" s="23">
        <v>5778</v>
      </c>
      <c r="F59" s="23">
        <v>5584</v>
      </c>
      <c r="G59" s="23">
        <v>5328</v>
      </c>
      <c r="H59" s="23">
        <v>5244</v>
      </c>
      <c r="I59" s="23">
        <v>4877</v>
      </c>
      <c r="J59" s="23">
        <v>4510</v>
      </c>
      <c r="K59" s="23">
        <v>4688.0000000000009</v>
      </c>
      <c r="L59" s="23">
        <v>4434.9999999999991</v>
      </c>
      <c r="M59" s="23">
        <v>4163</v>
      </c>
      <c r="N59" s="23">
        <v>3907</v>
      </c>
      <c r="O59" s="23">
        <v>4174</v>
      </c>
      <c r="P59" s="23">
        <v>4287</v>
      </c>
      <c r="Q59" s="23">
        <v>4065.9999999999995</v>
      </c>
      <c r="R59" s="23">
        <v>4224</v>
      </c>
      <c r="S59" s="23">
        <v>4385</v>
      </c>
      <c r="T59" s="23">
        <v>4476</v>
      </c>
      <c r="U59" s="23">
        <v>4385</v>
      </c>
      <c r="V59" s="23">
        <v>4566</v>
      </c>
      <c r="W59" s="23">
        <v>4534</v>
      </c>
      <c r="X59" s="23">
        <v>4341</v>
      </c>
      <c r="Y59" s="23">
        <v>4324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5181.0000000000018</v>
      </c>
      <c r="E60" s="23">
        <v>5170.9999999999991</v>
      </c>
      <c r="F60" s="23">
        <v>5178.9999999999991</v>
      </c>
      <c r="G60" s="23">
        <v>5087</v>
      </c>
      <c r="H60" s="23">
        <v>5156.0000000000009</v>
      </c>
      <c r="I60" s="23">
        <v>5150.0000000000009</v>
      </c>
      <c r="J60" s="23">
        <v>5079.9999999999991</v>
      </c>
      <c r="K60" s="23">
        <v>4830.9999999999991</v>
      </c>
      <c r="L60" s="23">
        <v>4709.0000000000009</v>
      </c>
      <c r="M60" s="23">
        <v>4285</v>
      </c>
      <c r="N60" s="23">
        <v>4164.9999999999991</v>
      </c>
      <c r="O60" s="23">
        <v>4147.9999999999991</v>
      </c>
      <c r="P60" s="23">
        <v>4009.9999999999986</v>
      </c>
      <c r="Q60" s="23">
        <v>3964.0000000000014</v>
      </c>
      <c r="R60" s="23">
        <v>4030.0000000000005</v>
      </c>
      <c r="S60" s="23">
        <v>3787</v>
      </c>
      <c r="T60" s="23">
        <v>3789.9999999999986</v>
      </c>
      <c r="U60" s="23">
        <v>3809</v>
      </c>
      <c r="V60" s="23">
        <v>3715.9999999999986</v>
      </c>
      <c r="W60" s="23">
        <v>3698.0000000000005</v>
      </c>
      <c r="X60" s="23">
        <v>3210.0000000000005</v>
      </c>
      <c r="Y60" s="23">
        <v>3147.0000000000005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2200</v>
      </c>
      <c r="E61" s="23">
        <v>1227.0000000000002</v>
      </c>
      <c r="F61" s="23">
        <v>928.99999999999989</v>
      </c>
      <c r="G61" s="23">
        <v>1321</v>
      </c>
      <c r="H61" s="23">
        <v>2024.0000000000002</v>
      </c>
      <c r="I61" s="23">
        <v>2698</v>
      </c>
      <c r="J61" s="23">
        <v>2168</v>
      </c>
      <c r="K61" s="23">
        <v>3017</v>
      </c>
      <c r="L61" s="23">
        <v>2141</v>
      </c>
      <c r="M61" s="23">
        <v>1582</v>
      </c>
      <c r="N61" s="23">
        <v>1845</v>
      </c>
      <c r="O61" s="23">
        <v>2230.9999999999995</v>
      </c>
      <c r="P61" s="23">
        <v>2596.9999999999995</v>
      </c>
      <c r="Q61" s="23">
        <v>2445</v>
      </c>
      <c r="R61" s="23">
        <v>2259.0000000000005</v>
      </c>
      <c r="S61" s="23">
        <v>2621</v>
      </c>
      <c r="T61" s="23">
        <v>2653</v>
      </c>
      <c r="U61" s="23">
        <v>2734</v>
      </c>
      <c r="V61" s="23">
        <v>1987</v>
      </c>
      <c r="W61" s="23">
        <v>1813</v>
      </c>
      <c r="X61" s="23">
        <v>1379</v>
      </c>
      <c r="Y61" s="23">
        <v>3986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14669</v>
      </c>
      <c r="E62" s="23">
        <v>14085</v>
      </c>
      <c r="F62" s="23">
        <v>12815</v>
      </c>
      <c r="G62" s="23">
        <v>12728</v>
      </c>
      <c r="H62" s="23">
        <v>13034</v>
      </c>
      <c r="I62" s="23">
        <v>13740</v>
      </c>
      <c r="J62" s="23">
        <v>13698</v>
      </c>
      <c r="K62" s="23">
        <v>14644</v>
      </c>
      <c r="L62" s="23">
        <v>15173</v>
      </c>
      <c r="M62" s="23">
        <v>14744</v>
      </c>
      <c r="N62" s="23">
        <v>14521</v>
      </c>
      <c r="O62" s="23">
        <v>15801</v>
      </c>
      <c r="P62" s="23">
        <v>16002</v>
      </c>
      <c r="Q62" s="23">
        <v>17692</v>
      </c>
      <c r="R62" s="23">
        <v>18203</v>
      </c>
      <c r="S62" s="23">
        <v>19595</v>
      </c>
      <c r="T62" s="23">
        <v>18950</v>
      </c>
      <c r="U62" s="23">
        <v>20536</v>
      </c>
      <c r="V62" s="23">
        <v>19932</v>
      </c>
      <c r="W62" s="23">
        <v>20899</v>
      </c>
      <c r="X62" s="23">
        <v>19978</v>
      </c>
      <c r="Y62" s="23">
        <v>23737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9954.0000000000018</v>
      </c>
      <c r="E63" s="23">
        <v>11110</v>
      </c>
      <c r="F63" s="23">
        <v>11480</v>
      </c>
      <c r="G63" s="23">
        <v>12212</v>
      </c>
      <c r="H63" s="23">
        <v>11786</v>
      </c>
      <c r="I63" s="23">
        <v>12344</v>
      </c>
      <c r="J63" s="23">
        <v>13640</v>
      </c>
      <c r="K63" s="23">
        <v>13148</v>
      </c>
      <c r="L63" s="23">
        <v>12393</v>
      </c>
      <c r="M63" s="23">
        <v>11936</v>
      </c>
      <c r="N63" s="23">
        <v>11776</v>
      </c>
      <c r="O63" s="23">
        <v>11980</v>
      </c>
      <c r="P63" s="23">
        <v>11783</v>
      </c>
      <c r="Q63" s="23">
        <v>12003</v>
      </c>
      <c r="R63" s="23">
        <v>11518</v>
      </c>
      <c r="S63" s="23">
        <v>12412</v>
      </c>
      <c r="T63" s="23">
        <v>12513</v>
      </c>
      <c r="U63" s="23">
        <v>12465</v>
      </c>
      <c r="V63" s="23">
        <v>12590</v>
      </c>
      <c r="W63" s="23">
        <v>12829</v>
      </c>
      <c r="X63" s="23">
        <v>12961</v>
      </c>
      <c r="Y63" s="23">
        <v>11768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12190</v>
      </c>
      <c r="E64" s="23">
        <v>12939</v>
      </c>
      <c r="F64" s="23">
        <v>13176</v>
      </c>
      <c r="G64" s="23">
        <v>13748</v>
      </c>
      <c r="H64" s="23">
        <v>13649</v>
      </c>
      <c r="I64" s="23">
        <v>13368</v>
      </c>
      <c r="J64" s="23">
        <v>13340</v>
      </c>
      <c r="K64" s="23">
        <v>13333</v>
      </c>
      <c r="L64" s="23">
        <v>12388</v>
      </c>
      <c r="M64" s="23">
        <v>11428</v>
      </c>
      <c r="N64" s="23">
        <v>10421</v>
      </c>
      <c r="O64" s="23">
        <v>10977</v>
      </c>
      <c r="P64" s="23">
        <v>11013</v>
      </c>
      <c r="Q64" s="23">
        <v>10934</v>
      </c>
      <c r="R64" s="23">
        <v>10780</v>
      </c>
      <c r="S64" s="23">
        <v>11127</v>
      </c>
      <c r="T64" s="23">
        <v>11249</v>
      </c>
      <c r="U64" s="23">
        <v>10857</v>
      </c>
      <c r="V64" s="23">
        <v>11421</v>
      </c>
      <c r="W64" s="23">
        <v>11484</v>
      </c>
      <c r="X64" s="23">
        <v>10279.000000000002</v>
      </c>
      <c r="Y64" s="23">
        <v>9184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7817</v>
      </c>
      <c r="E65" s="23">
        <v>8068.9999999999973</v>
      </c>
      <c r="F65" s="23">
        <v>8224.0000000000018</v>
      </c>
      <c r="G65" s="23">
        <v>8190</v>
      </c>
      <c r="H65" s="23">
        <v>7942.0000000000009</v>
      </c>
      <c r="I65" s="23">
        <v>8234</v>
      </c>
      <c r="J65" s="23">
        <v>8440.9999999999982</v>
      </c>
      <c r="K65" s="23">
        <v>9219.9999999999982</v>
      </c>
      <c r="L65" s="23">
        <v>8840.0000000000018</v>
      </c>
      <c r="M65" s="23">
        <v>7725.9999999999991</v>
      </c>
      <c r="N65" s="23">
        <v>7632.0000000000009</v>
      </c>
      <c r="O65" s="23">
        <v>8053.0000000000027</v>
      </c>
      <c r="P65" s="23">
        <v>7749</v>
      </c>
      <c r="Q65" s="23">
        <v>7665.0000000000009</v>
      </c>
      <c r="R65" s="23">
        <v>7744</v>
      </c>
      <c r="S65" s="23">
        <v>7803</v>
      </c>
      <c r="T65" s="23">
        <v>7809.9999999999973</v>
      </c>
      <c r="U65" s="23">
        <v>7980</v>
      </c>
      <c r="V65" s="23">
        <v>8058</v>
      </c>
      <c r="W65" s="23">
        <v>8622.9999999999982</v>
      </c>
      <c r="X65" s="23">
        <v>8009.9999999999991</v>
      </c>
      <c r="Y65" s="23">
        <v>8091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7575.0000000000009</v>
      </c>
      <c r="E66" s="23">
        <v>6766</v>
      </c>
      <c r="F66" s="23">
        <v>6113</v>
      </c>
      <c r="G66" s="23">
        <v>5746</v>
      </c>
      <c r="H66" s="23">
        <v>6667</v>
      </c>
      <c r="I66" s="23">
        <v>7012</v>
      </c>
      <c r="J66" s="23">
        <v>6825</v>
      </c>
      <c r="K66" s="23">
        <v>7912.0000000000009</v>
      </c>
      <c r="L66" s="23">
        <v>8243</v>
      </c>
      <c r="M66" s="23">
        <v>6212</v>
      </c>
      <c r="N66" s="23">
        <v>6400</v>
      </c>
      <c r="O66" s="23">
        <v>7429</v>
      </c>
      <c r="P66" s="23">
        <v>5994</v>
      </c>
      <c r="Q66" s="23">
        <v>6055</v>
      </c>
      <c r="R66" s="23">
        <v>5823</v>
      </c>
      <c r="S66" s="23">
        <v>6261</v>
      </c>
      <c r="T66" s="23">
        <v>5774</v>
      </c>
      <c r="U66" s="23">
        <v>6215</v>
      </c>
      <c r="V66" s="23">
        <v>5960</v>
      </c>
      <c r="W66" s="23">
        <v>4935.9999999999991</v>
      </c>
      <c r="X66" s="23">
        <v>3849</v>
      </c>
      <c r="Y66" s="23">
        <v>7329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17688</v>
      </c>
      <c r="E67" s="23">
        <v>18092.000000000004</v>
      </c>
      <c r="F67" s="23">
        <v>17962</v>
      </c>
      <c r="G67" s="23">
        <v>17623</v>
      </c>
      <c r="H67" s="23">
        <v>17869</v>
      </c>
      <c r="I67" s="23">
        <v>18369</v>
      </c>
      <c r="J67" s="23">
        <v>18744</v>
      </c>
      <c r="K67" s="23">
        <v>19747</v>
      </c>
      <c r="L67" s="23">
        <v>19355.999999999996</v>
      </c>
      <c r="M67" s="23">
        <v>18095</v>
      </c>
      <c r="N67" s="23">
        <v>18868.000000000004</v>
      </c>
      <c r="O67" s="23">
        <v>19413.999999999996</v>
      </c>
      <c r="P67" s="23">
        <v>19514</v>
      </c>
      <c r="Q67" s="23">
        <v>19642</v>
      </c>
      <c r="R67" s="23">
        <v>19392</v>
      </c>
      <c r="S67" s="23">
        <v>19602</v>
      </c>
      <c r="T67" s="23">
        <v>19553.000000000004</v>
      </c>
      <c r="U67" s="23">
        <v>20006</v>
      </c>
      <c r="V67" s="23">
        <v>20124.000000000004</v>
      </c>
      <c r="W67" s="23">
        <v>20608.999999999996</v>
      </c>
      <c r="X67" s="23">
        <v>18393.000000000004</v>
      </c>
      <c r="Y67" s="23">
        <v>19091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16079</v>
      </c>
      <c r="E68" s="23">
        <v>15724</v>
      </c>
      <c r="F68" s="23">
        <v>15689</v>
      </c>
      <c r="G68" s="23">
        <v>14415</v>
      </c>
      <c r="H68" s="23">
        <v>14396</v>
      </c>
      <c r="I68" s="23">
        <v>13308</v>
      </c>
      <c r="J68" s="23">
        <v>13205</v>
      </c>
      <c r="K68" s="23">
        <v>13188</v>
      </c>
      <c r="L68" s="23">
        <v>12300</v>
      </c>
      <c r="M68" s="23">
        <v>10813</v>
      </c>
      <c r="N68" s="23">
        <v>11460</v>
      </c>
      <c r="O68" s="23">
        <v>11059</v>
      </c>
      <c r="P68" s="23">
        <v>10991</v>
      </c>
      <c r="Q68" s="23">
        <v>11095</v>
      </c>
      <c r="R68" s="23">
        <v>11123</v>
      </c>
      <c r="S68" s="23">
        <v>11497</v>
      </c>
      <c r="T68" s="23">
        <v>11830</v>
      </c>
      <c r="U68" s="23">
        <v>12003</v>
      </c>
      <c r="V68" s="23">
        <v>12086</v>
      </c>
      <c r="W68" s="23">
        <v>13289</v>
      </c>
      <c r="X68" s="23">
        <v>12301</v>
      </c>
      <c r="Y68" s="23">
        <v>12419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8726</v>
      </c>
      <c r="E69" s="23">
        <v>8412</v>
      </c>
      <c r="F69" s="23">
        <v>8112.0000000000009</v>
      </c>
      <c r="G69" s="23">
        <v>7608</v>
      </c>
      <c r="H69" s="23">
        <v>7941</v>
      </c>
      <c r="I69" s="23">
        <v>7463</v>
      </c>
      <c r="J69" s="23">
        <v>7189</v>
      </c>
      <c r="K69" s="23">
        <v>7770</v>
      </c>
      <c r="L69" s="23">
        <v>7709</v>
      </c>
      <c r="M69" s="23">
        <v>7151</v>
      </c>
      <c r="N69" s="23">
        <v>7077</v>
      </c>
      <c r="O69" s="23">
        <v>6951</v>
      </c>
      <c r="P69" s="23">
        <v>7089</v>
      </c>
      <c r="Q69" s="23">
        <v>7077</v>
      </c>
      <c r="R69" s="23">
        <v>6920</v>
      </c>
      <c r="S69" s="23">
        <v>6792</v>
      </c>
      <c r="T69" s="23">
        <v>6871</v>
      </c>
      <c r="U69" s="23">
        <v>6963</v>
      </c>
      <c r="V69" s="23">
        <v>7094</v>
      </c>
      <c r="W69" s="23">
        <v>7152</v>
      </c>
      <c r="X69" s="23">
        <v>6439</v>
      </c>
      <c r="Y69" s="23">
        <v>6593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12122</v>
      </c>
      <c r="E70" s="23">
        <v>12714</v>
      </c>
      <c r="F70" s="23">
        <v>12070</v>
      </c>
      <c r="G70" s="23">
        <v>12070</v>
      </c>
      <c r="H70" s="23">
        <v>12429</v>
      </c>
      <c r="I70" s="23">
        <v>12418</v>
      </c>
      <c r="J70" s="23">
        <v>12939</v>
      </c>
      <c r="K70" s="23">
        <v>13638</v>
      </c>
      <c r="L70" s="23">
        <v>13702</v>
      </c>
      <c r="M70" s="23">
        <v>11336</v>
      </c>
      <c r="N70" s="23">
        <v>11275</v>
      </c>
      <c r="O70" s="23">
        <v>12382</v>
      </c>
      <c r="P70" s="23">
        <v>12539</v>
      </c>
      <c r="Q70" s="23">
        <v>12094</v>
      </c>
      <c r="R70" s="23">
        <v>12487</v>
      </c>
      <c r="S70" s="23">
        <v>12175</v>
      </c>
      <c r="T70" s="23">
        <v>11835</v>
      </c>
      <c r="U70" s="23">
        <v>11598</v>
      </c>
      <c r="V70" s="23">
        <v>11724</v>
      </c>
      <c r="W70" s="23">
        <v>12313</v>
      </c>
      <c r="X70" s="23">
        <v>11786</v>
      </c>
      <c r="Y70" s="23">
        <v>11738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17508</v>
      </c>
      <c r="E71" s="23">
        <v>17317</v>
      </c>
      <c r="F71" s="23">
        <v>18578</v>
      </c>
      <c r="G71" s="23">
        <v>18037.000000000004</v>
      </c>
      <c r="H71" s="23">
        <v>19032.000000000004</v>
      </c>
      <c r="I71" s="23">
        <v>17380</v>
      </c>
      <c r="J71" s="23">
        <v>16228</v>
      </c>
      <c r="K71" s="23">
        <v>16216.000000000002</v>
      </c>
      <c r="L71" s="23">
        <v>14919</v>
      </c>
      <c r="M71" s="23">
        <v>12413</v>
      </c>
      <c r="N71" s="23">
        <v>14355</v>
      </c>
      <c r="O71" s="23">
        <v>14126</v>
      </c>
      <c r="P71" s="23">
        <v>12834</v>
      </c>
      <c r="Q71" s="23">
        <v>12554</v>
      </c>
      <c r="R71" s="23">
        <v>12585</v>
      </c>
      <c r="S71" s="23">
        <v>13235</v>
      </c>
      <c r="T71" s="23">
        <v>13452</v>
      </c>
      <c r="U71" s="23">
        <v>13756</v>
      </c>
      <c r="V71" s="23">
        <v>13347</v>
      </c>
      <c r="W71" s="23">
        <v>13703</v>
      </c>
      <c r="X71" s="23">
        <v>10241</v>
      </c>
      <c r="Y71" s="23">
        <v>9490.0000000000018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7702.0000000000009</v>
      </c>
      <c r="E72" s="23">
        <v>8774.9999999999982</v>
      </c>
      <c r="F72" s="23">
        <v>8803.0000000000018</v>
      </c>
      <c r="G72" s="23">
        <v>8312</v>
      </c>
      <c r="H72" s="23">
        <v>6991.9999999999991</v>
      </c>
      <c r="I72" s="23">
        <v>9129</v>
      </c>
      <c r="J72" s="23">
        <v>10320.000000000002</v>
      </c>
      <c r="K72" s="23">
        <v>10697.999999999998</v>
      </c>
      <c r="L72" s="23">
        <v>11613</v>
      </c>
      <c r="M72" s="23">
        <v>11123</v>
      </c>
      <c r="N72" s="23">
        <v>11361</v>
      </c>
      <c r="O72" s="23">
        <v>10409.999999999998</v>
      </c>
      <c r="P72" s="23">
        <v>13269.999999999998</v>
      </c>
      <c r="Q72" s="23">
        <v>13805</v>
      </c>
      <c r="R72" s="23">
        <v>14449.999999999998</v>
      </c>
      <c r="S72" s="23">
        <v>16682</v>
      </c>
      <c r="T72" s="23">
        <v>16702.000000000004</v>
      </c>
      <c r="U72" s="23">
        <v>16598.000000000004</v>
      </c>
      <c r="V72" s="23">
        <v>19297</v>
      </c>
      <c r="W72" s="23">
        <v>20600.000000000004</v>
      </c>
      <c r="X72" s="23">
        <v>12497.999999999998</v>
      </c>
      <c r="Y72" s="23">
        <v>13507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7280</v>
      </c>
      <c r="E73" s="23">
        <v>7817</v>
      </c>
      <c r="F73" s="23">
        <v>7643</v>
      </c>
      <c r="G73" s="23">
        <v>7573</v>
      </c>
      <c r="H73" s="23">
        <v>7650</v>
      </c>
      <c r="I73" s="23">
        <v>7555</v>
      </c>
      <c r="J73" s="23">
        <v>7473</v>
      </c>
      <c r="K73" s="23">
        <v>7501</v>
      </c>
      <c r="L73" s="23">
        <v>7333</v>
      </c>
      <c r="M73" s="23">
        <v>7182</v>
      </c>
      <c r="N73" s="23">
        <v>7040</v>
      </c>
      <c r="O73" s="23">
        <v>7161</v>
      </c>
      <c r="P73" s="23">
        <v>7010</v>
      </c>
      <c r="Q73" s="23">
        <v>7140</v>
      </c>
      <c r="R73" s="23">
        <v>7355</v>
      </c>
      <c r="S73" s="23">
        <v>7219</v>
      </c>
      <c r="T73" s="23">
        <v>7107</v>
      </c>
      <c r="U73" s="23">
        <v>6995</v>
      </c>
      <c r="V73" s="23">
        <v>7107</v>
      </c>
      <c r="W73" s="23">
        <v>7364</v>
      </c>
      <c r="X73" s="23">
        <v>6526</v>
      </c>
      <c r="Y73" s="23">
        <v>7317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16472.000000000018</v>
      </c>
      <c r="E74" s="23">
        <v>16340.000000000126</v>
      </c>
      <c r="F74" s="23">
        <v>16157.999999999802</v>
      </c>
      <c r="G74" s="23">
        <v>15062.00000000014</v>
      </c>
      <c r="H74" s="23">
        <v>15222.00000000016</v>
      </c>
      <c r="I74" s="23">
        <v>15906.999999999858</v>
      </c>
      <c r="J74" s="23">
        <v>16543.000000000055</v>
      </c>
      <c r="K74" s="23">
        <v>17644.999999999662</v>
      </c>
      <c r="L74" s="23">
        <v>17981.000000000153</v>
      </c>
      <c r="M74" s="23">
        <v>18681.999999999956</v>
      </c>
      <c r="N74" s="23">
        <v>19098.999999999724</v>
      </c>
      <c r="O74" s="23">
        <v>19972.999999999891</v>
      </c>
      <c r="P74" s="23">
        <v>21148.999999999836</v>
      </c>
      <c r="Q74" s="23">
        <v>20935.999999999753</v>
      </c>
      <c r="R74" s="23">
        <v>21334.000000000022</v>
      </c>
      <c r="S74" s="23">
        <v>22231</v>
      </c>
      <c r="T74" s="23">
        <v>22383.000000000135</v>
      </c>
      <c r="U74" s="23">
        <v>22645.999999999811</v>
      </c>
      <c r="V74" s="23">
        <v>23356.000000000011</v>
      </c>
      <c r="W74" s="23">
        <v>24755.000000000211</v>
      </c>
      <c r="X74" s="23">
        <v>21754.000000000331</v>
      </c>
      <c r="Y74" s="23">
        <v>20899.000000000218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214062.00000000003</v>
      </c>
      <c r="E75" s="30">
        <f t="shared" ref="E75:S75" si="6">SUM(E56:E74)</f>
        <v>215815.00000000012</v>
      </c>
      <c r="F75" s="30">
        <f t="shared" si="6"/>
        <v>215707.9999999998</v>
      </c>
      <c r="G75" s="30">
        <f t="shared" si="6"/>
        <v>213517.00000000015</v>
      </c>
      <c r="H75" s="30">
        <f t="shared" si="6"/>
        <v>216149.00000000017</v>
      </c>
      <c r="I75" s="30">
        <f t="shared" si="6"/>
        <v>216310.99999999985</v>
      </c>
      <c r="J75" s="30">
        <f t="shared" si="6"/>
        <v>216737.00000000006</v>
      </c>
      <c r="K75" s="30">
        <f t="shared" si="6"/>
        <v>225772.99999999965</v>
      </c>
      <c r="L75" s="30">
        <f t="shared" si="6"/>
        <v>221245.00000000015</v>
      </c>
      <c r="M75" s="30">
        <f t="shared" si="6"/>
        <v>205064.99999999994</v>
      </c>
      <c r="N75" s="30">
        <f t="shared" si="6"/>
        <v>206055.99999999971</v>
      </c>
      <c r="O75" s="30">
        <f t="shared" si="6"/>
        <v>213986.99999999988</v>
      </c>
      <c r="P75" s="30">
        <f t="shared" si="6"/>
        <v>216432.99999999983</v>
      </c>
      <c r="Q75" s="30">
        <f t="shared" si="6"/>
        <v>219219.99999999977</v>
      </c>
      <c r="R75" s="30">
        <f t="shared" si="6"/>
        <v>221003.00000000003</v>
      </c>
      <c r="S75" s="30">
        <f t="shared" si="6"/>
        <v>229376</v>
      </c>
      <c r="T75" s="30">
        <f t="shared" ref="T75:Y75" si="7">SUM(T56:T74)</f>
        <v>229735.00000000015</v>
      </c>
      <c r="U75" s="30">
        <f t="shared" si="7"/>
        <v>232853.99999999983</v>
      </c>
      <c r="V75" s="30">
        <f t="shared" si="7"/>
        <v>235663</v>
      </c>
      <c r="W75" s="30">
        <f t="shared" si="7"/>
        <v>243953.0000000002</v>
      </c>
      <c r="X75" s="30">
        <f t="shared" si="7"/>
        <v>219140.00000000032</v>
      </c>
      <c r="Y75" s="30">
        <f t="shared" si="7"/>
        <v>226091.00000000023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1844496.1453057558</v>
      </c>
      <c r="E2" s="19">
        <v>1881083.9896297019</v>
      </c>
      <c r="F2" s="19">
        <v>1902457.4057654981</v>
      </c>
      <c r="G2" s="19">
        <v>1918114.6634671937</v>
      </c>
      <c r="H2" s="19">
        <v>1972381.18387851</v>
      </c>
      <c r="I2" s="19">
        <v>2005206.3225308291</v>
      </c>
      <c r="J2" s="19">
        <v>2054300.0055577168</v>
      </c>
      <c r="K2" s="19">
        <v>2104113.1523329541</v>
      </c>
      <c r="L2" s="19">
        <v>2109477.0722823958</v>
      </c>
      <c r="M2" s="19">
        <v>2048863.6363636365</v>
      </c>
      <c r="N2" s="19">
        <v>2088804.7904693112</v>
      </c>
      <c r="O2" s="19">
        <v>2134617.5384743023</v>
      </c>
      <c r="P2" s="19">
        <v>2141308.8940829132</v>
      </c>
      <c r="Q2" s="19">
        <v>2153650.2995717498</v>
      </c>
      <c r="R2" s="19">
        <v>2174225.0316055627</v>
      </c>
      <c r="S2" s="19">
        <v>2198432</v>
      </c>
      <c r="T2" s="19">
        <v>2222505.2972951466</v>
      </c>
      <c r="U2" s="19">
        <v>2273439.0926994369</v>
      </c>
      <c r="V2" s="19">
        <v>2315854.1484972904</v>
      </c>
      <c r="W2" s="19">
        <v>2358529.9069218417</v>
      </c>
      <c r="X2" s="19">
        <v>2180688.5002210955</v>
      </c>
      <c r="Y2" s="19">
        <v>2321009.6193983471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965584.26598440658</v>
      </c>
      <c r="E3" s="23">
        <v>989899.87871293013</v>
      </c>
      <c r="F3" s="23">
        <v>1010507.1395724511</v>
      </c>
      <c r="G3" s="23">
        <v>1025523.7498985543</v>
      </c>
      <c r="H3" s="23">
        <v>1045533.2818743188</v>
      </c>
      <c r="I3" s="23">
        <v>1070812.8957460092</v>
      </c>
      <c r="J3" s="23">
        <v>1093766.0948889179</v>
      </c>
      <c r="K3" s="23">
        <v>1122607.2554362344</v>
      </c>
      <c r="L3" s="23">
        <v>1128467.2899140003</v>
      </c>
      <c r="M3" s="23">
        <v>1131913.6134773109</v>
      </c>
      <c r="N3" s="23">
        <v>1153229.9660663011</v>
      </c>
      <c r="O3" s="23">
        <v>1160357.4138249224</v>
      </c>
      <c r="P3" s="23">
        <v>1155448.8475535787</v>
      </c>
      <c r="Q3" s="23">
        <v>1161328.2465739672</v>
      </c>
      <c r="R3" s="23">
        <v>1170856.2316980225</v>
      </c>
      <c r="S3" s="23">
        <v>1188170</v>
      </c>
      <c r="T3" s="23">
        <v>1209312.9039980846</v>
      </c>
      <c r="U3" s="23">
        <v>1227204.9873831081</v>
      </c>
      <c r="V3" s="23">
        <v>1239249.6715488299</v>
      </c>
      <c r="W3" s="23">
        <v>1261166.9787102628</v>
      </c>
      <c r="X3" s="23">
        <v>1177745.1954304054</v>
      </c>
      <c r="Y3" s="23">
        <v>1238248.0844895423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1640272.8138410358</v>
      </c>
      <c r="E4" s="27">
        <v>1672830.120263492</v>
      </c>
      <c r="F4" s="27">
        <v>1691487.0970030986</v>
      </c>
      <c r="G4" s="27">
        <v>1703537.5553648865</v>
      </c>
      <c r="H4" s="27">
        <v>1755176.1256928223</v>
      </c>
      <c r="I4" s="27">
        <v>1781197.3586685532</v>
      </c>
      <c r="J4" s="27">
        <v>1825313.3274492498</v>
      </c>
      <c r="K4" s="27">
        <v>1871917.6684177166</v>
      </c>
      <c r="L4" s="27">
        <v>1881538.3485160151</v>
      </c>
      <c r="M4" s="27">
        <v>1832152.4658982654</v>
      </c>
      <c r="N4" s="27">
        <v>1864057.2346933486</v>
      </c>
      <c r="O4" s="27">
        <v>1905794.9648446359</v>
      </c>
      <c r="P4" s="27">
        <v>1916549.9902911629</v>
      </c>
      <c r="Q4" s="27">
        <v>1928420.1871739174</v>
      </c>
      <c r="R4" s="27">
        <v>1949867.9670980079</v>
      </c>
      <c r="S4" s="27">
        <v>1967466</v>
      </c>
      <c r="T4" s="27">
        <v>1986519.6931862272</v>
      </c>
      <c r="U4" s="27">
        <v>2029728.7913657646</v>
      </c>
      <c r="V4" s="27">
        <v>2067979.219552512</v>
      </c>
      <c r="W4" s="27">
        <v>2107109.2763477415</v>
      </c>
      <c r="X4" s="27">
        <v>1949495.8632517292</v>
      </c>
      <c r="Y4" s="27">
        <v>2068963.7479709685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38369.547742422183</v>
      </c>
      <c r="E6" s="19">
        <v>39173.264035776876</v>
      </c>
      <c r="F6" s="19">
        <v>37761.667100314589</v>
      </c>
      <c r="G6" s="19">
        <v>34981.3324675927</v>
      </c>
      <c r="H6" s="19">
        <v>35567.541569328023</v>
      </c>
      <c r="I6" s="19">
        <v>33318.734137412124</v>
      </c>
      <c r="J6" s="19">
        <v>30962.047661076787</v>
      </c>
      <c r="K6" s="19">
        <v>33639.498533629827</v>
      </c>
      <c r="L6" s="19">
        <v>31683.178707862808</v>
      </c>
      <c r="M6" s="19">
        <v>26822.859416056868</v>
      </c>
      <c r="N6" s="19">
        <v>33184.71667789932</v>
      </c>
      <c r="O6" s="19">
        <v>35020.309697107157</v>
      </c>
      <c r="P6" s="19">
        <v>34834.285480689636</v>
      </c>
      <c r="Q6" s="19">
        <v>31346.55595931708</v>
      </c>
      <c r="R6" s="19">
        <v>33851.010228755855</v>
      </c>
      <c r="S6" s="19">
        <v>35299</v>
      </c>
      <c r="T6" s="19">
        <v>31941.860580797278</v>
      </c>
      <c r="U6" s="19">
        <v>35148.996111419729</v>
      </c>
      <c r="V6" s="19">
        <v>38341.499891768501</v>
      </c>
      <c r="W6" s="19">
        <v>36048.567265662939</v>
      </c>
      <c r="X6" s="19">
        <v>34498.030568590868</v>
      </c>
      <c r="Y6" s="19">
        <v>37749.314327294436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309726.56781390286</v>
      </c>
      <c r="E7" s="23">
        <v>306244.03215084318</v>
      </c>
      <c r="F7" s="23">
        <v>303092.69815739035</v>
      </c>
      <c r="G7" s="23">
        <v>294689.60879345145</v>
      </c>
      <c r="H7" s="23">
        <v>296888.59878154937</v>
      </c>
      <c r="I7" s="23">
        <v>292127.66435325542</v>
      </c>
      <c r="J7" s="23">
        <v>288785.30450132396</v>
      </c>
      <c r="K7" s="23">
        <v>286353.62617766135</v>
      </c>
      <c r="L7" s="23">
        <v>274209.73090970167</v>
      </c>
      <c r="M7" s="23">
        <v>257155.86822021916</v>
      </c>
      <c r="N7" s="23">
        <v>257099.901498263</v>
      </c>
      <c r="O7" s="23">
        <v>266419.92618404492</v>
      </c>
      <c r="P7" s="23">
        <v>269410.00930004381</v>
      </c>
      <c r="Q7" s="23">
        <v>272609.06636350695</v>
      </c>
      <c r="R7" s="23">
        <v>274565.7078683516</v>
      </c>
      <c r="S7" s="23">
        <v>280791</v>
      </c>
      <c r="T7" s="23">
        <v>279691.99239929579</v>
      </c>
      <c r="U7" s="23">
        <v>280665.22498214408</v>
      </c>
      <c r="V7" s="23">
        <v>284184.42647145642</v>
      </c>
      <c r="W7" s="23">
        <v>292020.39825157868</v>
      </c>
      <c r="X7" s="23">
        <v>260876.16139914468</v>
      </c>
      <c r="Y7" s="23">
        <v>267125.02565442119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79642.84389260583</v>
      </c>
      <c r="E8" s="23">
        <v>83038.617272013056</v>
      </c>
      <c r="F8" s="23">
        <v>84680.795704520191</v>
      </c>
      <c r="G8" s="23">
        <v>87079.980520835757</v>
      </c>
      <c r="H8" s="23">
        <v>92557.601575740919</v>
      </c>
      <c r="I8" s="23">
        <v>96757.855490420669</v>
      </c>
      <c r="J8" s="23">
        <v>104418.57899382171</v>
      </c>
      <c r="K8" s="23">
        <v>112748.28923480185</v>
      </c>
      <c r="L8" s="23">
        <v>119185.80244322236</v>
      </c>
      <c r="M8" s="23">
        <v>113916.02022549543</v>
      </c>
      <c r="N8" s="23">
        <v>112099.12385297321</v>
      </c>
      <c r="O8" s="23">
        <v>115088.97090661663</v>
      </c>
      <c r="P8" s="23">
        <v>112032.82608917823</v>
      </c>
      <c r="Q8" s="23">
        <v>113610.71073306401</v>
      </c>
      <c r="R8" s="23">
        <v>111409.46387559567</v>
      </c>
      <c r="S8" s="23">
        <v>107884</v>
      </c>
      <c r="T8" s="23">
        <v>107804.64995970832</v>
      </c>
      <c r="U8" s="23">
        <v>112230.18014443298</v>
      </c>
      <c r="V8" s="23">
        <v>115498.75041816715</v>
      </c>
      <c r="W8" s="23">
        <v>120557.55220981059</v>
      </c>
      <c r="X8" s="23">
        <v>105748.1012419668</v>
      </c>
      <c r="Y8" s="23">
        <v>115580.16306882848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295335.20485771878</v>
      </c>
      <c r="E9" s="23">
        <v>307562.70018734515</v>
      </c>
      <c r="F9" s="23">
        <v>311715.59003713605</v>
      </c>
      <c r="G9" s="23">
        <v>318418.24548384856</v>
      </c>
      <c r="H9" s="23">
        <v>323175.75924144563</v>
      </c>
      <c r="I9" s="23">
        <v>323064.48352536891</v>
      </c>
      <c r="J9" s="23">
        <v>324634.81906443072</v>
      </c>
      <c r="K9" s="23">
        <v>332517.96706307004</v>
      </c>
      <c r="L9" s="23">
        <v>340489.48406867887</v>
      </c>
      <c r="M9" s="23">
        <v>330617.75697999436</v>
      </c>
      <c r="N9" s="23">
        <v>331679.19539633993</v>
      </c>
      <c r="O9" s="23">
        <v>337392.52355718671</v>
      </c>
      <c r="P9" s="23">
        <v>339376.99925395253</v>
      </c>
      <c r="Q9" s="23">
        <v>338366.59290687996</v>
      </c>
      <c r="R9" s="23">
        <v>340822.95450176549</v>
      </c>
      <c r="S9" s="23">
        <v>348573</v>
      </c>
      <c r="T9" s="23">
        <v>352562.25315120828</v>
      </c>
      <c r="U9" s="23">
        <v>360258.11443536222</v>
      </c>
      <c r="V9" s="23">
        <v>363033.04012436781</v>
      </c>
      <c r="W9" s="23">
        <v>376255.46381738706</v>
      </c>
      <c r="X9" s="23">
        <v>324899.64380618534</v>
      </c>
      <c r="Y9" s="23">
        <v>366404.8360915723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84603.207974177902</v>
      </c>
      <c r="E10" s="23">
        <v>89185.955158034689</v>
      </c>
      <c r="F10" s="23">
        <v>93398.301677034789</v>
      </c>
      <c r="G10" s="23">
        <v>92822.855552721288</v>
      </c>
      <c r="H10" s="23">
        <v>95788.099491548724</v>
      </c>
      <c r="I10" s="23">
        <v>95083.440019765054</v>
      </c>
      <c r="J10" s="23">
        <v>97594.880847308028</v>
      </c>
      <c r="K10" s="23">
        <v>98376.787306498212</v>
      </c>
      <c r="L10" s="23">
        <v>98609.420259434948</v>
      </c>
      <c r="M10" s="23">
        <v>96049.119060331024</v>
      </c>
      <c r="N10" s="23">
        <v>95699.103115765465</v>
      </c>
      <c r="O10" s="23">
        <v>96327.759335244016</v>
      </c>
      <c r="P10" s="23">
        <v>95613.64960295966</v>
      </c>
      <c r="Q10" s="23">
        <v>94501.512413975113</v>
      </c>
      <c r="R10" s="23">
        <v>95484.575926506746</v>
      </c>
      <c r="S10" s="23">
        <v>98038</v>
      </c>
      <c r="T10" s="23">
        <v>101495.26945690779</v>
      </c>
      <c r="U10" s="23">
        <v>105982.66010634076</v>
      </c>
      <c r="V10" s="23">
        <v>110244.60318397387</v>
      </c>
      <c r="W10" s="23">
        <v>112909.1792132103</v>
      </c>
      <c r="X10" s="23">
        <v>109221.46209080116</v>
      </c>
      <c r="Y10" s="23">
        <v>115253.65225665615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67306.859920109811</v>
      </c>
      <c r="E11" s="23">
        <v>61771.922402852484</v>
      </c>
      <c r="F11" s="23">
        <v>62166.189653948953</v>
      </c>
      <c r="G11" s="23">
        <v>61366.324235326858</v>
      </c>
      <c r="H11" s="23">
        <v>65530.667399569422</v>
      </c>
      <c r="I11" s="23">
        <v>67513.420030096793</v>
      </c>
      <c r="J11" s="23">
        <v>70283.539276257725</v>
      </c>
      <c r="K11" s="23">
        <v>71962.787499865721</v>
      </c>
      <c r="L11" s="23">
        <v>67042.735401536454</v>
      </c>
      <c r="M11" s="23">
        <v>72387.801890644143</v>
      </c>
      <c r="N11" s="23">
        <v>84579.812328270011</v>
      </c>
      <c r="O11" s="23">
        <v>81236.726530443921</v>
      </c>
      <c r="P11" s="23">
        <v>81108.646996903393</v>
      </c>
      <c r="Q11" s="23">
        <v>85213.869546681817</v>
      </c>
      <c r="R11" s="23">
        <v>87944.030190511839</v>
      </c>
      <c r="S11" s="23">
        <v>87555</v>
      </c>
      <c r="T11" s="23">
        <v>85598.455982570114</v>
      </c>
      <c r="U11" s="23">
        <v>78751.686374097291</v>
      </c>
      <c r="V11" s="23">
        <v>84320.207804474878</v>
      </c>
      <c r="W11" s="23">
        <v>80812.044681884407</v>
      </c>
      <c r="X11" s="23">
        <v>77223.384406626341</v>
      </c>
      <c r="Y11" s="23">
        <v>85399.369367688487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181304.95541732106</v>
      </c>
      <c r="E12" s="23">
        <v>188586.4507161419</v>
      </c>
      <c r="F12" s="23">
        <v>187956.8086666509</v>
      </c>
      <c r="G12" s="23">
        <v>192919.0918999142</v>
      </c>
      <c r="H12" s="23">
        <v>205723.51243644359</v>
      </c>
      <c r="I12" s="23">
        <v>217155.17822249173</v>
      </c>
      <c r="J12" s="23">
        <v>231304.06001765226</v>
      </c>
      <c r="K12" s="23">
        <v>242186.34180927518</v>
      </c>
      <c r="L12" s="23">
        <v>246955.41748877038</v>
      </c>
      <c r="M12" s="23">
        <v>236190.23690629483</v>
      </c>
      <c r="N12" s="23">
        <v>235948.98646897197</v>
      </c>
      <c r="O12" s="23">
        <v>240735.89146167962</v>
      </c>
      <c r="P12" s="23">
        <v>244456.25402405747</v>
      </c>
      <c r="Q12" s="23">
        <v>246025.09186138574</v>
      </c>
      <c r="R12" s="23">
        <v>248809.68038932001</v>
      </c>
      <c r="S12" s="23">
        <v>250513</v>
      </c>
      <c r="T12" s="23">
        <v>255918.89929066726</v>
      </c>
      <c r="U12" s="23">
        <v>262230.18014443299</v>
      </c>
      <c r="V12" s="23">
        <v>265729.97225337976</v>
      </c>
      <c r="W12" s="23">
        <v>270029.14035939774</v>
      </c>
      <c r="X12" s="23">
        <v>262919.09311924013</v>
      </c>
      <c r="Y12" s="23">
        <v>265830.17706214898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196286.21956196436</v>
      </c>
      <c r="E13" s="23">
        <v>202326.70574726537</v>
      </c>
      <c r="F13" s="23">
        <v>204368.80573361402</v>
      </c>
      <c r="G13" s="23">
        <v>206961.48227164161</v>
      </c>
      <c r="H13" s="23">
        <v>213106.36251202418</v>
      </c>
      <c r="I13" s="23">
        <v>220484.91790759831</v>
      </c>
      <c r="J13" s="23">
        <v>232586.05472197704</v>
      </c>
      <c r="K13" s="23">
        <v>242477.46731552202</v>
      </c>
      <c r="L13" s="23">
        <v>247415.09592376472</v>
      </c>
      <c r="M13" s="23">
        <v>231242.73735121384</v>
      </c>
      <c r="N13" s="23">
        <v>238883.30136347143</v>
      </c>
      <c r="O13" s="23">
        <v>249597.9298542238</v>
      </c>
      <c r="P13" s="23">
        <v>249101.16608243313</v>
      </c>
      <c r="Q13" s="23">
        <v>248976.83672019327</v>
      </c>
      <c r="R13" s="23">
        <v>253165.24853549711</v>
      </c>
      <c r="S13" s="23">
        <v>257118</v>
      </c>
      <c r="T13" s="23">
        <v>265326.26321915694</v>
      </c>
      <c r="U13" s="23">
        <v>277894.61153876677</v>
      </c>
      <c r="V13" s="23">
        <v>287982.36810516164</v>
      </c>
      <c r="W13" s="23">
        <v>296909.1792132103</v>
      </c>
      <c r="X13" s="23">
        <v>271206.72433614143</v>
      </c>
      <c r="Y13" s="23">
        <v>287457.3203724089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340232.00306699151</v>
      </c>
      <c r="E14" s="23">
        <v>345958.7840696199</v>
      </c>
      <c r="F14" s="23">
        <v>355564.49133098376</v>
      </c>
      <c r="G14" s="23">
        <v>362682.32729633839</v>
      </c>
      <c r="H14" s="23">
        <v>373463.1945398745</v>
      </c>
      <c r="I14" s="23">
        <v>381505.06479796953</v>
      </c>
      <c r="J14" s="23">
        <v>389061.12091791705</v>
      </c>
      <c r="K14" s="23">
        <v>394904.76650874986</v>
      </c>
      <c r="L14" s="23">
        <v>399926.53540993237</v>
      </c>
      <c r="M14" s="23">
        <v>411899.75189221447</v>
      </c>
      <c r="N14" s="23">
        <v>418007.15433666861</v>
      </c>
      <c r="O14" s="23">
        <v>427071.69219983916</v>
      </c>
      <c r="P14" s="23">
        <v>433079.54092530324</v>
      </c>
      <c r="Q14" s="23">
        <v>439376.56062851456</v>
      </c>
      <c r="R14" s="23">
        <v>444869.94000343996</v>
      </c>
      <c r="S14" s="23">
        <v>443572</v>
      </c>
      <c r="T14" s="23">
        <v>447622.7901747963</v>
      </c>
      <c r="U14" s="23">
        <v>456331.83874295687</v>
      </c>
      <c r="V14" s="23">
        <v>459200.66119605646</v>
      </c>
      <c r="W14" s="23">
        <v>460640.11656143755</v>
      </c>
      <c r="X14" s="23">
        <v>450990.36957464053</v>
      </c>
      <c r="Y14" s="23">
        <v>472950.91143160994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47465.403593821495</v>
      </c>
      <c r="E15" s="23">
        <v>48981.688523599441</v>
      </c>
      <c r="F15" s="23">
        <v>50781.748941504833</v>
      </c>
      <c r="G15" s="23">
        <v>51616.30684321592</v>
      </c>
      <c r="H15" s="23">
        <v>53374.788145297971</v>
      </c>
      <c r="I15" s="23">
        <v>54186.600184174466</v>
      </c>
      <c r="J15" s="23">
        <v>55682.92144748455</v>
      </c>
      <c r="K15" s="23">
        <v>56750.136968642233</v>
      </c>
      <c r="L15" s="23">
        <v>56020.947903110697</v>
      </c>
      <c r="M15" s="23">
        <v>55870.313955801226</v>
      </c>
      <c r="N15" s="23">
        <v>56875.939654725495</v>
      </c>
      <c r="O15" s="23">
        <v>56903.235118249861</v>
      </c>
      <c r="P15" s="23">
        <v>57536.612535641652</v>
      </c>
      <c r="Q15" s="23">
        <v>58393.390040398706</v>
      </c>
      <c r="R15" s="23">
        <v>58945.355578263639</v>
      </c>
      <c r="S15" s="23">
        <v>58123</v>
      </c>
      <c r="T15" s="23">
        <v>58557.258971119314</v>
      </c>
      <c r="U15" s="23">
        <v>60235.298785810643</v>
      </c>
      <c r="V15" s="23">
        <v>59443.690103705456</v>
      </c>
      <c r="W15" s="23">
        <v>60927.634774162216</v>
      </c>
      <c r="X15" s="23">
        <v>51912.892708392224</v>
      </c>
      <c r="Y15" s="23">
        <v>55212.978338339832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1640272.8138410356</v>
      </c>
      <c r="E16" s="30">
        <f t="shared" ref="E16:S16" si="0">SUM(E6:E15)</f>
        <v>1672830.120263492</v>
      </c>
      <c r="F16" s="30">
        <f t="shared" si="0"/>
        <v>1691487.0970030988</v>
      </c>
      <c r="G16" s="30">
        <f t="shared" si="0"/>
        <v>1703537.5553648865</v>
      </c>
      <c r="H16" s="30">
        <f t="shared" si="0"/>
        <v>1755176.1256928223</v>
      </c>
      <c r="I16" s="30">
        <f t="shared" si="0"/>
        <v>1781197.3586685529</v>
      </c>
      <c r="J16" s="30">
        <f t="shared" si="0"/>
        <v>1825313.3274492498</v>
      </c>
      <c r="K16" s="30">
        <f t="shared" si="0"/>
        <v>1871917.6684177164</v>
      </c>
      <c r="L16" s="30">
        <f t="shared" si="0"/>
        <v>1881538.3485160153</v>
      </c>
      <c r="M16" s="30">
        <f t="shared" si="0"/>
        <v>1832152.4658982654</v>
      </c>
      <c r="N16" s="30">
        <f t="shared" si="0"/>
        <v>1864057.2346933486</v>
      </c>
      <c r="O16" s="30">
        <f t="shared" si="0"/>
        <v>1905794.9648446357</v>
      </c>
      <c r="P16" s="30">
        <f t="shared" si="0"/>
        <v>1916549.9902911629</v>
      </c>
      <c r="Q16" s="30">
        <f t="shared" si="0"/>
        <v>1928420.1871739174</v>
      </c>
      <c r="R16" s="30">
        <f t="shared" si="0"/>
        <v>1949867.9670980079</v>
      </c>
      <c r="S16" s="30">
        <f t="shared" si="0"/>
        <v>1967466</v>
      </c>
      <c r="T16" s="30">
        <f t="shared" ref="T16:Y16" si="1">SUM(T6:T15)</f>
        <v>1986519.6931862275</v>
      </c>
      <c r="U16" s="30">
        <f t="shared" si="1"/>
        <v>2029728.7913657643</v>
      </c>
      <c r="V16" s="30">
        <f t="shared" si="1"/>
        <v>2067979.219552512</v>
      </c>
      <c r="W16" s="30">
        <f t="shared" si="1"/>
        <v>2107109.2763477415</v>
      </c>
      <c r="X16" s="30">
        <f t="shared" si="1"/>
        <v>1949495.8632517296</v>
      </c>
      <c r="Y16" s="30">
        <f t="shared" si="1"/>
        <v>2068963.7479709685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38369.547742422183</v>
      </c>
      <c r="E18" s="19">
        <v>39173.264035776876</v>
      </c>
      <c r="F18" s="19">
        <v>37761.667100314589</v>
      </c>
      <c r="G18" s="19">
        <v>34981.3324675927</v>
      </c>
      <c r="H18" s="19">
        <v>35567.541569328023</v>
      </c>
      <c r="I18" s="19">
        <v>33318.734137412124</v>
      </c>
      <c r="J18" s="19">
        <v>30962.047661076787</v>
      </c>
      <c r="K18" s="19">
        <v>33639.498533629827</v>
      </c>
      <c r="L18" s="19">
        <v>31683.178707862808</v>
      </c>
      <c r="M18" s="19">
        <v>26822.859416056868</v>
      </c>
      <c r="N18" s="19">
        <v>33184.71667789932</v>
      </c>
      <c r="O18" s="19">
        <v>35020.309697107157</v>
      </c>
      <c r="P18" s="19">
        <v>34834.285480689636</v>
      </c>
      <c r="Q18" s="19">
        <v>31346.55595931708</v>
      </c>
      <c r="R18" s="19">
        <v>33851.010228755855</v>
      </c>
      <c r="S18" s="19">
        <v>35299</v>
      </c>
      <c r="T18" s="19">
        <v>31941.860580797278</v>
      </c>
      <c r="U18" s="19">
        <v>35148.996111419729</v>
      </c>
      <c r="V18" s="19">
        <v>38341.499891768501</v>
      </c>
      <c r="W18" s="19">
        <v>36048.567265662939</v>
      </c>
      <c r="X18" s="19">
        <v>34498.030568590868</v>
      </c>
      <c r="Y18" s="19">
        <v>37749.314327294436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2449.8831327834182</v>
      </c>
      <c r="E19" s="23">
        <v>2414.9392639149091</v>
      </c>
      <c r="F19" s="23">
        <v>2409.111337133666</v>
      </c>
      <c r="G19" s="23">
        <v>2174.0138673097886</v>
      </c>
      <c r="H19" s="23">
        <v>2084.1922037469653</v>
      </c>
      <c r="I19" s="23">
        <v>2234.7999910158792</v>
      </c>
      <c r="J19" s="23">
        <v>2412.8420123565757</v>
      </c>
      <c r="K19" s="23">
        <v>2581.4560572367782</v>
      </c>
      <c r="L19" s="23">
        <v>2492.548591578859</v>
      </c>
      <c r="M19" s="23">
        <v>2296.8290359389885</v>
      </c>
      <c r="N19" s="23">
        <v>2332.9358701850797</v>
      </c>
      <c r="O19" s="23">
        <v>2309.3259654838243</v>
      </c>
      <c r="P19" s="23">
        <v>2263.6920152479843</v>
      </c>
      <c r="Q19" s="23">
        <v>2142.7556385635112</v>
      </c>
      <c r="R19" s="23">
        <v>2209.6540839142444</v>
      </c>
      <c r="S19" s="23">
        <v>1944</v>
      </c>
      <c r="T19" s="23">
        <v>1843.4692639056082</v>
      </c>
      <c r="U19" s="23">
        <v>1852.03555273391</v>
      </c>
      <c r="V19" s="23">
        <v>1876.3405946828816</v>
      </c>
      <c r="W19" s="23">
        <v>1849.4414764448761</v>
      </c>
      <c r="X19" s="23">
        <v>1645.2761915531182</v>
      </c>
      <c r="Y19" s="23">
        <v>1704.3864395395265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264728.36101458059</v>
      </c>
      <c r="E20" s="23">
        <v>260850.90953042862</v>
      </c>
      <c r="F20" s="23">
        <v>255112.709038011</v>
      </c>
      <c r="G20" s="23">
        <v>247567.42341673834</v>
      </c>
      <c r="H20" s="23">
        <v>247525.30804818854</v>
      </c>
      <c r="I20" s="23">
        <v>242920.51299328418</v>
      </c>
      <c r="J20" s="23">
        <v>239118.49073256846</v>
      </c>
      <c r="K20" s="23">
        <v>242539.77461944165</v>
      </c>
      <c r="L20" s="23">
        <v>232195.33185004842</v>
      </c>
      <c r="M20" s="23">
        <v>214676.04660657639</v>
      </c>
      <c r="N20" s="23">
        <v>213651.30385193607</v>
      </c>
      <c r="O20" s="23">
        <v>220609.70329285128</v>
      </c>
      <c r="P20" s="23">
        <v>221190.8144181339</v>
      </c>
      <c r="Q20" s="23">
        <v>222517.71249923846</v>
      </c>
      <c r="R20" s="23">
        <v>223598.98420663911</v>
      </c>
      <c r="S20" s="23">
        <v>229376</v>
      </c>
      <c r="T20" s="23">
        <v>228553.37903041291</v>
      </c>
      <c r="U20" s="23">
        <v>230987.62003015613</v>
      </c>
      <c r="V20" s="23">
        <v>231874.17596473623</v>
      </c>
      <c r="W20" s="23">
        <v>236962.60320543975</v>
      </c>
      <c r="X20" s="23">
        <v>206498.18133845981</v>
      </c>
      <c r="Y20" s="23">
        <v>210917.58867100792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31505.917562236427</v>
      </c>
      <c r="E21" s="23">
        <v>31383.332326101408</v>
      </c>
      <c r="F21" s="23">
        <v>33135.037963904724</v>
      </c>
      <c r="G21" s="23">
        <v>32762.099111842868</v>
      </c>
      <c r="H21" s="23">
        <v>34167.010214832117</v>
      </c>
      <c r="I21" s="23">
        <v>34871.863980414615</v>
      </c>
      <c r="J21" s="23">
        <v>34478.155339805824</v>
      </c>
      <c r="K21" s="23">
        <v>27915.820683876373</v>
      </c>
      <c r="L21" s="23">
        <v>26215.31421854666</v>
      </c>
      <c r="M21" s="23">
        <v>27126.451221171865</v>
      </c>
      <c r="N21" s="23">
        <v>26668.049147182333</v>
      </c>
      <c r="O21" s="23">
        <v>28516.051877358295</v>
      </c>
      <c r="P21" s="23">
        <v>31409.620946560517</v>
      </c>
      <c r="Q21" s="23">
        <v>33448.709880427945</v>
      </c>
      <c r="R21" s="23">
        <v>34485.375206143326</v>
      </c>
      <c r="S21" s="23">
        <v>35336</v>
      </c>
      <c r="T21" s="23">
        <v>35143.309091994393</v>
      </c>
      <c r="U21" s="23">
        <v>32882.310927704151</v>
      </c>
      <c r="V21" s="23">
        <v>35418.265541059096</v>
      </c>
      <c r="W21" s="23">
        <v>38573.093734822731</v>
      </c>
      <c r="X21" s="23">
        <v>38943.857070164529</v>
      </c>
      <c r="Y21" s="23">
        <v>38087.019795884094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11042.406104302445</v>
      </c>
      <c r="E22" s="23">
        <v>11594.85103039826</v>
      </c>
      <c r="F22" s="23">
        <v>12435.839818340941</v>
      </c>
      <c r="G22" s="23">
        <v>12186.072397560467</v>
      </c>
      <c r="H22" s="23">
        <v>13112.088314781733</v>
      </c>
      <c r="I22" s="23">
        <v>12100.487388540754</v>
      </c>
      <c r="J22" s="23">
        <v>12775.816416593116</v>
      </c>
      <c r="K22" s="23">
        <v>13316.574817106577</v>
      </c>
      <c r="L22" s="23">
        <v>13306.536249527726</v>
      </c>
      <c r="M22" s="23">
        <v>13056.541356531936</v>
      </c>
      <c r="N22" s="23">
        <v>14447.612628959512</v>
      </c>
      <c r="O22" s="23">
        <v>14984.845048351512</v>
      </c>
      <c r="P22" s="23">
        <v>14545.881920101379</v>
      </c>
      <c r="Q22" s="23">
        <v>14499.888345277006</v>
      </c>
      <c r="R22" s="23">
        <v>14271.694371654914</v>
      </c>
      <c r="S22" s="23">
        <v>14135</v>
      </c>
      <c r="T22" s="23">
        <v>14151.83501298288</v>
      </c>
      <c r="U22" s="23">
        <v>14943.258471549876</v>
      </c>
      <c r="V22" s="23">
        <v>15015.644370978216</v>
      </c>
      <c r="W22" s="23">
        <v>14635.259834871296</v>
      </c>
      <c r="X22" s="23">
        <v>13788.846798967226</v>
      </c>
      <c r="Y22" s="23">
        <v>16416.030747989626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79642.84389260583</v>
      </c>
      <c r="E23" s="23">
        <v>83038.617272013056</v>
      </c>
      <c r="F23" s="23">
        <v>84680.795704520191</v>
      </c>
      <c r="G23" s="23">
        <v>87079.980520835757</v>
      </c>
      <c r="H23" s="23">
        <v>92557.601575740919</v>
      </c>
      <c r="I23" s="23">
        <v>96757.855490420669</v>
      </c>
      <c r="J23" s="23">
        <v>104418.57899382171</v>
      </c>
      <c r="K23" s="23">
        <v>112748.28923480185</v>
      </c>
      <c r="L23" s="23">
        <v>119185.80244322236</v>
      </c>
      <c r="M23" s="23">
        <v>113916.02022549543</v>
      </c>
      <c r="N23" s="23">
        <v>112099.12385297321</v>
      </c>
      <c r="O23" s="23">
        <v>115088.97090661663</v>
      </c>
      <c r="P23" s="23">
        <v>112032.82608917823</v>
      </c>
      <c r="Q23" s="23">
        <v>113610.71073306401</v>
      </c>
      <c r="R23" s="23">
        <v>111409.46387559567</v>
      </c>
      <c r="S23" s="23">
        <v>107884</v>
      </c>
      <c r="T23" s="23">
        <v>107804.64995970832</v>
      </c>
      <c r="U23" s="23">
        <v>112230.18014443298</v>
      </c>
      <c r="V23" s="23">
        <v>115498.75041816715</v>
      </c>
      <c r="W23" s="23">
        <v>120557.55220981059</v>
      </c>
      <c r="X23" s="23">
        <v>105748.1012419668</v>
      </c>
      <c r="Y23" s="23">
        <v>115580.16306882848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182464.97075227858</v>
      </c>
      <c r="E24" s="23">
        <v>192170.18190608569</v>
      </c>
      <c r="F24" s="23">
        <v>193265.84194715804</v>
      </c>
      <c r="G24" s="23">
        <v>199613.89513716579</v>
      </c>
      <c r="H24" s="23">
        <v>200351.56428931333</v>
      </c>
      <c r="I24" s="23">
        <v>197917.93005862139</v>
      </c>
      <c r="J24" s="23">
        <v>197629.08208296559</v>
      </c>
      <c r="K24" s="23">
        <v>200148.24841277517</v>
      </c>
      <c r="L24" s="23">
        <v>207460.85386843543</v>
      </c>
      <c r="M24" s="23">
        <v>201270.89810830899</v>
      </c>
      <c r="N24" s="23">
        <v>196605.31909378408</v>
      </c>
      <c r="O24" s="23">
        <v>200704.1382296542</v>
      </c>
      <c r="P24" s="23">
        <v>201460.41349426159</v>
      </c>
      <c r="Q24" s="23">
        <v>200449.6640207881</v>
      </c>
      <c r="R24" s="23">
        <v>200600.97734699867</v>
      </c>
      <c r="S24" s="23">
        <v>205731</v>
      </c>
      <c r="T24" s="23">
        <v>206926.19158948239</v>
      </c>
      <c r="U24" s="23">
        <v>211239.18736608201</v>
      </c>
      <c r="V24" s="23">
        <v>213618.4741326721</v>
      </c>
      <c r="W24" s="23">
        <v>218498.30014570174</v>
      </c>
      <c r="X24" s="23">
        <v>210993.95035902073</v>
      </c>
      <c r="Y24" s="23">
        <v>231282.53447021291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72385.94625344727</v>
      </c>
      <c r="E25" s="23">
        <v>74884.873390947003</v>
      </c>
      <c r="F25" s="23">
        <v>76535.70499325874</v>
      </c>
      <c r="G25" s="23">
        <v>76437.168100549592</v>
      </c>
      <c r="H25" s="23">
        <v>79759.28725207274</v>
      </c>
      <c r="I25" s="23">
        <v>80504.458369831322</v>
      </c>
      <c r="J25" s="23">
        <v>81389.011473962935</v>
      </c>
      <c r="K25" s="23">
        <v>84946.340520158556</v>
      </c>
      <c r="L25" s="23">
        <v>86124.637924520372</v>
      </c>
      <c r="M25" s="23">
        <v>83083.65524533359</v>
      </c>
      <c r="N25" s="23">
        <v>86110.218259111411</v>
      </c>
      <c r="O25" s="23">
        <v>85692.488504917623</v>
      </c>
      <c r="P25" s="23">
        <v>86572.167319032378</v>
      </c>
      <c r="Q25" s="23">
        <v>86090.866643659028</v>
      </c>
      <c r="R25" s="23">
        <v>88726.110138710428</v>
      </c>
      <c r="S25" s="23">
        <v>90702</v>
      </c>
      <c r="T25" s="23">
        <v>91414.387616025153</v>
      </c>
      <c r="U25" s="23">
        <v>93978.65248789778</v>
      </c>
      <c r="V25" s="23">
        <v>91899.364385933834</v>
      </c>
      <c r="W25" s="23">
        <v>96489.558037882467</v>
      </c>
      <c r="X25" s="23">
        <v>77664.386272403455</v>
      </c>
      <c r="Y25" s="23">
        <v>96210.608802731498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40484.287851992922</v>
      </c>
      <c r="E26" s="23">
        <v>40507.64489031244</v>
      </c>
      <c r="F26" s="23">
        <v>41914.043096719259</v>
      </c>
      <c r="G26" s="23">
        <v>42367.182246133154</v>
      </c>
      <c r="H26" s="23">
        <v>43064.90770005955</v>
      </c>
      <c r="I26" s="23">
        <v>44642.0950969162</v>
      </c>
      <c r="J26" s="23">
        <v>45616.725507502204</v>
      </c>
      <c r="K26" s="23">
        <v>47423.37813013632</v>
      </c>
      <c r="L26" s="23">
        <v>46903.992275723096</v>
      </c>
      <c r="M26" s="23">
        <v>46263.203626351773</v>
      </c>
      <c r="N26" s="23">
        <v>48963.658043444455</v>
      </c>
      <c r="O26" s="23">
        <v>50995.896822614894</v>
      </c>
      <c r="P26" s="23">
        <v>51344.418440658563</v>
      </c>
      <c r="Q26" s="23">
        <v>51826.062242432854</v>
      </c>
      <c r="R26" s="23">
        <v>51495.867016056414</v>
      </c>
      <c r="S26" s="23">
        <v>52140</v>
      </c>
      <c r="T26" s="23">
        <v>54221.673945700728</v>
      </c>
      <c r="U26" s="23">
        <v>55040.274581382429</v>
      </c>
      <c r="V26" s="23">
        <v>57515.201605761853</v>
      </c>
      <c r="W26" s="23">
        <v>61267.605633802814</v>
      </c>
      <c r="X26" s="23">
        <v>36241.307174761125</v>
      </c>
      <c r="Y26" s="23">
        <v>38911.692818627904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84603.207974177902</v>
      </c>
      <c r="E27" s="23">
        <v>89185.955158034689</v>
      </c>
      <c r="F27" s="23">
        <v>93398.301677034789</v>
      </c>
      <c r="G27" s="23">
        <v>92822.855552721288</v>
      </c>
      <c r="H27" s="23">
        <v>95788.099491548724</v>
      </c>
      <c r="I27" s="23">
        <v>95083.440019765054</v>
      </c>
      <c r="J27" s="23">
        <v>97594.880847308028</v>
      </c>
      <c r="K27" s="23">
        <v>98376.787306498212</v>
      </c>
      <c r="L27" s="23">
        <v>98609.420259434948</v>
      </c>
      <c r="M27" s="23">
        <v>96049.119060331024</v>
      </c>
      <c r="N27" s="23">
        <v>95699.103115765465</v>
      </c>
      <c r="O27" s="23">
        <v>96327.759335244016</v>
      </c>
      <c r="P27" s="23">
        <v>95613.64960295966</v>
      </c>
      <c r="Q27" s="23">
        <v>94501.512413975113</v>
      </c>
      <c r="R27" s="23">
        <v>95484.575926506746</v>
      </c>
      <c r="S27" s="23">
        <v>98038</v>
      </c>
      <c r="T27" s="23">
        <v>101495.26945690779</v>
      </c>
      <c r="U27" s="23">
        <v>105982.66010634076</v>
      </c>
      <c r="V27" s="23">
        <v>110244.60318397387</v>
      </c>
      <c r="W27" s="23">
        <v>112909.1792132103</v>
      </c>
      <c r="X27" s="23">
        <v>109221.46209080116</v>
      </c>
      <c r="Y27" s="23">
        <v>115253.65225665615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67306.859920109811</v>
      </c>
      <c r="E28" s="23">
        <v>61771.922402852484</v>
      </c>
      <c r="F28" s="23">
        <v>62166.189653948953</v>
      </c>
      <c r="G28" s="23">
        <v>61366.324235326858</v>
      </c>
      <c r="H28" s="23">
        <v>65530.667399569422</v>
      </c>
      <c r="I28" s="23">
        <v>67513.420030096793</v>
      </c>
      <c r="J28" s="23">
        <v>70283.539276257725</v>
      </c>
      <c r="K28" s="23">
        <v>71962.787499865721</v>
      </c>
      <c r="L28" s="23">
        <v>67042.735401536454</v>
      </c>
      <c r="M28" s="23">
        <v>72387.801890644143</v>
      </c>
      <c r="N28" s="23">
        <v>84579.812328270011</v>
      </c>
      <c r="O28" s="23">
        <v>81236.726530443921</v>
      </c>
      <c r="P28" s="23">
        <v>81108.646996903393</v>
      </c>
      <c r="Q28" s="23">
        <v>85213.869546681817</v>
      </c>
      <c r="R28" s="23">
        <v>87944.030190511839</v>
      </c>
      <c r="S28" s="23">
        <v>87555</v>
      </c>
      <c r="T28" s="23">
        <v>85598.455982570114</v>
      </c>
      <c r="U28" s="23">
        <v>78751.686374097291</v>
      </c>
      <c r="V28" s="23">
        <v>84320.207804474878</v>
      </c>
      <c r="W28" s="23">
        <v>80812.044681884407</v>
      </c>
      <c r="X28" s="23">
        <v>77223.384406626341</v>
      </c>
      <c r="Y28" s="23">
        <v>85399.369367688487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181304.95541732106</v>
      </c>
      <c r="E29" s="23">
        <v>188586.4507161419</v>
      </c>
      <c r="F29" s="23">
        <v>187956.8086666509</v>
      </c>
      <c r="G29" s="23">
        <v>192919.0918999142</v>
      </c>
      <c r="H29" s="23">
        <v>205723.51243644359</v>
      </c>
      <c r="I29" s="23">
        <v>217155.17822249173</v>
      </c>
      <c r="J29" s="23">
        <v>231304.06001765226</v>
      </c>
      <c r="K29" s="23">
        <v>242186.34180927518</v>
      </c>
      <c r="L29" s="23">
        <v>246955.41748877038</v>
      </c>
      <c r="M29" s="23">
        <v>236190.23690629483</v>
      </c>
      <c r="N29" s="23">
        <v>235948.98646897197</v>
      </c>
      <c r="O29" s="23">
        <v>240735.89146167962</v>
      </c>
      <c r="P29" s="23">
        <v>244456.25402405747</v>
      </c>
      <c r="Q29" s="23">
        <v>246025.09186138574</v>
      </c>
      <c r="R29" s="23">
        <v>248809.68038932001</v>
      </c>
      <c r="S29" s="23">
        <v>250513</v>
      </c>
      <c r="T29" s="23">
        <v>255918.89929066726</v>
      </c>
      <c r="U29" s="23">
        <v>262230.18014443299</v>
      </c>
      <c r="V29" s="23">
        <v>265729.97225337976</v>
      </c>
      <c r="W29" s="23">
        <v>270029.14035939774</v>
      </c>
      <c r="X29" s="23">
        <v>262919.09311924013</v>
      </c>
      <c r="Y29" s="23">
        <v>265830.17706214898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104040.26663039043</v>
      </c>
      <c r="E30" s="23">
        <v>108174.29141234061</v>
      </c>
      <c r="F30" s="23">
        <v>112005.34569624145</v>
      </c>
      <c r="G30" s="23">
        <v>114931.70697771493</v>
      </c>
      <c r="H30" s="23">
        <v>120058.63222023727</v>
      </c>
      <c r="I30" s="23">
        <v>124887.13698537834</v>
      </c>
      <c r="J30" s="23">
        <v>132153.57458075904</v>
      </c>
      <c r="K30" s="23">
        <v>137526.18518160429</v>
      </c>
      <c r="L30" s="23">
        <v>141370.0096553461</v>
      </c>
      <c r="M30" s="23">
        <v>136196.51811605581</v>
      </c>
      <c r="N30" s="23">
        <v>140509.09844989373</v>
      </c>
      <c r="O30" s="23">
        <v>146759.72700468049</v>
      </c>
      <c r="P30" s="23">
        <v>147865.58881541967</v>
      </c>
      <c r="Q30" s="23">
        <v>148235.85537668245</v>
      </c>
      <c r="R30" s="23">
        <v>150492.21461164113</v>
      </c>
      <c r="S30" s="23">
        <v>152309</v>
      </c>
      <c r="T30" s="23">
        <v>155707.98969328569</v>
      </c>
      <c r="U30" s="23">
        <v>162596.22252202209</v>
      </c>
      <c r="V30" s="23">
        <v>166967.74701379458</v>
      </c>
      <c r="W30" s="23">
        <v>173227.78047595921</v>
      </c>
      <c r="X30" s="23">
        <v>162197.28237311775</v>
      </c>
      <c r="Y30" s="23">
        <v>171009.57143123681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92245.952931573935</v>
      </c>
      <c r="E31" s="23">
        <v>94152.414334924761</v>
      </c>
      <c r="F31" s="23">
        <v>92363.46003737257</v>
      </c>
      <c r="G31" s="23">
        <v>92029.775293926679</v>
      </c>
      <c r="H31" s="23">
        <v>93047.730291786909</v>
      </c>
      <c r="I31" s="23">
        <v>95597.780922219972</v>
      </c>
      <c r="J31" s="23">
        <v>100432.48014121801</v>
      </c>
      <c r="K31" s="23">
        <v>104951.28213391773</v>
      </c>
      <c r="L31" s="23">
        <v>106045.08626841861</v>
      </c>
      <c r="M31" s="23">
        <v>95046.219235158031</v>
      </c>
      <c r="N31" s="23">
        <v>98374.202913577697</v>
      </c>
      <c r="O31" s="23">
        <v>102838.20284954329</v>
      </c>
      <c r="P31" s="23">
        <v>101235.57726701346</v>
      </c>
      <c r="Q31" s="23">
        <v>100740.98134351082</v>
      </c>
      <c r="R31" s="23">
        <v>102673.03392385597</v>
      </c>
      <c r="S31" s="23">
        <v>104809</v>
      </c>
      <c r="T31" s="23">
        <v>109618.27352587125</v>
      </c>
      <c r="U31" s="23">
        <v>115298.3890167447</v>
      </c>
      <c r="V31" s="23">
        <v>121014.62109136707</v>
      </c>
      <c r="W31" s="23">
        <v>123681.39873725109</v>
      </c>
      <c r="X31" s="23">
        <v>109009.4419630237</v>
      </c>
      <c r="Y31" s="23">
        <v>116447.74894117207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134477.68392673851</v>
      </c>
      <c r="E32" s="23">
        <v>135019.03668338677</v>
      </c>
      <c r="F32" s="23">
        <v>135712.0893157036</v>
      </c>
      <c r="G32" s="23">
        <v>137227.2337267815</v>
      </c>
      <c r="H32" s="23">
        <v>141341.44107003801</v>
      </c>
      <c r="I32" s="23">
        <v>144009.83761202072</v>
      </c>
      <c r="J32" s="23">
        <v>145366.28420123569</v>
      </c>
      <c r="K32" s="23">
        <v>146165.41514926896</v>
      </c>
      <c r="L32" s="23">
        <v>146167.24738675955</v>
      </c>
      <c r="M32" s="23">
        <v>150863.14290799078</v>
      </c>
      <c r="N32" s="23">
        <v>152494.16766032457</v>
      </c>
      <c r="O32" s="23">
        <v>155197.01437143033</v>
      </c>
      <c r="P32" s="23">
        <v>157411.93062780405</v>
      </c>
      <c r="Q32" s="23">
        <v>159123.20591161004</v>
      </c>
      <c r="R32" s="23">
        <v>160037.02991734032</v>
      </c>
      <c r="S32" s="23">
        <v>157116</v>
      </c>
      <c r="T32" s="23">
        <v>157279.86310773299</v>
      </c>
      <c r="U32" s="23">
        <v>159595.46861360208</v>
      </c>
      <c r="V32" s="23">
        <v>160841.8442647146</v>
      </c>
      <c r="W32" s="23">
        <v>161337.5424963574</v>
      </c>
      <c r="X32" s="23">
        <v>158816.26806882647</v>
      </c>
      <c r="Y32" s="23">
        <v>160556.56100154854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87142.13279578535</v>
      </c>
      <c r="E33" s="23">
        <v>88834.229769746787</v>
      </c>
      <c r="F33" s="23">
        <v>90898.124275610855</v>
      </c>
      <c r="G33" s="23">
        <v>92239.640099250988</v>
      </c>
      <c r="H33" s="23">
        <v>91859.053639320235</v>
      </c>
      <c r="I33" s="23">
        <v>93380.949172337889</v>
      </c>
      <c r="J33" s="23">
        <v>93738.967343336277</v>
      </c>
      <c r="K33" s="23">
        <v>95332.32352530428</v>
      </c>
      <c r="L33" s="23">
        <v>97376.264640443304</v>
      </c>
      <c r="M33" s="23">
        <v>99411.660019053001</v>
      </c>
      <c r="N33" s="23">
        <v>100732.02343304474</v>
      </c>
      <c r="O33" s="23">
        <v>102113.44563805439</v>
      </c>
      <c r="P33" s="23">
        <v>102804.32094349456</v>
      </c>
      <c r="Q33" s="23">
        <v>103594.26703749568</v>
      </c>
      <c r="R33" s="23">
        <v>104669.20952255689</v>
      </c>
      <c r="S33" s="23">
        <v>105270</v>
      </c>
      <c r="T33" s="23">
        <v>106414.8353014913</v>
      </c>
      <c r="U33" s="23">
        <v>109748.23426712165</v>
      </c>
      <c r="V33" s="23">
        <v>110434.50026565912</v>
      </c>
      <c r="W33" s="23">
        <v>110846.04176784847</v>
      </c>
      <c r="X33" s="23">
        <v>108578.80552571568</v>
      </c>
      <c r="Y33" s="23">
        <v>112375.69266936582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118612.18634446766</v>
      </c>
      <c r="E34" s="23">
        <v>122105.51761648637</v>
      </c>
      <c r="F34" s="23">
        <v>128954.27773966933</v>
      </c>
      <c r="G34" s="23">
        <v>133215.45347030589</v>
      </c>
      <c r="H34" s="23">
        <v>140262.69983051624</v>
      </c>
      <c r="I34" s="23">
        <v>144114.27801361092</v>
      </c>
      <c r="J34" s="23">
        <v>149955.86937334511</v>
      </c>
      <c r="K34" s="23">
        <v>153407.02783417664</v>
      </c>
      <c r="L34" s="23">
        <v>156383.0233827295</v>
      </c>
      <c r="M34" s="23">
        <v>161624.94896517071</v>
      </c>
      <c r="N34" s="23">
        <v>164780.96324329931</v>
      </c>
      <c r="O34" s="23">
        <v>169761.23219035444</v>
      </c>
      <c r="P34" s="23">
        <v>172863.28935400464</v>
      </c>
      <c r="Q34" s="23">
        <v>176659.08767940884</v>
      </c>
      <c r="R34" s="23">
        <v>180163.70056354272</v>
      </c>
      <c r="S34" s="23">
        <v>181186</v>
      </c>
      <c r="T34" s="23">
        <v>183928.091765572</v>
      </c>
      <c r="U34" s="23">
        <v>186988.13586223315</v>
      </c>
      <c r="V34" s="23">
        <v>187924.31666568274</v>
      </c>
      <c r="W34" s="23">
        <v>188456.53229723166</v>
      </c>
      <c r="X34" s="23">
        <v>183595.29598009837</v>
      </c>
      <c r="Y34" s="23">
        <v>200018.65776069555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17886.249242527301</v>
      </c>
      <c r="E35" s="23">
        <v>19005.257750649664</v>
      </c>
      <c r="F35" s="23">
        <v>20759.514629704092</v>
      </c>
      <c r="G35" s="23">
        <v>21304.176425573361</v>
      </c>
      <c r="H35" s="23">
        <v>21751.179515368054</v>
      </c>
      <c r="I35" s="23">
        <v>22431.103025402597</v>
      </c>
      <c r="J35" s="23">
        <v>23212.709620476606</v>
      </c>
      <c r="K35" s="23">
        <v>23936.747343882602</v>
      </c>
      <c r="L35" s="23">
        <v>24132.068343058643</v>
      </c>
      <c r="M35" s="23">
        <v>24406.687394658882</v>
      </c>
      <c r="N35" s="23">
        <v>25205.039141479599</v>
      </c>
      <c r="O35" s="23">
        <v>25699.49895874142</v>
      </c>
      <c r="P35" s="23">
        <v>25927.704933111225</v>
      </c>
      <c r="Q35" s="23">
        <v>26886.457297143668</v>
      </c>
      <c r="R35" s="23">
        <v>27502.301723004079</v>
      </c>
      <c r="S35" s="23">
        <v>27591</v>
      </c>
      <c r="T35" s="23">
        <v>27893.789110299753</v>
      </c>
      <c r="U35" s="23">
        <v>29207.999365129745</v>
      </c>
      <c r="V35" s="23">
        <v>30244.799968514475</v>
      </c>
      <c r="W35" s="23">
        <v>31549.295774647886</v>
      </c>
      <c r="X35" s="23">
        <v>26907.709994157663</v>
      </c>
      <c r="Y35" s="23">
        <v>28037.016997219995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25650.189831933811</v>
      </c>
      <c r="E36" s="23">
        <v>25953.949356378798</v>
      </c>
      <c r="F36" s="23">
        <v>25723.206471603946</v>
      </c>
      <c r="G36" s="23">
        <v>25680.031537694504</v>
      </c>
      <c r="H36" s="23">
        <v>26684.531171270213</v>
      </c>
      <c r="I36" s="23">
        <v>26679.469038474494</v>
      </c>
      <c r="J36" s="23">
        <v>27387.46690203001</v>
      </c>
      <c r="K36" s="23">
        <v>27728.898772116405</v>
      </c>
      <c r="L36" s="23">
        <v>27641.576760001677</v>
      </c>
      <c r="M36" s="23">
        <v>27293.950148131866</v>
      </c>
      <c r="N36" s="23">
        <v>27533.827570117686</v>
      </c>
      <c r="O36" s="23">
        <v>27143.858636260538</v>
      </c>
      <c r="P36" s="23">
        <v>27674.273625688558</v>
      </c>
      <c r="Q36" s="23">
        <v>27766.499522929818</v>
      </c>
      <c r="R36" s="23">
        <v>27797.731664626313</v>
      </c>
      <c r="S36" s="23">
        <v>27062</v>
      </c>
      <c r="T36" s="23">
        <v>27304.834008177721</v>
      </c>
      <c r="U36" s="23">
        <v>27673.398936592333</v>
      </c>
      <c r="V36" s="23">
        <v>27654.131491430035</v>
      </c>
      <c r="W36" s="23">
        <v>27947.547353084021</v>
      </c>
      <c r="X36" s="23">
        <v>24209.871657149321</v>
      </c>
      <c r="Y36" s="23">
        <v>25812.079034274306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3928.9645193603837</v>
      </c>
      <c r="E37" s="23">
        <v>4022.4814165709795</v>
      </c>
      <c r="F37" s="23">
        <v>4299.0278401967971</v>
      </c>
      <c r="G37" s="23">
        <v>4632.0988799480556</v>
      </c>
      <c r="H37" s="23">
        <v>4939.0774586597045</v>
      </c>
      <c r="I37" s="23">
        <v>5076.0281202973738</v>
      </c>
      <c r="J37" s="23">
        <v>5082.7449249779347</v>
      </c>
      <c r="K37" s="23">
        <v>5084.4908526432264</v>
      </c>
      <c r="L37" s="23">
        <v>4247.3028000503755</v>
      </c>
      <c r="M37" s="23">
        <v>4169.6764130104793</v>
      </c>
      <c r="N37" s="23">
        <v>4137.072943128208</v>
      </c>
      <c r="O37" s="23">
        <v>4059.877523247902</v>
      </c>
      <c r="P37" s="23">
        <v>3934.6339768418684</v>
      </c>
      <c r="Q37" s="23">
        <v>3740.4332203252197</v>
      </c>
      <c r="R37" s="23">
        <v>3645.3221906332474</v>
      </c>
      <c r="S37" s="23">
        <v>3470</v>
      </c>
      <c r="T37" s="23">
        <v>3358.6358526418417</v>
      </c>
      <c r="U37" s="23">
        <v>3353.9004840885641</v>
      </c>
      <c r="V37" s="23">
        <v>1544.7586437609461</v>
      </c>
      <c r="W37" s="23">
        <v>1430.7916464303059</v>
      </c>
      <c r="X37" s="23">
        <v>795.31105708524149</v>
      </c>
      <c r="Y37" s="23">
        <v>1363.8823068455324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1640272.8138410356</v>
      </c>
      <c r="E39" s="30">
        <f t="shared" ref="E39:S39" si="2">SUM(E18:E38)</f>
        <v>1672830.120263492</v>
      </c>
      <c r="F39" s="30">
        <f t="shared" si="2"/>
        <v>1691487.0970030988</v>
      </c>
      <c r="G39" s="30">
        <f t="shared" si="2"/>
        <v>1703537.5553648865</v>
      </c>
      <c r="H39" s="30">
        <f t="shared" si="2"/>
        <v>1755176.1256928223</v>
      </c>
      <c r="I39" s="30">
        <f t="shared" si="2"/>
        <v>1781197.3586685534</v>
      </c>
      <c r="J39" s="30">
        <f t="shared" si="2"/>
        <v>1825313.3274492498</v>
      </c>
      <c r="K39" s="30">
        <f t="shared" si="2"/>
        <v>1871917.6684177164</v>
      </c>
      <c r="L39" s="30">
        <f t="shared" si="2"/>
        <v>1881538.3485160156</v>
      </c>
      <c r="M39" s="30">
        <f t="shared" si="2"/>
        <v>1832152.4658982654</v>
      </c>
      <c r="N39" s="30">
        <f t="shared" si="2"/>
        <v>1864057.2346933489</v>
      </c>
      <c r="O39" s="30">
        <f t="shared" si="2"/>
        <v>1905794.9648446355</v>
      </c>
      <c r="P39" s="30">
        <f t="shared" si="2"/>
        <v>1916549.9902911629</v>
      </c>
      <c r="Q39" s="30">
        <f t="shared" si="2"/>
        <v>1928420.1871739172</v>
      </c>
      <c r="R39" s="30">
        <f t="shared" si="2"/>
        <v>1949867.9670980081</v>
      </c>
      <c r="S39" s="30">
        <f t="shared" si="2"/>
        <v>1967466</v>
      </c>
      <c r="T39" s="30">
        <f t="shared" ref="T39:Y39" si="3">SUM(T18:T38)</f>
        <v>1986519.6931862275</v>
      </c>
      <c r="U39" s="30">
        <f t="shared" si="3"/>
        <v>2029728.7913657641</v>
      </c>
      <c r="V39" s="30">
        <f t="shared" si="3"/>
        <v>2067979.2195525116</v>
      </c>
      <c r="W39" s="30">
        <f t="shared" si="3"/>
        <v>2107109.2763477415</v>
      </c>
      <c r="X39" s="30">
        <f t="shared" si="3"/>
        <v>1949495.8632517299</v>
      </c>
      <c r="Y39" s="30">
        <f t="shared" si="3"/>
        <v>2068963.7479709685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42378.897119748704</v>
      </c>
      <c r="E41" s="19">
        <v>41394.81477004895</v>
      </c>
      <c r="F41" s="19">
        <v>42653.215696477986</v>
      </c>
      <c r="G41" s="19">
        <v>43243.744637432465</v>
      </c>
      <c r="H41" s="19">
        <v>44480.326141725069</v>
      </c>
      <c r="I41" s="19">
        <v>42519.596612986541</v>
      </c>
      <c r="J41" s="19">
        <v>40979.699911738746</v>
      </c>
      <c r="K41" s="19">
        <v>41706.145863547004</v>
      </c>
      <c r="L41" s="19">
        <v>40381.386171865161</v>
      </c>
      <c r="M41" s="19">
        <v>39653.277221192802</v>
      </c>
      <c r="N41" s="19">
        <v>38412.566747887402</v>
      </c>
      <c r="O41" s="19">
        <v>40362.687890471963</v>
      </c>
      <c r="P41" s="19">
        <v>40834.3467996607</v>
      </c>
      <c r="Q41" s="19">
        <v>42204.470249091537</v>
      </c>
      <c r="R41" s="19">
        <v>43329.050273677392</v>
      </c>
      <c r="S41" s="19">
        <v>43787</v>
      </c>
      <c r="T41" s="19">
        <v>44365.629694479539</v>
      </c>
      <c r="U41" s="19">
        <v>44469.68494563923</v>
      </c>
      <c r="V41" s="19">
        <v>43966.585985005018</v>
      </c>
      <c r="W41" s="19">
        <v>44891.694997571634</v>
      </c>
      <c r="X41" s="19">
        <v>43571.549725787299</v>
      </c>
      <c r="Y41" s="19">
        <v>40619.810810306546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9895.994360693041</v>
      </c>
      <c r="E42" s="23">
        <v>9660.9657339699042</v>
      </c>
      <c r="F42" s="23">
        <v>9226.0567211486141</v>
      </c>
      <c r="G42" s="23">
        <v>8823.5976161213275</v>
      </c>
      <c r="H42" s="23">
        <v>8121.4786313041086</v>
      </c>
      <c r="I42" s="23">
        <v>7307.4590661006669</v>
      </c>
      <c r="J42" s="23">
        <v>6824.8014121800525</v>
      </c>
      <c r="K42" s="23">
        <v>6847.3578480346341</v>
      </c>
      <c r="L42" s="23">
        <v>6326.3506989630996</v>
      </c>
      <c r="M42" s="23">
        <v>5366.2468724809733</v>
      </c>
      <c r="N42" s="23">
        <v>5117.9428689926908</v>
      </c>
      <c r="O42" s="23">
        <v>5428.9779170704551</v>
      </c>
      <c r="P42" s="23">
        <v>5572.8724871996646</v>
      </c>
      <c r="Q42" s="23">
        <v>5353.3364461316714</v>
      </c>
      <c r="R42" s="23">
        <v>5107.2957031131436</v>
      </c>
      <c r="S42" s="23">
        <v>5246</v>
      </c>
      <c r="T42" s="23">
        <v>5204.0948297302948</v>
      </c>
      <c r="U42" s="23">
        <v>5331.9181017379569</v>
      </c>
      <c r="V42" s="23">
        <v>5466.6745380482907</v>
      </c>
      <c r="W42" s="23">
        <v>5678.4847013113158</v>
      </c>
      <c r="X42" s="23">
        <v>5207.2143382145077</v>
      </c>
      <c r="Y42" s="23">
        <v>5428.4754743735657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17078.690592498238</v>
      </c>
      <c r="E43" s="23">
        <v>17147.519187768175</v>
      </c>
      <c r="F43" s="23">
        <v>16663.907088960899</v>
      </c>
      <c r="G43" s="23">
        <v>16193.214757785869</v>
      </c>
      <c r="H43" s="23">
        <v>15553.570610599607</v>
      </c>
      <c r="I43" s="23">
        <v>14618.28717741392</v>
      </c>
      <c r="J43" s="23">
        <v>13960.72374227714</v>
      </c>
      <c r="K43" s="23">
        <v>13856.929539033377</v>
      </c>
      <c r="L43" s="23">
        <v>13275.051425213047</v>
      </c>
      <c r="M43" s="23">
        <v>12183.453199752939</v>
      </c>
      <c r="N43" s="23">
        <v>11346.363212193479</v>
      </c>
      <c r="O43" s="23">
        <v>11982.721293222539</v>
      </c>
      <c r="P43" s="23">
        <v>11742.582959457939</v>
      </c>
      <c r="Q43" s="23">
        <v>11398.932174830996</v>
      </c>
      <c r="R43" s="23">
        <v>11287.042564170015</v>
      </c>
      <c r="S43" s="23">
        <v>11091</v>
      </c>
      <c r="T43" s="23">
        <v>11169.254951898683</v>
      </c>
      <c r="U43" s="23">
        <v>11207.443853662407</v>
      </c>
      <c r="V43" s="23">
        <v>11156.699529684947</v>
      </c>
      <c r="W43" s="23">
        <v>11191.840699368626</v>
      </c>
      <c r="X43" s="23">
        <v>10347.524547219238</v>
      </c>
      <c r="Y43" s="23">
        <v>10803.776330764782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2720.7182696231803</v>
      </c>
      <c r="E44" s="23">
        <v>1483.0482866984953</v>
      </c>
      <c r="F44" s="23">
        <v>1098.7061522813822</v>
      </c>
      <c r="G44" s="23">
        <v>1531.6652366486562</v>
      </c>
      <c r="H44" s="23">
        <v>2317.8049562548672</v>
      </c>
      <c r="I44" s="23">
        <v>3029.894661186353</v>
      </c>
      <c r="J44" s="23">
        <v>2391.8799646954985</v>
      </c>
      <c r="K44" s="23">
        <v>3241.0540677001086</v>
      </c>
      <c r="L44" s="23">
        <v>2246.9669619243523</v>
      </c>
      <c r="M44" s="23">
        <v>1656.1456403169918</v>
      </c>
      <c r="N44" s="23">
        <v>1913.0074135517655</v>
      </c>
      <c r="O44" s="23">
        <v>2300.0474236582195</v>
      </c>
      <c r="P44" s="23">
        <v>2654.0894643787874</v>
      </c>
      <c r="Q44" s="23">
        <v>2481.7799792931241</v>
      </c>
      <c r="R44" s="23">
        <v>2285.5350620706404</v>
      </c>
      <c r="S44" s="23">
        <v>2621</v>
      </c>
      <c r="T44" s="23">
        <v>2639.3545370434854</v>
      </c>
      <c r="U44" s="23">
        <v>2712.0863423537812</v>
      </c>
      <c r="V44" s="23">
        <v>1955.0544109254777</v>
      </c>
      <c r="W44" s="23">
        <v>1761.0490529383196</v>
      </c>
      <c r="X44" s="23">
        <v>1299.4478053560995</v>
      </c>
      <c r="Y44" s="23">
        <v>3718.4917066253706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18141.007407773832</v>
      </c>
      <c r="E45" s="23">
        <v>17024.234000120869</v>
      </c>
      <c r="F45" s="23">
        <v>15155.994985453082</v>
      </c>
      <c r="G45" s="23">
        <v>14757.785868330126</v>
      </c>
      <c r="H45" s="23">
        <v>14926.022628372499</v>
      </c>
      <c r="I45" s="23">
        <v>15430.227073647327</v>
      </c>
      <c r="J45" s="23">
        <v>15112.53309796999</v>
      </c>
      <c r="K45" s="23">
        <v>15731.51997593649</v>
      </c>
      <c r="L45" s="23">
        <v>15923.974644221484</v>
      </c>
      <c r="M45" s="23">
        <v>15435.026119363923</v>
      </c>
      <c r="N45" s="23">
        <v>15056.249675981131</v>
      </c>
      <c r="O45" s="23">
        <v>16290.026598486565</v>
      </c>
      <c r="P45" s="23">
        <v>16353.769583746383</v>
      </c>
      <c r="Q45" s="23">
        <v>17958.139629306319</v>
      </c>
      <c r="R45" s="23">
        <v>18416.81927174496</v>
      </c>
      <c r="S45" s="23">
        <v>19595</v>
      </c>
      <c r="T45" s="23">
        <v>18852.532407453466</v>
      </c>
      <c r="U45" s="23">
        <v>20371.399095309895</v>
      </c>
      <c r="V45" s="23">
        <v>19611.547316842789</v>
      </c>
      <c r="W45" s="23">
        <v>20300.145701796988</v>
      </c>
      <c r="X45" s="23">
        <v>18825.502723280752</v>
      </c>
      <c r="Y45" s="23">
        <v>22143.963281526951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12310.013479922336</v>
      </c>
      <c r="E46" s="23">
        <v>13428.416027074394</v>
      </c>
      <c r="F46" s="23">
        <v>13577.122312368427</v>
      </c>
      <c r="G46" s="23">
        <v>14159.497252046473</v>
      </c>
      <c r="H46" s="23">
        <v>13496.862260088865</v>
      </c>
      <c r="I46" s="23">
        <v>13862.498034723625</v>
      </c>
      <c r="J46" s="23">
        <v>15048.543689320388</v>
      </c>
      <c r="K46" s="23">
        <v>14124.421240345053</v>
      </c>
      <c r="L46" s="23">
        <v>13006.380924394442</v>
      </c>
      <c r="M46" s="23">
        <v>12495.419951215938</v>
      </c>
      <c r="N46" s="23">
        <v>12210.067914355333</v>
      </c>
      <c r="O46" s="23">
        <v>12350.770118971524</v>
      </c>
      <c r="P46" s="23">
        <v>12042.023934838373</v>
      </c>
      <c r="Q46" s="23">
        <v>12183.560364603423</v>
      </c>
      <c r="R46" s="23">
        <v>11653.294752071552</v>
      </c>
      <c r="S46" s="23">
        <v>12412</v>
      </c>
      <c r="T46" s="23">
        <v>12448.640528467822</v>
      </c>
      <c r="U46" s="23">
        <v>12365.09007221649</v>
      </c>
      <c r="V46" s="23">
        <v>12387.586831178543</v>
      </c>
      <c r="W46" s="23">
        <v>12461.389023797959</v>
      </c>
      <c r="X46" s="23">
        <v>12213.301671660918</v>
      </c>
      <c r="Y46" s="23">
        <v>10978.22639326828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24742.459281977714</v>
      </c>
      <c r="E47" s="23">
        <v>25391.913942104307</v>
      </c>
      <c r="F47" s="23">
        <v>25309.269815739055</v>
      </c>
      <c r="G47" s="23">
        <v>25436.541984555806</v>
      </c>
      <c r="H47" s="23">
        <v>24725.161467637765</v>
      </c>
      <c r="I47" s="23">
        <v>24259.371560766343</v>
      </c>
      <c r="J47" s="23">
        <v>24030.229479258604</v>
      </c>
      <c r="K47" s="23">
        <v>24227.872850129446</v>
      </c>
      <c r="L47" s="23">
        <v>22278.661685067796</v>
      </c>
      <c r="M47" s="23">
        <v>20051.7152936989</v>
      </c>
      <c r="N47" s="23">
        <v>18718.440561978332</v>
      </c>
      <c r="O47" s="23">
        <v>19618.96121569517</v>
      </c>
      <c r="P47" s="23">
        <v>19174.442252858997</v>
      </c>
      <c r="Q47" s="23">
        <v>18878.783572545119</v>
      </c>
      <c r="R47" s="23">
        <v>18741.589858254334</v>
      </c>
      <c r="S47" s="23">
        <v>18930</v>
      </c>
      <c r="T47" s="23">
        <v>18960.9717759185</v>
      </c>
      <c r="U47" s="23">
        <v>18686.016982779143</v>
      </c>
      <c r="V47" s="23">
        <v>19165.830332369089</v>
      </c>
      <c r="W47" s="23">
        <v>19530.840213695967</v>
      </c>
      <c r="X47" s="23">
        <v>17233.938297431258</v>
      </c>
      <c r="Y47" s="23">
        <v>16115.640800791089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31242.502566132003</v>
      </c>
      <c r="E48" s="23">
        <v>30045.325436635041</v>
      </c>
      <c r="F48" s="23">
        <v>28472.928542706435</v>
      </c>
      <c r="G48" s="23">
        <v>27095.749368086639</v>
      </c>
      <c r="H48" s="23">
        <v>28097.659291832715</v>
      </c>
      <c r="I48" s="23">
        <v>28503.24551355479</v>
      </c>
      <c r="J48" s="23">
        <v>28209.399823477492</v>
      </c>
      <c r="K48" s="23">
        <v>29713.064122809843</v>
      </c>
      <c r="L48" s="23">
        <v>28964.988875362073</v>
      </c>
      <c r="M48" s="23">
        <v>25446.227610104375</v>
      </c>
      <c r="N48" s="23">
        <v>26199.38825237182</v>
      </c>
      <c r="O48" s="23">
        <v>27673.766469411737</v>
      </c>
      <c r="P48" s="23">
        <v>26068.738566566852</v>
      </c>
      <c r="Q48" s="23">
        <v>26083.558334517551</v>
      </c>
      <c r="R48" s="23">
        <v>25511.184856180254</v>
      </c>
      <c r="S48" s="23">
        <v>25863</v>
      </c>
      <c r="T48" s="23">
        <v>25196.732890953772</v>
      </c>
      <c r="U48" s="23">
        <v>26010.832473613202</v>
      </c>
      <c r="V48" s="23">
        <v>25664.63978589842</v>
      </c>
      <c r="W48" s="23">
        <v>24813.016027197667</v>
      </c>
      <c r="X48" s="23">
        <v>20958.896364561544</v>
      </c>
      <c r="Y48" s="23">
        <v>24646.901878836503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19884.740480577781</v>
      </c>
      <c r="E49" s="23">
        <v>19005.257750649664</v>
      </c>
      <c r="F49" s="23">
        <v>18555.006268183646</v>
      </c>
      <c r="G49" s="23">
        <v>16713.818611877654</v>
      </c>
      <c r="H49" s="23">
        <v>16485.731299528194</v>
      </c>
      <c r="I49" s="23">
        <v>14945.084563034834</v>
      </c>
      <c r="J49" s="23">
        <v>14568.623124448368</v>
      </c>
      <c r="K49" s="23">
        <v>14167.391794772631</v>
      </c>
      <c r="L49" s="23">
        <v>12908.777969018933</v>
      </c>
      <c r="M49" s="23">
        <v>11319.786857615443</v>
      </c>
      <c r="N49" s="23">
        <v>11882.420032142672</v>
      </c>
      <c r="O49" s="23">
        <v>11401.266005484649</v>
      </c>
      <c r="P49" s="23">
        <v>11232.613516745188</v>
      </c>
      <c r="Q49" s="23">
        <v>11261.901378428307</v>
      </c>
      <c r="R49" s="23">
        <v>11253.654933781199</v>
      </c>
      <c r="S49" s="23">
        <v>11497</v>
      </c>
      <c r="T49" s="23">
        <v>11769.153476526359</v>
      </c>
      <c r="U49" s="23">
        <v>11906.793111657804</v>
      </c>
      <c r="V49" s="23">
        <v>11891.689788850188</v>
      </c>
      <c r="W49" s="23">
        <v>12908.207867897037</v>
      </c>
      <c r="X49" s="23">
        <v>11591.375963513692</v>
      </c>
      <c r="Y49" s="23">
        <v>11585.536503908801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10791.358009423579</v>
      </c>
      <c r="E50" s="23">
        <v>10167.40194597208</v>
      </c>
      <c r="F50" s="23">
        <v>9593.8690067885618</v>
      </c>
      <c r="G50" s="23">
        <v>8821.2786679961973</v>
      </c>
      <c r="H50" s="23">
        <v>9093.7199395355237</v>
      </c>
      <c r="I50" s="23">
        <v>8381.0614738449785</v>
      </c>
      <c r="J50" s="23">
        <v>7931.376875551633</v>
      </c>
      <c r="K50" s="23">
        <v>8347.0301975571238</v>
      </c>
      <c r="L50" s="23">
        <v>8090.55035472902</v>
      </c>
      <c r="M50" s="23">
        <v>7486.1551668184629</v>
      </c>
      <c r="N50" s="23">
        <v>7337.8609570221379</v>
      </c>
      <c r="O50" s="23">
        <v>7166.1271366419924</v>
      </c>
      <c r="P50" s="23">
        <v>7244.8364316446768</v>
      </c>
      <c r="Q50" s="23">
        <v>7183.4588603097909</v>
      </c>
      <c r="R50" s="23">
        <v>7001.2849178967817</v>
      </c>
      <c r="S50" s="23">
        <v>6792</v>
      </c>
      <c r="T50" s="23">
        <v>6835.6596396629429</v>
      </c>
      <c r="U50" s="23">
        <v>6907.1899055630502</v>
      </c>
      <c r="V50" s="23">
        <v>6979.9476553121985</v>
      </c>
      <c r="W50" s="23">
        <v>6947.0616804273914</v>
      </c>
      <c r="X50" s="23">
        <v>6067.5449011515047</v>
      </c>
      <c r="Y50" s="23">
        <v>6150.5308132917889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14991.157665623723</v>
      </c>
      <c r="E51" s="23">
        <v>15367.136036743821</v>
      </c>
      <c r="F51" s="23">
        <v>14274.901246540672</v>
      </c>
      <c r="G51" s="23">
        <v>13994.851935162211</v>
      </c>
      <c r="H51" s="23">
        <v>14233.200494709359</v>
      </c>
      <c r="I51" s="23">
        <v>13945.601149967431</v>
      </c>
      <c r="J51" s="23">
        <v>14275.154457193292</v>
      </c>
      <c r="K51" s="23">
        <v>14650.810532082889</v>
      </c>
      <c r="L51" s="23">
        <v>14380.168758658327</v>
      </c>
      <c r="M51" s="23">
        <v>11867.29897511594</v>
      </c>
      <c r="N51" s="23">
        <v>11690.600860594122</v>
      </c>
      <c r="O51" s="23">
        <v>12765.211653848532</v>
      </c>
      <c r="P51" s="23">
        <v>12814.642970290957</v>
      </c>
      <c r="Q51" s="23">
        <v>12275.929271808198</v>
      </c>
      <c r="R51" s="23">
        <v>12633.676989852183</v>
      </c>
      <c r="S51" s="23">
        <v>12175</v>
      </c>
      <c r="T51" s="23">
        <v>11774.12775948347</v>
      </c>
      <c r="U51" s="23">
        <v>11505.039282596619</v>
      </c>
      <c r="V51" s="23">
        <v>11535.509770352441</v>
      </c>
      <c r="W51" s="23">
        <v>11960.174842156386</v>
      </c>
      <c r="X51" s="23">
        <v>11106.085448823053</v>
      </c>
      <c r="Y51" s="23">
        <v>10950.239752224938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31176.957989636536</v>
      </c>
      <c r="E52" s="23">
        <v>31536.834471505408</v>
      </c>
      <c r="F52" s="23">
        <v>32382.855926390235</v>
      </c>
      <c r="G52" s="23">
        <v>30550.982074530995</v>
      </c>
      <c r="H52" s="23">
        <v>29801.658192478586</v>
      </c>
      <c r="I52" s="23">
        <v>29770.006513487409</v>
      </c>
      <c r="J52" s="23">
        <v>29289.496910856134</v>
      </c>
      <c r="K52" s="23">
        <v>28912.737546596192</v>
      </c>
      <c r="L52" s="23">
        <v>27845.178623903277</v>
      </c>
      <c r="M52" s="23">
        <v>24639.092155815877</v>
      </c>
      <c r="N52" s="23">
        <v>26663.901705635337</v>
      </c>
      <c r="O52" s="23">
        <v>25295.366914781745</v>
      </c>
      <c r="P52" s="23">
        <v>26677.840345838995</v>
      </c>
      <c r="Q52" s="23">
        <v>26755.516758358877</v>
      </c>
      <c r="R52" s="23">
        <v>27352.563259442122</v>
      </c>
      <c r="S52" s="23">
        <v>29917</v>
      </c>
      <c r="T52" s="23">
        <v>29998.905657749438</v>
      </c>
      <c r="U52" s="23">
        <v>30110.705499563526</v>
      </c>
      <c r="V52" s="23">
        <v>32119.172717791291</v>
      </c>
      <c r="W52" s="23">
        <v>33320.058280718797</v>
      </c>
      <c r="X52" s="23">
        <v>21427.225269029983</v>
      </c>
      <c r="Y52" s="23">
        <v>21453.626135791183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29373.863790949923</v>
      </c>
      <c r="E53" s="23">
        <v>29198.041941137519</v>
      </c>
      <c r="F53" s="23">
        <v>28148.875274971972</v>
      </c>
      <c r="G53" s="23">
        <v>26244.695406163926</v>
      </c>
      <c r="H53" s="23">
        <v>26192.112134121387</v>
      </c>
      <c r="I53" s="23">
        <v>26348.17959256997</v>
      </c>
      <c r="J53" s="23">
        <v>26496.028243601118</v>
      </c>
      <c r="K53" s="23">
        <v>27013.439040896861</v>
      </c>
      <c r="L53" s="23">
        <v>26566.894756727415</v>
      </c>
      <c r="M53" s="23">
        <v>27076.201543083822</v>
      </c>
      <c r="N53" s="23">
        <v>27102.493649229844</v>
      </c>
      <c r="O53" s="23">
        <v>27973.772655106179</v>
      </c>
      <c r="P53" s="23">
        <v>28778.015104906372</v>
      </c>
      <c r="Q53" s="23">
        <v>28498.345480013551</v>
      </c>
      <c r="R53" s="23">
        <v>29025.991764384526</v>
      </c>
      <c r="S53" s="23">
        <v>29450</v>
      </c>
      <c r="T53" s="23">
        <v>29338.320881045132</v>
      </c>
      <c r="U53" s="23">
        <v>29403.420363463025</v>
      </c>
      <c r="V53" s="23">
        <v>29973.23730247753</v>
      </c>
      <c r="W53" s="23">
        <v>31198.640116561641</v>
      </c>
      <c r="X53" s="23">
        <v>26648.574282429967</v>
      </c>
      <c r="Y53" s="23">
        <v>26322.368789298111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264728.36101458059</v>
      </c>
      <c r="E54" s="30">
        <f t="shared" ref="E54:S54" si="4">SUM(E41:E53)</f>
        <v>260850.90953042862</v>
      </c>
      <c r="F54" s="30">
        <f t="shared" si="4"/>
        <v>255112.709038011</v>
      </c>
      <c r="G54" s="30">
        <f t="shared" si="4"/>
        <v>247567.42341673834</v>
      </c>
      <c r="H54" s="30">
        <f t="shared" si="4"/>
        <v>247525.30804818854</v>
      </c>
      <c r="I54" s="30">
        <f t="shared" si="4"/>
        <v>242920.51299328418</v>
      </c>
      <c r="J54" s="30">
        <f t="shared" si="4"/>
        <v>239118.49073256846</v>
      </c>
      <c r="K54" s="30">
        <f t="shared" si="4"/>
        <v>242539.77461944165</v>
      </c>
      <c r="L54" s="30">
        <f t="shared" si="4"/>
        <v>232195.33185004842</v>
      </c>
      <c r="M54" s="30">
        <f t="shared" si="4"/>
        <v>214676.04660657639</v>
      </c>
      <c r="N54" s="30">
        <f t="shared" si="4"/>
        <v>213651.30385193607</v>
      </c>
      <c r="O54" s="30">
        <f t="shared" si="4"/>
        <v>220609.70329285128</v>
      </c>
      <c r="P54" s="30">
        <f t="shared" si="4"/>
        <v>221190.8144181339</v>
      </c>
      <c r="Q54" s="30">
        <f t="shared" si="4"/>
        <v>222517.71249923846</v>
      </c>
      <c r="R54" s="30">
        <f t="shared" si="4"/>
        <v>223598.98420663911</v>
      </c>
      <c r="S54" s="30">
        <f t="shared" si="4"/>
        <v>229376</v>
      </c>
      <c r="T54" s="30">
        <f t="shared" ref="T54:Y54" si="5">SUM(T41:T53)</f>
        <v>228553.37903041291</v>
      </c>
      <c r="U54" s="30">
        <f t="shared" si="5"/>
        <v>230987.62003015613</v>
      </c>
      <c r="V54" s="30">
        <f t="shared" si="5"/>
        <v>231874.17596473623</v>
      </c>
      <c r="W54" s="30">
        <f t="shared" si="5"/>
        <v>236962.60320543975</v>
      </c>
      <c r="X54" s="30">
        <f t="shared" si="5"/>
        <v>206498.18133845981</v>
      </c>
      <c r="Y54" s="30">
        <f t="shared" si="5"/>
        <v>210917.58867100792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42378.897119748704</v>
      </c>
      <c r="E56" s="19">
        <v>41394.81477004895</v>
      </c>
      <c r="F56" s="19">
        <v>42653.215696477986</v>
      </c>
      <c r="G56" s="19">
        <v>43243.744637432465</v>
      </c>
      <c r="H56" s="19">
        <v>44480.326141725069</v>
      </c>
      <c r="I56" s="19">
        <v>42519.596612986541</v>
      </c>
      <c r="J56" s="19">
        <v>40979.699911738746</v>
      </c>
      <c r="K56" s="19">
        <v>41706.145863547004</v>
      </c>
      <c r="L56" s="19">
        <v>40381.386171865161</v>
      </c>
      <c r="M56" s="19">
        <v>39653.277221192802</v>
      </c>
      <c r="N56" s="19">
        <v>38412.566747887402</v>
      </c>
      <c r="O56" s="19">
        <v>40362.687890471963</v>
      </c>
      <c r="P56" s="19">
        <v>40834.3467996607</v>
      </c>
      <c r="Q56" s="19">
        <v>42204.470249091537</v>
      </c>
      <c r="R56" s="19">
        <v>43329.050273677392</v>
      </c>
      <c r="S56" s="19">
        <v>43787</v>
      </c>
      <c r="T56" s="19">
        <v>44365.629694479539</v>
      </c>
      <c r="U56" s="19">
        <v>44469.68494563923</v>
      </c>
      <c r="V56" s="19">
        <v>43966.585985005018</v>
      </c>
      <c r="W56" s="19">
        <v>44891.694997571634</v>
      </c>
      <c r="X56" s="19">
        <v>43571.549725787299</v>
      </c>
      <c r="Y56" s="19">
        <v>40619.810810306546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9895.994360693041</v>
      </c>
      <c r="E57" s="23">
        <v>9660.9657339699042</v>
      </c>
      <c r="F57" s="23">
        <v>9226.0567211486141</v>
      </c>
      <c r="G57" s="23">
        <v>8823.5976161213275</v>
      </c>
      <c r="H57" s="23">
        <v>8121.4786313041086</v>
      </c>
      <c r="I57" s="23">
        <v>7307.4590661006669</v>
      </c>
      <c r="J57" s="23">
        <v>6824.8014121800525</v>
      </c>
      <c r="K57" s="23">
        <v>6847.3578480346341</v>
      </c>
      <c r="L57" s="23">
        <v>6326.3506989630996</v>
      </c>
      <c r="M57" s="23">
        <v>5366.2468724809733</v>
      </c>
      <c r="N57" s="23">
        <v>5117.9428689926908</v>
      </c>
      <c r="O57" s="23">
        <v>5428.9779170704551</v>
      </c>
      <c r="P57" s="23">
        <v>5572.8724871996646</v>
      </c>
      <c r="Q57" s="23">
        <v>5353.3364461316714</v>
      </c>
      <c r="R57" s="23">
        <v>5107.2957031131436</v>
      </c>
      <c r="S57" s="23">
        <v>5246</v>
      </c>
      <c r="T57" s="23">
        <v>5204.0948297302948</v>
      </c>
      <c r="U57" s="23">
        <v>5331.9181017379569</v>
      </c>
      <c r="V57" s="23">
        <v>5466.6745380482907</v>
      </c>
      <c r="W57" s="23">
        <v>5678.4847013113158</v>
      </c>
      <c r="X57" s="23">
        <v>5207.2143382145077</v>
      </c>
      <c r="Y57" s="23">
        <v>5428.4754743735657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4065.0004328415425</v>
      </c>
      <c r="E58" s="23">
        <v>3913.7003686468847</v>
      </c>
      <c r="F58" s="23">
        <v>3934.763583035693</v>
      </c>
      <c r="G58" s="23">
        <v>4117.2923961690976</v>
      </c>
      <c r="H58" s="23">
        <v>3643.9008749026616</v>
      </c>
      <c r="I58" s="23">
        <v>3357.8150618781301</v>
      </c>
      <c r="J58" s="23">
        <v>3380.406001765225</v>
      </c>
      <c r="K58" s="23">
        <v>3631.0118491303833</v>
      </c>
      <c r="L58" s="23">
        <v>3678.4769740984843</v>
      </c>
      <c r="M58" s="23">
        <v>3339.5098562649832</v>
      </c>
      <c r="N58" s="23">
        <v>2976.8261703561616</v>
      </c>
      <c r="O58" s="23">
        <v>3403.1629518134391</v>
      </c>
      <c r="P58" s="23">
        <v>3263.1912436509315</v>
      </c>
      <c r="Q58" s="23">
        <v>3248.1373962118596</v>
      </c>
      <c r="R58" s="23">
        <v>2936.0879814648065</v>
      </c>
      <c r="S58" s="23">
        <v>2919</v>
      </c>
      <c r="T58" s="23">
        <v>2945.7703672015682</v>
      </c>
      <c r="U58" s="23">
        <v>3079.1207047059756</v>
      </c>
      <c r="V58" s="23">
        <v>3007.851703170199</v>
      </c>
      <c r="W58" s="23">
        <v>3195.7260806216609</v>
      </c>
      <c r="X58" s="23">
        <v>3232.1290590075573</v>
      </c>
      <c r="Y58" s="23">
        <v>3834.1698229378508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6606.3986346941047</v>
      </c>
      <c r="E59" s="23">
        <v>6983.7432767268992</v>
      </c>
      <c r="F59" s="23">
        <v>6604.0636752844339</v>
      </c>
      <c r="G59" s="23">
        <v>6177.6778053474945</v>
      </c>
      <c r="H59" s="23">
        <v>6005.2219321148823</v>
      </c>
      <c r="I59" s="23">
        <v>5476.9445005951975</v>
      </c>
      <c r="J59" s="23">
        <v>4975.7281553398061</v>
      </c>
      <c r="K59" s="23">
        <v>5036.1489789122006</v>
      </c>
      <c r="L59" s="23">
        <v>4654.506527853574</v>
      </c>
      <c r="M59" s="23">
        <v>4358.1127058404782</v>
      </c>
      <c r="N59" s="23">
        <v>4051.0135310280475</v>
      </c>
      <c r="O59" s="23">
        <v>4303.1815088970907</v>
      </c>
      <c r="P59" s="23">
        <v>4381.2404827846985</v>
      </c>
      <c r="Q59" s="23">
        <v>4127.164579061694</v>
      </c>
      <c r="R59" s="23">
        <v>4273.6166897682087</v>
      </c>
      <c r="S59" s="23">
        <v>4385</v>
      </c>
      <c r="T59" s="23">
        <v>4452.9781032064229</v>
      </c>
      <c r="U59" s="23">
        <v>4349.853186255059</v>
      </c>
      <c r="V59" s="23">
        <v>4492.5910620461655</v>
      </c>
      <c r="W59" s="23">
        <v>4404.0796503156871</v>
      </c>
      <c r="X59" s="23">
        <v>4090.5749985865323</v>
      </c>
      <c r="Y59" s="23">
        <v>4033.8078623803572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6407.2915249625921</v>
      </c>
      <c r="E60" s="23">
        <v>6250.0755423943911</v>
      </c>
      <c r="F60" s="23">
        <v>6125.0798306407733</v>
      </c>
      <c r="G60" s="23">
        <v>5898.2445562692765</v>
      </c>
      <c r="H60" s="23">
        <v>5904.447803582063</v>
      </c>
      <c r="I60" s="23">
        <v>5783.5276149405936</v>
      </c>
      <c r="J60" s="23">
        <v>5604.5895851721089</v>
      </c>
      <c r="K60" s="23">
        <v>5189.7687109907929</v>
      </c>
      <c r="L60" s="23">
        <v>4942.0679232609882</v>
      </c>
      <c r="M60" s="23">
        <v>4485.8306376474775</v>
      </c>
      <c r="N60" s="23">
        <v>4318.5235108092693</v>
      </c>
      <c r="O60" s="23">
        <v>4276.3768325120091</v>
      </c>
      <c r="P60" s="23">
        <v>4098.1512330223086</v>
      </c>
      <c r="Q60" s="23">
        <v>4023.6301995574422</v>
      </c>
      <c r="R60" s="23">
        <v>4077.3378929369992</v>
      </c>
      <c r="S60" s="23">
        <v>3787</v>
      </c>
      <c r="T60" s="23">
        <v>3770.5064814906918</v>
      </c>
      <c r="U60" s="23">
        <v>3778.4699627013724</v>
      </c>
      <c r="V60" s="23">
        <v>3656.2567644685823</v>
      </c>
      <c r="W60" s="23">
        <v>3592.0349684312778</v>
      </c>
      <c r="X60" s="23">
        <v>3024.8204896251491</v>
      </c>
      <c r="Y60" s="23">
        <v>2935.798645446574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2720.7182696231803</v>
      </c>
      <c r="E61" s="23">
        <v>1483.0482866984953</v>
      </c>
      <c r="F61" s="23">
        <v>1098.7061522813822</v>
      </c>
      <c r="G61" s="23">
        <v>1531.6652366486562</v>
      </c>
      <c r="H61" s="23">
        <v>2317.8049562548672</v>
      </c>
      <c r="I61" s="23">
        <v>3029.894661186353</v>
      </c>
      <c r="J61" s="23">
        <v>2391.8799646954985</v>
      </c>
      <c r="K61" s="23">
        <v>3241.0540677001086</v>
      </c>
      <c r="L61" s="23">
        <v>2246.9669619243523</v>
      </c>
      <c r="M61" s="23">
        <v>1656.1456403169918</v>
      </c>
      <c r="N61" s="23">
        <v>1913.0074135517655</v>
      </c>
      <c r="O61" s="23">
        <v>2300.0474236582195</v>
      </c>
      <c r="P61" s="23">
        <v>2654.0894643787874</v>
      </c>
      <c r="Q61" s="23">
        <v>2481.7799792931241</v>
      </c>
      <c r="R61" s="23">
        <v>2285.5350620706404</v>
      </c>
      <c r="S61" s="23">
        <v>2621</v>
      </c>
      <c r="T61" s="23">
        <v>2639.3545370434854</v>
      </c>
      <c r="U61" s="23">
        <v>2712.0863423537812</v>
      </c>
      <c r="V61" s="23">
        <v>1955.0544109254777</v>
      </c>
      <c r="W61" s="23">
        <v>1761.0490529383196</v>
      </c>
      <c r="X61" s="23">
        <v>1299.4478053560995</v>
      </c>
      <c r="Y61" s="23">
        <v>3718.4917066253706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18141.007407773832</v>
      </c>
      <c r="E62" s="23">
        <v>17024.234000120869</v>
      </c>
      <c r="F62" s="23">
        <v>15155.994985453082</v>
      </c>
      <c r="G62" s="23">
        <v>14757.785868330126</v>
      </c>
      <c r="H62" s="23">
        <v>14926.022628372499</v>
      </c>
      <c r="I62" s="23">
        <v>15430.227073647327</v>
      </c>
      <c r="J62" s="23">
        <v>15112.53309796999</v>
      </c>
      <c r="K62" s="23">
        <v>15731.51997593649</v>
      </c>
      <c r="L62" s="23">
        <v>15923.974644221484</v>
      </c>
      <c r="M62" s="23">
        <v>15435.026119363923</v>
      </c>
      <c r="N62" s="23">
        <v>15056.249675981131</v>
      </c>
      <c r="O62" s="23">
        <v>16290.026598486565</v>
      </c>
      <c r="P62" s="23">
        <v>16353.769583746383</v>
      </c>
      <c r="Q62" s="23">
        <v>17958.139629306319</v>
      </c>
      <c r="R62" s="23">
        <v>18416.81927174496</v>
      </c>
      <c r="S62" s="23">
        <v>19595</v>
      </c>
      <c r="T62" s="23">
        <v>18852.532407453466</v>
      </c>
      <c r="U62" s="23">
        <v>20371.399095309895</v>
      </c>
      <c r="V62" s="23">
        <v>19611.547316842789</v>
      </c>
      <c r="W62" s="23">
        <v>20300.145701796988</v>
      </c>
      <c r="X62" s="23">
        <v>18825.502723280752</v>
      </c>
      <c r="Y62" s="23">
        <v>22143.963281526951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12310.013479922336</v>
      </c>
      <c r="E63" s="23">
        <v>13428.416027074394</v>
      </c>
      <c r="F63" s="23">
        <v>13577.122312368427</v>
      </c>
      <c r="G63" s="23">
        <v>14159.497252046473</v>
      </c>
      <c r="H63" s="23">
        <v>13496.862260088865</v>
      </c>
      <c r="I63" s="23">
        <v>13862.498034723625</v>
      </c>
      <c r="J63" s="23">
        <v>15048.543689320388</v>
      </c>
      <c r="K63" s="23">
        <v>14124.421240345053</v>
      </c>
      <c r="L63" s="23">
        <v>13006.380924394442</v>
      </c>
      <c r="M63" s="23">
        <v>12495.419951215938</v>
      </c>
      <c r="N63" s="23">
        <v>12210.067914355333</v>
      </c>
      <c r="O63" s="23">
        <v>12350.770118971524</v>
      </c>
      <c r="P63" s="23">
        <v>12042.023934838373</v>
      </c>
      <c r="Q63" s="23">
        <v>12183.560364603423</v>
      </c>
      <c r="R63" s="23">
        <v>11653.294752071552</v>
      </c>
      <c r="S63" s="23">
        <v>12412</v>
      </c>
      <c r="T63" s="23">
        <v>12448.640528467822</v>
      </c>
      <c r="U63" s="23">
        <v>12365.09007221649</v>
      </c>
      <c r="V63" s="23">
        <v>12387.586831178543</v>
      </c>
      <c r="W63" s="23">
        <v>12461.389023797959</v>
      </c>
      <c r="X63" s="23">
        <v>12213.301671660918</v>
      </c>
      <c r="Y63" s="23">
        <v>10978.22639326828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15075.252593957532</v>
      </c>
      <c r="E64" s="23">
        <v>15639.088656554059</v>
      </c>
      <c r="F64" s="23">
        <v>15582.941079073727</v>
      </c>
      <c r="G64" s="23">
        <v>15940.449412146651</v>
      </c>
      <c r="H64" s="23">
        <v>15630.296367550731</v>
      </c>
      <c r="I64" s="23">
        <v>15012.465467286569</v>
      </c>
      <c r="J64" s="23">
        <v>14717.563989408649</v>
      </c>
      <c r="K64" s="23">
        <v>14323.160054572603</v>
      </c>
      <c r="L64" s="23">
        <v>13001.133453675327</v>
      </c>
      <c r="M64" s="23">
        <v>11963.610858117941</v>
      </c>
      <c r="N64" s="23">
        <v>10805.12209031054</v>
      </c>
      <c r="O64" s="23">
        <v>11316.728179962472</v>
      </c>
      <c r="P64" s="23">
        <v>11255.097139469999</v>
      </c>
      <c r="Q64" s="23">
        <v>11098.479465681397</v>
      </c>
      <c r="R64" s="23">
        <v>10906.625927012617</v>
      </c>
      <c r="S64" s="23">
        <v>11127</v>
      </c>
      <c r="T64" s="23">
        <v>11191.141796909977</v>
      </c>
      <c r="U64" s="23">
        <v>10769.978573129116</v>
      </c>
      <c r="V64" s="23">
        <v>11237.381191333609</v>
      </c>
      <c r="W64" s="23">
        <v>11154.929577464789</v>
      </c>
      <c r="X64" s="23">
        <v>9686.0217485535522</v>
      </c>
      <c r="Y64" s="23">
        <v>8567.6437114017572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9667.2066880201819</v>
      </c>
      <c r="E65" s="23">
        <v>9752.8252855502487</v>
      </c>
      <c r="F65" s="23">
        <v>9726.3287366653276</v>
      </c>
      <c r="G65" s="23">
        <v>9496.0925724091558</v>
      </c>
      <c r="H65" s="23">
        <v>9094.8651000870341</v>
      </c>
      <c r="I65" s="23">
        <v>9246.9060934797744</v>
      </c>
      <c r="J65" s="23">
        <v>9312.6654898499546</v>
      </c>
      <c r="K65" s="23">
        <v>9904.712795556843</v>
      </c>
      <c r="L65" s="23">
        <v>9277.528231392469</v>
      </c>
      <c r="M65" s="23">
        <v>8088.104435580959</v>
      </c>
      <c r="N65" s="23">
        <v>7913.3184716677915</v>
      </c>
      <c r="O65" s="23">
        <v>8302.2330357326973</v>
      </c>
      <c r="P65" s="23">
        <v>7919.3451133889976</v>
      </c>
      <c r="Q65" s="23">
        <v>7780.3041068637212</v>
      </c>
      <c r="R65" s="23">
        <v>7834.9639312417166</v>
      </c>
      <c r="S65" s="23">
        <v>7803</v>
      </c>
      <c r="T65" s="23">
        <v>7769.8299790085239</v>
      </c>
      <c r="U65" s="23">
        <v>7916.0384096500275</v>
      </c>
      <c r="V65" s="23">
        <v>7928.4491410354804</v>
      </c>
      <c r="W65" s="23">
        <v>8375.9106362311777</v>
      </c>
      <c r="X65" s="23">
        <v>7547.9165488777053</v>
      </c>
      <c r="Y65" s="23">
        <v>7547.9970893893314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9367.9276783616333</v>
      </c>
      <c r="E66" s="23">
        <v>8177.9174472714085</v>
      </c>
      <c r="F66" s="23">
        <v>7229.6993637202258</v>
      </c>
      <c r="G66" s="23">
        <v>6662.3379634997573</v>
      </c>
      <c r="H66" s="23">
        <v>7634.7853969126472</v>
      </c>
      <c r="I66" s="23">
        <v>7874.5816768861032</v>
      </c>
      <c r="J66" s="23">
        <v>7529.7881729920564</v>
      </c>
      <c r="K66" s="23">
        <v>8499.575665775028</v>
      </c>
      <c r="L66" s="23">
        <v>8650.98022753033</v>
      </c>
      <c r="M66" s="23">
        <v>6503.1458392219674</v>
      </c>
      <c r="N66" s="23">
        <v>6635.9064751931155</v>
      </c>
      <c r="O66" s="23">
        <v>7658.920802490773</v>
      </c>
      <c r="P66" s="23">
        <v>6125.7652096597812</v>
      </c>
      <c r="Q66" s="23">
        <v>6146.0849793946281</v>
      </c>
      <c r="R66" s="23">
        <v>5891.3991440625668</v>
      </c>
      <c r="S66" s="23">
        <v>6261</v>
      </c>
      <c r="T66" s="23">
        <v>5744.3019588726283</v>
      </c>
      <c r="U66" s="23">
        <v>6165.1853027537491</v>
      </c>
      <c r="V66" s="23">
        <v>5864.1793100734003</v>
      </c>
      <c r="W66" s="23">
        <v>4794.5604662457499</v>
      </c>
      <c r="X66" s="23">
        <v>3626.9576525131451</v>
      </c>
      <c r="Y66" s="23">
        <v>6837.136406888445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21874.57488777037</v>
      </c>
      <c r="E67" s="23">
        <v>21867.407989363634</v>
      </c>
      <c r="F67" s="23">
        <v>21243.22917898621</v>
      </c>
      <c r="G67" s="23">
        <v>20433.411404586881</v>
      </c>
      <c r="H67" s="23">
        <v>20462.873894920067</v>
      </c>
      <c r="I67" s="23">
        <v>20628.663836668686</v>
      </c>
      <c r="J67" s="23">
        <v>20679.611650485436</v>
      </c>
      <c r="K67" s="23">
        <v>21213.488457034815</v>
      </c>
      <c r="L67" s="23">
        <v>20314.008647831743</v>
      </c>
      <c r="M67" s="23">
        <v>18943.081770882407</v>
      </c>
      <c r="N67" s="23">
        <v>19563.481777178706</v>
      </c>
      <c r="O67" s="23">
        <v>20014.845666920963</v>
      </c>
      <c r="P67" s="23">
        <v>19942.97335690707</v>
      </c>
      <c r="Q67" s="23">
        <v>19937.473355122922</v>
      </c>
      <c r="R67" s="23">
        <v>19619.785712117686</v>
      </c>
      <c r="S67" s="23">
        <v>19602</v>
      </c>
      <c r="T67" s="23">
        <v>19452.430932081144</v>
      </c>
      <c r="U67" s="23">
        <v>19845.647170859454</v>
      </c>
      <c r="V67" s="23">
        <v>19800.460475825021</v>
      </c>
      <c r="W67" s="23">
        <v>20018.455560951916</v>
      </c>
      <c r="X67" s="23">
        <v>17331.938712048399</v>
      </c>
      <c r="Y67" s="23">
        <v>17809.765471948056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19884.740480577781</v>
      </c>
      <c r="E68" s="23">
        <v>19005.257750649664</v>
      </c>
      <c r="F68" s="23">
        <v>18555.006268183646</v>
      </c>
      <c r="G68" s="23">
        <v>16713.818611877654</v>
      </c>
      <c r="H68" s="23">
        <v>16485.731299528194</v>
      </c>
      <c r="I68" s="23">
        <v>14945.084563034834</v>
      </c>
      <c r="J68" s="23">
        <v>14568.623124448368</v>
      </c>
      <c r="K68" s="23">
        <v>14167.391794772631</v>
      </c>
      <c r="L68" s="23">
        <v>12908.777969018933</v>
      </c>
      <c r="M68" s="23">
        <v>11319.786857615443</v>
      </c>
      <c r="N68" s="23">
        <v>11882.420032142672</v>
      </c>
      <c r="O68" s="23">
        <v>11401.266005484649</v>
      </c>
      <c r="P68" s="23">
        <v>11232.613516745188</v>
      </c>
      <c r="Q68" s="23">
        <v>11261.901378428307</v>
      </c>
      <c r="R68" s="23">
        <v>11253.654933781199</v>
      </c>
      <c r="S68" s="23">
        <v>11497</v>
      </c>
      <c r="T68" s="23">
        <v>11769.153476526359</v>
      </c>
      <c r="U68" s="23">
        <v>11906.793111657804</v>
      </c>
      <c r="V68" s="23">
        <v>11891.689788850188</v>
      </c>
      <c r="W68" s="23">
        <v>12908.207867897037</v>
      </c>
      <c r="X68" s="23">
        <v>11591.375963513692</v>
      </c>
      <c r="Y68" s="23">
        <v>11585.536503908801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10791.358009423579</v>
      </c>
      <c r="E69" s="23">
        <v>10167.40194597208</v>
      </c>
      <c r="F69" s="23">
        <v>9593.8690067885618</v>
      </c>
      <c r="G69" s="23">
        <v>8821.2786679961973</v>
      </c>
      <c r="H69" s="23">
        <v>9093.7199395355237</v>
      </c>
      <c r="I69" s="23">
        <v>8381.0614738449785</v>
      </c>
      <c r="J69" s="23">
        <v>7931.376875551633</v>
      </c>
      <c r="K69" s="23">
        <v>8347.0301975571238</v>
      </c>
      <c r="L69" s="23">
        <v>8090.55035472902</v>
      </c>
      <c r="M69" s="23">
        <v>7486.1551668184629</v>
      </c>
      <c r="N69" s="23">
        <v>7337.8609570221379</v>
      </c>
      <c r="O69" s="23">
        <v>7166.1271366419924</v>
      </c>
      <c r="P69" s="23">
        <v>7244.8364316446768</v>
      </c>
      <c r="Q69" s="23">
        <v>7183.4588603097909</v>
      </c>
      <c r="R69" s="23">
        <v>7001.2849178967817</v>
      </c>
      <c r="S69" s="23">
        <v>6792</v>
      </c>
      <c r="T69" s="23">
        <v>6835.6596396629429</v>
      </c>
      <c r="U69" s="23">
        <v>6907.1899055630502</v>
      </c>
      <c r="V69" s="23">
        <v>6979.9476553121985</v>
      </c>
      <c r="W69" s="23">
        <v>6947.0616804273914</v>
      </c>
      <c r="X69" s="23">
        <v>6067.5449011515047</v>
      </c>
      <c r="Y69" s="23">
        <v>6150.5308132917889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14991.157665623723</v>
      </c>
      <c r="E70" s="23">
        <v>15367.136036743821</v>
      </c>
      <c r="F70" s="23">
        <v>14274.901246540672</v>
      </c>
      <c r="G70" s="23">
        <v>13994.851935162211</v>
      </c>
      <c r="H70" s="23">
        <v>14233.200494709359</v>
      </c>
      <c r="I70" s="23">
        <v>13945.601149967431</v>
      </c>
      <c r="J70" s="23">
        <v>14275.154457193292</v>
      </c>
      <c r="K70" s="23">
        <v>14650.810532082889</v>
      </c>
      <c r="L70" s="23">
        <v>14380.168758658327</v>
      </c>
      <c r="M70" s="23">
        <v>11867.29897511594</v>
      </c>
      <c r="N70" s="23">
        <v>11690.600860594122</v>
      </c>
      <c r="O70" s="23">
        <v>12765.211653848532</v>
      </c>
      <c r="P70" s="23">
        <v>12814.642970290957</v>
      </c>
      <c r="Q70" s="23">
        <v>12275.929271808198</v>
      </c>
      <c r="R70" s="23">
        <v>12633.676989852183</v>
      </c>
      <c r="S70" s="23">
        <v>12175</v>
      </c>
      <c r="T70" s="23">
        <v>11774.12775948347</v>
      </c>
      <c r="U70" s="23">
        <v>11505.039282596619</v>
      </c>
      <c r="V70" s="23">
        <v>11535.509770352441</v>
      </c>
      <c r="W70" s="23">
        <v>11960.174842156386</v>
      </c>
      <c r="X70" s="23">
        <v>11106.085448823053</v>
      </c>
      <c r="Y70" s="23">
        <v>10950.239752224938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21651.970665710291</v>
      </c>
      <c r="E71" s="23">
        <v>20930.682298906147</v>
      </c>
      <c r="F71" s="23">
        <v>21971.757693308416</v>
      </c>
      <c r="G71" s="23">
        <v>20913.433666488883</v>
      </c>
      <c r="H71" s="23">
        <v>21794.695616325411</v>
      </c>
      <c r="I71" s="23">
        <v>19518.001931585921</v>
      </c>
      <c r="J71" s="23">
        <v>17903.795233892321</v>
      </c>
      <c r="K71" s="23">
        <v>17420.262764940326</v>
      </c>
      <c r="L71" s="23">
        <v>15657.403131690524</v>
      </c>
      <c r="M71" s="23">
        <v>12994.776127215435</v>
      </c>
      <c r="N71" s="23">
        <v>14884.130851780808</v>
      </c>
      <c r="O71" s="23">
        <v>14563.186869832367</v>
      </c>
      <c r="P71" s="23">
        <v>13116.127911373647</v>
      </c>
      <c r="Q71" s="23">
        <v>12742.849022513652</v>
      </c>
      <c r="R71" s="23">
        <v>12732.828134643209</v>
      </c>
      <c r="S71" s="23">
        <v>13235</v>
      </c>
      <c r="T71" s="23">
        <v>13382.810867813405</v>
      </c>
      <c r="U71" s="23">
        <v>13645.742401396714</v>
      </c>
      <c r="V71" s="23">
        <v>13132.416317374107</v>
      </c>
      <c r="W71" s="23">
        <v>13310.344827586207</v>
      </c>
      <c r="X71" s="23">
        <v>9650.2139047511355</v>
      </c>
      <c r="Y71" s="23">
        <v>8853.1074500438463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9524.9873239262452</v>
      </c>
      <c r="E72" s="23">
        <v>10606.152172599261</v>
      </c>
      <c r="F72" s="23">
        <v>10411.098233081819</v>
      </c>
      <c r="G72" s="23">
        <v>9637.548408042112</v>
      </c>
      <c r="H72" s="23">
        <v>8006.9625761531752</v>
      </c>
      <c r="I72" s="23">
        <v>10252.004581901489</v>
      </c>
      <c r="J72" s="23">
        <v>11385.701676963814</v>
      </c>
      <c r="K72" s="23">
        <v>11492.474781655867</v>
      </c>
      <c r="L72" s="23">
        <v>12187.775492212753</v>
      </c>
      <c r="M72" s="23">
        <v>11644.316028600442</v>
      </c>
      <c r="N72" s="23">
        <v>11779.770853854528</v>
      </c>
      <c r="O72" s="23">
        <v>10732.180044949378</v>
      </c>
      <c r="P72" s="23">
        <v>13561.712434465348</v>
      </c>
      <c r="Q72" s="23">
        <v>14012.667735845225</v>
      </c>
      <c r="R72" s="23">
        <v>14619.735124798914</v>
      </c>
      <c r="S72" s="23">
        <v>16682</v>
      </c>
      <c r="T72" s="23">
        <v>16616.094789936033</v>
      </c>
      <c r="U72" s="23">
        <v>16464.963098166812</v>
      </c>
      <c r="V72" s="23">
        <v>18986.756400417184</v>
      </c>
      <c r="W72" s="23">
        <v>20009.71345313259</v>
      </c>
      <c r="X72" s="23">
        <v>11777.011364278847</v>
      </c>
      <c r="Y72" s="23">
        <v>12600.518685747336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9003.1040922076154</v>
      </c>
      <c r="E73" s="23">
        <v>9448.2383513627847</v>
      </c>
      <c r="F73" s="23">
        <v>9039.1938879296067</v>
      </c>
      <c r="G73" s="23">
        <v>8780.6970758064144</v>
      </c>
      <c r="H73" s="23">
        <v>8760.4782190463102</v>
      </c>
      <c r="I73" s="23">
        <v>8484.3788603643061</v>
      </c>
      <c r="J73" s="23">
        <v>8244.7043248014124</v>
      </c>
      <c r="K73" s="23">
        <v>8058.053219031658</v>
      </c>
      <c r="L73" s="23">
        <v>7695.9405566516934</v>
      </c>
      <c r="M73" s="23">
        <v>7518.6080839169626</v>
      </c>
      <c r="N73" s="23">
        <v>7299.497122712427</v>
      </c>
      <c r="O73" s="23">
        <v>7382.6264459061013</v>
      </c>
      <c r="P73" s="23">
        <v>7164.0997864055835</v>
      </c>
      <c r="Q73" s="23">
        <v>7247.4065652977124</v>
      </c>
      <c r="R73" s="23">
        <v>7441.3945912038771</v>
      </c>
      <c r="S73" s="23">
        <v>7219</v>
      </c>
      <c r="T73" s="23">
        <v>7070.4457952386165</v>
      </c>
      <c r="U73" s="23">
        <v>6938.9334179826992</v>
      </c>
      <c r="V73" s="23">
        <v>6992.7386504516207</v>
      </c>
      <c r="W73" s="23">
        <v>7152.9868868382709</v>
      </c>
      <c r="X73" s="23">
        <v>6149.5260172254575</v>
      </c>
      <c r="Y73" s="23">
        <v>6825.9417504711082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20370.759698742309</v>
      </c>
      <c r="E74" s="23">
        <v>19749.803589774732</v>
      </c>
      <c r="F74" s="23">
        <v>19109.681387042365</v>
      </c>
      <c r="G74" s="23">
        <v>17463.998330357514</v>
      </c>
      <c r="H74" s="23">
        <v>17431.633915075079</v>
      </c>
      <c r="I74" s="23">
        <v>17863.800732205666</v>
      </c>
      <c r="J74" s="23">
        <v>18251.323918799706</v>
      </c>
      <c r="K74" s="23">
        <v>18955.385821865202</v>
      </c>
      <c r="L74" s="23">
        <v>18870.954200075721</v>
      </c>
      <c r="M74" s="23">
        <v>19557.593459166859</v>
      </c>
      <c r="N74" s="23">
        <v>19802.996526517418</v>
      </c>
      <c r="O74" s="23">
        <v>20591.146209200077</v>
      </c>
      <c r="P74" s="23">
        <v>21613.915318500789</v>
      </c>
      <c r="Q74" s="23">
        <v>21250.93891471584</v>
      </c>
      <c r="R74" s="23">
        <v>21584.597173180649</v>
      </c>
      <c r="S74" s="23">
        <v>22231</v>
      </c>
      <c r="T74" s="23">
        <v>22267.875085806518</v>
      </c>
      <c r="U74" s="23">
        <v>22464.486945480327</v>
      </c>
      <c r="V74" s="23">
        <v>22980.498652025908</v>
      </c>
      <c r="W74" s="23">
        <v>24045.653229723372</v>
      </c>
      <c r="X74" s="23">
        <v>20499.04826520451</v>
      </c>
      <c r="Y74" s="23">
        <v>19496.427038827002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264728.36101458059</v>
      </c>
      <c r="E75" s="30">
        <f t="shared" ref="E75:S75" si="6">SUM(E56:E74)</f>
        <v>260850.90953042862</v>
      </c>
      <c r="F75" s="30">
        <f t="shared" si="6"/>
        <v>255112.70903801097</v>
      </c>
      <c r="G75" s="30">
        <f t="shared" si="6"/>
        <v>247567.42341673834</v>
      </c>
      <c r="H75" s="30">
        <f t="shared" si="6"/>
        <v>247525.30804818854</v>
      </c>
      <c r="I75" s="30">
        <f t="shared" si="6"/>
        <v>242920.51299328421</v>
      </c>
      <c r="J75" s="30">
        <f t="shared" si="6"/>
        <v>239118.49073256846</v>
      </c>
      <c r="K75" s="30">
        <f t="shared" si="6"/>
        <v>242539.77461944168</v>
      </c>
      <c r="L75" s="30">
        <f t="shared" si="6"/>
        <v>232195.33185004839</v>
      </c>
      <c r="M75" s="30">
        <f t="shared" si="6"/>
        <v>214676.04660657639</v>
      </c>
      <c r="N75" s="30">
        <f t="shared" si="6"/>
        <v>213651.3038519361</v>
      </c>
      <c r="O75" s="30">
        <f t="shared" si="6"/>
        <v>220609.70329285128</v>
      </c>
      <c r="P75" s="30">
        <f t="shared" si="6"/>
        <v>221190.81441813393</v>
      </c>
      <c r="Q75" s="30">
        <f t="shared" si="6"/>
        <v>222517.71249923846</v>
      </c>
      <c r="R75" s="30">
        <f t="shared" si="6"/>
        <v>223598.98420663911</v>
      </c>
      <c r="S75" s="30">
        <f t="shared" si="6"/>
        <v>229376</v>
      </c>
      <c r="T75" s="30">
        <f t="shared" ref="T75:Y75" si="7">SUM(T56:T74)</f>
        <v>228553.37903041294</v>
      </c>
      <c r="U75" s="30">
        <f t="shared" si="7"/>
        <v>230987.62003015616</v>
      </c>
      <c r="V75" s="30">
        <f t="shared" si="7"/>
        <v>231874.17596473626</v>
      </c>
      <c r="W75" s="30">
        <f t="shared" si="7"/>
        <v>236962.60320543972</v>
      </c>
      <c r="X75" s="30">
        <f t="shared" si="7"/>
        <v>206498.18133845981</v>
      </c>
      <c r="Y75" s="30">
        <f t="shared" si="7"/>
        <v>210917.58867100792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60545022</v>
      </c>
      <c r="E3" s="42">
        <v>60979315</v>
      </c>
      <c r="F3" s="42">
        <v>61424036</v>
      </c>
      <c r="G3" s="42">
        <v>61864088</v>
      </c>
      <c r="H3" s="42">
        <v>62292241</v>
      </c>
      <c r="I3" s="42">
        <v>62772870</v>
      </c>
      <c r="J3" s="42">
        <v>63229635</v>
      </c>
      <c r="K3" s="42">
        <v>63645065</v>
      </c>
      <c r="L3" s="42">
        <v>64007193</v>
      </c>
      <c r="M3" s="42">
        <v>64350226</v>
      </c>
      <c r="N3" s="42">
        <v>64658856</v>
      </c>
      <c r="O3" s="42">
        <v>64978721</v>
      </c>
      <c r="P3" s="42">
        <v>65276983</v>
      </c>
      <c r="Q3" s="42">
        <v>65600350</v>
      </c>
      <c r="R3" s="42">
        <v>66165980</v>
      </c>
      <c r="S3" s="42">
        <v>66458153</v>
      </c>
      <c r="T3" s="42">
        <v>66638391</v>
      </c>
      <c r="U3" s="42">
        <v>66809816</v>
      </c>
      <c r="V3" s="42">
        <v>67026224</v>
      </c>
      <c r="W3" s="42">
        <v>67177636</v>
      </c>
      <c r="X3" s="42">
        <v>67320216</v>
      </c>
      <c r="Y3" s="42">
        <v>67656682</v>
      </c>
    </row>
    <row r="4" spans="1:25" x14ac:dyDescent="0.25">
      <c r="A4" s="43" t="s">
        <v>239</v>
      </c>
      <c r="B4" s="44"/>
      <c r="C4" s="44"/>
      <c r="D4" s="45">
        <v>26333067</v>
      </c>
      <c r="E4" s="45">
        <v>26565866</v>
      </c>
      <c r="F4" s="45">
        <v>26803988</v>
      </c>
      <c r="G4" s="45">
        <v>27040860</v>
      </c>
      <c r="H4" s="45">
        <v>27273310</v>
      </c>
      <c r="I4" s="45">
        <v>27328198</v>
      </c>
      <c r="J4" s="45">
        <v>27732296</v>
      </c>
      <c r="K4" s="45">
        <v>28000469</v>
      </c>
      <c r="L4" s="45">
        <v>28498305</v>
      </c>
      <c r="M4" s="45">
        <v>28702153</v>
      </c>
      <c r="N4" s="45">
        <v>29047105</v>
      </c>
      <c r="O4" s="45">
        <v>29138440</v>
      </c>
      <c r="P4" s="45">
        <v>29351161</v>
      </c>
      <c r="Q4" s="45">
        <v>29563024</v>
      </c>
      <c r="R4" s="45">
        <v>29966476</v>
      </c>
      <c r="S4" s="45">
        <v>30263276</v>
      </c>
      <c r="T4" s="45">
        <v>30477235</v>
      </c>
      <c r="U4" s="45">
        <v>30588872</v>
      </c>
      <c r="V4" s="45">
        <v>30729736</v>
      </c>
      <c r="W4" s="45">
        <v>30851659</v>
      </c>
      <c r="X4" s="45">
        <v>30983163</v>
      </c>
      <c r="Y4" s="45">
        <v>31221358</v>
      </c>
    </row>
    <row r="5" spans="1:25" x14ac:dyDescent="0.25">
      <c r="A5" s="46" t="s">
        <v>240</v>
      </c>
      <c r="B5" s="47"/>
      <c r="C5" s="47"/>
      <c r="D5" s="48">
        <f>D3/D4</f>
        <v>2.2992013045802828</v>
      </c>
      <c r="E5" s="48">
        <f t="shared" ref="E5:S5" si="0">E3/E4</f>
        <v>2.295400985610633</v>
      </c>
      <c r="F5" s="48">
        <f t="shared" si="0"/>
        <v>2.2916006379349221</v>
      </c>
      <c r="G5" s="48">
        <f t="shared" si="0"/>
        <v>2.2878003140432663</v>
      </c>
      <c r="H5" s="48">
        <f t="shared" si="0"/>
        <v>2.2840000351992478</v>
      </c>
      <c r="I5" s="48">
        <f t="shared" si="0"/>
        <v>2.2969999705066542</v>
      </c>
      <c r="J5" s="48">
        <f t="shared" si="0"/>
        <v>2.2800000043270847</v>
      </c>
      <c r="K5" s="48">
        <f t="shared" si="0"/>
        <v>2.272999962964906</v>
      </c>
      <c r="L5" s="48">
        <f t="shared" si="0"/>
        <v>2.2459999989473056</v>
      </c>
      <c r="M5" s="48">
        <f t="shared" si="0"/>
        <v>2.2419999642535529</v>
      </c>
      <c r="N5" s="48">
        <f t="shared" si="0"/>
        <v>2.2260000092952463</v>
      </c>
      <c r="O5" s="48">
        <f t="shared" si="0"/>
        <v>2.2299999931362144</v>
      </c>
      <c r="P5" s="48">
        <f t="shared" si="0"/>
        <v>2.2240000318897097</v>
      </c>
      <c r="Q5" s="48">
        <f t="shared" si="0"/>
        <v>2.2189999913405338</v>
      </c>
      <c r="R5" s="48">
        <f t="shared" si="0"/>
        <v>2.2080000331036591</v>
      </c>
      <c r="S5" s="48">
        <f t="shared" si="0"/>
        <v>2.1959999637844891</v>
      </c>
      <c r="T5" s="48">
        <f t="shared" ref="T5:Y5" si="1">T3/T4</f>
        <v>2.1864972659101127</v>
      </c>
      <c r="U5" s="48">
        <f t="shared" si="1"/>
        <v>2.1841215982073483</v>
      </c>
      <c r="V5" s="48">
        <f t="shared" si="1"/>
        <v>2.1811519630367147</v>
      </c>
      <c r="W5" s="48">
        <f t="shared" si="1"/>
        <v>2.177439987911185</v>
      </c>
      <c r="X5" s="48">
        <f t="shared" si="1"/>
        <v>2.1727999817191033</v>
      </c>
      <c r="Y5" s="48">
        <f t="shared" si="1"/>
        <v>2.1669999748249258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2270.83</v>
      </c>
      <c r="E8" s="42">
        <v>2412.5500000000002</v>
      </c>
      <c r="F8" s="42">
        <v>2210.0100000000002</v>
      </c>
      <c r="G8" s="42">
        <v>2374.08</v>
      </c>
      <c r="H8" s="42">
        <v>2502.7800000000002</v>
      </c>
      <c r="I8" s="42">
        <v>2506.25</v>
      </c>
      <c r="J8" s="42">
        <v>2315.4499999999998</v>
      </c>
      <c r="K8" s="42">
        <v>2264.04</v>
      </c>
      <c r="L8" s="42">
        <v>2442.65</v>
      </c>
      <c r="M8" s="42">
        <v>2384.9299999999998</v>
      </c>
      <c r="N8" s="42">
        <v>2756.06</v>
      </c>
      <c r="O8" s="42">
        <v>2057.4899999999998</v>
      </c>
      <c r="P8" s="42">
        <v>2439.2800000000002</v>
      </c>
      <c r="Q8" s="42">
        <v>2637.51</v>
      </c>
      <c r="R8" s="42">
        <v>2080.89</v>
      </c>
      <c r="S8" s="42">
        <v>2255.6999999999998</v>
      </c>
      <c r="T8" s="42">
        <v>2397.9</v>
      </c>
      <c r="U8" s="42">
        <v>2336</v>
      </c>
      <c r="V8" s="42">
        <v>2181.92</v>
      </c>
      <c r="W8" s="42">
        <v>2246.9499999999998</v>
      </c>
      <c r="X8" s="42">
        <v>2037.95</v>
      </c>
      <c r="Y8" s="42">
        <v>2412.69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2338.6295238095236</v>
      </c>
      <c r="E9" s="45">
        <f t="shared" si="2"/>
        <v>2338.6295238095236</v>
      </c>
      <c r="F9" s="45">
        <f t="shared" si="2"/>
        <v>2338.6295238095236</v>
      </c>
      <c r="G9" s="45">
        <f t="shared" si="2"/>
        <v>2338.6295238095236</v>
      </c>
      <c r="H9" s="45">
        <f t="shared" si="2"/>
        <v>2338.6295238095236</v>
      </c>
      <c r="I9" s="45">
        <f t="shared" si="2"/>
        <v>2338.6295238095236</v>
      </c>
      <c r="J9" s="45">
        <f t="shared" si="2"/>
        <v>2338.6295238095236</v>
      </c>
      <c r="K9" s="45">
        <f t="shared" si="2"/>
        <v>2338.6295238095236</v>
      </c>
      <c r="L9" s="45">
        <f t="shared" si="2"/>
        <v>2338.6295238095236</v>
      </c>
      <c r="M9" s="45">
        <f t="shared" si="2"/>
        <v>2338.6295238095236</v>
      </c>
      <c r="N9" s="45">
        <f t="shared" si="2"/>
        <v>2338.6295238095236</v>
      </c>
      <c r="O9" s="45">
        <f t="shared" si="2"/>
        <v>2338.6295238095236</v>
      </c>
      <c r="P9" s="45">
        <f t="shared" si="2"/>
        <v>2338.6295238095236</v>
      </c>
      <c r="Q9" s="45">
        <f t="shared" si="2"/>
        <v>2338.6295238095236</v>
      </c>
      <c r="R9" s="45">
        <f t="shared" si="2"/>
        <v>2338.6295238095236</v>
      </c>
      <c r="S9" s="45">
        <f t="shared" si="2"/>
        <v>2338.6295238095236</v>
      </c>
      <c r="T9" s="45">
        <f t="shared" si="2"/>
        <v>2338.6295238095236</v>
      </c>
      <c r="U9" s="45">
        <f t="shared" si="2"/>
        <v>2338.6295238095236</v>
      </c>
      <c r="V9" s="45">
        <f t="shared" si="2"/>
        <v>2338.6295238095236</v>
      </c>
      <c r="W9" s="45">
        <f t="shared" si="2"/>
        <v>2338.6295238095236</v>
      </c>
      <c r="X9" s="45">
        <f>AVERAGE($D8:$X8)</f>
        <v>2338.6295238095236</v>
      </c>
      <c r="Y9" s="45">
        <f t="shared" ref="Y9" si="3">AVERAGE($D8:$X8)</f>
        <v>2338.6295238095236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0.97100886518396412</v>
      </c>
      <c r="E10" s="53">
        <f t="shared" si="4"/>
        <v>1.0316084593296604</v>
      </c>
      <c r="F10" s="53">
        <f t="shared" si="4"/>
        <v>0.94500218076439579</v>
      </c>
      <c r="G10" s="53">
        <f t="shared" si="4"/>
        <v>1.0151586541731197</v>
      </c>
      <c r="H10" s="53">
        <f t="shared" si="4"/>
        <v>1.0701908850971329</v>
      </c>
      <c r="I10" s="53">
        <f t="shared" si="4"/>
        <v>1.0716746600878579</v>
      </c>
      <c r="J10" s="53">
        <f t="shared" si="4"/>
        <v>0.99008841564106942</v>
      </c>
      <c r="K10" s="53">
        <f t="shared" si="4"/>
        <v>0.96810545533179593</v>
      </c>
      <c r="L10" s="53">
        <f t="shared" si="4"/>
        <v>1.0444792452722618</v>
      </c>
      <c r="M10" s="53">
        <f t="shared" si="4"/>
        <v>1.0197981235245226</v>
      </c>
      <c r="N10" s="53">
        <f t="shared" si="4"/>
        <v>1.1784936313942109</v>
      </c>
      <c r="O10" s="53">
        <f t="shared" si="4"/>
        <v>0.87978449731039055</v>
      </c>
      <c r="P10" s="53">
        <f t="shared" si="4"/>
        <v>1.0430382303677248</v>
      </c>
      <c r="Q10" s="53">
        <f t="shared" si="4"/>
        <v>1.1278015492182847</v>
      </c>
      <c r="R10" s="53">
        <f t="shared" si="4"/>
        <v>0.88979035747839297</v>
      </c>
      <c r="S10" s="53">
        <f t="shared" si="4"/>
        <v>0.96453926414371305</v>
      </c>
      <c r="T10" s="53">
        <f t="shared" ref="T10:Y10" si="5">IF(T8=0,0,T8/T9)</f>
        <v>1.0253441067031119</v>
      </c>
      <c r="U10" s="53">
        <f t="shared" si="5"/>
        <v>0.99887561335271258</v>
      </c>
      <c r="V10" s="53">
        <f t="shared" si="5"/>
        <v>0.93299087255417412</v>
      </c>
      <c r="W10" s="53">
        <f t="shared" si="5"/>
        <v>0.96079775660225919</v>
      </c>
      <c r="X10" s="53">
        <f t="shared" si="5"/>
        <v>0.87142917646924689</v>
      </c>
      <c r="Y10" s="53">
        <f t="shared" si="5"/>
        <v>1.0316683234503237</v>
      </c>
    </row>
    <row r="11" spans="1:25" x14ac:dyDescent="0.25">
      <c r="A11" s="43" t="s">
        <v>251</v>
      </c>
      <c r="B11" s="44"/>
      <c r="C11" s="44"/>
      <c r="D11" s="45">
        <v>19.78</v>
      </c>
      <c r="E11" s="45">
        <v>38.82</v>
      </c>
      <c r="F11" s="45">
        <v>21.96</v>
      </c>
      <c r="G11" s="45">
        <v>150.02000000000001</v>
      </c>
      <c r="H11" s="45">
        <v>32.67</v>
      </c>
      <c r="I11" s="45">
        <v>54.81</v>
      </c>
      <c r="J11" s="45">
        <v>80.8</v>
      </c>
      <c r="K11" s="45">
        <v>16</v>
      </c>
      <c r="L11" s="45">
        <v>20.99</v>
      </c>
      <c r="M11" s="45">
        <v>43.46</v>
      </c>
      <c r="N11" s="45">
        <v>38.020000000000003</v>
      </c>
      <c r="O11" s="45">
        <v>31.71</v>
      </c>
      <c r="P11" s="45">
        <v>45.38</v>
      </c>
      <c r="Q11" s="45">
        <v>42.27</v>
      </c>
      <c r="R11" s="45">
        <v>17.329999999999998</v>
      </c>
      <c r="S11" s="45">
        <v>77.11</v>
      </c>
      <c r="T11" s="45">
        <v>49.18</v>
      </c>
      <c r="U11" s="45">
        <v>67.92</v>
      </c>
      <c r="V11" s="45">
        <v>65.98</v>
      </c>
      <c r="W11" s="45">
        <v>87.94</v>
      </c>
      <c r="X11" s="45">
        <v>76.37</v>
      </c>
      <c r="Y11" s="45">
        <v>30.7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51.358095238095238</v>
      </c>
      <c r="E12" s="45">
        <f t="shared" ref="E12" si="7">AVERAGE($D11:$X11)</f>
        <v>51.358095238095238</v>
      </c>
      <c r="F12" s="45">
        <f t="shared" ref="F12" si="8">AVERAGE($D11:$X11)</f>
        <v>51.358095238095238</v>
      </c>
      <c r="G12" s="45">
        <f t="shared" ref="G12" si="9">AVERAGE($D11:$X11)</f>
        <v>51.358095238095238</v>
      </c>
      <c r="H12" s="45">
        <f t="shared" ref="H12" si="10">AVERAGE($D11:$X11)</f>
        <v>51.358095238095238</v>
      </c>
      <c r="I12" s="45">
        <f t="shared" ref="I12" si="11">AVERAGE($D11:$X11)</f>
        <v>51.358095238095238</v>
      </c>
      <c r="J12" s="45">
        <f t="shared" ref="J12" si="12">AVERAGE($D11:$X11)</f>
        <v>51.358095238095238</v>
      </c>
      <c r="K12" s="45">
        <f t="shared" ref="K12" si="13">AVERAGE($D11:$X11)</f>
        <v>51.358095238095238</v>
      </c>
      <c r="L12" s="45">
        <f t="shared" ref="L12" si="14">AVERAGE($D11:$X11)</f>
        <v>51.358095238095238</v>
      </c>
      <c r="M12" s="45">
        <f t="shared" ref="M12" si="15">AVERAGE($D11:$X11)</f>
        <v>51.358095238095238</v>
      </c>
      <c r="N12" s="45">
        <f t="shared" ref="N12" si="16">AVERAGE($D11:$X11)</f>
        <v>51.358095238095238</v>
      </c>
      <c r="O12" s="45">
        <f t="shared" ref="O12" si="17">AVERAGE($D11:$X11)</f>
        <v>51.358095238095238</v>
      </c>
      <c r="P12" s="45">
        <f t="shared" ref="P12" si="18">AVERAGE($D11:$X11)</f>
        <v>51.358095238095238</v>
      </c>
      <c r="Q12" s="45">
        <f t="shared" ref="Q12" si="19">AVERAGE($D11:$X11)</f>
        <v>51.358095238095238</v>
      </c>
      <c r="R12" s="45">
        <f t="shared" ref="R12" si="20">AVERAGE($D11:$X11)</f>
        <v>51.358095238095238</v>
      </c>
      <c r="S12" s="45">
        <f t="shared" ref="S12" si="21">AVERAGE($D11:$X11)</f>
        <v>51.358095238095238</v>
      </c>
      <c r="T12" s="45">
        <f t="shared" ref="T12" si="22">AVERAGE($D11:$X11)</f>
        <v>51.358095238095238</v>
      </c>
      <c r="U12" s="45">
        <f t="shared" ref="U12" si="23">AVERAGE($D11:$X11)</f>
        <v>51.358095238095238</v>
      </c>
      <c r="V12" s="45">
        <f t="shared" ref="V12" si="24">AVERAGE($D11:$X11)</f>
        <v>51.358095238095238</v>
      </c>
      <c r="W12" s="45">
        <f t="shared" ref="W12" si="25">AVERAGE($D11:$X11)</f>
        <v>51.358095238095238</v>
      </c>
      <c r="X12" s="45">
        <f>AVERAGE($D11:$X11)</f>
        <v>51.358095238095238</v>
      </c>
      <c r="Y12" s="45">
        <f t="shared" ref="Y12" si="26">AVERAGE($D11:$X11)</f>
        <v>51.358095238095238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0.38513889403998075</v>
      </c>
      <c r="E13" s="55">
        <f t="shared" si="27"/>
        <v>0.75586915402588728</v>
      </c>
      <c r="F13" s="55">
        <f t="shared" ref="F13" si="28">IF(F11=0,0,F11/F12)</f>
        <v>0.42758595111819903</v>
      </c>
      <c r="G13" s="55">
        <f t="shared" ref="G13" si="29">IF(G11=0,0,G11/G12)</f>
        <v>2.9210584875570227</v>
      </c>
      <c r="H13" s="55">
        <f t="shared" ref="H13" si="30">IF(H11=0,0,H11/H12)</f>
        <v>0.63612172236027154</v>
      </c>
      <c r="I13" s="55">
        <f t="shared" ref="I13" si="31">IF(I11=0,0,I11/I12)</f>
        <v>1.0672124763564885</v>
      </c>
      <c r="J13" s="55">
        <f t="shared" ref="J13" si="32">IF(J11=0,0,J11/J12)</f>
        <v>1.573267069688091</v>
      </c>
      <c r="K13" s="55">
        <f t="shared" ref="K13" si="33">IF(K11=0,0,K11/K12)</f>
        <v>0.3115380336016022</v>
      </c>
      <c r="L13" s="55">
        <f t="shared" ref="L13" si="34">IF(L11=0,0,L11/L12)</f>
        <v>0.40869895783110183</v>
      </c>
      <c r="M13" s="55">
        <f t="shared" ref="M13" si="35">IF(M11=0,0,M11/M12)</f>
        <v>0.84621518377035199</v>
      </c>
      <c r="N13" s="55">
        <f t="shared" ref="N13" si="36">IF(N11=0,0,N11/N12)</f>
        <v>0.74029225234580731</v>
      </c>
      <c r="O13" s="55">
        <f t="shared" ref="O13" si="37">IF(O11=0,0,O11/O12)</f>
        <v>0.61742944034417535</v>
      </c>
      <c r="P13" s="55">
        <f t="shared" ref="P13" si="38">IF(P11=0,0,P11/P12)</f>
        <v>0.88359974780254424</v>
      </c>
      <c r="Q13" s="55">
        <f t="shared" ref="Q13" si="39">IF(Q11=0,0,Q11/Q12)</f>
        <v>0.82304454252123282</v>
      </c>
      <c r="R13" s="55">
        <f t="shared" ref="R13" si="40">IF(R11=0,0,R11/R12)</f>
        <v>0.33743463264473533</v>
      </c>
      <c r="S13" s="55">
        <f t="shared" ref="S13:Y13" si="41">IF(S11=0,0,S11/S12)</f>
        <v>1.5014186106887215</v>
      </c>
      <c r="T13" s="55">
        <f t="shared" si="41"/>
        <v>0.95759003078292471</v>
      </c>
      <c r="U13" s="55">
        <f t="shared" si="41"/>
        <v>1.3224789526388014</v>
      </c>
      <c r="V13" s="55">
        <f t="shared" si="41"/>
        <v>1.284704966064607</v>
      </c>
      <c r="W13" s="55">
        <f t="shared" si="41"/>
        <v>1.712290917182806</v>
      </c>
      <c r="X13" s="55">
        <f t="shared" si="41"/>
        <v>1.4870099766346476</v>
      </c>
      <c r="Y13" s="55">
        <f t="shared" si="41"/>
        <v>0.59776360197307421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1844496.1453057558</v>
      </c>
      <c r="E16" s="42">
        <v>1881083.9896297019</v>
      </c>
      <c r="F16" s="42">
        <v>1902457.4057654981</v>
      </c>
      <c r="G16" s="42">
        <v>1918114.6634671937</v>
      </c>
      <c r="H16" s="42">
        <v>1972381.18387851</v>
      </c>
      <c r="I16" s="42">
        <v>2005206.3225308291</v>
      </c>
      <c r="J16" s="42">
        <v>2054300.0055577168</v>
      </c>
      <c r="K16" s="42">
        <v>2104113.1523329541</v>
      </c>
      <c r="L16" s="42">
        <v>2109477.0722823958</v>
      </c>
      <c r="M16" s="42">
        <v>2048863.6363636365</v>
      </c>
      <c r="N16" s="42">
        <v>2088804.7904693112</v>
      </c>
      <c r="O16" s="42">
        <v>2134617.5384743023</v>
      </c>
      <c r="P16" s="42">
        <v>2141308.8940829132</v>
      </c>
      <c r="Q16" s="42">
        <v>2153650.2995717498</v>
      </c>
      <c r="R16" s="42">
        <v>2174225.0316055627</v>
      </c>
      <c r="S16" s="42">
        <v>2198432</v>
      </c>
      <c r="T16" s="42">
        <v>2222505.2972951466</v>
      </c>
      <c r="U16" s="42">
        <v>2273439.0926994369</v>
      </c>
      <c r="V16" s="42">
        <v>2315854.1484972904</v>
      </c>
      <c r="W16" s="42">
        <v>2358529.9069218417</v>
      </c>
      <c r="X16" s="42">
        <v>2180688.5002210955</v>
      </c>
      <c r="Y16" s="42">
        <v>2321009.6193983471</v>
      </c>
    </row>
    <row r="17" spans="1:25" x14ac:dyDescent="0.25">
      <c r="A17" s="46" t="s">
        <v>141</v>
      </c>
      <c r="B17" s="47"/>
      <c r="C17" s="47"/>
      <c r="D17" s="57">
        <v>965584.26598440658</v>
      </c>
      <c r="E17" s="57">
        <v>989899.87871293013</v>
      </c>
      <c r="F17" s="57">
        <v>1010507.1395724511</v>
      </c>
      <c r="G17" s="57">
        <v>1025523.7498985543</v>
      </c>
      <c r="H17" s="57">
        <v>1045533.2818743188</v>
      </c>
      <c r="I17" s="57">
        <v>1070812.8957460092</v>
      </c>
      <c r="J17" s="57">
        <v>1093766.0948889179</v>
      </c>
      <c r="K17" s="57">
        <v>1122607.2554362344</v>
      </c>
      <c r="L17" s="57">
        <v>1128467.2899140003</v>
      </c>
      <c r="M17" s="57">
        <v>1131913.6134773109</v>
      </c>
      <c r="N17" s="57">
        <v>1153229.9660663011</v>
      </c>
      <c r="O17" s="57">
        <v>1160357.4138249224</v>
      </c>
      <c r="P17" s="57">
        <v>1155448.8475535787</v>
      </c>
      <c r="Q17" s="57">
        <v>1161328.2465739672</v>
      </c>
      <c r="R17" s="57">
        <v>1170856.2316980225</v>
      </c>
      <c r="S17" s="57">
        <v>1188170</v>
      </c>
      <c r="T17" s="57">
        <v>1209312.9039980846</v>
      </c>
      <c r="U17" s="57">
        <v>1227204.9873831081</v>
      </c>
      <c r="V17" s="57">
        <v>1239249.6715488299</v>
      </c>
      <c r="W17" s="57">
        <v>1261166.9787102628</v>
      </c>
      <c r="X17" s="57">
        <v>1177745.1954304054</v>
      </c>
      <c r="Y17" s="57">
        <v>1238248.0844895423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30464.868694006847</v>
      </c>
      <c r="E20" s="42">
        <f t="shared" ref="E20:S20" si="42">1000000*E16/E$3</f>
        <v>30847.902926257895</v>
      </c>
      <c r="F20" s="42">
        <f t="shared" si="42"/>
        <v>30972.523618693798</v>
      </c>
      <c r="G20" s="42">
        <f t="shared" si="42"/>
        <v>31005.300901990078</v>
      </c>
      <c r="H20" s="42">
        <f t="shared" si="42"/>
        <v>31663.352485239855</v>
      </c>
      <c r="I20" s="42">
        <f t="shared" si="42"/>
        <v>31943.836923990079</v>
      </c>
      <c r="J20" s="42">
        <f t="shared" si="42"/>
        <v>32489.512323734223</v>
      </c>
      <c r="K20" s="42">
        <f t="shared" si="42"/>
        <v>33060.114752541362</v>
      </c>
      <c r="L20" s="42">
        <f t="shared" si="42"/>
        <v>32956.875210609469</v>
      </c>
      <c r="M20" s="42">
        <f t="shared" si="42"/>
        <v>31839.260927593888</v>
      </c>
      <c r="N20" s="42">
        <f t="shared" si="42"/>
        <v>32305.00691922714</v>
      </c>
      <c r="O20" s="42">
        <f t="shared" si="42"/>
        <v>32851.024237216094</v>
      </c>
      <c r="P20" s="42">
        <f t="shared" si="42"/>
        <v>32803.42925902248</v>
      </c>
      <c r="Q20" s="42">
        <f t="shared" si="42"/>
        <v>32829.859895133937</v>
      </c>
      <c r="R20" s="42">
        <f t="shared" si="42"/>
        <v>32860.165172579065</v>
      </c>
      <c r="S20" s="42">
        <f t="shared" si="42"/>
        <v>33079.944307209378</v>
      </c>
      <c r="T20" s="42">
        <f t="shared" ref="T20:Y20" si="43">1000000*T16/T$3</f>
        <v>33351.725093349662</v>
      </c>
      <c r="U20" s="42">
        <f t="shared" si="43"/>
        <v>34028.518993368234</v>
      </c>
      <c r="V20" s="42">
        <f t="shared" si="43"/>
        <v>34551.463744955865</v>
      </c>
      <c r="W20" s="42">
        <f t="shared" si="43"/>
        <v>35108.855377433079</v>
      </c>
      <c r="X20" s="42">
        <f t="shared" si="43"/>
        <v>32392.773371688163</v>
      </c>
      <c r="Y20" s="42">
        <f t="shared" si="43"/>
        <v>34305.696803138337</v>
      </c>
    </row>
    <row r="21" spans="1:25" x14ac:dyDescent="0.25">
      <c r="A21" s="46" t="s">
        <v>141</v>
      </c>
      <c r="B21" s="47"/>
      <c r="C21" s="47"/>
      <c r="D21" s="57">
        <f>1000000*D17/D$3</f>
        <v>15948.202413476811</v>
      </c>
      <c r="E21" s="57">
        <f t="shared" ref="E21:S21" si="44">1000000*E17/E$3</f>
        <v>16233.371573834998</v>
      </c>
      <c r="F21" s="57">
        <f t="shared" si="44"/>
        <v>16451.330869440932</v>
      </c>
      <c r="G21" s="57">
        <f t="shared" si="44"/>
        <v>16577.044664402947</v>
      </c>
      <c r="H21" s="57">
        <f t="shared" si="44"/>
        <v>16784.326026644616</v>
      </c>
      <c r="I21" s="57">
        <f t="shared" si="44"/>
        <v>17058.530153966341</v>
      </c>
      <c r="J21" s="57">
        <f t="shared" si="44"/>
        <v>17298.31423016941</v>
      </c>
      <c r="K21" s="57">
        <f t="shared" si="44"/>
        <v>17638.559335845355</v>
      </c>
      <c r="L21" s="57">
        <f t="shared" si="44"/>
        <v>17630.319922231243</v>
      </c>
      <c r="M21" s="57">
        <f t="shared" si="44"/>
        <v>17589.893366921675</v>
      </c>
      <c r="N21" s="57">
        <f t="shared" si="44"/>
        <v>17835.60733066946</v>
      </c>
      <c r="O21" s="57">
        <f t="shared" si="44"/>
        <v>17857.498515936044</v>
      </c>
      <c r="P21" s="57">
        <f t="shared" si="44"/>
        <v>17700.7084955746</v>
      </c>
      <c r="Q21" s="57">
        <f t="shared" si="44"/>
        <v>17703.080038048076</v>
      </c>
      <c r="R21" s="57">
        <f t="shared" si="44"/>
        <v>17695.743820283813</v>
      </c>
      <c r="S21" s="57">
        <f t="shared" si="44"/>
        <v>17878.468575556111</v>
      </c>
      <c r="T21" s="57">
        <f t="shared" ref="T21:Y21" si="45">1000000*T17/T$3</f>
        <v>18147.39050344245</v>
      </c>
      <c r="U21" s="57">
        <f t="shared" si="45"/>
        <v>18368.632947336784</v>
      </c>
      <c r="V21" s="57">
        <f t="shared" si="45"/>
        <v>18489.027094064404</v>
      </c>
      <c r="W21" s="57">
        <f t="shared" si="45"/>
        <v>18773.613568513527</v>
      </c>
      <c r="X21" s="57">
        <f t="shared" si="45"/>
        <v>17494.673448914742</v>
      </c>
      <c r="Y21" s="57">
        <f t="shared" si="45"/>
        <v>18301.933347685335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1640272.8138410358</v>
      </c>
      <c r="E23" s="60">
        <v>1672830.120263492</v>
      </c>
      <c r="F23" s="60">
        <v>1691487.0970030986</v>
      </c>
      <c r="G23" s="60">
        <v>1703537.5553648865</v>
      </c>
      <c r="H23" s="60">
        <v>1755176.1256928223</v>
      </c>
      <c r="I23" s="60">
        <v>1781197.3586685532</v>
      </c>
      <c r="J23" s="60">
        <v>1825313.3274492498</v>
      </c>
      <c r="K23" s="60">
        <v>1871917.6684177166</v>
      </c>
      <c r="L23" s="60">
        <v>1881538.3485160151</v>
      </c>
      <c r="M23" s="60">
        <v>1832152.4658982654</v>
      </c>
      <c r="N23" s="60">
        <v>1864057.2346933486</v>
      </c>
      <c r="O23" s="60">
        <v>1905794.9648446359</v>
      </c>
      <c r="P23" s="60">
        <v>1916549.9902911629</v>
      </c>
      <c r="Q23" s="60">
        <v>1928420.1871739174</v>
      </c>
      <c r="R23" s="60">
        <v>1949867.9670980079</v>
      </c>
      <c r="S23" s="60">
        <v>1967466</v>
      </c>
      <c r="T23" s="60">
        <v>1986519.6931862272</v>
      </c>
      <c r="U23" s="60">
        <v>2029728.7913657646</v>
      </c>
      <c r="V23" s="60">
        <v>2067979.219552512</v>
      </c>
      <c r="W23" s="60">
        <v>2107109.2763477415</v>
      </c>
      <c r="X23" s="60">
        <v>1949495.8632517292</v>
      </c>
      <c r="Y23" s="60">
        <v>2068963.7479709685</v>
      </c>
    </row>
    <row r="24" spans="1:25" x14ac:dyDescent="0.25">
      <c r="A24" s="61" t="s">
        <v>33</v>
      </c>
      <c r="B24" s="62"/>
      <c r="C24" s="62"/>
      <c r="D24" s="63">
        <v>38369.547742422183</v>
      </c>
      <c r="E24" s="63">
        <v>39173.264035776876</v>
      </c>
      <c r="F24" s="63">
        <v>37761.667100314589</v>
      </c>
      <c r="G24" s="63">
        <v>34981.3324675927</v>
      </c>
      <c r="H24" s="63">
        <v>35567.541569328023</v>
      </c>
      <c r="I24" s="63">
        <v>33318.734137412124</v>
      </c>
      <c r="J24" s="63">
        <v>30962.047661076787</v>
      </c>
      <c r="K24" s="63">
        <v>33639.498533629827</v>
      </c>
      <c r="L24" s="63">
        <v>31683.178707862808</v>
      </c>
      <c r="M24" s="63">
        <v>26822.859416056868</v>
      </c>
      <c r="N24" s="63">
        <v>33184.71667789932</v>
      </c>
      <c r="O24" s="63">
        <v>35020.309697107157</v>
      </c>
      <c r="P24" s="63">
        <v>34834.285480689636</v>
      </c>
      <c r="Q24" s="63">
        <v>31346.55595931708</v>
      </c>
      <c r="R24" s="63">
        <v>33851.010228755855</v>
      </c>
      <c r="S24" s="63">
        <v>35299</v>
      </c>
      <c r="T24" s="63">
        <v>31941.860580797278</v>
      </c>
      <c r="U24" s="63">
        <v>35148.996111419729</v>
      </c>
      <c r="V24" s="63">
        <v>38341.499891768501</v>
      </c>
      <c r="W24" s="63">
        <v>36048.567265662939</v>
      </c>
      <c r="X24" s="63">
        <v>34498.030568590868</v>
      </c>
      <c r="Y24" s="63">
        <v>37749.314327294436</v>
      </c>
    </row>
    <row r="25" spans="1:25" x14ac:dyDescent="0.25">
      <c r="A25" s="64" t="s">
        <v>56</v>
      </c>
      <c r="B25" s="65"/>
      <c r="C25" s="65"/>
      <c r="D25" s="66">
        <v>2449.8831327834182</v>
      </c>
      <c r="E25" s="66">
        <v>2414.9392639149091</v>
      </c>
      <c r="F25" s="66">
        <v>2409.111337133666</v>
      </c>
      <c r="G25" s="66">
        <v>2174.0138673097886</v>
      </c>
      <c r="H25" s="66">
        <v>2084.1922037469653</v>
      </c>
      <c r="I25" s="66">
        <v>2234.7999910158792</v>
      </c>
      <c r="J25" s="66">
        <v>2412.8420123565757</v>
      </c>
      <c r="K25" s="66">
        <v>2581.4560572367782</v>
      </c>
      <c r="L25" s="66">
        <v>2492.548591578859</v>
      </c>
      <c r="M25" s="66">
        <v>2296.8290359389885</v>
      </c>
      <c r="N25" s="66">
        <v>2332.9358701850797</v>
      </c>
      <c r="O25" s="66">
        <v>2309.3259654838243</v>
      </c>
      <c r="P25" s="66">
        <v>2263.6920152479843</v>
      </c>
      <c r="Q25" s="66">
        <v>2142.7556385635112</v>
      </c>
      <c r="R25" s="66">
        <v>2209.6540839142444</v>
      </c>
      <c r="S25" s="66">
        <v>1944</v>
      </c>
      <c r="T25" s="66">
        <v>1843.4692639056082</v>
      </c>
      <c r="U25" s="66">
        <v>1852.03555273391</v>
      </c>
      <c r="V25" s="66">
        <v>1876.3405946828816</v>
      </c>
      <c r="W25" s="66">
        <v>1849.4414764448761</v>
      </c>
      <c r="X25" s="66">
        <v>1645.2761915531182</v>
      </c>
      <c r="Y25" s="66">
        <v>1704.3864395395265</v>
      </c>
    </row>
    <row r="26" spans="1:25" x14ac:dyDescent="0.25">
      <c r="A26" s="67" t="s">
        <v>146</v>
      </c>
      <c r="B26" s="44"/>
      <c r="C26" s="44"/>
      <c r="D26" s="45">
        <v>1243947.0201951498</v>
      </c>
      <c r="E26" s="45">
        <v>1275718.8614250319</v>
      </c>
      <c r="F26" s="45">
        <v>1297497.4572462565</v>
      </c>
      <c r="G26" s="45">
        <v>1316436.7043109247</v>
      </c>
      <c r="H26" s="45">
        <v>1360706.1059960607</v>
      </c>
      <c r="I26" s="45">
        <v>1388957.392808211</v>
      </c>
      <c r="J26" s="45">
        <v>1432174.53662842</v>
      </c>
      <c r="K26" s="45">
        <v>1471448.2151105951</v>
      </c>
      <c r="L26" s="45">
        <v>1488637.126904832</v>
      </c>
      <c r="M26" s="45">
        <v>1466871.8528521927</v>
      </c>
      <c r="N26" s="45">
        <v>1495924.1018196901</v>
      </c>
      <c r="O26" s="45">
        <v>1524841.7493144185</v>
      </c>
      <c r="P26" s="45">
        <v>1536432.6666598532</v>
      </c>
      <c r="Q26" s="45">
        <v>1546604.6813780218</v>
      </c>
      <c r="R26" s="45">
        <v>1565898.0766701405</v>
      </c>
      <c r="S26" s="45">
        <v>1579858</v>
      </c>
      <c r="T26" s="45">
        <v>1603500.9003452151</v>
      </c>
      <c r="U26" s="45">
        <v>1639092.1355447979</v>
      </c>
      <c r="V26" s="45">
        <v>1667950.6857941241</v>
      </c>
      <c r="W26" s="45">
        <v>1697163.6716852842</v>
      </c>
      <c r="X26" s="45">
        <v>1582661.4651061988</v>
      </c>
      <c r="Y26" s="45">
        <v>1684421.7027072413</v>
      </c>
    </row>
    <row r="27" spans="1:25" x14ac:dyDescent="0.25">
      <c r="A27" s="68" t="s">
        <v>148</v>
      </c>
      <c r="B27" s="69"/>
      <c r="C27" s="69"/>
      <c r="D27" s="70">
        <v>470988.48641495907</v>
      </c>
      <c r="E27" s="70">
        <v>480356.560101529</v>
      </c>
      <c r="F27" s="70">
        <v>494773.75405066588</v>
      </c>
      <c r="G27" s="70">
        <v>502790.85406859446</v>
      </c>
      <c r="H27" s="70">
        <v>518038.56900737487</v>
      </c>
      <c r="I27" s="70">
        <v>529082.72129011969</v>
      </c>
      <c r="J27" s="70">
        <v>539279.56751985883</v>
      </c>
      <c r="K27" s="70">
        <v>551211.23250292731</v>
      </c>
      <c r="L27" s="70">
        <v>557087.23395323451</v>
      </c>
      <c r="M27" s="70">
        <v>565653.2981585589</v>
      </c>
      <c r="N27" s="70">
        <v>578286.0697807041</v>
      </c>
      <c r="O27" s="70">
        <v>589459.57648611313</v>
      </c>
      <c r="P27" s="70">
        <v>596923.83161810541</v>
      </c>
      <c r="Q27" s="70">
        <v>604179.94681175018</v>
      </c>
      <c r="R27" s="70">
        <v>612594.21888121078</v>
      </c>
      <c r="S27" s="70">
        <v>614005</v>
      </c>
      <c r="T27" s="70">
        <v>621152.64084682195</v>
      </c>
      <c r="U27" s="70">
        <v>634558.76517736679</v>
      </c>
      <c r="V27" s="70">
        <v>638860.02715626662</v>
      </c>
      <c r="W27" s="70">
        <v>649946.57600777072</v>
      </c>
      <c r="X27" s="70">
        <v>591803.7730159628</v>
      </c>
      <c r="Y27" s="70">
        <v>636110.2300501893</v>
      </c>
    </row>
    <row r="28" spans="1:25" x14ac:dyDescent="0.25">
      <c r="A28" s="68" t="s">
        <v>150</v>
      </c>
      <c r="B28" s="71"/>
      <c r="C28" s="71"/>
      <c r="D28" s="70">
        <v>559080.39722486725</v>
      </c>
      <c r="E28" s="70">
        <v>571847.46479724417</v>
      </c>
      <c r="F28" s="70">
        <v>577912.34004304942</v>
      </c>
      <c r="G28" s="70">
        <v>584381.88437724649</v>
      </c>
      <c r="H28" s="70">
        <v>611772.2504695158</v>
      </c>
      <c r="I28" s="70">
        <v>631992.45333872375</v>
      </c>
      <c r="J28" s="70">
        <v>664238.74669020309</v>
      </c>
      <c r="K28" s="70">
        <v>687816.77355592081</v>
      </c>
      <c r="L28" s="70">
        <v>691911.54863355856</v>
      </c>
      <c r="M28" s="70">
        <v>667333.52176962607</v>
      </c>
      <c r="N28" s="70">
        <v>686782.10378972476</v>
      </c>
      <c r="O28" s="70">
        <v>699102.04334109963</v>
      </c>
      <c r="P28" s="70">
        <v>701888.62430888403</v>
      </c>
      <c r="Q28" s="70">
        <v>706224.24328549101</v>
      </c>
      <c r="R28" s="70">
        <v>716846.58889709529</v>
      </c>
      <c r="S28" s="70">
        <v>723756</v>
      </c>
      <c r="T28" s="70">
        <v>739002.35781012173</v>
      </c>
      <c r="U28" s="70">
        <v>755886.43758431869</v>
      </c>
      <c r="V28" s="70">
        <v>777476.04148218106</v>
      </c>
      <c r="W28" s="70">
        <v>790037.88246721693</v>
      </c>
      <c r="X28" s="70">
        <v>745575.84666704363</v>
      </c>
      <c r="Y28" s="70">
        <v>781116.48040002224</v>
      </c>
    </row>
    <row r="29" spans="1:25" x14ac:dyDescent="0.25">
      <c r="A29" s="68" t="s">
        <v>152</v>
      </c>
      <c r="B29" s="71"/>
      <c r="C29" s="71"/>
      <c r="D29" s="70">
        <v>213878.13655532332</v>
      </c>
      <c r="E29" s="70">
        <v>223514.83652625867</v>
      </c>
      <c r="F29" s="70">
        <v>224811.36315254134</v>
      </c>
      <c r="G29" s="70">
        <v>229263.96586508377</v>
      </c>
      <c r="H29" s="70">
        <v>230895.28651917013</v>
      </c>
      <c r="I29" s="70">
        <v>227882.21817936783</v>
      </c>
      <c r="J29" s="70">
        <v>228656.2224183584</v>
      </c>
      <c r="K29" s="70">
        <v>232420.20905174693</v>
      </c>
      <c r="L29" s="70">
        <v>239638.3443180389</v>
      </c>
      <c r="M29" s="70">
        <v>233885.03292400777</v>
      </c>
      <c r="N29" s="70">
        <v>230855.92824926102</v>
      </c>
      <c r="O29" s="70">
        <v>236280.12948720579</v>
      </c>
      <c r="P29" s="70">
        <v>237620.21073286375</v>
      </c>
      <c r="Q29" s="70">
        <v>236200.49128078093</v>
      </c>
      <c r="R29" s="70">
        <v>236457.26889183425</v>
      </c>
      <c r="S29" s="70">
        <v>242097</v>
      </c>
      <c r="T29" s="70">
        <v>243345.90168827178</v>
      </c>
      <c r="U29" s="70">
        <v>248646.93278311222</v>
      </c>
      <c r="V29" s="70">
        <v>251614.61715567621</v>
      </c>
      <c r="W29" s="70">
        <v>257179.21321029641</v>
      </c>
      <c r="X29" s="70">
        <v>245281.84542319246</v>
      </c>
      <c r="Y29" s="70">
        <v>267194.99225702952</v>
      </c>
    </row>
    <row r="30" spans="1:25" x14ac:dyDescent="0.25">
      <c r="A30" s="64" t="s">
        <v>154</v>
      </c>
      <c r="B30" s="65"/>
      <c r="C30" s="65"/>
      <c r="D30" s="66">
        <v>34226.63583185961</v>
      </c>
      <c r="E30" s="66">
        <v>32866.380612799905</v>
      </c>
      <c r="F30" s="66">
        <v>34233.744116186106</v>
      </c>
      <c r="G30" s="66">
        <v>34293.764348491524</v>
      </c>
      <c r="H30" s="66">
        <v>36484.815171086986</v>
      </c>
      <c r="I30" s="66">
        <v>37901.758641600965</v>
      </c>
      <c r="J30" s="66">
        <v>36870.035304501325</v>
      </c>
      <c r="K30" s="66">
        <v>31156.874751576481</v>
      </c>
      <c r="L30" s="66">
        <v>28462.281180471015</v>
      </c>
      <c r="M30" s="66">
        <v>28782.596861488855</v>
      </c>
      <c r="N30" s="66">
        <v>28581.056560734098</v>
      </c>
      <c r="O30" s="66">
        <v>30816.099301016515</v>
      </c>
      <c r="P30" s="66">
        <v>34063.710410939304</v>
      </c>
      <c r="Q30" s="66">
        <v>35930.48985972107</v>
      </c>
      <c r="R30" s="66">
        <v>36770.910268213964</v>
      </c>
      <c r="S30" s="66">
        <v>37957</v>
      </c>
      <c r="T30" s="66">
        <v>37782.663629037881</v>
      </c>
      <c r="U30" s="66">
        <v>35594.397270057932</v>
      </c>
      <c r="V30" s="66">
        <v>37373.319951984573</v>
      </c>
      <c r="W30" s="66">
        <v>40334.142787761048</v>
      </c>
      <c r="X30" s="66">
        <v>40243.304875520626</v>
      </c>
      <c r="Y30" s="66">
        <v>41805.511502509464</v>
      </c>
    </row>
    <row r="31" spans="1:25" x14ac:dyDescent="0.25">
      <c r="A31" s="64" t="s">
        <v>37</v>
      </c>
      <c r="B31" s="65"/>
      <c r="C31" s="65"/>
      <c r="D31" s="66">
        <v>79642.84389260583</v>
      </c>
      <c r="E31" s="66">
        <v>83038.617272013056</v>
      </c>
      <c r="F31" s="66">
        <v>84680.795704520191</v>
      </c>
      <c r="G31" s="66">
        <v>87079.980520835757</v>
      </c>
      <c r="H31" s="66">
        <v>92557.601575740919</v>
      </c>
      <c r="I31" s="66">
        <v>96757.855490420669</v>
      </c>
      <c r="J31" s="66">
        <v>104418.57899382171</v>
      </c>
      <c r="K31" s="66">
        <v>112748.28923480185</v>
      </c>
      <c r="L31" s="66">
        <v>119185.80244322236</v>
      </c>
      <c r="M31" s="66">
        <v>113916.02022549543</v>
      </c>
      <c r="N31" s="66">
        <v>112099.12385297321</v>
      </c>
      <c r="O31" s="66">
        <v>115088.97090661663</v>
      </c>
      <c r="P31" s="66">
        <v>112032.82608917823</v>
      </c>
      <c r="Q31" s="66">
        <v>113610.71073306401</v>
      </c>
      <c r="R31" s="66">
        <v>111409.46387559567</v>
      </c>
      <c r="S31" s="66">
        <v>107884</v>
      </c>
      <c r="T31" s="66">
        <v>107804.64995970832</v>
      </c>
      <c r="U31" s="66">
        <v>112230.18014443298</v>
      </c>
      <c r="V31" s="66">
        <v>115498.75041816715</v>
      </c>
      <c r="W31" s="66">
        <v>120557.55220981059</v>
      </c>
      <c r="X31" s="66">
        <v>105748.1012419668</v>
      </c>
      <c r="Y31" s="66">
        <v>115580.16306882848</v>
      </c>
    </row>
    <row r="32" spans="1:25" x14ac:dyDescent="0.25">
      <c r="A32" s="64" t="s">
        <v>58</v>
      </c>
      <c r="B32" s="65"/>
      <c r="C32" s="65"/>
      <c r="D32" s="66">
        <v>241636.88304621511</v>
      </c>
      <c r="E32" s="66">
        <v>239618.05765395539</v>
      </c>
      <c r="F32" s="66">
        <v>234904.32149868726</v>
      </c>
      <c r="G32" s="66">
        <v>228571.75984973216</v>
      </c>
      <c r="H32" s="66">
        <v>227775.8691768586</v>
      </c>
      <c r="I32" s="66">
        <v>222026.81759989218</v>
      </c>
      <c r="J32" s="66">
        <v>218475.28684907328</v>
      </c>
      <c r="K32" s="66">
        <v>220343.33472987634</v>
      </c>
      <c r="L32" s="66">
        <v>211077.41068804832</v>
      </c>
      <c r="M32" s="66">
        <v>193462.30750709254</v>
      </c>
      <c r="N32" s="66">
        <v>191935.2999118669</v>
      </c>
      <c r="O32" s="66">
        <v>197718.50965999297</v>
      </c>
      <c r="P32" s="66">
        <v>196922.80963525432</v>
      </c>
      <c r="Q32" s="66">
        <v>198784.99360522951</v>
      </c>
      <c r="R32" s="66">
        <v>199728.8519713878</v>
      </c>
      <c r="S32" s="66">
        <v>204524</v>
      </c>
      <c r="T32" s="66">
        <v>203646.14940756292</v>
      </c>
      <c r="U32" s="66">
        <v>205811.04674232204</v>
      </c>
      <c r="V32" s="66">
        <v>206938.62290178484</v>
      </c>
      <c r="W32" s="66">
        <v>211155.90092277806</v>
      </c>
      <c r="X32" s="66">
        <v>184699.68526789921</v>
      </c>
      <c r="Y32" s="66">
        <v>187702.66992555553</v>
      </c>
    </row>
    <row r="33" spans="1:25" x14ac:dyDescent="0.25">
      <c r="A33" s="72" t="s">
        <v>158</v>
      </c>
      <c r="B33" s="65"/>
      <c r="C33" s="65"/>
      <c r="D33" s="66">
        <v>9367.9276783616333</v>
      </c>
      <c r="E33" s="66">
        <v>8177.9174472714085</v>
      </c>
      <c r="F33" s="66">
        <v>7229.6993637202258</v>
      </c>
      <c r="G33" s="66">
        <v>6662.3379634997573</v>
      </c>
      <c r="H33" s="66">
        <v>7634.7853969126472</v>
      </c>
      <c r="I33" s="66">
        <v>7874.5816768861032</v>
      </c>
      <c r="J33" s="66">
        <v>7529.7881729920564</v>
      </c>
      <c r="K33" s="66">
        <v>8499.575665775028</v>
      </c>
      <c r="L33" s="66">
        <v>8650.98022753033</v>
      </c>
      <c r="M33" s="66">
        <v>6503.1458392219674</v>
      </c>
      <c r="N33" s="66">
        <v>6635.9064751931155</v>
      </c>
      <c r="O33" s="66">
        <v>7658.920802490773</v>
      </c>
      <c r="P33" s="66">
        <v>6125.7652096597812</v>
      </c>
      <c r="Q33" s="66">
        <v>6146.0849793946281</v>
      </c>
      <c r="R33" s="66">
        <v>5891.3991440625668</v>
      </c>
      <c r="S33" s="66">
        <v>6261</v>
      </c>
      <c r="T33" s="66">
        <v>5744.3019588726283</v>
      </c>
      <c r="U33" s="66">
        <v>6165.1853027537491</v>
      </c>
      <c r="V33" s="66">
        <v>5864.1793100734003</v>
      </c>
      <c r="W33" s="66">
        <v>4794.5604662457499</v>
      </c>
      <c r="X33" s="66">
        <v>3626.9576525131451</v>
      </c>
      <c r="Y33" s="66">
        <v>6837.136406888445</v>
      </c>
    </row>
    <row r="34" spans="1:25" x14ac:dyDescent="0.25">
      <c r="A34" s="73" t="s">
        <v>5</v>
      </c>
      <c r="B34" s="65"/>
      <c r="C34" s="65"/>
      <c r="D34" s="66">
        <v>7144.3369740924982</v>
      </c>
      <c r="E34" s="66">
        <v>6236.7900346382057</v>
      </c>
      <c r="F34" s="66">
        <v>5513.6429581011434</v>
      </c>
      <c r="G34" s="66">
        <v>5080.9516342098714</v>
      </c>
      <c r="H34" s="66">
        <v>5822.5769319734982</v>
      </c>
      <c r="I34" s="66">
        <v>6005.4546705817256</v>
      </c>
      <c r="J34" s="66">
        <v>5742.5020664548802</v>
      </c>
      <c r="K34" s="66">
        <v>6482.0987926022763</v>
      </c>
      <c r="L34" s="66">
        <v>6597.565654189304</v>
      </c>
      <c r="M34" s="66">
        <v>4543.0275441991944</v>
      </c>
      <c r="N34" s="66">
        <v>4671.508037493054</v>
      </c>
      <c r="O34" s="66">
        <v>5504.2464886053122</v>
      </c>
      <c r="P34" s="66">
        <v>3747.2858704858572</v>
      </c>
      <c r="Q34" s="66">
        <v>3792.46090501341</v>
      </c>
      <c r="R34" s="66">
        <v>3380.3947975934134</v>
      </c>
      <c r="S34" s="66">
        <v>3544.1346040451081</v>
      </c>
      <c r="T34" s="66">
        <v>3172.3384214024341</v>
      </c>
      <c r="U34" s="66">
        <v>3730.6863697167996</v>
      </c>
      <c r="V34" s="66">
        <v>3853.1900448487236</v>
      </c>
      <c r="W34" s="66">
        <v>2866.2753901018405</v>
      </c>
      <c r="X34" s="66">
        <v>2038.7460831520596</v>
      </c>
      <c r="Y34" s="66">
        <v>3707.2049861419473</v>
      </c>
    </row>
    <row r="35" spans="1:25" x14ac:dyDescent="0.25">
      <c r="A35" s="74" t="s">
        <v>270</v>
      </c>
      <c r="B35" s="44"/>
      <c r="C35" s="44"/>
      <c r="D35" s="45">
        <v>4509.3766935340718</v>
      </c>
      <c r="E35" s="45">
        <v>3803.4507789084205</v>
      </c>
      <c r="F35" s="45">
        <v>3571.9217887310915</v>
      </c>
      <c r="G35" s="45">
        <v>3273.2571645112635</v>
      </c>
      <c r="H35" s="45">
        <v>3785.1225267954992</v>
      </c>
      <c r="I35" s="45">
        <v>3962.4516209134258</v>
      </c>
      <c r="J35" s="45">
        <v>3745.890117006833</v>
      </c>
      <c r="K35" s="45">
        <v>4195.2698279847191</v>
      </c>
      <c r="L35" s="45">
        <v>4154.5895889909089</v>
      </c>
      <c r="M35" s="45">
        <v>2868.7386730242883</v>
      </c>
      <c r="N35" s="45">
        <v>3134.6498598605858</v>
      </c>
      <c r="O35" s="45">
        <v>3550.4884937658662</v>
      </c>
      <c r="P35" s="45">
        <v>2425.896888371783</v>
      </c>
      <c r="Q35" s="45">
        <v>2605.1557825353643</v>
      </c>
      <c r="R35" s="45">
        <v>2359.6900096361355</v>
      </c>
      <c r="S35" s="45">
        <v>2455.2229106176183</v>
      </c>
      <c r="T35" s="45">
        <v>2217.1401644511407</v>
      </c>
      <c r="U35" s="45">
        <v>2698.623203182759</v>
      </c>
      <c r="V35" s="45">
        <v>2770.6490639345893</v>
      </c>
      <c r="W35" s="45">
        <v>2104.6540584266072</v>
      </c>
      <c r="X35" s="45">
        <v>1458.8529173784536</v>
      </c>
      <c r="Y35" s="45">
        <v>2630.9024851097788</v>
      </c>
    </row>
    <row r="36" spans="1:25" x14ac:dyDescent="0.25">
      <c r="A36" s="74" t="s">
        <v>15</v>
      </c>
      <c r="B36" s="44"/>
      <c r="C36" s="44"/>
      <c r="D36" s="45">
        <v>2634.9602805584263</v>
      </c>
      <c r="E36" s="45">
        <v>2433.3392557297852</v>
      </c>
      <c r="F36" s="45">
        <v>1941.7211693700519</v>
      </c>
      <c r="G36" s="45">
        <v>1807.6944696986079</v>
      </c>
      <c r="H36" s="45">
        <v>2037.454405177999</v>
      </c>
      <c r="I36" s="45">
        <v>2043.0030496682998</v>
      </c>
      <c r="J36" s="45">
        <v>1996.6119494480472</v>
      </c>
      <c r="K36" s="45">
        <v>2286.8289646175572</v>
      </c>
      <c r="L36" s="45">
        <v>2442.9760651983952</v>
      </c>
      <c r="M36" s="45">
        <v>1674.288871174906</v>
      </c>
      <c r="N36" s="45">
        <v>1536.8581776324681</v>
      </c>
      <c r="O36" s="45">
        <v>1953.7579948394459</v>
      </c>
      <c r="P36" s="45">
        <v>1321.3889821140742</v>
      </c>
      <c r="Q36" s="45">
        <v>1187.3051224780456</v>
      </c>
      <c r="R36" s="45">
        <v>1020.7047879572779</v>
      </c>
      <c r="S36" s="45">
        <v>1088.9116934274898</v>
      </c>
      <c r="T36" s="45">
        <v>955.19825695129339</v>
      </c>
      <c r="U36" s="45">
        <v>1032.0631665340406</v>
      </c>
      <c r="V36" s="45">
        <v>1082.5409809141343</v>
      </c>
      <c r="W36" s="45">
        <v>761.62133167523325</v>
      </c>
      <c r="X36" s="45">
        <v>579.89316577360592</v>
      </c>
      <c r="Y36" s="45">
        <v>1076.3025010321685</v>
      </c>
    </row>
    <row r="37" spans="1:25" x14ac:dyDescent="0.25">
      <c r="A37" s="73" t="s">
        <v>269</v>
      </c>
      <c r="B37" s="65"/>
      <c r="C37" s="65"/>
      <c r="D37" s="66">
        <v>2223.5907042691351</v>
      </c>
      <c r="E37" s="66">
        <v>1941.1274126332028</v>
      </c>
      <c r="F37" s="66">
        <v>1716.0564056190824</v>
      </c>
      <c r="G37" s="66">
        <v>1581.3863292898859</v>
      </c>
      <c r="H37" s="66">
        <v>1812.2084649391491</v>
      </c>
      <c r="I37" s="66">
        <v>1869.1270063043776</v>
      </c>
      <c r="J37" s="66">
        <v>1787.2861065371762</v>
      </c>
      <c r="K37" s="66">
        <v>2017.4768731727518</v>
      </c>
      <c r="L37" s="66">
        <v>2053.414573341026</v>
      </c>
      <c r="M37" s="66">
        <v>1960.1182950227731</v>
      </c>
      <c r="N37" s="66">
        <v>1964.3984377000615</v>
      </c>
      <c r="O37" s="66">
        <v>2154.6743138854608</v>
      </c>
      <c r="P37" s="66">
        <v>2378.479339173924</v>
      </c>
      <c r="Q37" s="66">
        <v>2353.6240743812177</v>
      </c>
      <c r="R37" s="66">
        <v>2511.0043464691535</v>
      </c>
      <c r="S37" s="66">
        <v>2716.8653959548919</v>
      </c>
      <c r="T37" s="66">
        <v>2571.9635374701938</v>
      </c>
      <c r="U37" s="66">
        <v>2434.498933036949</v>
      </c>
      <c r="V37" s="66">
        <v>2010.9892652246763</v>
      </c>
      <c r="W37" s="66">
        <v>1928.2850761439095</v>
      </c>
      <c r="X37" s="66">
        <v>1588.2115693610856</v>
      </c>
      <c r="Y37" s="66">
        <v>3129.9314207464977</v>
      </c>
    </row>
    <row r="38" spans="1:25" x14ac:dyDescent="0.25">
      <c r="A38" s="74" t="s">
        <v>14</v>
      </c>
      <c r="B38" s="44"/>
      <c r="C38" s="44"/>
      <c r="D38" s="45">
        <v>67.453892920252059</v>
      </c>
      <c r="E38" s="45">
        <v>58.885207778993269</v>
      </c>
      <c r="F38" s="45">
        <v>52.057550343011194</v>
      </c>
      <c r="G38" s="45">
        <v>94.048432431933094</v>
      </c>
      <c r="H38" s="45">
        <v>96.316300385884091</v>
      </c>
      <c r="I38" s="45">
        <v>171.54002679836589</v>
      </c>
      <c r="J38" s="45">
        <v>144.90475155912702</v>
      </c>
      <c r="K38" s="45">
        <v>163.56753628538385</v>
      </c>
      <c r="L38" s="45">
        <v>166.48119599293884</v>
      </c>
      <c r="M38" s="45">
        <v>115.97723216228232</v>
      </c>
      <c r="N38" s="45">
        <v>122.29467350216574</v>
      </c>
      <c r="O38" s="45">
        <v>124.87959559201336</v>
      </c>
      <c r="P38" s="45">
        <v>137.04127464907864</v>
      </c>
      <c r="Q38" s="45">
        <v>131.99211489456528</v>
      </c>
      <c r="R38" s="45">
        <v>150.45427422380806</v>
      </c>
      <c r="S38" s="45">
        <v>171.13877189290039</v>
      </c>
      <c r="T38" s="45">
        <v>155.85448109358074</v>
      </c>
      <c r="U38" s="45">
        <v>156.33583088990235</v>
      </c>
      <c r="V38" s="45">
        <v>122.97961966994558</v>
      </c>
      <c r="W38" s="45">
        <v>127.93730723194024</v>
      </c>
      <c r="X38" s="45">
        <v>87.019647780806849</v>
      </c>
      <c r="Y38" s="45">
        <v>151.86887126795426</v>
      </c>
    </row>
    <row r="39" spans="1:25" x14ac:dyDescent="0.25">
      <c r="A39" s="74" t="s">
        <v>19</v>
      </c>
      <c r="B39" s="44"/>
      <c r="C39" s="44"/>
      <c r="D39" s="45">
        <v>1622.5044868502764</v>
      </c>
      <c r="E39" s="45">
        <v>1416.3973300026159</v>
      </c>
      <c r="F39" s="45">
        <v>1252.1680417441235</v>
      </c>
      <c r="G39" s="45">
        <v>1153.9022940644445</v>
      </c>
      <c r="H39" s="45">
        <v>1322.3280524723477</v>
      </c>
      <c r="I39" s="45">
        <v>1363.8602411852928</v>
      </c>
      <c r="J39" s="45">
        <v>1304.1427640321431</v>
      </c>
      <c r="K39" s="45">
        <v>1472.1078265684546</v>
      </c>
      <c r="L39" s="45">
        <v>1498.3307639364493</v>
      </c>
      <c r="M39" s="45">
        <v>1043.7950894605408</v>
      </c>
      <c r="N39" s="45">
        <v>1100.6520615194916</v>
      </c>
      <c r="O39" s="45">
        <v>1123.9163603281202</v>
      </c>
      <c r="P39" s="45">
        <v>1233.3714718417077</v>
      </c>
      <c r="Q39" s="45">
        <v>1187.9290340510875</v>
      </c>
      <c r="R39" s="45">
        <v>1354.0884680142726</v>
      </c>
      <c r="S39" s="45">
        <v>1540.2489470361036</v>
      </c>
      <c r="T39" s="45">
        <v>1402.6903298422267</v>
      </c>
      <c r="U39" s="45">
        <v>1407.0224780091212</v>
      </c>
      <c r="V39" s="45">
        <v>1106.8165770295102</v>
      </c>
      <c r="W39" s="45">
        <v>1151.435765087462</v>
      </c>
      <c r="X39" s="45">
        <v>783.17683002726164</v>
      </c>
      <c r="Y39" s="45">
        <v>1366.8198414115882</v>
      </c>
    </row>
    <row r="40" spans="1:25" x14ac:dyDescent="0.25">
      <c r="A40" s="75" t="s">
        <v>273</v>
      </c>
      <c r="B40" s="76"/>
      <c r="C40" s="76"/>
      <c r="D40" s="45">
        <v>1090.0756619584236</v>
      </c>
      <c r="E40" s="45">
        <v>977.366823235835</v>
      </c>
      <c r="F40" s="45">
        <v>857.6199506685324</v>
      </c>
      <c r="G40" s="45">
        <v>801.6105594403175</v>
      </c>
      <c r="H40" s="45">
        <v>926.1082435258021</v>
      </c>
      <c r="I40" s="45">
        <v>964.57261637812815</v>
      </c>
      <c r="J40" s="45">
        <v>913.52664999691262</v>
      </c>
      <c r="K40" s="45">
        <v>1026.0339975057793</v>
      </c>
      <c r="L40" s="45">
        <v>1035.2738939455969</v>
      </c>
      <c r="M40" s="45">
        <v>785.58591041167824</v>
      </c>
      <c r="N40" s="45">
        <v>772.75053083580963</v>
      </c>
      <c r="O40" s="45">
        <v>763.77644557117765</v>
      </c>
      <c r="P40" s="45">
        <v>847.51685201514908</v>
      </c>
      <c r="Q40" s="45">
        <v>827.95231580053735</v>
      </c>
      <c r="R40" s="45">
        <v>956.1634713487274</v>
      </c>
      <c r="S40" s="45">
        <v>1134.9202767634445</v>
      </c>
      <c r="T40" s="45">
        <v>1038.8942210331941</v>
      </c>
      <c r="U40" s="45">
        <v>1030.8768948832524</v>
      </c>
      <c r="V40" s="45">
        <v>791.82519361959021</v>
      </c>
      <c r="W40" s="45">
        <v>830.61116701476999</v>
      </c>
      <c r="X40" s="45">
        <v>599.71016690965348</v>
      </c>
      <c r="Y40" s="45">
        <v>1049.5317509731835</v>
      </c>
    </row>
    <row r="41" spans="1:25" x14ac:dyDescent="0.25">
      <c r="A41" s="75" t="s">
        <v>274</v>
      </c>
      <c r="B41" s="76"/>
      <c r="C41" s="76"/>
      <c r="D41" s="45">
        <v>532.42882489185286</v>
      </c>
      <c r="E41" s="45">
        <v>439.03050676678095</v>
      </c>
      <c r="F41" s="45">
        <v>394.54809107559106</v>
      </c>
      <c r="G41" s="45">
        <v>352.291734624127</v>
      </c>
      <c r="H41" s="45">
        <v>396.21980894654564</v>
      </c>
      <c r="I41" s="45">
        <v>399.28762480716466</v>
      </c>
      <c r="J41" s="45">
        <v>390.61611403523045</v>
      </c>
      <c r="K41" s="45">
        <v>446.07382906267526</v>
      </c>
      <c r="L41" s="45">
        <v>463.05686999085242</v>
      </c>
      <c r="M41" s="45">
        <v>258.20917904886255</v>
      </c>
      <c r="N41" s="45">
        <v>327.90153068368193</v>
      </c>
      <c r="O41" s="45">
        <v>360.13991475694252</v>
      </c>
      <c r="P41" s="45">
        <v>385.85461982655863</v>
      </c>
      <c r="Q41" s="45">
        <v>359.97671825055011</v>
      </c>
      <c r="R41" s="45">
        <v>397.92499666554522</v>
      </c>
      <c r="S41" s="45">
        <v>405.32867027265911</v>
      </c>
      <c r="T41" s="45">
        <v>363.7961088090326</v>
      </c>
      <c r="U41" s="45">
        <v>376.14558312586882</v>
      </c>
      <c r="V41" s="45">
        <v>314.99138340991999</v>
      </c>
      <c r="W41" s="45">
        <v>320.82459807269197</v>
      </c>
      <c r="X41" s="45">
        <v>183.46666311760816</v>
      </c>
      <c r="Y41" s="45">
        <v>317.28809043840465</v>
      </c>
    </row>
    <row r="42" spans="1:25" x14ac:dyDescent="0.25">
      <c r="A42" s="74" t="s">
        <v>13</v>
      </c>
      <c r="B42" s="44"/>
      <c r="C42" s="44"/>
      <c r="D42" s="45">
        <v>533.63232449860652</v>
      </c>
      <c r="E42" s="45">
        <v>465.84487485159366</v>
      </c>
      <c r="F42" s="45">
        <v>411.8308135319478</v>
      </c>
      <c r="G42" s="45">
        <v>333.43560279350822</v>
      </c>
      <c r="H42" s="45">
        <v>393.56411208091731</v>
      </c>
      <c r="I42" s="45">
        <v>333.72673832071882</v>
      </c>
      <c r="J42" s="45">
        <v>338.23859094590625</v>
      </c>
      <c r="K42" s="45">
        <v>381.80151031891342</v>
      </c>
      <c r="L42" s="45">
        <v>388.60261341163778</v>
      </c>
      <c r="M42" s="45">
        <v>800.34597339994991</v>
      </c>
      <c r="N42" s="45">
        <v>741.45170267840422</v>
      </c>
      <c r="O42" s="45">
        <v>905.87835796532727</v>
      </c>
      <c r="P42" s="45">
        <v>1008.0665926831375</v>
      </c>
      <c r="Q42" s="45">
        <v>1033.7029254355652</v>
      </c>
      <c r="R42" s="45">
        <v>1006.4616042310727</v>
      </c>
      <c r="S42" s="45">
        <v>1005.4776770258877</v>
      </c>
      <c r="T42" s="45">
        <v>1013.4187265343862</v>
      </c>
      <c r="U42" s="45">
        <v>871.14062413792544</v>
      </c>
      <c r="V42" s="45">
        <v>781.1930685252205</v>
      </c>
      <c r="W42" s="45">
        <v>648.91200382450734</v>
      </c>
      <c r="X42" s="45">
        <v>718.0150915530171</v>
      </c>
      <c r="Y42" s="45">
        <v>1611.2427080669554</v>
      </c>
    </row>
    <row r="43" spans="1:25" x14ac:dyDescent="0.25">
      <c r="A43" s="72" t="s">
        <v>271</v>
      </c>
      <c r="B43" s="65"/>
      <c r="C43" s="65"/>
      <c r="D43" s="66">
        <v>30451.02088769617</v>
      </c>
      <c r="E43" s="66">
        <v>30452.650027195261</v>
      </c>
      <c r="F43" s="66">
        <v>28733.117297821511</v>
      </c>
      <c r="G43" s="66">
        <v>28917.283120376596</v>
      </c>
      <c r="H43" s="66">
        <v>28422.884888461362</v>
      </c>
      <c r="I43" s="66">
        <v>29292.725108370953</v>
      </c>
      <c r="J43" s="66">
        <v>30161.076787290378</v>
      </c>
      <c r="K43" s="66">
        <v>29855.941216281542</v>
      </c>
      <c r="L43" s="66">
        <v>28930.355568615923</v>
      </c>
      <c r="M43" s="66">
        <v>27930.446070579863</v>
      </c>
      <c r="N43" s="66">
        <v>27266.317590336464</v>
      </c>
      <c r="O43" s="66">
        <v>28640.796717458092</v>
      </c>
      <c r="P43" s="66">
        <v>28395.793518584756</v>
      </c>
      <c r="Q43" s="66">
        <v>30141.699993909744</v>
      </c>
      <c r="R43" s="66">
        <v>30070.11402381651</v>
      </c>
      <c r="S43" s="66">
        <v>32007</v>
      </c>
      <c r="T43" s="66">
        <v>31301.172935921288</v>
      </c>
      <c r="U43" s="66">
        <v>32736.489167526386</v>
      </c>
      <c r="V43" s="66">
        <v>31999.13414802133</v>
      </c>
      <c r="W43" s="66">
        <v>32761.534725594945</v>
      </c>
      <c r="X43" s="66">
        <v>31038.804394941668</v>
      </c>
      <c r="Y43" s="66">
        <v>33122.189674795227</v>
      </c>
    </row>
    <row r="44" spans="1:25" x14ac:dyDescent="0.25">
      <c r="A44" s="73" t="s">
        <v>272</v>
      </c>
      <c r="B44" s="65"/>
      <c r="C44" s="65"/>
      <c r="D44" s="66">
        <v>18141.007407773832</v>
      </c>
      <c r="E44" s="66">
        <v>17024.234000120869</v>
      </c>
      <c r="F44" s="66">
        <v>15155.994985453082</v>
      </c>
      <c r="G44" s="66">
        <v>14757.785868330126</v>
      </c>
      <c r="H44" s="66">
        <v>14926.022628372499</v>
      </c>
      <c r="I44" s="66">
        <v>15430.227073647327</v>
      </c>
      <c r="J44" s="66">
        <v>15112.53309796999</v>
      </c>
      <c r="K44" s="66">
        <v>15731.51997593649</v>
      </c>
      <c r="L44" s="66">
        <v>15923.974644221484</v>
      </c>
      <c r="M44" s="66">
        <v>15435.026119363923</v>
      </c>
      <c r="N44" s="66">
        <v>15056.249675981131</v>
      </c>
      <c r="O44" s="66">
        <v>16290.026598486565</v>
      </c>
      <c r="P44" s="66">
        <v>16353.769583746383</v>
      </c>
      <c r="Q44" s="66">
        <v>17958.139629306319</v>
      </c>
      <c r="R44" s="66">
        <v>18416.81927174496</v>
      </c>
      <c r="S44" s="66">
        <v>19595</v>
      </c>
      <c r="T44" s="66">
        <v>18852.532407453466</v>
      </c>
      <c r="U44" s="66">
        <v>20371.399095309895</v>
      </c>
      <c r="V44" s="66">
        <v>19611.547316842789</v>
      </c>
      <c r="W44" s="66">
        <v>20300.145701796988</v>
      </c>
      <c r="X44" s="66">
        <v>18825.502723280752</v>
      </c>
      <c r="Y44" s="66">
        <v>22143.963281526951</v>
      </c>
    </row>
    <row r="45" spans="1:25" x14ac:dyDescent="0.25">
      <c r="A45" s="74" t="s">
        <v>20</v>
      </c>
      <c r="B45" s="44"/>
      <c r="C45" s="44"/>
      <c r="D45" s="45">
        <v>3061.0950049107792</v>
      </c>
      <c r="E45" s="45">
        <v>3953.8358508561992</v>
      </c>
      <c r="F45" s="45">
        <v>4145.095701747402</v>
      </c>
      <c r="G45" s="45">
        <v>5112.8488127121964</v>
      </c>
      <c r="H45" s="45">
        <v>5141.9091185051257</v>
      </c>
      <c r="I45" s="45">
        <v>5228.0352500428689</v>
      </c>
      <c r="J45" s="45">
        <v>5748.8168340636239</v>
      </c>
      <c r="K45" s="45">
        <v>5865.366874712664</v>
      </c>
      <c r="L45" s="45">
        <v>5901.1353762093577</v>
      </c>
      <c r="M45" s="45">
        <v>5645.7289935926274</v>
      </c>
      <c r="N45" s="45">
        <v>6018.3395868008247</v>
      </c>
      <c r="O45" s="45">
        <v>6705.6775976832942</v>
      </c>
      <c r="P45" s="45">
        <v>6248.9517680368735</v>
      </c>
      <c r="Q45" s="45">
        <v>7353.7207364595688</v>
      </c>
      <c r="R45" s="45">
        <v>5845.4536425570486</v>
      </c>
      <c r="S45" s="45">
        <v>6617.7702557937464</v>
      </c>
      <c r="T45" s="45">
        <v>6292.2746489445954</v>
      </c>
      <c r="U45" s="45">
        <v>8044.5064746600892</v>
      </c>
      <c r="V45" s="45">
        <v>8130.3875848570979</v>
      </c>
      <c r="W45" s="45">
        <v>7792.1994012708365</v>
      </c>
      <c r="X45" s="45">
        <v>5167.5464369528718</v>
      </c>
      <c r="Y45" s="45">
        <v>6896.0656954031465</v>
      </c>
    </row>
    <row r="46" spans="1:25" x14ac:dyDescent="0.25">
      <c r="A46" s="74" t="s">
        <v>12</v>
      </c>
      <c r="B46" s="44"/>
      <c r="C46" s="44"/>
      <c r="D46" s="45">
        <v>15079.912402863052</v>
      </c>
      <c r="E46" s="45">
        <v>13070.398149264669</v>
      </c>
      <c r="F46" s="45">
        <v>11010.899283705679</v>
      </c>
      <c r="G46" s="45">
        <v>9644.9370556179292</v>
      </c>
      <c r="H46" s="45">
        <v>9784.1135098673731</v>
      </c>
      <c r="I46" s="45">
        <v>10202.191823604458</v>
      </c>
      <c r="J46" s="45">
        <v>9363.7162639063663</v>
      </c>
      <c r="K46" s="45">
        <v>9866.1531012238265</v>
      </c>
      <c r="L46" s="45">
        <v>10022.839268012125</v>
      </c>
      <c r="M46" s="45">
        <v>9789.2971257712961</v>
      </c>
      <c r="N46" s="45">
        <v>9037.9100891803064</v>
      </c>
      <c r="O46" s="45">
        <v>9584.3490008032713</v>
      </c>
      <c r="P46" s="45">
        <v>10104.81781570951</v>
      </c>
      <c r="Q46" s="45">
        <v>10604.41889284675</v>
      </c>
      <c r="R46" s="45">
        <v>12571.365629187912</v>
      </c>
      <c r="S46" s="45">
        <v>12977.229744206254</v>
      </c>
      <c r="T46" s="45">
        <v>12560.257758508869</v>
      </c>
      <c r="U46" s="45">
        <v>12326.892620649805</v>
      </c>
      <c r="V46" s="45">
        <v>11481.159731985692</v>
      </c>
      <c r="W46" s="45">
        <v>12507.946300526151</v>
      </c>
      <c r="X46" s="45">
        <v>13657.956286327881</v>
      </c>
      <c r="Y46" s="45">
        <v>15247.897586123803</v>
      </c>
    </row>
    <row r="47" spans="1:25" x14ac:dyDescent="0.25">
      <c r="A47" s="73" t="s">
        <v>11</v>
      </c>
      <c r="B47" s="65"/>
      <c r="C47" s="65"/>
      <c r="D47" s="66">
        <v>12310.013479922336</v>
      </c>
      <c r="E47" s="66">
        <v>13428.416027074394</v>
      </c>
      <c r="F47" s="66">
        <v>13577.122312368427</v>
      </c>
      <c r="G47" s="66">
        <v>14159.497252046473</v>
      </c>
      <c r="H47" s="66">
        <v>13496.862260088865</v>
      </c>
      <c r="I47" s="66">
        <v>13862.498034723625</v>
      </c>
      <c r="J47" s="66">
        <v>15048.543689320388</v>
      </c>
      <c r="K47" s="66">
        <v>14124.421240345053</v>
      </c>
      <c r="L47" s="66">
        <v>13006.380924394442</v>
      </c>
      <c r="M47" s="66">
        <v>12495.419951215938</v>
      </c>
      <c r="N47" s="66">
        <v>12210.067914355333</v>
      </c>
      <c r="O47" s="66">
        <v>12350.770118971524</v>
      </c>
      <c r="P47" s="66">
        <v>12042.023934838373</v>
      </c>
      <c r="Q47" s="66">
        <v>12183.560364603423</v>
      </c>
      <c r="R47" s="66">
        <v>11653.294752071552</v>
      </c>
      <c r="S47" s="66">
        <v>12412</v>
      </c>
      <c r="T47" s="66">
        <v>12448.640528467822</v>
      </c>
      <c r="U47" s="66">
        <v>12365.09007221649</v>
      </c>
      <c r="V47" s="66">
        <v>12387.586831178543</v>
      </c>
      <c r="W47" s="66">
        <v>12461.389023797959</v>
      </c>
      <c r="X47" s="66">
        <v>12213.301671660918</v>
      </c>
      <c r="Y47" s="66">
        <v>10978.22639326828</v>
      </c>
    </row>
    <row r="48" spans="1:25" x14ac:dyDescent="0.25">
      <c r="A48" s="72" t="s">
        <v>4</v>
      </c>
      <c r="B48" s="65"/>
      <c r="C48" s="65"/>
      <c r="D48" s="66">
        <v>9667.2066880201819</v>
      </c>
      <c r="E48" s="66">
        <v>9752.8252855502487</v>
      </c>
      <c r="F48" s="66">
        <v>9726.3287366653276</v>
      </c>
      <c r="G48" s="66">
        <v>9496.0925724091558</v>
      </c>
      <c r="H48" s="66">
        <v>9094.8651000870341</v>
      </c>
      <c r="I48" s="66">
        <v>9246.9060934797744</v>
      </c>
      <c r="J48" s="66">
        <v>9312.6654898499546</v>
      </c>
      <c r="K48" s="66">
        <v>9904.712795556843</v>
      </c>
      <c r="L48" s="66">
        <v>9277.528231392469</v>
      </c>
      <c r="M48" s="66">
        <v>8088.104435580959</v>
      </c>
      <c r="N48" s="66">
        <v>7913.3184716677915</v>
      </c>
      <c r="O48" s="66">
        <v>8302.2330357326973</v>
      </c>
      <c r="P48" s="66">
        <v>7919.3451133889976</v>
      </c>
      <c r="Q48" s="66">
        <v>7780.3041068637212</v>
      </c>
      <c r="R48" s="66">
        <v>7834.9639312417166</v>
      </c>
      <c r="S48" s="66">
        <v>7803</v>
      </c>
      <c r="T48" s="66">
        <v>7769.8299790085239</v>
      </c>
      <c r="U48" s="66">
        <v>7916.0384096500275</v>
      </c>
      <c r="V48" s="66">
        <v>7928.4491410354804</v>
      </c>
      <c r="W48" s="66">
        <v>8375.9106362311777</v>
      </c>
      <c r="X48" s="66">
        <v>7547.9165488777053</v>
      </c>
      <c r="Y48" s="66">
        <v>7547.9970893893314</v>
      </c>
    </row>
    <row r="49" spans="1:25" x14ac:dyDescent="0.25">
      <c r="A49" s="77" t="s">
        <v>10</v>
      </c>
      <c r="B49" s="44"/>
      <c r="C49" s="44"/>
      <c r="D49" s="45">
        <v>4067.1660296735167</v>
      </c>
      <c r="E49" s="45">
        <v>3892.5537995373156</v>
      </c>
      <c r="F49" s="45">
        <v>3669.0640296107513</v>
      </c>
      <c r="G49" s="45">
        <v>3740.6678554698078</v>
      </c>
      <c r="H49" s="45">
        <v>3639.1053561062417</v>
      </c>
      <c r="I49" s="45">
        <v>3777.4856437669137</v>
      </c>
      <c r="J49" s="45">
        <v>4003.094914660518</v>
      </c>
      <c r="K49" s="45">
        <v>4253.6458284884802</v>
      </c>
      <c r="L49" s="45">
        <v>3941.3511092456661</v>
      </c>
      <c r="M49" s="45">
        <v>3727.0406053984552</v>
      </c>
      <c r="N49" s="45">
        <v>3449.0735932261259</v>
      </c>
      <c r="O49" s="45">
        <v>3692.1970401497183</v>
      </c>
      <c r="P49" s="45">
        <v>3357.5123116560189</v>
      </c>
      <c r="Q49" s="45">
        <v>3208.3380397112146</v>
      </c>
      <c r="R49" s="45">
        <v>3483.8411298166639</v>
      </c>
      <c r="S49" s="45">
        <v>3408.0544470399691</v>
      </c>
      <c r="T49" s="45">
        <v>3399.2515371982686</v>
      </c>
      <c r="U49" s="45">
        <v>3554.0707582554396</v>
      </c>
      <c r="V49" s="45">
        <v>3533.4195995963109</v>
      </c>
      <c r="W49" s="45">
        <v>3336.9933119545149</v>
      </c>
      <c r="X49" s="45">
        <v>3351.1345649522555</v>
      </c>
      <c r="Y49" s="45">
        <v>3496.1384413994119</v>
      </c>
    </row>
    <row r="50" spans="1:25" x14ac:dyDescent="0.25">
      <c r="A50" s="77" t="s">
        <v>18</v>
      </c>
      <c r="B50" s="44"/>
      <c r="C50" s="44"/>
      <c r="D50" s="45">
        <v>3787.8767266934115</v>
      </c>
      <c r="E50" s="45">
        <v>3562.992213135647</v>
      </c>
      <c r="F50" s="45">
        <v>3708.2536983275177</v>
      </c>
      <c r="G50" s="45">
        <v>3453.2868221846988</v>
      </c>
      <c r="H50" s="45">
        <v>3188.0301390560653</v>
      </c>
      <c r="I50" s="45">
        <v>3126.012806806606</v>
      </c>
      <c r="J50" s="45">
        <v>3134.3676270133187</v>
      </c>
      <c r="K50" s="45">
        <v>3231.0716242526964</v>
      </c>
      <c r="L50" s="45">
        <v>2744.4587283599485</v>
      </c>
      <c r="M50" s="45">
        <v>2134.4361955452991</v>
      </c>
      <c r="N50" s="45">
        <v>2402.3961023901966</v>
      </c>
      <c r="O50" s="45">
        <v>2694.6664540993943</v>
      </c>
      <c r="P50" s="45">
        <v>2480.1214003285213</v>
      </c>
      <c r="Q50" s="45">
        <v>2458.2559855054801</v>
      </c>
      <c r="R50" s="45">
        <v>2325.8608602766431</v>
      </c>
      <c r="S50" s="45">
        <v>2445.1705820701095</v>
      </c>
      <c r="T50" s="45">
        <v>2406.7951119215668</v>
      </c>
      <c r="U50" s="45">
        <v>2528.4936832237486</v>
      </c>
      <c r="V50" s="45">
        <v>2969.5375164785146</v>
      </c>
      <c r="W50" s="45">
        <v>2859.7079834607798</v>
      </c>
      <c r="X50" s="45">
        <v>2262.056320643017</v>
      </c>
      <c r="Y50" s="45">
        <v>2408.9044712115692</v>
      </c>
    </row>
    <row r="51" spans="1:25" x14ac:dyDescent="0.25">
      <c r="A51" s="77" t="s">
        <v>9</v>
      </c>
      <c r="B51" s="44"/>
      <c r="C51" s="44"/>
      <c r="D51" s="45">
        <v>1812.1639316532533</v>
      </c>
      <c r="E51" s="45">
        <v>2297.2792728772856</v>
      </c>
      <c r="F51" s="45">
        <v>2349.0110087270587</v>
      </c>
      <c r="G51" s="45">
        <v>2302.1378947546486</v>
      </c>
      <c r="H51" s="45">
        <v>2267.729604924727</v>
      </c>
      <c r="I51" s="45">
        <v>2343.4076429062552</v>
      </c>
      <c r="J51" s="45">
        <v>2175.2029481761178</v>
      </c>
      <c r="K51" s="45">
        <v>2419.9953428156664</v>
      </c>
      <c r="L51" s="45">
        <v>2591.718393786854</v>
      </c>
      <c r="M51" s="45">
        <v>2226.6276346372047</v>
      </c>
      <c r="N51" s="45">
        <v>2061.848776051469</v>
      </c>
      <c r="O51" s="45">
        <v>1915.3695414835847</v>
      </c>
      <c r="P51" s="45">
        <v>2081.7114014044573</v>
      </c>
      <c r="Q51" s="45">
        <v>2113.710081647027</v>
      </c>
      <c r="R51" s="45">
        <v>2025.2619411484097</v>
      </c>
      <c r="S51" s="45">
        <v>1949.7749708899214</v>
      </c>
      <c r="T51" s="45">
        <v>1963.783329888689</v>
      </c>
      <c r="U51" s="45">
        <v>1833.4739681708393</v>
      </c>
      <c r="V51" s="45">
        <v>1425.4920249606548</v>
      </c>
      <c r="W51" s="45">
        <v>2179.209340815883</v>
      </c>
      <c r="X51" s="45">
        <v>1934.7256632824328</v>
      </c>
      <c r="Y51" s="45">
        <v>1642.9541767783503</v>
      </c>
    </row>
    <row r="52" spans="1:25" x14ac:dyDescent="0.25">
      <c r="A52" s="72" t="s">
        <v>3</v>
      </c>
      <c r="B52" s="65"/>
      <c r="C52" s="65"/>
      <c r="D52" s="66">
        <v>13013.690159656697</v>
      </c>
      <c r="E52" s="66">
        <v>13233.81881912129</v>
      </c>
      <c r="F52" s="66">
        <v>12729.143505925207</v>
      </c>
      <c r="G52" s="66">
        <v>12075.922361616771</v>
      </c>
      <c r="H52" s="66">
        <v>11909.669735696945</v>
      </c>
      <c r="I52" s="66">
        <v>11260.472115535791</v>
      </c>
      <c r="J52" s="66">
        <v>10580.317740511915</v>
      </c>
      <c r="K52" s="66">
        <v>10225.917689902994</v>
      </c>
      <c r="L52" s="66">
        <v>9596.5744511145622</v>
      </c>
      <c r="M52" s="66">
        <v>8843.9433434879556</v>
      </c>
      <c r="N52" s="66">
        <v>8369.5370418373168</v>
      </c>
      <c r="O52" s="66">
        <v>8579.5583414090997</v>
      </c>
      <c r="P52" s="66">
        <v>8479.3917158070071</v>
      </c>
      <c r="Q52" s="66">
        <v>8150.7947786191362</v>
      </c>
      <c r="R52" s="66">
        <v>8350.9545827052079</v>
      </c>
      <c r="S52" s="66">
        <v>8172</v>
      </c>
      <c r="T52" s="66">
        <v>8223.4845846971148</v>
      </c>
      <c r="U52" s="66">
        <v>8128.3231489564314</v>
      </c>
      <c r="V52" s="66">
        <v>8148.8478265147478</v>
      </c>
      <c r="W52" s="66">
        <v>7996.1146187469649</v>
      </c>
      <c r="X52" s="66">
        <v>7115.3954882116814</v>
      </c>
      <c r="Y52" s="66">
        <v>6969.6065078269312</v>
      </c>
    </row>
    <row r="53" spans="1:25" x14ac:dyDescent="0.25">
      <c r="A53" s="73" t="s">
        <v>21</v>
      </c>
      <c r="B53" s="65"/>
      <c r="C53" s="65"/>
      <c r="D53" s="66">
        <v>6606.3986346941047</v>
      </c>
      <c r="E53" s="66">
        <v>6983.7432767268992</v>
      </c>
      <c r="F53" s="66">
        <v>6604.0636752844339</v>
      </c>
      <c r="G53" s="66">
        <v>6177.6778053474945</v>
      </c>
      <c r="H53" s="66">
        <v>6005.2219321148823</v>
      </c>
      <c r="I53" s="66">
        <v>5476.9445005951975</v>
      </c>
      <c r="J53" s="66">
        <v>4975.7281553398061</v>
      </c>
      <c r="K53" s="66">
        <v>5036.1489789122006</v>
      </c>
      <c r="L53" s="66">
        <v>4654.506527853574</v>
      </c>
      <c r="M53" s="66">
        <v>4358.1127058404782</v>
      </c>
      <c r="N53" s="66">
        <v>4051.0135310280475</v>
      </c>
      <c r="O53" s="66">
        <v>4303.1815088970907</v>
      </c>
      <c r="P53" s="66">
        <v>4381.2404827846985</v>
      </c>
      <c r="Q53" s="66">
        <v>4127.164579061694</v>
      </c>
      <c r="R53" s="66">
        <v>4273.6166897682087</v>
      </c>
      <c r="S53" s="66">
        <v>4385</v>
      </c>
      <c r="T53" s="66">
        <v>4452.9781032064229</v>
      </c>
      <c r="U53" s="66">
        <v>4349.853186255059</v>
      </c>
      <c r="V53" s="66">
        <v>4492.5910620461655</v>
      </c>
      <c r="W53" s="66">
        <v>4404.0796503156871</v>
      </c>
      <c r="X53" s="66">
        <v>4090.5749985865323</v>
      </c>
      <c r="Y53" s="66">
        <v>4033.8078623803572</v>
      </c>
    </row>
    <row r="54" spans="1:25" x14ac:dyDescent="0.25">
      <c r="A54" s="74" t="s">
        <v>8</v>
      </c>
      <c r="B54" s="44"/>
      <c r="C54" s="44"/>
      <c r="D54" s="45">
        <v>378.93538639118935</v>
      </c>
      <c r="E54" s="45">
        <v>396.91317650732202</v>
      </c>
      <c r="F54" s="45">
        <v>363.3533555433508</v>
      </c>
      <c r="G54" s="45">
        <v>336.13908650976731</v>
      </c>
      <c r="H54" s="45">
        <v>325.93209515464548</v>
      </c>
      <c r="I54" s="45">
        <v>295.16247856476343</v>
      </c>
      <c r="J54" s="45">
        <v>267.8147462022979</v>
      </c>
      <c r="K54" s="45">
        <v>256.41227677533681</v>
      </c>
      <c r="L54" s="45">
        <v>244.97402778176706</v>
      </c>
      <c r="M54" s="45">
        <v>29.12807097544648</v>
      </c>
      <c r="N54" s="45">
        <v>139.83519529671531</v>
      </c>
      <c r="O54" s="45">
        <v>151.64216836735136</v>
      </c>
      <c r="P54" s="45">
        <v>115.31673803421612</v>
      </c>
      <c r="Q54" s="45">
        <v>93.835998288059926</v>
      </c>
      <c r="R54" s="45">
        <v>87.648077078412626</v>
      </c>
      <c r="S54" s="45">
        <v>105.93783837640026</v>
      </c>
      <c r="T54" s="45">
        <v>76.200753226881659</v>
      </c>
      <c r="U54" s="45">
        <v>80.059261312300848</v>
      </c>
      <c r="V54" s="45">
        <v>185.71782196543609</v>
      </c>
      <c r="W54" s="45">
        <v>70.753505507470592</v>
      </c>
      <c r="X54" s="45">
        <v>136.1521106715908</v>
      </c>
      <c r="Y54" s="45">
        <v>142.00875709967801</v>
      </c>
    </row>
    <row r="55" spans="1:25" x14ac:dyDescent="0.25">
      <c r="A55" s="74" t="s">
        <v>17</v>
      </c>
      <c r="B55" s="44"/>
      <c r="C55" s="44"/>
      <c r="D55" s="45">
        <v>6227.4632483029154</v>
      </c>
      <c r="E55" s="45">
        <v>6586.8301002195776</v>
      </c>
      <c r="F55" s="45">
        <v>6240.7103197410834</v>
      </c>
      <c r="G55" s="45">
        <v>5841.5387188377272</v>
      </c>
      <c r="H55" s="45">
        <v>5679.2898369602372</v>
      </c>
      <c r="I55" s="45">
        <v>5181.7820220304338</v>
      </c>
      <c r="J55" s="45">
        <v>4707.9134091375081</v>
      </c>
      <c r="K55" s="45">
        <v>4779.7367021368636</v>
      </c>
      <c r="L55" s="45">
        <v>4409.5325000718067</v>
      </c>
      <c r="M55" s="45">
        <v>4328.9846348650317</v>
      </c>
      <c r="N55" s="45">
        <v>3911.178335731332</v>
      </c>
      <c r="O55" s="45">
        <v>4151.5393405297391</v>
      </c>
      <c r="P55" s="45">
        <v>4265.923744750482</v>
      </c>
      <c r="Q55" s="45">
        <v>4033.3285807736343</v>
      </c>
      <c r="R55" s="45">
        <v>4185.9686126897959</v>
      </c>
      <c r="S55" s="45">
        <v>4279.0621616235994</v>
      </c>
      <c r="T55" s="45">
        <v>4376.7773499795412</v>
      </c>
      <c r="U55" s="45">
        <v>4269.7939249427582</v>
      </c>
      <c r="V55" s="45">
        <v>4306.8732400807294</v>
      </c>
      <c r="W55" s="45">
        <v>4333.3261448082167</v>
      </c>
      <c r="X55" s="45">
        <v>3954.4228879149414</v>
      </c>
      <c r="Y55" s="45">
        <v>3891.7991052806792</v>
      </c>
    </row>
    <row r="56" spans="1:25" x14ac:dyDescent="0.25">
      <c r="A56" s="73" t="s">
        <v>16</v>
      </c>
      <c r="B56" s="65"/>
      <c r="C56" s="65"/>
      <c r="D56" s="66">
        <v>6407.2915249625921</v>
      </c>
      <c r="E56" s="66">
        <v>6250.0755423943911</v>
      </c>
      <c r="F56" s="66">
        <v>6125.0798306407733</v>
      </c>
      <c r="G56" s="66">
        <v>5898.2445562692765</v>
      </c>
      <c r="H56" s="66">
        <v>5904.447803582063</v>
      </c>
      <c r="I56" s="66">
        <v>5783.5276149405936</v>
      </c>
      <c r="J56" s="66">
        <v>5604.5895851721089</v>
      </c>
      <c r="K56" s="66">
        <v>5189.7687109907929</v>
      </c>
      <c r="L56" s="66">
        <v>4942.0679232609882</v>
      </c>
      <c r="M56" s="66">
        <v>4485.8306376474775</v>
      </c>
      <c r="N56" s="66">
        <v>4318.5235108092693</v>
      </c>
      <c r="O56" s="66">
        <v>4276.3768325120091</v>
      </c>
      <c r="P56" s="66">
        <v>4098.1512330223086</v>
      </c>
      <c r="Q56" s="66">
        <v>4023.6301995574422</v>
      </c>
      <c r="R56" s="66">
        <v>4077.3378929369992</v>
      </c>
      <c r="S56" s="66">
        <v>3787</v>
      </c>
      <c r="T56" s="66">
        <v>3770.5064814906918</v>
      </c>
      <c r="U56" s="66">
        <v>3778.4699627013724</v>
      </c>
      <c r="V56" s="66">
        <v>3656.2567644685823</v>
      </c>
      <c r="W56" s="66">
        <v>3592.0349684312778</v>
      </c>
      <c r="X56" s="66">
        <v>3024.8204896251491</v>
      </c>
      <c r="Y56" s="66">
        <v>2935.798645446574</v>
      </c>
    </row>
    <row r="57" spans="1:25" x14ac:dyDescent="0.25">
      <c r="A57" s="72" t="s">
        <v>2</v>
      </c>
      <c r="B57" s="65"/>
      <c r="C57" s="65"/>
      <c r="D57" s="66">
        <v>42378.897119748704</v>
      </c>
      <c r="E57" s="66">
        <v>41394.81477004895</v>
      </c>
      <c r="F57" s="66">
        <v>42653.215696477986</v>
      </c>
      <c r="G57" s="66">
        <v>43243.744637432465</v>
      </c>
      <c r="H57" s="66">
        <v>44480.326141725069</v>
      </c>
      <c r="I57" s="66">
        <v>42519.596612986541</v>
      </c>
      <c r="J57" s="66">
        <v>40979.699911738746</v>
      </c>
      <c r="K57" s="66">
        <v>41706.145863547004</v>
      </c>
      <c r="L57" s="66">
        <v>40381.386171865161</v>
      </c>
      <c r="M57" s="66">
        <v>39653.277221192802</v>
      </c>
      <c r="N57" s="66">
        <v>38412.566747887402</v>
      </c>
      <c r="O57" s="66">
        <v>40362.687890471963</v>
      </c>
      <c r="P57" s="66">
        <v>40834.3467996607</v>
      </c>
      <c r="Q57" s="66">
        <v>42204.470249091537</v>
      </c>
      <c r="R57" s="66">
        <v>43329.050273677392</v>
      </c>
      <c r="S57" s="66">
        <v>43787</v>
      </c>
      <c r="T57" s="66">
        <v>44365.629694479539</v>
      </c>
      <c r="U57" s="66">
        <v>44469.68494563923</v>
      </c>
      <c r="V57" s="66">
        <v>43966.585985005018</v>
      </c>
      <c r="W57" s="66">
        <v>44891.694997571634</v>
      </c>
      <c r="X57" s="66">
        <v>43571.549725787299</v>
      </c>
      <c r="Y57" s="66">
        <v>40619.810810306546</v>
      </c>
    </row>
    <row r="58" spans="1:25" x14ac:dyDescent="0.25">
      <c r="A58" s="72" t="s">
        <v>275</v>
      </c>
      <c r="B58" s="65"/>
      <c r="C58" s="65"/>
      <c r="D58" s="66">
        <v>31176.957989636536</v>
      </c>
      <c r="E58" s="66">
        <v>31536.834471505408</v>
      </c>
      <c r="F58" s="66">
        <v>32382.855926390235</v>
      </c>
      <c r="G58" s="66">
        <v>30550.982074530995</v>
      </c>
      <c r="H58" s="66">
        <v>29801.658192478586</v>
      </c>
      <c r="I58" s="66">
        <v>29770.006513487409</v>
      </c>
      <c r="J58" s="66">
        <v>29289.496910856134</v>
      </c>
      <c r="K58" s="66">
        <v>28912.737546596192</v>
      </c>
      <c r="L58" s="66">
        <v>27845.178623903277</v>
      </c>
      <c r="M58" s="66">
        <v>24639.092155815877</v>
      </c>
      <c r="N58" s="66">
        <v>26663.901705635337</v>
      </c>
      <c r="O58" s="66">
        <v>25295.366914781745</v>
      </c>
      <c r="P58" s="66">
        <v>26677.840345838995</v>
      </c>
      <c r="Q58" s="66">
        <v>26755.516758358877</v>
      </c>
      <c r="R58" s="66">
        <v>27352.563259442122</v>
      </c>
      <c r="S58" s="66">
        <v>29917</v>
      </c>
      <c r="T58" s="66">
        <v>29998.905657749438</v>
      </c>
      <c r="U58" s="66">
        <v>30110.705499563526</v>
      </c>
      <c r="V58" s="66">
        <v>32119.172717791291</v>
      </c>
      <c r="W58" s="66">
        <v>33320.058280718797</v>
      </c>
      <c r="X58" s="66">
        <v>21427.225269029983</v>
      </c>
      <c r="Y58" s="66">
        <v>21453.626135791183</v>
      </c>
    </row>
    <row r="59" spans="1:25" x14ac:dyDescent="0.25">
      <c r="A59" s="72" t="s">
        <v>276</v>
      </c>
      <c r="B59" s="65"/>
      <c r="C59" s="65"/>
      <c r="D59" s="66">
        <v>67541.831043395447</v>
      </c>
      <c r="E59" s="66">
        <v>66407.203722729202</v>
      </c>
      <c r="F59" s="66">
        <v>63667.005700499096</v>
      </c>
      <c r="G59" s="66">
        <v>59963.360619622938</v>
      </c>
      <c r="H59" s="66">
        <v>60275.52562869314</v>
      </c>
      <c r="I59" s="66">
        <v>57900.411023515931</v>
      </c>
      <c r="J59" s="66">
        <v>57454.766107678726</v>
      </c>
      <c r="K59" s="66">
        <v>58378.720981447463</v>
      </c>
      <c r="L59" s="66">
        <v>55693.505730238016</v>
      </c>
      <c r="M59" s="66">
        <v>49616.322770432249</v>
      </c>
      <c r="N59" s="66">
        <v>50474.363626937637</v>
      </c>
      <c r="O59" s="66">
        <v>51347.450462896137</v>
      </c>
      <c r="P59" s="66">
        <v>51235.066275587888</v>
      </c>
      <c r="Q59" s="66">
        <v>50658.762865669218</v>
      </c>
      <c r="R59" s="66">
        <v>50508.402553647851</v>
      </c>
      <c r="S59" s="66">
        <v>50066</v>
      </c>
      <c r="T59" s="66">
        <v>49831.371807753916</v>
      </c>
      <c r="U59" s="66">
        <v>50164.669470676927</v>
      </c>
      <c r="V59" s="66">
        <v>50207.60769033985</v>
      </c>
      <c r="W59" s="66">
        <v>51833.89995143273</v>
      </c>
      <c r="X59" s="66">
        <v>46096.945025536654</v>
      </c>
      <c r="Y59" s="66">
        <v>46496.072541373585</v>
      </c>
    </row>
    <row r="60" spans="1:25" x14ac:dyDescent="0.25">
      <c r="A60" s="72" t="s">
        <v>1</v>
      </c>
      <c r="B60" s="65"/>
      <c r="C60" s="65"/>
      <c r="D60" s="66">
        <v>9895.994360693041</v>
      </c>
      <c r="E60" s="66">
        <v>9660.9657339699042</v>
      </c>
      <c r="F60" s="66">
        <v>9226.0567211486141</v>
      </c>
      <c r="G60" s="66">
        <v>8823.5976161213275</v>
      </c>
      <c r="H60" s="66">
        <v>8121.4786313041086</v>
      </c>
      <c r="I60" s="66">
        <v>7307.4590661006669</v>
      </c>
      <c r="J60" s="66">
        <v>6824.8014121800525</v>
      </c>
      <c r="K60" s="66">
        <v>6847.3578480346341</v>
      </c>
      <c r="L60" s="66">
        <v>6326.3506989630996</v>
      </c>
      <c r="M60" s="66">
        <v>5366.2468724809733</v>
      </c>
      <c r="N60" s="66">
        <v>5117.9428689926908</v>
      </c>
      <c r="O60" s="66">
        <v>5428.9779170704551</v>
      </c>
      <c r="P60" s="66">
        <v>5572.8724871996646</v>
      </c>
      <c r="Q60" s="66">
        <v>5353.3364461316714</v>
      </c>
      <c r="R60" s="66">
        <v>5107.2957031131436</v>
      </c>
      <c r="S60" s="66">
        <v>5246</v>
      </c>
      <c r="T60" s="66">
        <v>5204.0948297302948</v>
      </c>
      <c r="U60" s="66">
        <v>5331.9181017379569</v>
      </c>
      <c r="V60" s="66">
        <v>5466.6745380482907</v>
      </c>
      <c r="W60" s="66">
        <v>5678.4847013113158</v>
      </c>
      <c r="X60" s="66">
        <v>5207.2143382145077</v>
      </c>
      <c r="Y60" s="66">
        <v>5428.4754743735657</v>
      </c>
    </row>
    <row r="61" spans="1:25" x14ac:dyDescent="0.25">
      <c r="A61" s="72" t="s">
        <v>0</v>
      </c>
      <c r="B61" s="65"/>
      <c r="C61" s="65"/>
      <c r="D61" s="66">
        <v>4065.0004328415425</v>
      </c>
      <c r="E61" s="66">
        <v>3913.7003686468847</v>
      </c>
      <c r="F61" s="66">
        <v>3934.763583035693</v>
      </c>
      <c r="G61" s="66">
        <v>4117.2923961690976</v>
      </c>
      <c r="H61" s="66">
        <v>3643.9008749026616</v>
      </c>
      <c r="I61" s="66">
        <v>3357.8150618781301</v>
      </c>
      <c r="J61" s="66">
        <v>3380.406001765225</v>
      </c>
      <c r="K61" s="66">
        <v>3631.0118491303833</v>
      </c>
      <c r="L61" s="66">
        <v>3678.4769740984843</v>
      </c>
      <c r="M61" s="66">
        <v>3339.5098562649832</v>
      </c>
      <c r="N61" s="66">
        <v>2976.8261703561616</v>
      </c>
      <c r="O61" s="66">
        <v>3403.1629518134391</v>
      </c>
      <c r="P61" s="66">
        <v>3263.1912436509315</v>
      </c>
      <c r="Q61" s="66">
        <v>3248.1373962118596</v>
      </c>
      <c r="R61" s="66">
        <v>2936.0879814648065</v>
      </c>
      <c r="S61" s="66">
        <v>2919</v>
      </c>
      <c r="T61" s="66">
        <v>2945.7703672015682</v>
      </c>
      <c r="U61" s="66">
        <v>3079.1207047059756</v>
      </c>
      <c r="V61" s="66">
        <v>3007.851703170199</v>
      </c>
      <c r="W61" s="66">
        <v>3195.7260806216609</v>
      </c>
      <c r="X61" s="66">
        <v>3232.1290590075573</v>
      </c>
      <c r="Y61" s="66">
        <v>3834.1698229378508</v>
      </c>
    </row>
    <row r="62" spans="1:25" x14ac:dyDescent="0.25">
      <c r="A62" s="78" t="s">
        <v>277</v>
      </c>
      <c r="B62" s="79"/>
      <c r="C62" s="79"/>
      <c r="D62" s="80">
        <v>24078.356686165149</v>
      </c>
      <c r="E62" s="80">
        <v>25087.327007916843</v>
      </c>
      <c r="F62" s="80">
        <v>24622.134967003334</v>
      </c>
      <c r="G62" s="80">
        <v>24721.146487953065</v>
      </c>
      <c r="H62" s="80">
        <v>24390.774586597043</v>
      </c>
      <c r="I62" s="80">
        <v>23496.844327650877</v>
      </c>
      <c r="J62" s="80">
        <v>22962.268314210061</v>
      </c>
      <c r="K62" s="80">
        <v>22381.213273604262</v>
      </c>
      <c r="L62" s="80">
        <v>20697.074010327022</v>
      </c>
      <c r="M62" s="80">
        <v>19482.218942034902</v>
      </c>
      <c r="N62" s="80">
        <v>18104.619213022968</v>
      </c>
      <c r="O62" s="80">
        <v>18699.354625868575</v>
      </c>
      <c r="P62" s="80">
        <v>18419.196925875582</v>
      </c>
      <c r="Q62" s="80">
        <v>18345.886030979109</v>
      </c>
      <c r="R62" s="80">
        <v>18348.020518216494</v>
      </c>
      <c r="S62" s="80">
        <v>18346</v>
      </c>
      <c r="T62" s="80">
        <v>18261.587592148593</v>
      </c>
      <c r="U62" s="80">
        <v>17708.911991111814</v>
      </c>
      <c r="V62" s="80">
        <v>18230.119841785228</v>
      </c>
      <c r="W62" s="80">
        <v>18307.91646430306</v>
      </c>
      <c r="X62" s="80">
        <v>15835.547765779011</v>
      </c>
      <c r="Y62" s="80">
        <v>15393.585461872866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2.3392174410653069E-2</v>
      </c>
      <c r="E66" s="83">
        <f t="shared" ref="E66:S66" si="49">E24/E$23</f>
        <v>2.3417359336886275E-2</v>
      </c>
      <c r="F66" s="83">
        <f t="shared" si="49"/>
        <v>2.2324537483743759E-2</v>
      </c>
      <c r="G66" s="83">
        <f t="shared" si="49"/>
        <v>2.0534523795749209E-2</v>
      </c>
      <c r="H66" s="83">
        <f t="shared" si="49"/>
        <v>2.0264371790773086E-2</v>
      </c>
      <c r="I66" s="83">
        <f t="shared" si="49"/>
        <v>1.8705807065825603E-2</v>
      </c>
      <c r="J66" s="83">
        <f t="shared" si="49"/>
        <v>1.6962593323275696E-2</v>
      </c>
      <c r="K66" s="83">
        <f t="shared" si="49"/>
        <v>1.7970607949902209E-2</v>
      </c>
      <c r="L66" s="83">
        <f t="shared" si="49"/>
        <v>1.6838975794913558E-2</v>
      </c>
      <c r="M66" s="83">
        <f t="shared" si="49"/>
        <v>1.4640080405593423E-2</v>
      </c>
      <c r="N66" s="83">
        <f t="shared" si="49"/>
        <v>1.7802412962581834E-2</v>
      </c>
      <c r="O66" s="83">
        <f t="shared" si="49"/>
        <v>1.8375696411792167E-2</v>
      </c>
      <c r="P66" s="83">
        <f t="shared" si="49"/>
        <v>1.8175516243851067E-2</v>
      </c>
      <c r="Q66" s="83">
        <f t="shared" si="49"/>
        <v>1.6255044501092459E-2</v>
      </c>
      <c r="R66" s="83">
        <f t="shared" si="49"/>
        <v>1.7360667901599704E-2</v>
      </c>
      <c r="S66" s="83">
        <f t="shared" si="49"/>
        <v>1.7941351972537264E-2</v>
      </c>
      <c r="T66" s="83">
        <f t="shared" ref="T66:Y66" si="50">T24/T$23</f>
        <v>1.6079307288197557E-2</v>
      </c>
      <c r="U66" s="83">
        <f t="shared" si="50"/>
        <v>1.7317089978197857E-2</v>
      </c>
      <c r="V66" s="83">
        <f t="shared" si="50"/>
        <v>1.8540563429871013E-2</v>
      </c>
      <c r="W66" s="83">
        <f t="shared" si="50"/>
        <v>1.7108067279807161E-2</v>
      </c>
      <c r="X66" s="83">
        <f t="shared" si="50"/>
        <v>1.7695872670921538E-2</v>
      </c>
      <c r="Y66" s="83">
        <f t="shared" si="50"/>
        <v>1.824551752746522E-2</v>
      </c>
    </row>
    <row r="67" spans="1:25" x14ac:dyDescent="0.25">
      <c r="A67" s="64" t="s">
        <v>56</v>
      </c>
      <c r="B67" s="65"/>
      <c r="C67" s="65"/>
      <c r="D67" s="83">
        <f t="shared" si="46"/>
        <v>1.4935827211855774E-3</v>
      </c>
      <c r="E67" s="83">
        <f t="shared" ref="E67:S67" si="51">E25/E$23</f>
        <v>1.4436249291915699E-3</v>
      </c>
      <c r="F67" s="83">
        <f t="shared" si="51"/>
        <v>1.4242564081050468E-3</v>
      </c>
      <c r="G67" s="83">
        <f t="shared" si="51"/>
        <v>1.2761760728216697E-3</v>
      </c>
      <c r="H67" s="83">
        <f t="shared" si="51"/>
        <v>1.1874547364437687E-3</v>
      </c>
      <c r="I67" s="83">
        <f t="shared" si="51"/>
        <v>1.2546616354104604E-3</v>
      </c>
      <c r="J67" s="83">
        <f t="shared" si="51"/>
        <v>1.321878263896948E-3</v>
      </c>
      <c r="K67" s="83">
        <f t="shared" si="51"/>
        <v>1.3790435876481768E-3</v>
      </c>
      <c r="L67" s="83">
        <f t="shared" si="51"/>
        <v>1.3247397235059029E-3</v>
      </c>
      <c r="M67" s="83">
        <f t="shared" si="51"/>
        <v>1.2536233084798989E-3</v>
      </c>
      <c r="N67" s="83">
        <f t="shared" si="51"/>
        <v>1.2515366088364046E-3</v>
      </c>
      <c r="O67" s="83">
        <f t="shared" si="51"/>
        <v>1.2117389373374093E-3</v>
      </c>
      <c r="P67" s="83">
        <f t="shared" si="51"/>
        <v>1.1811286043752417E-3</v>
      </c>
      <c r="Q67" s="83">
        <f t="shared" si="51"/>
        <v>1.1111456169226794E-3</v>
      </c>
      <c r="R67" s="83">
        <f t="shared" si="51"/>
        <v>1.1332326707243039E-3</v>
      </c>
      <c r="S67" s="83">
        <f t="shared" si="51"/>
        <v>9.8807298321800722E-4</v>
      </c>
      <c r="T67" s="83">
        <f t="shared" ref="T67:Y67" si="52">T25/T$23</f>
        <v>9.2798942302395348E-4</v>
      </c>
      <c r="U67" s="83">
        <f t="shared" si="52"/>
        <v>9.1245468882949219E-4</v>
      </c>
      <c r="V67" s="83">
        <f t="shared" si="52"/>
        <v>9.0733048811240035E-4</v>
      </c>
      <c r="W67" s="83">
        <f t="shared" si="52"/>
        <v>8.7771502750465713E-4</v>
      </c>
      <c r="X67" s="83">
        <f t="shared" si="52"/>
        <v>8.4394956797129226E-4</v>
      </c>
      <c r="Y67" s="83">
        <f t="shared" si="52"/>
        <v>8.2378748357046718E-4</v>
      </c>
    </row>
    <row r="68" spans="1:25" x14ac:dyDescent="0.25">
      <c r="A68" s="64" t="s">
        <v>146</v>
      </c>
      <c r="B68" s="65"/>
      <c r="C68" s="65"/>
      <c r="D68" s="83">
        <f t="shared" si="46"/>
        <v>0.75837812447930064</v>
      </c>
      <c r="E68" s="83">
        <f t="shared" ref="E68:S68" si="53">E26/E$23</f>
        <v>0.76261112588293778</v>
      </c>
      <c r="F68" s="83">
        <f t="shared" si="53"/>
        <v>0.76707499545524449</v>
      </c>
      <c r="G68" s="83">
        <f t="shared" si="53"/>
        <v>0.77276647066870952</v>
      </c>
      <c r="H68" s="83">
        <f t="shared" si="53"/>
        <v>0.77525331280298038</v>
      </c>
      <c r="I68" s="83">
        <f t="shared" si="53"/>
        <v>0.77978859897168162</v>
      </c>
      <c r="J68" s="83">
        <f t="shared" si="53"/>
        <v>0.78461846253529832</v>
      </c>
      <c r="K68" s="83">
        <f t="shared" si="53"/>
        <v>0.78606460098983522</v>
      </c>
      <c r="L68" s="83">
        <f t="shared" si="53"/>
        <v>0.79118085904490465</v>
      </c>
      <c r="M68" s="83">
        <f t="shared" si="53"/>
        <v>0.80062761159618701</v>
      </c>
      <c r="N68" s="83">
        <f t="shared" si="53"/>
        <v>0.80250974807958664</v>
      </c>
      <c r="O68" s="83">
        <f t="shared" si="53"/>
        <v>0.80010797459459471</v>
      </c>
      <c r="P68" s="83">
        <f t="shared" si="53"/>
        <v>0.80166584458693813</v>
      </c>
      <c r="Q68" s="83">
        <f t="shared" si="53"/>
        <v>0.80200606261260787</v>
      </c>
      <c r="R68" s="83">
        <f t="shared" si="53"/>
        <v>0.80307903052567686</v>
      </c>
      <c r="S68" s="83">
        <f t="shared" si="53"/>
        <v>0.80299125880701372</v>
      </c>
      <c r="T68" s="83">
        <f t="shared" ref="T68:Y68" si="54">T26/T$23</f>
        <v>0.80719104162180288</v>
      </c>
      <c r="U68" s="83">
        <f t="shared" si="54"/>
        <v>0.80754243745140208</v>
      </c>
      <c r="V68" s="83">
        <f t="shared" si="54"/>
        <v>0.80656066077639321</v>
      </c>
      <c r="W68" s="83">
        <f t="shared" si="54"/>
        <v>0.80544644301836255</v>
      </c>
      <c r="X68" s="83">
        <f t="shared" si="54"/>
        <v>0.81183114821610536</v>
      </c>
      <c r="Y68" s="83">
        <f t="shared" si="54"/>
        <v>0.81413785251633952</v>
      </c>
    </row>
    <row r="69" spans="1:25" x14ac:dyDescent="0.25">
      <c r="A69" s="68" t="s">
        <v>148</v>
      </c>
      <c r="B69" s="69"/>
      <c r="C69" s="69"/>
      <c r="D69" s="84">
        <f t="shared" si="46"/>
        <v>0.28714033570552372</v>
      </c>
      <c r="E69" s="84">
        <f t="shared" ref="E69:S69" si="55">E27/E$23</f>
        <v>0.28715202714419485</v>
      </c>
      <c r="F69" s="84">
        <f t="shared" si="55"/>
        <v>0.29250814559997768</v>
      </c>
      <c r="G69" s="84">
        <f t="shared" si="55"/>
        <v>0.29514515396809082</v>
      </c>
      <c r="H69" s="84">
        <f t="shared" si="55"/>
        <v>0.29514905166732996</v>
      </c>
      <c r="I69" s="84">
        <f t="shared" si="55"/>
        <v>0.29703767452564017</v>
      </c>
      <c r="J69" s="84">
        <f t="shared" si="55"/>
        <v>0.29544492959653401</v>
      </c>
      <c r="K69" s="84">
        <f t="shared" si="55"/>
        <v>0.29446339537403471</v>
      </c>
      <c r="L69" s="84">
        <f t="shared" si="55"/>
        <v>0.29608072266643615</v>
      </c>
      <c r="M69" s="84">
        <f t="shared" si="55"/>
        <v>0.30873702308461054</v>
      </c>
      <c r="N69" s="84">
        <f t="shared" si="55"/>
        <v>0.31022978212138236</v>
      </c>
      <c r="O69" s="84">
        <f t="shared" si="55"/>
        <v>0.30929852757490467</v>
      </c>
      <c r="P69" s="84">
        <f t="shared" si="55"/>
        <v>0.31145748070334472</v>
      </c>
      <c r="Q69" s="84">
        <f t="shared" si="55"/>
        <v>0.31330306062454705</v>
      </c>
      <c r="R69" s="84">
        <f t="shared" si="55"/>
        <v>0.31417215381661756</v>
      </c>
      <c r="S69" s="84">
        <f t="shared" si="55"/>
        <v>0.31207909056624106</v>
      </c>
      <c r="T69" s="84">
        <f t="shared" ref="T69:Y69" si="56">T27/T$23</f>
        <v>0.31268385759143424</v>
      </c>
      <c r="U69" s="84">
        <f t="shared" si="56"/>
        <v>0.3126322924898674</v>
      </c>
      <c r="V69" s="84">
        <f t="shared" si="56"/>
        <v>0.30892961646612138</v>
      </c>
      <c r="W69" s="84">
        <f t="shared" si="56"/>
        <v>0.30845413823735091</v>
      </c>
      <c r="X69" s="84">
        <f t="shared" si="56"/>
        <v>0.30356759620348372</v>
      </c>
      <c r="Y69" s="84">
        <f t="shared" si="56"/>
        <v>0.30745354077567683</v>
      </c>
    </row>
    <row r="70" spans="1:25" x14ac:dyDescent="0.25">
      <c r="A70" s="68" t="s">
        <v>150</v>
      </c>
      <c r="B70" s="71"/>
      <c r="C70" s="71"/>
      <c r="D70" s="84">
        <f t="shared" si="46"/>
        <v>0.34084598153868417</v>
      </c>
      <c r="E70" s="84">
        <f t="shared" ref="E70:S70" si="57">E28/E$23</f>
        <v>0.34184431393856712</v>
      </c>
      <c r="F70" s="84">
        <f t="shared" si="57"/>
        <v>0.34165932513878983</v>
      </c>
      <c r="G70" s="84">
        <f t="shared" si="57"/>
        <v>0.34304021213789782</v>
      </c>
      <c r="H70" s="84">
        <f t="shared" si="57"/>
        <v>0.34855319731974499</v>
      </c>
      <c r="I70" s="84">
        <f t="shared" si="57"/>
        <v>0.35481326662820717</v>
      </c>
      <c r="J70" s="84">
        <f t="shared" si="57"/>
        <v>0.36390395922788293</v>
      </c>
      <c r="K70" s="84">
        <f t="shared" si="57"/>
        <v>0.36743965034387138</v>
      </c>
      <c r="L70" s="84">
        <f t="shared" si="57"/>
        <v>0.36773714932745055</v>
      </c>
      <c r="M70" s="84">
        <f t="shared" si="57"/>
        <v>0.36423470982391559</v>
      </c>
      <c r="N70" s="84">
        <f t="shared" si="57"/>
        <v>0.36843402177117462</v>
      </c>
      <c r="O70" s="84">
        <f t="shared" si="57"/>
        <v>0.36682962030917726</v>
      </c>
      <c r="P70" s="84">
        <f t="shared" si="57"/>
        <v>0.36622505432391717</v>
      </c>
      <c r="Q70" s="84">
        <f t="shared" si="57"/>
        <v>0.36621906780620067</v>
      </c>
      <c r="R70" s="84">
        <f t="shared" si="57"/>
        <v>0.36763852783528694</v>
      </c>
      <c r="S70" s="84">
        <f t="shared" si="57"/>
        <v>0.36786201133844243</v>
      </c>
      <c r="T70" s="84">
        <f t="shared" ref="T70:Y70" si="58">T28/T$23</f>
        <v>0.37200857376088625</v>
      </c>
      <c r="U70" s="84">
        <f t="shared" si="58"/>
        <v>0.37240760479911089</v>
      </c>
      <c r="V70" s="84">
        <f t="shared" si="58"/>
        <v>0.37595931048592368</v>
      </c>
      <c r="W70" s="84">
        <f t="shared" si="58"/>
        <v>0.37493920763169525</v>
      </c>
      <c r="X70" s="84">
        <f t="shared" si="58"/>
        <v>0.38244546229681892</v>
      </c>
      <c r="Y70" s="84">
        <f t="shared" si="58"/>
        <v>0.37753995504564192</v>
      </c>
    </row>
    <row r="71" spans="1:25" x14ac:dyDescent="0.25">
      <c r="A71" s="68" t="s">
        <v>152</v>
      </c>
      <c r="B71" s="71"/>
      <c r="C71" s="71"/>
      <c r="D71" s="84">
        <f t="shared" si="46"/>
        <v>0.13039180723509264</v>
      </c>
      <c r="E71" s="84">
        <f t="shared" ref="E71:S71" si="59">E29/E$23</f>
        <v>0.1336147848001758</v>
      </c>
      <c r="F71" s="84">
        <f t="shared" si="59"/>
        <v>0.13290752471647704</v>
      </c>
      <c r="G71" s="84">
        <f t="shared" si="59"/>
        <v>0.1345811045627209</v>
      </c>
      <c r="H71" s="84">
        <f t="shared" si="59"/>
        <v>0.13155106381590545</v>
      </c>
      <c r="I71" s="84">
        <f t="shared" si="59"/>
        <v>0.12793765781783442</v>
      </c>
      <c r="J71" s="84">
        <f t="shared" si="59"/>
        <v>0.12526957371088163</v>
      </c>
      <c r="K71" s="84">
        <f t="shared" si="59"/>
        <v>0.12416155527192908</v>
      </c>
      <c r="L71" s="84">
        <f t="shared" si="59"/>
        <v>0.12736298705101792</v>
      </c>
      <c r="M71" s="84">
        <f t="shared" si="59"/>
        <v>0.12765587868766093</v>
      </c>
      <c r="N71" s="84">
        <f t="shared" si="59"/>
        <v>0.1238459441870295</v>
      </c>
      <c r="O71" s="84">
        <f t="shared" si="59"/>
        <v>0.1239798267105128</v>
      </c>
      <c r="P71" s="84">
        <f t="shared" si="59"/>
        <v>0.12398330955967625</v>
      </c>
      <c r="Q71" s="84">
        <f t="shared" si="59"/>
        <v>0.12248393418186036</v>
      </c>
      <c r="R71" s="84">
        <f t="shared" si="59"/>
        <v>0.12126834887377222</v>
      </c>
      <c r="S71" s="84">
        <f t="shared" si="59"/>
        <v>0.1230501569023302</v>
      </c>
      <c r="T71" s="84">
        <f t="shared" ref="T71:Y71" si="60">T29/T$23</f>
        <v>0.1224986102694826</v>
      </c>
      <c r="U71" s="84">
        <f t="shared" si="60"/>
        <v>0.12250254016242366</v>
      </c>
      <c r="V71" s="84">
        <f t="shared" si="60"/>
        <v>0.12167173382434802</v>
      </c>
      <c r="W71" s="84">
        <f t="shared" si="60"/>
        <v>0.12205309714931628</v>
      </c>
      <c r="X71" s="84">
        <f t="shared" si="60"/>
        <v>0.12581808971580277</v>
      </c>
      <c r="Y71" s="84">
        <f t="shared" si="60"/>
        <v>0.12914435669502064</v>
      </c>
    </row>
    <row r="72" spans="1:25" x14ac:dyDescent="0.25">
      <c r="A72" s="64" t="s">
        <v>154</v>
      </c>
      <c r="B72" s="65"/>
      <c r="C72" s="65"/>
      <c r="D72" s="83">
        <f t="shared" si="46"/>
        <v>2.0866428769072208E-2</v>
      </c>
      <c r="E72" s="83">
        <f t="shared" ref="E72:S72" si="61">E30/E$23</f>
        <v>1.9647171708997584E-2</v>
      </c>
      <c r="F72" s="83">
        <f t="shared" si="61"/>
        <v>2.0238844373592874E-2</v>
      </c>
      <c r="G72" s="83">
        <f t="shared" si="61"/>
        <v>2.0130911843118143E-2</v>
      </c>
      <c r="H72" s="83">
        <f t="shared" si="61"/>
        <v>2.0786982364339818E-2</v>
      </c>
      <c r="I72" s="83">
        <f t="shared" si="61"/>
        <v>2.1278809143267855E-2</v>
      </c>
      <c r="J72" s="83">
        <f t="shared" si="61"/>
        <v>2.0199291129936948E-2</v>
      </c>
      <c r="K72" s="83">
        <f t="shared" si="61"/>
        <v>1.6644361703104484E-2</v>
      </c>
      <c r="L72" s="83">
        <f t="shared" si="61"/>
        <v>1.5127133179570564E-2</v>
      </c>
      <c r="M72" s="83">
        <f t="shared" si="61"/>
        <v>1.5709717066247193E-2</v>
      </c>
      <c r="N72" s="83">
        <f t="shared" si="61"/>
        <v>1.5332714054477998E-2</v>
      </c>
      <c r="O72" s="83">
        <f t="shared" si="61"/>
        <v>1.6169682399978794E-2</v>
      </c>
      <c r="P72" s="83">
        <f t="shared" si="61"/>
        <v>1.7773452601549066E-2</v>
      </c>
      <c r="Q72" s="83">
        <f t="shared" si="61"/>
        <v>1.8632085527157276E-2</v>
      </c>
      <c r="R72" s="83">
        <f t="shared" si="61"/>
        <v>1.8858153930771105E-2</v>
      </c>
      <c r="S72" s="83">
        <f t="shared" si="61"/>
        <v>1.9292328304529788E-2</v>
      </c>
      <c r="T72" s="83">
        <f t="shared" ref="T72:Y72" si="62">T30/T$23</f>
        <v>1.9019526339775342E-2</v>
      </c>
      <c r="U72" s="83">
        <f t="shared" si="62"/>
        <v>1.7536528733036873E-2</v>
      </c>
      <c r="V72" s="83">
        <f t="shared" si="62"/>
        <v>1.8072386607478459E-2</v>
      </c>
      <c r="W72" s="83">
        <f t="shared" si="62"/>
        <v>1.914193214396186E-2</v>
      </c>
      <c r="X72" s="83">
        <f t="shared" si="62"/>
        <v>2.064292909470216E-2</v>
      </c>
      <c r="Y72" s="83">
        <f t="shared" si="62"/>
        <v>2.0206014505332975E-2</v>
      </c>
    </row>
    <row r="73" spans="1:25" x14ac:dyDescent="0.25">
      <c r="A73" s="64" t="s">
        <v>37</v>
      </c>
      <c r="B73" s="65"/>
      <c r="C73" s="65"/>
      <c r="D73" s="83">
        <f t="shared" si="46"/>
        <v>4.8554632632181315E-2</v>
      </c>
      <c r="E73" s="83">
        <f t="shared" ref="E73:S73" si="63">E31/E$23</f>
        <v>4.9639599542201825E-2</v>
      </c>
      <c r="F73" s="83">
        <f t="shared" si="63"/>
        <v>5.0062927381801403E-2</v>
      </c>
      <c r="G73" s="83">
        <f t="shared" si="63"/>
        <v>5.1117147518467125E-2</v>
      </c>
      <c r="H73" s="83">
        <f t="shared" si="63"/>
        <v>5.2734081908278906E-2</v>
      </c>
      <c r="I73" s="83">
        <f t="shared" si="63"/>
        <v>5.4321804947401936E-2</v>
      </c>
      <c r="J73" s="83">
        <f t="shared" si="63"/>
        <v>5.7205838265444273E-2</v>
      </c>
      <c r="K73" s="83">
        <f t="shared" si="63"/>
        <v>6.0231435995849673E-2</v>
      </c>
      <c r="L73" s="83">
        <f t="shared" si="63"/>
        <v>6.334487018945173E-2</v>
      </c>
      <c r="M73" s="83">
        <f t="shared" si="63"/>
        <v>6.2176059223130666E-2</v>
      </c>
      <c r="N73" s="83">
        <f t="shared" si="63"/>
        <v>6.0137168412328475E-2</v>
      </c>
      <c r="O73" s="83">
        <f t="shared" si="63"/>
        <v>6.0388957379787653E-2</v>
      </c>
      <c r="P73" s="83">
        <f t="shared" si="63"/>
        <v>5.8455467718928719E-2</v>
      </c>
      <c r="Q73" s="83">
        <f t="shared" si="63"/>
        <v>5.8913877529751177E-2</v>
      </c>
      <c r="R73" s="83">
        <f t="shared" si="63"/>
        <v>5.7136927092251572E-2</v>
      </c>
      <c r="S73" s="83">
        <f t="shared" si="63"/>
        <v>5.4833984424635544E-2</v>
      </c>
      <c r="T73" s="83">
        <f t="shared" ref="T73:Y73" si="64">T31/T$23</f>
        <v>5.4268100300983078E-2</v>
      </c>
      <c r="U73" s="83">
        <f t="shared" si="64"/>
        <v>5.5293190214302228E-2</v>
      </c>
      <c r="V73" s="83">
        <f t="shared" si="64"/>
        <v>5.5851020806272807E-2</v>
      </c>
      <c r="W73" s="83">
        <f t="shared" si="64"/>
        <v>5.7214665401109775E-2</v>
      </c>
      <c r="X73" s="83">
        <f t="shared" si="64"/>
        <v>5.4243819253650835E-2</v>
      </c>
      <c r="Y73" s="83">
        <f t="shared" si="64"/>
        <v>5.5863793255042711E-2</v>
      </c>
    </row>
    <row r="74" spans="1:25" x14ac:dyDescent="0.25">
      <c r="A74" s="64" t="s">
        <v>58</v>
      </c>
      <c r="B74" s="65"/>
      <c r="C74" s="65"/>
      <c r="D74" s="83">
        <f t="shared" si="46"/>
        <v>0.14731505698760727</v>
      </c>
      <c r="E74" s="83">
        <f t="shared" ref="E74:S74" si="65">E32/E$23</f>
        <v>0.14324111859978494</v>
      </c>
      <c r="F74" s="83">
        <f t="shared" si="65"/>
        <v>0.1388744388975123</v>
      </c>
      <c r="G74" s="83">
        <f t="shared" si="65"/>
        <v>0.13417477010113441</v>
      </c>
      <c r="H74" s="83">
        <f t="shared" si="65"/>
        <v>0.12977379639718403</v>
      </c>
      <c r="I74" s="83">
        <f t="shared" si="65"/>
        <v>0.1246503182364123</v>
      </c>
      <c r="J74" s="83">
        <f t="shared" si="65"/>
        <v>0.11969193648214771</v>
      </c>
      <c r="K74" s="83">
        <f t="shared" si="65"/>
        <v>0.1177099497736601</v>
      </c>
      <c r="L74" s="83">
        <f t="shared" si="65"/>
        <v>0.11218342206765375</v>
      </c>
      <c r="M74" s="83">
        <f t="shared" si="65"/>
        <v>0.1055929084003618</v>
      </c>
      <c r="N74" s="83">
        <f t="shared" si="65"/>
        <v>0.1029664198821887</v>
      </c>
      <c r="O74" s="83">
        <f t="shared" si="65"/>
        <v>0.10374595027650908</v>
      </c>
      <c r="P74" s="83">
        <f t="shared" si="65"/>
        <v>0.10274859024435765</v>
      </c>
      <c r="Q74" s="83">
        <f t="shared" si="65"/>
        <v>0.10308178421246832</v>
      </c>
      <c r="R74" s="83">
        <f t="shared" si="65"/>
        <v>0.10243198787897656</v>
      </c>
      <c r="S74" s="83">
        <f t="shared" si="65"/>
        <v>0.1039530035080657</v>
      </c>
      <c r="T74" s="83">
        <f t="shared" ref="T74:Y74" si="66">T32/T$23</f>
        <v>0.10251403502621709</v>
      </c>
      <c r="U74" s="83">
        <f t="shared" si="66"/>
        <v>0.10139829893423143</v>
      </c>
      <c r="V74" s="83">
        <f t="shared" si="66"/>
        <v>0.10006803789187209</v>
      </c>
      <c r="W74" s="83">
        <f t="shared" si="66"/>
        <v>0.10021117712925415</v>
      </c>
      <c r="X74" s="83">
        <f t="shared" si="66"/>
        <v>9.4742281196648945E-2</v>
      </c>
      <c r="Y74" s="83">
        <f t="shared" si="66"/>
        <v>9.0723034712249268E-2</v>
      </c>
    </row>
    <row r="75" spans="1:25" x14ac:dyDescent="0.25">
      <c r="A75" s="85" t="s">
        <v>158</v>
      </c>
      <c r="B75" s="86"/>
      <c r="C75" s="86"/>
      <c r="D75" s="87">
        <f t="shared" si="46"/>
        <v>5.7112009656641845E-3</v>
      </c>
      <c r="E75" s="87">
        <f t="shared" ref="E75:S75" si="67">E33/E$23</f>
        <v>4.8886718072623436E-3</v>
      </c>
      <c r="F75" s="87">
        <f t="shared" si="67"/>
        <v>4.2741676105773939E-3</v>
      </c>
      <c r="G75" s="87">
        <f t="shared" si="67"/>
        <v>3.9108841143644336E-3</v>
      </c>
      <c r="H75" s="87">
        <f t="shared" si="67"/>
        <v>4.3498685317970359E-3</v>
      </c>
      <c r="I75" s="87">
        <f t="shared" si="67"/>
        <v>4.4209484359287177E-3</v>
      </c>
      <c r="J75" s="87">
        <f t="shared" si="67"/>
        <v>4.125203086921202E-3</v>
      </c>
      <c r="K75" s="87">
        <f t="shared" si="67"/>
        <v>4.5405713131387339E-3</v>
      </c>
      <c r="L75" s="87">
        <f t="shared" si="67"/>
        <v>4.5978229645722768E-3</v>
      </c>
      <c r="M75" s="87">
        <f t="shared" si="67"/>
        <v>3.549456696571163E-3</v>
      </c>
      <c r="N75" s="87">
        <f t="shared" si="67"/>
        <v>3.5599263540235511E-3</v>
      </c>
      <c r="O75" s="87">
        <f t="shared" si="67"/>
        <v>4.0187538238748276E-3</v>
      </c>
      <c r="P75" s="87">
        <f t="shared" si="67"/>
        <v>3.1962459840294347E-3</v>
      </c>
      <c r="Q75" s="87">
        <f t="shared" si="67"/>
        <v>3.1871088159482817E-3</v>
      </c>
      <c r="R75" s="87">
        <f t="shared" si="67"/>
        <v>3.0214349091701562E-3</v>
      </c>
      <c r="S75" s="87">
        <f t="shared" si="67"/>
        <v>3.1822659197160204E-3</v>
      </c>
      <c r="T75" s="87">
        <f t="shared" ref="T75:Y75" si="68">T33/T$23</f>
        <v>2.8916410839397231E-3</v>
      </c>
      <c r="U75" s="87">
        <f t="shared" si="68"/>
        <v>3.0374428982727869E-3</v>
      </c>
      <c r="V75" s="87">
        <f t="shared" si="68"/>
        <v>2.8357051437597832E-3</v>
      </c>
      <c r="W75" s="87">
        <f t="shared" si="68"/>
        <v>2.2754208906318211E-3</v>
      </c>
      <c r="X75" s="87">
        <f t="shared" si="68"/>
        <v>1.8604592709745152E-3</v>
      </c>
      <c r="Y75" s="87">
        <f t="shared" si="68"/>
        <v>3.3046187559321039E-3</v>
      </c>
    </row>
    <row r="76" spans="1:25" x14ac:dyDescent="0.25">
      <c r="A76" s="88" t="s">
        <v>5</v>
      </c>
      <c r="B76" s="44"/>
      <c r="C76" s="44"/>
      <c r="D76" s="89">
        <f t="shared" si="46"/>
        <v>4.3555784829247797E-3</v>
      </c>
      <c r="E76" s="89">
        <f t="shared" ref="E76:S76" si="69">E34/E$23</f>
        <v>3.7282865481019865E-3</v>
      </c>
      <c r="F76" s="89">
        <f t="shared" si="69"/>
        <v>3.2596423394952111E-3</v>
      </c>
      <c r="G76" s="89">
        <f t="shared" si="69"/>
        <v>2.9825885658984284E-3</v>
      </c>
      <c r="H76" s="89">
        <f t="shared" si="69"/>
        <v>3.3173747333619563E-3</v>
      </c>
      <c r="I76" s="89">
        <f t="shared" si="69"/>
        <v>3.3715829643217129E-3</v>
      </c>
      <c r="J76" s="89">
        <f t="shared" si="69"/>
        <v>3.1460363435134903E-3</v>
      </c>
      <c r="K76" s="89">
        <f t="shared" si="69"/>
        <v>3.4628119077915569E-3</v>
      </c>
      <c r="L76" s="89">
        <f t="shared" si="69"/>
        <v>3.5064741887364977E-3</v>
      </c>
      <c r="M76" s="89">
        <f t="shared" si="69"/>
        <v>2.4796121658859022E-3</v>
      </c>
      <c r="N76" s="89">
        <f t="shared" si="69"/>
        <v>2.5060968893809489E-3</v>
      </c>
      <c r="O76" s="89">
        <f t="shared" si="69"/>
        <v>2.8881629924203461E-3</v>
      </c>
      <c r="P76" s="89">
        <f t="shared" si="69"/>
        <v>1.9552246951390862E-3</v>
      </c>
      <c r="Q76" s="89">
        <f t="shared" si="69"/>
        <v>1.9666154348711874E-3</v>
      </c>
      <c r="R76" s="89">
        <f t="shared" si="69"/>
        <v>1.7336531778736081E-3</v>
      </c>
      <c r="S76" s="89">
        <f t="shared" si="69"/>
        <v>1.8013701909182207E-3</v>
      </c>
      <c r="T76" s="89">
        <f t="shared" ref="T76:Y76" si="70">T34/T$23</f>
        <v>1.5969327826366741E-3</v>
      </c>
      <c r="U76" s="89">
        <f t="shared" si="70"/>
        <v>1.8380220971327378E-3</v>
      </c>
      <c r="V76" s="89">
        <f t="shared" si="70"/>
        <v>1.8632634256752886E-3</v>
      </c>
      <c r="W76" s="89">
        <f t="shared" si="70"/>
        <v>1.3602879652591933E-3</v>
      </c>
      <c r="X76" s="89">
        <f t="shared" si="70"/>
        <v>1.0457811794232087E-3</v>
      </c>
      <c r="Y76" s="89">
        <f t="shared" si="70"/>
        <v>1.7918172755697634E-3</v>
      </c>
    </row>
    <row r="77" spans="1:25" x14ac:dyDescent="0.25">
      <c r="A77" s="88" t="s">
        <v>269</v>
      </c>
      <c r="B77" s="44"/>
      <c r="C77" s="44"/>
      <c r="D77" s="89">
        <f>D37/D$23</f>
        <v>1.3556224827394052E-3</v>
      </c>
      <c r="E77" s="89">
        <f t="shared" ref="E77:S77" si="71">E37/E$23</f>
        <v>1.1603852591603567E-3</v>
      </c>
      <c r="F77" s="89">
        <f t="shared" si="71"/>
        <v>1.0145252710821824E-3</v>
      </c>
      <c r="G77" s="89">
        <f t="shared" si="71"/>
        <v>9.2829554846600567E-4</v>
      </c>
      <c r="H77" s="89">
        <f t="shared" si="71"/>
        <v>1.0324937984350798E-3</v>
      </c>
      <c r="I77" s="89">
        <f t="shared" si="71"/>
        <v>1.0493654716070048E-3</v>
      </c>
      <c r="J77" s="89">
        <f t="shared" si="71"/>
        <v>9.7916674340771176E-4</v>
      </c>
      <c r="K77" s="89">
        <f t="shared" si="71"/>
        <v>1.0777594053471768E-3</v>
      </c>
      <c r="L77" s="89">
        <f t="shared" si="71"/>
        <v>1.0913487758357789E-3</v>
      </c>
      <c r="M77" s="89">
        <f t="shared" si="71"/>
        <v>1.0698445306852608E-3</v>
      </c>
      <c r="N77" s="89">
        <f t="shared" si="71"/>
        <v>1.0538294646426024E-3</v>
      </c>
      <c r="O77" s="89">
        <f t="shared" si="71"/>
        <v>1.1305908314544813E-3</v>
      </c>
      <c r="P77" s="89">
        <f t="shared" si="71"/>
        <v>1.2410212888903486E-3</v>
      </c>
      <c r="Q77" s="89">
        <f t="shared" si="71"/>
        <v>1.2204933810770944E-3</v>
      </c>
      <c r="R77" s="89">
        <f t="shared" si="71"/>
        <v>1.2877817312965483E-3</v>
      </c>
      <c r="S77" s="89">
        <f t="shared" si="71"/>
        <v>1.3808957287977997E-3</v>
      </c>
      <c r="T77" s="89">
        <f t="shared" ref="T77:Y77" si="72">T37/T$23</f>
        <v>1.2947083013030488E-3</v>
      </c>
      <c r="U77" s="89">
        <f t="shared" si="72"/>
        <v>1.1994208011400491E-3</v>
      </c>
      <c r="V77" s="89">
        <f t="shared" si="72"/>
        <v>9.7244171808449421E-4</v>
      </c>
      <c r="W77" s="89">
        <f t="shared" si="72"/>
        <v>9.1513292537262784E-4</v>
      </c>
      <c r="X77" s="89">
        <f t="shared" si="72"/>
        <v>8.1467809155130657E-4</v>
      </c>
      <c r="Y77" s="89">
        <f t="shared" si="72"/>
        <v>1.5128014803623406E-3</v>
      </c>
    </row>
    <row r="78" spans="1:25" x14ac:dyDescent="0.25">
      <c r="A78" s="68" t="s">
        <v>271</v>
      </c>
      <c r="B78" s="44"/>
      <c r="C78" s="44"/>
      <c r="D78" s="89">
        <f>D43/D$23</f>
        <v>1.8564607442580754E-2</v>
      </c>
      <c r="E78" s="89">
        <f t="shared" ref="E78:S78" si="73">E43/E$23</f>
        <v>1.8204269314805607E-2</v>
      </c>
      <c r="F78" s="89">
        <f t="shared" si="73"/>
        <v>1.6986897120722686E-2</v>
      </c>
      <c r="G78" s="89">
        <f t="shared" si="73"/>
        <v>1.69748433366253E-2</v>
      </c>
      <c r="H78" s="89">
        <f t="shared" si="73"/>
        <v>1.6193750856337549E-2</v>
      </c>
      <c r="I78" s="89">
        <f t="shared" si="73"/>
        <v>1.6445524672385151E-2</v>
      </c>
      <c r="J78" s="89">
        <f t="shared" si="73"/>
        <v>1.6523780511392208E-2</v>
      </c>
      <c r="K78" s="89">
        <f t="shared" si="73"/>
        <v>1.5949388009953446E-2</v>
      </c>
      <c r="L78" s="89">
        <f t="shared" si="73"/>
        <v>1.5375905355016302E-2</v>
      </c>
      <c r="M78" s="89">
        <f t="shared" si="73"/>
        <v>1.524460796273642E-2</v>
      </c>
      <c r="N78" s="89">
        <f t="shared" si="73"/>
        <v>1.4627403645587083E-2</v>
      </c>
      <c r="O78" s="89">
        <f t="shared" si="73"/>
        <v>1.5028267597397574E-2</v>
      </c>
      <c r="P78" s="89">
        <f t="shared" si="73"/>
        <v>1.4816098542919227E-2</v>
      </c>
      <c r="Q78" s="89">
        <f t="shared" si="73"/>
        <v>1.5630255374002353E-2</v>
      </c>
      <c r="R78" s="89">
        <f t="shared" si="73"/>
        <v>1.5421615479211096E-2</v>
      </c>
      <c r="S78" s="89">
        <f t="shared" si="73"/>
        <v>1.6268133731408826E-2</v>
      </c>
      <c r="T78" s="89">
        <f t="shared" ref="T78:Y78" si="74">T43/T$23</f>
        <v>1.5756789647384053E-2</v>
      </c>
      <c r="U78" s="89">
        <f t="shared" si="74"/>
        <v>1.6128504116798111E-2</v>
      </c>
      <c r="V78" s="89">
        <f t="shared" si="74"/>
        <v>1.5473624611636858E-2</v>
      </c>
      <c r="W78" s="89">
        <f t="shared" si="74"/>
        <v>1.554809477293964E-2</v>
      </c>
      <c r="X78" s="89">
        <f t="shared" si="74"/>
        <v>1.5921451786601599E-2</v>
      </c>
      <c r="Y78" s="89">
        <f t="shared" si="74"/>
        <v>1.6009072032933461E-2</v>
      </c>
    </row>
    <row r="79" spans="1:25" x14ac:dyDescent="0.25">
      <c r="A79" s="88" t="s">
        <v>272</v>
      </c>
      <c r="B79" s="44"/>
      <c r="C79" s="44"/>
      <c r="D79" s="89">
        <f>D44/D$23</f>
        <v>1.1059750094432727E-2</v>
      </c>
      <c r="E79" s="89">
        <f t="shared" ref="E79:S79" si="75">E44/E$23</f>
        <v>1.0176905469300933E-2</v>
      </c>
      <c r="F79" s="89">
        <f t="shared" si="75"/>
        <v>8.9601599753884008E-3</v>
      </c>
      <c r="G79" s="89">
        <f t="shared" si="75"/>
        <v>8.6630234959329117E-3</v>
      </c>
      <c r="H79" s="89">
        <f t="shared" si="75"/>
        <v>8.504002766378067E-3</v>
      </c>
      <c r="I79" s="89">
        <f t="shared" si="75"/>
        <v>8.6628396334370479E-3</v>
      </c>
      <c r="J79" s="89">
        <f t="shared" si="75"/>
        <v>8.2794185911570142E-3</v>
      </c>
      <c r="K79" s="89">
        <f t="shared" si="75"/>
        <v>8.4039593414564732E-3</v>
      </c>
      <c r="L79" s="89">
        <f t="shared" si="75"/>
        <v>8.4632740314758165E-3</v>
      </c>
      <c r="M79" s="89">
        <f t="shared" si="75"/>
        <v>8.424531476858536E-3</v>
      </c>
      <c r="N79" s="89">
        <f t="shared" si="75"/>
        <v>8.0771391541837479E-3</v>
      </c>
      <c r="O79" s="89">
        <f t="shared" si="75"/>
        <v>8.5476281021733946E-3</v>
      </c>
      <c r="P79" s="89">
        <f t="shared" si="75"/>
        <v>8.5329209603668688E-3</v>
      </c>
      <c r="Q79" s="89">
        <f t="shared" si="75"/>
        <v>9.3123582447162678E-3</v>
      </c>
      <c r="R79" s="89">
        <f t="shared" si="75"/>
        <v>9.4451622276531602E-3</v>
      </c>
      <c r="S79" s="89">
        <f t="shared" si="75"/>
        <v>9.9595113714798632E-3</v>
      </c>
      <c r="T79" s="89">
        <f t="shared" ref="T79:Y79" si="76">T44/T$23</f>
        <v>9.4902318220744294E-3</v>
      </c>
      <c r="U79" s="89">
        <f t="shared" si="76"/>
        <v>1.0036512849385351E-2</v>
      </c>
      <c r="V79" s="89">
        <f t="shared" si="76"/>
        <v>9.4834353901711403E-3</v>
      </c>
      <c r="W79" s="89">
        <f t="shared" si="76"/>
        <v>9.6341209873003295E-3</v>
      </c>
      <c r="X79" s="89">
        <f t="shared" si="76"/>
        <v>9.65660049766923E-3</v>
      </c>
      <c r="Y79" s="89">
        <f t="shared" si="76"/>
        <v>1.070292473864925E-2</v>
      </c>
    </row>
    <row r="80" spans="1:25" x14ac:dyDescent="0.25">
      <c r="A80" s="88" t="s">
        <v>11</v>
      </c>
      <c r="B80" s="44"/>
      <c r="C80" s="44"/>
      <c r="D80" s="89">
        <f>D47/D$23</f>
        <v>7.5048573481480254E-3</v>
      </c>
      <c r="E80" s="89">
        <f t="shared" ref="E80:S80" si="77">E47/E$23</f>
        <v>8.0273638455046759E-3</v>
      </c>
      <c r="F80" s="89">
        <f t="shared" si="77"/>
        <v>8.0267371453342836E-3</v>
      </c>
      <c r="G80" s="89">
        <f t="shared" si="77"/>
        <v>8.3118198406923888E-3</v>
      </c>
      <c r="H80" s="89">
        <f t="shared" si="77"/>
        <v>7.6897480899594823E-3</v>
      </c>
      <c r="I80" s="89">
        <f t="shared" si="77"/>
        <v>7.7826850389481018E-3</v>
      </c>
      <c r="J80" s="89">
        <f t="shared" si="77"/>
        <v>8.244361920235194E-3</v>
      </c>
      <c r="K80" s="89">
        <f t="shared" si="77"/>
        <v>7.5454286684969746E-3</v>
      </c>
      <c r="L80" s="89">
        <f t="shared" si="77"/>
        <v>6.9126313235404859E-3</v>
      </c>
      <c r="M80" s="89">
        <f t="shared" si="77"/>
        <v>6.8200764858778818E-3</v>
      </c>
      <c r="N80" s="89">
        <f t="shared" si="77"/>
        <v>6.5502644914033348E-3</v>
      </c>
      <c r="O80" s="89">
        <f t="shared" si="77"/>
        <v>6.4806394952241792E-3</v>
      </c>
      <c r="P80" s="89">
        <f t="shared" si="77"/>
        <v>6.2831775825523579E-3</v>
      </c>
      <c r="Q80" s="89">
        <f t="shared" si="77"/>
        <v>6.317897129286083E-3</v>
      </c>
      <c r="R80" s="89">
        <f t="shared" si="77"/>
        <v>5.9764532515579356E-3</v>
      </c>
      <c r="S80" s="89">
        <f t="shared" si="77"/>
        <v>6.3086223599289641E-3</v>
      </c>
      <c r="T80" s="89">
        <f t="shared" ref="T80:Y80" si="78">T47/T$23</f>
        <v>6.2665578253096226E-3</v>
      </c>
      <c r="U80" s="89">
        <f t="shared" si="78"/>
        <v>6.0919912674127583E-3</v>
      </c>
      <c r="V80" s="89">
        <f t="shared" si="78"/>
        <v>5.9901892214657172E-3</v>
      </c>
      <c r="W80" s="89">
        <f t="shared" si="78"/>
        <v>5.91397378563931E-3</v>
      </c>
      <c r="X80" s="89">
        <f t="shared" si="78"/>
        <v>6.2648512889323694E-3</v>
      </c>
      <c r="Y80" s="89">
        <f t="shared" si="78"/>
        <v>5.306147294284214E-3</v>
      </c>
    </row>
    <row r="81" spans="1:25" x14ac:dyDescent="0.25">
      <c r="A81" s="68" t="s">
        <v>4</v>
      </c>
      <c r="B81" s="44"/>
      <c r="C81" s="44"/>
      <c r="D81" s="89">
        <f>D48/D$23</f>
        <v>5.8936578149962936E-3</v>
      </c>
      <c r="E81" s="89">
        <f t="shared" ref="E81:S81" si="79">E48/E$23</f>
        <v>5.830134911735123E-3</v>
      </c>
      <c r="F81" s="89">
        <f t="shared" si="79"/>
        <v>5.7501643103858155E-3</v>
      </c>
      <c r="G81" s="89">
        <f t="shared" si="79"/>
        <v>5.5743370860850527E-3</v>
      </c>
      <c r="H81" s="89">
        <f t="shared" si="79"/>
        <v>5.1817392949650622E-3</v>
      </c>
      <c r="I81" s="89">
        <f t="shared" si="79"/>
        <v>5.1913989477234829E-3</v>
      </c>
      <c r="J81" s="89">
        <f t="shared" si="79"/>
        <v>5.1019544698464271E-3</v>
      </c>
      <c r="K81" s="89">
        <f t="shared" si="79"/>
        <v>5.2912117678386144E-3</v>
      </c>
      <c r="L81" s="89">
        <f t="shared" si="79"/>
        <v>4.9308206971756556E-3</v>
      </c>
      <c r="M81" s="89">
        <f t="shared" si="79"/>
        <v>4.4145367736169996E-3</v>
      </c>
      <c r="N81" s="89">
        <f t="shared" si="79"/>
        <v>4.2452121771730852E-3</v>
      </c>
      <c r="O81" s="89">
        <f t="shared" si="79"/>
        <v>4.3563096707045354E-3</v>
      </c>
      <c r="P81" s="89">
        <f t="shared" si="79"/>
        <v>4.1320837721461612E-3</v>
      </c>
      <c r="Q81" s="89">
        <f t="shared" si="79"/>
        <v>4.0345481542929124E-3</v>
      </c>
      <c r="R81" s="89">
        <f t="shared" si="79"/>
        <v>4.0182022903337954E-3</v>
      </c>
      <c r="S81" s="89">
        <f t="shared" si="79"/>
        <v>3.9660151687500571E-3</v>
      </c>
      <c r="T81" s="89">
        <f t="shared" ref="T81:Y81" si="80">T48/T$23</f>
        <v>3.9112776005488801E-3</v>
      </c>
      <c r="U81" s="89">
        <f t="shared" si="80"/>
        <v>3.900047357717915E-3</v>
      </c>
      <c r="V81" s="89">
        <f t="shared" si="80"/>
        <v>3.8339114175195191E-3</v>
      </c>
      <c r="W81" s="89">
        <f t="shared" si="80"/>
        <v>3.9750717868553866E-3</v>
      </c>
      <c r="X81" s="89">
        <f t="shared" si="80"/>
        <v>3.8717273994559273E-3</v>
      </c>
      <c r="Y81" s="89">
        <f t="shared" si="80"/>
        <v>3.6482017129549262E-3</v>
      </c>
    </row>
    <row r="82" spans="1:25" x14ac:dyDescent="0.25">
      <c r="A82" s="68" t="s">
        <v>3</v>
      </c>
      <c r="B82" s="44"/>
      <c r="C82" s="44"/>
      <c r="D82" s="89">
        <f>D52/D$23</f>
        <v>7.9338571302553437E-3</v>
      </c>
      <c r="E82" s="89">
        <f t="shared" ref="E82:S82" si="81">E52/E$23</f>
        <v>7.9110357105698186E-3</v>
      </c>
      <c r="F82" s="89">
        <f t="shared" si="81"/>
        <v>7.5254156703164548E-3</v>
      </c>
      <c r="G82" s="89">
        <f t="shared" si="81"/>
        <v>7.0887326925001002E-3</v>
      </c>
      <c r="H82" s="89">
        <f t="shared" si="81"/>
        <v>6.7854556368215357E-3</v>
      </c>
      <c r="I82" s="89">
        <f t="shared" si="81"/>
        <v>6.3218553860606473E-3</v>
      </c>
      <c r="J82" s="89">
        <f t="shared" si="81"/>
        <v>5.79643920931492E-3</v>
      </c>
      <c r="K82" s="89">
        <f t="shared" si="81"/>
        <v>5.4628031256025783E-3</v>
      </c>
      <c r="L82" s="89">
        <f t="shared" si="81"/>
        <v>5.100387381784411E-3</v>
      </c>
      <c r="M82" s="89">
        <f t="shared" si="81"/>
        <v>4.8270782634631656E-3</v>
      </c>
      <c r="N82" s="89">
        <f t="shared" si="81"/>
        <v>4.4899571140122035E-3</v>
      </c>
      <c r="O82" s="89">
        <f t="shared" si="81"/>
        <v>4.5018265341615704E-3</v>
      </c>
      <c r="P82" s="89">
        <f t="shared" si="81"/>
        <v>4.4242997880367396E-3</v>
      </c>
      <c r="Q82" s="89">
        <f t="shared" si="81"/>
        <v>4.2266694949735272E-3</v>
      </c>
      <c r="R82" s="89">
        <f t="shared" si="81"/>
        <v>4.2828307986073275E-3</v>
      </c>
      <c r="S82" s="89">
        <f t="shared" si="81"/>
        <v>4.1535660590831048E-3</v>
      </c>
      <c r="T82" s="89">
        <f t="shared" ref="T82:Y82" si="82">T52/T$23</f>
        <v>4.1396441288267666E-3</v>
      </c>
      <c r="U82" s="89">
        <f t="shared" si="82"/>
        <v>4.0046350938772674E-3</v>
      </c>
      <c r="V82" s="89">
        <f t="shared" si="82"/>
        <v>3.9404882551373355E-3</v>
      </c>
      <c r="W82" s="89">
        <f t="shared" si="82"/>
        <v>3.794826736564253E-3</v>
      </c>
      <c r="X82" s="89">
        <f t="shared" si="82"/>
        <v>3.6498643687005883E-3</v>
      </c>
      <c r="Y82" s="89">
        <f t="shared" si="82"/>
        <v>3.3686460261384572E-3</v>
      </c>
    </row>
    <row r="83" spans="1:25" x14ac:dyDescent="0.25">
      <c r="A83" s="88" t="s">
        <v>21</v>
      </c>
      <c r="B83" s="44"/>
      <c r="C83" s="44"/>
      <c r="D83" s="89">
        <f>D53/D$23</f>
        <v>4.0276218559178976E-3</v>
      </c>
      <c r="E83" s="89">
        <f t="shared" ref="E83:S83" si="83">E53/E$23</f>
        <v>4.1748072276621079E-3</v>
      </c>
      <c r="F83" s="89">
        <f t="shared" si="83"/>
        <v>3.9042944442113803E-3</v>
      </c>
      <c r="G83" s="89">
        <f t="shared" si="83"/>
        <v>3.6263819285300564E-3</v>
      </c>
      <c r="H83" s="89">
        <f t="shared" si="83"/>
        <v>3.4214355153357819E-3</v>
      </c>
      <c r="I83" s="89">
        <f t="shared" si="83"/>
        <v>3.0748667316064398E-3</v>
      </c>
      <c r="J83" s="89">
        <f t="shared" si="83"/>
        <v>2.7259583768519595E-3</v>
      </c>
      <c r="K83" s="89">
        <f t="shared" si="83"/>
        <v>2.6903688468142548E-3</v>
      </c>
      <c r="L83" s="89">
        <f t="shared" si="83"/>
        <v>2.4737771257889174E-3</v>
      </c>
      <c r="M83" s="89">
        <f t="shared" si="83"/>
        <v>2.3786845183235272E-3</v>
      </c>
      <c r="N83" s="89">
        <f t="shared" si="83"/>
        <v>2.1732237914328149E-3</v>
      </c>
      <c r="O83" s="89">
        <f t="shared" si="83"/>
        <v>2.2579456805564046E-3</v>
      </c>
      <c r="P83" s="89">
        <f t="shared" si="83"/>
        <v>2.2860037593483793E-3</v>
      </c>
      <c r="Q83" s="89">
        <f t="shared" si="83"/>
        <v>2.1401790991983013E-3</v>
      </c>
      <c r="R83" s="89">
        <f t="shared" si="83"/>
        <v>2.1917467038184337E-3</v>
      </c>
      <c r="S83" s="89">
        <f t="shared" si="83"/>
        <v>2.2287551601908239E-3</v>
      </c>
      <c r="T83" s="89">
        <f t="shared" ref="T83:Y83" si="84">T53/T$23</f>
        <v>2.2415977644118811E-3</v>
      </c>
      <c r="U83" s="89">
        <f t="shared" si="84"/>
        <v>2.1430711357886038E-3</v>
      </c>
      <c r="V83" s="89">
        <f t="shared" si="84"/>
        <v>2.1724546453703304E-3</v>
      </c>
      <c r="W83" s="89">
        <f t="shared" si="84"/>
        <v>2.0901050077238E-3</v>
      </c>
      <c r="X83" s="89">
        <f t="shared" si="84"/>
        <v>2.0982732385815459E-3</v>
      </c>
      <c r="Y83" s="89">
        <f t="shared" si="84"/>
        <v>1.9496754674103449E-3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3.9062352743374456E-3</v>
      </c>
      <c r="E84" s="89">
        <f t="shared" ref="E84:S84" si="86">E56/E$23</f>
        <v>3.7362284829077115E-3</v>
      </c>
      <c r="F84" s="89">
        <f t="shared" si="86"/>
        <v>3.6211212261050745E-3</v>
      </c>
      <c r="G84" s="89">
        <f t="shared" si="86"/>
        <v>3.4623507639700442E-3</v>
      </c>
      <c r="H84" s="89">
        <f t="shared" si="86"/>
        <v>3.3640201214857539E-3</v>
      </c>
      <c r="I84" s="89">
        <f t="shared" si="86"/>
        <v>3.2469886544542071E-3</v>
      </c>
      <c r="J84" s="89">
        <f t="shared" si="86"/>
        <v>3.0704808324629605E-3</v>
      </c>
      <c r="K84" s="89">
        <f t="shared" si="86"/>
        <v>2.7724342787883239E-3</v>
      </c>
      <c r="L84" s="89">
        <f t="shared" si="86"/>
        <v>2.6266102559954932E-3</v>
      </c>
      <c r="M84" s="89">
        <f t="shared" si="86"/>
        <v>2.4483937451396385E-3</v>
      </c>
      <c r="N84" s="89">
        <f t="shared" si="86"/>
        <v>2.3167333225793891E-3</v>
      </c>
      <c r="O84" s="89">
        <f t="shared" si="86"/>
        <v>2.2438808536051659E-3</v>
      </c>
      <c r="P84" s="89">
        <f t="shared" si="86"/>
        <v>2.1382960286883599E-3</v>
      </c>
      <c r="Q84" s="89">
        <f t="shared" si="86"/>
        <v>2.0864903957752258E-3</v>
      </c>
      <c r="R84" s="89">
        <f t="shared" si="86"/>
        <v>2.0910840947888942E-3</v>
      </c>
      <c r="S84" s="89">
        <f t="shared" si="86"/>
        <v>1.9248108988922808E-3</v>
      </c>
      <c r="T84" s="89">
        <f t="shared" ref="T84:Y84" si="87">T56/T$23</f>
        <v>1.8980463644148852E-3</v>
      </c>
      <c r="U84" s="89">
        <f t="shared" si="87"/>
        <v>1.8615639580886639E-3</v>
      </c>
      <c r="V84" s="89">
        <f t="shared" si="87"/>
        <v>1.7680336097670054E-3</v>
      </c>
      <c r="W84" s="89">
        <f t="shared" si="87"/>
        <v>1.704721728840453E-3</v>
      </c>
      <c r="X84" s="89">
        <f t="shared" si="87"/>
        <v>1.5515911301190427E-3</v>
      </c>
      <c r="Y84" s="89">
        <f t="shared" si="87"/>
        <v>1.418970558728112E-3</v>
      </c>
    </row>
    <row r="85" spans="1:25" x14ac:dyDescent="0.25">
      <c r="A85" s="68" t="s">
        <v>2</v>
      </c>
      <c r="B85" s="44"/>
      <c r="C85" s="44"/>
      <c r="D85" s="89">
        <f t="shared" si="85"/>
        <v>2.5836493028565052E-2</v>
      </c>
      <c r="E85" s="89">
        <f t="shared" ref="E85:S85" si="88">E57/E$23</f>
        <v>2.4745378666142584E-2</v>
      </c>
      <c r="F85" s="89">
        <f t="shared" si="88"/>
        <v>2.5216400274083707E-2</v>
      </c>
      <c r="G85" s="89">
        <f t="shared" si="88"/>
        <v>2.5384673499710395E-2</v>
      </c>
      <c r="H85" s="89">
        <f t="shared" si="88"/>
        <v>2.5342371908213659E-2</v>
      </c>
      <c r="I85" s="89">
        <f t="shared" si="88"/>
        <v>2.3871356200960224E-2</v>
      </c>
      <c r="J85" s="89">
        <f t="shared" si="88"/>
        <v>2.2450775598622876E-2</v>
      </c>
      <c r="K85" s="89">
        <f t="shared" si="88"/>
        <v>2.2279903954750387E-2</v>
      </c>
      <c r="L85" s="89">
        <f t="shared" si="88"/>
        <v>2.1461899091089105E-2</v>
      </c>
      <c r="M85" s="89">
        <f t="shared" si="88"/>
        <v>2.1643000765087333E-2</v>
      </c>
      <c r="N85" s="89">
        <f t="shared" si="88"/>
        <v>2.0606967443361018E-2</v>
      </c>
      <c r="O85" s="89">
        <f t="shared" si="88"/>
        <v>2.1178924614150402E-2</v>
      </c>
      <c r="P85" s="89">
        <f t="shared" si="88"/>
        <v>2.1306173596576591E-2</v>
      </c>
      <c r="Q85" s="89">
        <f t="shared" si="88"/>
        <v>2.1885515682628177E-2</v>
      </c>
      <c r="R85" s="89">
        <f t="shared" si="88"/>
        <v>2.2221530382984904E-2</v>
      </c>
      <c r="S85" s="89">
        <f t="shared" si="88"/>
        <v>2.2255530718192845E-2</v>
      </c>
      <c r="T85" s="89">
        <f t="shared" ref="T85:Y85" si="89">T57/T$23</f>
        <v>2.2333345018755103E-2</v>
      </c>
      <c r="U85" s="89">
        <f t="shared" si="89"/>
        <v>2.1909175814428122E-2</v>
      </c>
      <c r="V85" s="89">
        <f t="shared" si="89"/>
        <v>2.1260651736393611E-2</v>
      </c>
      <c r="W85" s="89">
        <f t="shared" si="89"/>
        <v>2.1304872747455478E-2</v>
      </c>
      <c r="X85" s="89">
        <f t="shared" si="89"/>
        <v>2.2350162699555885E-2</v>
      </c>
      <c r="Y85" s="89">
        <f t="shared" si="89"/>
        <v>1.9632925347359213E-2</v>
      </c>
    </row>
    <row r="86" spans="1:25" x14ac:dyDescent="0.25">
      <c r="A86" s="68" t="s">
        <v>275</v>
      </c>
      <c r="B86" s="44"/>
      <c r="C86" s="44"/>
      <c r="D86" s="89">
        <f t="shared" si="85"/>
        <v>1.900717839529955E-2</v>
      </c>
      <c r="E86" s="89">
        <f t="shared" ref="E86:S86" si="90">E58/E$23</f>
        <v>1.8852383209442665E-2</v>
      </c>
      <c r="F86" s="89">
        <f t="shared" si="90"/>
        <v>1.914460712337962E-2</v>
      </c>
      <c r="G86" s="89">
        <f t="shared" si="90"/>
        <v>1.7933847116148358E-2</v>
      </c>
      <c r="H86" s="89">
        <f t="shared" si="90"/>
        <v>1.697929783583112E-2</v>
      </c>
      <c r="I86" s="89">
        <f t="shared" si="90"/>
        <v>1.6713480046781855E-2</v>
      </c>
      <c r="J86" s="89">
        <f t="shared" si="90"/>
        <v>1.6046284476422576E-2</v>
      </c>
      <c r="K86" s="89">
        <f t="shared" si="90"/>
        <v>1.5445517735315452E-2</v>
      </c>
      <c r="L86" s="89">
        <f t="shared" si="90"/>
        <v>1.4799155513287837E-2</v>
      </c>
      <c r="M86" s="89">
        <f t="shared" si="90"/>
        <v>1.3448166904458934E-2</v>
      </c>
      <c r="N86" s="89">
        <f t="shared" si="90"/>
        <v>1.4304229081260882E-2</v>
      </c>
      <c r="O86" s="89">
        <f t="shared" si="90"/>
        <v>1.327286900290655E-2</v>
      </c>
      <c r="P86" s="89">
        <f t="shared" si="90"/>
        <v>1.3919720581765826E-2</v>
      </c>
      <c r="Q86" s="89">
        <f t="shared" si="90"/>
        <v>1.3874318956165279E-2</v>
      </c>
      <c r="R86" s="89">
        <f t="shared" si="90"/>
        <v>1.4027905335637157E-2</v>
      </c>
      <c r="S86" s="89">
        <f t="shared" si="90"/>
        <v>1.5205853620850373E-2</v>
      </c>
      <c r="T86" s="89">
        <f t="shared" ref="T86:Y86" si="91">T58/T$23</f>
        <v>1.5101237486165296E-2</v>
      </c>
      <c r="U86" s="89">
        <f t="shared" si="91"/>
        <v>1.483484179149995E-2</v>
      </c>
      <c r="V86" s="89">
        <f t="shared" si="91"/>
        <v>1.5531670924982276E-2</v>
      </c>
      <c r="W86" s="89">
        <f t="shared" si="91"/>
        <v>1.5813161023367783E-2</v>
      </c>
      <c r="X86" s="89">
        <f t="shared" si="91"/>
        <v>1.0991162214260717E-2</v>
      </c>
      <c r="Y86" s="89">
        <f t="shared" si="91"/>
        <v>1.0369261499545722E-2</v>
      </c>
    </row>
    <row r="87" spans="1:25" x14ac:dyDescent="0.25">
      <c r="A87" s="68" t="s">
        <v>276</v>
      </c>
      <c r="B87" s="44"/>
      <c r="C87" s="44"/>
      <c r="D87" s="89">
        <f t="shared" si="85"/>
        <v>4.1177193496996618E-2</v>
      </c>
      <c r="E87" s="89">
        <f t="shared" ref="E87:S87" si="92">E59/E$23</f>
        <v>3.9697517947769392E-2</v>
      </c>
      <c r="F87" s="89">
        <f t="shared" si="92"/>
        <v>3.7639663827942559E-2</v>
      </c>
      <c r="G87" s="89">
        <f t="shared" si="92"/>
        <v>3.519931828375758E-2</v>
      </c>
      <c r="H87" s="89">
        <f t="shared" si="92"/>
        <v>3.4341582446548224E-2</v>
      </c>
      <c r="I87" s="89">
        <f t="shared" si="92"/>
        <v>3.250645457210679E-2</v>
      </c>
      <c r="J87" s="89">
        <f t="shared" si="92"/>
        <v>3.1476659510270392E-2</v>
      </c>
      <c r="K87" s="89">
        <f t="shared" si="92"/>
        <v>3.1186585802565493E-2</v>
      </c>
      <c r="L87" s="89">
        <f t="shared" si="92"/>
        <v>2.959998438201589E-2</v>
      </c>
      <c r="M87" s="89">
        <f t="shared" si="92"/>
        <v>2.7080891843849045E-2</v>
      </c>
      <c r="N87" s="89">
        <f t="shared" si="92"/>
        <v>2.7077689830291636E-2</v>
      </c>
      <c r="O87" s="89">
        <f t="shared" si="92"/>
        <v>2.6942798889744195E-2</v>
      </c>
      <c r="P87" s="89">
        <f t="shared" si="92"/>
        <v>2.6732966285843783E-2</v>
      </c>
      <c r="Q87" s="89">
        <f t="shared" si="92"/>
        <v>2.6269566769008566E-2</v>
      </c>
      <c r="R87" s="89">
        <f t="shared" si="92"/>
        <v>2.5903498803982919E-2</v>
      </c>
      <c r="S87" s="89">
        <f t="shared" si="92"/>
        <v>2.5446945461827547E-2</v>
      </c>
      <c r="T87" s="89">
        <f t="shared" ref="T87:Y87" si="93">T59/T$23</f>
        <v>2.5084761041471563E-2</v>
      </c>
      <c r="U87" s="89">
        <f t="shared" si="93"/>
        <v>2.4714961764385333E-2</v>
      </c>
      <c r="V87" s="89">
        <f t="shared" si="93"/>
        <v>2.4278584240901718E-2</v>
      </c>
      <c r="W87" s="89">
        <f t="shared" si="93"/>
        <v>2.4599530994081416E-2</v>
      </c>
      <c r="X87" s="89">
        <f t="shared" si="93"/>
        <v>2.3645572116602318E-2</v>
      </c>
      <c r="Y87" s="89">
        <f t="shared" si="93"/>
        <v>2.2473120946160732E-2</v>
      </c>
    </row>
    <row r="88" spans="1:25" x14ac:dyDescent="0.25">
      <c r="A88" s="68" t="s">
        <v>1</v>
      </c>
      <c r="B88" s="44"/>
      <c r="C88" s="44"/>
      <c r="D88" s="89">
        <f t="shared" si="85"/>
        <v>6.0331392907253863E-3</v>
      </c>
      <c r="E88" s="89">
        <f t="shared" ref="E88:S88" si="94">E60/E$23</f>
        <v>5.7752222517658755E-3</v>
      </c>
      <c r="F88" s="89">
        <f t="shared" si="94"/>
        <v>5.4544056159192287E-3</v>
      </c>
      <c r="G88" s="89">
        <f t="shared" si="94"/>
        <v>5.1795732875588828E-3</v>
      </c>
      <c r="H88" s="89">
        <f t="shared" si="94"/>
        <v>4.6271587861863774E-3</v>
      </c>
      <c r="I88" s="89">
        <f t="shared" si="94"/>
        <v>4.1025544028220435E-3</v>
      </c>
      <c r="J88" s="89">
        <f t="shared" si="94"/>
        <v>3.7389752814204476E-3</v>
      </c>
      <c r="K88" s="89">
        <f t="shared" si="94"/>
        <v>3.6579375063127257E-3</v>
      </c>
      <c r="L88" s="89">
        <f t="shared" si="94"/>
        <v>3.3623288645446663E-3</v>
      </c>
      <c r="M88" s="89">
        <f t="shared" si="94"/>
        <v>2.9289303004867645E-3</v>
      </c>
      <c r="N88" s="89">
        <f t="shared" si="94"/>
        <v>2.7455932005406641E-3</v>
      </c>
      <c r="O88" s="89">
        <f t="shared" si="94"/>
        <v>2.8486684125083915E-3</v>
      </c>
      <c r="P88" s="89">
        <f t="shared" si="94"/>
        <v>2.9077626544732247E-3</v>
      </c>
      <c r="Q88" s="89">
        <f t="shared" si="94"/>
        <v>2.7760217828755145E-3</v>
      </c>
      <c r="R88" s="89">
        <f t="shared" si="94"/>
        <v>2.6193033524799843E-3</v>
      </c>
      <c r="S88" s="89">
        <f t="shared" si="94"/>
        <v>2.6663739043012689E-3</v>
      </c>
      <c r="T88" s="89">
        <f t="shared" ref="T88:Y88" si="95">T60/T$23</f>
        <v>2.6197046259246091E-3</v>
      </c>
      <c r="U88" s="89">
        <f t="shared" si="95"/>
        <v>2.626911597460375E-3</v>
      </c>
      <c r="V88" s="89">
        <f t="shared" si="95"/>
        <v>2.6434862044847911E-3</v>
      </c>
      <c r="W88" s="89">
        <f t="shared" si="95"/>
        <v>2.6949170434833118E-3</v>
      </c>
      <c r="X88" s="89">
        <f t="shared" si="95"/>
        <v>2.6710568800740898E-3</v>
      </c>
      <c r="Y88" s="89">
        <f t="shared" si="95"/>
        <v>2.6237653896532833E-3</v>
      </c>
    </row>
    <row r="89" spans="1:25" x14ac:dyDescent="0.25">
      <c r="A89" s="68" t="s">
        <v>0</v>
      </c>
      <c r="B89" s="44"/>
      <c r="C89" s="44"/>
      <c r="D89" s="89">
        <f t="shared" si="85"/>
        <v>2.478246544440683E-3</v>
      </c>
      <c r="E89" s="89">
        <f t="shared" ref="E89:S89" si="96">E61/E$23</f>
        <v>2.3395683286898416E-3</v>
      </c>
      <c r="F89" s="89">
        <f t="shared" si="96"/>
        <v>2.3262155472584638E-3</v>
      </c>
      <c r="G89" s="89">
        <f t="shared" si="96"/>
        <v>2.4169073251145323E-3</v>
      </c>
      <c r="H89" s="89">
        <f t="shared" si="96"/>
        <v>2.0760884458044353E-3</v>
      </c>
      <c r="I89" s="89">
        <f t="shared" si="96"/>
        <v>1.8851448692850635E-3</v>
      </c>
      <c r="J89" s="89">
        <f t="shared" si="96"/>
        <v>1.8519593052493133E-3</v>
      </c>
      <c r="K89" s="89">
        <f t="shared" si="96"/>
        <v>1.9397283921143728E-3</v>
      </c>
      <c r="L89" s="89">
        <f t="shared" si="96"/>
        <v>1.9550369393213428E-3</v>
      </c>
      <c r="M89" s="89">
        <f t="shared" si="96"/>
        <v>1.8227248651097891E-3</v>
      </c>
      <c r="N89" s="89">
        <f t="shared" si="96"/>
        <v>1.5969607128752522E-3</v>
      </c>
      <c r="O89" s="89">
        <f t="shared" si="96"/>
        <v>1.7856920679244588E-3</v>
      </c>
      <c r="P89" s="89">
        <f t="shared" si="96"/>
        <v>1.7026382093770413E-3</v>
      </c>
      <c r="Q89" s="89">
        <f t="shared" si="96"/>
        <v>1.684351479939637E-3</v>
      </c>
      <c r="R89" s="89">
        <f t="shared" si="96"/>
        <v>1.5057881000191985E-3</v>
      </c>
      <c r="S89" s="89">
        <f t="shared" si="96"/>
        <v>1.4836342788134586E-3</v>
      </c>
      <c r="T89" s="89">
        <f t="shared" ref="T89:Y89" si="97">T61/T$23</f>
        <v>1.4828800224360099E-3</v>
      </c>
      <c r="U89" s="89">
        <f t="shared" si="97"/>
        <v>1.5170109020496752E-3</v>
      </c>
      <c r="V89" s="89">
        <f t="shared" si="97"/>
        <v>1.4544883598110164E-3</v>
      </c>
      <c r="W89" s="89">
        <f t="shared" si="97"/>
        <v>1.5166399372323119E-3</v>
      </c>
      <c r="X89" s="89">
        <f t="shared" si="97"/>
        <v>1.6579307091303163E-3</v>
      </c>
      <c r="Y89" s="89">
        <f t="shared" si="97"/>
        <v>1.8531836658317569E-3</v>
      </c>
    </row>
    <row r="90" spans="1:25" x14ac:dyDescent="0.25">
      <c r="A90" s="90" t="s">
        <v>278</v>
      </c>
      <c r="B90" s="47"/>
      <c r="C90" s="47"/>
      <c r="D90" s="91">
        <f t="shared" si="85"/>
        <v>1.467948287808339E-2</v>
      </c>
      <c r="E90" s="91">
        <f t="shared" ref="E90:S90" si="98">E62/E$23</f>
        <v>1.4996936451601715E-2</v>
      </c>
      <c r="F90" s="91">
        <f t="shared" si="98"/>
        <v>1.4556501796926347E-2</v>
      </c>
      <c r="G90" s="91">
        <f t="shared" si="98"/>
        <v>1.4511653359269768E-2</v>
      </c>
      <c r="H90" s="91">
        <f t="shared" si="98"/>
        <v>1.3896482654679028E-2</v>
      </c>
      <c r="I90" s="91">
        <f t="shared" si="98"/>
        <v>1.3191600702358324E-2</v>
      </c>
      <c r="J90" s="91">
        <f t="shared" si="98"/>
        <v>1.2579905032687324E-2</v>
      </c>
      <c r="K90" s="91">
        <f t="shared" si="98"/>
        <v>1.1956302166068297E-2</v>
      </c>
      <c r="L90" s="91">
        <f t="shared" si="98"/>
        <v>1.1000080878846278E-2</v>
      </c>
      <c r="M90" s="91">
        <f t="shared" si="98"/>
        <v>1.0633514024982187E-2</v>
      </c>
      <c r="N90" s="91">
        <f t="shared" si="98"/>
        <v>9.7124803230633164E-3</v>
      </c>
      <c r="O90" s="91">
        <f t="shared" si="98"/>
        <v>9.8118396631365762E-3</v>
      </c>
      <c r="P90" s="91">
        <f t="shared" si="98"/>
        <v>9.6106008291896063E-3</v>
      </c>
      <c r="Q90" s="91">
        <f t="shared" si="98"/>
        <v>9.5134277026340617E-3</v>
      </c>
      <c r="R90" s="91">
        <f t="shared" si="98"/>
        <v>9.4098784265500227E-3</v>
      </c>
      <c r="S90" s="91">
        <f t="shared" si="98"/>
        <v>9.3246846451222037E-3</v>
      </c>
      <c r="T90" s="91">
        <f t="shared" ref="T90:Y90" si="99">T62/T$23</f>
        <v>9.1927543707650793E-3</v>
      </c>
      <c r="U90" s="91">
        <f t="shared" si="99"/>
        <v>8.7247675977418816E-3</v>
      </c>
      <c r="V90" s="91">
        <f t="shared" si="99"/>
        <v>8.8154269972451783E-3</v>
      </c>
      <c r="W90" s="91">
        <f t="shared" si="99"/>
        <v>8.6886411966427407E-3</v>
      </c>
      <c r="X90" s="91">
        <f t="shared" si="99"/>
        <v>8.1228937512929939E-3</v>
      </c>
      <c r="Y90" s="91">
        <f t="shared" si="99"/>
        <v>7.4402393357396171E-3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1.9836227046102772E-2</v>
      </c>
      <c r="F93" s="92">
        <f t="shared" ref="F93:F94" si="101">IF(E16=0,"",F16/E16-1)</f>
        <v>1.1362286986453807E-2</v>
      </c>
      <c r="G93" s="92">
        <f t="shared" ref="G93:G94" si="102">IF(F16=0,"",G16/F16-1)</f>
        <v>8.2300174785756575E-3</v>
      </c>
      <c r="H93" s="92">
        <f t="shared" ref="H93:H94" si="103">IF(G16=0,"",H16/G16-1)</f>
        <v>2.8291593534467863E-2</v>
      </c>
      <c r="I93" s="92">
        <f t="shared" ref="I93:I94" si="104">IF(H16=0,"",I16/H16-1)</f>
        <v>1.6642390893108816E-2</v>
      </c>
      <c r="J93" s="92">
        <f t="shared" ref="J93:J94" si="105">IF(I16=0,"",J16/I16-1)</f>
        <v>2.4483108034950352E-2</v>
      </c>
      <c r="K93" s="92">
        <f t="shared" ref="K93:K94" si="106">IF(J16=0,"",K16/J16-1)</f>
        <v>2.4248233773291439E-2</v>
      </c>
      <c r="L93" s="92">
        <f t="shared" ref="L93:L94" si="107">IF(K16=0,"",L16/K16-1)</f>
        <v>2.5492545129972566E-3</v>
      </c>
      <c r="M93" s="92">
        <f t="shared" ref="M93:M94" si="108">IF(L16=0,"",M16/L16-1)</f>
        <v>-2.8733868082850167E-2</v>
      </c>
      <c r="N93" s="92">
        <f t="shared" ref="N93:N94" si="109">IF(M16=0,"",N16/M16-1)</f>
        <v>1.9494295958399244E-2</v>
      </c>
      <c r="O93" s="92">
        <f t="shared" ref="O93:O94" si="110">IF(N16=0,"",O16/N16-1)</f>
        <v>2.1932517683808106E-2</v>
      </c>
      <c r="P93" s="92">
        <f t="shared" ref="P93:P94" si="111">IF(O16=0,"",P16/O16-1)</f>
        <v>3.1346859509986391E-3</v>
      </c>
      <c r="Q93" s="92">
        <f t="shared" ref="Q93:Q94" si="112">IF(P16=0,"",Q16/P16-1)</f>
        <v>5.7634867734122075E-3</v>
      </c>
      <c r="R93" s="92">
        <f t="shared" ref="R93:R94" si="113">IF(Q16=0,"",R16/Q16-1)</f>
        <v>9.5534228736691151E-3</v>
      </c>
      <c r="S93" s="92">
        <f t="shared" ref="S93:S94" si="114">IF(R16=0,"",S16/R16-1)</f>
        <v>1.1133607626880204E-2</v>
      </c>
      <c r="T93" s="92">
        <f t="shared" ref="T93:T94" si="115">IF(S16=0,"",T16/S16-1)</f>
        <v>1.0950212376433122E-2</v>
      </c>
      <c r="U93" s="92">
        <f t="shared" ref="U93:U94" si="116">IF(T16=0,"",U16/T16-1)</f>
        <v>2.2917288641011613E-2</v>
      </c>
      <c r="V93" s="92">
        <f t="shared" ref="V93:V94" si="117">IF(U16=0,"",V16/U16-1)</f>
        <v>1.8656781232476716E-2</v>
      </c>
      <c r="W93" s="92">
        <f t="shared" ref="W93:W94" si="118">IF(V16=0,"",W16/V16-1)</f>
        <v>1.8427653767506325E-2</v>
      </c>
      <c r="X93" s="92">
        <f t="shared" ref="X93:X94" si="119">IF(W16=0,"",X16/W16-1)</f>
        <v>-7.5403498670428171E-2</v>
      </c>
      <c r="Y93" s="92">
        <f t="shared" ref="Y93:Y94" si="120">IF(X16=0,"",Y16/X16-1)</f>
        <v>6.4347163367452387E-2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2.5182279356772641E-2</v>
      </c>
      <c r="F94" s="93">
        <f t="shared" si="101"/>
        <v>2.0817520339849516E-2</v>
      </c>
      <c r="G94" s="93">
        <f t="shared" si="102"/>
        <v>1.486046930104501E-2</v>
      </c>
      <c r="H94" s="93">
        <f t="shared" si="103"/>
        <v>1.9511524699202587E-2</v>
      </c>
      <c r="I94" s="93">
        <f t="shared" si="104"/>
        <v>2.4178679253874957E-2</v>
      </c>
      <c r="J94" s="93">
        <f t="shared" si="105"/>
        <v>2.1435303248676041E-2</v>
      </c>
      <c r="K94" s="93">
        <f t="shared" si="106"/>
        <v>2.6368673048185576E-2</v>
      </c>
      <c r="L94" s="93">
        <f t="shared" si="107"/>
        <v>5.2200219171831819E-3</v>
      </c>
      <c r="M94" s="93">
        <f t="shared" si="108"/>
        <v>3.0539862290321906E-3</v>
      </c>
      <c r="N94" s="93">
        <f t="shared" si="109"/>
        <v>1.8832137307285279E-2</v>
      </c>
      <c r="O94" s="93">
        <f t="shared" si="110"/>
        <v>6.1804219178704933E-3</v>
      </c>
      <c r="P94" s="93">
        <f t="shared" si="111"/>
        <v>-4.2302192521556092E-3</v>
      </c>
      <c r="Q94" s="93">
        <f t="shared" si="112"/>
        <v>5.0884113414773058E-3</v>
      </c>
      <c r="R94" s="93">
        <f t="shared" si="113"/>
        <v>8.2043859280644948E-3</v>
      </c>
      <c r="S94" s="93">
        <f t="shared" si="114"/>
        <v>1.4787270916146955E-2</v>
      </c>
      <c r="T94" s="93">
        <f t="shared" si="115"/>
        <v>1.7794510884877157E-2</v>
      </c>
      <c r="U94" s="93">
        <f t="shared" si="116"/>
        <v>1.4795247223337249E-2</v>
      </c>
      <c r="V94" s="93">
        <f t="shared" si="117"/>
        <v>9.8147288265229005E-3</v>
      </c>
      <c r="W94" s="93">
        <f t="shared" si="118"/>
        <v>1.7685949542387558E-2</v>
      </c>
      <c r="X94" s="93">
        <f t="shared" si="119"/>
        <v>-6.6146501365876964E-2</v>
      </c>
      <c r="Y94" s="93">
        <f t="shared" si="120"/>
        <v>5.1371798665692081E-2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1.2572981557816387E-2</v>
      </c>
      <c r="F95" s="92">
        <f t="shared" ref="F95:F96" si="122">IF(E20=0,"",F20/E20-1)</f>
        <v>4.0398432507326998E-3</v>
      </c>
      <c r="G95" s="92">
        <f t="shared" ref="G95:G96" si="123">IF(F20=0,"",G20/F20-1)</f>
        <v>1.0582697005838693E-3</v>
      </c>
      <c r="H95" s="92">
        <f t="shared" ref="H95:H96" si="124">IF(G20=0,"",H20/G20-1)</f>
        <v>2.1223841217665518E-2</v>
      </c>
      <c r="I95" s="92">
        <f t="shared" ref="I95:I96" si="125">IF(H20=0,"",I20/H20-1)</f>
        <v>8.8583304272968899E-3</v>
      </c>
      <c r="J95" s="92">
        <f t="shared" ref="J95:J96" si="126">IF(I20=0,"",J20/I20-1)</f>
        <v>1.7082337386162161E-2</v>
      </c>
      <c r="K95" s="92">
        <f t="shared" ref="K95:K96" si="127">IF(J20=0,"",K20/J20-1)</f>
        <v>1.756266524167871E-2</v>
      </c>
      <c r="L95" s="92">
        <f t="shared" ref="L95:L96" si="128">IF(K20=0,"",L20/K20-1)</f>
        <v>-3.122782322585782E-3</v>
      </c>
      <c r="M95" s="92">
        <f t="shared" ref="M95:M96" si="129">IF(L20=0,"",M20/L20-1)</f>
        <v>-3.3911415323009675E-2</v>
      </c>
      <c r="N95" s="92">
        <f t="shared" ref="N95:N96" si="130">IF(M20=0,"",N20/M20-1)</f>
        <v>1.4628040289390132E-2</v>
      </c>
      <c r="O95" s="92">
        <f t="shared" ref="O95:O96" si="131">IF(N20=0,"",O20/N20-1)</f>
        <v>1.6901940908236712E-2</v>
      </c>
      <c r="P95" s="92">
        <f t="shared" ref="P95:P96" si="132">IF(O20=0,"",P20/O20-1)</f>
        <v>-1.448812610831629E-3</v>
      </c>
      <c r="Q95" s="92">
        <f t="shared" ref="Q95:Q96" si="133">IF(P20=0,"",Q20/P20-1)</f>
        <v>8.0572783725618713E-4</v>
      </c>
      <c r="R95" s="92">
        <f t="shared" ref="R95:R96" si="134">IF(Q20=0,"",R20/Q20-1)</f>
        <v>9.2310102881731915E-4</v>
      </c>
      <c r="S95" s="92">
        <f t="shared" ref="S95:S96" si="135">IF(R20=0,"",S20/R20-1)</f>
        <v>6.6883149696919109E-3</v>
      </c>
      <c r="T95" s="92">
        <f t="shared" ref="T95:T96" si="136">IF(S20=0,"",T20/S20-1)</f>
        <v>8.2158779838408247E-3</v>
      </c>
      <c r="U95" s="92">
        <f t="shared" ref="U95:U96" si="137">IF(T20=0,"",U20/T20-1)</f>
        <v>2.0292620490372393E-2</v>
      </c>
      <c r="V95" s="92">
        <f t="shared" ref="V95:V96" si="138">IF(U20=0,"",V20/U20-1)</f>
        <v>1.5367837539140172E-2</v>
      </c>
      <c r="W95" s="92">
        <f t="shared" ref="W95:W96" si="139">IF(V20=0,"",W20/V20-1)</f>
        <v>1.6132214733119321E-2</v>
      </c>
      <c r="X95" s="92">
        <f t="shared" ref="X95:X96" si="140">IF(W20=0,"",X20/W20-1)</f>
        <v>-7.7361736135970194E-2</v>
      </c>
      <c r="Y95" s="92">
        <f t="shared" ref="Y95:Y96" si="141">IF(X20=0,"",Y20/X20-1)</f>
        <v>5.9054018299097066E-2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1.7880959431340715E-2</v>
      </c>
      <c r="F96" s="93">
        <f t="shared" si="122"/>
        <v>1.3426619024555553E-2</v>
      </c>
      <c r="G96" s="93">
        <f t="shared" si="123"/>
        <v>7.6415577535757784E-3</v>
      </c>
      <c r="H96" s="93">
        <f t="shared" si="124"/>
        <v>1.2504120392869522E-2</v>
      </c>
      <c r="I96" s="93">
        <f t="shared" si="125"/>
        <v>1.6336916173246063E-2</v>
      </c>
      <c r="J96" s="93">
        <f t="shared" si="126"/>
        <v>1.405654965807912E-2</v>
      </c>
      <c r="K96" s="93">
        <f t="shared" si="127"/>
        <v>1.9669263787712721E-2</v>
      </c>
      <c r="L96" s="93">
        <f t="shared" si="128"/>
        <v>-4.6712508982338363E-4</v>
      </c>
      <c r="M96" s="93">
        <f t="shared" si="129"/>
        <v>-2.2930131437145507E-3</v>
      </c>
      <c r="N96" s="93">
        <f t="shared" si="130"/>
        <v>1.396904225751916E-2</v>
      </c>
      <c r="O96" s="93">
        <f t="shared" si="131"/>
        <v>1.227386590247459E-3</v>
      </c>
      <c r="P96" s="93">
        <f t="shared" si="132"/>
        <v>-8.780066268605613E-3</v>
      </c>
      <c r="Q96" s="93">
        <f t="shared" si="133"/>
        <v>1.3398008752418811E-4</v>
      </c>
      <c r="R96" s="93">
        <f t="shared" si="134"/>
        <v>-4.1440346812504636E-4</v>
      </c>
      <c r="S96" s="93">
        <f t="shared" si="135"/>
        <v>1.0325915492902293E-2</v>
      </c>
      <c r="T96" s="93">
        <f t="shared" si="136"/>
        <v>1.5041664600625504E-2</v>
      </c>
      <c r="U96" s="93">
        <f t="shared" si="137"/>
        <v>1.2191419138325443E-2</v>
      </c>
      <c r="V96" s="93">
        <f t="shared" si="138"/>
        <v>6.5543335245901169E-3</v>
      </c>
      <c r="W96" s="93">
        <f t="shared" si="139"/>
        <v>1.539218223875527E-2</v>
      </c>
      <c r="X96" s="93">
        <f t="shared" si="140"/>
        <v>-6.8124344571775963E-2</v>
      </c>
      <c r="Y96" s="93">
        <f t="shared" si="141"/>
        <v>4.6143181873490313E-2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1.9848714279557367E-2</v>
      </c>
      <c r="F97" s="89">
        <f t="shared" ref="F97:F106" si="143">IF(E23=0,"",F23/E23-1)</f>
        <v>1.1152941660727667E-2</v>
      </c>
      <c r="G97" s="89">
        <f t="shared" ref="G97:G106" si="144">IF(F23=0,"",G23/F23-1)</f>
        <v>7.1241798906644949E-3</v>
      </c>
      <c r="H97" s="89">
        <f t="shared" ref="H97:H106" si="145">IF(G23=0,"",H23/G23-1)</f>
        <v>3.03125517634244E-2</v>
      </c>
      <c r="I97" s="89">
        <f t="shared" ref="I97:I106" si="146">IF(H23=0,"",I23/H23-1)</f>
        <v>1.4825425548367521E-2</v>
      </c>
      <c r="J97" s="89">
        <f t="shared" ref="J97:J106" si="147">IF(I23=0,"",J23/I23-1)</f>
        <v>2.4767591623689134E-2</v>
      </c>
      <c r="K97" s="89">
        <f t="shared" ref="K97:K106" si="148">IF(J23=0,"",K23/J23-1)</f>
        <v>2.55322416527759E-2</v>
      </c>
      <c r="L97" s="89">
        <f t="shared" ref="L97:L106" si="149">IF(K23=0,"",L23/K23-1)</f>
        <v>5.1394782263209926E-3</v>
      </c>
      <c r="M97" s="89">
        <f t="shared" ref="M97:M106" si="150">IF(L23=0,"",M23/L23-1)</f>
        <v>-2.6247608855116233E-2</v>
      </c>
      <c r="N97" s="89">
        <f t="shared" ref="N97:N106" si="151">IF(M23=0,"",N23/M23-1)</f>
        <v>1.7413817566455103E-2</v>
      </c>
      <c r="O97" s="89">
        <f t="shared" ref="O97:O106" si="152">IF(N23=0,"",O23/N23-1)</f>
        <v>2.2390798616306107E-2</v>
      </c>
      <c r="P97" s="89">
        <f t="shared" ref="P97:P106" si="153">IF(O23=0,"",P23/O23-1)</f>
        <v>5.6433276637415375E-3</v>
      </c>
      <c r="Q97" s="89">
        <f t="shared" ref="Q97:Q106" si="154">IF(P23=0,"",Q23/P23-1)</f>
        <v>6.1935232281371544E-3</v>
      </c>
      <c r="R97" s="89">
        <f t="shared" ref="R97:R106" si="155">IF(Q23=0,"",R23/Q23-1)</f>
        <v>1.1121943270839818E-2</v>
      </c>
      <c r="S97" s="89">
        <f t="shared" ref="S97:S106" si="156">IF(R23=0,"",S23/R23-1)</f>
        <v>9.0252433492628015E-3</v>
      </c>
      <c r="T97" s="89">
        <f t="shared" ref="T97:T106" si="157">IF(S23=0,"",T23/S23-1)</f>
        <v>9.6843824423025193E-3</v>
      </c>
      <c r="U97" s="89">
        <f t="shared" ref="U97:U106" si="158">IF(T23=0,"",U23/T23-1)</f>
        <v>2.175115521267923E-2</v>
      </c>
      <c r="V97" s="89">
        <f t="shared" ref="V97:V106" si="159">IF(U23=0,"",V23/U23-1)</f>
        <v>1.8845093171787397E-2</v>
      </c>
      <c r="W97" s="89">
        <f t="shared" ref="W97:W106" si="160">IF(V23=0,"",W23/V23-1)</f>
        <v>1.8921881044673627E-2</v>
      </c>
      <c r="X97" s="89">
        <f t="shared" ref="X97:X106" si="161">IF(W23=0,"",X23/W23-1)</f>
        <v>-7.4800777949781572E-2</v>
      </c>
      <c r="Y97" s="89">
        <f t="shared" ref="Y97:Y106" si="162">IF(X23=0,"",Y23/X23-1)</f>
        <v>6.1281425096213704E-2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2.0946723134452894E-2</v>
      </c>
      <c r="F98" s="83">
        <f t="shared" si="143"/>
        <v>-3.6034703010019209E-2</v>
      </c>
      <c r="G98" s="83">
        <f t="shared" si="144"/>
        <v>-7.3628492760552056E-2</v>
      </c>
      <c r="H98" s="83">
        <f t="shared" si="145"/>
        <v>1.6757769369660114E-2</v>
      </c>
      <c r="I98" s="83">
        <f t="shared" si="146"/>
        <v>-6.3226394985229417E-2</v>
      </c>
      <c r="J98" s="83">
        <f t="shared" si="147"/>
        <v>-7.0731573012826954E-2</v>
      </c>
      <c r="K98" s="83">
        <f t="shared" si="148"/>
        <v>8.6475251955604238E-2</v>
      </c>
      <c r="L98" s="83">
        <f t="shared" si="149"/>
        <v>-5.8155439618437277E-2</v>
      </c>
      <c r="M98" s="83">
        <f t="shared" si="150"/>
        <v>-0.15340377733626065</v>
      </c>
      <c r="N98" s="83">
        <f t="shared" si="151"/>
        <v>0.23718042745413181</v>
      </c>
      <c r="O98" s="83">
        <f t="shared" si="152"/>
        <v>5.5314409853929103E-2</v>
      </c>
      <c r="P98" s="83">
        <f t="shared" si="153"/>
        <v>-5.3118952409746401E-3</v>
      </c>
      <c r="Q98" s="83">
        <f t="shared" si="154"/>
        <v>-0.10012346954284379</v>
      </c>
      <c r="R98" s="83">
        <f t="shared" si="155"/>
        <v>7.9895675706420866E-2</v>
      </c>
      <c r="S98" s="83">
        <f t="shared" si="156"/>
        <v>4.2775378384840801E-2</v>
      </c>
      <c r="T98" s="83">
        <f t="shared" si="157"/>
        <v>-9.5105793909253E-2</v>
      </c>
      <c r="U98" s="83">
        <f t="shared" si="158"/>
        <v>0.10040540758450711</v>
      </c>
      <c r="V98" s="83">
        <f t="shared" si="159"/>
        <v>9.0827737162926914E-2</v>
      </c>
      <c r="W98" s="83">
        <f t="shared" si="160"/>
        <v>-5.9802893276948432E-2</v>
      </c>
      <c r="X98" s="83">
        <f t="shared" si="161"/>
        <v>-4.3012436129437837E-2</v>
      </c>
      <c r="Y98" s="83">
        <f t="shared" si="162"/>
        <v>9.4245488948686118E-2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-1.4263484000891058E-2</v>
      </c>
      <c r="F99" s="83">
        <f t="shared" si="143"/>
        <v>-2.4132808921228932E-3</v>
      </c>
      <c r="G99" s="83">
        <f t="shared" si="144"/>
        <v>-9.7586801489877972E-2</v>
      </c>
      <c r="H99" s="83">
        <f t="shared" si="145"/>
        <v>-4.1316049043409353E-2</v>
      </c>
      <c r="I99" s="83">
        <f t="shared" si="146"/>
        <v>7.226194733775082E-2</v>
      </c>
      <c r="J99" s="83">
        <f t="shared" si="147"/>
        <v>7.9667989107053527E-2</v>
      </c>
      <c r="K99" s="83">
        <f t="shared" si="148"/>
        <v>6.9881925139193113E-2</v>
      </c>
      <c r="L99" s="83">
        <f t="shared" si="149"/>
        <v>-3.4440820872653877E-2</v>
      </c>
      <c r="M99" s="83">
        <f t="shared" si="150"/>
        <v>-7.8521861640376556E-2</v>
      </c>
      <c r="N99" s="83">
        <f t="shared" si="151"/>
        <v>1.5720296844527581E-2</v>
      </c>
      <c r="O99" s="83">
        <f t="shared" si="152"/>
        <v>-1.0120254484055846E-2</v>
      </c>
      <c r="P99" s="83">
        <f t="shared" si="153"/>
        <v>-1.9760722790071461E-2</v>
      </c>
      <c r="Q99" s="83">
        <f t="shared" si="154"/>
        <v>-5.342439513408126E-2</v>
      </c>
      <c r="R99" s="83">
        <f t="shared" si="155"/>
        <v>3.1220753382584343E-2</v>
      </c>
      <c r="S99" s="83">
        <f t="shared" si="156"/>
        <v>-0.12022428571428578</v>
      </c>
      <c r="T99" s="83">
        <f t="shared" si="157"/>
        <v>-5.1713341612341535E-2</v>
      </c>
      <c r="U99" s="83">
        <f t="shared" si="158"/>
        <v>4.6468302976492293E-3</v>
      </c>
      <c r="V99" s="83">
        <f t="shared" si="159"/>
        <v>1.3123420829094457E-2</v>
      </c>
      <c r="W99" s="83">
        <f t="shared" si="160"/>
        <v>-1.4335946423709722E-2</v>
      </c>
      <c r="X99" s="83">
        <f t="shared" si="161"/>
        <v>-0.1103929415945718</v>
      </c>
      <c r="Y99" s="83">
        <f t="shared" si="162"/>
        <v>3.5927249351738855E-2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2.5541153050792964E-2</v>
      </c>
      <c r="F100" s="83">
        <f t="shared" si="143"/>
        <v>1.7071626421590214E-2</v>
      </c>
      <c r="G100" s="83">
        <f t="shared" si="144"/>
        <v>1.4596750813572923E-2</v>
      </c>
      <c r="H100" s="83">
        <f t="shared" si="145"/>
        <v>3.3628203726139949E-2</v>
      </c>
      <c r="I100" s="83">
        <f t="shared" si="146"/>
        <v>2.0762225353188946E-2</v>
      </c>
      <c r="J100" s="83">
        <f t="shared" si="147"/>
        <v>3.1114808880373213E-2</v>
      </c>
      <c r="K100" s="83">
        <f t="shared" si="148"/>
        <v>2.7422410801013042E-2</v>
      </c>
      <c r="L100" s="83">
        <f t="shared" si="149"/>
        <v>1.1681628763907881E-2</v>
      </c>
      <c r="M100" s="83">
        <f t="shared" si="150"/>
        <v>-1.4620939958614021E-2</v>
      </c>
      <c r="N100" s="83">
        <f t="shared" si="151"/>
        <v>1.9805580774495013E-2</v>
      </c>
      <c r="O100" s="83">
        <f t="shared" si="152"/>
        <v>1.9330959010254611E-2</v>
      </c>
      <c r="P100" s="83">
        <f t="shared" si="153"/>
        <v>7.6013903414213768E-3</v>
      </c>
      <c r="Q100" s="83">
        <f t="shared" si="154"/>
        <v>6.6205405149855068E-3</v>
      </c>
      <c r="R100" s="83">
        <f t="shared" si="155"/>
        <v>1.2474677934459777E-2</v>
      </c>
      <c r="S100" s="83">
        <f t="shared" si="156"/>
        <v>8.9149629454461365E-3</v>
      </c>
      <c r="T100" s="83">
        <f t="shared" si="157"/>
        <v>1.4965205952190086E-2</v>
      </c>
      <c r="U100" s="83">
        <f t="shared" si="158"/>
        <v>2.2195955856289418E-2</v>
      </c>
      <c r="V100" s="83">
        <f t="shared" si="159"/>
        <v>1.7606423472793065E-2</v>
      </c>
      <c r="W100" s="83">
        <f t="shared" si="160"/>
        <v>1.7514298318269228E-2</v>
      </c>
      <c r="X100" s="83">
        <f t="shared" si="161"/>
        <v>-6.7466802695219541E-2</v>
      </c>
      <c r="Y100" s="83">
        <f t="shared" si="162"/>
        <v>6.4296907358020627E-2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1.989023926652056E-2</v>
      </c>
      <c r="F101" s="84">
        <f t="shared" si="143"/>
        <v>3.001352567369886E-2</v>
      </c>
      <c r="G101" s="84">
        <f t="shared" si="144"/>
        <v>1.6203567695928456E-2</v>
      </c>
      <c r="H101" s="84">
        <f t="shared" si="145"/>
        <v>3.0326158114045931E-2</v>
      </c>
      <c r="I101" s="84">
        <f t="shared" si="146"/>
        <v>2.1319169929580273E-2</v>
      </c>
      <c r="J101" s="84">
        <f t="shared" si="147"/>
        <v>1.9272688030474772E-2</v>
      </c>
      <c r="K101" s="84">
        <f t="shared" si="148"/>
        <v>2.2125193872896132E-2</v>
      </c>
      <c r="L101" s="84">
        <f t="shared" si="149"/>
        <v>1.0660162753987512E-2</v>
      </c>
      <c r="M101" s="84">
        <f t="shared" si="150"/>
        <v>1.537652217326424E-2</v>
      </c>
      <c r="N101" s="84">
        <f t="shared" si="151"/>
        <v>2.2333064552562787E-2</v>
      </c>
      <c r="O101" s="84">
        <f t="shared" si="152"/>
        <v>1.9321763551465532E-2</v>
      </c>
      <c r="P101" s="84">
        <f t="shared" si="153"/>
        <v>1.266287872781402E-2</v>
      </c>
      <c r="Q101" s="84">
        <f t="shared" si="154"/>
        <v>1.2155847713392953E-2</v>
      </c>
      <c r="R101" s="84">
        <f t="shared" si="155"/>
        <v>1.3926764888279708E-2</v>
      </c>
      <c r="S101" s="84">
        <f t="shared" si="156"/>
        <v>2.3029618551833053E-3</v>
      </c>
      <c r="T101" s="84">
        <f t="shared" si="157"/>
        <v>1.1641014074514011E-2</v>
      </c>
      <c r="U101" s="84">
        <f t="shared" si="158"/>
        <v>2.1582656900996477E-2</v>
      </c>
      <c r="V101" s="84">
        <f t="shared" si="159"/>
        <v>6.7783509029264444E-3</v>
      </c>
      <c r="W101" s="84">
        <f t="shared" si="160"/>
        <v>1.7353643020761922E-2</v>
      </c>
      <c r="X101" s="84">
        <f t="shared" si="161"/>
        <v>-8.9457818747110007E-2</v>
      </c>
      <c r="Y101" s="84">
        <f t="shared" si="162"/>
        <v>7.486680392122369E-2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2.2835834766787411E-2</v>
      </c>
      <c r="F102" s="84">
        <f t="shared" si="143"/>
        <v>1.0605756987933201E-2</v>
      </c>
      <c r="G102" s="84">
        <f t="shared" si="144"/>
        <v>1.1194681071726498E-2</v>
      </c>
      <c r="H102" s="84">
        <f t="shared" si="145"/>
        <v>4.687066253167349E-2</v>
      </c>
      <c r="I102" s="84">
        <f t="shared" si="146"/>
        <v>3.3051847078205299E-2</v>
      </c>
      <c r="J102" s="84">
        <f t="shared" si="147"/>
        <v>5.1023225326705779E-2</v>
      </c>
      <c r="K102" s="84">
        <f t="shared" si="148"/>
        <v>3.5496313611940389E-2</v>
      </c>
      <c r="L102" s="84">
        <f t="shared" si="149"/>
        <v>5.953293427940487E-3</v>
      </c>
      <c r="M102" s="84">
        <f t="shared" si="150"/>
        <v>-3.5521920269247054E-2</v>
      </c>
      <c r="N102" s="84">
        <f t="shared" si="151"/>
        <v>2.9143721071474449E-2</v>
      </c>
      <c r="O102" s="84">
        <f t="shared" si="152"/>
        <v>1.7938643833891987E-2</v>
      </c>
      <c r="P102" s="84">
        <f t="shared" si="153"/>
        <v>3.9859431027651215E-3</v>
      </c>
      <c r="Q102" s="84">
        <f t="shared" si="154"/>
        <v>6.1770754311285536E-3</v>
      </c>
      <c r="R102" s="84">
        <f t="shared" si="155"/>
        <v>1.5041037903466892E-2</v>
      </c>
      <c r="S102" s="84">
        <f t="shared" si="156"/>
        <v>9.6386189317509974E-3</v>
      </c>
      <c r="T102" s="84">
        <f t="shared" si="157"/>
        <v>2.1065604720543529E-2</v>
      </c>
      <c r="U102" s="84">
        <f t="shared" si="158"/>
        <v>2.2847125717202488E-2</v>
      </c>
      <c r="V102" s="84">
        <f t="shared" si="159"/>
        <v>2.8561967544832534E-2</v>
      </c>
      <c r="W102" s="84">
        <f t="shared" si="160"/>
        <v>1.6157206543738534E-2</v>
      </c>
      <c r="X102" s="84">
        <f t="shared" si="161"/>
        <v>-5.6278359287433632E-2</v>
      </c>
      <c r="Y102" s="84">
        <f t="shared" si="162"/>
        <v>4.7668703180040461E-2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4.5056966205812454E-2</v>
      </c>
      <c r="F103" s="84">
        <f t="shared" si="143"/>
        <v>5.8006289266185895E-3</v>
      </c>
      <c r="G103" s="84">
        <f t="shared" si="144"/>
        <v>1.9805950420402896E-2</v>
      </c>
      <c r="H103" s="84">
        <f t="shared" si="145"/>
        <v>7.1154690530230713E-3</v>
      </c>
      <c r="I103" s="84">
        <f t="shared" si="146"/>
        <v>-1.3049501292232479E-2</v>
      </c>
      <c r="J103" s="84">
        <f t="shared" si="147"/>
        <v>3.3965100268655846E-3</v>
      </c>
      <c r="K103" s="84">
        <f t="shared" si="148"/>
        <v>1.6461334808994588E-2</v>
      </c>
      <c r="L103" s="84">
        <f t="shared" si="149"/>
        <v>3.1056401230088015E-2</v>
      </c>
      <c r="M103" s="84">
        <f t="shared" si="150"/>
        <v>-2.4008308897325525E-2</v>
      </c>
      <c r="N103" s="84">
        <f t="shared" si="151"/>
        <v>-1.2951254883124319E-2</v>
      </c>
      <c r="O103" s="84">
        <f t="shared" si="152"/>
        <v>2.3496044823627438E-2</v>
      </c>
      <c r="P103" s="84">
        <f t="shared" si="153"/>
        <v>5.6715782599505715E-3</v>
      </c>
      <c r="Q103" s="84">
        <f t="shared" si="154"/>
        <v>-5.9747419956582837E-3</v>
      </c>
      <c r="R103" s="84">
        <f t="shared" si="155"/>
        <v>1.0871171760098441E-3</v>
      </c>
      <c r="S103" s="84">
        <f t="shared" si="156"/>
        <v>2.3850952582665563E-2</v>
      </c>
      <c r="T103" s="84">
        <f t="shared" si="157"/>
        <v>5.1586830413916651E-3</v>
      </c>
      <c r="U103" s="84">
        <f t="shared" si="158"/>
        <v>2.1783934136812011E-2</v>
      </c>
      <c r="V103" s="84">
        <f t="shared" si="159"/>
        <v>1.1935334730843516E-2</v>
      </c>
      <c r="W103" s="84">
        <f t="shared" si="160"/>
        <v>2.2115551622254648E-2</v>
      </c>
      <c r="X103" s="84">
        <f t="shared" si="161"/>
        <v>-4.6261000796263496E-2</v>
      </c>
      <c r="Y103" s="84">
        <f t="shared" si="162"/>
        <v>8.9338641414857367E-2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-3.9742591873242805E-2</v>
      </c>
      <c r="F104" s="83">
        <f t="shared" si="143"/>
        <v>4.160371412645536E-2</v>
      </c>
      <c r="G104" s="83">
        <f t="shared" si="144"/>
        <v>1.7532476757937676E-3</v>
      </c>
      <c r="H104" s="83">
        <f t="shared" si="145"/>
        <v>6.3890647883682705E-2</v>
      </c>
      <c r="I104" s="83">
        <f t="shared" si="146"/>
        <v>3.8836525931940535E-2</v>
      </c>
      <c r="J104" s="83">
        <f t="shared" si="147"/>
        <v>-2.7220988526036938E-2</v>
      </c>
      <c r="K104" s="83">
        <f t="shared" si="148"/>
        <v>-0.15495402989829377</v>
      </c>
      <c r="L104" s="83">
        <f t="shared" si="149"/>
        <v>-8.6484719426781598E-2</v>
      </c>
      <c r="M104" s="83">
        <f t="shared" si="150"/>
        <v>1.125404105829797E-2</v>
      </c>
      <c r="N104" s="83">
        <f t="shared" si="151"/>
        <v>-7.0021583432736678E-3</v>
      </c>
      <c r="O104" s="83">
        <f t="shared" si="152"/>
        <v>7.8200144054611842E-2</v>
      </c>
      <c r="P104" s="83">
        <f t="shared" si="153"/>
        <v>0.10538683297323304</v>
      </c>
      <c r="Q104" s="83">
        <f t="shared" si="154"/>
        <v>5.4802586866234737E-2</v>
      </c>
      <c r="R104" s="83">
        <f t="shared" si="155"/>
        <v>2.3390173965733396E-2</v>
      </c>
      <c r="S104" s="83">
        <f t="shared" si="156"/>
        <v>3.2256197171472545E-2</v>
      </c>
      <c r="T104" s="83">
        <f t="shared" si="157"/>
        <v>-4.5929965740737488E-3</v>
      </c>
      <c r="U104" s="83">
        <f t="shared" si="158"/>
        <v>-5.7917207226706902E-2</v>
      </c>
      <c r="V104" s="83">
        <f t="shared" si="159"/>
        <v>4.9977603734368437E-2</v>
      </c>
      <c r="W104" s="83">
        <f t="shared" si="160"/>
        <v>7.922290124560516E-2</v>
      </c>
      <c r="X104" s="83">
        <f t="shared" si="161"/>
        <v>-2.2521344439725421E-3</v>
      </c>
      <c r="Y104" s="83">
        <f t="shared" si="162"/>
        <v>3.88190441073617E-2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4.2637520377678317E-2</v>
      </c>
      <c r="F105" s="83">
        <f t="shared" si="143"/>
        <v>1.977608113497098E-2</v>
      </c>
      <c r="G105" s="83">
        <f t="shared" si="144"/>
        <v>2.833210052356061E-2</v>
      </c>
      <c r="H105" s="83">
        <f t="shared" si="145"/>
        <v>6.2903333488855351E-2</v>
      </c>
      <c r="I105" s="83">
        <f t="shared" si="146"/>
        <v>4.5379891474852441E-2</v>
      </c>
      <c r="J105" s="83">
        <f t="shared" si="147"/>
        <v>7.917417624204659E-2</v>
      </c>
      <c r="K105" s="83">
        <f t="shared" si="148"/>
        <v>7.9772300305609445E-2</v>
      </c>
      <c r="L105" s="83">
        <f t="shared" si="149"/>
        <v>5.7096327155919724E-2</v>
      </c>
      <c r="M105" s="83">
        <f t="shared" si="150"/>
        <v>-4.4214848662342487E-2</v>
      </c>
      <c r="N105" s="83">
        <f t="shared" si="151"/>
        <v>-1.5949436865207445E-2</v>
      </c>
      <c r="O105" s="83">
        <f t="shared" si="152"/>
        <v>2.6671457821247913E-2</v>
      </c>
      <c r="P105" s="83">
        <f t="shared" si="153"/>
        <v>-2.6554628070470487E-2</v>
      </c>
      <c r="Q105" s="83">
        <f t="shared" si="154"/>
        <v>1.4084127830800153E-2</v>
      </c>
      <c r="R105" s="83">
        <f t="shared" si="155"/>
        <v>-1.9375346243897029E-2</v>
      </c>
      <c r="S105" s="83">
        <f t="shared" si="156"/>
        <v>-3.1644204656907315E-2</v>
      </c>
      <c r="T105" s="83">
        <f t="shared" si="157"/>
        <v>-7.3551259029780436E-4</v>
      </c>
      <c r="U105" s="83">
        <f t="shared" si="158"/>
        <v>4.1051384948410652E-2</v>
      </c>
      <c r="V105" s="83">
        <f t="shared" si="159"/>
        <v>2.9123808493648928E-2</v>
      </c>
      <c r="W105" s="83">
        <f t="shared" si="160"/>
        <v>4.3799623574522384E-2</v>
      </c>
      <c r="X105" s="83">
        <f t="shared" si="161"/>
        <v>-0.12284133757187088</v>
      </c>
      <c r="Y105" s="83">
        <f t="shared" si="162"/>
        <v>9.2976249326354399E-2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-8.3547899095917089E-3</v>
      </c>
      <c r="F106" s="83">
        <f t="shared" si="143"/>
        <v>-1.9671873653510197E-2</v>
      </c>
      <c r="G106" s="83">
        <f t="shared" si="144"/>
        <v>-2.6958046614695808E-2</v>
      </c>
      <c r="H106" s="83">
        <f t="shared" si="145"/>
        <v>-3.4820166471868363E-3</v>
      </c>
      <c r="I106" s="83">
        <f t="shared" si="146"/>
        <v>-2.5239950121768717E-2</v>
      </c>
      <c r="J106" s="83">
        <f t="shared" si="147"/>
        <v>-1.599595395372011E-2</v>
      </c>
      <c r="K106" s="83">
        <f t="shared" si="148"/>
        <v>8.5503852986976714E-3</v>
      </c>
      <c r="L106" s="83">
        <f t="shared" si="149"/>
        <v>-4.2052209354039749E-2</v>
      </c>
      <c r="M106" s="83">
        <f t="shared" si="150"/>
        <v>-8.3453284382899562E-2</v>
      </c>
      <c r="N106" s="83">
        <f t="shared" si="151"/>
        <v>-7.8930496327800359E-3</v>
      </c>
      <c r="O106" s="83">
        <f t="shared" si="152"/>
        <v>3.0131037650612535E-2</v>
      </c>
      <c r="P106" s="83">
        <f t="shared" si="153"/>
        <v>-4.0244083677697384E-3</v>
      </c>
      <c r="Q106" s="83">
        <f t="shared" si="154"/>
        <v>9.4564158079217808E-3</v>
      </c>
      <c r="R106" s="83">
        <f t="shared" si="155"/>
        <v>4.7481369143624885E-3</v>
      </c>
      <c r="S106" s="83">
        <f t="shared" si="156"/>
        <v>2.4008289144420214E-2</v>
      </c>
      <c r="T106" s="83">
        <f t="shared" si="157"/>
        <v>-4.2921642078048716E-3</v>
      </c>
      <c r="U106" s="83">
        <f t="shared" si="158"/>
        <v>1.063068141016732E-2</v>
      </c>
      <c r="V106" s="83">
        <f t="shared" si="159"/>
        <v>5.4786960044692634E-3</v>
      </c>
      <c r="W106" s="83">
        <f t="shared" si="160"/>
        <v>2.0379366412401456E-2</v>
      </c>
      <c r="X106" s="83">
        <f t="shared" si="161"/>
        <v>-0.12529233395449446</v>
      </c>
      <c r="Y106" s="83">
        <f t="shared" si="162"/>
        <v>1.6258742689791772E-2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-0.12703025385635203</v>
      </c>
      <c r="F107" s="87">
        <f t="shared" ref="F107:F108" si="164">IF(E33=0,"",F33/E33-1)</f>
        <v>-0.11594860056548495</v>
      </c>
      <c r="G107" s="87">
        <f t="shared" ref="G107:G108" si="165">IF(F33=0,"",G33/F33-1)</f>
        <v>-7.8476485905842441E-2</v>
      </c>
      <c r="H107" s="87">
        <f t="shared" ref="H107:H108" si="166">IF(G33=0,"",H33/G33-1)</f>
        <v>0.14596188886552053</v>
      </c>
      <c r="I107" s="87">
        <f t="shared" ref="I107:I108" si="167">IF(H33=0,"",I33/H33-1)</f>
        <v>3.1408385109347625E-2</v>
      </c>
      <c r="J107" s="87">
        <f t="shared" ref="J107:J108" si="168">IF(I33=0,"",J33/I33-1)</f>
        <v>-4.3785627991656195E-2</v>
      </c>
      <c r="K107" s="87">
        <f t="shared" ref="K107:K108" si="169">IF(J33=0,"",K33/J33-1)</f>
        <v>0.12879346277780002</v>
      </c>
      <c r="L107" s="87">
        <f t="shared" ref="L107:L108" si="170">IF(K33=0,"",L33/K33-1)</f>
        <v>1.7813190647264721E-2</v>
      </c>
      <c r="M107" s="87">
        <f t="shared" ref="M107:M108" si="171">IF(L33=0,"",M33/L33-1)</f>
        <v>-0.24827641860436012</v>
      </c>
      <c r="N107" s="87">
        <f t="shared" ref="N107:N108" si="172">IF(M33=0,"",N33/M33-1)</f>
        <v>2.0414832952144302E-2</v>
      </c>
      <c r="O107" s="87">
        <f t="shared" ref="O107:O108" si="173">IF(N33=0,"",O33/N33-1)</f>
        <v>0.15416346374409784</v>
      </c>
      <c r="P107" s="87">
        <f t="shared" ref="P107:P108" si="174">IF(O33=0,"",P33/O33-1)</f>
        <v>-0.20017906339133196</v>
      </c>
      <c r="Q107" s="87">
        <f t="shared" ref="Q107:Q108" si="175">IF(P33=0,"",Q33/P33-1)</f>
        <v>3.3170990136552891E-3</v>
      </c>
      <c r="R107" s="87">
        <f t="shared" ref="R107:R108" si="176">IF(Q33=0,"",R33/Q33-1)</f>
        <v>-4.1438710363739029E-2</v>
      </c>
      <c r="S107" s="87">
        <f t="shared" ref="S107:S108" si="177">IF(R33=0,"",S33/R33-1)</f>
        <v>6.2735667181864851E-2</v>
      </c>
      <c r="T107" s="87">
        <f t="shared" ref="T107:T108" si="178">IF(S33=0,"",T33/S33-1)</f>
        <v>-8.2526440045898708E-2</v>
      </c>
      <c r="U107" s="87">
        <f t="shared" ref="U107:U108" si="179">IF(T33=0,"",U33/T33-1)</f>
        <v>7.3269710905608854E-2</v>
      </c>
      <c r="V107" s="87">
        <f t="shared" ref="V107:V108" si="180">IF(U33=0,"",V33/U33-1)</f>
        <v>-4.8823511038005751E-2</v>
      </c>
      <c r="W107" s="87">
        <f t="shared" ref="W107:W108" si="181">IF(V33=0,"",W33/V33-1)</f>
        <v>-0.18239872747244867</v>
      </c>
      <c r="X107" s="87">
        <f t="shared" ref="X107:X108" si="182">IF(W33=0,"",X33/W33-1)</f>
        <v>-0.24352655930666867</v>
      </c>
      <c r="Y107" s="87">
        <f t="shared" ref="Y107:Y108" si="183">IF(X33=0,"",Y33/X33-1)</f>
        <v>0.88508856786649925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-0.12703025385635214</v>
      </c>
      <c r="F108" s="89">
        <f t="shared" si="164"/>
        <v>-0.11594860056548495</v>
      </c>
      <c r="G108" s="89">
        <f t="shared" si="165"/>
        <v>-7.8476485905842441E-2</v>
      </c>
      <c r="H108" s="89">
        <f t="shared" si="166"/>
        <v>0.14596188886552075</v>
      </c>
      <c r="I108" s="89">
        <f t="shared" si="167"/>
        <v>3.1408385109347625E-2</v>
      </c>
      <c r="J108" s="89">
        <f t="shared" si="168"/>
        <v>-4.3785627991656195E-2</v>
      </c>
      <c r="K108" s="89">
        <f t="shared" si="169"/>
        <v>0.12879346277780002</v>
      </c>
      <c r="L108" s="89">
        <f t="shared" si="170"/>
        <v>1.7813190647264499E-2</v>
      </c>
      <c r="M108" s="89">
        <f t="shared" si="171"/>
        <v>-0.3114085130301848</v>
      </c>
      <c r="N108" s="89">
        <f t="shared" si="172"/>
        <v>2.828080878750372E-2</v>
      </c>
      <c r="O108" s="89">
        <f t="shared" si="173"/>
        <v>0.17825902137570626</v>
      </c>
      <c r="P108" s="89">
        <f t="shared" si="174"/>
        <v>-0.31920093363490354</v>
      </c>
      <c r="Q108" s="89">
        <f t="shared" si="175"/>
        <v>1.2055401186057857E-2</v>
      </c>
      <c r="R108" s="89">
        <f t="shared" si="176"/>
        <v>-0.10865401588590395</v>
      </c>
      <c r="S108" s="89">
        <f t="shared" si="177"/>
        <v>4.8438071957827233E-2</v>
      </c>
      <c r="T108" s="89">
        <f t="shared" si="178"/>
        <v>-0.10490464504884311</v>
      </c>
      <c r="U108" s="89">
        <f t="shared" si="179"/>
        <v>0.17600516532140031</v>
      </c>
      <c r="V108" s="89">
        <f t="shared" si="180"/>
        <v>3.2836765943748736E-2</v>
      </c>
      <c r="W108" s="89">
        <f t="shared" si="181"/>
        <v>-0.2561292444078318</v>
      </c>
      <c r="X108" s="89">
        <f t="shared" si="182"/>
        <v>-0.28871242093746552</v>
      </c>
      <c r="Y108" s="89">
        <f t="shared" si="183"/>
        <v>0.81837503786166499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-0.1270302538563518</v>
      </c>
      <c r="F109" s="89">
        <f t="shared" ref="F109" si="185">IF(E37=0,"",F37/E37-1)</f>
        <v>-0.11594860056548484</v>
      </c>
      <c r="G109" s="89">
        <f t="shared" ref="G109" si="186">IF(F37=0,"",G37/F37-1)</f>
        <v>-7.8476485905842441E-2</v>
      </c>
      <c r="H109" s="89">
        <f t="shared" ref="H109" si="187">IF(G37=0,"",H37/G37-1)</f>
        <v>0.14596188886552008</v>
      </c>
      <c r="I109" s="89">
        <f t="shared" ref="I109" si="188">IF(H37=0,"",I37/H37-1)</f>
        <v>3.1408385109347625E-2</v>
      </c>
      <c r="J109" s="89">
        <f t="shared" ref="J109" si="189">IF(I37=0,"",J37/I37-1)</f>
        <v>-4.3785627991656084E-2</v>
      </c>
      <c r="K109" s="89">
        <f t="shared" ref="K109" si="190">IF(J37=0,"",K37/J37-1)</f>
        <v>0.12879346277780046</v>
      </c>
      <c r="L109" s="89">
        <f t="shared" ref="L109" si="191">IF(K37=0,"",L37/K37-1)</f>
        <v>1.7813190647264943E-2</v>
      </c>
      <c r="M109" s="89">
        <f t="shared" ref="M109" si="192">IF(L37=0,"",M37/L37-1)</f>
        <v>-4.5434701559780244E-2</v>
      </c>
      <c r="N109" s="89">
        <f t="shared" ref="N109" si="193">IF(M37=0,"",N37/M37-1)</f>
        <v>2.1836144727371831E-3</v>
      </c>
      <c r="O109" s="89">
        <f t="shared" ref="O109" si="194">IF(N37=0,"",O37/N37-1)</f>
        <v>9.6862160208280423E-2</v>
      </c>
      <c r="P109" s="89">
        <f t="shared" ref="P109" si="195">IF(O37=0,"",P37/O37-1)</f>
        <v>0.10386953789080167</v>
      </c>
      <c r="Q109" s="89">
        <f t="shared" ref="Q109" si="196">IF(P37=0,"",Q37/P37-1)</f>
        <v>-1.0450065461295455E-2</v>
      </c>
      <c r="R109" s="89">
        <f t="shared" ref="R109" si="197">IF(Q37=0,"",R37/Q37-1)</f>
        <v>6.6867208659612265E-2</v>
      </c>
      <c r="S109" s="89">
        <f t="shared" ref="S109" si="198">IF(R37=0,"",S37/R37-1)</f>
        <v>8.198354964029031E-2</v>
      </c>
      <c r="T109" s="89">
        <f t="shared" ref="T109" si="199">IF(S37=0,"",T37/S37-1)</f>
        <v>-5.3334205919969624E-2</v>
      </c>
      <c r="U109" s="89">
        <f t="shared" ref="U109" si="200">IF(T37=0,"",U37/T37-1)</f>
        <v>-5.3447337969828368E-2</v>
      </c>
      <c r="V109" s="89">
        <f t="shared" ref="V109" si="201">IF(U37=0,"",V37/U37-1)</f>
        <v>-0.17396173892915201</v>
      </c>
      <c r="W109" s="89">
        <f t="shared" ref="W109" si="202">IF(V37=0,"",W37/V37-1)</f>
        <v>-4.1126121611358646E-2</v>
      </c>
      <c r="X109" s="89">
        <f t="shared" ref="X109" si="203">IF(W37=0,"",X37/W37-1)</f>
        <v>-0.17636059677591154</v>
      </c>
      <c r="Y109" s="89">
        <f t="shared" ref="Y109" si="204">IF(X37=0,"",Y37/X37-1)</f>
        <v>0.97072699955562181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5.3500324507904651E-5</v>
      </c>
      <c r="F110" s="89">
        <f t="shared" ref="F110:F111" si="206">IF(E43=0,"",F43/E43-1)</f>
        <v>-5.6465783038196937E-2</v>
      </c>
      <c r="G110" s="89">
        <f t="shared" ref="G110:G111" si="207">IF(F43=0,"",G43/F43-1)</f>
        <v>6.4095315745309467E-3</v>
      </c>
      <c r="H110" s="89">
        <f t="shared" ref="H110:H111" si="208">IF(G43=0,"",H43/G43-1)</f>
        <v>-1.7096980717626886E-2</v>
      </c>
      <c r="I110" s="89">
        <f t="shared" ref="I110:I111" si="209">IF(H43=0,"",I43/H43-1)</f>
        <v>3.060351626244362E-2</v>
      </c>
      <c r="J110" s="89">
        <f t="shared" ref="J110:J111" si="210">IF(I43=0,"",J43/I43-1)</f>
        <v>2.9643936359860179E-2</v>
      </c>
      <c r="K110" s="89">
        <f t="shared" ref="K110:K111" si="211">IF(J43=0,"",K43/J43-1)</f>
        <v>-1.0116865958095245E-2</v>
      </c>
      <c r="L110" s="89">
        <f t="shared" ref="L110:L111" si="212">IF(K43=0,"",L43/K43-1)</f>
        <v>-3.1001723943670623E-2</v>
      </c>
      <c r="M110" s="89">
        <f t="shared" ref="M110:M111" si="213">IF(L43=0,"",M43/L43-1)</f>
        <v>-3.4562641156086538E-2</v>
      </c>
      <c r="N110" s="89">
        <f t="shared" ref="N110:N111" si="214">IF(M43=0,"",N43/M43-1)</f>
        <v>-2.3777940336690451E-2</v>
      </c>
      <c r="O110" s="89">
        <f t="shared" ref="O110:O111" si="215">IF(N43=0,"",O43/N43-1)</f>
        <v>5.0409415300317617E-2</v>
      </c>
      <c r="P110" s="89">
        <f t="shared" ref="P110:P111" si="216">IF(O43=0,"",P43/O43-1)</f>
        <v>-8.5543429985658337E-3</v>
      </c>
      <c r="Q110" s="89">
        <f t="shared" ref="Q110:Q111" si="217">IF(P43=0,"",Q43/P43-1)</f>
        <v>6.1484686954858647E-2</v>
      </c>
      <c r="R110" s="89">
        <f t="shared" ref="R110:R111" si="218">IF(Q43=0,"",R43/Q43-1)</f>
        <v>-2.3749811758361217E-3</v>
      </c>
      <c r="S110" s="89">
        <f t="shared" ref="S110:S111" si="219">IF(R43=0,"",S43/R43-1)</f>
        <v>6.4412325628343536E-2</v>
      </c>
      <c r="T110" s="89">
        <f t="shared" ref="T110:T111" si="220">IF(S43=0,"",T43/S43-1)</f>
        <v>-2.2052271817999625E-2</v>
      </c>
      <c r="U110" s="89">
        <f t="shared" ref="U110:U111" si="221">IF(T43=0,"",U43/T43-1)</f>
        <v>4.5855030242586414E-2</v>
      </c>
      <c r="V110" s="89">
        <f t="shared" ref="V110:V111" si="222">IF(U43=0,"",V43/U43-1)</f>
        <v>-2.2523949215558781E-2</v>
      </c>
      <c r="W110" s="89">
        <f t="shared" ref="W110:W111" si="223">IF(V43=0,"",W43/V43-1)</f>
        <v>2.3825662720963203E-2</v>
      </c>
      <c r="X110" s="89">
        <f t="shared" ref="X110:X111" si="224">IF(W43=0,"",X43/W43-1)</f>
        <v>-5.2583932501409802E-2</v>
      </c>
      <c r="Y110" s="89">
        <f t="shared" ref="Y110:Y111" si="225">IF(X43=0,"",Y43/X43-1)</f>
        <v>6.7121956546531303E-2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-6.1560716147130878E-2</v>
      </c>
      <c r="F111" s="89">
        <f t="shared" si="206"/>
        <v>-0.10973997506463562</v>
      </c>
      <c r="G111" s="89">
        <f t="shared" si="207"/>
        <v>-2.6274033311911471E-2</v>
      </c>
      <c r="H111" s="89">
        <f t="shared" si="208"/>
        <v>1.1399864555794004E-2</v>
      </c>
      <c r="I111" s="89">
        <f t="shared" si="209"/>
        <v>3.3780227849607991E-2</v>
      </c>
      <c r="J111" s="89">
        <f t="shared" si="210"/>
        <v>-2.0589066781778853E-2</v>
      </c>
      <c r="K111" s="89">
        <f t="shared" si="211"/>
        <v>4.0958512643366474E-2</v>
      </c>
      <c r="L111" s="89">
        <f t="shared" si="212"/>
        <v>1.2233698242724245E-2</v>
      </c>
      <c r="M111" s="89">
        <f t="shared" si="213"/>
        <v>-3.0705181073306331E-2</v>
      </c>
      <c r="N111" s="89">
        <f t="shared" si="214"/>
        <v>-2.4540058465310932E-2</v>
      </c>
      <c r="O111" s="89">
        <f t="shared" si="215"/>
        <v>8.1944504711133348E-2</v>
      </c>
      <c r="P111" s="89">
        <f t="shared" si="216"/>
        <v>3.9130068250312622E-3</v>
      </c>
      <c r="Q111" s="89">
        <f t="shared" si="217"/>
        <v>9.8103989868762786E-2</v>
      </c>
      <c r="R111" s="89">
        <f t="shared" si="218"/>
        <v>2.5541601296501293E-2</v>
      </c>
      <c r="S111" s="89">
        <f t="shared" si="219"/>
        <v>6.3973084107015188E-2</v>
      </c>
      <c r="T111" s="89">
        <f t="shared" si="220"/>
        <v>-3.7890665605845086E-2</v>
      </c>
      <c r="U111" s="89">
        <f t="shared" si="221"/>
        <v>8.0565658503042092E-2</v>
      </c>
      <c r="V111" s="89">
        <f t="shared" si="222"/>
        <v>-3.7299930893899491E-2</v>
      </c>
      <c r="W111" s="89">
        <f t="shared" si="223"/>
        <v>3.5111884535638627E-2</v>
      </c>
      <c r="X111" s="89">
        <f t="shared" si="224"/>
        <v>-7.2641989874274615E-2</v>
      </c>
      <c r="Y111" s="89">
        <f t="shared" si="225"/>
        <v>0.17627473789278358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9.0853072498756848E-2</v>
      </c>
      <c r="F112" s="89">
        <f t="shared" ref="F112:F113" si="227">IF(E47=0,"",F47/E47-1)</f>
        <v>1.107400046246787E-2</v>
      </c>
      <c r="G112" s="89">
        <f t="shared" ref="G112:G113" si="228">IF(F47=0,"",G47/F47-1)</f>
        <v>4.2893842029213758E-2</v>
      </c>
      <c r="H112" s="89">
        <f t="shared" ref="H112:H113" si="229">IF(G47=0,"",H47/G47-1)</f>
        <v>-4.6797918044854114E-2</v>
      </c>
      <c r="I112" s="89">
        <f t="shared" ref="I112:I113" si="230">IF(H47=0,"",I47/H47-1)</f>
        <v>2.709042795198191E-2</v>
      </c>
      <c r="J112" s="89">
        <f t="shared" ref="J112:J113" si="231">IF(I47=0,"",J47/I47-1)</f>
        <v>8.5557859169818062E-2</v>
      </c>
      <c r="K112" s="89">
        <f t="shared" ref="K112:K113" si="232">IF(J47=0,"",K47/J47-1)</f>
        <v>-6.1409427254489946E-2</v>
      </c>
      <c r="L112" s="89">
        <f t="shared" ref="L112:L113" si="233">IF(K47=0,"",L47/K47-1)</f>
        <v>-7.9156540075216442E-2</v>
      </c>
      <c r="M112" s="89">
        <f t="shared" ref="M112:M113" si="234">IF(L47=0,"",M47/L47-1)</f>
        <v>-3.9285407381861148E-2</v>
      </c>
      <c r="N112" s="89">
        <f t="shared" ref="N112:N113" si="235">IF(M47=0,"",N47/M47-1)</f>
        <v>-2.283653034269062E-2</v>
      </c>
      <c r="O112" s="89">
        <f t="shared" ref="O112:O113" si="236">IF(N47=0,"",O47/N47-1)</f>
        <v>1.1523457985910701E-2</v>
      </c>
      <c r="P112" s="89">
        <f t="shared" ref="P112:P113" si="237">IF(O47=0,"",P47/O47-1)</f>
        <v>-2.4998132194113065E-2</v>
      </c>
      <c r="Q112" s="89">
        <f t="shared" ref="Q112:Q113" si="238">IF(P47=0,"",Q47/P47-1)</f>
        <v>1.1753541641415843E-2</v>
      </c>
      <c r="R112" s="89">
        <f t="shared" ref="R112:R113" si="239">IF(Q47=0,"",R47/Q47-1)</f>
        <v>-4.3523042252282762E-2</v>
      </c>
      <c r="S112" s="89">
        <f t="shared" ref="S112:S113" si="240">IF(R47=0,"",S47/R47-1)</f>
        <v>6.5106501128668004E-2</v>
      </c>
      <c r="T112" s="89">
        <f t="shared" ref="T112:T113" si="241">IF(S47=0,"",T47/S47-1)</f>
        <v>2.9520245301177805E-3</v>
      </c>
      <c r="U112" s="89">
        <f t="shared" ref="U112:U113" si="242">IF(T47=0,"",U47/T47-1)</f>
        <v>-6.7116128914050943E-3</v>
      </c>
      <c r="V112" s="89">
        <f t="shared" ref="V112:V113" si="243">IF(U47=0,"",V47/U47-1)</f>
        <v>1.8193768772136742E-3</v>
      </c>
      <c r="W112" s="89">
        <f t="shared" ref="W112:W113" si="244">IF(V47=0,"",W47/V47-1)</f>
        <v>5.9577538083255277E-3</v>
      </c>
      <c r="X112" s="89">
        <f t="shared" ref="X112:X113" si="245">IF(W47=0,"",X47/W47-1)</f>
        <v>-1.9908483048178716E-2</v>
      </c>
      <c r="Y112" s="89">
        <f t="shared" ref="Y112:Y113" si="246">IF(X47=0,"",Y47/X47-1)</f>
        <v>-0.10112542141314984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8.8566015285642674E-3</v>
      </c>
      <c r="F113" s="89">
        <f t="shared" si="227"/>
        <v>-2.7168075003023429E-3</v>
      </c>
      <c r="G113" s="89">
        <f t="shared" si="228"/>
        <v>-2.3671435594013079E-2</v>
      </c>
      <c r="H113" s="89">
        <f t="shared" si="229"/>
        <v>-4.2251849301457534E-2</v>
      </c>
      <c r="I113" s="89">
        <f t="shared" si="230"/>
        <v>1.6717234584522345E-2</v>
      </c>
      <c r="J113" s="89">
        <f t="shared" si="231"/>
        <v>7.1115025615484662E-3</v>
      </c>
      <c r="K113" s="89">
        <f t="shared" si="232"/>
        <v>6.3574419842758356E-2</v>
      </c>
      <c r="L113" s="89">
        <f t="shared" si="233"/>
        <v>-6.3321832455931815E-2</v>
      </c>
      <c r="M113" s="89">
        <f t="shared" si="234"/>
        <v>-0.12820481556572838</v>
      </c>
      <c r="N113" s="89">
        <f t="shared" si="235"/>
        <v>-2.1610250622414617E-2</v>
      </c>
      <c r="O113" s="89">
        <f t="shared" si="236"/>
        <v>4.9146835863783878E-2</v>
      </c>
      <c r="P113" s="89">
        <f t="shared" si="237"/>
        <v>-4.6118667194206098E-2</v>
      </c>
      <c r="Q113" s="89">
        <f t="shared" si="238"/>
        <v>-1.7557134401202434E-2</v>
      </c>
      <c r="R113" s="89">
        <f t="shared" si="239"/>
        <v>7.0254097561270878E-3</v>
      </c>
      <c r="S113" s="89">
        <f t="shared" si="240"/>
        <v>-4.0796526342975481E-3</v>
      </c>
      <c r="T113" s="89">
        <f t="shared" si="241"/>
        <v>-4.2509318200020241E-3</v>
      </c>
      <c r="U113" s="89">
        <f t="shared" si="242"/>
        <v>1.8817455598965527E-2</v>
      </c>
      <c r="V113" s="89">
        <f t="shared" si="243"/>
        <v>1.5677957512589824E-3</v>
      </c>
      <c r="W113" s="89">
        <f t="shared" si="244"/>
        <v>5.6437455451376906E-2</v>
      </c>
      <c r="X113" s="89">
        <f t="shared" si="245"/>
        <v>-9.8854216969778474E-2</v>
      </c>
      <c r="Y113" s="89">
        <f t="shared" si="246"/>
        <v>1.0670562015979712E-5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1.6915160631917114E-2</v>
      </c>
      <c r="F114" s="89">
        <f t="shared" ref="F114:F115" si="248">IF(E52=0,"",F52/E52-1)</f>
        <v>-3.813527448833498E-2</v>
      </c>
      <c r="G114" s="89">
        <f t="shared" ref="G114:G115" si="249">IF(F52=0,"",G52/F52-1)</f>
        <v>-5.1316975411925592E-2</v>
      </c>
      <c r="H114" s="89">
        <f t="shared" ref="H114:H115" si="250">IF(G52=0,"",H52/G52-1)</f>
        <v>-1.3767281781163043E-2</v>
      </c>
      <c r="I114" s="89">
        <f t="shared" ref="I114:I115" si="251">IF(H52=0,"",I52/H52-1)</f>
        <v>-5.4510127868223623E-2</v>
      </c>
      <c r="J114" s="89">
        <f t="shared" ref="J114:J115" si="252">IF(I52=0,"",J52/I52-1)</f>
        <v>-6.0401941237036127E-2</v>
      </c>
      <c r="K114" s="89">
        <f t="shared" ref="K114:K115" si="253">IF(J52=0,"",K52/J52-1)</f>
        <v>-3.3496163281744096E-2</v>
      </c>
      <c r="L114" s="89">
        <f t="shared" ref="L114:L115" si="254">IF(K52=0,"",L52/K52-1)</f>
        <v>-6.1543937460971421E-2</v>
      </c>
      <c r="M114" s="89">
        <f t="shared" ref="M114:M115" si="255">IF(L52=0,"",M52/L52-1)</f>
        <v>-7.8427058682298267E-2</v>
      </c>
      <c r="N114" s="89">
        <f t="shared" ref="N114:N115" si="256">IF(M52=0,"",N52/M52-1)</f>
        <v>-5.3641942652194574E-2</v>
      </c>
      <c r="O114" s="89">
        <f t="shared" ref="O114:O115" si="257">IF(N52=0,"",O52/N52-1)</f>
        <v>2.5093538450446706E-2</v>
      </c>
      <c r="P114" s="89">
        <f t="shared" ref="P114:P115" si="258">IF(O52=0,"",P52/O52-1)</f>
        <v>-1.1675032864878365E-2</v>
      </c>
      <c r="Q114" s="89">
        <f t="shared" ref="Q114:Q115" si="259">IF(P52=0,"",Q52/P52-1)</f>
        <v>-3.8752418593342108E-2</v>
      </c>
      <c r="R114" s="89">
        <f t="shared" ref="R114:R115" si="260">IF(Q52=0,"",R52/Q52-1)</f>
        <v>2.4557090384746738E-2</v>
      </c>
      <c r="S114" s="89">
        <f t="shared" ref="S114:S115" si="261">IF(R52=0,"",S52/R52-1)</f>
        <v>-2.1429236733704893E-2</v>
      </c>
      <c r="T114" s="89">
        <f t="shared" ref="T114:T115" si="262">IF(S52=0,"",T52/S52-1)</f>
        <v>6.3001204964654445E-3</v>
      </c>
      <c r="U114" s="89">
        <f t="shared" ref="U114:U115" si="263">IF(T52=0,"",U52/T52-1)</f>
        <v>-1.1571911488442166E-2</v>
      </c>
      <c r="V114" s="89">
        <f t="shared" ref="V114:V115" si="264">IF(U52=0,"",V52/U52-1)</f>
        <v>2.5250813952877316E-3</v>
      </c>
      <c r="W114" s="89">
        <f t="shared" ref="W114:W115" si="265">IF(V52=0,"",W52/V52-1)</f>
        <v>-1.8742920596801271E-2</v>
      </c>
      <c r="X114" s="89">
        <f t="shared" ref="X114:X115" si="266">IF(W52=0,"",X52/W52-1)</f>
        <v>-0.11014338494728793</v>
      </c>
      <c r="Y114" s="89">
        <f t="shared" ref="Y114:Y115" si="267">IF(X52=0,"",Y52/X52-1)</f>
        <v>-2.0489230799086822E-2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5.7118055221665687E-2</v>
      </c>
      <c r="F115" s="89">
        <f t="shared" si="248"/>
        <v>-5.4366202536071939E-2</v>
      </c>
      <c r="G115" s="89">
        <f t="shared" si="249"/>
        <v>-6.4564166988982707E-2</v>
      </c>
      <c r="H115" s="89">
        <f t="shared" si="250"/>
        <v>-2.7915970801088319E-2</v>
      </c>
      <c r="I115" s="89">
        <f t="shared" si="251"/>
        <v>-8.7969676640017092E-2</v>
      </c>
      <c r="J115" s="89">
        <f t="shared" si="252"/>
        <v>-9.151386237361403E-2</v>
      </c>
      <c r="K115" s="89">
        <f t="shared" si="253"/>
        <v>1.2143111859427513E-2</v>
      </c>
      <c r="L115" s="89">
        <f t="shared" si="254"/>
        <v>-7.5780611863682568E-2</v>
      </c>
      <c r="M115" s="89">
        <f t="shared" si="255"/>
        <v>-6.3678892754669314E-2</v>
      </c>
      <c r="N115" s="89">
        <f t="shared" si="256"/>
        <v>-7.0466092903213595E-2</v>
      </c>
      <c r="O115" s="89">
        <f t="shared" si="257"/>
        <v>6.2248120362374815E-2</v>
      </c>
      <c r="P115" s="89">
        <f t="shared" si="258"/>
        <v>1.8139828340081987E-2</v>
      </c>
      <c r="Q115" s="89">
        <f t="shared" si="259"/>
        <v>-5.7991773042669226E-2</v>
      </c>
      <c r="R115" s="89">
        <f t="shared" si="260"/>
        <v>3.5484921403306391E-2</v>
      </c>
      <c r="S115" s="89">
        <f t="shared" si="261"/>
        <v>2.6063008996212167E-2</v>
      </c>
      <c r="T115" s="89">
        <f t="shared" si="262"/>
        <v>1.5502418063038315E-2</v>
      </c>
      <c r="U115" s="89">
        <f t="shared" si="263"/>
        <v>-2.3158640029491195E-2</v>
      </c>
      <c r="V115" s="89">
        <f t="shared" si="264"/>
        <v>3.2814412275370186E-2</v>
      </c>
      <c r="W115" s="89">
        <f t="shared" si="265"/>
        <v>-1.9701639990835407E-2</v>
      </c>
      <c r="X115" s="89">
        <f t="shared" si="266"/>
        <v>-7.1185054908505685E-2</v>
      </c>
      <c r="Y115" s="89">
        <f t="shared" si="267"/>
        <v>-1.3877544410208942E-2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-2.4537042205071025E-2</v>
      </c>
      <c r="F116" s="89">
        <f t="shared" ref="F116:F122" si="269">IF(E56=0,"",F56/E56-1)</f>
        <v>-1.9999072156131392E-2</v>
      </c>
      <c r="G116" s="89">
        <f t="shared" ref="G116:G122" si="270">IF(F56=0,"",G56/F56-1)</f>
        <v>-3.7033847826235866E-2</v>
      </c>
      <c r="H116" s="89">
        <f t="shared" ref="H116:H122" si="271">IF(G56=0,"",H56/G56-1)</f>
        <v>1.0517107681120574E-3</v>
      </c>
      <c r="I116" s="89">
        <f t="shared" ref="I116:I122" si="272">IF(H56=0,"",I56/H56-1)</f>
        <v>-2.0479508442450833E-2</v>
      </c>
      <c r="J116" s="89">
        <f t="shared" ref="J116:J122" si="273">IF(I56=0,"",J56/I56-1)</f>
        <v>-3.0939253978183423E-2</v>
      </c>
      <c r="K116" s="89">
        <f t="shared" ref="K116:K122" si="274">IF(J56=0,"",K56/J56-1)</f>
        <v>-7.4014496133453678E-2</v>
      </c>
      <c r="L116" s="89">
        <f t="shared" ref="L116:L122" si="275">IF(K56=0,"",L56/K56-1)</f>
        <v>-4.772867569324013E-2</v>
      </c>
      <c r="M116" s="89">
        <f t="shared" ref="M116:M122" si="276">IF(L56=0,"",M56/L56-1)</f>
        <v>-9.2317081168820869E-2</v>
      </c>
      <c r="N116" s="89">
        <f t="shared" ref="N116:N122" si="277">IF(M56=0,"",N56/M56-1)</f>
        <v>-3.7296799712873141E-2</v>
      </c>
      <c r="O116" s="89">
        <f t="shared" ref="O116:O122" si="278">IF(N56=0,"",O56/N56-1)</f>
        <v>-9.7595111365648135E-3</v>
      </c>
      <c r="P116" s="89">
        <f t="shared" ref="P116:P122" si="279">IF(O56=0,"",P56/O56-1)</f>
        <v>-4.1676776034961338E-2</v>
      </c>
      <c r="Q116" s="89">
        <f t="shared" ref="Q116:Q122" si="280">IF(P56=0,"",Q56/P56-1)</f>
        <v>-1.8184061355370873E-2</v>
      </c>
      <c r="R116" s="89">
        <f t="shared" ref="R116:R122" si="281">IF(Q56=0,"",R56/Q56-1)</f>
        <v>1.3348068961572146E-2</v>
      </c>
      <c r="S116" s="89">
        <f t="shared" ref="S116:S122" si="282">IF(R56=0,"",S56/R56-1)</f>
        <v>-7.1207709677419517E-2</v>
      </c>
      <c r="T116" s="89">
        <f t="shared" ref="T116:T122" si="283">IF(S56=0,"",T56/S56-1)</f>
        <v>-4.3552993158986197E-3</v>
      </c>
      <c r="U116" s="89">
        <f t="shared" ref="U116:U122" si="284">IF(T56=0,"",U56/T56-1)</f>
        <v>2.1120454903797992E-3</v>
      </c>
      <c r="V116" s="89">
        <f t="shared" ref="V116:V122" si="285">IF(U56=0,"",V56/U56-1)</f>
        <v>-3.2344626115650033E-2</v>
      </c>
      <c r="W116" s="89">
        <f t="shared" ref="W116:W122" si="286">IF(V56=0,"",W56/V56-1)</f>
        <v>-1.7564903171300883E-2</v>
      </c>
      <c r="X116" s="89">
        <f t="shared" ref="X116:X122" si="287">IF(W56=0,"",X56/W56-1)</f>
        <v>-0.15790895238802305</v>
      </c>
      <c r="Y116" s="89">
        <f t="shared" ref="Y116:Y122" si="288">IF(X56=0,"",Y56/X56-1)</f>
        <v>-2.9430455289466528E-2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-2.3221046713864824E-2</v>
      </c>
      <c r="F117" s="89">
        <f t="shared" si="269"/>
        <v>3.0399965150696762E-2</v>
      </c>
      <c r="G117" s="89">
        <f t="shared" si="270"/>
        <v>1.3844886752659047E-2</v>
      </c>
      <c r="H117" s="89">
        <f t="shared" si="271"/>
        <v>2.8595615728019164E-2</v>
      </c>
      <c r="I117" s="89">
        <f t="shared" si="272"/>
        <v>-4.4080826262180905E-2</v>
      </c>
      <c r="J117" s="89">
        <f t="shared" si="273"/>
        <v>-3.6216164402121165E-2</v>
      </c>
      <c r="K117" s="89">
        <f t="shared" si="274"/>
        <v>1.7726970997173241E-2</v>
      </c>
      <c r="L117" s="89">
        <f t="shared" si="275"/>
        <v>-3.1764136058415882E-2</v>
      </c>
      <c r="M117" s="89">
        <f t="shared" si="276"/>
        <v>-1.8030806262407384E-2</v>
      </c>
      <c r="N117" s="89">
        <f t="shared" si="277"/>
        <v>-3.1288976857688278E-2</v>
      </c>
      <c r="O117" s="89">
        <f t="shared" si="278"/>
        <v>5.0767790535419355E-2</v>
      </c>
      <c r="P117" s="89">
        <f t="shared" si="279"/>
        <v>1.1685517834407522E-2</v>
      </c>
      <c r="Q117" s="89">
        <f t="shared" si="280"/>
        <v>3.3553210882810491E-2</v>
      </c>
      <c r="R117" s="89">
        <f t="shared" si="281"/>
        <v>2.6645993136474866E-2</v>
      </c>
      <c r="S117" s="89">
        <f t="shared" si="282"/>
        <v>1.0569115257086814E-2</v>
      </c>
      <c r="T117" s="89">
        <f t="shared" si="283"/>
        <v>1.3214645773392597E-2</v>
      </c>
      <c r="U117" s="89">
        <f t="shared" si="284"/>
        <v>2.3454023277986735E-3</v>
      </c>
      <c r="V117" s="89">
        <f t="shared" si="285"/>
        <v>-1.1313301662676745E-2</v>
      </c>
      <c r="W117" s="89">
        <f t="shared" si="286"/>
        <v>2.1041183704418875E-2</v>
      </c>
      <c r="X117" s="89">
        <f t="shared" si="287"/>
        <v>-2.9407338525661575E-2</v>
      </c>
      <c r="Y117" s="89">
        <f t="shared" si="288"/>
        <v>-6.7744639198219825E-2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1.1543027449583132E-2</v>
      </c>
      <c r="F118" s="89">
        <f t="shared" si="269"/>
        <v>2.6826454495590957E-2</v>
      </c>
      <c r="G118" s="89">
        <f t="shared" si="270"/>
        <v>-5.6569249359083362E-2</v>
      </c>
      <c r="H118" s="89">
        <f t="shared" si="271"/>
        <v>-2.4526998190250948E-2</v>
      </c>
      <c r="I118" s="89">
        <f t="shared" si="272"/>
        <v>-1.0620777805969706E-3</v>
      </c>
      <c r="J118" s="89">
        <f t="shared" si="273"/>
        <v>-1.6140728837717222E-2</v>
      </c>
      <c r="K118" s="89">
        <f t="shared" si="274"/>
        <v>-1.28632924425649E-2</v>
      </c>
      <c r="L118" s="89">
        <f t="shared" si="275"/>
        <v>-3.6923481250172974E-2</v>
      </c>
      <c r="M118" s="89">
        <f t="shared" si="276"/>
        <v>-0.11513973429264279</v>
      </c>
      <c r="N118" s="89">
        <f t="shared" si="277"/>
        <v>8.2178740069427381E-2</v>
      </c>
      <c r="O118" s="89">
        <f t="shared" si="278"/>
        <v>-5.1325376381970211E-2</v>
      </c>
      <c r="P118" s="89">
        <f t="shared" si="279"/>
        <v>5.4653227040141417E-2</v>
      </c>
      <c r="Q118" s="89">
        <f t="shared" si="280"/>
        <v>2.911645452290168E-3</v>
      </c>
      <c r="R118" s="89">
        <f t="shared" si="281"/>
        <v>2.2314893278849501E-2</v>
      </c>
      <c r="S118" s="89">
        <f t="shared" si="282"/>
        <v>9.3754896615498406E-2</v>
      </c>
      <c r="T118" s="89">
        <f t="shared" si="283"/>
        <v>2.7377630694733757E-3</v>
      </c>
      <c r="U118" s="89">
        <f t="shared" si="284"/>
        <v>3.7267973401959864E-3</v>
      </c>
      <c r="V118" s="89">
        <f t="shared" si="285"/>
        <v>6.6702761855144121E-2</v>
      </c>
      <c r="W118" s="89">
        <f t="shared" si="286"/>
        <v>3.7388433801793353E-2</v>
      </c>
      <c r="X118" s="89">
        <f t="shared" si="287"/>
        <v>-0.35692713714641966</v>
      </c>
      <c r="Y118" s="89">
        <f t="shared" si="288"/>
        <v>1.2321178514587139E-3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-1.6798883049783608E-2</v>
      </c>
      <c r="F119" s="89">
        <f t="shared" si="269"/>
        <v>-4.1263565827455828E-2</v>
      </c>
      <c r="G119" s="89">
        <f t="shared" si="270"/>
        <v>-5.8172126050638595E-2</v>
      </c>
      <c r="H119" s="89">
        <f t="shared" si="271"/>
        <v>5.2059291848303157E-3</v>
      </c>
      <c r="I119" s="89">
        <f t="shared" si="272"/>
        <v>-3.9404295199485961E-2</v>
      </c>
      <c r="J119" s="89">
        <f t="shared" si="273"/>
        <v>-7.6967487442569649E-3</v>
      </c>
      <c r="K119" s="89">
        <f t="shared" si="274"/>
        <v>1.6081431295658088E-2</v>
      </c>
      <c r="L119" s="89">
        <f t="shared" si="275"/>
        <v>-4.5996472791221321E-2</v>
      </c>
      <c r="M119" s="89">
        <f t="shared" si="276"/>
        <v>-0.10911834118041963</v>
      </c>
      <c r="N119" s="89">
        <f t="shared" si="277"/>
        <v>1.729351972485782E-2</v>
      </c>
      <c r="O119" s="89">
        <f t="shared" si="278"/>
        <v>1.7297629394827041E-2</v>
      </c>
      <c r="P119" s="89">
        <f t="shared" si="279"/>
        <v>-2.1887004378038366E-3</v>
      </c>
      <c r="Q119" s="89">
        <f t="shared" si="280"/>
        <v>-1.1248222200373359E-2</v>
      </c>
      <c r="R119" s="89">
        <f t="shared" si="281"/>
        <v>-2.9681007493229661E-3</v>
      </c>
      <c r="S119" s="89">
        <f t="shared" si="282"/>
        <v>-8.758989223188185E-3</v>
      </c>
      <c r="T119" s="89">
        <f t="shared" si="283"/>
        <v>-4.6863778261910793E-3</v>
      </c>
      <c r="U119" s="89">
        <f t="shared" si="284"/>
        <v>6.6885106877820899E-3</v>
      </c>
      <c r="V119" s="89">
        <f t="shared" si="285"/>
        <v>8.5594543163525216E-4</v>
      </c>
      <c r="W119" s="89">
        <f t="shared" si="286"/>
        <v>3.239135134904636E-2</v>
      </c>
      <c r="X119" s="89">
        <f t="shared" si="287"/>
        <v>-0.11067959253059256</v>
      </c>
      <c r="Y119" s="89">
        <f t="shared" si="288"/>
        <v>8.6584374651252904E-3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-2.3749874763133616E-2</v>
      </c>
      <c r="F120" s="89">
        <f t="shared" si="269"/>
        <v>-4.5017136464117868E-2</v>
      </c>
      <c r="G120" s="89">
        <f t="shared" si="270"/>
        <v>-4.3622006366462185E-2</v>
      </c>
      <c r="H120" s="89">
        <f t="shared" si="271"/>
        <v>-7.9572869861426865E-2</v>
      </c>
      <c r="I120" s="89">
        <f t="shared" si="272"/>
        <v>-0.10023046321464379</v>
      </c>
      <c r="J120" s="89">
        <f t="shared" si="273"/>
        <v>-6.6049997619509804E-2</v>
      </c>
      <c r="K120" s="89">
        <f t="shared" si="274"/>
        <v>3.3050684543474151E-3</v>
      </c>
      <c r="L120" s="89">
        <f t="shared" si="275"/>
        <v>-7.608878645375261E-2</v>
      </c>
      <c r="M120" s="89">
        <f t="shared" si="276"/>
        <v>-0.15176266257883697</v>
      </c>
      <c r="N120" s="89">
        <f t="shared" si="277"/>
        <v>-4.6271446206030409E-2</v>
      </c>
      <c r="O120" s="89">
        <f t="shared" si="278"/>
        <v>6.0773450591288469E-2</v>
      </c>
      <c r="P120" s="89">
        <f t="shared" si="279"/>
        <v>2.6504909824141887E-2</v>
      </c>
      <c r="Q120" s="89">
        <f t="shared" si="280"/>
        <v>-3.9393695364867143E-2</v>
      </c>
      <c r="R120" s="89">
        <f t="shared" si="281"/>
        <v>-4.5960261510616829E-2</v>
      </c>
      <c r="S120" s="89">
        <f t="shared" si="282"/>
        <v>2.7158070522979472E-2</v>
      </c>
      <c r="T120" s="89">
        <f t="shared" si="283"/>
        <v>-7.9880233072255891E-3</v>
      </c>
      <c r="U120" s="89">
        <f t="shared" si="284"/>
        <v>2.4562056647666086E-2</v>
      </c>
      <c r="V120" s="89">
        <f t="shared" si="285"/>
        <v>2.5273538291296971E-2</v>
      </c>
      <c r="W120" s="89">
        <f t="shared" si="286"/>
        <v>3.8745705783071127E-2</v>
      </c>
      <c r="X120" s="89">
        <f t="shared" si="287"/>
        <v>-8.2992274855997916E-2</v>
      </c>
      <c r="Y120" s="89">
        <f t="shared" si="288"/>
        <v>4.2491267266506538E-2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-3.7220184030557379E-2</v>
      </c>
      <c r="F121" s="89">
        <f t="shared" si="269"/>
        <v>5.3819179816494422E-3</v>
      </c>
      <c r="G121" s="89">
        <f t="shared" si="270"/>
        <v>4.6388762445692455E-2</v>
      </c>
      <c r="H121" s="89">
        <f t="shared" si="271"/>
        <v>-0.11497641549745152</v>
      </c>
      <c r="I121" s="89">
        <f t="shared" si="272"/>
        <v>-7.8510865922546191E-2</v>
      </c>
      <c r="J121" s="89">
        <f t="shared" si="273"/>
        <v>6.7278690073118153E-3</v>
      </c>
      <c r="K121" s="89">
        <f t="shared" si="274"/>
        <v>7.4134836831520667E-2</v>
      </c>
      <c r="L121" s="89">
        <f t="shared" si="275"/>
        <v>1.3072148189069877E-2</v>
      </c>
      <c r="M121" s="89">
        <f t="shared" si="276"/>
        <v>-9.2148767063187753E-2</v>
      </c>
      <c r="N121" s="89">
        <f t="shared" si="277"/>
        <v>-0.10860386748924256</v>
      </c>
      <c r="O121" s="89">
        <f t="shared" si="278"/>
        <v>0.14321856805171418</v>
      </c>
      <c r="P121" s="89">
        <f t="shared" si="279"/>
        <v>-4.1129887150399669E-2</v>
      </c>
      <c r="Q121" s="89">
        <f t="shared" si="280"/>
        <v>-4.6132286816966683E-3</v>
      </c>
      <c r="R121" s="89">
        <f t="shared" si="281"/>
        <v>-9.6070263256406774E-2</v>
      </c>
      <c r="S121" s="89">
        <f t="shared" si="282"/>
        <v>-5.8199827705031071E-3</v>
      </c>
      <c r="T121" s="89">
        <f t="shared" si="283"/>
        <v>9.1710747521644986E-3</v>
      </c>
      <c r="U121" s="89">
        <f t="shared" si="284"/>
        <v>4.5268408898786028E-2</v>
      </c>
      <c r="V121" s="89">
        <f t="shared" si="285"/>
        <v>-2.3145894029699021E-2</v>
      </c>
      <c r="W121" s="89">
        <f t="shared" si="286"/>
        <v>6.2461316578023895E-2</v>
      </c>
      <c r="X121" s="89">
        <f t="shared" si="287"/>
        <v>1.1391144756316196E-2</v>
      </c>
      <c r="Y121" s="89">
        <f t="shared" si="288"/>
        <v>0.18626755087408342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4.1903620537834474E-2</v>
      </c>
      <c r="F122" s="91">
        <f t="shared" si="269"/>
        <v>-1.854290976343187E-2</v>
      </c>
      <c r="G122" s="91">
        <f t="shared" si="270"/>
        <v>4.0212402816579562E-3</v>
      </c>
      <c r="H122" s="91">
        <f t="shared" si="271"/>
        <v>-1.3363939310703787E-2</v>
      </c>
      <c r="I122" s="91">
        <f t="shared" si="272"/>
        <v>-3.6650343176775846E-2</v>
      </c>
      <c r="J122" s="91">
        <f t="shared" si="273"/>
        <v>-2.27509705552984E-2</v>
      </c>
      <c r="K122" s="91">
        <f t="shared" si="274"/>
        <v>-2.5304775323360174E-2</v>
      </c>
      <c r="L122" s="91">
        <f t="shared" si="275"/>
        <v>-7.5247898435580551E-2</v>
      </c>
      <c r="M122" s="91">
        <f t="shared" si="276"/>
        <v>-5.8696947582346892E-2</v>
      </c>
      <c r="N122" s="91">
        <f t="shared" si="277"/>
        <v>-7.0710617364001638E-2</v>
      </c>
      <c r="O122" s="91">
        <f t="shared" si="278"/>
        <v>3.2849926631862258E-2</v>
      </c>
      <c r="P122" s="91">
        <f t="shared" si="279"/>
        <v>-1.4982212252685145E-2</v>
      </c>
      <c r="Q122" s="91">
        <f t="shared" si="280"/>
        <v>-3.9801352464766682E-3</v>
      </c>
      <c r="R122" s="91">
        <f t="shared" si="281"/>
        <v>1.1634691471318348E-4</v>
      </c>
      <c r="S122" s="91">
        <f t="shared" si="282"/>
        <v>-1.1012186379932842E-4</v>
      </c>
      <c r="T122" s="91">
        <f t="shared" si="283"/>
        <v>-4.6011341900908942E-3</v>
      </c>
      <c r="U122" s="91">
        <f t="shared" si="284"/>
        <v>-3.0264378617026577E-2</v>
      </c>
      <c r="V122" s="91">
        <f t="shared" si="285"/>
        <v>2.9431952168208264E-2</v>
      </c>
      <c r="W122" s="91">
        <f t="shared" si="286"/>
        <v>4.2674772954325313E-3</v>
      </c>
      <c r="X122" s="91">
        <f t="shared" si="287"/>
        <v>-0.13504369562449647</v>
      </c>
      <c r="Y122" s="91">
        <f t="shared" si="288"/>
        <v>-2.790950527529179E-2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A50E31-EF70-434A-9F06-779F63FE652B}"/>
</file>

<file path=customXml/itemProps2.xml><?xml version="1.0" encoding="utf-8"?>
<ds:datastoreItem xmlns:ds="http://schemas.openxmlformats.org/officeDocument/2006/customXml" ds:itemID="{A770A2CF-F91F-410C-9E5B-A1CE01D731DA}"/>
</file>

<file path=customXml/itemProps3.xml><?xml version="1.0" encoding="utf-8"?>
<ds:datastoreItem xmlns:ds="http://schemas.openxmlformats.org/officeDocument/2006/customXml" ds:itemID="{D9A63C8B-041D-4712-ADF2-854ED6C56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2024-05-20T16:50:22Z</dcterms:created>
  <dcterms:modified xsi:type="dcterms:W3CDTF">2024-05-20T16:50:22Z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