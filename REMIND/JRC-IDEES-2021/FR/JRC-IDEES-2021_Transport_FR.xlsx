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4" i="1"/>
  <c r="B26" i="1"/>
  <c r="B25" i="1"/>
  <c r="C242" i="3" l="1"/>
  <c r="S242" i="3"/>
  <c r="W14" i="18"/>
  <c r="C18" i="20"/>
  <c r="E3" i="20"/>
  <c r="E22" i="20" s="1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F22" i="20"/>
  <c r="P14" i="18"/>
  <c r="J14" i="20"/>
  <c r="O3" i="20"/>
  <c r="O23" i="20" s="1"/>
  <c r="O3" i="18"/>
  <c r="O18" i="18" s="1"/>
  <c r="N3" i="20"/>
  <c r="R23" i="18"/>
  <c r="N20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B4" i="19"/>
  <c r="B60" i="3" s="1"/>
  <c r="J4" i="19"/>
  <c r="J60" i="3" s="1"/>
  <c r="J212" i="3" s="1"/>
  <c r="R4" i="19"/>
  <c r="R60" i="3" s="1"/>
  <c r="M24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H14" i="18"/>
  <c r="B15" i="18"/>
  <c r="R15" i="18"/>
  <c r="D10" i="19"/>
  <c r="L10" i="19"/>
  <c r="T10" i="19"/>
  <c r="G23" i="20"/>
  <c r="W23" i="20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W24" i="19"/>
  <c r="H20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L20" i="19" l="1"/>
  <c r="N23" i="18"/>
  <c r="N13" i="20"/>
  <c r="E18" i="18"/>
  <c r="L23" i="18"/>
  <c r="G24" i="19"/>
  <c r="P10" i="20"/>
  <c r="I213" i="3"/>
  <c r="K23" i="18"/>
  <c r="J11" i="20"/>
  <c r="E17" i="20"/>
  <c r="S22" i="18"/>
  <c r="S23" i="18"/>
  <c r="O11" i="20"/>
  <c r="Q25" i="19"/>
  <c r="E22" i="18"/>
  <c r="P24" i="19"/>
  <c r="T23" i="18"/>
  <c r="U19" i="18"/>
  <c r="O21" i="19"/>
  <c r="L10" i="20"/>
  <c r="E21" i="20"/>
  <c r="J21" i="19"/>
  <c r="T20" i="19"/>
  <c r="D22" i="20"/>
  <c r="E13" i="20"/>
  <c r="T22" i="18"/>
  <c r="Q11" i="20"/>
  <c r="E13" i="18"/>
  <c r="M22" i="20"/>
  <c r="L21" i="20"/>
  <c r="M23" i="20"/>
  <c r="W3" i="19"/>
  <c r="W28" i="19" s="1"/>
  <c r="R21" i="19"/>
  <c r="R25" i="19"/>
  <c r="G25" i="19"/>
  <c r="T24" i="19"/>
  <c r="H3" i="19"/>
  <c r="H23" i="19" s="1"/>
  <c r="U24" i="19"/>
  <c r="N24" i="19"/>
  <c r="K20" i="19"/>
  <c r="W10" i="20"/>
  <c r="S10" i="20"/>
  <c r="R242" i="3"/>
  <c r="M23" i="18"/>
  <c r="R212" i="3"/>
  <c r="I22" i="18"/>
  <c r="M22" i="18"/>
  <c r="I21" i="18"/>
  <c r="W17" i="20"/>
  <c r="Q21" i="19"/>
  <c r="N241" i="3"/>
  <c r="Q10" i="20"/>
  <c r="H25" i="19"/>
  <c r="Q24" i="19"/>
  <c r="H11" i="20"/>
  <c r="U29" i="3"/>
  <c r="U122" i="3" s="1"/>
  <c r="E23" i="18"/>
  <c r="G18" i="18"/>
  <c r="F20" i="19"/>
  <c r="F24" i="19"/>
  <c r="F89" i="3"/>
  <c r="F18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T17" i="20"/>
  <c r="L18" i="18"/>
  <c r="N27" i="19"/>
  <c r="J17" i="18"/>
  <c r="J13" i="18"/>
  <c r="C25" i="19"/>
  <c r="C21" i="19"/>
  <c r="C3" i="19"/>
  <c r="C9" i="20" s="1"/>
  <c r="J19" i="18"/>
  <c r="T11" i="20"/>
  <c r="W22" i="18"/>
  <c r="L3" i="19"/>
  <c r="L29" i="19" s="1"/>
  <c r="W23" i="19"/>
  <c r="W27" i="19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M27" i="19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9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Q9" i="20" l="1"/>
  <c r="Q122" i="3"/>
  <c r="E23" i="19"/>
  <c r="E27" i="19"/>
  <c r="M29" i="19"/>
  <c r="N19" i="19"/>
  <c r="W19" i="19"/>
  <c r="W9" i="20"/>
  <c r="U123" i="3"/>
  <c r="W29" i="19"/>
  <c r="F183" i="3"/>
  <c r="K183" i="3"/>
  <c r="U121" i="3"/>
  <c r="H9" i="20"/>
  <c r="H29" i="19"/>
  <c r="H28" i="19"/>
  <c r="N9" i="20"/>
  <c r="E28" i="19"/>
  <c r="M9" i="20"/>
  <c r="M23" i="19"/>
  <c r="G27" i="19"/>
  <c r="Q23" i="19"/>
  <c r="H27" i="19"/>
  <c r="H19" i="19"/>
  <c r="G28" i="19"/>
  <c r="Q241" i="3"/>
  <c r="P9" i="20"/>
  <c r="U182" i="3"/>
  <c r="Q123" i="3"/>
  <c r="P27" i="19"/>
  <c r="F241" i="3"/>
  <c r="T241" i="3"/>
  <c r="T123" i="3"/>
  <c r="L121" i="3"/>
  <c r="P121" i="3"/>
  <c r="P12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S10" i="5" l="1"/>
  <c r="R10" i="5"/>
  <c r="Q10" i="5"/>
  <c r="K10" i="5"/>
  <c r="J10" i="5"/>
  <c r="I10" i="5"/>
  <c r="C10" i="5"/>
  <c r="B10" i="5"/>
  <c r="D10" i="5" l="1"/>
  <c r="L10" i="5"/>
  <c r="T10" i="5"/>
  <c r="E10" i="5"/>
  <c r="M10" i="5"/>
  <c r="U10" i="5"/>
  <c r="F10" i="5"/>
  <c r="N10" i="5"/>
  <c r="V10" i="5"/>
  <c r="G10" i="5"/>
  <c r="O10" i="5"/>
  <c r="W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R60" i="7" l="1"/>
  <c r="F84" i="4"/>
  <c r="H60" i="7"/>
  <c r="Q75" i="7"/>
  <c r="W60" i="9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R59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01" i="5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20" i="7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D101" i="5" s="1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6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127" i="4" s="1"/>
  <c r="R46" i="7" s="1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77" i="5" s="1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50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71" i="6"/>
  <c r="O213" i="7" s="1"/>
  <c r="P190" i="4"/>
  <c r="P83" i="5"/>
  <c r="P138" i="7" s="1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P70" i="5"/>
  <c r="G46" i="4"/>
  <c r="G271" i="4" s="1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S111" i="5"/>
  <c r="O106" i="6"/>
  <c r="O112" i="5"/>
  <c r="F58" i="4"/>
  <c r="F13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95" i="6"/>
  <c r="U196" i="4"/>
  <c r="U83" i="6"/>
  <c r="U89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J127" i="4"/>
  <c r="J46" i="7" s="1"/>
  <c r="J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I58" i="4"/>
  <c r="I4" i="7" s="1"/>
  <c r="I13" i="7"/>
  <c r="R58" i="4"/>
  <c r="R13" i="7"/>
  <c r="R73" i="4"/>
  <c r="R19" i="7" s="1"/>
  <c r="R20" i="7"/>
  <c r="G112" i="4"/>
  <c r="E252" i="4"/>
  <c r="R253" i="4"/>
  <c r="O109" i="5"/>
  <c r="V83" i="6"/>
  <c r="O4" i="6"/>
  <c r="O47" i="6" s="1"/>
  <c r="T42" i="5"/>
  <c r="N18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M216" i="4" l="1"/>
  <c r="C58" i="4"/>
  <c r="C4" i="7" s="1"/>
  <c r="K112" i="4"/>
  <c r="G77" i="5"/>
  <c r="G132" i="7" s="1"/>
  <c r="T125" i="6"/>
  <c r="I59" i="7"/>
  <c r="R268" i="4"/>
  <c r="S208" i="4"/>
  <c r="S105" i="6"/>
  <c r="O184" i="4"/>
  <c r="V262" i="4"/>
  <c r="E47" i="6"/>
  <c r="R270" i="4"/>
  <c r="S218" i="4"/>
  <c r="V251" i="4"/>
  <c r="V257" i="4"/>
  <c r="N250" i="4"/>
  <c r="H58" i="4"/>
  <c r="M58" i="4"/>
  <c r="M4" i="7" s="1"/>
  <c r="S112" i="4"/>
  <c r="U256" i="4"/>
  <c r="E96" i="6"/>
  <c r="I138" i="7"/>
  <c r="H199" i="7"/>
  <c r="H118" i="7"/>
  <c r="Q102" i="6"/>
  <c r="U250" i="4"/>
  <c r="E209" i="4"/>
  <c r="U263" i="4"/>
  <c r="O132" i="7"/>
  <c r="V252" i="4"/>
  <c r="U59" i="7"/>
  <c r="U170" i="4"/>
  <c r="U63" i="5"/>
  <c r="U118" i="7" s="1"/>
  <c r="T118" i="6"/>
  <c r="B77" i="5"/>
  <c r="B132" i="7" s="1"/>
  <c r="O271" i="4"/>
  <c r="B213" i="7"/>
  <c r="M199" i="7"/>
  <c r="Q215" i="4"/>
  <c r="J219" i="7"/>
  <c r="I64" i="6"/>
  <c r="T111" i="6"/>
  <c r="J251" i="4"/>
  <c r="U98" i="5"/>
  <c r="T73" i="4"/>
  <c r="J213" i="7"/>
  <c r="T184" i="4"/>
  <c r="U73" i="4"/>
  <c r="J254" i="4"/>
  <c r="B63" i="5"/>
  <c r="U125" i="7"/>
  <c r="M47" i="7"/>
  <c r="B88" i="6"/>
  <c r="I88" i="6"/>
  <c r="O207" i="4"/>
  <c r="G184" i="4"/>
  <c r="E184" i="4"/>
  <c r="T213" i="7"/>
  <c r="M13" i="4"/>
  <c r="M204" i="4" s="1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10" i="5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1" i="4" s="1"/>
  <c r="S216" i="4"/>
  <c r="G190" i="4"/>
  <c r="Q57" i="6"/>
  <c r="Q199" i="7" s="1"/>
  <c r="N200" i="4"/>
  <c r="V206" i="7"/>
  <c r="G137" i="5"/>
  <c r="V6" i="4"/>
  <c r="V143" i="4" s="1"/>
  <c r="U6" i="4"/>
  <c r="U197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168" i="4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B197" i="4"/>
  <c r="B84" i="6"/>
  <c r="B90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269" i="4"/>
  <c r="E266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U84" i="6"/>
  <c r="K143" i="4"/>
  <c r="K197" i="4"/>
  <c r="K84" i="6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04" i="6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143" i="4"/>
  <c r="P13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E19" i="4"/>
  <c r="E238" i="4" s="1"/>
  <c r="F111" i="4" l="1"/>
  <c r="F30" i="7" s="1"/>
  <c r="T183" i="4"/>
  <c r="B17" i="5"/>
  <c r="B144" i="5" s="1"/>
  <c r="M150" i="4"/>
  <c r="M217" i="4"/>
  <c r="M163" i="4"/>
  <c r="M97" i="5"/>
  <c r="V90" i="5"/>
  <c r="F204" i="4"/>
  <c r="J4" i="7"/>
  <c r="M91" i="6"/>
  <c r="V84" i="6"/>
  <c r="J57" i="4"/>
  <c r="J3" i="7" s="1"/>
  <c r="H157" i="4"/>
  <c r="V197" i="4"/>
  <c r="T19" i="7"/>
  <c r="U143" i="4"/>
  <c r="E264" i="4"/>
  <c r="E70" i="6"/>
  <c r="E268" i="4"/>
  <c r="B4" i="4"/>
  <c r="B231" i="4" s="1"/>
  <c r="E270" i="4"/>
  <c r="C57" i="4"/>
  <c r="C3" i="7" s="1"/>
  <c r="E272" i="4"/>
  <c r="H251" i="4"/>
  <c r="U90" i="5"/>
  <c r="E267" i="4"/>
  <c r="O57" i="4"/>
  <c r="O3" i="7" s="1"/>
  <c r="E76" i="5"/>
  <c r="N57" i="4"/>
  <c r="B204" i="4"/>
  <c r="N183" i="4"/>
  <c r="E273" i="4"/>
  <c r="G98" i="6"/>
  <c r="M4" i="4"/>
  <c r="M231" i="4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B97" i="6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6" i="5"/>
  <c r="S160" i="5"/>
  <c r="S154" i="5"/>
  <c r="S162" i="5"/>
  <c r="S145" i="5"/>
  <c r="S142" i="5"/>
  <c r="S153" i="5"/>
  <c r="S163" i="5"/>
  <c r="S141" i="5"/>
  <c r="S143" i="5"/>
  <c r="S149" i="5"/>
  <c r="S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6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9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62" i="5"/>
  <c r="B146" i="5"/>
  <c r="B165" i="5"/>
  <c r="B155" i="5"/>
  <c r="B156" i="5"/>
  <c r="B153" i="5"/>
  <c r="B166" i="5"/>
  <c r="B143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222" i="4"/>
  <c r="N230" i="4"/>
  <c r="N226" i="4"/>
  <c r="N225" i="4"/>
  <c r="N229" i="4"/>
  <c r="N227" i="4"/>
  <c r="N236" i="4"/>
  <c r="N228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3" i="4"/>
  <c r="J227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95" i="4"/>
  <c r="M236" i="4"/>
  <c r="M229" i="4"/>
  <c r="F226" i="4"/>
  <c r="C150" i="4"/>
  <c r="C204" i="4"/>
  <c r="C91" i="6"/>
  <c r="C97" i="5"/>
  <c r="Q231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03" i="5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235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U60" i="5" l="1"/>
  <c r="B245" i="4"/>
  <c r="N235" i="4"/>
  <c r="N82" i="6"/>
  <c r="B154" i="5"/>
  <c r="B145" i="5"/>
  <c r="J167" i="4"/>
  <c r="S159" i="5"/>
  <c r="S164" i="5"/>
  <c r="S146" i="5"/>
  <c r="G224" i="4"/>
  <c r="U54" i="6"/>
  <c r="B156" i="4"/>
  <c r="N223" i="4"/>
  <c r="N195" i="4"/>
  <c r="B161" i="5"/>
  <c r="B159" i="5"/>
  <c r="S150" i="5"/>
  <c r="S165" i="5"/>
  <c r="S147" i="5"/>
  <c r="D167" i="4"/>
  <c r="J88" i="5"/>
  <c r="B241" i="4"/>
  <c r="N232" i="4"/>
  <c r="N234" i="4"/>
  <c r="B152" i="5"/>
  <c r="B160" i="5"/>
  <c r="H159" i="6"/>
  <c r="B142" i="5"/>
  <c r="B157" i="5"/>
  <c r="S151" i="5"/>
  <c r="S166" i="5"/>
  <c r="B164" i="5"/>
  <c r="G237" i="4"/>
  <c r="B239" i="4"/>
  <c r="N233" i="4"/>
  <c r="N88" i="5"/>
  <c r="B147" i="5"/>
  <c r="B163" i="5"/>
  <c r="B141" i="5"/>
  <c r="H141" i="6"/>
  <c r="B158" i="5"/>
  <c r="S155" i="5"/>
  <c r="S158" i="5"/>
  <c r="S152" i="5"/>
  <c r="B151" i="5"/>
  <c r="M223" i="4"/>
  <c r="M228" i="4"/>
  <c r="M141" i="4"/>
  <c r="M224" i="4"/>
  <c r="M225" i="4"/>
  <c r="M234" i="4"/>
  <c r="M232" i="4"/>
  <c r="M226" i="4"/>
  <c r="M233" i="4"/>
  <c r="M230" i="4"/>
  <c r="M222" i="4"/>
  <c r="M235" i="4"/>
  <c r="M88" i="5"/>
  <c r="M227" i="4"/>
  <c r="M82" i="6"/>
  <c r="D237" i="4"/>
  <c r="G243" i="4"/>
  <c r="D242" i="4"/>
  <c r="D97" i="6"/>
  <c r="G103" i="5"/>
  <c r="D239" i="4"/>
  <c r="D210" i="4"/>
  <c r="D238" i="4"/>
  <c r="D241" i="4"/>
  <c r="D156" i="4"/>
  <c r="D246" i="4"/>
  <c r="D245" i="4"/>
  <c r="D240" i="4"/>
  <c r="S144" i="5"/>
  <c r="S161" i="5"/>
  <c r="I223" i="4"/>
  <c r="G88" i="5"/>
  <c r="J236" i="4"/>
  <c r="J228" i="4"/>
  <c r="G239" i="4"/>
  <c r="B246" i="4"/>
  <c r="B210" i="4"/>
  <c r="H138" i="6"/>
  <c r="H156" i="6"/>
  <c r="H149" i="6"/>
  <c r="I88" i="5"/>
  <c r="G244" i="4"/>
  <c r="J234" i="4"/>
  <c r="J222" i="4"/>
  <c r="G241" i="4"/>
  <c r="B243" i="4"/>
  <c r="H151" i="6"/>
  <c r="H139" i="6"/>
  <c r="H135" i="6"/>
  <c r="V147" i="5"/>
  <c r="H140" i="6"/>
  <c r="H137" i="6"/>
  <c r="J232" i="4"/>
  <c r="H148" i="6"/>
  <c r="G245" i="4"/>
  <c r="I233" i="4"/>
  <c r="J235" i="4"/>
  <c r="J195" i="4"/>
  <c r="G97" i="6"/>
  <c r="G242" i="4"/>
  <c r="B237" i="4"/>
  <c r="H158" i="6"/>
  <c r="H155" i="6"/>
  <c r="H154" i="6"/>
  <c r="J82" i="6"/>
  <c r="H152" i="6"/>
  <c r="H160" i="6"/>
  <c r="H153" i="6"/>
  <c r="I224" i="4"/>
  <c r="B238" i="4"/>
  <c r="I226" i="4"/>
  <c r="G238" i="4"/>
  <c r="J226" i="4"/>
  <c r="J225" i="4"/>
  <c r="J141" i="4"/>
  <c r="G210" i="4"/>
  <c r="B103" i="5"/>
  <c r="H142" i="6"/>
  <c r="H145" i="6"/>
  <c r="I236" i="4"/>
  <c r="G222" i="4"/>
  <c r="J230" i="4"/>
  <c r="J233" i="4"/>
  <c r="G246" i="4"/>
  <c r="G156" i="4"/>
  <c r="B242" i="4"/>
  <c r="H147" i="6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G4" i="8" s="1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O61" i="8" l="1"/>
  <c r="S25" i="8"/>
  <c r="O14" i="8"/>
  <c r="O26" i="10" s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S12" i="3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6" i="1"/>
  <c r="B4" i="1"/>
  <c r="B11" i="1"/>
  <c r="B22" i="1"/>
  <c r="B16" i="1"/>
  <c r="B13" i="1"/>
  <c r="B15" i="1"/>
  <c r="B17" i="1"/>
  <c r="B18" i="1"/>
  <c r="B20" i="1"/>
  <c r="B12" i="1"/>
  <c r="B8" i="1"/>
  <c r="B9" i="1"/>
  <c r="B21" i="1"/>
  <c r="B7" i="1"/>
  <c r="G222" i="3" l="1"/>
  <c r="O222" i="3"/>
  <c r="S218" i="3"/>
  <c r="V219" i="3"/>
  <c r="T222" i="3"/>
  <c r="S224" i="3"/>
  <c r="G218" i="3"/>
  <c r="O218" i="3"/>
  <c r="T224" i="3"/>
  <c r="T232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H221" i="3" l="1"/>
  <c r="K221" i="3"/>
  <c r="E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C234" i="3"/>
  <c r="I142" i="3"/>
  <c r="I143" i="3"/>
  <c r="I141" i="3"/>
  <c r="I144" i="3"/>
  <c r="I146" i="3"/>
  <c r="I199" i="3"/>
  <c r="I150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225" i="3" l="1"/>
  <c r="B53" i="12"/>
  <c r="B17" i="12"/>
  <c r="B67" i="12" s="1"/>
  <c r="R139" i="3"/>
  <c r="R144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<sst xmlns="http://schemas.openxmlformats.org/spreadsheetml/2006/main" count="2655" uniqueCount="1167">
  <si>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</si>
  <si>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</si>
  <si>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</si>
  <si>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</si>
  <si>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</si>
  <si>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</si>
  <si>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</si>
  <si>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</si>
  <si>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</si>
  <si>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</si>
  <si>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</si>
  <si>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</si>
  <si>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</si>
  <si>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</si>
  <si>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</si>
  <si>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</si>
  <si>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</si>
  <si>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</si>
  <si>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</si>
  <si>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</si>
  <si>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</si>
  <si>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</si>
  <si>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</si>
  <si>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</si>
  <si>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</si>
  <si>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</si>
  <si>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</si>
  <si>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</si>
  <si>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</si>
  <si>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</si>
  <si>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</si>
  <si>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</si>
  <si>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</si>
  <si>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</si>
  <si>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</si>
  <si>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</si>
  <si>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</si>
  <si>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</si>
  <si>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</si>
  <si>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</si>
  <si>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</si>
  <si>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</si>
  <si>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</si>
  <si>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</si>
  <si>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</si>
  <si>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</si>
  <si>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</si>
  <si>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</si>
  <si>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</si>
  <si>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</si>
  <si>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</si>
  <si>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</si>
  <si>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</si>
  <si>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</si>
  <si>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</si>
  <si>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</si>
  <si>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</si>
  <si>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</si>
  <si>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</si>
  <si>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</si>
  <si>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</si>
  <si>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</si>
  <si>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</si>
  <si>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</si>
  <si>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</si>
  <si>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</si>
  <si>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</si>
  <si>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</si>
  <si>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</si>
  <si>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</si>
  <si>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</si>
  <si>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</si>
  <si>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</si>
  <si>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</si>
  <si>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</si>
  <si>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</si>
  <si>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</si>
  <si>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</si>
  <si>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</si>
  <si>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</si>
  <si>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</si>
  <si>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</si>
  <si>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</si>
  <si>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</si>
  <si>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</si>
  <si>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</si>
  <si>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</si>
  <si>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</si>
  <si>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</si>
  <si>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</si>
  <si>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</si>
  <si>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</si>
  <si>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</si>
  <si>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</si>
  <si>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</si>
  <si>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</si>
  <si>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</si>
  <si>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</si>
  <si>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</si>
  <si>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</si>
  <si>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</si>
  <si>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</si>
  <si>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</si>
  <si>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</si>
  <si>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</si>
  <si>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</si>
  <si>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</si>
  <si>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</si>
  <si>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</si>
  <si>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</si>
  <si>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</si>
  <si>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</si>
  <si>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</si>
  <si>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</si>
  <si>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</si>
  <si>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</si>
  <si>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</si>
  <si>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</si>
  <si>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</si>
  <si>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</si>
  <si>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</si>
  <si>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</si>
  <si>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</si>
  <si>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</si>
  <si>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</si>
  <si>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</si>
  <si>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</si>
  <si>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</si>
  <si>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</si>
  <si>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</si>
  <si>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</si>
  <si>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</si>
  <si>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</si>
  <si>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</si>
  <si>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</si>
  <si>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</si>
  <si>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</si>
  <si>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</si>
  <si>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</si>
  <si>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</si>
  <si>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</si>
  <si>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</si>
  <si>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</si>
  <si>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</si>
  <si>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</si>
  <si>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</si>
  <si>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</si>
  <si>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</si>
  <si>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</si>
  <si>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</si>
  <si>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</si>
  <si>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</si>
  <si>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</si>
  <si>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</si>
  <si>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</si>
  <si>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</si>
  <si>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</si>
  <si>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</si>
  <si>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</si>
  <si>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</si>
  <si>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</si>
  <si>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</si>
  <si>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</si>
  <si>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</si>
  <si>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</si>
  <si>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</si>
  <si>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</si>
  <si>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</si>
  <si>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</si>
  <si>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</si>
  <si>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</si>
  <si>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</si>
  <si>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</si>
  <si>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</si>
  <si>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</si>
  <si>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</si>
  <si>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</si>
  <si>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</si>
  <si>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</si>
  <si>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</si>
  <si>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</si>
  <si>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</si>
  <si>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</si>
  <si>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</si>
  <si>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</si>
  <si>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</si>
  <si>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FR</t>
  </si>
  <si>
    <t>France</t>
  </si>
  <si>
    <t>Aviation - FR - France</t>
  </si>
  <si>
    <t>Activity.Mpkm.FR.Tr.Avia.Passenger</t>
  </si>
  <si>
    <t>Activity.Mpkm.FR.Tr.Avia.Passenger.Domestic</t>
  </si>
  <si>
    <t>Activity.Mpkm.FR.Tr.Avia.Passenger.IntraEEAwUK</t>
  </si>
  <si>
    <t>Activity.Mpkm.FR.Tr.Avia.Passenger.ExtraEEAwUK</t>
  </si>
  <si>
    <t>Activity.Mtkm.FR.Tr.Avia.Freight</t>
  </si>
  <si>
    <t>Activity.Mtkm.FR.Tr.Avia.Freight.Domestic</t>
  </si>
  <si>
    <t>Activity.Mtkm.FR.Tr.Avia.Freight.IntraEEAwUK</t>
  </si>
  <si>
    <t>Activity.Mtkm.FR.Tr.Avia.Freight.ExtraEEAwUK</t>
  </si>
  <si>
    <t>VehicleKm.Mkm.FR.Tr.Avia</t>
  </si>
  <si>
    <t>VehicleKm.Mkm.FR.Tr.Avia.Passenger</t>
  </si>
  <si>
    <t>VehicleKm.Mkm.FR.Tr.Avia.Passenger.Domestic</t>
  </si>
  <si>
    <t>VehicleKm.Mkm.FR.Tr.Avia.Passenger.IntraEEAwUK</t>
  </si>
  <si>
    <t>VehicleKm.Mkm.FR.Tr.Avia.Passenger.ExtraEEAwUK</t>
  </si>
  <si>
    <t>VehicleKm.Mkm.FR.Tr.Avia.Freight</t>
  </si>
  <si>
    <t>VehicleKm.Mkm.FR.Tr.Avia.Freight.Domestic</t>
  </si>
  <si>
    <t>VehicleKm.Mkm.FR.Tr.Avia.Freight.IntraEEAwUK</t>
  </si>
  <si>
    <t>VehicleKm.Mkm.FR.Tr.Avia.Freight.ExtraEEAwUK</t>
  </si>
  <si>
    <t>Flights.number.FR.Tr.Avia</t>
  </si>
  <si>
    <t>Flights.number.FR.Tr.Avia.Passenger</t>
  </si>
  <si>
    <t>Flights.number.FR.Tr.Avia.Passenger.Domestic</t>
  </si>
  <si>
    <t>Flights.number.FR.Tr.Avia.Passenger.IntraEEAwUK</t>
  </si>
  <si>
    <t>Flights.number.FR.Tr.Avia.Passenger.ExtraEEAwUK</t>
  </si>
  <si>
    <t>Flights.number.FR.Tr.Avia.Freight</t>
  </si>
  <si>
    <t>Flights.number.FR.Tr.Avia.Freight.Domestic</t>
  </si>
  <si>
    <t>Flights.number.FR.Tr.Avia.Freight.IntraEEAwUK</t>
  </si>
  <si>
    <t>Flights.number.FR.Tr.Avia.Freight.ExtraEEAwUK</t>
  </si>
  <si>
    <t>VolCarried.passenger.FR.Tr.Avia.Passenger</t>
  </si>
  <si>
    <t>VolCarried.passenger.FR.Tr.Avia.Passenger.Domestic</t>
  </si>
  <si>
    <t>VolCarried.passenger.FR.Tr.Avia.Passenger.IntraEEAwUK</t>
  </si>
  <si>
    <t>VolCarried.passenger.FR.Tr.Avia.Passenger.ExtraEEAwUK</t>
  </si>
  <si>
    <t>VolCarried.t.FR.Tr.Avia.Freight</t>
  </si>
  <si>
    <t>VolCarried.t.FR.Tr.Avia.Freight.Domestic</t>
  </si>
  <si>
    <t>VolCarried.t.FR.Tr.Avia.Freight.IntraEEAwUK</t>
  </si>
  <si>
    <t>VolCarried.t.FR.Tr.Avia.Freight.ExtraEEAwUK</t>
  </si>
  <si>
    <t>Stock.number.FR.Tr.Avia</t>
  </si>
  <si>
    <t>Stock.number.FR.Tr.Avia.Passenger</t>
  </si>
  <si>
    <t>Stock.number.FR.Tr.Avia.Passenger.Domestic</t>
  </si>
  <si>
    <t>Stock.number.FR.Tr.Avia.Passenger.IntraEEAwUK</t>
  </si>
  <si>
    <t>Stock.number.FR.Tr.Avia.Passenger.ExtraEEAwUK</t>
  </si>
  <si>
    <t>Stock.number.FR.Tr.Avia.Freight</t>
  </si>
  <si>
    <t>Stock.number.FR.Tr.Avia.Freight.Domestic</t>
  </si>
  <si>
    <t>Stock.number.FR.Tr.Avia.Freight.IntraEEAwUK</t>
  </si>
  <si>
    <t>Stock.number.FR.Tr.Avia.Freight.ExtraEEAwUK</t>
  </si>
  <si>
    <t>StockNew.number.FR.Tr.Avia</t>
  </si>
  <si>
    <t>StockNew.number.FR.Tr.Avia.Passenger</t>
  </si>
  <si>
    <t>StockNew.number.FR.Tr.Avia.Passenger.Domestic</t>
  </si>
  <si>
    <t>StockNew.number.FR.Tr.Avia.Passenger.IntraEEAwUK</t>
  </si>
  <si>
    <t>StockNew.number.FR.Tr.Avia.Passenger.ExtraEEAwUK</t>
  </si>
  <si>
    <t>StockNew.number.FR.Tr.Avia.Freight</t>
  </si>
  <si>
    <t>StockNew.number.FR.Tr.Avia.Freight.Domestic</t>
  </si>
  <si>
    <t>StockNew.number.FR.Tr.Avia.Freight.IntraEEAwUK</t>
  </si>
  <si>
    <t>StockNew.number.FR.Tr.Avia.Freight.ExtraEEAwUK</t>
  </si>
  <si>
    <t>Load.passenger_per_movement.FR.Tr.Avia.Passenger</t>
  </si>
  <si>
    <t>Load.passenger_per_movement.FR.Tr.Avia.Passenger.Domestic</t>
  </si>
  <si>
    <t>Load.passenger_per_movement.FR.Tr.Avia.Passenger.IntraEEAwUK</t>
  </si>
  <si>
    <t>Load.passenger_per_movement.FR.Tr.Avia.Passenger.ExtraEEAwUK</t>
  </si>
  <si>
    <t>Load.t_per_movement.FR.Tr.Avia.Freight</t>
  </si>
  <si>
    <t>Load.t_per_movement.FR.Tr.Avia.Freight.Domestic</t>
  </si>
  <si>
    <t>Load.t_per_movement.FR.Tr.Avia.Freight.IntraEEAwUK</t>
  </si>
  <si>
    <t>Load.t_per_movement.FR.Tr.Avia.Freight.ExtraEEAwUK</t>
  </si>
  <si>
    <t>VehicleKm_per_flight.km.FR.Tr.Avia</t>
  </si>
  <si>
    <t>VehicleKm_per_flight.km.FR.Tr.Avia.Passenger</t>
  </si>
  <si>
    <t>VehicleKm_per_flight.km.FR.Tr.Avia.Passenger.Domestic</t>
  </si>
  <si>
    <t>VehicleKm_per_flight.km.FR.Tr.Avia.Passenger.IntraEEAwUK</t>
  </si>
  <si>
    <t>VehicleKm_per_flight.km.FR.Tr.Avia.Passenger.ExtraEEAwUK</t>
  </si>
  <si>
    <t>VehicleKm_per_flight.km.FR.Tr.Avia.Freight</t>
  </si>
  <si>
    <t>VehicleKm_per_flight.km.FR.Tr.Avia.Freight.Domestic</t>
  </si>
  <si>
    <t>VehicleKm_per_flight.km.FR.Tr.Avia.Freight.IntraEEAwUK</t>
  </si>
  <si>
    <t>VehicleKm_per_flight.km.FR.Tr.Avia.Freight.ExtraEEAwUK</t>
  </si>
  <si>
    <t>Activity_per_flight.pkm.FR.Tr.Avia.Passenger</t>
  </si>
  <si>
    <t>Activity_per_flight.pkm.FR.Tr.Avia.Passenger.Domestic</t>
  </si>
  <si>
    <t>Activity_per_flight.pkm.FR.Tr.Avia.Passenger.IntraEEAwUK</t>
  </si>
  <si>
    <t>Activity_per_flight.pkm.FR.Tr.Avia.Passenger.ExtraEEAwUK</t>
  </si>
  <si>
    <t>Activity_per_flight.tkm.FR.Tr.Avia.Freight</t>
  </si>
  <si>
    <t>Activity_per_flight.tkm.FR.Tr.Avia.Freight.Domestic</t>
  </si>
  <si>
    <t>Activity_per_flight.tkm.FR.Tr.Avia.Freight.IntraEEAwUK</t>
  </si>
  <si>
    <t>Activity_per_flight.tkm.FR.Tr.Avia.Freight.ExtraEEAwUK</t>
  </si>
  <si>
    <t>Flights_per_vehicle.number.FR.Tr.Avia</t>
  </si>
  <si>
    <t>Flights_per_vehicle.number.FR.Tr.Avia.Passenger</t>
  </si>
  <si>
    <t>Flights_per_vehicle.number.FR.Tr.Avia.Passenger.Domestic</t>
  </si>
  <si>
    <t>Flights_per_vehicle.number.FR.Tr.Avia.Passenger.IntraEEAwUK</t>
  </si>
  <si>
    <t>Flights_per_vehicle.number.FR.Tr.Avia.Passenger.ExtraEEAwUK</t>
  </si>
  <si>
    <t>Flights_per_vehicle.number.FR.Tr.Avia.Freight</t>
  </si>
  <si>
    <t>Flights_per_vehicle.number.FR.Tr.Avia.Freight.Domestic</t>
  </si>
  <si>
    <t>Flights_per_vehicle.number.FR.Tr.Avia.Freight.IntraEEAwUK</t>
  </si>
  <si>
    <t>Flights_per_vehicle.number.FR.Tr.Avia.Freight.ExtraEEAwUK</t>
  </si>
  <si>
    <t>Aviation / energy consumption - FR - France</t>
  </si>
  <si>
    <t>FEC.ktoe.FR.Tr.Avia</t>
  </si>
  <si>
    <t>FEC.ktoe.FR.Tr.Avia.Domestic</t>
  </si>
  <si>
    <t>FEC.ktoe.FR.Tr.Avia.International</t>
  </si>
  <si>
    <t>FEC.ktoe.FR.Tr.Avia.Passenger</t>
  </si>
  <si>
    <t>FEC.ktoe.FR.Tr.Avia.Passenger.Domestic</t>
  </si>
  <si>
    <t>FEC.ktoe.FR.Tr.Avia.Passenger.IntraEEAwUK</t>
  </si>
  <si>
    <t>FEC.ktoe.FR.Tr.Avia.Passenger.ExtraEEAwUK</t>
  </si>
  <si>
    <t>FEC.ktoe.FR.Tr.Avia.Freight</t>
  </si>
  <si>
    <t>FEC.ktoe.FR.Tr.Avia.Freight.Domestic</t>
  </si>
  <si>
    <t>FEC.ktoe.FR.Tr.Avia.Freight.IntraEEAwUK</t>
  </si>
  <si>
    <t>FEC.ktoe.FR.Tr.Avia.Freight.ExtraEEAwUK</t>
  </si>
  <si>
    <t>Eff.kgoe_per_100km.FR.Tr.Avia</t>
  </si>
  <si>
    <t>Eff.kgoe_per_100km.FR.Tr.Avia.Passenger</t>
  </si>
  <si>
    <t>Eff.kgoe_per_100km.FR.Tr.Avia.Passenger.Domestic</t>
  </si>
  <si>
    <t>Eff.kgoe_per_100km.FR.Tr.Avia.Passenger.IntraEEAwUK</t>
  </si>
  <si>
    <t>Eff.kgoe_per_100km.FR.Tr.Avia.Passenger.ExtraEEAwUK</t>
  </si>
  <si>
    <t>Eff.kgoe_per_100km.FR.Tr.Avia.Freight</t>
  </si>
  <si>
    <t>Eff.kgoe_per_100km.FR.Tr.Avia.Freight.Domestic</t>
  </si>
  <si>
    <t>Eff.kgoe_per_100km.FR.Tr.Avia.Freight.IntraEEAwUK</t>
  </si>
  <si>
    <t>Eff.kgoe_per_100km.FR.Tr.Avia.Freight.ExtraEEAwUK</t>
  </si>
  <si>
    <t>Eff.kgoe_per_kpkm.FR.Tr.Avia.Passenger</t>
  </si>
  <si>
    <t>Eff.kgoe_per_kpkm.FR.Tr.Avia.Passenger.Domestic</t>
  </si>
  <si>
    <t>Eff.kgoe_per_kpkm.FR.Tr.Avia.Passenger.IntraEEAwUK</t>
  </si>
  <si>
    <t>Eff.kgoe_per_kpkm.FR.Tr.Avia.Passenger.ExtraEEAwUK</t>
  </si>
  <si>
    <t>Eff.kgoe_per_ktkm.FR.Tr.Avia.Freight</t>
  </si>
  <si>
    <t>Eff.kgoe_per_ktkm.FR.Tr.Avia.Freight.Domestic</t>
  </si>
  <si>
    <t>Eff.kgoe_per_ktkm.FR.Tr.Avia.Freight.IntraEEAwUK</t>
  </si>
  <si>
    <t>Eff.kgoe_per_ktkm.FR.Tr.Avia.Freight.ExtraEEAwUK</t>
  </si>
  <si>
    <t>FEC_per_flight.kgoe.FR.Tr.Avia</t>
  </si>
  <si>
    <t>FEC_per_flight.kgoe.FR.Tr.Avia.Passenger</t>
  </si>
  <si>
    <t>FEC_per_flight.kgoe.FR.Tr.Avia.Passenger.Domestic</t>
  </si>
  <si>
    <t>FEC_per_flight.kgoe.FR.Tr.Avia.Passenger.IntraEEAwUK</t>
  </si>
  <si>
    <t>FEC_per_flight.kgoe.FR.Tr.Avia.Passenger.ExtraEEAwUK</t>
  </si>
  <si>
    <t>FEC_per_flight.kgoe.FR.Tr.Avia.Freight</t>
  </si>
  <si>
    <t>FEC_per_flight.kgoe.FR.Tr.Avia.Freight.Domestic</t>
  </si>
  <si>
    <t>FEC_per_flight.kgoe.FR.Tr.Avia.Freight.IntraEEAwUK</t>
  </si>
  <si>
    <t>FEC_per_flight.kgoe.FR.Tr.Avia.Freight.ExtraEEAwUK</t>
  </si>
  <si>
    <t>Eff_theor.kgoe_per_100km.FR.Tr.Avia</t>
  </si>
  <si>
    <t>Eff_theor.kgoe_per_100km.FR.Tr.Avia.Passenger</t>
  </si>
  <si>
    <t>Eff_theor.kgoe_per_100km.FR.Tr.Avia.Passenger.Domestic</t>
  </si>
  <si>
    <t>Eff_theor.kgoe_per_100km.FR.Tr.Avia.Passenger.IntraEEAwUK</t>
  </si>
  <si>
    <t>Eff_theor.kgoe_per_100km.FR.Tr.Avia.Passenger.ExtraEEAwUK</t>
  </si>
  <si>
    <t>Eff_theor.kgoe_per_100km.FR.Tr.Avia.Freight</t>
  </si>
  <si>
    <t>Eff_theor.kgoe_per_100km.FR.Tr.Avia.Freight.Domestic</t>
  </si>
  <si>
    <t>Eff_theor.kgoe_per_100km.FR.Tr.Avia.Freight.IntraEEAwUK</t>
  </si>
  <si>
    <t>Eff_theor.kgoe_per_100km.FR.Tr.Avia.Freight.ExtraEEAwUK</t>
  </si>
  <si>
    <t>Aviation / CO2 emissions - FR - France</t>
  </si>
  <si>
    <t>EMI.ktCO2.FR.Tr.Avia</t>
  </si>
  <si>
    <t>EMI.ktCO2.FR.Tr.Avia.Domestic</t>
  </si>
  <si>
    <t>EMI.ktCO2.FR.Tr.Avia.International</t>
  </si>
  <si>
    <t>EMI.ktCO2.FR.Tr.Avia.Passenger</t>
  </si>
  <si>
    <t>EMI.ktCO2.FR.Tr.Avia.Passenger.Domestic</t>
  </si>
  <si>
    <t>EMI.ktCO2.FR.Tr.Avia.Passenger.IntraEEAwUK</t>
  </si>
  <si>
    <t>EMI.ktCO2.FR.Tr.Avia.Passenger.ExtraEEAwUK</t>
  </si>
  <si>
    <t>EMI.ktCO2.FR.Tr.Avia.Freight</t>
  </si>
  <si>
    <t>EMI.ktCO2.FR.Tr.Avia.Freight.Domestic</t>
  </si>
  <si>
    <t>EMI.ktCO2.FR.Tr.Avia.Freight.IntraEEAwUK</t>
  </si>
  <si>
    <t>EMI.ktCO2.FR.Tr.Avia.Freight.ExtraEEAwUK</t>
  </si>
  <si>
    <t>EMIint.gCO2_per_km.FR.Tr.Avia</t>
  </si>
  <si>
    <t>EMIint.gCO2_per_km.FR.Tr.Avia.Passenger</t>
  </si>
  <si>
    <t>EMIint.gCO2_per_km.FR.Tr.Avia.Passenger.Domestic</t>
  </si>
  <si>
    <t>EMIint.gCO2_per_km.FR.Tr.Avia.Passenger.IntraEEAwUK</t>
  </si>
  <si>
    <t>EMIint.gCO2_per_km.FR.Tr.Avia.Passenger.ExtraEEAwUK</t>
  </si>
  <si>
    <t>EMIint.gCO2_per_km.FR.Tr.Avia.Freight</t>
  </si>
  <si>
    <t>EMIint.gCO2_per_km.FR.Tr.Avia.Freight.Domestic</t>
  </si>
  <si>
    <t>EMIint.gCO2_per_km.FR.Tr.Avia.Freight.IntraEEAwUK</t>
  </si>
  <si>
    <t>EMIint.gCO2_per_km.FR.Tr.Avia.Freight.ExtraEEAwUK</t>
  </si>
  <si>
    <t>EMIint.gCO2_per_pkm.FR.Tr.Avia.Passenger</t>
  </si>
  <si>
    <t>EMIint.gCO2_per_pkm.FR.Tr.Avia.Passenger.Domestic</t>
  </si>
  <si>
    <t>EMIint.gCO2_per_pkm.FR.Tr.Avia.Passenger.IntraEEAwUK</t>
  </si>
  <si>
    <t>EMIint.gCO2_per_pkm.FR.Tr.Avia.Passenger.ExtraEEAwUK</t>
  </si>
  <si>
    <t>EMIint.gCO2_per_tkm.FR.Tr.Avia.Freight</t>
  </si>
  <si>
    <t>EMIint.gCO2_per_tkm.FR.Tr.Avia.Freight.Domestic</t>
  </si>
  <si>
    <t>EMIint.gCO2_per_tkm.FR.Tr.Avia.Freight.IntraEEAwUK</t>
  </si>
  <si>
    <t>EMIint.gCO2_per_tkm.FR.Tr.Avia.Freight.ExtraEEAwUK</t>
  </si>
  <si>
    <t>EMI_per_flight.kgCO2.FR.Tr.Avia</t>
  </si>
  <si>
    <t>EMI_per_flight.kgCO2.FR.Tr.Avia.Passenger</t>
  </si>
  <si>
    <t>EMI_per_flight.kgCO2.FR.Tr.Avia.Passenger.Domestic</t>
  </si>
  <si>
    <t>EMI_per_flight.kgCO2.FR.Tr.Avia.Passenger.IntraEEAwUK</t>
  </si>
  <si>
    <t>EMI_per_flight.kgCO2.FR.Tr.Avia.Passenger.ExtraEEAwUK</t>
  </si>
  <si>
    <t>EMI_per_flight.kgCO2.FR.Tr.Avia.Freight</t>
  </si>
  <si>
    <t>EMI_per_flight.kgCO2.FR.Tr.Avia.Freight.Domestic</t>
  </si>
  <si>
    <t>EMI_per_flight.kgCO2.FR.Tr.Avia.Freight.IntraEEAwUK</t>
  </si>
  <si>
    <t>EMI_per_flight.kgCO2.FR.Tr.Avia.Freight.ExtraEEAwUK</t>
  </si>
  <si>
    <t>Aviation / passenger transport specific data - FR - France</t>
  </si>
  <si>
    <t>TrCap.seats.FR.Tr.Avia.Passenger</t>
  </si>
  <si>
    <t>TrCap.seats.FR.Tr.Avia.Passenger.Domestic</t>
  </si>
  <si>
    <t>TrCap.seats.FR.Tr.Avia.Passenger.IntraEEAwUK</t>
  </si>
  <si>
    <t>TrCap.seats.FR.Tr.Avia.Passenger.ExtraEEAwUK</t>
  </si>
  <si>
    <t>TrCap_per_flight.seats.FR.Tr.Avia.Passenger</t>
  </si>
  <si>
    <t>TrCap_per_flight.seats.FR.Tr.Avia.Passenger.Domestic</t>
  </si>
  <si>
    <t>TrCap_per_flight.seats.FR.Tr.Avia.Passenger.IntraEEAwUK</t>
  </si>
  <si>
    <t>TrCap_per_flight.seats.FR.Tr.Avia.Passenger.ExtraEEAwUK</t>
  </si>
  <si>
    <t>Transport overview - FR - France</t>
  </si>
  <si>
    <t>Activity.Mpkm.FR.Tr</t>
  </si>
  <si>
    <t>Activity.Mpkm.FR.Tr.Road.Passenger</t>
  </si>
  <si>
    <t>Activity.Mpkm.FR.Tr.Road.Passenger.P2W</t>
  </si>
  <si>
    <t>Activity.Mpkm.FR.Tr.Road.Passenger.Car</t>
  </si>
  <si>
    <t>Activity.Mpkm.FR.Tr.Road.Passenger.Bus</t>
  </si>
  <si>
    <t>Activity.Mpkm.FR.Tr.Rail.Passenger</t>
  </si>
  <si>
    <t>Activity.Mpkm.FR.Tr.Rail.Passenger.MTU</t>
  </si>
  <si>
    <t>Activity.Mpkm.FR.Tr.Rail.Passenger.CPT</t>
  </si>
  <si>
    <t>Activity.Mpkm.FR.Tr.Rail.Passenger.HST</t>
  </si>
  <si>
    <t>Activity.Mtkm.FR.Tr</t>
  </si>
  <si>
    <t>Activity.Mtkm.FR.Tr.Road.Freight</t>
  </si>
  <si>
    <t>Activity.Mtkm.FR.Tr.Road.Freight.LCV</t>
  </si>
  <si>
    <t>Activity.Mtkm.FR.Tr.Road.Freight.HGV</t>
  </si>
  <si>
    <t>Activity.Mtkm.FR.Tr.Rail.Freight</t>
  </si>
  <si>
    <t>Activity.Mtkm.FR.Tr.DNavi.Freight</t>
  </si>
  <si>
    <t>Activity.Mtkm.FR.Tr.DNavi.Freight.DCS</t>
  </si>
  <si>
    <t>Activity.Mtkm.FR.Tr.DNavi.Freight.IWW</t>
  </si>
  <si>
    <t>Activity.Mtkm.FR.MBunk.Freight</t>
  </si>
  <si>
    <t>Activity.Mtkm.FR.MBunk.Freight.IntraEEA</t>
  </si>
  <si>
    <t>Activity.Mtkm.FR.MBunk.Freight.ExtraEEA</t>
  </si>
  <si>
    <t>FEC.ktoe.FR.Tr.Road.Passenger</t>
  </si>
  <si>
    <t>FEC.ktoe.FR.Tr.Road.Passenger.P2W</t>
  </si>
  <si>
    <t>FEC.ktoe.FR.Tr.Road.Passenger.Car</t>
  </si>
  <si>
    <t>FEC.ktoe.FR.Tr.Road.Passenger.Bus</t>
  </si>
  <si>
    <t>FEC.ktoe.FR.Tr.Rail.Passenger</t>
  </si>
  <si>
    <t>FEC.ktoe.FR.Tr.Rail.Passenger.MTU</t>
  </si>
  <si>
    <t>FEC.ktoe.FR.Tr.Rail.Passenger.CPT</t>
  </si>
  <si>
    <t>FEC.ktoe.FR.Tr.Rail.Passenger.HST</t>
  </si>
  <si>
    <t>FEC.ktoe.FR.Tr.Road.Freight</t>
  </si>
  <si>
    <t>FEC.ktoe.FR.Tr.Road.Freight.LCV</t>
  </si>
  <si>
    <t>FEC.ktoe.FR.Tr.Road.Freight.HGV</t>
  </si>
  <si>
    <t>FEC.ktoe.FR.Tr.Rail.Freight</t>
  </si>
  <si>
    <t>EMI.ktCO2.FR.Tr.Road.Passenger</t>
  </si>
  <si>
    <t>EMI.ktCO2.FR.Tr.Road.Passenger.P2W</t>
  </si>
  <si>
    <t>EMI.ktCO2.FR.Tr.Road.Passenger.Car</t>
  </si>
  <si>
    <t>EMI.ktCO2.FR.Tr.Road.Passenger.Bus</t>
  </si>
  <si>
    <t>EMI.ktCO2.FR.Tr.Rail.Passenger</t>
  </si>
  <si>
    <t>EMI.ktCO2.FR.Tr.Rail.Passenger.MTU</t>
  </si>
  <si>
    <t>EMI.ktCO2.FR.Tr.Rail.Passenger.CPT</t>
  </si>
  <si>
    <t>EMI.ktCO2.FR.Tr.Rail.Passenger.HST</t>
  </si>
  <si>
    <t>EMI.ktCO2.FR.Tr.Road.Freight</t>
  </si>
  <si>
    <t>EMI.ktCO2.FR.Tr.Road.Freight.LCV</t>
  </si>
  <si>
    <t>EMI.ktCO2.FR.Tr.Road.Freight.HGV</t>
  </si>
  <si>
    <t>EMI.ktCO2.FR.Tr.Rail.Freight</t>
  </si>
  <si>
    <t>Eff.kgoe_per_kpkm.FR.Tr</t>
  </si>
  <si>
    <t>Eff.kgoe_per_kpkm.FR.Tr.Road.Passenger</t>
  </si>
  <si>
    <t>Eff.kgoe_per_kpkm.FR.Tr.Road.Passenger.P2W</t>
  </si>
  <si>
    <t>Eff.kgoe_per_kpkm.FR.Tr.Road.Passenger.Car</t>
  </si>
  <si>
    <t>Eff.kgoe_per_kpkm.FR.Tr.Road.Passenger.Bus</t>
  </si>
  <si>
    <t>Eff.kgoe_per_kpkm.FR.Tr.Rail.Passenger</t>
  </si>
  <si>
    <t>Eff.kgoe_per_kpkm.FR.Tr.Rail.Passenger.MTU</t>
  </si>
  <si>
    <t>Eff.kgoe_per_kpkm.FR.Tr.Rail.Passenger.CPT</t>
  </si>
  <si>
    <t>Eff.kgoe_per_kpkm.FR.Tr.Rail.Passenger.HST</t>
  </si>
  <si>
    <t>Eff.kgoe_per_ktkm.FR.Tr</t>
  </si>
  <si>
    <t>Eff.kgoe_per_ktkm.FR.Tr.Road.Freight</t>
  </si>
  <si>
    <t>Eff.kgoe_per_ktkm.FR.Tr.Road.Freight.LCV</t>
  </si>
  <si>
    <t>Eff.kgoe_per_ktkm.FR.Tr.Road.Freight.HGV</t>
  </si>
  <si>
    <t>Eff.kgoe_per_ktkm.FR.Tr.Rail.Freight</t>
  </si>
  <si>
    <t>Eff.kgoe_per_ktkm.FR.Tr.DNavi.Freight</t>
  </si>
  <si>
    <t>Eff.kgoe_per_ktkm.FR.Tr.DNavi.Freight.DCS</t>
  </si>
  <si>
    <t>Eff.kgoe_per_ktkm.FR.Tr.DNavi.Freight.IWW</t>
  </si>
  <si>
    <t>Eff.kgoe_per_ktkm.FR.MBunk.Freight</t>
  </si>
  <si>
    <t>Eff.kgoe_per_ktkm.FR.MBunk.Freight.IntraEEA</t>
  </si>
  <si>
    <t>Eff.kgoe_per_ktkm.FR.MBunk.Freight.ExtraEEA</t>
  </si>
  <si>
    <t>EMIint.gCO2_per_pkm.FR.Tr</t>
  </si>
  <si>
    <t>EMIint.gCO2_per_pkm.FR.Tr.Road.Passenger</t>
  </si>
  <si>
    <t>EMIint.gCO2_per_pkm.FR.Tr.Road.Passenger.P2W</t>
  </si>
  <si>
    <t>EMIint.gCO2_per_pkm.FR.Tr.Road.Passenger.Car</t>
  </si>
  <si>
    <t>EMIint.gCO2_per_pkm.FR.Tr.Road.Passenger.Bus</t>
  </si>
  <si>
    <t>EMIint.gCO2_per_pkm.FR.Tr.Rail.Passenger</t>
  </si>
  <si>
    <t>EMIint.gCO2_per_pkm.FR.Tr.Rail.Passenger.MTU</t>
  </si>
  <si>
    <t>EMIint.gCO2_per_pkm.FR.Tr.Rail.Passenger.CPT</t>
  </si>
  <si>
    <t>EMIint.gCO2_per_pkm.FR.Tr.Rail.Passenger.HST</t>
  </si>
  <si>
    <t>EMIint.gCO2_per_tkm.FR.Tr</t>
  </si>
  <si>
    <t>EMIint.gCO2_per_tkm.FR.Tr.Road.Freight</t>
  </si>
  <si>
    <t>EMIint.gCO2_per_tkm.FR.Tr.Road.Freight.LCV</t>
  </si>
  <si>
    <t>EMIint.gCO2_per_tkm.FR.Tr.Road.Freight.HGV</t>
  </si>
  <si>
    <t>EMIint.gCO2_per_tkm.FR.Tr.Rail.Freight</t>
  </si>
  <si>
    <t>EMIint.gCO2_per_tkm.FR.Tr.DNavi.Freight</t>
  </si>
  <si>
    <t>EMIint.gCO2_per_tkm.FR.Tr.DNavi.Freight.DCS</t>
  </si>
  <si>
    <t>EMIint.gCO2_per_tkm.FR.Tr.DNavi.Freight.IWW</t>
  </si>
  <si>
    <t>EMIint.gCO2_per_tkm.FR.MBunk.Freight</t>
  </si>
  <si>
    <t>EMIint.gCO2_per_tkm.FR.MBunk.Freight.IntraEEA</t>
  </si>
  <si>
    <t>EMIint.gCO2_per_tkm.FR.MBunk.Freight.ExtraEEA</t>
  </si>
  <si>
    <t>Road transport - FR - France</t>
  </si>
  <si>
    <t>Activity.Mpkm.FR.Tr.Road.Passenger.Car.ICE.Gasoline</t>
  </si>
  <si>
    <t>Activity.Mpkm.FR.Tr.Road.Passenger.Car.ICE.Diesel</t>
  </si>
  <si>
    <t>Activity.Mpkm.FR.Tr.Road.Passenger.Car.ICE.LPG</t>
  </si>
  <si>
    <t>Activity.Mpkm.FR.Tr.Road.Passenger.Car.ICE.NGas</t>
  </si>
  <si>
    <t>Activity.Mpkm.FR.Tr.Road.Passenger.Car.PHEV</t>
  </si>
  <si>
    <t>Activity.Mpkm.FR.Tr.Road.Passenger.Car.BEV</t>
  </si>
  <si>
    <t>Activity.Mpkm.FR.Tr.Road.Passenger.Bus.ICE.Gasoline</t>
  </si>
  <si>
    <t>Activity.Mpkm.FR.Tr.Road.Passenger.Bus.ICE.Diesel</t>
  </si>
  <si>
    <t>Activity.Mpkm.FR.Tr.Road.Passenger.Bus.ICE.LPG</t>
  </si>
  <si>
    <t>Activity.Mpkm.FR.Tr.Road.Passenger.Bus.ICE.NGas</t>
  </si>
  <si>
    <t>Activity.Mpkm.FR.Tr.Road.Passenger.Bus.ICE.BEV</t>
  </si>
  <si>
    <t>Activity.Mtkm.FR.Tr.Road.Freight.LCV.ICE.Gasoline</t>
  </si>
  <si>
    <t>Activity.Mtkm.FR.Tr.Road.Freight.LCV.ICE.Diesel</t>
  </si>
  <si>
    <t>Activity.Mtkm.FR.Tr.Road.Freight.LCV.ICE.LPG</t>
  </si>
  <si>
    <t>Activity.Mtkm.FR.Tr.Road.Freight.LCV.ICE.NGas</t>
  </si>
  <si>
    <t>Activity.Mtkm.FR.Tr.Road.Freight.LCV.ICE.BEV</t>
  </si>
  <si>
    <t>Activity.Mtkm.FR.Tr.Road.Freight.HGV.Domestic</t>
  </si>
  <si>
    <t>Activity.Mtkm.FR.Tr.Road.Freight.HGV.International</t>
  </si>
  <si>
    <t>VehicleKm.Mkm.FR.Tr.Road</t>
  </si>
  <si>
    <t>VehicleKm.Mkm.FR.Tr.Road.Passenger</t>
  </si>
  <si>
    <t>VehicleKm.Mkm.FR.Tr.Road.Passenger.P2W</t>
  </si>
  <si>
    <t>VehicleKm.Mkm.FR.Tr.Road.Passenger.Car</t>
  </si>
  <si>
    <t>VehicleKm.Mkm.FR.Tr.Road.Passenger.Car.ICE.Gasoline</t>
  </si>
  <si>
    <t>VehicleKm.Mkm.FR.Tr.Road.Passenger.Car.ICE.Diesel</t>
  </si>
  <si>
    <t>VehicleKm.Mkm.FR.Tr.Road.Passenger.Car.ICE.LPG</t>
  </si>
  <si>
    <t>VehicleKm.Mkm.FR.Tr.Road.Passenger.Car.ICE.NGas</t>
  </si>
  <si>
    <t>VehicleKm.Mkm.FR.Tr.Road.Passenger.Car.PHEV</t>
  </si>
  <si>
    <t>VehicleKm.Mkm.FR.Tr.Road.Passenger.Car.BEV</t>
  </si>
  <si>
    <t>VehicleKm.Mkm.FR.Tr.Road.Passenger.Bus</t>
  </si>
  <si>
    <t>VehicleKm.Mkm.FR.Tr.Road.Passenger.Bus.ICE.Gasoline</t>
  </si>
  <si>
    <t>VehicleKm.Mkm.FR.Tr.Road.Passenger.Bus.ICE.Diesel</t>
  </si>
  <si>
    <t>VehicleKm.Mkm.FR.Tr.Road.Passenger.Bus.ICE.LPG</t>
  </si>
  <si>
    <t>VehicleKm.Mkm.FR.Tr.Road.Passenger.Bus.ICE.NGas</t>
  </si>
  <si>
    <t>VehicleKm.Mkm.FR.Tr.Road.Passenger.Bus.ICE.BEV</t>
  </si>
  <si>
    <t>VehicleKm.Mkm.FR.Tr.Road.Freight</t>
  </si>
  <si>
    <t>VehicleKm.Mkm.FR.Tr.Road.Freight.LCV</t>
  </si>
  <si>
    <t>VehicleKm.Mkm.FR.Tr.Road.Freight.LCV.ICE.Gasoline</t>
  </si>
  <si>
    <t>VehicleKm.Mkm.FR.Tr.Road.Freight.LCV.ICE.Diesel</t>
  </si>
  <si>
    <t>VehicleKm.Mkm.FR.Tr.Road.Freight.LCV.ICE.LPG</t>
  </si>
  <si>
    <t>VehicleKm.Mkm.FR.Tr.Road.Freight.LCV.ICE.NGas</t>
  </si>
  <si>
    <t>VehicleKm.Mkm.FR.Tr.Road.Freight.LCV.ICE.BEV</t>
  </si>
  <si>
    <t>VehicleKm.Mkm.FR.Tr.Road.Freight.HGV</t>
  </si>
  <si>
    <t>VehicleKm.Mkm.FR.Tr.Road.Freight.HGV.Domestic</t>
  </si>
  <si>
    <t>VehicleKm.Mkm.FR.Tr.Road.Freight.HGV.International</t>
  </si>
  <si>
    <t>Stock.number.FR.Tr.Road</t>
  </si>
  <si>
    <t>Stock.number.FR.Tr.Road.Passenger</t>
  </si>
  <si>
    <t>Stock.number.FR.Tr.Road.Passenger.P2W</t>
  </si>
  <si>
    <t>Stock.number.FR.Tr.Road.Passenger.Car</t>
  </si>
  <si>
    <t>Stock.number.FR.Tr.Road.Passenger.Car.ICE.Gasoline</t>
  </si>
  <si>
    <t>Stock.number.FR.Tr.Road.Passenger.Car.ICE.Diesel</t>
  </si>
  <si>
    <t>Stock.number.FR.Tr.Road.Passenger.Car.ICE.LPG</t>
  </si>
  <si>
    <t>Stock.number.FR.Tr.Road.Passenger.Car.ICE.NGas</t>
  </si>
  <si>
    <t>Stock.number.FR.Tr.Road.Passenger.Car.PHEV</t>
  </si>
  <si>
    <t>Stock.number.FR.Tr.Road.Passenger.Car.BEV</t>
  </si>
  <si>
    <t>Stock.number.FR.Tr.Road.Passenger.Bus</t>
  </si>
  <si>
    <t>Stock.number.FR.Tr.Road.Passenger.Bus.ICE.Gasoline</t>
  </si>
  <si>
    <t>Stock.number.FR.Tr.Road.Passenger.Bus.ICE.Diesel</t>
  </si>
  <si>
    <t>Stock.number.FR.Tr.Road.Passenger.Bus.ICE.LPG</t>
  </si>
  <si>
    <t>Stock.number.FR.Tr.Road.Passenger.Bus.ICE.NGas</t>
  </si>
  <si>
    <t>Stock.number.FR.Tr.Road.Passenger.Bus.ICE.BEV</t>
  </si>
  <si>
    <t>Stock.number.FR.Tr.Road.Freight</t>
  </si>
  <si>
    <t>Stock.number.FR.Tr.Road.Freight.LCV</t>
  </si>
  <si>
    <t>Stock.number.FR.Tr.Road.Freight.LCV.ICE.Gasoline</t>
  </si>
  <si>
    <t>Stock.number.FR.Tr.Road.Freight.LCV.ICE.Diesel</t>
  </si>
  <si>
    <t>Stock.number.FR.Tr.Road.Freight.LCV.ICE.LPG</t>
  </si>
  <si>
    <t>Stock.number.FR.Tr.Road.Freight.LCV.ICE.NGas</t>
  </si>
  <si>
    <t>Stock.number.FR.Tr.Road.Freight.LCV.ICE.BEV</t>
  </si>
  <si>
    <t>Stock.number.FR.Tr.Road.Freight.HGV</t>
  </si>
  <si>
    <t>Stock.number.FR.Tr.Road.Freight.HGV.Domestic</t>
  </si>
  <si>
    <t>Stock.number.FR.Tr.Road.Freight.HGV.International</t>
  </si>
  <si>
    <t>StockNew.number.FR.Tr.Road</t>
  </si>
  <si>
    <t>StockNew.number.FR.Tr.Road.Passenger</t>
  </si>
  <si>
    <t>StockNew.number.FR.Tr.Road.Passenger.P2W</t>
  </si>
  <si>
    <t>StockNew.number.FR.Tr.Road.Passenger.Car</t>
  </si>
  <si>
    <t>StockNew.number.FR.Tr.Road.Passenger.Car.ICE.Gasoline</t>
  </si>
  <si>
    <t>StockNew.number.FR.Tr.Road.Passenger.Car.ICE.Diesel</t>
  </si>
  <si>
    <t>StockNew.number.FR.Tr.Road.Passenger.Car.ICE.LPG</t>
  </si>
  <si>
    <t>StockNew.number.FR.Tr.Road.Passenger.Car.ICE.NGas</t>
  </si>
  <si>
    <t>StockNew.number.FR.Tr.Road.Passenger.Car.PHEV</t>
  </si>
  <si>
    <t>StockNew.number.FR.Tr.Road.Passenger.Car.BEV</t>
  </si>
  <si>
    <t>StockNew.number.FR.Tr.Road.Passenger.Bus</t>
  </si>
  <si>
    <t>StockNew.number.FR.Tr.Road.Passenger.Bus.ICE.Gasoline</t>
  </si>
  <si>
    <t>StockNew.number.FR.Tr.Road.Passenger.Bus.ICE.Diesel</t>
  </si>
  <si>
    <t>StockNew.number.FR.Tr.Road.Passenger.Bus.ICE.LPG</t>
  </si>
  <si>
    <t>StockNew.number.FR.Tr.Road.Passenger.Bus.ICE.NGas</t>
  </si>
  <si>
    <t>StockNew.number.FR.Tr.Road.Passenger.Bus.ICE.BEV</t>
  </si>
  <si>
    <t>StockNew.number.FR.Tr.Road.Freight</t>
  </si>
  <si>
    <t>StockNew.number.FR.Tr.Road.Freight.LCV</t>
  </si>
  <si>
    <t>StockNew.number.FR.Tr.Road.Freight.LCV.ICE.Gasoline</t>
  </si>
  <si>
    <t>StockNew.number.FR.Tr.Road.Freight.LCV.ICE.Diesel</t>
  </si>
  <si>
    <t>StockNew.number.FR.Tr.Road.Freight.LCV.ICE.LPG</t>
  </si>
  <si>
    <t>StockNew.number.FR.Tr.Road.Freight.LCV.ICE.NGas</t>
  </si>
  <si>
    <t>StockNew.number.FR.Tr.Road.Freight.LCV.ICE.BEV</t>
  </si>
  <si>
    <t>StockNew.number.FR.Tr.Road.Freight.HGV</t>
  </si>
  <si>
    <t>StockNew.number.FR.Tr.Road.Freight.HGV.Domestic</t>
  </si>
  <si>
    <t>StockNew.number.FR.Tr.Road.Freight.HGV.International</t>
  </si>
  <si>
    <t>Load.passenger_per_movement.FR.Tr.Road.Passenger</t>
  </si>
  <si>
    <t>Load.passenger_per_movement.FR.Tr.Road.Passenger.P2W</t>
  </si>
  <si>
    <t>Load.passenger_per_movement.FR.Tr.Road.Passenger.Car</t>
  </si>
  <si>
    <t>Load.passenger_per_movement.FR.Tr.Road.Passenger.Car.ICE.Gasoline</t>
  </si>
  <si>
    <t>Load.passenger_per_movement.FR.Tr.Road.Passenger.Car.ICE.Diesel</t>
  </si>
  <si>
    <t>Load.passenger_per_movement.FR.Tr.Road.Passenger.Car.ICE.LPG</t>
  </si>
  <si>
    <t>Load.passenger_per_movement.FR.Tr.Road.Passenger.Car.ICE.NGas</t>
  </si>
  <si>
    <t>Load.passenger_per_movement.FR.Tr.Road.Passenger.Car.PHEV</t>
  </si>
  <si>
    <t>Load.passenger_per_movement.FR.Tr.Road.Passenger.Car.BEV</t>
  </si>
  <si>
    <t>Load.passenger_per_movement.FR.Tr.Road.Passenger.Bus</t>
  </si>
  <si>
    <t>Load.passenger_per_movement.FR.Tr.Road.Passenger.Bus.ICE.Gasoline</t>
  </si>
  <si>
    <t>Load.passenger_per_movement.FR.Tr.Road.Passenger.Bus.ICE.Diesel</t>
  </si>
  <si>
    <t>Load.passenger_per_movement.FR.Tr.Road.Passenger.Bus.ICE.LPG</t>
  </si>
  <si>
    <t>Load.passenger_per_movement.FR.Tr.Road.Passenger.Bus.ICE.NGas</t>
  </si>
  <si>
    <t>Load.passenger_per_movement.FR.Tr.Road.Passenger.Bus.ICE.BEV</t>
  </si>
  <si>
    <t>Load.t_per_movement.FR.Tr.Road.Freight</t>
  </si>
  <si>
    <t>Load.t_per_movement.FR.Tr.Road.Freight.LCV</t>
  </si>
  <si>
    <t>Load.t_per_movement.FR.Tr.Road.Freight.LCV.ICE.Gasoline</t>
  </si>
  <si>
    <t>Load.t_per_movement.FR.Tr.Road.Freight.LCV.ICE.Diesel</t>
  </si>
  <si>
    <t>Load.t_per_movement.FR.Tr.Road.Freight.LCV.ICE.LPG</t>
  </si>
  <si>
    <t>Load.t_per_movement.FR.Tr.Road.Freight.LCV.ICE.NGas</t>
  </si>
  <si>
    <t>Load.t_per_movement.FR.Tr.Road.Freight.LCV.ICE.BEV</t>
  </si>
  <si>
    <t>Load.t_per_movement.FR.Tr.Road.Freight.HGV</t>
  </si>
  <si>
    <t>Load.t_per_movement.FR.Tr.Road.Freight.HGV.Domestic</t>
  </si>
  <si>
    <t>Load.t_per_movement.FR.Tr.Road.Freight.HGV.International</t>
  </si>
  <si>
    <t>VehicleKm_per_vehicle.km.FR.Tr.Road</t>
  </si>
  <si>
    <t>VehicleKm_per_vehicle.km.FR.Tr.Road.Passenger</t>
  </si>
  <si>
    <t>VehicleKm_per_vehicle.km.FR.Tr.Road.Passenger.P2W</t>
  </si>
  <si>
    <t>VehicleKm_per_vehicle.km.FR.Tr.Road.Passenger.Car</t>
  </si>
  <si>
    <t>VehicleKm_per_vehicle.km.FR.Tr.Road.Passenger.Car.ICE.Gasoline</t>
  </si>
  <si>
    <t>VehicleKm_per_vehicle.km.FR.Tr.Road.Passenger.Car.ICE.Diesel</t>
  </si>
  <si>
    <t>VehicleKm_per_vehicle.km.FR.Tr.Road.Passenger.Car.ICE.LPG</t>
  </si>
  <si>
    <t>VehicleKm_per_vehicle.km.FR.Tr.Road.Passenger.Car.ICE.NGas</t>
  </si>
  <si>
    <t>VehicleKm_per_vehicle.km.FR.Tr.Road.Passenger.Car.PHEV</t>
  </si>
  <si>
    <t>VehicleKm_per_vehicle.km.FR.Tr.Road.Passenger.Car.BEV</t>
  </si>
  <si>
    <t>VehicleKm_per_vehicle.km.FR.Tr.Road.Passenger.Bus</t>
  </si>
  <si>
    <t>VehicleKm_per_vehicle.km.FR.Tr.Road.Passenger.Bus.ICE.Gasoline</t>
  </si>
  <si>
    <t>VehicleKm_per_vehicle.km.FR.Tr.Road.Passenger.Bus.ICE.Diesel</t>
  </si>
  <si>
    <t>VehicleKm_per_vehicle.km.FR.Tr.Road.Passenger.Bus.ICE.LPG</t>
  </si>
  <si>
    <t>VehicleKm_per_vehicle.km.FR.Tr.Road.Passenger.Bus.ICE.NGas</t>
  </si>
  <si>
    <t>VehicleKm_per_vehicle.km.FR.Tr.Road.Passenger.Bus.ICE.BEV</t>
  </si>
  <si>
    <t>VehicleKm_per_vehicle.km.FR.Tr.Road.Freight</t>
  </si>
  <si>
    <t>VehicleKm_per_vehicle.km.FR.Tr.Road.Freight.LCV</t>
  </si>
  <si>
    <t>VehicleKm_per_vehicle.km.FR.Tr.Road.Freight.LCV.ICE.Gasoline</t>
  </si>
  <si>
    <t>VehicleKm_per_vehicle.km.FR.Tr.Road.Freight.LCV.ICE.Diesel</t>
  </si>
  <si>
    <t>VehicleKm_per_vehicle.km.FR.Tr.Road.Freight.LCV.ICE.LPG</t>
  </si>
  <si>
    <t>VehicleKm_per_vehicle.km.FR.Tr.Road.Freight.LCV.ICE.NGas</t>
  </si>
  <si>
    <t>VehicleKm_per_vehicle.km.FR.Tr.Road.Freight.LCV.ICE.BEV</t>
  </si>
  <si>
    <t>VehicleKm_per_vehicle.km.FR.Tr.Road.Freight.HGV</t>
  </si>
  <si>
    <t>VehicleKm_per_vehicle.km.FR.Tr.Road.Freight.HGV.Domestic</t>
  </si>
  <si>
    <t>VehicleKm_per_vehicle.km.FR.Tr.Road.Freight.HGV.International</t>
  </si>
  <si>
    <t>Activity_per_vehicle.pkm.FR.Tr.Road.Passenger</t>
  </si>
  <si>
    <t>Activity_per_vehicle.pkm.FR.Tr.Road.Passenger.P2W</t>
  </si>
  <si>
    <t>Activity_per_vehicle.pkm.FR.Tr.Road.Passenger.Car</t>
  </si>
  <si>
    <t>Activity_per_vehicle.pkm.FR.Tr.Road.Passenger.Car.ICE.Gasoline</t>
  </si>
  <si>
    <t>Activity_per_vehicle.pkm.FR.Tr.Road.Passenger.Car.ICE.Diesel</t>
  </si>
  <si>
    <t>Activity_per_vehicle.pkm.FR.Tr.Road.Passenger.Car.ICE.LPG</t>
  </si>
  <si>
    <t>Activity_per_vehicle.pkm.FR.Tr.Road.Passenger.Car.ICE.NGas</t>
  </si>
  <si>
    <t>Activity_per_vehicle.pkm.FR.Tr.Road.Passenger.Car.PHEV</t>
  </si>
  <si>
    <t>Activity_per_vehicle.pkm.FR.Tr.Road.Passenger.Car.BEV</t>
  </si>
  <si>
    <t>Activity_per_vehicle.pkm.FR.Tr.Road.Passenger.Bus</t>
  </si>
  <si>
    <t>Activity_per_vehicle.pkm.FR.Tr.Road.Passenger.Bus.ICE.Gasoline</t>
  </si>
  <si>
    <t>Activity_per_vehicle.pkm.FR.Tr.Road.Passenger.Bus.ICE.Diesel</t>
  </si>
  <si>
    <t>Activity_per_vehicle.pkm.FR.Tr.Road.Passenger.Bus.ICE.LPG</t>
  </si>
  <si>
    <t>Activity_per_vehicle.pkm.FR.Tr.Road.Passenger.Bus.ICE.NGas</t>
  </si>
  <si>
    <t>Activity_per_vehicle.pkm.FR.Tr.Road.Passenger.Bus.ICE.BEV</t>
  </si>
  <si>
    <t>Activity_per_vehicle.tkm.FR.Tr.Road.Freight</t>
  </si>
  <si>
    <t>Activity_per_vehicle.tkm.FR.Tr.Road.Freight.LCV</t>
  </si>
  <si>
    <t>Activity_per_vehicle.tkm.FR.Tr.Road.Freight.LCV.ICE.Gasoline</t>
  </si>
  <si>
    <t>Activity_per_vehicle.tkm.FR.Tr.Road.Freight.LCV.ICE.Diesel</t>
  </si>
  <si>
    <t>Activity_per_vehicle.tkm.FR.Tr.Road.Freight.LCV.ICE.LPG</t>
  </si>
  <si>
    <t>Activity_per_vehicle.tkm.FR.Tr.Road.Freight.LCV.ICE.NGas</t>
  </si>
  <si>
    <t>Activity_per_vehicle.tkm.FR.Tr.Road.Freight.LCV.ICE.BEV</t>
  </si>
  <si>
    <t>Activity_per_vehicle.tkm.FR.Tr.Road.Freight.HGV</t>
  </si>
  <si>
    <t>Activity_per_vehicle.tkm.FR.Tr.Road.Freight.HGV.Domestic</t>
  </si>
  <si>
    <t>Activity_per_vehicle.tkm.FR.Tr.Road.Freight.HGV.International</t>
  </si>
  <si>
    <t>Road transport / energy consumption - FR - France</t>
  </si>
  <si>
    <t>FEC.ktoe.FR.ES.Tr.Road</t>
  </si>
  <si>
    <t>FEC.ktoe.FR.ES.Tr.Road.LPG</t>
  </si>
  <si>
    <t>FEC.ktoe.FR.ES.Tr.Road.Gasoline</t>
  </si>
  <si>
    <t>FEC.ktoe.FR.ES.Tr.Road.Diesel</t>
  </si>
  <si>
    <t>FEC.ktoe.FR.ES.Tr.Road.NG</t>
  </si>
  <si>
    <t>FEC.ktoe.FR.ES.Tr.Road.Biogas</t>
  </si>
  <si>
    <t>FEC.ktoe.FR.ES.Tr.Road.Biogasoline</t>
  </si>
  <si>
    <t>FEC.ktoe.FR.ES.Tr.Road.Biodiesel</t>
  </si>
  <si>
    <t>FEC.ktoe.FR.ES.Tr.Road.OthLiqBio</t>
  </si>
  <si>
    <t>FEC.ktoe.FR.ES.Tr.Road.Elec</t>
  </si>
  <si>
    <t>FEC.ktoe.FR.Tr.Road</t>
  </si>
  <si>
    <t>FEC.ktoe.FR.Tr.Road.Passenger.P2W.Biogasoline</t>
  </si>
  <si>
    <t>FEC.ktoe.FR.Tr.Road.Passenger.Car.ICE.Gasoline</t>
  </si>
  <si>
    <t>FEC.ktoe.FR.Tr.Road.Passenger.Car.ICE.Gasoline.Biogasoline</t>
  </si>
  <si>
    <t>FEC.ktoe.FR.Tr.Road.Passenger.Car.ICE.Diesel</t>
  </si>
  <si>
    <t>FEC.ktoe.FR.Tr.Road.Passenger.Car.ICE.Diesel.BioDiesel_OthLiqBio</t>
  </si>
  <si>
    <t>FEC.ktoe.FR.Tr.Road.Passenger.Car.ICE.LPG</t>
  </si>
  <si>
    <t>FEC.ktoe.FR.Tr.Road.Passenger.Car.ICE.NGas</t>
  </si>
  <si>
    <t>FEC.ktoe.FR.Tr.Road.Passenger.Car.ICE.NGas.Biogas</t>
  </si>
  <si>
    <t>FEC.ktoe.FR.Tr.Road.Passenger.Car.PHEV</t>
  </si>
  <si>
    <t>FEC.ktoe.FR.Tr.Road.Passenger.Car.PHEV.Biogasoline</t>
  </si>
  <si>
    <t>FEC.ktoe.FR.Tr.Road.Passenger.Car.PHEV.Elec</t>
  </si>
  <si>
    <t>FEC.ktoe.FR.Tr.Road.Passenger.Car.BEV</t>
  </si>
  <si>
    <t>FEC.ktoe.FR.Tr.Road.Passenger.Bus.ICE.Gasoline</t>
  </si>
  <si>
    <t>FEC.ktoe.FR.Tr.Road.Passenger.Bus.ICE.Gasoline.Biogasoline</t>
  </si>
  <si>
    <t>FEC.ktoe.FR.Tr.Road.Passenger.Bus.ICE.Diesel</t>
  </si>
  <si>
    <t>FEC.ktoe.FR.Tr.Road.Passenger.Bus.ICE.Diesel.BioDiesel_OthLiqBio</t>
  </si>
  <si>
    <t>FEC.ktoe.FR.Tr.Road.Passenger.Bus.ICE.LPG</t>
  </si>
  <si>
    <t>FEC.ktoe.FR.Tr.Road.Passenger.Bus.ICE.NGas</t>
  </si>
  <si>
    <t>FEC.ktoe.FR.Tr.Road.Passenger.Bus.ICE.NGas.Biogas</t>
  </si>
  <si>
    <t>FEC.ktoe.FR.Tr.Road.Passenger.Bus.ICE.BEV</t>
  </si>
  <si>
    <t>FEC.ktoe.FR.Tr.Road.Freight.LCV.ICE.Gasoline</t>
  </si>
  <si>
    <t>FEC.ktoe.FR.Tr.Road.Freight.LCV.ICE.Gasoline.Biogasoline</t>
  </si>
  <si>
    <t>FEC.ktoe.FR.Tr.Road.Freight.LCV.ICE.Diesel</t>
  </si>
  <si>
    <t>FEC.ktoe.FR.Tr.Road.Freight.LCV.ICE.Diesel.BioDiesel_OthLiqBio</t>
  </si>
  <si>
    <t>FEC.ktoe.FR.Tr.Road.Freight.LCV.ICE.LPG</t>
  </si>
  <si>
    <t>FEC.ktoe.FR.Tr.Road.Freight.LCV.ICE.NGas</t>
  </si>
  <si>
    <t>FEC.ktoe.FR.Tr.Road.Freight.LCV.ICE.NGas.Biogas</t>
  </si>
  <si>
    <t>FEC.ktoe.FR.Tr.Road.Freight.LCV.ICE.BEV</t>
  </si>
  <si>
    <t>FEC.ktoe.FR.Tr.Road.Freight.HGV.Domestic</t>
  </si>
  <si>
    <t>FEC.ktoe.FR.Tr.Road.Freight.HGV.Domestic.BioDiesel_OthLiqBio</t>
  </si>
  <si>
    <t>FEC.ktoe.FR.Tr.Road.Freight.HGV.International</t>
  </si>
  <si>
    <t>FEC.ktoe.FR.Tr.Road.Freight.HGV.International.BioDiesel_OthLiqBio</t>
  </si>
  <si>
    <t>Eff.kgoe_per_100km.FR.Tr.Road</t>
  </si>
  <si>
    <t>Eff.kgoe_per_100km.FR.Tr.Road.Passenger</t>
  </si>
  <si>
    <t>Eff.kgoe_per_100km.FR.Tr.Road.Passenger.P2W</t>
  </si>
  <si>
    <t>Eff.kgoe_per_100km.FR.Tr.Road.Passenger.Car</t>
  </si>
  <si>
    <t>Eff.kgoe_per_100km.FR.Tr.Road.Passenger.Car.ICE.Gasoline</t>
  </si>
  <si>
    <t>Eff.kgoe_per_100km.FR.Tr.Road.Passenger.Car.ICE.Diesel</t>
  </si>
  <si>
    <t>Eff.kgoe_per_100km.FR.Tr.Road.Passenger.Car.ICE.LPG</t>
  </si>
  <si>
    <t>Eff.kgoe_per_100km.FR.Tr.Road.Passenger.Car.ICE.NGas</t>
  </si>
  <si>
    <t>Eff.kgoe_per_100km.FR.Tr.Road.Passenger.Car.PHEV</t>
  </si>
  <si>
    <t>Eff.kgoe_per_100km.FR.Tr.Road.Passenger.Car.BEV</t>
  </si>
  <si>
    <t>Eff.kgoe_per_100km.FR.Tr.Road.Passenger.Bus</t>
  </si>
  <si>
    <t>Eff.kgoe_per_100km.FR.Tr.Road.Passenger.Bus.ICE.Gasoline</t>
  </si>
  <si>
    <t>Eff.kgoe_per_100km.FR.Tr.Road.Passenger.Bus.ICE.Diesel</t>
  </si>
  <si>
    <t>Eff.kgoe_per_100km.FR.Tr.Road.Passenger.Bus.ICE.LPG</t>
  </si>
  <si>
    <t>Eff.kgoe_per_100km.FR.Tr.Road.Passenger.Bus.ICE.NGas</t>
  </si>
  <si>
    <t>Eff.kgoe_per_100km.FR.Tr.Road.Passenger.Bus.ICE.BEV</t>
  </si>
  <si>
    <t>Eff.kgoe_per_100km.FR.Tr.Road.Freight</t>
  </si>
  <si>
    <t>Eff.kgoe_per_100km.FR.Tr.Road.Freight.LCV</t>
  </si>
  <si>
    <t>Eff.kgoe_per_100km.FR.Tr.Road.Freight.LCV.ICE.Gasoline</t>
  </si>
  <si>
    <t>Eff.kgoe_per_100km.FR.Tr.Road.Freight.LCV.ICE.Diesel</t>
  </si>
  <si>
    <t>Eff.kgoe_per_100km.FR.Tr.Road.Freight.LCV.ICE.LPG</t>
  </si>
  <si>
    <t>Eff.kgoe_per_100km.FR.Tr.Road.Freight.LCV.ICE.NGas</t>
  </si>
  <si>
    <t>Eff.kgoe_per_100km.FR.Tr.Road.Freight.LCV.ICE.BEV</t>
  </si>
  <si>
    <t>Eff.kgoe_per_100km.FR.Tr.Road.Freight.HGV</t>
  </si>
  <si>
    <t>Eff.kgoe_per_100km.FR.Tr.Road.Freight.HGV.Domestic</t>
  </si>
  <si>
    <t>Eff.kgoe_per_100km.FR.Tr.Road.Freight.HGV.International</t>
  </si>
  <si>
    <t>Eff.kgoe_per_kpkm.FR.Tr.Road.Passenger.Car.ICE.Gasoline</t>
  </si>
  <si>
    <t>Eff.kgoe_per_kpkm.FR.Tr.Road.Passenger.Car.ICE.Diesel</t>
  </si>
  <si>
    <t>Eff.kgoe_per_kpkm.FR.Tr.Road.Passenger.Car.ICE.LPG</t>
  </si>
  <si>
    <t>Eff.kgoe_per_kpkm.FR.Tr.Road.Passenger.Car.ICE.NGas</t>
  </si>
  <si>
    <t>Eff.kgoe_per_kpkm.FR.Tr.Road.Passenger.Car.PHEV</t>
  </si>
  <si>
    <t>Eff.kgoe_per_kpkm.FR.Tr.Road.Passenger.Car.BEV</t>
  </si>
  <si>
    <t>Eff.kgoe_per_kpkm.FR.Tr.Road.Passenger.Bus.ICE.Gasoline</t>
  </si>
  <si>
    <t>Eff.kgoe_per_kpkm.FR.Tr.Road.Passenger.Bus.ICE.Diesel</t>
  </si>
  <si>
    <t>Eff.kgoe_per_kpkm.FR.Tr.Road.Passenger.Bus.ICE.LPG</t>
  </si>
  <si>
    <t>Eff.kgoe_per_kpkm.FR.Tr.Road.Passenger.Bus.ICE.NGas</t>
  </si>
  <si>
    <t>Eff.kgoe_per_kpkm.FR.Tr.Road.Passenger.Bus.ICE.BEV</t>
  </si>
  <si>
    <t>Eff.kgoe_per_ktkm.FR.Tr.Road.Freight.LCV.ICE.Gasoline</t>
  </si>
  <si>
    <t>Eff.kgoe_per_ktkm.FR.Tr.Road.Freight.LCV.ICE.Diesel</t>
  </si>
  <si>
    <t>Eff.kgoe_per_ktkm.FR.Tr.Road.Freight.LCV.ICE.LPG</t>
  </si>
  <si>
    <t>Eff.kgoe_per_ktkm.FR.Tr.Road.Freight.LCV.ICE.NGas</t>
  </si>
  <si>
    <t>Eff.kgoe_per_ktkm.FR.Tr.Road.Freight.LCV.ICE.BEV</t>
  </si>
  <si>
    <t>Eff.kgoe_per_ktkm.FR.Tr.Road.Freight.HGV.Domestic</t>
  </si>
  <si>
    <t>Eff.kgoe_per_ktkm.FR.Tr.Road.Freight.HGV.International</t>
  </si>
  <si>
    <t>FEC_per_vehicle.kgoe.FR.Tr.Road.Passenger.P2W</t>
  </si>
  <si>
    <t>FEC_per_vehicle.kgoe.FR.Tr.Road.Passenger.Car</t>
  </si>
  <si>
    <t>FEC_per_vehicle.kgoe.FR.Tr.Road.Passenger.Car.ICE.Gasoline</t>
  </si>
  <si>
    <t>FEC_per_vehicle.kgoe.FR.Tr.Road.Passenger.Car.ICE.Diesel</t>
  </si>
  <si>
    <t>FEC_per_vehicle.kgoe.FR.Tr.Road.Passenger.Car.ICE.LPG</t>
  </si>
  <si>
    <t>FEC_per_vehicle.kgoe.FR.Tr.Road.Passenger.Car.ICE.NGas</t>
  </si>
  <si>
    <t>FEC_per_vehicle.kgoe.FR.Tr.Road.Passenger.Car.PHEV</t>
  </si>
  <si>
    <t>FEC_per_vehicle.kgoe.FR.Tr.Road.Passenger.Car.BEV</t>
  </si>
  <si>
    <t>FEC_per_vehicle.kgoe.FR.Tr.Road.Passenger.Bus</t>
  </si>
  <si>
    <t>FEC_per_vehicle.kgoe.FR.Tr.Road.Passenger.Bus.ICE.Gasoline</t>
  </si>
  <si>
    <t>FEC_per_vehicle.kgoe.FR.Tr.Road.Passenger.Bus.ICE.Diesel</t>
  </si>
  <si>
    <t>FEC_per_vehicle.kgoe.FR.Tr.Road.Passenger.Bus.ICE.LPG</t>
  </si>
  <si>
    <t>FEC_per_vehicle.kgoe.FR.Tr.Road.Passenger.Bus.ICE.NGas</t>
  </si>
  <si>
    <t>FEC_per_vehicle.kgoe.FR.Tr.Road.Passenger.Bus.ICE.BEV</t>
  </si>
  <si>
    <t>FEC_per_vehicle.kgoe.FR.Tr.Road.Freight.LCV</t>
  </si>
  <si>
    <t>FEC_per_vehicle.kgoe.FR.Tr.Road.Freight.LCV.ICE.Gasoline</t>
  </si>
  <si>
    <t>FEC_per_vehicle.kgoe.FR.Tr.Road.Freight.LCV.ICE.Diesel</t>
  </si>
  <si>
    <t>FEC_per_vehicle.kgoe.FR.Tr.Road.Freight.LCV.ICE.LPG</t>
  </si>
  <si>
    <t>FEC_per_vehicle.kgoe.FR.Tr.Road.Freight.LCV.ICE.NGas</t>
  </si>
  <si>
    <t>FEC_per_vehicle.kgoe.FR.Tr.Road.Freight.LCV.ICE.BEV</t>
  </si>
  <si>
    <t>FEC_per_vehicle.kgoe.FR.Tr.Road.Freight.HGV</t>
  </si>
  <si>
    <t>FEC_per_vehicle.kgoe.FR.Tr.Road.Freight.HGV.Domestic</t>
  </si>
  <si>
    <t>FEC_per_vehicle.kgoe.FR.Tr.Road.Freight.HGV.International</t>
  </si>
  <si>
    <t>Road transport / CO2 emissions - FR - France</t>
  </si>
  <si>
    <t>EMI.ktCO2.FR.ES.Tr.Road</t>
  </si>
  <si>
    <t>EMI.ktCO2.FR.ES.Tr.Road.LPG</t>
  </si>
  <si>
    <t>EMI.ktCO2.FR.ES.Tr.Road.Gasoline</t>
  </si>
  <si>
    <t>EMI.ktCO2.FR.ES.Tr.Road.Diesel</t>
  </si>
  <si>
    <t>EMI.ktCO2.FR.ES.Tr.Road.NG</t>
  </si>
  <si>
    <t>EMI.ktCO2.FR.ES.Tr.Road.Biogas</t>
  </si>
  <si>
    <t>EMI.ktCO2.FR.ES.Tr.Road.Biogasoline</t>
  </si>
  <si>
    <t>EMI.ktCO2.FR.ES.Tr.Road.Biodiesel</t>
  </si>
  <si>
    <t>EMI.ktCO2.FR.ES.Tr.Road.OthLiqBio</t>
  </si>
  <si>
    <t>EMI.ktCO2.FR.ES.Tr.Road.Elec</t>
  </si>
  <si>
    <t>EMI.ktCO2.FR.Tr.Road</t>
  </si>
  <si>
    <t>EMI.ktCO2.FR.Tr.Road.Passenger.Car.ICE.Gasoline</t>
  </si>
  <si>
    <t>EMI.ktCO2.FR.Tr.Road.Passenger.Car.ICE.Diesel</t>
  </si>
  <si>
    <t>EMI.ktCO2.FR.Tr.Road.Passenger.Car.ICE.LPG</t>
  </si>
  <si>
    <t>EMI.ktCO2.FR.Tr.Road.Passenger.Car.ICE.NGas</t>
  </si>
  <si>
    <t>EMI.ktCO2.FR.Tr.Road.Passenger.Car.PHEV</t>
  </si>
  <si>
    <t>EMI.ktCO2.FR.Tr.Road.Passenger.Car.BEV</t>
  </si>
  <si>
    <t>EMI.ktCO2.FR.Tr.Road.Passenger.Bus.ICE.Gasoline</t>
  </si>
  <si>
    <t>EMI.ktCO2.FR.Tr.Road.Passenger.Bus.ICE.Diesel</t>
  </si>
  <si>
    <t>EMI.ktCO2.FR.Tr.Road.Passenger.Bus.ICE.LPG</t>
  </si>
  <si>
    <t>EMI.ktCO2.FR.Tr.Road.Passenger.Bus.ICE.NGas</t>
  </si>
  <si>
    <t>EMI.ktCO2.FR.Tr.Road.Passenger.Bus.ICE.BEV</t>
  </si>
  <si>
    <t>EMI.ktCO2.FR.Tr.Road.Freight.LCV.ICE.Gasoline</t>
  </si>
  <si>
    <t>EMI.ktCO2.FR.Tr.Road.Freight.LCV.ICE.Diesel</t>
  </si>
  <si>
    <t>EMI.ktCO2.FR.Tr.Road.Freight.LCV.ICE.LPG</t>
  </si>
  <si>
    <t>EMI.ktCO2.FR.Tr.Road.Freight.LCV.ICE.NGas</t>
  </si>
  <si>
    <t>EMI.ktCO2.FR.Tr.Road.Freight.LCV.ICE.BEV</t>
  </si>
  <si>
    <t>EMI.ktCO2.FR.Tr.Road.Freight.HGV.Domestic</t>
  </si>
  <si>
    <t>EMI.ktCO2.FR.Tr.Road.Freight.HGV.International</t>
  </si>
  <si>
    <t>EMIint.gCO2_per_km.FR.Tr.Road</t>
  </si>
  <si>
    <t>EMIint.gCO2_per_km.FR.Tr.Road.Passenger</t>
  </si>
  <si>
    <t>EMIint.gCO2_per_km.FR.Tr.Road.Passenger.P2W</t>
  </si>
  <si>
    <t>EMIint.gCO2_per_km.FR.Tr.Road.Passenger.Car</t>
  </si>
  <si>
    <t>EMIint.gCO2_per_km.FR.Tr.Road.Passenger.Car.ICE.Gasoline</t>
  </si>
  <si>
    <t>EMIint.gCO2_per_km.FR.Tr.Road.Passenger.Car.ICE.Diesel</t>
  </si>
  <si>
    <t>EMIint.gCO2_per_km.FR.Tr.Road.Passenger.Car.ICE.LPG</t>
  </si>
  <si>
    <t>EMIint.gCO2_per_km.FR.Tr.Road.Passenger.Car.ICE.NGas</t>
  </si>
  <si>
    <t>EMIint.gCO2_per_km.FR.Tr.Road.Passenger.Car.PHEV</t>
  </si>
  <si>
    <t>EMIint.gCO2_per_km.FR.Tr.Road.Passenger.Car.BEV</t>
  </si>
  <si>
    <t>EMIint.gCO2_per_km.FR.Tr.Road.Passenger.Bus</t>
  </si>
  <si>
    <t>EMIint.gCO2_per_km.FR.Tr.Road.Passenger.Bus.ICE.Gasoline</t>
  </si>
  <si>
    <t>EMIint.gCO2_per_km.FR.Tr.Road.Passenger.Bus.ICE.Diesel</t>
  </si>
  <si>
    <t>EMIint.gCO2_per_km.FR.Tr.Road.Passenger.Bus.ICE.LPG</t>
  </si>
  <si>
    <t>EMIint.gCO2_per_km.FR.Tr.Road.Passenger.Bus.ICE.NGas</t>
  </si>
  <si>
    <t>EMIint.gCO2_per_km.FR.Tr.Road.Passenger.Bus.ICE.BEV</t>
  </si>
  <si>
    <t>EMIint.gCO2_per_km.FR.Tr.Road.Freight</t>
  </si>
  <si>
    <t>EMIint.gCO2_per_km.FR.Tr.Road.Freight.LCV</t>
  </si>
  <si>
    <t>EMIint.gCO2_per_km.FR.Tr.Road.Freight.LCV.ICE.Gasoline</t>
  </si>
  <si>
    <t>EMIint.gCO2_per_km.FR.Tr.Road.Freight.LCV.ICE.Diesel</t>
  </si>
  <si>
    <t>EMIint.gCO2_per_km.FR.Tr.Road.Freight.LCV.ICE.LPG</t>
  </si>
  <si>
    <t>EMIint.gCO2_per_km.FR.Tr.Road.Freight.LCV.ICE.NGas</t>
  </si>
  <si>
    <t>EMIint.gCO2_per_km.FR.Tr.Road.Freight.LCV.ICE.BEV</t>
  </si>
  <si>
    <t>EMIint.gCO2_per_km.FR.Tr.Road.Freight.HGV</t>
  </si>
  <si>
    <t>EMIint.gCO2_per_km.FR.Tr.Road.Freight.HGV.Domestic</t>
  </si>
  <si>
    <t>EMIint.gCO2_per_km.FR.Tr.Road.Freight.HGV.International</t>
  </si>
  <si>
    <t>EMIint.gCO2_per_pkm.FR.Tr.Road.Passenger.Car.ICE.Gasoline</t>
  </si>
  <si>
    <t>EMIint.gCO2_per_pkm.FR.Tr.Road.Passenger.Car.ICE.Diesel</t>
  </si>
  <si>
    <t>EMIint.gCO2_per_pkm.FR.Tr.Road.Passenger.Car.ICE.LPG</t>
  </si>
  <si>
    <t>EMIint.gCO2_per_pkm.FR.Tr.Road.Passenger.Car.ICE.NGas</t>
  </si>
  <si>
    <t>EMIint.gCO2_per_pkm.FR.Tr.Road.Passenger.Car.PHEV</t>
  </si>
  <si>
    <t>EMIint.gCO2_per_pkm.FR.Tr.Road.Passenger.Car.BEV</t>
  </si>
  <si>
    <t>EMIint.gCO2_per_pkm.FR.Tr.Road.Passenger.Bus.ICE.Gasoline</t>
  </si>
  <si>
    <t>EMIint.gCO2_per_pkm.FR.Tr.Road.Passenger.Bus.ICE.Diesel</t>
  </si>
  <si>
    <t>EMIint.gCO2_per_pkm.FR.Tr.Road.Passenger.Bus.ICE.LPG</t>
  </si>
  <si>
    <t>EMIint.gCO2_per_pkm.FR.Tr.Road.Passenger.Bus.ICE.NGas</t>
  </si>
  <si>
    <t>EMIint.gCO2_per_pkm.FR.Tr.Road.Passenger.Bus.ICE.BEV</t>
  </si>
  <si>
    <t>EMIint.gCO2_per_tkm.FR.Tr.Road.Freight.LCV.ICE.Gasoline</t>
  </si>
  <si>
    <t>EMIint.gCO2_per_tkm.FR.Tr.Road.Freight.LCV.ICE.Diesel</t>
  </si>
  <si>
    <t>EMIint.gCO2_per_tkm.FR.Tr.Road.Freight.LCV.ICE.LPG</t>
  </si>
  <si>
    <t>EMIint.gCO2_per_tkm.FR.Tr.Road.Freight.LCV.ICE.NGas</t>
  </si>
  <si>
    <t>EMIint.gCO2_per_tkm.FR.Tr.Road.Freight.LCV.ICE.BEV</t>
  </si>
  <si>
    <t>EMIint.gCO2_per_tkm.FR.Tr.Road.Freight.HGV.Domestic</t>
  </si>
  <si>
    <t>EMIint.gCO2_per_tkm.FR.Tr.Road.Freight.HGV.International</t>
  </si>
  <si>
    <t>EMI_per_vehicle.kgCO2.FR.Tr.Road.Passenger.P2W</t>
  </si>
  <si>
    <t>EMI_per_vehicle.kgCO2.FR.Tr.Road.Passenger.Car</t>
  </si>
  <si>
    <t>EMI_per_vehicle.kgCO2.FR.Tr.Road.Passenger.Car.ICE.Gasoline</t>
  </si>
  <si>
    <t>EMI_per_vehicle.kgCO2.FR.Tr.Road.Passenger.Car.ICE.Diesel</t>
  </si>
  <si>
    <t>EMI_per_vehicle.kgCO2.FR.Tr.Road.Passenger.Car.ICE.LPG</t>
  </si>
  <si>
    <t>EMI_per_vehicle.kgCO2.FR.Tr.Road.Passenger.Car.ICE.NGas</t>
  </si>
  <si>
    <t>EMI_per_vehicle.kgCO2.FR.Tr.Road.Passenger.Car.PHEV</t>
  </si>
  <si>
    <t>EMI_per_vehicle.kgCO2.FR.Tr.Road.Passenger.Car.BEV</t>
  </si>
  <si>
    <t>EMI_per_vehicle.kgCO2.FR.Tr.Road.Passenger.Bus</t>
  </si>
  <si>
    <t>EMI_per_vehicle.kgCO2.FR.Tr.Road.Passenger.Bus.ICE.Gasoline</t>
  </si>
  <si>
    <t>EMI_per_vehicle.kgCO2.FR.Tr.Road.Passenger.Bus.ICE.Diesel</t>
  </si>
  <si>
    <t>EMI_per_vehicle.kgCO2.FR.Tr.Road.Passenger.Bus.ICE.LPG</t>
  </si>
  <si>
    <t>EMI_per_vehicle.kgCO2.FR.Tr.Road.Passenger.Bus.ICE.NGas</t>
  </si>
  <si>
    <t>EMI_per_vehicle.kgCO2.FR.Tr.Road.Passenger.Bus.ICE.BEV</t>
  </si>
  <si>
    <t>EMI_per_vehicle.kgCO2.FR.Tr.Road.Freight.LCV</t>
  </si>
  <si>
    <t>EMI_per_vehicle.kgCO2.FR.Tr.Road.Freight.LCV.ICE.Gasoline</t>
  </si>
  <si>
    <t>EMI_per_vehicle.kgCO2.FR.Tr.Road.Freight.LCV.ICE.Diesel</t>
  </si>
  <si>
    <t>EMI_per_vehicle.kgCO2.FR.Tr.Road.Freight.LCV.ICE.LPG</t>
  </si>
  <si>
    <t>EMI_per_vehicle.kgCO2.FR.Tr.Road.Freight.LCV.ICE.NGas</t>
  </si>
  <si>
    <t>EMI_per_vehicle.kgCO2.FR.Tr.Road.Freight.LCV.ICE.BEV</t>
  </si>
  <si>
    <t>EMI_per_vehicle.kgCO2.FR.Tr.Road.Freight.HGV</t>
  </si>
  <si>
    <t>EMI_per_vehicle.kgCO2.FR.Tr.Road.Freight.HGV.Domestic</t>
  </si>
  <si>
    <t>EMI_per_vehicle.kgCO2.FR.Tr.Road.Freight.HGV.International</t>
  </si>
  <si>
    <t>Road transport / technologies - FR - France</t>
  </si>
  <si>
    <t>StockVin.number.FR.Tr.Road</t>
  </si>
  <si>
    <t>StockVin.number.FR.Tr.Road.Passenger</t>
  </si>
  <si>
    <t>StockVin.number.FR.Tr.Road.Passenger.P2W</t>
  </si>
  <si>
    <t>StockVin.number.FR.Tr.Road.Passenger.Car</t>
  </si>
  <si>
    <t>StockVin.number.FR.Tr.Road.Passenger.Car.ICE.Gasoline</t>
  </si>
  <si>
    <t>StockVin.number.FR.Tr.Road.Passenger.Car.ICE.Diesel</t>
  </si>
  <si>
    <t>StockVin.number.FR.Tr.Road.Passenger.Car.ICE.LPG</t>
  </si>
  <si>
    <t>StockVin.number.FR.Tr.Road.Passenger.Car.ICE.NGas</t>
  </si>
  <si>
    <t>StockVin.number.FR.Tr.Road.Passenger.Car.PHEV</t>
  </si>
  <si>
    <t>StockVin.number.FR.Tr.Road.Passenger.Car.BEV</t>
  </si>
  <si>
    <t>StockVin.number.FR.Tr.Road.Passenger.Bus</t>
  </si>
  <si>
    <t>StockVin.number.FR.Tr.Road.Passenger.Bus.ICE.Gasoline</t>
  </si>
  <si>
    <t>StockVin.number.FR.Tr.Road.Passenger.Bus.ICE.Diesel</t>
  </si>
  <si>
    <t>StockVin.number.FR.Tr.Road.Passenger.Bus.ICE.LPG</t>
  </si>
  <si>
    <t>StockVin.number.FR.Tr.Road.Passenger.Bus.ICE.NGas</t>
  </si>
  <si>
    <t>StockVin.number.FR.Tr.Road.Passenger.Bus.ICE.BEV</t>
  </si>
  <si>
    <t>StockVin.number.FR.Tr.Road.Freight</t>
  </si>
  <si>
    <t>StockVin.number.FR.Tr.Road.Freight.LCV</t>
  </si>
  <si>
    <t>StockVin.number.FR.Tr.Road.Freight.LCV.ICE.Gasoline</t>
  </si>
  <si>
    <t>StockVin.number.FR.Tr.Road.Freight.LCV.ICE.Diesel</t>
  </si>
  <si>
    <t>StockVin.number.FR.Tr.Road.Freight.LCV.ICE.LPG</t>
  </si>
  <si>
    <t>StockVin.number.FR.Tr.Road.Freight.LCV.ICE.NGas</t>
  </si>
  <si>
    <t>StockVin.number.FR.Tr.Road.Freight.LCV.ICE.BEV</t>
  </si>
  <si>
    <t>StockVin.number.FR.Tr.Road.Freight.HGV</t>
  </si>
  <si>
    <t>StockVin.number.FR.Tr.Road.Freight.HGV.Domestic</t>
  </si>
  <si>
    <t>StockVin.number.FR.Tr.Road.Freight.HGV.International</t>
  </si>
  <si>
    <t>Eff_test_stock.kgoe_per_100km.FR.Tr.Road.Passenger.P2W</t>
  </si>
  <si>
    <t>Eff_test_stock.kgoe_per_100km.FR.Tr.Road.Passenger.Car</t>
  </si>
  <si>
    <t>Eff_test_stock.kgoe_per_100km.FR.Tr.Road.Passenger.Car.ICE.Gasoline</t>
  </si>
  <si>
    <t>Eff_test_stock.kgoe_per_100km.FR.Tr.Road.Passenger.Car.ICE.Diesel</t>
  </si>
  <si>
    <t>Eff_test_stock.kgoe_per_100km.FR.Tr.Road.Passenger.Car.ICE.LPG</t>
  </si>
  <si>
    <t>Eff_test_stock.kgoe_per_100km.FR.Tr.Road.Passenger.Car.ICE.NGas</t>
  </si>
  <si>
    <t>Eff_test_stock.kgoe_per_100km.FR.Tr.Road.Passenger.Car.PHEV</t>
  </si>
  <si>
    <t>Eff_test_stock.kgoe_per_100km.FR.Tr.Road.Passenger.Car.BEV</t>
  </si>
  <si>
    <t>Eff_test_stock.kgoe_per_100km.FR.Tr.Road.Passenger.Bus</t>
  </si>
  <si>
    <t>Eff_test_stock.kgoe_per_100km.FR.Tr.Road.Passenger.Bus.ICE.Gasoline</t>
  </si>
  <si>
    <t>Eff_test_stock.kgoe_per_100km.FR.Tr.Road.Passenger.Bus.ICE.Diesel</t>
  </si>
  <si>
    <t>Eff_test_stock.kgoe_per_100km.FR.Tr.Road.Passenger.Bus.ICE.LPG</t>
  </si>
  <si>
    <t>Eff_test_stock.kgoe_per_100km.FR.Tr.Road.Passenger.Bus.ICE.NGas</t>
  </si>
  <si>
    <t>Eff_test_stock.kgoe_per_100km.FR.Tr.Road.Passenger.Bus.ICE.BEV</t>
  </si>
  <si>
    <t>Eff_test_stock.kgoe_per_100km.FR.Tr.Road.Freight.LCV</t>
  </si>
  <si>
    <t>Eff_test_stock.kgoe_per_100km.FR.Tr.Road.Freight.LCV.ICE.Gasoline</t>
  </si>
  <si>
    <t>Eff_test_stock.kgoe_per_100km.FR.Tr.Road.Freight.LCV.ICE.Diesel</t>
  </si>
  <si>
    <t>Eff_test_stock.kgoe_per_100km.FR.Tr.Road.Freight.LCV.ICE.LPG</t>
  </si>
  <si>
    <t>Eff_test_stock.kgoe_per_100km.FR.Tr.Road.Freight.LCV.ICE.NGas</t>
  </si>
  <si>
    <t>Eff_test_stock.kgoe_per_100km.FR.Tr.Road.Freight.LCV.ICE.BEV</t>
  </si>
  <si>
    <t>Eff_test_stock.kgoe_per_100km.FR.Tr.Road.Freight.HGV</t>
  </si>
  <si>
    <t>Eff_test_stock.kgoe_per_100km.FR.Tr.Road.Freight.HGV.Domestic</t>
  </si>
  <si>
    <t>Eff_test_stock.kgoe_per_100km.FR.Tr.Road.Freight.HGV.International</t>
  </si>
  <si>
    <t>Eff_test_new.kgoe_per_100km.FR.Tr.Road.Passenger.P2W</t>
  </si>
  <si>
    <t>Eff_test_new.kgoe_per_100km.FR.Tr.Road.Passenger.Car</t>
  </si>
  <si>
    <t>Eff_test_new.kgoe_per_100km.FR.Tr.Road.Passenger.Car.ICE.Gasoline</t>
  </si>
  <si>
    <t>Eff_test_new.kgoe_per_100km.FR.Tr.Road.Passenger.Car.ICE.Diesel</t>
  </si>
  <si>
    <t>Eff_test_new.kgoe_per_100km.FR.Tr.Road.Passenger.Car.ICE.LPG</t>
  </si>
  <si>
    <t>Eff_test_new.kgoe_per_100km.FR.Tr.Road.Passenger.Car.ICE.NGas</t>
  </si>
  <si>
    <t>Eff_test_new.kgoe_per_100km.FR.Tr.Road.Passenger.Car.PHEV</t>
  </si>
  <si>
    <t>Eff_test_new.kgoe_per_100km.FR.Tr.Road.Passenger.Car.BEV</t>
  </si>
  <si>
    <t>Eff_test_new.kgoe_per_100km.FR.Tr.Road.Passenger.Bus</t>
  </si>
  <si>
    <t>Eff_test_new.kgoe_per_100km.FR.Tr.Road.Passenger.Bus.ICE.Gasoline</t>
  </si>
  <si>
    <t>Eff_test_new.kgoe_per_100km.FR.Tr.Road.Passenger.Bus.ICE.Diesel</t>
  </si>
  <si>
    <t>Eff_test_new.kgoe_per_100km.FR.Tr.Road.Passenger.Bus.ICE.LPG</t>
  </si>
  <si>
    <t>Eff_test_new.kgoe_per_100km.FR.Tr.Road.Passenger.Bus.ICE.NGas</t>
  </si>
  <si>
    <t>Eff_test_new.kgoe_per_100km.FR.Tr.Road.Passenger.Bus.ICE.BEV</t>
  </si>
  <si>
    <t>Eff_test_new.kgoe_per_100km.FR.Tr.Road.Freight.LCV</t>
  </si>
  <si>
    <t>Eff_test_new.kgoe_per_100km.FR.Tr.Road.Freight.LCV.ICE.Gasoline</t>
  </si>
  <si>
    <t>Eff_test_new.kgoe_per_100km.FR.Tr.Road.Freight.LCV.ICE.Diesel</t>
  </si>
  <si>
    <t>Eff_test_new.kgoe_per_100km.FR.Tr.Road.Freight.LCV.ICE.LPG</t>
  </si>
  <si>
    <t>Eff_test_new.kgoe_per_100km.FR.Tr.Road.Freight.LCV.ICE.NGas</t>
  </si>
  <si>
    <t>Eff_test_new.kgoe_per_100km.FR.Tr.Road.Freight.LCV.ICE.BEV</t>
  </si>
  <si>
    <t>Eff_test_new.kgoe_per_100km.FR.Tr.Road.Freight.HGV</t>
  </si>
  <si>
    <t>Eff_test_new.kgoe_per_100km.FR.Tr.Road.Freight.HGV.Domestic</t>
  </si>
  <si>
    <t>Eff_test_new.kgoe_per_100km.FR.Tr.Road.Freight.HGV.International</t>
  </si>
  <si>
    <t>EMIint_test_stock.gCO2_per_km.FR.Tr.Road.Passenger.P2W</t>
  </si>
  <si>
    <t>EMIint_test_stock.gCO2_per_km.FR.Tr.Road.Passenger.Car</t>
  </si>
  <si>
    <t>EMIint_test_stock.gCO2_per_km.FR.Tr.Road.Passenger.Car.ICE.Gasoline</t>
  </si>
  <si>
    <t>EMIint_test_stock.gCO2_per_km.FR.Tr.Road.Passenger.Car.ICE.Diesel</t>
  </si>
  <si>
    <t>EMIint_test_stock.gCO2_per_km.FR.Tr.Road.Passenger.Car.ICE.LPG</t>
  </si>
  <si>
    <t>EMIint_test_stock.gCO2_per_km.FR.Tr.Road.Passenger.Car.ICE.NGas</t>
  </si>
  <si>
    <t>EMIint_test_stock.gCO2_per_km.FR.Tr.Road.Passenger.Car.PHEV</t>
  </si>
  <si>
    <t>EMIint_test_stock.gCO2_per_km.FR.Tr.Road.Passenger.Car.BEV</t>
  </si>
  <si>
    <t>EMIint_test_stock.gCO2_per_km.FR.Tr.Road.Passenger.Bus</t>
  </si>
  <si>
    <t>EMIint_test_stock.gCO2_per_km.FR.Tr.Road.Passenger.Bus.ICE.Gasoline</t>
  </si>
  <si>
    <t>EMIint_test_stock.gCO2_per_km.FR.Tr.Road.Passenger.Bus.ICE.Diesel</t>
  </si>
  <si>
    <t>EMIint_test_stock.gCO2_per_km.FR.Tr.Road.Passenger.Bus.ICE.LPG</t>
  </si>
  <si>
    <t>EMIint_test_stock.gCO2_per_km.FR.Tr.Road.Passenger.Bus.ICE.NGas</t>
  </si>
  <si>
    <t>EMIint_test_stock.gCO2_per_km.FR.Tr.Road.Passenger.Bus.ICE.BEV</t>
  </si>
  <si>
    <t>EMIint_test_stock.gCO2_per_km.FR.Tr.Road.Freight.LCV</t>
  </si>
  <si>
    <t>EMIint_test_stock.gCO2_per_km.FR.Tr.Road.Freight.LCV.ICE.Gasoline</t>
  </si>
  <si>
    <t>EMIint_test_stock.gCO2_per_km.FR.Tr.Road.Freight.LCV.ICE.Diesel</t>
  </si>
  <si>
    <t>EMIint_test_stock.gCO2_per_km.FR.Tr.Road.Freight.LCV.ICE.LPG</t>
  </si>
  <si>
    <t>EMIint_test_stock.gCO2_per_km.FR.Tr.Road.Freight.LCV.ICE.NGas</t>
  </si>
  <si>
    <t>EMIint_test_stock.gCO2_per_km.FR.Tr.Road.Freight.LCV.ICE.BEV</t>
  </si>
  <si>
    <t>EMIint_test_stock.gCO2_per_km.FR.Tr.Road.Freight.HGV</t>
  </si>
  <si>
    <t>EMIint_test_stock.gCO2_per_km.FR.Tr.Road.Freight.HGV.Domestic</t>
  </si>
  <si>
    <t>EMIint_test_stock.gCO2_per_km.FR.Tr.Road.Freight.HGV.International</t>
  </si>
  <si>
    <t>EMIint_test_new.gCO2_per_km.FR.Tr.Road.Passenger.P2W</t>
  </si>
  <si>
    <t>EMIint_test_new.gCO2_per_km.FR.Tr.Road.Passenger.Car</t>
  </si>
  <si>
    <t>EMIint_test_new.gCO2_per_km.FR.Tr.Road.Passenger.Car.ICE.Gasoline</t>
  </si>
  <si>
    <t>EMIint_test_new.gCO2_per_km.FR.Tr.Road.Passenger.Car.ICE.Diesel</t>
  </si>
  <si>
    <t>EMIint_test_new.gCO2_per_km.FR.Tr.Road.Passenger.Car.ICE.LPG</t>
  </si>
  <si>
    <t>EMIint_test_new.gCO2_per_km.FR.Tr.Road.Passenger.Car.ICE.NGas</t>
  </si>
  <si>
    <t>EMIint_test_new.gCO2_per_km.FR.Tr.Road.Passenger.Car.PHEV</t>
  </si>
  <si>
    <t>EMIint_test_new.gCO2_per_km.FR.Tr.Road.Passenger.Car.BEV</t>
  </si>
  <si>
    <t>EMIint_test_new.gCO2_per_km.FR.Tr.Road.Passenger.Bus</t>
  </si>
  <si>
    <t>EMIint_test_new.gCO2_per_km.FR.Tr.Road.Passenger.Bus.ICE.Gasoline</t>
  </si>
  <si>
    <t>EMIint_test_new.gCO2_per_km.FR.Tr.Road.Passenger.Bus.ICE.Diesel</t>
  </si>
  <si>
    <t>EMIint_test_new.gCO2_per_km.FR.Tr.Road.Passenger.Bus.ICE.LPG</t>
  </si>
  <si>
    <t>EMIint_test_new.gCO2_per_km.FR.Tr.Road.Passenger.Bus.ICE.NGas</t>
  </si>
  <si>
    <t>EMIint_test_new.gCO2_per_km.FR.Tr.Road.Passenger.Bus.ICE.BEV</t>
  </si>
  <si>
    <t>EMIint_test_new.gCO2_per_km.FR.Tr.Road.Freight.LCV</t>
  </si>
  <si>
    <t>EMIint_test_new.gCO2_per_km.FR.Tr.Road.Freight.LCV.ICE.Gasoline</t>
  </si>
  <si>
    <t>EMIint_test_new.gCO2_per_km.FR.Tr.Road.Freight.LCV.ICE.Diesel</t>
  </si>
  <si>
    <t>EMIint_test_new.gCO2_per_km.FR.Tr.Road.Freight.LCV.ICE.LPG</t>
  </si>
  <si>
    <t>EMIint_test_new.gCO2_per_km.FR.Tr.Road.Freight.LCV.ICE.NGas</t>
  </si>
  <si>
    <t>EMIint_test_new.gCO2_per_km.FR.Tr.Road.Freight.LCV.ICE.BEV</t>
  </si>
  <si>
    <t>EMIint_test_new.gCO2_per_km.FR.Tr.Road.Freight.HGV</t>
  </si>
  <si>
    <t>EMIint_test_new.gCO2_per_km.FR.Tr.Road.Freight.HGV.Domestic</t>
  </si>
  <si>
    <t>EMIint_test_new.gCO2_per_km.FR.Tr.Road.Freight.HGV.International</t>
  </si>
  <si>
    <t>FEC.ktoe.FR.MBunk</t>
  </si>
  <si>
    <t>FEC.ktoe.FR.MBunk.IntraEEA</t>
  </si>
  <si>
    <t>FEC.ktoe.FR.MBunk.ExtraEEA</t>
  </si>
  <si>
    <t>EMI.ktCO2.FR.MBunk</t>
  </si>
  <si>
    <t>EMI.ktCO2.FR.MBunk.IntraEEA</t>
  </si>
  <si>
    <t>EMI.ktCO2.FR.MBunk.ExtraEEA</t>
  </si>
  <si>
    <t>International maritime bunkers - FR - France</t>
  </si>
  <si>
    <t>VehicleKm.Mkm.FR.MBunk.Freight</t>
  </si>
  <si>
    <t>VehicleKm.Mkm.FR.MBunk.Freight.IntraEEA</t>
  </si>
  <si>
    <t>VehicleKm.Mkm.FR.MBunk.Freight.ExtraEEA</t>
  </si>
  <si>
    <t>Load.t_per_movement.FR.MBunk.Freight</t>
  </si>
  <si>
    <t>Load.t_per_movement.FR.MBunk.Freight.IntraEEA</t>
  </si>
  <si>
    <t>Load.t_per_movement.FR.MBunk.Freight.ExtraEEA</t>
  </si>
  <si>
    <t>International maritime bunkers / energy consumption - FR - France</t>
  </si>
  <si>
    <t>FEC.ktoe.FR.ES.MBunk</t>
  </si>
  <si>
    <t>FEC.ktoe.FR.ES.MBunk.IntraEEA</t>
  </si>
  <si>
    <t>FEC.ktoe.FR.ES.MBunk.IntraEEA.Diesel</t>
  </si>
  <si>
    <t>FEC.ktoe.FR.ES.MBunk.IntraEEA.RFO_Other</t>
  </si>
  <si>
    <t>FEC.ktoe.FR.ES.MBunk.IntraEEA.LiqBio</t>
  </si>
  <si>
    <t>FEC.ktoe.FR.ES.MBunk.IntraEEA.NG</t>
  </si>
  <si>
    <t>FEC.ktoe.FR.ES.MBunk.IntraEEA.Biogas</t>
  </si>
  <si>
    <t>FEC.ktoe.FR.ES.MBunk.ExtraEEA</t>
  </si>
  <si>
    <t>FEC.ktoe.FR.ES.MBunk.ExtraEEA.Diesel</t>
  </si>
  <si>
    <t>FEC.ktoe.FR.ES.MBunk.ExtraEEA.RFO_Other</t>
  </si>
  <si>
    <t>FEC.ktoe.FR.ES.MBunk.ExtraEEA.LiqBio</t>
  </si>
  <si>
    <t>FEC.ktoe.FR.ES.MBunk.ExtraEEA.NG</t>
  </si>
  <si>
    <t>FEC.ktoe.FR.ES.MBunk.ExtraEEA.Biogas</t>
  </si>
  <si>
    <t>Eff.kgoe_per_100km.FR.MBunk.Freight</t>
  </si>
  <si>
    <t>Eff.kgoe_per_100km.FR.MBunk.Freight.IntraEEA</t>
  </si>
  <si>
    <t>Eff.kgoe_per_100km.FR.MBunk.Freight.ExtraEEA</t>
  </si>
  <si>
    <t>International maritime bunkers / CO2 emissions - FR - France</t>
  </si>
  <si>
    <t>EMI.ktCO2.FR.ES.MBunk</t>
  </si>
  <si>
    <t>EMI.ktCO2.FR.ES.MBunk.IntraEEA</t>
  </si>
  <si>
    <t>EMI.ktCO2.FR.ES.MBunk.ExtraEEA</t>
  </si>
  <si>
    <t>EMIint.gCO2_per_km.FR.MBunk.Freight</t>
  </si>
  <si>
    <t>EMIint.gCO2_per_km.FR.MBunk.Freight.IntraEEA</t>
  </si>
  <si>
    <t>EMIint.gCO2_per_km.FR.MBunk.Freight.ExtraEEA</t>
  </si>
  <si>
    <t>FEC.ktoe.FR.Tr.DNavi</t>
  </si>
  <si>
    <t>FEC.ktoe.FR.Tr.Dnavi.DCS</t>
  </si>
  <si>
    <t>FEC.ktoe.FR.Tr.Dnavi.IWW</t>
  </si>
  <si>
    <t>EMI.ktCO2.FR.Tr.DNavi</t>
  </si>
  <si>
    <t>EMI.ktCO2.FR.Tr.Dnavi.DCS</t>
  </si>
  <si>
    <t>EMI.ktCO2.FR.Tr.Dnavi.IWW</t>
  </si>
  <si>
    <t>Domestic navigation - FR - France</t>
  </si>
  <si>
    <t>VehicleKm.Mkm.FR.Tr.DNavi.Freight</t>
  </si>
  <si>
    <t>VehicleKm.Mkm.FR.Tr.DNavi.Freight.DCS</t>
  </si>
  <si>
    <t>VehicleKm.Mkm.FR.Tr.DNavi.Freight.IWW</t>
  </si>
  <si>
    <t>Load.t_per_movement.FR.Tr.DNavi.Freight</t>
  </si>
  <si>
    <t>Load.t_per_movement.FR.Tr.DNavi.Freight.DCS</t>
  </si>
  <si>
    <t>Load.t_per_movement.FR.Tr.DNavi.Freight.IWW</t>
  </si>
  <si>
    <t>Domestic navigation / energy consumption - FR - France</t>
  </si>
  <si>
    <t>FEC.ktoe.FR.ES.Tr.DNavi</t>
  </si>
  <si>
    <t>FEC.ktoe.FR.ES.Tr.DNavi.DCS</t>
  </si>
  <si>
    <t>FEC.ktoe.FR.ES.Tr.DNavi.DCS.Diesel</t>
  </si>
  <si>
    <t>FEC.ktoe.FR.ES.Tr.DNavi.DCS.RFO_Other</t>
  </si>
  <si>
    <t>FEC.ktoe.FR.ES.Tr.DNavi.DCS.LiqBio</t>
  </si>
  <si>
    <t>FEC.ktoe.FR.ES.Tr.DNavi.DCS.NG</t>
  </si>
  <si>
    <t>FEC.ktoe.FR.ES.Tr.DNavi.DCS.Biogas</t>
  </si>
  <si>
    <t>FEC.ktoe.FR.ES.Tr.DNavi.IWW</t>
  </si>
  <si>
    <t>FEC.ktoe.FR.ES.Tr.DNavi.IWW.Diesel</t>
  </si>
  <si>
    <t>FEC.ktoe.FR.ES.Tr.DNavi.IWW.RFO_Other</t>
  </si>
  <si>
    <t>FEC.ktoe.FR.ES.Tr.DNavi.IWW.LiqBio</t>
  </si>
  <si>
    <t>FEC.ktoe.FR.ES.Tr.DNavi.IWW.NG</t>
  </si>
  <si>
    <t>FEC.ktoe.FR.ES.Tr.DNavi.IWW.Biogas</t>
  </si>
  <si>
    <t>Eff.kgoe_per_100km.FR.Tr.DNavi.Freight</t>
  </si>
  <si>
    <t>Eff.kgoe_per_100km.FR.Tr.DNavi.Freight.DCS</t>
  </si>
  <si>
    <t>Eff.kgoe_per_100km.FR.Tr.DNavi.Freight.IWW</t>
  </si>
  <si>
    <t>Domestic navigation / CO2 emissions - FR - France</t>
  </si>
  <si>
    <t>EMI.ktCO2.FR.ES.Tr.DNavi</t>
  </si>
  <si>
    <t>EMI.ktCO2.FR.ES.Tr.DNavi.DCS</t>
  </si>
  <si>
    <t>EMI.ktCO2.FR.ES.Tr.DNavi.IWW</t>
  </si>
  <si>
    <t>EMIint.gCO2_per_km.FR.Tr.DNavi.Freight</t>
  </si>
  <si>
    <t>EMIint.gCO2_per_km.FR.Tr.DNavi.Freight.DCS</t>
  </si>
  <si>
    <t>EMIint.gCO2_per_km.FR.Tr.DNavi.Freight.IWW</t>
  </si>
  <si>
    <t>Rail, metro and tram - FR - France</t>
  </si>
  <si>
    <t>Activity.Mpkm.FR.Tr.Rail.Passenger.CPT.Diesel</t>
  </si>
  <si>
    <t>Activity.Mpkm.FR.Tr.Rail.Passenger.CPT.Elc</t>
  </si>
  <si>
    <t>Activity.Mtkm.FR.Tr.Rail.Freight.Diesel</t>
  </si>
  <si>
    <t>Activity.Mtkm.FR.Tr.Rail.Freight.Elc</t>
  </si>
  <si>
    <t>VehicleKm.Mkm.FR.Tr.Rail</t>
  </si>
  <si>
    <t>VehicleKm.Mkm.FR.Tr.Rail.Passenger</t>
  </si>
  <si>
    <t>VehicleKm.Mkm.FR.Tr.Rail.Passenger.MTU</t>
  </si>
  <si>
    <t>VehicleKm.Mkm.FR.Tr.Rail.Passenger.CPT</t>
  </si>
  <si>
    <t>VehicleKm.Mkm.FR.Tr.Rail.Passenger.CPT.Diesel</t>
  </si>
  <si>
    <t>VehicleKm.Mkm.FR.Tr.Rail.Passenger.CPT.Elc</t>
  </si>
  <si>
    <t>VehicleKm.Mkm.FR.Tr.Rail.Passenger.HST</t>
  </si>
  <si>
    <t>VehicleKm.Mkm.FR.Tr.Rail.Freight</t>
  </si>
  <si>
    <t>VehicleKm.Mkm.FR.Tr.Rail.Freight.Diesel</t>
  </si>
  <si>
    <t>VehicleKm.Mkm.FR.Tr.Rail.Freight.Elc</t>
  </si>
  <si>
    <t>Stock.number.FR.Tr.Rail</t>
  </si>
  <si>
    <t>Stock.number.FR.Tr.Rail.Passenger</t>
  </si>
  <si>
    <t>Stock.number.FR.Tr.Rail.Passenger.MTU</t>
  </si>
  <si>
    <t>Stock.number.FR.Tr.Rail.Passenger.CPT</t>
  </si>
  <si>
    <t>Stock.number.FR.Tr.Rail.Passenger.CPT.Diesel</t>
  </si>
  <si>
    <t>Stock.number.FR.Tr.Rail.Passenger.CPT.Elc</t>
  </si>
  <si>
    <t>Stock.number.FR.Tr.Rail.Passenger.HST</t>
  </si>
  <si>
    <t>Stock.number.FR.Tr.Rail.Freight</t>
  </si>
  <si>
    <t>Stock.number.FR.Tr.Rail.Freight.Diesel</t>
  </si>
  <si>
    <t>Stock.number.FR.Tr.Rail.Freight.Elc</t>
  </si>
  <si>
    <t>StockNew.number.FR.Tr.Rail</t>
  </si>
  <si>
    <t>StockNew.number.FR.Tr.Rail.Passenger</t>
  </si>
  <si>
    <t>StockNew.number.FR.Tr.Rail.Passenger.MTU</t>
  </si>
  <si>
    <t>StockNew.number.FR.Tr.Rail.Passenger.CPT</t>
  </si>
  <si>
    <t>StockNew.number.FR.Tr.Rail.Passenger.CPT.Diesel</t>
  </si>
  <si>
    <t>StockNew.number.FR.Tr.Rail.Passenger.CPT.Elc</t>
  </si>
  <si>
    <t>StockNew.number.FR.Tr.Rail.Passenger.HST</t>
  </si>
  <si>
    <t>StockNew.number.FR.Tr.Rail.Freight</t>
  </si>
  <si>
    <t>StockNew.number.FR.Tr.Rail.Freight.Diesel</t>
  </si>
  <si>
    <t>StockNew.number.FR.Tr.Rail.Freight.Elc</t>
  </si>
  <si>
    <t>Load.passenger_per_movement.FR.Tr.Rail.Passenger</t>
  </si>
  <si>
    <t>Load.passenger_per_movement.FR.Tr.Rail.Passenger.MTU</t>
  </si>
  <si>
    <t>Load.passenger_per_movement.FR.Tr.Rail.Passenger.CPT</t>
  </si>
  <si>
    <t>Load.passenger_per_movement.FR.Tr.Rail.Passenger.CPT.Diesel</t>
  </si>
  <si>
    <t>Load.passenger_per_movement.FR.Tr.Rail.Passenger.CPT.Elc</t>
  </si>
  <si>
    <t>Load.passenger_per_movement.FR.Tr.Rail.Passenger.HST</t>
  </si>
  <si>
    <t>Load.t_per_movement.FR.Tr.Rail.Freight</t>
  </si>
  <si>
    <t>Load.t_per_movement.FR.Tr.Rail.Freight.Diesel</t>
  </si>
  <si>
    <t>Load.t_per_movement.FR.Tr.Rail.Freight.Elc</t>
  </si>
  <si>
    <t>TrCap.seats.FR.Tr.Rail.Passenger</t>
  </si>
  <si>
    <t>TrCap.seats.FR.Tr.Rail.Passenger.MTU</t>
  </si>
  <si>
    <t>TrCap.seats.FR.Tr.Rail.Passenger.CPT</t>
  </si>
  <si>
    <t>TrCap.seats.FR.Tr.Rail.Passenger.CPT.Diesel</t>
  </si>
  <si>
    <t>TrCap.seats.FR.Tr.Rail.Passenger.CPT.Elc</t>
  </si>
  <si>
    <t>TrCap.seats.FR.Tr.Rail.Passenger.HST</t>
  </si>
  <si>
    <t>TrCap.t.FR.Tr.Rail.Freight</t>
  </si>
  <si>
    <t>TrCap.t.FR.Tr.Rail.Freight.Diesel</t>
  </si>
  <si>
    <t>TrCap.t.FR.Tr.Rail.Freight.Elc</t>
  </si>
  <si>
    <t>VehicleKm_per_vehicle.km.FR.Tr.Rail</t>
  </si>
  <si>
    <t>VehicleKm_per_vehicle.km.FR.Tr.Rail.Passenger</t>
  </si>
  <si>
    <t>VehicleKm_per_vehicle.km.FR.Tr.Rail.Passenger.MTU</t>
  </si>
  <si>
    <t>VehicleKm_per_vehicle.km.FR.Tr.Rail.Passenger.CPT</t>
  </si>
  <si>
    <t>VehicleKm_per_vehicle.km.FR.Tr.Rail.Passenger.CPT.Diesel</t>
  </si>
  <si>
    <t>VehicleKm_per_vehicle.km.FR.Tr.Rail.Passenger.CPT.Elc</t>
  </si>
  <si>
    <t>VehicleKm_per_vehicle.km.FR.Tr.Rail.Passenger.HST</t>
  </si>
  <si>
    <t>VehicleKm_per_vehicle.km.FR.Tr.Rail.Freight</t>
  </si>
  <si>
    <t>VehicleKm_per_vehicle.km.FR.Tr.Rail.Freight.Diesel</t>
  </si>
  <si>
    <t>VehicleKm_per_vehicle.km.FR.Tr.Rail.Freight.Elc</t>
  </si>
  <si>
    <t>Activity_per_vehicle.pkm.FR.Tr.Rail.Passenger</t>
  </si>
  <si>
    <t>Activity_per_vehicle.pkm.FR.Tr.Rail.Passenger.MTU</t>
  </si>
  <si>
    <t>Activity_per_vehicle.pkm.FR.Tr.Rail.Passenger.CPT</t>
  </si>
  <si>
    <t>Activity_per_vehicle.pkm.FR.Tr.Rail.Passenger.CPT.Diesel</t>
  </si>
  <si>
    <t>Activity_per_vehicle.pkm.FR.Tr.Rail.Passenger.CPT.Elc</t>
  </si>
  <si>
    <t>Activity_per_vehicle.pkm.FR.Tr.Rail.Passenger.HST</t>
  </si>
  <si>
    <t>Activity_per_vehicle.tkm.FR.Tr.Rail.Freight</t>
  </si>
  <si>
    <t>Activity_per_vehicle.tkm.FR.Tr.Rail.Freight.Diesel</t>
  </si>
  <si>
    <t>Activity_per_vehicle.tkm.FR.Tr.Rail.Freight.Elc</t>
  </si>
  <si>
    <t>Rail, metro and tram / energy consumption - FR - France</t>
  </si>
  <si>
    <t>FEC.ktoe.FR.ES.Tr.Rail</t>
  </si>
  <si>
    <t>FEC.ktoe.FR.ES.Tr.Rail.Diesel</t>
  </si>
  <si>
    <t>FEC.ktoe.FR.ES.Tr.Rail.LiqBio</t>
  </si>
  <si>
    <t>FEC.ktoe.FR.ES.Tr.Rail.Elec</t>
  </si>
  <si>
    <t>FEC.ktoe.FR.Tr.Rail</t>
  </si>
  <si>
    <t>FEC.ktoe.FR.Tr.Rail.Passenger.CPT.Diesel</t>
  </si>
  <si>
    <t>FEC.ktoe.FR.Tr.Rail.Passenger.CPT.Elc</t>
  </si>
  <si>
    <t>FEC.ktoe.FR.Tr.Rail.Freight.Diesel</t>
  </si>
  <si>
    <t>FEC.ktoe.FR.Tr.Rail.Freight.Elc</t>
  </si>
  <si>
    <t>Eff.kgoe_per_100km.FR.Tr.Rail</t>
  </si>
  <si>
    <t>Eff.kgoe_per_100km.FR.Tr.Rail.Passenger</t>
  </si>
  <si>
    <t>Eff.kgoe_per_100km.FR.Tr.Rail.Passenger.MTU</t>
  </si>
  <si>
    <t>Eff.kgoe_per_100km.FR.Tr.Rail.Passenger.CPT</t>
  </si>
  <si>
    <t>Eff.kgoe_per_100km.FR.Tr.Rail.Passenger.CPT.Diesel</t>
  </si>
  <si>
    <t>Eff.kgoe_per_100km.FR.Tr.Rail.Passenger.CPT.Elc</t>
  </si>
  <si>
    <t>Eff.kgoe_per_100km.FR.Tr.Rail.Passenger.HST</t>
  </si>
  <si>
    <t>Eff.kgoe_per_100km.FR.Tr.Rail.Freight</t>
  </si>
  <si>
    <t>Eff.kgoe_per_100km.FR.Tr.Rail.Freight.Diesel</t>
  </si>
  <si>
    <t>Eff.kgoe_per_100km.FR.Tr.Rail.Freight.Elc</t>
  </si>
  <si>
    <t>Eff.kgoe_per_kpkm.FR.Tr.Rail.Passenger.CPT.Diesel</t>
  </si>
  <si>
    <t>Eff.kgoe_per_kpkm.FR.Tr.Rail.Passenger.CPT.Elc</t>
  </si>
  <si>
    <t>Eff.kgoe_per_ktkm.FR.Tr.Rail.Freight.Diesel</t>
  </si>
  <si>
    <t>Eff.kgoe_per_ktkm.FR.Tr.Rail.Freight.Elc</t>
  </si>
  <si>
    <t>FEC_per_vehicle.kgoe.FR.Tr.Rail</t>
  </si>
  <si>
    <t>FEC_per_vehicle.kgoe.FR.Tr.Rail.Passenger</t>
  </si>
  <si>
    <t>FEC_per_vehicle.kgoe.FR.Tr.Rail.Passenger.MTU</t>
  </si>
  <si>
    <t>FEC_per_vehicle.kgoe.FR.Tr.Rail.Passenger.CPT</t>
  </si>
  <si>
    <t>FEC_per_vehicle.kgoe.FR.Tr.Rail.Passenger.CPT.Diesel</t>
  </si>
  <si>
    <t>FEC_per_vehicle.kgoe.FR.Tr.Rail.Passenger.CPT.Elc</t>
  </si>
  <si>
    <t>FEC_per_vehicle.kgoe.FR.Tr.Rail.Passenger.HST</t>
  </si>
  <si>
    <t>FEC_per_vehicle.kgoe.FR.Tr.Rail.Freight</t>
  </si>
  <si>
    <t>FEC_per_vehicle.kgoe.FR.Tr.Rail.Freight.Diesel</t>
  </si>
  <si>
    <t>FEC_per_vehicle.kgoe.FR.Tr.Rail.Freight.Elc</t>
  </si>
  <si>
    <t>Rail, metro and tram / CO2 emissions - FR - France</t>
  </si>
  <si>
    <t>EMI.ktCO2.FR.ES.Tr.Rail</t>
  </si>
  <si>
    <t>EMI.ktCO2.FR.ES.Tr.Rail.Diesel</t>
  </si>
  <si>
    <t>EMI.ktCO2.FR.ES.Tr.Rail.Elec</t>
  </si>
  <si>
    <t>EMI.ktCO2.FR.Tr.Rail</t>
  </si>
  <si>
    <t>EMI.ktCO2.FR.Tr.Rail.Passenger.CPT.Diesel</t>
  </si>
  <si>
    <t>EMI.ktCO2.FR.Tr.Rail.Passenger.CPT.Elc</t>
  </si>
  <si>
    <t>EMI.ktCO2.FR.Tr.Rail.Freight.Diesel</t>
  </si>
  <si>
    <t>EMI.ktCO2.FR.Tr.Rail.Freight.Elc</t>
  </si>
  <si>
    <t>EMIint.gCO2_per_km.FR.Tr.Rail</t>
  </si>
  <si>
    <t>EMIint.gCO2_per_km.FR.Tr.Rail.Passenger</t>
  </si>
  <si>
    <t>EMIint.gCO2_per_km.FR.Tr.Rail.Passenger.MTU</t>
  </si>
  <si>
    <t>EMIint.gCO2_per_km.FR.Tr.Rail.Passenger.CPT</t>
  </si>
  <si>
    <t>EMIint.gCO2_per_km.FR.Tr.Rail.Passenger.CPT.Diesel</t>
  </si>
  <si>
    <t>EMIint.gCO2_per_km.FR.Tr.Rail.Passenger.CPT.Elc</t>
  </si>
  <si>
    <t>EMIint.gCO2_per_km.FR.Tr.Rail.Passenger.HST</t>
  </si>
  <si>
    <t>EMIint.gCO2_per_km.FR.Tr.Rail.Freight</t>
  </si>
  <si>
    <t>EMIint.gCO2_per_km.FR.Tr.Rail.Freight.Diesel</t>
  </si>
  <si>
    <t>EMIint.gCO2_per_km.FR.Tr.Rail.Freight.Elc</t>
  </si>
  <si>
    <t>EMIint.gCO2_per_pkm.FR.Tr.Rail.Passenger.CPT.Diesel</t>
  </si>
  <si>
    <t>EMIint.gCO2_per_pkm.FR.Tr.Rail.Passenger.CPT.Elc</t>
  </si>
  <si>
    <t>EMIint.gCO2_per_tkm.FR.Tr.Rail.Freight.Diesel</t>
  </si>
  <si>
    <t>EMIint.gCO2_per_tkm.FR.Tr.Rail.Freight.Elc</t>
  </si>
  <si>
    <t>EMI_per_vehicle.tCO2.FR.Tr.Rail</t>
  </si>
  <si>
    <t>EMI_per_vehicle.tCO2.FR.Tr.Rail.Passenger</t>
  </si>
  <si>
    <t>EMI_per_vehicle.tCO2.FR.Tr.Rail.Passenger.MTU</t>
  </si>
  <si>
    <t>EMI_per_vehicle.tCO2.FR.Tr.Rail.Passenger.CPT</t>
  </si>
  <si>
    <t>EMI_per_vehicle.tCO2.FR.Tr.Rail.Passenger.CPT.Diesel</t>
  </si>
  <si>
    <t>EMI_per_vehicle.tCO2.FR.Tr.Rail.Passenger.CPT.Elc</t>
  </si>
  <si>
    <t>EMI_per_vehicle.tCO2.FR.Tr.Rail.Passenger.HST</t>
  </si>
  <si>
    <t>EMI_per_vehicle.tCO2.FR.Tr.Rail.Freight</t>
  </si>
  <si>
    <t>EMI_per_vehicle.tCO2.FR.Tr.Rail.Freight.Diesel</t>
  </si>
  <si>
    <t>EMI_per_vehicle.tCO2.FR.Tr.Rail.Freight.Elc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</si>
</sst>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45432.785162037035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949276.31070616841</v>
      </c>
      <c r="C4" s="28">
        <f t="shared" si="0"/>
        <v>976909.71980405389</v>
      </c>
      <c r="D4" s="28">
        <f t="shared" si="0"/>
        <v>988678.71472324769</v>
      </c>
      <c r="E4" s="28">
        <f t="shared" si="0"/>
        <v>987423.21067326516</v>
      </c>
      <c r="F4" s="28">
        <f t="shared" si="0"/>
        <v>1000077.8487119576</v>
      </c>
      <c r="G4" s="28">
        <f t="shared" si="0"/>
        <v>1002256.7421552035</v>
      </c>
      <c r="H4" s="28">
        <f t="shared" si="0"/>
        <v>1009254.6251392362</v>
      </c>
      <c r="I4" s="28">
        <f t="shared" si="0"/>
        <v>1024376.9036710584</v>
      </c>
      <c r="J4" s="28">
        <f t="shared" si="0"/>
        <v>1018057.4303364505</v>
      </c>
      <c r="K4" s="28">
        <f t="shared" si="0"/>
        <v>1012567.2969217319</v>
      </c>
      <c r="L4" s="28">
        <f t="shared" si="0"/>
        <v>1022989.9714424609</v>
      </c>
      <c r="M4" s="28">
        <f t="shared" si="0"/>
        <v>1039463.4173592175</v>
      </c>
      <c r="N4" s="28">
        <f t="shared" si="0"/>
        <v>1098978.7652830069</v>
      </c>
      <c r="O4" s="28">
        <f t="shared" si="0"/>
        <v>1109040.6384152081</v>
      </c>
      <c r="P4" s="28">
        <f t="shared" si="0"/>
        <v>1128777.7664572026</v>
      </c>
      <c r="Q4" s="28">
        <f t="shared" si="0"/>
        <v>1142562.0387896108</v>
      </c>
      <c r="R4" s="28">
        <f t="shared" ref="R4:V4" si="1">R5+R9+R13</f>
        <v>1155648.193640444</v>
      </c>
      <c r="S4" s="28">
        <f t="shared" si="1"/>
        <v>1179409.0746316516</v>
      </c>
      <c r="T4" s="28">
        <f t="shared" si="1"/>
        <v>1189091.0632856092</v>
      </c>
      <c r="U4" s="28">
        <f t="shared" si="1"/>
        <v>1200501.403492575</v>
      </c>
      <c r="V4" s="28">
        <f t="shared" si="1"/>
        <v>814960.30652803765</v>
      </c>
      <c r="W4" s="28">
        <f t="shared" ref="W4" si="2">W5+W9+W13</f>
        <v>943405.4198455516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748659.90659007907</v>
      </c>
      <c r="C5" s="137">
        <f t="shared" si="3"/>
        <v>772763.82672474429</v>
      </c>
      <c r="D5" s="137">
        <f t="shared" si="3"/>
        <v>779360.90159331739</v>
      </c>
      <c r="E5" s="137">
        <f t="shared" si="3"/>
        <v>781455.80536704126</v>
      </c>
      <c r="F5" s="137">
        <f t="shared" si="3"/>
        <v>779811.92983109574</v>
      </c>
      <c r="G5" s="137">
        <f t="shared" si="3"/>
        <v>770216.95515239809</v>
      </c>
      <c r="H5" s="137">
        <f t="shared" si="3"/>
        <v>768787.38454761554</v>
      </c>
      <c r="I5" s="137">
        <f t="shared" si="3"/>
        <v>774484.58420157677</v>
      </c>
      <c r="J5" s="137">
        <f t="shared" si="3"/>
        <v>760190.12236391776</v>
      </c>
      <c r="K5" s="137">
        <f t="shared" si="3"/>
        <v>760873.89184140658</v>
      </c>
      <c r="L5" s="137">
        <f t="shared" si="3"/>
        <v>767361.44135381212</v>
      </c>
      <c r="M5" s="137">
        <f t="shared" si="3"/>
        <v>768363.74889616086</v>
      </c>
      <c r="N5" s="137">
        <f t="shared" si="3"/>
        <v>827330.75338583719</v>
      </c>
      <c r="O5" s="137">
        <f t="shared" si="3"/>
        <v>833526.9434120548</v>
      </c>
      <c r="P5" s="137">
        <f t="shared" si="3"/>
        <v>845936.73049925198</v>
      </c>
      <c r="Q5" s="137">
        <f t="shared" si="3"/>
        <v>857341.29701655975</v>
      </c>
      <c r="R5" s="137">
        <f t="shared" ref="R5:V5" si="4">R6+R7+R8</f>
        <v>869704.80237246235</v>
      </c>
      <c r="S5" s="137">
        <f t="shared" si="4"/>
        <v>876865.63745896064</v>
      </c>
      <c r="T5" s="137">
        <f t="shared" si="4"/>
        <v>874708.76680386777</v>
      </c>
      <c r="U5" s="137">
        <f t="shared" si="4"/>
        <v>871560.02251024125</v>
      </c>
      <c r="V5" s="137">
        <f t="shared" si="4"/>
        <v>680570.66419074836</v>
      </c>
      <c r="W5" s="137">
        <f t="shared" ref="W5" si="5">W6+W7+W8</f>
        <v>772936.94467364915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11329.676839666583</v>
      </c>
      <c r="C6" s="102">
        <f>TrRoad_act!C$5</f>
        <v>12435.230187091898</v>
      </c>
      <c r="D6" s="102">
        <f>TrRoad_act!D$5</f>
        <v>13833.13676132711</v>
      </c>
      <c r="E6" s="102">
        <f>TrRoad_act!E$5</f>
        <v>14026.099575929211</v>
      </c>
      <c r="F6" s="102">
        <f>TrRoad_act!F$5</f>
        <v>14851.971531496974</v>
      </c>
      <c r="G6" s="102">
        <f>TrRoad_act!G$5</f>
        <v>15496.692509835066</v>
      </c>
      <c r="H6" s="102">
        <f>TrRoad_act!H$5</f>
        <v>15436.404503999742</v>
      </c>
      <c r="I6" s="102">
        <f>TrRoad_act!I$5</f>
        <v>16090.400815018298</v>
      </c>
      <c r="J6" s="102">
        <f>TrRoad_act!J$5</f>
        <v>16998.608710650489</v>
      </c>
      <c r="K6" s="102">
        <f>TrRoad_act!K$5</f>
        <v>17580.235530982216</v>
      </c>
      <c r="L6" s="102">
        <f>TrRoad_act!L$5</f>
        <v>17449.169706309018</v>
      </c>
      <c r="M6" s="102">
        <f>TrRoad_act!M$5</f>
        <v>17886.424857290902</v>
      </c>
      <c r="N6" s="102">
        <f>TrRoad_act!N$5</f>
        <v>17384.916417033808</v>
      </c>
      <c r="O6" s="102">
        <f>TrRoad_act!O$5</f>
        <v>17525.467499827111</v>
      </c>
      <c r="P6" s="102">
        <f>TrRoad_act!P$5</f>
        <v>18018.966169672316</v>
      </c>
      <c r="Q6" s="102">
        <f>TrRoad_act!Q$5</f>
        <v>18111.786807475954</v>
      </c>
      <c r="R6" s="102">
        <f>TrRoad_act!R$5</f>
        <v>16811.319874071058</v>
      </c>
      <c r="S6" s="102">
        <f>TrRoad_act!S$5</f>
        <v>16041.25969803535</v>
      </c>
      <c r="T6" s="102">
        <f>TrRoad_act!T$5</f>
        <v>15202.088820644627</v>
      </c>
      <c r="U6" s="102">
        <f>TrRoad_act!U$5</f>
        <v>16062.004707493323</v>
      </c>
      <c r="V6" s="102">
        <f>TrRoad_act!V$5</f>
        <v>13793.042725231129</v>
      </c>
      <c r="W6" s="102">
        <f>TrRoad_act!W$5</f>
        <v>14359.597639006963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687735.73412192496</v>
      </c>
      <c r="C7" s="102">
        <f>TrRoad_act!C$6</f>
        <v>712217.25815796701</v>
      </c>
      <c r="D7" s="102">
        <f>TrRoad_act!D$6</f>
        <v>716879.48383462697</v>
      </c>
      <c r="E7" s="102">
        <f>TrRoad_act!E$6</f>
        <v>718296.14938665158</v>
      </c>
      <c r="F7" s="102">
        <f>TrRoad_act!F$6</f>
        <v>714966.23674957885</v>
      </c>
      <c r="G7" s="102">
        <f>TrRoad_act!G$6</f>
        <v>704615.55371355591</v>
      </c>
      <c r="H7" s="102">
        <f>TrRoad_act!H$6</f>
        <v>700914.18436866556</v>
      </c>
      <c r="I7" s="102">
        <f>TrRoad_act!I$6</f>
        <v>705349.74950007361</v>
      </c>
      <c r="J7" s="102">
        <f>TrRoad_act!J$6</f>
        <v>689666.31518929906</v>
      </c>
      <c r="K7" s="102">
        <f>TrRoad_act!K$6</f>
        <v>690130.45232984948</v>
      </c>
      <c r="L7" s="102">
        <f>TrRoad_act!L$6</f>
        <v>695871.29702480964</v>
      </c>
      <c r="M7" s="102">
        <f>TrRoad_act!M$6</f>
        <v>695894.68592518219</v>
      </c>
      <c r="N7" s="102">
        <f>TrRoad_act!N$6</f>
        <v>755371.15520423662</v>
      </c>
      <c r="O7" s="102">
        <f>TrRoad_act!O$6</f>
        <v>761115.80370757997</v>
      </c>
      <c r="P7" s="102">
        <f>TrRoad_act!P$6</f>
        <v>771693.48456206266</v>
      </c>
      <c r="Q7" s="102">
        <f>TrRoad_act!Q$6</f>
        <v>782259.23893758107</v>
      </c>
      <c r="R7" s="102">
        <f>TrRoad_act!R$6</f>
        <v>794721.61187766341</v>
      </c>
      <c r="S7" s="102">
        <f>TrRoad_act!S$6</f>
        <v>802199.32185950945</v>
      </c>
      <c r="T7" s="102">
        <f>TrRoad_act!T$6</f>
        <v>800794.72059845354</v>
      </c>
      <c r="U7" s="102">
        <f>TrRoad_act!U$6</f>
        <v>796815.92675753077</v>
      </c>
      <c r="V7" s="102">
        <f>TrRoad_act!V$6</f>
        <v>629845.70702567685</v>
      </c>
      <c r="W7" s="102">
        <f>TrRoad_act!W$6</f>
        <v>718367.79193435935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49594.495628487588</v>
      </c>
      <c r="C8" s="102">
        <f>TrRoad_act!C$13</f>
        <v>48111.338379685381</v>
      </c>
      <c r="D8" s="102">
        <f>TrRoad_act!D$13</f>
        <v>48648.280997363276</v>
      </c>
      <c r="E8" s="102">
        <f>TrRoad_act!E$13</f>
        <v>49133.556404460418</v>
      </c>
      <c r="F8" s="102">
        <f>TrRoad_act!F$13</f>
        <v>49993.721550019931</v>
      </c>
      <c r="G8" s="102">
        <f>TrRoad_act!G$13</f>
        <v>50104.708929007029</v>
      </c>
      <c r="H8" s="102">
        <f>TrRoad_act!H$13</f>
        <v>52436.79567495019</v>
      </c>
      <c r="I8" s="102">
        <f>TrRoad_act!I$13</f>
        <v>53044.433886484854</v>
      </c>
      <c r="J8" s="102">
        <f>TrRoad_act!J$13</f>
        <v>53525.198463968249</v>
      </c>
      <c r="K8" s="102">
        <f>TrRoad_act!K$13</f>
        <v>53163.203980574865</v>
      </c>
      <c r="L8" s="102">
        <f>TrRoad_act!L$13</f>
        <v>54040.974622693473</v>
      </c>
      <c r="M8" s="102">
        <f>TrRoad_act!M$13</f>
        <v>54582.638113687732</v>
      </c>
      <c r="N8" s="102">
        <f>TrRoad_act!N$13</f>
        <v>54574.681764566754</v>
      </c>
      <c r="O8" s="102">
        <f>TrRoad_act!O$13</f>
        <v>54885.672204647635</v>
      </c>
      <c r="P8" s="102">
        <f>TrRoad_act!P$13</f>
        <v>56224.279767516986</v>
      </c>
      <c r="Q8" s="102">
        <f>TrRoad_act!Q$13</f>
        <v>56970.271271502708</v>
      </c>
      <c r="R8" s="102">
        <f>TrRoad_act!R$13</f>
        <v>58171.870620727917</v>
      </c>
      <c r="S8" s="102">
        <f>TrRoad_act!S$13</f>
        <v>58625.055901415886</v>
      </c>
      <c r="T8" s="102">
        <f>TrRoad_act!T$13</f>
        <v>58711.957384769601</v>
      </c>
      <c r="U8" s="102">
        <f>TrRoad_act!U$13</f>
        <v>58682.091045217174</v>
      </c>
      <c r="V8" s="102">
        <f>TrRoad_act!V$13</f>
        <v>36931.91443984033</v>
      </c>
      <c r="W8" s="102">
        <f>TrRoad_act!W$13</f>
        <v>40209.555100282843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82624.043149006509</v>
      </c>
      <c r="C9" s="110">
        <f t="shared" si="6"/>
        <v>84569.588012126304</v>
      </c>
      <c r="D9" s="110">
        <f t="shared" si="6"/>
        <v>86577.289289302207</v>
      </c>
      <c r="E9" s="110">
        <f t="shared" si="6"/>
        <v>84755.457358289481</v>
      </c>
      <c r="F9" s="110">
        <f t="shared" si="6"/>
        <v>89293.908497515091</v>
      </c>
      <c r="G9" s="110">
        <f t="shared" si="6"/>
        <v>91675.830458217737</v>
      </c>
      <c r="H9" s="110">
        <f t="shared" si="6"/>
        <v>95517.331486878451</v>
      </c>
      <c r="I9" s="110">
        <f t="shared" si="6"/>
        <v>97697.521313198638</v>
      </c>
      <c r="J9" s="110">
        <f t="shared" si="6"/>
        <v>103652.13271264368</v>
      </c>
      <c r="K9" s="110">
        <f t="shared" si="6"/>
        <v>101868.455624775</v>
      </c>
      <c r="L9" s="110">
        <f t="shared" si="6"/>
        <v>102166.83545137725</v>
      </c>
      <c r="M9" s="110">
        <f t="shared" si="6"/>
        <v>105595.59315414328</v>
      </c>
      <c r="N9" s="110">
        <f t="shared" si="6"/>
        <v>106311.37251954872</v>
      </c>
      <c r="O9" s="110">
        <f t="shared" si="6"/>
        <v>105214.78112363728</v>
      </c>
      <c r="P9" s="110">
        <f t="shared" si="6"/>
        <v>104589.29871039712</v>
      </c>
      <c r="Q9" s="110">
        <f t="shared" si="6"/>
        <v>104848.98466171585</v>
      </c>
      <c r="R9" s="110">
        <f t="shared" ref="R9:V9" si="7">R10+R11+R12</f>
        <v>104207.27766897554</v>
      </c>
      <c r="S9" s="110">
        <f t="shared" si="7"/>
        <v>110684.65247471299</v>
      </c>
      <c r="T9" s="110">
        <f t="shared" si="7"/>
        <v>107957.69632526564</v>
      </c>
      <c r="U9" s="110">
        <f t="shared" si="7"/>
        <v>112384.2056669586</v>
      </c>
      <c r="V9" s="110">
        <f t="shared" si="7"/>
        <v>64859.207698934741</v>
      </c>
      <c r="W9" s="110">
        <f t="shared" ref="W9" si="8">W10+W11+W12</f>
        <v>86852.602653838141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7724.0431490065121</v>
      </c>
      <c r="C10" s="102">
        <f>TrRail_act!C$5</f>
        <v>7769.5880121263035</v>
      </c>
      <c r="D10" s="102">
        <f>TrRail_act!D$5</f>
        <v>7977.2892893022072</v>
      </c>
      <c r="E10" s="102">
        <f>TrRail_act!E$5</f>
        <v>8155.4573582894873</v>
      </c>
      <c r="F10" s="102">
        <f>TrRail_act!F$5</f>
        <v>9093.9084975150909</v>
      </c>
      <c r="G10" s="102">
        <f>TrRail_act!G$5</f>
        <v>9375.8304582177316</v>
      </c>
      <c r="H10" s="102">
        <f>TrRail_act!H$5</f>
        <v>9717.3314868784601</v>
      </c>
      <c r="I10" s="102">
        <f>TrRail_act!I$5</f>
        <v>9797.5213131986329</v>
      </c>
      <c r="J10" s="102">
        <f>TrRail_act!J$5</f>
        <v>10452.132712643686</v>
      </c>
      <c r="K10" s="102">
        <f>TrRail_act!K$5</f>
        <v>9568.4556247749915</v>
      </c>
      <c r="L10" s="102">
        <f>TrRail_act!L$5</f>
        <v>9806.3450079108698</v>
      </c>
      <c r="M10" s="102">
        <f>TrRail_act!M$5</f>
        <v>9930.2983452846838</v>
      </c>
      <c r="N10" s="102">
        <f>TrRail_act!N$5</f>
        <v>10465.358973566958</v>
      </c>
      <c r="O10" s="102">
        <f>TrRail_act!O$5</f>
        <v>10089.861136223224</v>
      </c>
      <c r="P10" s="102">
        <f>TrRail_act!P$5</f>
        <v>10204.744205250523</v>
      </c>
      <c r="Q10" s="102">
        <f>TrRail_act!Q$5</f>
        <v>10188.604368561837</v>
      </c>
      <c r="R10" s="102">
        <f>TrRail_act!R$5</f>
        <v>10220.583305155149</v>
      </c>
      <c r="S10" s="102">
        <f>TrRail_act!S$5</f>
        <v>10367.01665471299</v>
      </c>
      <c r="T10" s="102">
        <f>TrRail_act!T$5</f>
        <v>10728.627571265637</v>
      </c>
      <c r="U10" s="102">
        <f>TrRail_act!U$5</f>
        <v>10390.560736958605</v>
      </c>
      <c r="V10" s="102">
        <f>TrRail_act!V$5</f>
        <v>5507.0741569347329</v>
      </c>
      <c r="W10" s="102">
        <f>TrRail_act!W$5</f>
        <v>7335.4600228381432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40153</v>
      </c>
      <c r="C11" s="102">
        <f>TrRail_act!C$6</f>
        <v>39396</v>
      </c>
      <c r="D11" s="102">
        <f>TrRail_act!D$6</f>
        <v>38744</v>
      </c>
      <c r="E11" s="102">
        <f>TrRail_act!E$6</f>
        <v>36996</v>
      </c>
      <c r="F11" s="102">
        <f>TrRail_act!F$6</f>
        <v>38761</v>
      </c>
      <c r="G11" s="102">
        <f>TrRail_act!G$6</f>
        <v>39170</v>
      </c>
      <c r="H11" s="102">
        <f>TrRail_act!H$6</f>
        <v>40947</v>
      </c>
      <c r="I11" s="102">
        <f>TrRail_act!I$6</f>
        <v>39934</v>
      </c>
      <c r="J11" s="102">
        <f>TrRail_act!J$6</f>
        <v>40636</v>
      </c>
      <c r="K11" s="102">
        <f>TrRail_act!K$6</f>
        <v>40436</v>
      </c>
      <c r="L11" s="102">
        <f>TrRail_act!L$6</f>
        <v>40470.306400028378</v>
      </c>
      <c r="M11" s="102">
        <f>TrRail_act!M$6</f>
        <v>44300.294808858598</v>
      </c>
      <c r="N11" s="102">
        <f>TrRail_act!N$6</f>
        <v>44760.013545981754</v>
      </c>
      <c r="O11" s="102">
        <f>TrRail_act!O$6</f>
        <v>44338.919987414061</v>
      </c>
      <c r="P11" s="102">
        <f>TrRail_act!P$6</f>
        <v>43725.554505146603</v>
      </c>
      <c r="Q11" s="102">
        <f>TrRail_act!Q$6</f>
        <v>44680.380293154012</v>
      </c>
      <c r="R11" s="102">
        <f>TrRail_act!R$6</f>
        <v>43447.694363820396</v>
      </c>
      <c r="S11" s="102">
        <f>TrRail_act!S$6</f>
        <v>42037.635819999996</v>
      </c>
      <c r="T11" s="102">
        <f>TrRail_act!T$6</f>
        <v>40421.068754000007</v>
      </c>
      <c r="U11" s="102">
        <f>TrRail_act!U$6</f>
        <v>42042.644929999995</v>
      </c>
      <c r="V11" s="102">
        <f>TrRail_act!V$6</f>
        <v>23548.133542000003</v>
      </c>
      <c r="W11" s="102">
        <f>TrRail_act!W$6</f>
        <v>31817.142630999995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34747</v>
      </c>
      <c r="C12" s="102">
        <f>TrRail_act!C$9</f>
        <v>37404</v>
      </c>
      <c r="D12" s="102">
        <f>TrRail_act!D$9</f>
        <v>39856</v>
      </c>
      <c r="E12" s="102">
        <f>TrRail_act!E$9</f>
        <v>39604</v>
      </c>
      <c r="F12" s="102">
        <f>TrRail_act!F$9</f>
        <v>41439</v>
      </c>
      <c r="G12" s="102">
        <f>TrRail_act!G$9</f>
        <v>43130</v>
      </c>
      <c r="H12" s="102">
        <f>TrRail_act!H$9</f>
        <v>44853</v>
      </c>
      <c r="I12" s="102">
        <f>TrRail_act!I$9</f>
        <v>47966</v>
      </c>
      <c r="J12" s="102">
        <f>TrRail_act!J$9</f>
        <v>52564</v>
      </c>
      <c r="K12" s="102">
        <f>TrRail_act!K$9</f>
        <v>51864</v>
      </c>
      <c r="L12" s="102">
        <f>TrRail_act!L$9</f>
        <v>51890.184043437999</v>
      </c>
      <c r="M12" s="102">
        <f>TrRail_act!M$9</f>
        <v>51365</v>
      </c>
      <c r="N12" s="102">
        <f>TrRail_act!N$9</f>
        <v>51086</v>
      </c>
      <c r="O12" s="102">
        <f>TrRail_act!O$9</f>
        <v>50786</v>
      </c>
      <c r="P12" s="102">
        <f>TrRail_act!P$9</f>
        <v>50659</v>
      </c>
      <c r="Q12" s="102">
        <f>TrRail_act!Q$9</f>
        <v>49980</v>
      </c>
      <c r="R12" s="102">
        <f>TrRail_act!R$9</f>
        <v>50539</v>
      </c>
      <c r="S12" s="102">
        <f>TrRail_act!S$9</f>
        <v>58280</v>
      </c>
      <c r="T12" s="102">
        <f>TrRail_act!T$9</f>
        <v>56808</v>
      </c>
      <c r="U12" s="102">
        <f>TrRail_act!U$9</f>
        <v>59951</v>
      </c>
      <c r="V12" s="102">
        <f>TrRail_act!V$9</f>
        <v>35804</v>
      </c>
      <c r="W12" s="102">
        <f>TrRail_act!W$9</f>
        <v>47700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117992.36096708277</v>
      </c>
      <c r="C13" s="110">
        <f t="shared" ref="C13:V13" si="10">C14+C15+C16</f>
        <v>119576.30506718336</v>
      </c>
      <c r="D13" s="110">
        <f t="shared" si="10"/>
        <v>122740.52384062813</v>
      </c>
      <c r="E13" s="110">
        <f t="shared" si="10"/>
        <v>121211.94794793433</v>
      </c>
      <c r="F13" s="110">
        <f t="shared" si="10"/>
        <v>130972.01038334671</v>
      </c>
      <c r="G13" s="110">
        <f t="shared" si="10"/>
        <v>140363.95654458762</v>
      </c>
      <c r="H13" s="110">
        <f t="shared" si="10"/>
        <v>144949.90910474228</v>
      </c>
      <c r="I13" s="110">
        <f t="shared" si="10"/>
        <v>152194.79815628304</v>
      </c>
      <c r="J13" s="110">
        <f t="shared" si="10"/>
        <v>154215.17525988893</v>
      </c>
      <c r="K13" s="110">
        <f t="shared" si="10"/>
        <v>149824.94945555032</v>
      </c>
      <c r="L13" s="110">
        <f t="shared" si="10"/>
        <v>153461.69463727158</v>
      </c>
      <c r="M13" s="110">
        <f t="shared" si="10"/>
        <v>165504.07530891331</v>
      </c>
      <c r="N13" s="110">
        <f t="shared" si="10"/>
        <v>165336.639377621</v>
      </c>
      <c r="O13" s="110">
        <f t="shared" si="10"/>
        <v>170298.91387951616</v>
      </c>
      <c r="P13" s="110">
        <f t="shared" si="10"/>
        <v>178251.73724755354</v>
      </c>
      <c r="Q13" s="110">
        <f t="shared" si="10"/>
        <v>180371.75711133523</v>
      </c>
      <c r="R13" s="110">
        <f t="shared" si="10"/>
        <v>181736.11359900609</v>
      </c>
      <c r="S13" s="110">
        <f t="shared" si="10"/>
        <v>191858.784697978</v>
      </c>
      <c r="T13" s="110">
        <f t="shared" si="10"/>
        <v>206424.60015647579</v>
      </c>
      <c r="U13" s="110">
        <f t="shared" si="10"/>
        <v>216557.17531537509</v>
      </c>
      <c r="V13" s="110">
        <f t="shared" si="10"/>
        <v>69530.434638354593</v>
      </c>
      <c r="W13" s="110">
        <f t="shared" ref="W13" si="11">W14+W15+W16</f>
        <v>83615.872518064338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20787.74207320877</v>
      </c>
      <c r="C14" s="102">
        <f>TrAvia_act!C$5</f>
        <v>21513.94526882541</v>
      </c>
      <c r="D14" s="102">
        <f>TrAvia_act!D$5</f>
        <v>22615.484213964002</v>
      </c>
      <c r="E14" s="102">
        <f>TrAvia_act!E$5</f>
        <v>21657.32458217999</v>
      </c>
      <c r="F14" s="102">
        <f>TrAvia_act!F$5</f>
        <v>21398.064324103038</v>
      </c>
      <c r="G14" s="102">
        <f>TrAvia_act!G$5</f>
        <v>21387.762558745126</v>
      </c>
      <c r="H14" s="102">
        <f>TrAvia_act!H$5</f>
        <v>21733.998101190686</v>
      </c>
      <c r="I14" s="102">
        <f>TrAvia_act!I$5</f>
        <v>22516.875963797589</v>
      </c>
      <c r="J14" s="102">
        <f>TrAvia_act!J$5</f>
        <v>22171.45771792133</v>
      </c>
      <c r="K14" s="102">
        <f>TrAvia_act!K$5</f>
        <v>22782.440731202754</v>
      </c>
      <c r="L14" s="102">
        <f>TrAvia_act!L$5</f>
        <v>23498.15113405259</v>
      </c>
      <c r="M14" s="102">
        <f>TrAvia_act!M$5</f>
        <v>25170.66472807603</v>
      </c>
      <c r="N14" s="102">
        <f>TrAvia_act!N$5</f>
        <v>24971.179573544196</v>
      </c>
      <c r="O14" s="102">
        <f>TrAvia_act!O$5</f>
        <v>25807.125891834763</v>
      </c>
      <c r="P14" s="102">
        <f>TrAvia_act!P$5</f>
        <v>25928.865397446192</v>
      </c>
      <c r="Q14" s="102">
        <f>TrAvia_act!Q$5</f>
        <v>26249.115138845966</v>
      </c>
      <c r="R14" s="102">
        <f>TrAvia_act!R$5</f>
        <v>27300.51145645446</v>
      </c>
      <c r="S14" s="102">
        <f>TrAvia_act!S$5</f>
        <v>29168.98262054897</v>
      </c>
      <c r="T14" s="102">
        <f>TrAvia_act!T$5</f>
        <v>31211.334694070156</v>
      </c>
      <c r="U14" s="102">
        <f>TrAvia_act!U$5</f>
        <v>32166.957837528422</v>
      </c>
      <c r="V14" s="102">
        <f>TrAvia_act!V$5</f>
        <v>16172.383249630395</v>
      </c>
      <c r="W14" s="102">
        <f>TrAvia_act!W$5</f>
        <v>21803.20846591092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22412.547426268189</v>
      </c>
      <c r="C15" s="102">
        <f>TrAvia_act!C$6</f>
        <v>22684.864806315527</v>
      </c>
      <c r="D15" s="102">
        <f>TrAvia_act!D$6</f>
        <v>23037.288936059078</v>
      </c>
      <c r="E15" s="102">
        <f>TrAvia_act!E$6</f>
        <v>23309.359435993236</v>
      </c>
      <c r="F15" s="102">
        <f>TrAvia_act!F$6</f>
        <v>24490.508744385163</v>
      </c>
      <c r="G15" s="102">
        <f>TrAvia_act!G$6</f>
        <v>25817.854320337363</v>
      </c>
      <c r="H15" s="102">
        <f>TrAvia_act!H$6</f>
        <v>26770.196476341851</v>
      </c>
      <c r="I15" s="102">
        <f>TrAvia_act!I$6</f>
        <v>27938.822402953763</v>
      </c>
      <c r="J15" s="102">
        <f>TrAvia_act!J$6</f>
        <v>27754.389763828971</v>
      </c>
      <c r="K15" s="102">
        <f>TrAvia_act!K$6</f>
        <v>26239.417478177253</v>
      </c>
      <c r="L15" s="102">
        <f>TrAvia_act!L$6</f>
        <v>26327.748319201801</v>
      </c>
      <c r="M15" s="102">
        <f>TrAvia_act!M$6</f>
        <v>29062.032228583364</v>
      </c>
      <c r="N15" s="102">
        <f>TrAvia_act!N$6</f>
        <v>29989.605615055098</v>
      </c>
      <c r="O15" s="102">
        <f>TrAvia_act!O$6</f>
        <v>30263.339533269205</v>
      </c>
      <c r="P15" s="102">
        <f>TrAvia_act!P$6</f>
        <v>32263.07301493554</v>
      </c>
      <c r="Q15" s="102">
        <f>TrAvia_act!Q$6</f>
        <v>33966.742047048872</v>
      </c>
      <c r="R15" s="102">
        <f>TrAvia_act!R$6</f>
        <v>36185.618687748327</v>
      </c>
      <c r="S15" s="102">
        <f>TrAvia_act!S$6</f>
        <v>38430.666627361585</v>
      </c>
      <c r="T15" s="102">
        <f>TrAvia_act!T$6</f>
        <v>40550.15623772885</v>
      </c>
      <c r="U15" s="102">
        <f>TrAvia_act!U$6</f>
        <v>42190.042368684073</v>
      </c>
      <c r="V15" s="102">
        <f>TrAvia_act!V$6</f>
        <v>11962.787103059145</v>
      </c>
      <c r="W15" s="102">
        <f>TrAvia_act!W$6</f>
        <v>17164.661076437907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74792.071467605812</v>
      </c>
      <c r="C16" s="102">
        <f>TrAvia_act!C$7</f>
        <v>75377.494992042426</v>
      </c>
      <c r="D16" s="102">
        <f>TrAvia_act!D$7</f>
        <v>77087.750690605055</v>
      </c>
      <c r="E16" s="102">
        <f>TrAvia_act!E$7</f>
        <v>76245.263929761102</v>
      </c>
      <c r="F16" s="102">
        <f>TrAvia_act!F$7</f>
        <v>85083.437314858515</v>
      </c>
      <c r="G16" s="102">
        <f>TrAvia_act!G$7</f>
        <v>93158.339665505118</v>
      </c>
      <c r="H16" s="102">
        <f>TrAvia_act!H$7</f>
        <v>96445.714527209755</v>
      </c>
      <c r="I16" s="102">
        <f>TrAvia_act!I$7</f>
        <v>101739.09978953168</v>
      </c>
      <c r="J16" s="102">
        <f>TrAvia_act!J$7</f>
        <v>104289.32777813863</v>
      </c>
      <c r="K16" s="102">
        <f>TrAvia_act!K$7</f>
        <v>100803.09124617031</v>
      </c>
      <c r="L16" s="102">
        <f>TrAvia_act!L$7</f>
        <v>103635.79518401717</v>
      </c>
      <c r="M16" s="102">
        <f>TrAvia_act!M$7</f>
        <v>111271.37835225393</v>
      </c>
      <c r="N16" s="102">
        <f>TrAvia_act!N$7</f>
        <v>110375.8541890217</v>
      </c>
      <c r="O16" s="102">
        <f>TrAvia_act!O$7</f>
        <v>114228.44845441218</v>
      </c>
      <c r="P16" s="102">
        <f>TrAvia_act!P$7</f>
        <v>120059.79883517182</v>
      </c>
      <c r="Q16" s="102">
        <f>TrAvia_act!Q$7</f>
        <v>120155.89992544039</v>
      </c>
      <c r="R16" s="102">
        <f>TrAvia_act!R$7</f>
        <v>118249.98345480328</v>
      </c>
      <c r="S16" s="102">
        <f>TrAvia_act!S$7</f>
        <v>124259.13545006744</v>
      </c>
      <c r="T16" s="102">
        <f>TrAvia_act!T$7</f>
        <v>134663.10922467677</v>
      </c>
      <c r="U16" s="102">
        <f>TrAvia_act!U$7</f>
        <v>142200.17510916261</v>
      </c>
      <c r="V16" s="102">
        <f>TrAvia_act!V$7</f>
        <v>41395.264285665049</v>
      </c>
      <c r="W16" s="102">
        <f>TrAvia_act!W$7</f>
        <v>44648.002975715521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354726.33915269136</v>
      </c>
      <c r="C17" s="28">
        <f t="shared" si="12"/>
        <v>354866.73742954893</v>
      </c>
      <c r="D17" s="28">
        <f t="shared" si="12"/>
        <v>361685.08448345208</v>
      </c>
      <c r="E17" s="28">
        <f t="shared" si="12"/>
        <v>358273.93455652572</v>
      </c>
      <c r="F17" s="28">
        <f t="shared" si="12"/>
        <v>380832.90005849168</v>
      </c>
      <c r="G17" s="28">
        <f t="shared" si="12"/>
        <v>379076.2547706046</v>
      </c>
      <c r="H17" s="28">
        <f t="shared" si="12"/>
        <v>397199.01638803264</v>
      </c>
      <c r="I17" s="28">
        <f t="shared" si="12"/>
        <v>401718.47776366887</v>
      </c>
      <c r="J17" s="28">
        <f t="shared" si="12"/>
        <v>390514.48829579836</v>
      </c>
      <c r="K17" s="28">
        <f t="shared" si="12"/>
        <v>337550.97663693887</v>
      </c>
      <c r="L17" s="28">
        <f t="shared" si="12"/>
        <v>350873.86164293851</v>
      </c>
      <c r="M17" s="28">
        <f t="shared" si="12"/>
        <v>355171.2583475617</v>
      </c>
      <c r="N17" s="28">
        <f t="shared" si="12"/>
        <v>337554.50155166758</v>
      </c>
      <c r="O17" s="28">
        <f t="shared" si="12"/>
        <v>335296.26761840668</v>
      </c>
      <c r="P17" s="28">
        <f t="shared" si="12"/>
        <v>338171.32922066626</v>
      </c>
      <c r="Q17" s="28">
        <f t="shared" si="12"/>
        <v>334237.20707103651</v>
      </c>
      <c r="R17" s="28">
        <f t="shared" ref="R17:V17" si="13">R18+R21+R22+R26</f>
        <v>335637.00845205155</v>
      </c>
      <c r="S17" s="28">
        <f t="shared" si="13"/>
        <v>356154.01198215107</v>
      </c>
      <c r="T17" s="28">
        <f t="shared" si="13"/>
        <v>359945.16613845341</v>
      </c>
      <c r="U17" s="28">
        <f t="shared" si="13"/>
        <v>368546.65533831355</v>
      </c>
      <c r="V17" s="28">
        <f t="shared" si="13"/>
        <v>353434.31117948215</v>
      </c>
      <c r="W17" s="28">
        <f t="shared" ref="W17" si="14">W18+W21+W22+W26</f>
        <v>374982.78196693247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262640.9026717408</v>
      </c>
      <c r="C18" s="137">
        <f t="shared" si="15"/>
        <v>274561.0400613409</v>
      </c>
      <c r="D18" s="137">
        <f t="shared" si="15"/>
        <v>281206.37351326749</v>
      </c>
      <c r="E18" s="137">
        <f t="shared" si="15"/>
        <v>283895.56581056106</v>
      </c>
      <c r="F18" s="137">
        <f t="shared" si="15"/>
        <v>307839.39868080238</v>
      </c>
      <c r="G18" s="137">
        <f t="shared" si="15"/>
        <v>310016.02341797471</v>
      </c>
      <c r="H18" s="137">
        <f t="shared" si="15"/>
        <v>319596.45704073092</v>
      </c>
      <c r="I18" s="137">
        <f t="shared" si="15"/>
        <v>331097.98503667762</v>
      </c>
      <c r="J18" s="137">
        <f t="shared" si="15"/>
        <v>316819.42497095326</v>
      </c>
      <c r="K18" s="137">
        <f t="shared" si="15"/>
        <v>277417.64251040353</v>
      </c>
      <c r="L18" s="137">
        <f t="shared" si="15"/>
        <v>291221.54466738406</v>
      </c>
      <c r="M18" s="137">
        <f t="shared" si="15"/>
        <v>289856.61203429382</v>
      </c>
      <c r="N18" s="137">
        <f t="shared" si="15"/>
        <v>275644.982681842</v>
      </c>
      <c r="O18" s="137">
        <f t="shared" si="15"/>
        <v>280584.36760902894</v>
      </c>
      <c r="P18" s="137">
        <f t="shared" si="15"/>
        <v>276955.29859435081</v>
      </c>
      <c r="Q18" s="137">
        <f t="shared" si="15"/>
        <v>268898.94504106854</v>
      </c>
      <c r="R18" s="137">
        <f t="shared" ref="R18:V18" si="16">R19+R20</f>
        <v>276196.06187416054</v>
      </c>
      <c r="S18" s="137">
        <f t="shared" si="16"/>
        <v>295906.19160152017</v>
      </c>
      <c r="T18" s="137">
        <f t="shared" si="16"/>
        <v>299604.70612342312</v>
      </c>
      <c r="U18" s="137">
        <f t="shared" si="16"/>
        <v>307438.58361749124</v>
      </c>
      <c r="V18" s="137">
        <f t="shared" si="16"/>
        <v>296338.75274442811</v>
      </c>
      <c r="W18" s="137">
        <f t="shared" ref="W18" si="17">W19+W20</f>
        <v>313133.91517001711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14881.509754624614</v>
      </c>
      <c r="C19" s="102">
        <f>TrRoad_act!C$20</f>
        <v>15369.892297879058</v>
      </c>
      <c r="D19" s="102">
        <f>TrRoad_act!D$20</f>
        <v>15503.643276433681</v>
      </c>
      <c r="E19" s="102">
        <f>TrRoad_act!E$20</f>
        <v>15494.227669130149</v>
      </c>
      <c r="F19" s="102">
        <f>TrRoad_act!F$20</f>
        <v>15482.582508900925</v>
      </c>
      <c r="G19" s="102">
        <f>TrRoad_act!G$20</f>
        <v>15478.212698087773</v>
      </c>
      <c r="H19" s="102">
        <f>TrRoad_act!H$20</f>
        <v>15665.89017483004</v>
      </c>
      <c r="I19" s="102">
        <f>TrRoad_act!I$20</f>
        <v>15770.769276557654</v>
      </c>
      <c r="J19" s="102">
        <f>TrRoad_act!J$20</f>
        <v>15392.745236711975</v>
      </c>
      <c r="K19" s="102">
        <f>TrRoad_act!K$20</f>
        <v>15669.058620655902</v>
      </c>
      <c r="L19" s="102">
        <f>TrRoad_act!L$20</f>
        <v>16091.541963959473</v>
      </c>
      <c r="M19" s="102">
        <f>TrRoad_act!M$20</f>
        <v>16479.571930058275</v>
      </c>
      <c r="N19" s="102">
        <f>TrRoad_act!N$20</f>
        <v>16587.730248182539</v>
      </c>
      <c r="O19" s="102">
        <f>TrRoad_act!O$20</f>
        <v>16846.150926118091</v>
      </c>
      <c r="P19" s="102">
        <f>TrRoad_act!P$20</f>
        <v>17094.345764104037</v>
      </c>
      <c r="Q19" s="102">
        <f>TrRoad_act!Q$20</f>
        <v>17716.985485531906</v>
      </c>
      <c r="R19" s="102">
        <f>TrRoad_act!R$20</f>
        <v>17632.644408743945</v>
      </c>
      <c r="S19" s="102">
        <f>TrRoad_act!S$20</f>
        <v>18072.36550577337</v>
      </c>
      <c r="T19" s="102">
        <f>TrRoad_act!T$20</f>
        <v>17973.706123423097</v>
      </c>
      <c r="U19" s="102">
        <f>TrRoad_act!U$20</f>
        <v>18109.583617491229</v>
      </c>
      <c r="V19" s="102">
        <f>TrRoad_act!V$20</f>
        <v>16239.752744428113</v>
      </c>
      <c r="W19" s="102">
        <f>TrRoad_act!W$20</f>
        <v>18098.915170017088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247759.39291711617</v>
      </c>
      <c r="C20" s="102">
        <f>TrRoad_act!C$26</f>
        <v>259191.14776346183</v>
      </c>
      <c r="D20" s="102">
        <f>TrRoad_act!D$26</f>
        <v>265702.7302368338</v>
      </c>
      <c r="E20" s="102">
        <f>TrRoad_act!E$26</f>
        <v>268401.33814143093</v>
      </c>
      <c r="F20" s="102">
        <f>TrRoad_act!F$26</f>
        <v>292356.81617190148</v>
      </c>
      <c r="G20" s="102">
        <f>TrRoad_act!G$26</f>
        <v>294537.81071988691</v>
      </c>
      <c r="H20" s="102">
        <f>TrRoad_act!H$26</f>
        <v>303930.56686590088</v>
      </c>
      <c r="I20" s="102">
        <f>TrRoad_act!I$26</f>
        <v>315327.21576011996</v>
      </c>
      <c r="J20" s="102">
        <f>TrRoad_act!J$26</f>
        <v>301426.67973424128</v>
      </c>
      <c r="K20" s="102">
        <f>TrRoad_act!K$26</f>
        <v>261748.58388974765</v>
      </c>
      <c r="L20" s="102">
        <f>TrRoad_act!L$26</f>
        <v>275130.0027034246</v>
      </c>
      <c r="M20" s="102">
        <f>TrRoad_act!M$26</f>
        <v>273377.04010423552</v>
      </c>
      <c r="N20" s="102">
        <f>TrRoad_act!N$26</f>
        <v>259057.25243365948</v>
      </c>
      <c r="O20" s="102">
        <f>TrRoad_act!O$26</f>
        <v>263738.21668291086</v>
      </c>
      <c r="P20" s="102">
        <f>TrRoad_act!P$26</f>
        <v>259860.9528302468</v>
      </c>
      <c r="Q20" s="102">
        <f>TrRoad_act!Q$26</f>
        <v>251181.95955553662</v>
      </c>
      <c r="R20" s="102">
        <f>TrRoad_act!R$26</f>
        <v>258563.4174654166</v>
      </c>
      <c r="S20" s="102">
        <f>TrRoad_act!S$26</f>
        <v>277833.82609574683</v>
      </c>
      <c r="T20" s="102">
        <f>TrRoad_act!T$26</f>
        <v>281631</v>
      </c>
      <c r="U20" s="102">
        <f>TrRoad_act!U$26</f>
        <v>289329</v>
      </c>
      <c r="V20" s="102">
        <f>TrRoad_act!V$26</f>
        <v>280099</v>
      </c>
      <c r="W20" s="102">
        <f>TrRoad_act!W$26</f>
        <v>295035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57725.75464222399</v>
      </c>
      <c r="C21" s="110">
        <f>TrRail_act!C$10</f>
        <v>51718.302252257003</v>
      </c>
      <c r="D21" s="110">
        <f>TrRail_act!D$10</f>
        <v>51288.192553031004</v>
      </c>
      <c r="E21" s="110">
        <f>TrRail_act!E$10</f>
        <v>48057.268754624005</v>
      </c>
      <c r="F21" s="110">
        <f>TrRail_act!F$10</f>
        <v>45121</v>
      </c>
      <c r="G21" s="110">
        <f>TrRail_act!G$10</f>
        <v>40701</v>
      </c>
      <c r="H21" s="110">
        <f>TrRail_act!H$10</f>
        <v>41179</v>
      </c>
      <c r="I21" s="110">
        <f>TrRail_act!I$10</f>
        <v>42612</v>
      </c>
      <c r="J21" s="110">
        <f>TrRail_act!J$10</f>
        <v>40436</v>
      </c>
      <c r="K21" s="110">
        <f>TrRail_act!K$10</f>
        <v>32128.999999999996</v>
      </c>
      <c r="L21" s="110">
        <f>TrRail_act!L$10</f>
        <v>29965</v>
      </c>
      <c r="M21" s="110">
        <f>TrRail_act!M$10</f>
        <v>34202</v>
      </c>
      <c r="N21" s="110">
        <f>TrRail_act!N$10</f>
        <v>32539</v>
      </c>
      <c r="O21" s="110">
        <f>TrRail_act!O$10</f>
        <v>32229.999999999996</v>
      </c>
      <c r="P21" s="110">
        <f>TrRail_act!P$10</f>
        <v>32595.999999999996</v>
      </c>
      <c r="Q21" s="110">
        <f>TrRail_act!Q$10</f>
        <v>36328</v>
      </c>
      <c r="R21" s="110">
        <f>TrRail_act!R$10</f>
        <v>34761</v>
      </c>
      <c r="S21" s="110">
        <f>TrRail_act!S$10</f>
        <v>35655</v>
      </c>
      <c r="T21" s="110">
        <f>TrRail_act!T$10</f>
        <v>34061</v>
      </c>
      <c r="U21" s="110">
        <f>TrRail_act!U$10</f>
        <v>33671</v>
      </c>
      <c r="V21" s="110">
        <f>TrRail_act!V$10</f>
        <v>31559</v>
      </c>
      <c r="W21" s="110">
        <f>TrRail_act!W$10</f>
        <v>35751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5453.1828387265268</v>
      </c>
      <c r="C22" s="110">
        <f t="shared" ref="C22:V22" si="19">C23+C24+C25</f>
        <v>5580.180115950996</v>
      </c>
      <c r="D22" s="110">
        <f t="shared" si="19"/>
        <v>5334.4844171535924</v>
      </c>
      <c r="E22" s="110">
        <f t="shared" si="19"/>
        <v>5105.4109913406364</v>
      </c>
      <c r="F22" s="110">
        <f t="shared" si="19"/>
        <v>5268.7133776892824</v>
      </c>
      <c r="G22" s="110">
        <f t="shared" si="19"/>
        <v>5323.3393526299296</v>
      </c>
      <c r="H22" s="110">
        <f t="shared" si="19"/>
        <v>5288.099347301697</v>
      </c>
      <c r="I22" s="110">
        <f t="shared" si="19"/>
        <v>5545.1727269912171</v>
      </c>
      <c r="J22" s="110">
        <f t="shared" si="19"/>
        <v>5367.6143248450699</v>
      </c>
      <c r="K22" s="110">
        <f t="shared" si="19"/>
        <v>4573.4721265353264</v>
      </c>
      <c r="L22" s="110">
        <f t="shared" si="19"/>
        <v>4845.581975554478</v>
      </c>
      <c r="M22" s="110">
        <f t="shared" si="19"/>
        <v>6019.6943132678871</v>
      </c>
      <c r="N22" s="110">
        <f t="shared" si="19"/>
        <v>5862.6428698255659</v>
      </c>
      <c r="O22" s="110">
        <f t="shared" si="19"/>
        <v>5561.4610093777083</v>
      </c>
      <c r="P22" s="110">
        <f t="shared" si="19"/>
        <v>7941.6736263154125</v>
      </c>
      <c r="Q22" s="110">
        <f t="shared" si="19"/>
        <v>7772.9910299679359</v>
      </c>
      <c r="R22" s="110">
        <f t="shared" si="19"/>
        <v>7218.9685778909979</v>
      </c>
      <c r="S22" s="110">
        <f t="shared" si="19"/>
        <v>7173.1983806309454</v>
      </c>
      <c r="T22" s="110">
        <f t="shared" si="19"/>
        <v>7232.6400150302625</v>
      </c>
      <c r="U22" s="110">
        <f t="shared" si="19"/>
        <v>6994.5727208223216</v>
      </c>
      <c r="V22" s="110">
        <f t="shared" si="19"/>
        <v>5448.5194350540205</v>
      </c>
      <c r="W22" s="110">
        <f t="shared" ref="W22" si="20">W23+W24+W25</f>
        <v>5492.7757969153699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177.13653954431908</v>
      </c>
      <c r="C23" s="102">
        <f>TrAvia_act!C$9</f>
        <v>204.87606230433727</v>
      </c>
      <c r="D23" s="102">
        <f>TrAvia_act!D$9</f>
        <v>184.94115543087554</v>
      </c>
      <c r="E23" s="102">
        <f>TrAvia_act!E$9</f>
        <v>165.73911140841673</v>
      </c>
      <c r="F23" s="102">
        <f>TrAvia_act!F$9</f>
        <v>156.85025718121389</v>
      </c>
      <c r="G23" s="102">
        <f>TrAvia_act!G$9</f>
        <v>150.97201258546872</v>
      </c>
      <c r="H23" s="102">
        <f>TrAvia_act!H$9</f>
        <v>133.21169701744108</v>
      </c>
      <c r="I23" s="102">
        <f>TrAvia_act!I$9</f>
        <v>118.3505509503557</v>
      </c>
      <c r="J23" s="102">
        <f>TrAvia_act!J$9</f>
        <v>95.731951298106878</v>
      </c>
      <c r="K23" s="102">
        <f>TrAvia_act!K$9</f>
        <v>96.370836474369014</v>
      </c>
      <c r="L23" s="102">
        <f>TrAvia_act!L$9</f>
        <v>74.095405183458325</v>
      </c>
      <c r="M23" s="102">
        <f>TrAvia_act!M$9</f>
        <v>83.604513894785015</v>
      </c>
      <c r="N23" s="102">
        <f>TrAvia_act!N$9</f>
        <v>84.169374410508411</v>
      </c>
      <c r="O23" s="102">
        <f>TrAvia_act!O$9</f>
        <v>81.197547304997627</v>
      </c>
      <c r="P23" s="102">
        <f>TrAvia_act!P$9</f>
        <v>109.58919417779521</v>
      </c>
      <c r="Q23" s="102">
        <f>TrAvia_act!Q$9</f>
        <v>107.7455056093426</v>
      </c>
      <c r="R23" s="102">
        <f>TrAvia_act!R$9</f>
        <v>106.87807958363454</v>
      </c>
      <c r="S23" s="102">
        <f>TrAvia_act!S$9</f>
        <v>104.44852641132901</v>
      </c>
      <c r="T23" s="102">
        <f>TrAvia_act!T$9</f>
        <v>106.49087119824216</v>
      </c>
      <c r="U23" s="102">
        <f>TrAvia_act!U$9</f>
        <v>115.74569626301056</v>
      </c>
      <c r="V23" s="102">
        <f>TrAvia_act!V$9</f>
        <v>104.73356964792873</v>
      </c>
      <c r="W23" s="102">
        <f>TrAvia_act!W$9</f>
        <v>123.33905014750164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137.54398906493108</v>
      </c>
      <c r="C24" s="102">
        <f>TrAvia_act!C$10</f>
        <v>163.64207802210339</v>
      </c>
      <c r="D24" s="102">
        <f>TrAvia_act!D$10</f>
        <v>138.59549873532248</v>
      </c>
      <c r="E24" s="102">
        <f>TrAvia_act!E$10</f>
        <v>137.15751766348686</v>
      </c>
      <c r="F24" s="102">
        <f>TrAvia_act!F$10</f>
        <v>136.32600701368131</v>
      </c>
      <c r="G24" s="102">
        <f>TrAvia_act!G$10</f>
        <v>127.37211563239782</v>
      </c>
      <c r="H24" s="102">
        <f>TrAvia_act!H$10</f>
        <v>139.63798484709076</v>
      </c>
      <c r="I24" s="102">
        <f>TrAvia_act!I$10</f>
        <v>164.42316463064623</v>
      </c>
      <c r="J24" s="102">
        <f>TrAvia_act!J$10</f>
        <v>161.81854448662463</v>
      </c>
      <c r="K24" s="102">
        <f>TrAvia_act!K$10</f>
        <v>150.88653221838533</v>
      </c>
      <c r="L24" s="102">
        <f>TrAvia_act!L$10</f>
        <v>154.36232014542799</v>
      </c>
      <c r="M24" s="102">
        <f>TrAvia_act!M$10</f>
        <v>199.03305944454272</v>
      </c>
      <c r="N24" s="102">
        <f>TrAvia_act!N$10</f>
        <v>210.2286698998133</v>
      </c>
      <c r="O24" s="102">
        <f>TrAvia_act!O$10</f>
        <v>219.93758653925863</v>
      </c>
      <c r="P24" s="102">
        <f>TrAvia_act!P$10</f>
        <v>314.55232574537553</v>
      </c>
      <c r="Q24" s="102">
        <f>TrAvia_act!Q$10</f>
        <v>308.31783517382314</v>
      </c>
      <c r="R24" s="102">
        <f>TrAvia_act!R$10</f>
        <v>299.01493048632796</v>
      </c>
      <c r="S24" s="102">
        <f>TrAvia_act!S$10</f>
        <v>287.5897505760455</v>
      </c>
      <c r="T24" s="102">
        <f>TrAvia_act!T$10</f>
        <v>252.06974292344199</v>
      </c>
      <c r="U24" s="102">
        <f>TrAvia_act!U$10</f>
        <v>269.50916550573908</v>
      </c>
      <c r="V24" s="102">
        <f>TrAvia_act!V$10</f>
        <v>243.38330994023033</v>
      </c>
      <c r="W24" s="102">
        <f>TrAvia_act!W$10</f>
        <v>279.34902483841392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5138.5023101172765</v>
      </c>
      <c r="C25" s="102">
        <f>TrAvia_act!C$11</f>
        <v>5211.6619756245555</v>
      </c>
      <c r="D25" s="102">
        <f>TrAvia_act!D$11</f>
        <v>5010.9477629873945</v>
      </c>
      <c r="E25" s="102">
        <f>TrAvia_act!E$11</f>
        <v>4802.5143622687328</v>
      </c>
      <c r="F25" s="102">
        <f>TrAvia_act!F$11</f>
        <v>4975.5371134943871</v>
      </c>
      <c r="G25" s="102">
        <f>TrAvia_act!G$11</f>
        <v>5044.9952244120632</v>
      </c>
      <c r="H25" s="102">
        <f>TrAvia_act!H$11</f>
        <v>5015.2496654371653</v>
      </c>
      <c r="I25" s="102">
        <f>TrAvia_act!I$11</f>
        <v>5262.3990114102153</v>
      </c>
      <c r="J25" s="102">
        <f>TrAvia_act!J$11</f>
        <v>5110.0638290603383</v>
      </c>
      <c r="K25" s="102">
        <f>TrAvia_act!K$11</f>
        <v>4326.214757842572</v>
      </c>
      <c r="L25" s="102">
        <f>TrAvia_act!L$11</f>
        <v>4617.1242502255918</v>
      </c>
      <c r="M25" s="102">
        <f>TrAvia_act!M$11</f>
        <v>5737.0567399285592</v>
      </c>
      <c r="N25" s="102">
        <f>TrAvia_act!N$11</f>
        <v>5568.244825515244</v>
      </c>
      <c r="O25" s="102">
        <f>TrAvia_act!O$11</f>
        <v>5260.3258755334518</v>
      </c>
      <c r="P25" s="102">
        <f>TrAvia_act!P$11</f>
        <v>7517.532106392242</v>
      </c>
      <c r="Q25" s="102">
        <f>TrAvia_act!Q$11</f>
        <v>7356.9276891847703</v>
      </c>
      <c r="R25" s="102">
        <f>TrAvia_act!R$11</f>
        <v>6813.0755678210353</v>
      </c>
      <c r="S25" s="102">
        <f>TrAvia_act!S$11</f>
        <v>6781.1601036435704</v>
      </c>
      <c r="T25" s="102">
        <f>TrAvia_act!T$11</f>
        <v>6874.0794009085785</v>
      </c>
      <c r="U25" s="102">
        <f>TrAvia_act!U$11</f>
        <v>6609.3178590535717</v>
      </c>
      <c r="V25" s="102">
        <f>TrAvia_act!V$11</f>
        <v>5100.402555465861</v>
      </c>
      <c r="W25" s="102">
        <f>TrAvia_act!W$11</f>
        <v>5090.0877219294543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28906.499</v>
      </c>
      <c r="C26" s="110">
        <f t="shared" si="21"/>
        <v>23007.215</v>
      </c>
      <c r="D26" s="110">
        <f t="shared" si="21"/>
        <v>23856.034</v>
      </c>
      <c r="E26" s="110">
        <f t="shared" si="21"/>
        <v>21215.688999999998</v>
      </c>
      <c r="F26" s="110">
        <f t="shared" si="21"/>
        <v>22603.788</v>
      </c>
      <c r="G26" s="110">
        <f t="shared" si="21"/>
        <v>23035.892</v>
      </c>
      <c r="H26" s="110">
        <f t="shared" si="21"/>
        <v>31135.46</v>
      </c>
      <c r="I26" s="110">
        <f t="shared" si="21"/>
        <v>22463.32</v>
      </c>
      <c r="J26" s="110">
        <f t="shared" si="21"/>
        <v>27891.449000000001</v>
      </c>
      <c r="K26" s="110">
        <f t="shared" si="21"/>
        <v>23430.862000000001</v>
      </c>
      <c r="L26" s="110">
        <f t="shared" si="21"/>
        <v>24841.735000000001</v>
      </c>
      <c r="M26" s="110">
        <f t="shared" si="21"/>
        <v>25092.951999999997</v>
      </c>
      <c r="N26" s="110">
        <f t="shared" si="21"/>
        <v>23507.876</v>
      </c>
      <c r="O26" s="110">
        <f t="shared" si="21"/>
        <v>16920.438999999998</v>
      </c>
      <c r="P26" s="110">
        <f t="shared" si="21"/>
        <v>20678.357</v>
      </c>
      <c r="Q26" s="110">
        <f t="shared" si="21"/>
        <v>21237.271000000001</v>
      </c>
      <c r="R26" s="110">
        <f t="shared" ref="R26:V26" si="22">R27+R28</f>
        <v>17460.977999999999</v>
      </c>
      <c r="S26" s="110">
        <f t="shared" si="22"/>
        <v>17419.621999999999</v>
      </c>
      <c r="T26" s="110">
        <f t="shared" si="22"/>
        <v>19046.82</v>
      </c>
      <c r="U26" s="110">
        <f t="shared" si="22"/>
        <v>20442.499</v>
      </c>
      <c r="V26" s="110">
        <f t="shared" si="22"/>
        <v>20088.039000000001</v>
      </c>
      <c r="W26" s="110">
        <f t="shared" ref="W26" si="23">W27+W28</f>
        <v>20605.091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19796.499</v>
      </c>
      <c r="C27" s="102">
        <f>TrNavi_act!C4</f>
        <v>14713.215</v>
      </c>
      <c r="D27" s="102">
        <f>TrNavi_act!D4</f>
        <v>15587.034</v>
      </c>
      <c r="E27" s="102">
        <f>TrNavi_act!E4</f>
        <v>13191.689</v>
      </c>
      <c r="F27" s="102">
        <f>TrNavi_act!F4</f>
        <v>14187.788</v>
      </c>
      <c r="G27" s="102">
        <f>TrNavi_act!G4</f>
        <v>14130.892</v>
      </c>
      <c r="H27" s="102">
        <f>TrNavi_act!H4</f>
        <v>22130.46</v>
      </c>
      <c r="I27" s="102">
        <f>TrNavi_act!I4</f>
        <v>13255.32</v>
      </c>
      <c r="J27" s="102">
        <f>TrNavi_act!J4</f>
        <v>18981.449000000001</v>
      </c>
      <c r="K27" s="102">
        <f>TrNavi_act!K4</f>
        <v>14719.861999999999</v>
      </c>
      <c r="L27" s="102">
        <f>TrNavi_act!L4</f>
        <v>15367.735000000001</v>
      </c>
      <c r="M27" s="102">
        <f>TrNavi_act!M4</f>
        <v>16057.951999999999</v>
      </c>
      <c r="N27" s="102">
        <f>TrNavi_act!N4</f>
        <v>14591.876</v>
      </c>
      <c r="O27" s="102">
        <f>TrNavi_act!O4</f>
        <v>7707.4390000000003</v>
      </c>
      <c r="P27" s="102">
        <f>TrNavi_act!P4</f>
        <v>11875.357</v>
      </c>
      <c r="Q27" s="102">
        <f>TrNavi_act!Q4</f>
        <v>12721.271000000001</v>
      </c>
      <c r="R27" s="102">
        <f>TrNavi_act!R4</f>
        <v>9153.9779999999992</v>
      </c>
      <c r="S27" s="102">
        <f>TrNavi_act!S4</f>
        <v>9906.6219999999994</v>
      </c>
      <c r="T27" s="102">
        <f>TrNavi_act!T4</f>
        <v>11782.82</v>
      </c>
      <c r="U27" s="102">
        <f>TrNavi_act!U4</f>
        <v>12428.499</v>
      </c>
      <c r="V27" s="102">
        <f>TrNavi_act!V4</f>
        <v>13100.039000000001</v>
      </c>
      <c r="W27" s="102">
        <f>TrNavi_act!W4</f>
        <v>13399.091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9110</v>
      </c>
      <c r="C28" s="169">
        <f>TrNavi_act!C5</f>
        <v>8294</v>
      </c>
      <c r="D28" s="169">
        <f>TrNavi_act!D5</f>
        <v>8269</v>
      </c>
      <c r="E28" s="169">
        <f>TrNavi_act!E5</f>
        <v>8023.9999999999991</v>
      </c>
      <c r="F28" s="169">
        <f>TrNavi_act!F5</f>
        <v>8416</v>
      </c>
      <c r="G28" s="169">
        <f>TrNavi_act!G5</f>
        <v>8905</v>
      </c>
      <c r="H28" s="169">
        <f>TrNavi_act!H5</f>
        <v>9005</v>
      </c>
      <c r="I28" s="169">
        <f>TrNavi_act!I5</f>
        <v>9208</v>
      </c>
      <c r="J28" s="169">
        <f>TrNavi_act!J5</f>
        <v>8910</v>
      </c>
      <c r="K28" s="169">
        <f>TrNavi_act!K5</f>
        <v>8711</v>
      </c>
      <c r="L28" s="169">
        <f>TrNavi_act!L5</f>
        <v>9474</v>
      </c>
      <c r="M28" s="169">
        <f>TrNavi_act!M5</f>
        <v>9035</v>
      </c>
      <c r="N28" s="169">
        <f>TrNavi_act!N5</f>
        <v>8916</v>
      </c>
      <c r="O28" s="169">
        <f>TrNavi_act!O5</f>
        <v>9213</v>
      </c>
      <c r="P28" s="169">
        <f>TrNavi_act!P5</f>
        <v>8803</v>
      </c>
      <c r="Q28" s="169">
        <f>TrNavi_act!Q5</f>
        <v>8516</v>
      </c>
      <c r="R28" s="169">
        <f>TrNavi_act!R5</f>
        <v>8307</v>
      </c>
      <c r="S28" s="169">
        <f>TrNavi_act!S5</f>
        <v>7513</v>
      </c>
      <c r="T28" s="169">
        <f>TrNavi_act!T5</f>
        <v>7264</v>
      </c>
      <c r="U28" s="169">
        <f>TrNavi_act!U5</f>
        <v>8013.9999999999991</v>
      </c>
      <c r="V28" s="169">
        <f>TrNavi_act!V5</f>
        <v>6988</v>
      </c>
      <c r="W28" s="169">
        <f>TrNavi_act!W5</f>
        <v>7206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629698.70243099995</v>
      </c>
      <c r="C29" s="28">
        <f t="shared" si="24"/>
        <v>609438.75625800004</v>
      </c>
      <c r="D29" s="28">
        <f t="shared" si="24"/>
        <v>625057.79376200004</v>
      </c>
      <c r="E29" s="28">
        <f t="shared" si="24"/>
        <v>631193.97719400004</v>
      </c>
      <c r="F29" s="28">
        <f t="shared" si="24"/>
        <v>642336.31101399998</v>
      </c>
      <c r="G29" s="28">
        <f t="shared" si="24"/>
        <v>653949.800132</v>
      </c>
      <c r="H29" s="28">
        <f t="shared" si="24"/>
        <v>673747.92134100001</v>
      </c>
      <c r="I29" s="28">
        <f t="shared" si="24"/>
        <v>486434.79080299998</v>
      </c>
      <c r="J29" s="28">
        <f t="shared" si="24"/>
        <v>608205.83284200006</v>
      </c>
      <c r="K29" s="28">
        <f t="shared" si="24"/>
        <v>541179.23916399991</v>
      </c>
      <c r="L29" s="28">
        <f t="shared" si="24"/>
        <v>575404.20490899996</v>
      </c>
      <c r="M29" s="28">
        <f t="shared" si="24"/>
        <v>573422.37101400003</v>
      </c>
      <c r="N29" s="28">
        <f t="shared" si="24"/>
        <v>541728.47733699996</v>
      </c>
      <c r="O29" s="28">
        <f t="shared" si="24"/>
        <v>430022.32993399998</v>
      </c>
      <c r="P29" s="28">
        <f t="shared" si="24"/>
        <v>581281.82818900002</v>
      </c>
      <c r="Q29" s="28">
        <f t="shared" si="24"/>
        <v>597055.85438099992</v>
      </c>
      <c r="R29" s="28">
        <f t="shared" si="24"/>
        <v>558855.90617199999</v>
      </c>
      <c r="S29" s="28">
        <f t="shared" si="24"/>
        <v>592972.70444</v>
      </c>
      <c r="T29" s="28">
        <f t="shared" si="24"/>
        <v>594824.61602000007</v>
      </c>
      <c r="U29" s="28">
        <f t="shared" si="24"/>
        <v>588199.89844099991</v>
      </c>
      <c r="V29" s="28">
        <f t="shared" si="24"/>
        <v>526836.56647900003</v>
      </c>
      <c r="W29" s="28">
        <f t="shared" si="24"/>
        <v>555559.78616799996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76433.554713000005</v>
      </c>
      <c r="C30" s="102">
        <f>MBunk_act!C$4</f>
        <v>74473.830054999999</v>
      </c>
      <c r="D30" s="102">
        <f>MBunk_act!D$4</f>
        <v>69701.475741999995</v>
      </c>
      <c r="E30" s="102">
        <f>MBunk_act!E$4</f>
        <v>68548.883612000005</v>
      </c>
      <c r="F30" s="102">
        <f>MBunk_act!F$4</f>
        <v>72426.036634000004</v>
      </c>
      <c r="G30" s="102">
        <f>MBunk_act!G$4</f>
        <v>68388.029804000005</v>
      </c>
      <c r="H30" s="102">
        <f>MBunk_act!H$4</f>
        <v>61751.805134000002</v>
      </c>
      <c r="I30" s="102">
        <f>MBunk_act!I$4</f>
        <v>45711.712378999997</v>
      </c>
      <c r="J30" s="102">
        <f>MBunk_act!J$4</f>
        <v>54243.635997000005</v>
      </c>
      <c r="K30" s="102">
        <f>MBunk_act!K$4</f>
        <v>53625.922923999999</v>
      </c>
      <c r="L30" s="102">
        <f>MBunk_act!L$4</f>
        <v>56774.022475999998</v>
      </c>
      <c r="M30" s="102">
        <f>MBunk_act!M$4</f>
        <v>54183.993490000001</v>
      </c>
      <c r="N30" s="102">
        <f>MBunk_act!N$4</f>
        <v>51150.622532000001</v>
      </c>
      <c r="O30" s="102">
        <f>MBunk_act!O$4</f>
        <v>37014.200434999999</v>
      </c>
      <c r="P30" s="102">
        <f>MBunk_act!P$4</f>
        <v>51010.787750000003</v>
      </c>
      <c r="Q30" s="102">
        <f>MBunk_act!Q$4</f>
        <v>48144.991838999995</v>
      </c>
      <c r="R30" s="102">
        <f>MBunk_act!R$4</f>
        <v>52582.098525000001</v>
      </c>
      <c r="S30" s="102">
        <f>MBunk_act!S$4</f>
        <v>54276.182980999998</v>
      </c>
      <c r="T30" s="102">
        <f>MBunk_act!T$4</f>
        <v>54280.397060999996</v>
      </c>
      <c r="U30" s="102">
        <f>MBunk_act!U$4</f>
        <v>51280.858855999999</v>
      </c>
      <c r="V30" s="102">
        <f>MBunk_act!V$4</f>
        <v>48762.307793</v>
      </c>
      <c r="W30" s="102">
        <f>MBunk_act!W$4</f>
        <v>46408.142847000003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553265.14771799999</v>
      </c>
      <c r="C31" s="86">
        <f>MBunk_act!C$5</f>
        <v>534964.92620300001</v>
      </c>
      <c r="D31" s="86">
        <f>MBunk_act!D$5</f>
        <v>555356.31802000001</v>
      </c>
      <c r="E31" s="86">
        <f>MBunk_act!E$5</f>
        <v>562645.093582</v>
      </c>
      <c r="F31" s="86">
        <f>MBunk_act!F$5</f>
        <v>569910.27437999996</v>
      </c>
      <c r="G31" s="86">
        <f>MBunk_act!G$5</f>
        <v>585561.77032799996</v>
      </c>
      <c r="H31" s="86">
        <f>MBunk_act!H$5</f>
        <v>611996.11620699998</v>
      </c>
      <c r="I31" s="86">
        <f>MBunk_act!I$5</f>
        <v>440723.07842400001</v>
      </c>
      <c r="J31" s="86">
        <f>MBunk_act!J$5</f>
        <v>553962.19684500003</v>
      </c>
      <c r="K31" s="86">
        <f>MBunk_act!K$5</f>
        <v>487553.31623999996</v>
      </c>
      <c r="L31" s="86">
        <f>MBunk_act!L$5</f>
        <v>518630.18243300001</v>
      </c>
      <c r="M31" s="86">
        <f>MBunk_act!M$5</f>
        <v>519238.37752400001</v>
      </c>
      <c r="N31" s="86">
        <f>MBunk_act!N$5</f>
        <v>490577.85480500001</v>
      </c>
      <c r="O31" s="86">
        <f>MBunk_act!O$5</f>
        <v>393008.12949899997</v>
      </c>
      <c r="P31" s="86">
        <f>MBunk_act!P$5</f>
        <v>530271.040439</v>
      </c>
      <c r="Q31" s="86">
        <f>MBunk_act!Q$5</f>
        <v>548910.8625419999</v>
      </c>
      <c r="R31" s="86">
        <f>MBunk_act!R$5</f>
        <v>506273.80764700001</v>
      </c>
      <c r="S31" s="86">
        <f>MBunk_act!S$5</f>
        <v>538696.52145899995</v>
      </c>
      <c r="T31" s="86">
        <f>MBunk_act!T$5</f>
        <v>540544.21895900008</v>
      </c>
      <c r="U31" s="86">
        <f>MBunk_act!U$5</f>
        <v>536919.0395849999</v>
      </c>
      <c r="V31" s="86">
        <f>MBunk_act!V$5</f>
        <v>478074.25868600002</v>
      </c>
      <c r="W31" s="86">
        <f>MBunk_act!W$5</f>
        <v>509151.64332099998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33910.372876242844</v>
      </c>
      <c r="C34" s="28">
        <f t="shared" si="25"/>
        <v>34366.286786166645</v>
      </c>
      <c r="D34" s="28">
        <f t="shared" si="25"/>
        <v>34441.29598753147</v>
      </c>
      <c r="E34" s="28">
        <f t="shared" si="25"/>
        <v>33714.819421704757</v>
      </c>
      <c r="F34" s="28">
        <f t="shared" si="25"/>
        <v>33666.939524193447</v>
      </c>
      <c r="G34" s="28">
        <f t="shared" si="25"/>
        <v>33365.70447170137</v>
      </c>
      <c r="H34" s="28">
        <f t="shared" si="25"/>
        <v>33782.70620354882</v>
      </c>
      <c r="I34" s="28">
        <f t="shared" si="25"/>
        <v>34270.480115733139</v>
      </c>
      <c r="J34" s="28">
        <f t="shared" si="25"/>
        <v>33919.885805072081</v>
      </c>
      <c r="K34" s="28">
        <f t="shared" si="25"/>
        <v>34015.05832108247</v>
      </c>
      <c r="L34" s="28">
        <f t="shared" si="25"/>
        <v>33692.34064025226</v>
      </c>
      <c r="M34" s="28">
        <f t="shared" si="25"/>
        <v>34942.461741526058</v>
      </c>
      <c r="N34" s="28">
        <f t="shared" si="25"/>
        <v>35096.305738824158</v>
      </c>
      <c r="O34" s="28">
        <f t="shared" si="25"/>
        <v>34669.256830362894</v>
      </c>
      <c r="P34" s="28">
        <f t="shared" si="25"/>
        <v>34999.325098906156</v>
      </c>
      <c r="Q34" s="28">
        <f t="shared" si="25"/>
        <v>35749.640534213373</v>
      </c>
      <c r="R34" s="28">
        <f t="shared" ref="R34:V34" si="26">R35+R39+R43</f>
        <v>35771.215164069312</v>
      </c>
      <c r="S34" s="28">
        <f t="shared" si="26"/>
        <v>35859.82719082589</v>
      </c>
      <c r="T34" s="28">
        <f t="shared" si="26"/>
        <v>35459.465041505209</v>
      </c>
      <c r="U34" s="28">
        <f t="shared" si="26"/>
        <v>35743.35976315169</v>
      </c>
      <c r="V34" s="28">
        <f t="shared" si="26"/>
        <v>26389.404637158052</v>
      </c>
      <c r="W34" s="28">
        <f t="shared" ref="W34" si="27">W35+W39+W43</f>
        <v>29756.928443181154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27226.437648987972</v>
      </c>
      <c r="C35" s="137">
        <f t="shared" si="28"/>
        <v>27802.470172256824</v>
      </c>
      <c r="D35" s="137">
        <f t="shared" si="28"/>
        <v>27900.12514338809</v>
      </c>
      <c r="E35" s="137">
        <f t="shared" si="28"/>
        <v>27398.629894510523</v>
      </c>
      <c r="F35" s="137">
        <f t="shared" si="28"/>
        <v>27038.434688939513</v>
      </c>
      <c r="G35" s="137">
        <f t="shared" si="28"/>
        <v>26679.132267066139</v>
      </c>
      <c r="H35" s="137">
        <f t="shared" si="28"/>
        <v>26841.562918797481</v>
      </c>
      <c r="I35" s="137">
        <f t="shared" si="28"/>
        <v>27139.136996165005</v>
      </c>
      <c r="J35" s="137">
        <f t="shared" si="28"/>
        <v>26704.09571868409</v>
      </c>
      <c r="K35" s="137">
        <f t="shared" si="28"/>
        <v>27269.809724438208</v>
      </c>
      <c r="L35" s="137">
        <f t="shared" si="28"/>
        <v>26938.927549817054</v>
      </c>
      <c r="M35" s="137">
        <f t="shared" si="28"/>
        <v>27478.294907321426</v>
      </c>
      <c r="N35" s="137">
        <f t="shared" si="28"/>
        <v>27776.857218146171</v>
      </c>
      <c r="O35" s="137">
        <f t="shared" si="28"/>
        <v>27404.27515871248</v>
      </c>
      <c r="P35" s="137">
        <f t="shared" si="28"/>
        <v>27852.749429330263</v>
      </c>
      <c r="Q35" s="137">
        <f t="shared" si="28"/>
        <v>28304.695010721513</v>
      </c>
      <c r="R35" s="137">
        <f t="shared" ref="R35:V35" si="29">R36+R37+R38</f>
        <v>28322.956436158493</v>
      </c>
      <c r="S35" s="137">
        <f t="shared" si="29"/>
        <v>28290.737276040178</v>
      </c>
      <c r="T35" s="137">
        <f t="shared" si="29"/>
        <v>27650.719899319181</v>
      </c>
      <c r="U35" s="137">
        <f t="shared" si="29"/>
        <v>27587.823801639686</v>
      </c>
      <c r="V35" s="137">
        <f t="shared" si="29"/>
        <v>22646.693765954471</v>
      </c>
      <c r="W35" s="137">
        <f t="shared" ref="W35" si="30">W36+W37+W38</f>
        <v>25640.362768509178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358.97725679812822</v>
      </c>
      <c r="C36" s="102">
        <f>TrRoad_ene!C$19</f>
        <v>392.00871788119127</v>
      </c>
      <c r="D36" s="102">
        <f>TrRoad_ene!D$19</f>
        <v>434.14121124401288</v>
      </c>
      <c r="E36" s="102">
        <f>TrRoad_ene!E$19</f>
        <v>433.02885472353006</v>
      </c>
      <c r="F36" s="102">
        <f>TrRoad_ene!F$19</f>
        <v>459.6303710097103</v>
      </c>
      <c r="G36" s="102">
        <f>TrRoad_ene!G$19</f>
        <v>469.4507527335179</v>
      </c>
      <c r="H36" s="102">
        <f>TrRoad_ene!H$19</f>
        <v>468.39895879834773</v>
      </c>
      <c r="I36" s="102">
        <f>TrRoad_ene!I$19</f>
        <v>484.47412747292486</v>
      </c>
      <c r="J36" s="102">
        <f>TrRoad_ene!J$19</f>
        <v>510.08420474635346</v>
      </c>
      <c r="K36" s="102">
        <f>TrRoad_ene!K$19</f>
        <v>526.26213745468272</v>
      </c>
      <c r="L36" s="102">
        <f>TrRoad_ene!L$19</f>
        <v>522.92111077271841</v>
      </c>
      <c r="M36" s="102">
        <f>TrRoad_ene!M$19</f>
        <v>519.17559005590567</v>
      </c>
      <c r="N36" s="102">
        <f>TrRoad_ene!N$19</f>
        <v>519.92957494592974</v>
      </c>
      <c r="O36" s="102">
        <f>TrRoad_ene!O$19</f>
        <v>525.48627605471677</v>
      </c>
      <c r="P36" s="102">
        <f>TrRoad_ene!P$19</f>
        <v>538.15950946264149</v>
      </c>
      <c r="Q36" s="102">
        <f>TrRoad_ene!Q$19</f>
        <v>540.42215888382566</v>
      </c>
      <c r="R36" s="102">
        <f>TrRoad_ene!R$19</f>
        <v>500.11350172710848</v>
      </c>
      <c r="S36" s="102">
        <f>TrRoad_ene!S$19</f>
        <v>474.54440466607184</v>
      </c>
      <c r="T36" s="102">
        <f>TrRoad_ene!T$19</f>
        <v>471.37726522245015</v>
      </c>
      <c r="U36" s="102">
        <f>TrRoad_ene!U$19</f>
        <v>473.26405758631728</v>
      </c>
      <c r="V36" s="102">
        <f>TrRoad_ene!V$19</f>
        <v>406.18760936953964</v>
      </c>
      <c r="W36" s="102">
        <f>TrRoad_ene!W$19</f>
        <v>407.23669805681482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25177.194907731839</v>
      </c>
      <c r="C37" s="102">
        <f>TrRoad_ene!C$21</f>
        <v>25756.380237928508</v>
      </c>
      <c r="D37" s="102">
        <f>TrRoad_ene!D$21</f>
        <v>25811.906511903657</v>
      </c>
      <c r="E37" s="102">
        <f>TrRoad_ene!E$21</f>
        <v>25304.326929140854</v>
      </c>
      <c r="F37" s="102">
        <f>TrRoad_ene!F$21</f>
        <v>24896.738211816646</v>
      </c>
      <c r="G37" s="102">
        <f>TrRoad_ene!G$21</f>
        <v>24525.258068833344</v>
      </c>
      <c r="H37" s="102">
        <f>TrRoad_ene!H$21</f>
        <v>24617.770799246326</v>
      </c>
      <c r="I37" s="102">
        <f>TrRoad_ene!I$21</f>
        <v>24857.811154283703</v>
      </c>
      <c r="J37" s="102">
        <f>TrRoad_ene!J$21</f>
        <v>24400.953299006822</v>
      </c>
      <c r="K37" s="102">
        <f>TrRoad_ene!K$21</f>
        <v>25022.135904555587</v>
      </c>
      <c r="L37" s="102">
        <f>TrRoad_ene!L$21</f>
        <v>24745.777707597263</v>
      </c>
      <c r="M37" s="102">
        <f>TrRoad_ene!M$21</f>
        <v>25296.512256823709</v>
      </c>
      <c r="N37" s="102">
        <f>TrRoad_ene!N$21</f>
        <v>25604.764776605163</v>
      </c>
      <c r="O37" s="102">
        <f>TrRoad_ene!O$21</f>
        <v>25330.063117229503</v>
      </c>
      <c r="P37" s="102">
        <f>TrRoad_ene!P$21</f>
        <v>25747.920482514095</v>
      </c>
      <c r="Q37" s="102">
        <f>TrRoad_ene!Q$21</f>
        <v>26163.419795974351</v>
      </c>
      <c r="R37" s="102">
        <f>TrRoad_ene!R$21</f>
        <v>26177.89430942501</v>
      </c>
      <c r="S37" s="102">
        <f>TrRoad_ene!S$21</f>
        <v>26183.025125824428</v>
      </c>
      <c r="T37" s="102">
        <f>TrRoad_ene!T$21</f>
        <v>25522.584086904018</v>
      </c>
      <c r="U37" s="102">
        <f>TrRoad_ene!U$21</f>
        <v>25455.727350039244</v>
      </c>
      <c r="V37" s="102">
        <f>TrRoad_ene!V$21</f>
        <v>20922.413508408175</v>
      </c>
      <c r="W37" s="102">
        <f>TrRoad_ene!W$21</f>
        <v>23791.066608363464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1690.2654844580065</v>
      </c>
      <c r="C38" s="102">
        <f>TrRoad_ene!C$33</f>
        <v>1654.0812164471251</v>
      </c>
      <c r="D38" s="102">
        <f>TrRoad_ene!D$33</f>
        <v>1654.07742024042</v>
      </c>
      <c r="E38" s="102">
        <f>TrRoad_ene!E$33</f>
        <v>1661.2741106461385</v>
      </c>
      <c r="F38" s="102">
        <f>TrRoad_ene!F$33</f>
        <v>1682.0661061131591</v>
      </c>
      <c r="G38" s="102">
        <f>TrRoad_ene!G$33</f>
        <v>1684.4234454992777</v>
      </c>
      <c r="H38" s="102">
        <f>TrRoad_ene!H$33</f>
        <v>1755.3931607528057</v>
      </c>
      <c r="I38" s="102">
        <f>TrRoad_ene!I$33</f>
        <v>1796.8517144083778</v>
      </c>
      <c r="J38" s="102">
        <f>TrRoad_ene!J$33</f>
        <v>1793.0582149309173</v>
      </c>
      <c r="K38" s="102">
        <f>TrRoad_ene!K$33</f>
        <v>1721.4116824279379</v>
      </c>
      <c r="L38" s="102">
        <f>TrRoad_ene!L$33</f>
        <v>1670.2287314470734</v>
      </c>
      <c r="M38" s="102">
        <f>TrRoad_ene!M$33</f>
        <v>1662.6070604418076</v>
      </c>
      <c r="N38" s="102">
        <f>TrRoad_ene!N$33</f>
        <v>1652.1628665950791</v>
      </c>
      <c r="O38" s="102">
        <f>TrRoad_ene!O$33</f>
        <v>1548.7257654282594</v>
      </c>
      <c r="P38" s="102">
        <f>TrRoad_ene!P$33</f>
        <v>1566.6694373535258</v>
      </c>
      <c r="Q38" s="102">
        <f>TrRoad_ene!Q$33</f>
        <v>1600.8530558633367</v>
      </c>
      <c r="R38" s="102">
        <f>TrRoad_ene!R$33</f>
        <v>1644.9486250063749</v>
      </c>
      <c r="S38" s="102">
        <f>TrRoad_ene!S$33</f>
        <v>1633.1677455496799</v>
      </c>
      <c r="T38" s="102">
        <f>TrRoad_ene!T$33</f>
        <v>1656.7585471927121</v>
      </c>
      <c r="U38" s="102">
        <f>TrRoad_ene!U$33</f>
        <v>1658.8323940141224</v>
      </c>
      <c r="V38" s="102">
        <f>TrRoad_ene!V$33</f>
        <v>1318.0926481767581</v>
      </c>
      <c r="W38" s="102">
        <f>TrRoad_ene!W$33</f>
        <v>1442.059462088899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862.57085950040198</v>
      </c>
      <c r="C39" s="110">
        <f t="shared" si="31"/>
        <v>781.02819239132884</v>
      </c>
      <c r="D39" s="110">
        <f t="shared" si="31"/>
        <v>798.21409599151229</v>
      </c>
      <c r="E39" s="110">
        <f t="shared" si="31"/>
        <v>801.72567247061465</v>
      </c>
      <c r="F39" s="110">
        <f t="shared" si="31"/>
        <v>851.82978149050177</v>
      </c>
      <c r="G39" s="110">
        <f t="shared" si="31"/>
        <v>862.373503191287</v>
      </c>
      <c r="H39" s="110">
        <f t="shared" si="31"/>
        <v>878.74328701504965</v>
      </c>
      <c r="I39" s="110">
        <f t="shared" si="31"/>
        <v>878.17108614442736</v>
      </c>
      <c r="J39" s="110">
        <f t="shared" si="31"/>
        <v>927.97574145355998</v>
      </c>
      <c r="K39" s="110">
        <f t="shared" si="31"/>
        <v>916.05454022774973</v>
      </c>
      <c r="L39" s="110">
        <f t="shared" si="31"/>
        <v>908.06232582408461</v>
      </c>
      <c r="M39" s="110">
        <f t="shared" si="31"/>
        <v>900.16625385430825</v>
      </c>
      <c r="N39" s="110">
        <f t="shared" si="31"/>
        <v>908.12665334228313</v>
      </c>
      <c r="O39" s="110">
        <f t="shared" si="31"/>
        <v>901.04155767712598</v>
      </c>
      <c r="P39" s="110">
        <f t="shared" si="31"/>
        <v>873.56281211140504</v>
      </c>
      <c r="Q39" s="110">
        <f t="shared" si="31"/>
        <v>886.82062784398772</v>
      </c>
      <c r="R39" s="110">
        <f t="shared" ref="R39:V39" si="32">R40+R41+R42</f>
        <v>857.45402179369614</v>
      </c>
      <c r="S39" s="110">
        <f t="shared" si="32"/>
        <v>852.60761212326361</v>
      </c>
      <c r="T39" s="110">
        <f t="shared" si="32"/>
        <v>799.34002183134055</v>
      </c>
      <c r="U39" s="110">
        <f t="shared" si="32"/>
        <v>797.12503855504087</v>
      </c>
      <c r="V39" s="110">
        <f t="shared" si="32"/>
        <v>624.4347712788641</v>
      </c>
      <c r="W39" s="110">
        <f t="shared" ref="W39" si="33">W40+W41+W42</f>
        <v>700.32767888334286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37.480566546140317</v>
      </c>
      <c r="C40" s="102">
        <f>TrRail_ene!C$12</f>
        <v>39.164690672993132</v>
      </c>
      <c r="D40" s="102">
        <f>TrRail_ene!D$12</f>
        <v>39.603383847226226</v>
      </c>
      <c r="E40" s="102">
        <f>TrRail_ene!E$12</f>
        <v>40.558826477241382</v>
      </c>
      <c r="F40" s="102">
        <f>TrRail_ene!F$12</f>
        <v>44.70063074592084</v>
      </c>
      <c r="G40" s="102">
        <f>TrRail_ene!G$12</f>
        <v>43.772090109546149</v>
      </c>
      <c r="H40" s="102">
        <f>TrRail_ene!H$12</f>
        <v>43.503079357880374</v>
      </c>
      <c r="I40" s="102">
        <f>TrRail_ene!I$12</f>
        <v>42.321233048314376</v>
      </c>
      <c r="J40" s="102">
        <f>TrRail_ene!J$12</f>
        <v>45.597437494317447</v>
      </c>
      <c r="K40" s="102">
        <f>TrRail_ene!K$12</f>
        <v>40.745107046691984</v>
      </c>
      <c r="L40" s="102">
        <f>TrRail_ene!L$12</f>
        <v>41.111492418627506</v>
      </c>
      <c r="M40" s="102">
        <f>TrRail_ene!M$12</f>
        <v>41.51154047210909</v>
      </c>
      <c r="N40" s="102">
        <f>TrRail_ene!N$12</f>
        <v>42.19635537386187</v>
      </c>
      <c r="O40" s="102">
        <f>TrRail_ene!O$12</f>
        <v>40.749353385782072</v>
      </c>
      <c r="P40" s="102">
        <f>TrRail_ene!P$12</f>
        <v>40.179855286320311</v>
      </c>
      <c r="Q40" s="102">
        <f>TrRail_ene!Q$12</f>
        <v>39.623687360795223</v>
      </c>
      <c r="R40" s="102">
        <f>TrRail_ene!R$12</f>
        <v>38.986089870859217</v>
      </c>
      <c r="S40" s="102">
        <f>TrRail_ene!S$12</f>
        <v>38.765024202297468</v>
      </c>
      <c r="T40" s="102">
        <f>TrRail_ene!T$12</f>
        <v>39.427867806344977</v>
      </c>
      <c r="U40" s="102">
        <f>TrRail_ene!U$12</f>
        <v>37.56532095425699</v>
      </c>
      <c r="V40" s="102">
        <f>TrRail_ene!V$12</f>
        <v>26.51690492013925</v>
      </c>
      <c r="W40" s="102">
        <f>TrRail_ene!W$12</f>
        <v>32.03681719050175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598.32255118093224</v>
      </c>
      <c r="C41" s="102">
        <f>TrRail_ene!C$13</f>
        <v>484.46953076868658</v>
      </c>
      <c r="D41" s="102">
        <f>TrRail_ene!D$13</f>
        <v>485.40452446968709</v>
      </c>
      <c r="E41" s="102">
        <f>TrRail_ene!E$13</f>
        <v>493.08995392939534</v>
      </c>
      <c r="F41" s="102">
        <f>TrRail_ene!F$13</f>
        <v>521.4169164029496</v>
      </c>
      <c r="G41" s="102">
        <f>TrRail_ene!G$13</f>
        <v>525.3231985672985</v>
      </c>
      <c r="H41" s="102">
        <f>TrRail_ene!H$13</f>
        <v>536.52928899492099</v>
      </c>
      <c r="I41" s="102">
        <f>TrRail_ene!I$13</f>
        <v>526.20321023738779</v>
      </c>
      <c r="J41" s="102">
        <f>TrRail_ene!J$13</f>
        <v>540.88386909792894</v>
      </c>
      <c r="K41" s="102">
        <f>TrRail_ene!K$13</f>
        <v>536.34696503750422</v>
      </c>
      <c r="L41" s="102">
        <f>TrRail_ene!L$13</f>
        <v>536.02577814118206</v>
      </c>
      <c r="M41" s="102">
        <f>TrRail_ene!M$13</f>
        <v>540.53773961839181</v>
      </c>
      <c r="N41" s="102">
        <f>TrRail_ene!N$13</f>
        <v>523.92093487335046</v>
      </c>
      <c r="O41" s="102">
        <f>TrRail_ene!O$13</f>
        <v>523.07352374758057</v>
      </c>
      <c r="P41" s="102">
        <f>TrRail_ene!P$13</f>
        <v>509.66955122940965</v>
      </c>
      <c r="Q41" s="102">
        <f>TrRail_ene!Q$13</f>
        <v>510.73603239803811</v>
      </c>
      <c r="R41" s="102">
        <f>TrRail_ene!R$13</f>
        <v>499.02509478150068</v>
      </c>
      <c r="S41" s="102">
        <f>TrRail_ene!S$13</f>
        <v>483.65661464756096</v>
      </c>
      <c r="T41" s="102">
        <f>TrRail_ene!T$13</f>
        <v>453.08526670050304</v>
      </c>
      <c r="U41" s="102">
        <f>TrRail_ene!U$13</f>
        <v>443.16796295521402</v>
      </c>
      <c r="V41" s="102">
        <f>TrRail_ene!V$13</f>
        <v>349.23170524811042</v>
      </c>
      <c r="W41" s="102">
        <f>TrRail_ene!W$13</f>
        <v>365.27079058481252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226.76774177332945</v>
      </c>
      <c r="C42" s="102">
        <f>TrRail_ene!C$16</f>
        <v>257.39397094964909</v>
      </c>
      <c r="D42" s="102">
        <f>TrRail_ene!D$16</f>
        <v>273.20618767459888</v>
      </c>
      <c r="E42" s="102">
        <f>TrRail_ene!E$16</f>
        <v>268.07689206397799</v>
      </c>
      <c r="F42" s="102">
        <f>TrRail_ene!F$16</f>
        <v>285.71223434163124</v>
      </c>
      <c r="G42" s="102">
        <f>TrRail_ene!G$16</f>
        <v>293.27821451444225</v>
      </c>
      <c r="H42" s="102">
        <f>TrRail_ene!H$16</f>
        <v>298.71091866224839</v>
      </c>
      <c r="I42" s="102">
        <f>TrRail_ene!I$16</f>
        <v>309.6466428587251</v>
      </c>
      <c r="J42" s="102">
        <f>TrRail_ene!J$16</f>
        <v>341.49443486131361</v>
      </c>
      <c r="K42" s="102">
        <f>TrRail_ene!K$16</f>
        <v>338.96246814355356</v>
      </c>
      <c r="L42" s="102">
        <f>TrRail_ene!L$16</f>
        <v>330.92505526427499</v>
      </c>
      <c r="M42" s="102">
        <f>TrRail_ene!M$16</f>
        <v>318.11697376380738</v>
      </c>
      <c r="N42" s="102">
        <f>TrRail_ene!N$16</f>
        <v>342.00936309507091</v>
      </c>
      <c r="O42" s="102">
        <f>TrRail_ene!O$16</f>
        <v>337.2186805437633</v>
      </c>
      <c r="P42" s="102">
        <f>TrRail_ene!P$16</f>
        <v>323.71340559567511</v>
      </c>
      <c r="Q42" s="102">
        <f>TrRail_ene!Q$16</f>
        <v>336.46090808515447</v>
      </c>
      <c r="R42" s="102">
        <f>TrRail_ene!R$16</f>
        <v>319.44283714133621</v>
      </c>
      <c r="S42" s="102">
        <f>TrRail_ene!S$16</f>
        <v>330.18597327340507</v>
      </c>
      <c r="T42" s="102">
        <f>TrRail_ene!T$16</f>
        <v>306.82688732449253</v>
      </c>
      <c r="U42" s="102">
        <f>TrRail_ene!U$16</f>
        <v>316.39175464556985</v>
      </c>
      <c r="V42" s="102">
        <f>TrRail_ene!V$16</f>
        <v>248.68616111061439</v>
      </c>
      <c r="W42" s="102">
        <f>TrRail_ene!W$16</f>
        <v>303.02007110802856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5821.3643677544678</v>
      </c>
      <c r="C43" s="110">
        <f t="shared" si="34"/>
        <v>5782.788421518494</v>
      </c>
      <c r="D43" s="110">
        <f t="shared" si="34"/>
        <v>5742.9567481518698</v>
      </c>
      <c r="E43" s="110">
        <f t="shared" si="34"/>
        <v>5514.4638547236182</v>
      </c>
      <c r="F43" s="110">
        <f t="shared" si="34"/>
        <v>5776.6750537634352</v>
      </c>
      <c r="G43" s="110">
        <f t="shared" si="34"/>
        <v>5824.1987014439446</v>
      </c>
      <c r="H43" s="110">
        <f t="shared" si="34"/>
        <v>6062.3999977362946</v>
      </c>
      <c r="I43" s="110">
        <f t="shared" si="34"/>
        <v>6253.1720334237034</v>
      </c>
      <c r="J43" s="110">
        <f t="shared" si="34"/>
        <v>6287.8143449344316</v>
      </c>
      <c r="K43" s="110">
        <f t="shared" si="34"/>
        <v>5829.1940564165088</v>
      </c>
      <c r="L43" s="110">
        <f t="shared" si="34"/>
        <v>5845.350764611122</v>
      </c>
      <c r="M43" s="110">
        <f t="shared" si="34"/>
        <v>6564.0005803503245</v>
      </c>
      <c r="N43" s="110">
        <f t="shared" si="34"/>
        <v>6411.3218673357069</v>
      </c>
      <c r="O43" s="110">
        <f t="shared" si="34"/>
        <v>6363.9401139732872</v>
      </c>
      <c r="P43" s="110">
        <f t="shared" si="34"/>
        <v>6273.0128574644896</v>
      </c>
      <c r="Q43" s="110">
        <f t="shared" si="34"/>
        <v>6558.1248956478739</v>
      </c>
      <c r="R43" s="110">
        <f t="shared" ref="R43:V43" si="35">R44+R45+R46</f>
        <v>6590.8047061171219</v>
      </c>
      <c r="S43" s="110">
        <f t="shared" si="35"/>
        <v>6716.4823026624508</v>
      </c>
      <c r="T43" s="110">
        <f t="shared" si="35"/>
        <v>7009.4051203546906</v>
      </c>
      <c r="U43" s="110">
        <f t="shared" si="35"/>
        <v>7358.410922956964</v>
      </c>
      <c r="V43" s="110">
        <f t="shared" si="35"/>
        <v>3118.2760999247148</v>
      </c>
      <c r="W43" s="110">
        <f t="shared" ref="W43" si="36">W44+W45+W46</f>
        <v>3416.2379957886324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991.91601876818868</v>
      </c>
      <c r="C44" s="102">
        <f>TrAvia_ene!C$7</f>
        <v>1003.1493110344252</v>
      </c>
      <c r="D44" s="102">
        <f>TrAvia_ene!D$7</f>
        <v>945.33190961141861</v>
      </c>
      <c r="E44" s="102">
        <f>TrAvia_ene!E$7</f>
        <v>881.40772572160085</v>
      </c>
      <c r="F44" s="102">
        <f>TrAvia_ene!F$7</f>
        <v>837.84085546052256</v>
      </c>
      <c r="G44" s="102">
        <f>TrAvia_ene!G$7</f>
        <v>831.2786360901805</v>
      </c>
      <c r="H44" s="102">
        <f>TrAvia_ene!H$7</f>
        <v>836.50280401207397</v>
      </c>
      <c r="I44" s="102">
        <f>TrAvia_ene!I$7</f>
        <v>843.26343998337165</v>
      </c>
      <c r="J44" s="102">
        <f>TrAvia_ene!J$7</f>
        <v>851.06056649281436</v>
      </c>
      <c r="K44" s="102">
        <f>TrAvia_ene!K$7</f>
        <v>810.00183490385416</v>
      </c>
      <c r="L44" s="102">
        <f>TrAvia_ene!L$7</f>
        <v>789.77701444016168</v>
      </c>
      <c r="M44" s="102">
        <f>TrAvia_ene!M$7</f>
        <v>1467.7478006262638</v>
      </c>
      <c r="N44" s="102">
        <f>TrAvia_ene!N$7</f>
        <v>1471.4570790586156</v>
      </c>
      <c r="O44" s="102">
        <f>TrAvia_ene!O$7</f>
        <v>1454.221509911149</v>
      </c>
      <c r="P44" s="102">
        <f>TrAvia_ene!P$7</f>
        <v>1386.324407914728</v>
      </c>
      <c r="Q44" s="102">
        <f>TrAvia_ene!Q$7</f>
        <v>1385.759347108117</v>
      </c>
      <c r="R44" s="102">
        <f>TrAvia_ene!R$7</f>
        <v>1434.4093006055266</v>
      </c>
      <c r="S44" s="102">
        <f>TrAvia_ene!S$7</f>
        <v>1482.5191437043732</v>
      </c>
      <c r="T44" s="102">
        <f>TrAvia_ene!T$7</f>
        <v>1560.9451657043564</v>
      </c>
      <c r="U44" s="102">
        <f>TrAvia_ene!U$7</f>
        <v>1587.9577075378197</v>
      </c>
      <c r="V44" s="102">
        <f>TrAvia_ene!V$7</f>
        <v>965.28909039473467</v>
      </c>
      <c r="W44" s="102">
        <f>TrAvia_ene!W$7</f>
        <v>1192.6551163680228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1194.7340744263026</v>
      </c>
      <c r="C45" s="102">
        <f>TrAvia_ene!C$8</f>
        <v>1182.4174397927654</v>
      </c>
      <c r="D45" s="102">
        <f>TrAvia_ene!D$8</f>
        <v>1186.865971014583</v>
      </c>
      <c r="E45" s="102">
        <f>TrAvia_ene!E$8</f>
        <v>1157.3805139519711</v>
      </c>
      <c r="F45" s="102">
        <f>TrAvia_ene!F$8</f>
        <v>1216.9422108004246</v>
      </c>
      <c r="G45" s="102">
        <f>TrAvia_ene!G$8</f>
        <v>1230.6590115312629</v>
      </c>
      <c r="H45" s="102">
        <f>TrAvia_ene!H$8</f>
        <v>1317.6633093631056</v>
      </c>
      <c r="I45" s="102">
        <f>TrAvia_ene!I$8</f>
        <v>1391.1656176593024</v>
      </c>
      <c r="J45" s="102">
        <f>TrAvia_ene!J$8</f>
        <v>1365.0653730806389</v>
      </c>
      <c r="K45" s="102">
        <f>TrAvia_ene!K$8</f>
        <v>1204.3010925696237</v>
      </c>
      <c r="L45" s="102">
        <f>TrAvia_ene!L$8</f>
        <v>1185.0563896388612</v>
      </c>
      <c r="M45" s="102">
        <f>TrAvia_ene!M$8</f>
        <v>1205.9382233581298</v>
      </c>
      <c r="N45" s="102">
        <f>TrAvia_ene!N$8</f>
        <v>1149.4925417753218</v>
      </c>
      <c r="O45" s="102">
        <f>TrAvia_ene!O$8</f>
        <v>1136.1524651253956</v>
      </c>
      <c r="P45" s="102">
        <f>TrAvia_ene!P$8</f>
        <v>1141.4077666101978</v>
      </c>
      <c r="Q45" s="102">
        <f>TrAvia_ene!Q$8</f>
        <v>1211.7183173078522</v>
      </c>
      <c r="R45" s="102">
        <f>TrAvia_ene!R$8</f>
        <v>1271.4553577259489</v>
      </c>
      <c r="S45" s="102">
        <f>TrAvia_ene!S$8</f>
        <v>1329.2575169058975</v>
      </c>
      <c r="T45" s="102">
        <f>TrAvia_ene!T$8</f>
        <v>1361.8366675731509</v>
      </c>
      <c r="U45" s="102">
        <f>TrAvia_ene!U$8</f>
        <v>1387.6146108634948</v>
      </c>
      <c r="V45" s="102">
        <f>TrAvia_ene!V$8</f>
        <v>420.61872888723332</v>
      </c>
      <c r="W45" s="102">
        <f>TrAvia_ene!W$8</f>
        <v>486.15169320852067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3634.7142745599772</v>
      </c>
      <c r="C46" s="102">
        <f>TrAvia_ene!C$9</f>
        <v>3597.2216706913032</v>
      </c>
      <c r="D46" s="102">
        <f>TrAvia_ene!D$9</f>
        <v>3610.7588675258685</v>
      </c>
      <c r="E46" s="102">
        <f>TrAvia_ene!E$9</f>
        <v>3475.675615050046</v>
      </c>
      <c r="F46" s="102">
        <f>TrAvia_ene!F$9</f>
        <v>3721.8919875024881</v>
      </c>
      <c r="G46" s="102">
        <f>TrAvia_ene!G$9</f>
        <v>3762.2610538225013</v>
      </c>
      <c r="H46" s="102">
        <f>TrAvia_ene!H$9</f>
        <v>3908.2338843611155</v>
      </c>
      <c r="I46" s="102">
        <f>TrAvia_ene!I$9</f>
        <v>4018.7429757810291</v>
      </c>
      <c r="J46" s="102">
        <f>TrAvia_ene!J$9</f>
        <v>4071.6884053609788</v>
      </c>
      <c r="K46" s="102">
        <f>TrAvia_ene!K$9</f>
        <v>3814.8911289430312</v>
      </c>
      <c r="L46" s="102">
        <f>TrAvia_ene!L$9</f>
        <v>3870.5173605320992</v>
      </c>
      <c r="M46" s="102">
        <f>TrAvia_ene!M$9</f>
        <v>3890.3145563659305</v>
      </c>
      <c r="N46" s="102">
        <f>TrAvia_ene!N$9</f>
        <v>3790.3722465017695</v>
      </c>
      <c r="O46" s="102">
        <f>TrAvia_ene!O$9</f>
        <v>3773.5661389367428</v>
      </c>
      <c r="P46" s="102">
        <f>TrAvia_ene!P$9</f>
        <v>3745.2806829395636</v>
      </c>
      <c r="Q46" s="102">
        <f>TrAvia_ene!Q$9</f>
        <v>3960.6472312319047</v>
      </c>
      <c r="R46" s="102">
        <f>TrAvia_ene!R$9</f>
        <v>3884.9400477856461</v>
      </c>
      <c r="S46" s="102">
        <f>TrAvia_ene!S$9</f>
        <v>3904.7056420521803</v>
      </c>
      <c r="T46" s="102">
        <f>TrAvia_ene!T$9</f>
        <v>4086.6232870771832</v>
      </c>
      <c r="U46" s="102">
        <f>TrAvia_ene!U$9</f>
        <v>4382.8386045556499</v>
      </c>
      <c r="V46" s="102">
        <f>TrAvia_ene!V$9</f>
        <v>1732.3682806427471</v>
      </c>
      <c r="W46" s="102">
        <f>TrAvia_ene!W$9</f>
        <v>1737.431186212089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16535.007955701527</v>
      </c>
      <c r="C47" s="28">
        <f t="shared" si="37"/>
        <v>16580.821802167276</v>
      </c>
      <c r="D47" s="28">
        <f t="shared" si="37"/>
        <v>16488.798937773419</v>
      </c>
      <c r="E47" s="28">
        <f t="shared" si="37"/>
        <v>16159.086780857719</v>
      </c>
      <c r="F47" s="28">
        <f t="shared" si="37"/>
        <v>16635.534876622525</v>
      </c>
      <c r="G47" s="28">
        <f t="shared" si="37"/>
        <v>16443.109164300509</v>
      </c>
      <c r="H47" s="28">
        <f t="shared" si="37"/>
        <v>16470.935598422955</v>
      </c>
      <c r="I47" s="28">
        <f t="shared" si="37"/>
        <v>16597.377036133999</v>
      </c>
      <c r="J47" s="28">
        <f t="shared" si="37"/>
        <v>15892.566936704699</v>
      </c>
      <c r="K47" s="28">
        <f t="shared" si="37"/>
        <v>14935.166053561528</v>
      </c>
      <c r="L47" s="28">
        <f t="shared" si="37"/>
        <v>15385.419405592049</v>
      </c>
      <c r="M47" s="28">
        <f t="shared" si="37"/>
        <v>15712.877461038071</v>
      </c>
      <c r="N47" s="28">
        <f t="shared" si="37"/>
        <v>15271.209363382177</v>
      </c>
      <c r="O47" s="28">
        <f t="shared" si="37"/>
        <v>15327.829381636051</v>
      </c>
      <c r="P47" s="28">
        <f t="shared" si="37"/>
        <v>15317.044555180513</v>
      </c>
      <c r="Q47" s="28">
        <f t="shared" si="37"/>
        <v>15369.496316072707</v>
      </c>
      <c r="R47" s="28">
        <f t="shared" ref="R47:V47" si="38">R48+R51+R52+R56</f>
        <v>15412.224503069085</v>
      </c>
      <c r="S47" s="28">
        <f t="shared" si="38"/>
        <v>15770.45045751442</v>
      </c>
      <c r="T47" s="28">
        <f t="shared" si="38"/>
        <v>15484.905554993784</v>
      </c>
      <c r="U47" s="28">
        <f t="shared" si="38"/>
        <v>15484.472371327009</v>
      </c>
      <c r="V47" s="28">
        <f t="shared" si="38"/>
        <v>14281.940836330305</v>
      </c>
      <c r="W47" s="28">
        <f t="shared" ref="W47" si="39">W48+W51+W52+W56</f>
        <v>15627.848649802094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15283.020912964997</v>
      </c>
      <c r="C48" s="137">
        <f t="shared" si="40"/>
        <v>15403.210557091719</v>
      </c>
      <c r="D48" s="137">
        <f t="shared" si="40"/>
        <v>15318.115955605539</v>
      </c>
      <c r="E48" s="137">
        <f t="shared" si="40"/>
        <v>14980.223771508532</v>
      </c>
      <c r="F48" s="137">
        <f t="shared" si="40"/>
        <v>15377.786745410427</v>
      </c>
      <c r="G48" s="137">
        <f t="shared" si="40"/>
        <v>15277.480939013125</v>
      </c>
      <c r="H48" s="137">
        <f t="shared" si="40"/>
        <v>15291.121875435692</v>
      </c>
      <c r="I48" s="137">
        <f t="shared" si="40"/>
        <v>15392.438814343575</v>
      </c>
      <c r="J48" s="137">
        <f t="shared" si="40"/>
        <v>14715.629422060876</v>
      </c>
      <c r="K48" s="137">
        <f t="shared" si="40"/>
        <v>13900.964521229003</v>
      </c>
      <c r="L48" s="137">
        <f t="shared" si="40"/>
        <v>14292.887096199225</v>
      </c>
      <c r="M48" s="137">
        <f t="shared" si="40"/>
        <v>14601.632171424993</v>
      </c>
      <c r="N48" s="137">
        <f t="shared" si="40"/>
        <v>14170.504573656041</v>
      </c>
      <c r="O48" s="137">
        <f t="shared" si="40"/>
        <v>14247.184828007015</v>
      </c>
      <c r="P48" s="137">
        <f t="shared" si="40"/>
        <v>14173.030542899143</v>
      </c>
      <c r="Q48" s="137">
        <f t="shared" si="40"/>
        <v>14188.019655557691</v>
      </c>
      <c r="R48" s="137">
        <f t="shared" ref="R48:V48" si="41">R49+R50</f>
        <v>14327.108596414122</v>
      </c>
      <c r="S48" s="137">
        <f t="shared" si="41"/>
        <v>14669.166081672447</v>
      </c>
      <c r="T48" s="137">
        <f t="shared" si="41"/>
        <v>14407.420516612317</v>
      </c>
      <c r="U48" s="137">
        <f t="shared" si="41"/>
        <v>14424.662675057418</v>
      </c>
      <c r="V48" s="137">
        <f t="shared" si="41"/>
        <v>13208.498913036892</v>
      </c>
      <c r="W48" s="137">
        <f t="shared" ref="W48" si="42">W49+W50</f>
        <v>14519.807273743201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7067.5622235425599</v>
      </c>
      <c r="C49" s="102">
        <f>TrRoad_ene!C$43</f>
        <v>7054.169936228599</v>
      </c>
      <c r="D49" s="102">
        <f>TrRoad_ene!D$43</f>
        <v>6948.6652737711001</v>
      </c>
      <c r="E49" s="102">
        <f>TrRoad_ene!E$43</f>
        <v>6717.0145028337311</v>
      </c>
      <c r="F49" s="102">
        <f>TrRoad_ene!F$43</f>
        <v>6491.6846474350232</v>
      </c>
      <c r="G49" s="102">
        <f>TrRoad_ene!G$43</f>
        <v>6377.1343518205795</v>
      </c>
      <c r="H49" s="102">
        <f>TrRoad_ene!H$43</f>
        <v>6332.029480769741</v>
      </c>
      <c r="I49" s="102">
        <f>TrRoad_ene!I$43</f>
        <v>6263.3797707806325</v>
      </c>
      <c r="J49" s="102">
        <f>TrRoad_ene!J$43</f>
        <v>6046.3000236228836</v>
      </c>
      <c r="K49" s="102">
        <f>TrRoad_ene!K$43</f>
        <v>6173.7507965286241</v>
      </c>
      <c r="L49" s="102">
        <f>TrRoad_ene!L$43</f>
        <v>6325.7100609859863</v>
      </c>
      <c r="M49" s="102">
        <f>TrRoad_ene!M$43</f>
        <v>6554.775660935119</v>
      </c>
      <c r="N49" s="102">
        <f>TrRoad_ene!N$43</f>
        <v>6570.6307187647099</v>
      </c>
      <c r="O49" s="102">
        <f>TrRoad_ene!O$43</f>
        <v>6582.8479971510587</v>
      </c>
      <c r="P49" s="102">
        <f>TrRoad_ene!P$43</f>
        <v>6580.8874630128794</v>
      </c>
      <c r="Q49" s="102">
        <f>TrRoad_ene!Q$43</f>
        <v>6781.0775743757395</v>
      </c>
      <c r="R49" s="102">
        <f>TrRoad_ene!R$43</f>
        <v>6688.7155402068693</v>
      </c>
      <c r="S49" s="102">
        <f>TrRoad_ene!S$43</f>
        <v>6811.8316962831377</v>
      </c>
      <c r="T49" s="102">
        <f>TrRoad_ene!T$43</f>
        <v>6711.8190825691818</v>
      </c>
      <c r="U49" s="102">
        <f>TrRoad_ene!U$43</f>
        <v>6649.2023995511399</v>
      </c>
      <c r="V49" s="102">
        <f>TrRoad_ene!V$43</f>
        <v>5754.9994877584113</v>
      </c>
      <c r="W49" s="102">
        <f>TrRoad_ene!W$43</f>
        <v>6649.1330287578976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8215.4586894224376</v>
      </c>
      <c r="C50" s="102">
        <f>TrRoad_ene!C$52</f>
        <v>8349.0406208631211</v>
      </c>
      <c r="D50" s="102">
        <f>TrRoad_ene!D$52</f>
        <v>8369.450681834438</v>
      </c>
      <c r="E50" s="102">
        <f>TrRoad_ene!E$52</f>
        <v>8263.2092686748001</v>
      </c>
      <c r="F50" s="102">
        <f>TrRoad_ene!F$52</f>
        <v>8886.1020979754048</v>
      </c>
      <c r="G50" s="102">
        <f>TrRoad_ene!G$52</f>
        <v>8900.3465871925455</v>
      </c>
      <c r="H50" s="102">
        <f>TrRoad_ene!H$52</f>
        <v>8959.0923946659514</v>
      </c>
      <c r="I50" s="102">
        <f>TrRoad_ene!I$52</f>
        <v>9129.059043562942</v>
      </c>
      <c r="J50" s="102">
        <f>TrRoad_ene!J$52</f>
        <v>8669.3293984379925</v>
      </c>
      <c r="K50" s="102">
        <f>TrRoad_ene!K$52</f>
        <v>7727.2137247003793</v>
      </c>
      <c r="L50" s="102">
        <f>TrRoad_ene!L$52</f>
        <v>7967.1770352132389</v>
      </c>
      <c r="M50" s="102">
        <f>TrRoad_ene!M$52</f>
        <v>8046.8565104898753</v>
      </c>
      <c r="N50" s="102">
        <f>TrRoad_ene!N$52</f>
        <v>7599.8738548913307</v>
      </c>
      <c r="O50" s="102">
        <f>TrRoad_ene!O$52</f>
        <v>7664.3368308559566</v>
      </c>
      <c r="P50" s="102">
        <f>TrRoad_ene!P$52</f>
        <v>7592.1430798862639</v>
      </c>
      <c r="Q50" s="102">
        <f>TrRoad_ene!Q$52</f>
        <v>7406.9420811819527</v>
      </c>
      <c r="R50" s="102">
        <f>TrRoad_ene!R$52</f>
        <v>7638.3930562072528</v>
      </c>
      <c r="S50" s="102">
        <f>TrRoad_ene!S$52</f>
        <v>7857.3343853893093</v>
      </c>
      <c r="T50" s="102">
        <f>TrRoad_ene!T$52</f>
        <v>7695.6014340431357</v>
      </c>
      <c r="U50" s="102">
        <f>TrRoad_ene!U$52</f>
        <v>7775.4602755062788</v>
      </c>
      <c r="V50" s="102">
        <f>TrRoad_ene!V$52</f>
        <v>7453.4994252784818</v>
      </c>
      <c r="W50" s="102">
        <f>TrRoad_ene!W$52</f>
        <v>7870.6742449853027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318.70833224508362</v>
      </c>
      <c r="C51" s="110">
        <f>TrRail_ene!C$17</f>
        <v>287.38203976688271</v>
      </c>
      <c r="D51" s="110">
        <f>TrRail_ene!D$17</f>
        <v>287.78951535844476</v>
      </c>
      <c r="E51" s="110">
        <f>TrRail_ene!E$17</f>
        <v>278.91912546575651</v>
      </c>
      <c r="F51" s="110">
        <f>TrRail_ene!F$17</f>
        <v>248.17580750347935</v>
      </c>
      <c r="G51" s="110">
        <f>TrRail_ene!G$17</f>
        <v>201.23148391103464</v>
      </c>
      <c r="H51" s="110">
        <f>TrRail_ene!H$17</f>
        <v>188.14321341487275</v>
      </c>
      <c r="I51" s="110">
        <f>TrRail_ene!I$17</f>
        <v>178.425646443707</v>
      </c>
      <c r="J51" s="110">
        <f>TrRail_ene!J$17</f>
        <v>169.44945201161627</v>
      </c>
      <c r="K51" s="110">
        <f>TrRail_ene!K$17</f>
        <v>134.75233853407309</v>
      </c>
      <c r="L51" s="110">
        <f>TrRail_ene!L$17</f>
        <v>128.95813849233858</v>
      </c>
      <c r="M51" s="110">
        <f>TrRail_ene!M$17</f>
        <v>118.02153634345618</v>
      </c>
      <c r="N51" s="110">
        <f>TrRail_ene!N$17</f>
        <v>111.09191931463856</v>
      </c>
      <c r="O51" s="110">
        <f>TrRail_ene!O$17</f>
        <v>123.49799520335554</v>
      </c>
      <c r="P51" s="110">
        <f>TrRail_ene!P$17</f>
        <v>114.61036071748569</v>
      </c>
      <c r="Q51" s="110">
        <f>TrRail_ene!Q$17</f>
        <v>114.09717095222904</v>
      </c>
      <c r="R51" s="110">
        <f>TrRail_ene!R$17</f>
        <v>106.31132644362094</v>
      </c>
      <c r="S51" s="110">
        <f>TrRail_ene!S$17</f>
        <v>113.4929037838732</v>
      </c>
      <c r="T51" s="110">
        <f>TrRail_ene!T$17</f>
        <v>107.23633242489339</v>
      </c>
      <c r="U51" s="110">
        <f>TrRail_ene!U$17</f>
        <v>104.81116092905205</v>
      </c>
      <c r="V51" s="110">
        <f>TrRail_ene!V$17</f>
        <v>112.29867670049964</v>
      </c>
      <c r="W51" s="110">
        <f>TrRail_ene!W$17</f>
        <v>120.04085078131743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450.16994007012295</v>
      </c>
      <c r="C52" s="110">
        <f t="shared" si="43"/>
        <v>451.87529301288839</v>
      </c>
      <c r="D52" s="110">
        <f t="shared" si="43"/>
        <v>440.08994144400117</v>
      </c>
      <c r="E52" s="110">
        <f t="shared" si="43"/>
        <v>436.41593891352653</v>
      </c>
      <c r="F52" s="110">
        <f t="shared" si="43"/>
        <v>479.22056102590335</v>
      </c>
      <c r="G52" s="110">
        <f t="shared" si="43"/>
        <v>489.23225298425808</v>
      </c>
      <c r="H52" s="110">
        <f t="shared" si="43"/>
        <v>502.64351043223428</v>
      </c>
      <c r="I52" s="110">
        <f t="shared" si="43"/>
        <v>520.35032255221938</v>
      </c>
      <c r="J52" s="110">
        <f t="shared" si="43"/>
        <v>521.60474362962691</v>
      </c>
      <c r="K52" s="110">
        <f t="shared" si="43"/>
        <v>408.31144659294898</v>
      </c>
      <c r="L52" s="110">
        <f t="shared" si="43"/>
        <v>470.11028440005578</v>
      </c>
      <c r="M52" s="110">
        <f t="shared" si="43"/>
        <v>515.45694329541766</v>
      </c>
      <c r="N52" s="110">
        <f t="shared" si="43"/>
        <v>514.67039405724222</v>
      </c>
      <c r="O52" s="110">
        <f t="shared" si="43"/>
        <v>478.85980004218919</v>
      </c>
      <c r="P52" s="110">
        <f t="shared" si="43"/>
        <v>551.75919756560393</v>
      </c>
      <c r="Q52" s="110">
        <f t="shared" si="43"/>
        <v>584.52334166940841</v>
      </c>
      <c r="R52" s="110">
        <f t="shared" si="43"/>
        <v>502.09039276508088</v>
      </c>
      <c r="S52" s="110">
        <f t="shared" si="43"/>
        <v>512.73128289214867</v>
      </c>
      <c r="T52" s="110">
        <f t="shared" si="43"/>
        <v>496.77209374677085</v>
      </c>
      <c r="U52" s="110">
        <f t="shared" si="43"/>
        <v>471.67463164320571</v>
      </c>
      <c r="V52" s="110">
        <f t="shared" si="43"/>
        <v>542.38142372102868</v>
      </c>
      <c r="W52" s="110">
        <f t="shared" ref="W52" si="44">W53+W54+W55</f>
        <v>507.62038770233966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63.625167818225719</v>
      </c>
      <c r="C53" s="102">
        <f>TrAvia_ene!C$11</f>
        <v>73.453354485780835</v>
      </c>
      <c r="D53" s="102">
        <f>TrAvia_ene!D$11</f>
        <v>58.587522890730881</v>
      </c>
      <c r="E53" s="102">
        <f>TrAvia_ene!E$11</f>
        <v>47.492962154581349</v>
      </c>
      <c r="F53" s="102">
        <f>TrAvia_ene!F$11</f>
        <v>48.953211607405258</v>
      </c>
      <c r="G53" s="102">
        <f>TrAvia_ene!G$11</f>
        <v>48.350426678521139</v>
      </c>
      <c r="H53" s="102">
        <f>TrAvia_ene!H$11</f>
        <v>41.072346460841018</v>
      </c>
      <c r="I53" s="102">
        <f>TrAvia_ene!I$11</f>
        <v>34.311710489543358</v>
      </c>
      <c r="J53" s="102">
        <f>TrAvia_ene!J$11</f>
        <v>27.493689741063616</v>
      </c>
      <c r="K53" s="102">
        <f>TrAvia_ene!K$11</f>
        <v>24.511492697177609</v>
      </c>
      <c r="L53" s="102">
        <f>TrAvia_ene!L$11</f>
        <v>17.938892696553673</v>
      </c>
      <c r="M53" s="102">
        <f>TrAvia_ene!M$11</f>
        <v>32.623738496693917</v>
      </c>
      <c r="N53" s="102">
        <f>TrAvia_ene!N$11</f>
        <v>33.620994888074129</v>
      </c>
      <c r="O53" s="102">
        <f>TrAvia_ene!O$11</f>
        <v>31.158885617655635</v>
      </c>
      <c r="P53" s="102">
        <f>TrAvia_ene!P$11</f>
        <v>36.45263421768783</v>
      </c>
      <c r="Q53" s="102">
        <f>TrAvia_ene!Q$11</f>
        <v>35.142716520429936</v>
      </c>
      <c r="R53" s="102">
        <f>TrAvia_ene!R$11</f>
        <v>30.907380391893756</v>
      </c>
      <c r="S53" s="102">
        <f>TrAvia_ene!S$11</f>
        <v>32.241991291327324</v>
      </c>
      <c r="T53" s="102">
        <f>TrAvia_ene!T$11</f>
        <v>32.307628792633842</v>
      </c>
      <c r="U53" s="102">
        <f>TrAvia_ene!U$11</f>
        <v>31.324149727871919</v>
      </c>
      <c r="V53" s="102">
        <f>TrAvia_ene!V$11</f>
        <v>31.342036002513666</v>
      </c>
      <c r="W53" s="102">
        <f>TrAvia_ene!W$11</f>
        <v>34.799999711083487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24.437631510856857</v>
      </c>
      <c r="C54" s="102">
        <f>TrAvia_ene!C$12</f>
        <v>27.905524634782967</v>
      </c>
      <c r="D54" s="102">
        <f>TrAvia_ene!D$12</f>
        <v>25.121963492639381</v>
      </c>
      <c r="E54" s="102">
        <f>TrAvia_ene!E$12</f>
        <v>23.688230995817403</v>
      </c>
      <c r="F54" s="102">
        <f>TrAvia_ene!F$12</f>
        <v>26.605550726857306</v>
      </c>
      <c r="G54" s="102">
        <f>TrAvia_ene!G$12</f>
        <v>25.52237635563683</v>
      </c>
      <c r="H54" s="102">
        <f>TrAvia_ene!H$12</f>
        <v>33.663650136054443</v>
      </c>
      <c r="I54" s="102">
        <f>TrAvia_ene!I$12</f>
        <v>40.809806867881193</v>
      </c>
      <c r="J54" s="102">
        <f>TrAvia_ene!J$12</f>
        <v>39.703019785422448</v>
      </c>
      <c r="K54" s="102">
        <f>TrAvia_ene!K$12</f>
        <v>34.922126301514858</v>
      </c>
      <c r="L54" s="102">
        <f>TrAvia_ene!L$12</f>
        <v>38.91277197864644</v>
      </c>
      <c r="M54" s="102">
        <f>TrAvia_ene!M$12</f>
        <v>45.460842607511083</v>
      </c>
      <c r="N54" s="102">
        <f>TrAvia_ene!N$12</f>
        <v>42.68012009454273</v>
      </c>
      <c r="O54" s="102">
        <f>TrAvia_ene!O$12</f>
        <v>46.164839133029837</v>
      </c>
      <c r="P54" s="102">
        <f>TrAvia_ene!P$12</f>
        <v>56.092481900733624</v>
      </c>
      <c r="Q54" s="102">
        <f>TrAvia_ene!Q$12</f>
        <v>56.988396993585745</v>
      </c>
      <c r="R54" s="102">
        <f>TrAvia_ene!R$12</f>
        <v>50.046214280553372</v>
      </c>
      <c r="S54" s="102">
        <f>TrAvia_ene!S$12</f>
        <v>54.421259347340786</v>
      </c>
      <c r="T54" s="102">
        <f>TrAvia_ene!T$12</f>
        <v>47.223342549654397</v>
      </c>
      <c r="U54" s="102">
        <f>TrAvia_ene!U$12</f>
        <v>47.94307194533129</v>
      </c>
      <c r="V54" s="102">
        <f>TrAvia_ene!V$12</f>
        <v>45.737860108290448</v>
      </c>
      <c r="W54" s="102">
        <f>TrAvia_ene!W$12</f>
        <v>46.692236433158911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362.10714074104038</v>
      </c>
      <c r="C55" s="102">
        <f>TrAvia_ene!C$13</f>
        <v>350.51641389232458</v>
      </c>
      <c r="D55" s="102">
        <f>TrAvia_ene!D$13</f>
        <v>356.38045506063094</v>
      </c>
      <c r="E55" s="102">
        <f>TrAvia_ene!E$13</f>
        <v>365.23474576312776</v>
      </c>
      <c r="F55" s="102">
        <f>TrAvia_ene!F$13</f>
        <v>403.6617986916408</v>
      </c>
      <c r="G55" s="102">
        <f>TrAvia_ene!G$13</f>
        <v>415.3594499501001</v>
      </c>
      <c r="H55" s="102">
        <f>TrAvia_ene!H$13</f>
        <v>427.90751383533882</v>
      </c>
      <c r="I55" s="102">
        <f>TrAvia_ene!I$13</f>
        <v>445.2288051947948</v>
      </c>
      <c r="J55" s="102">
        <f>TrAvia_ene!J$13</f>
        <v>454.40803410314089</v>
      </c>
      <c r="K55" s="102">
        <f>TrAvia_ene!K$13</f>
        <v>348.87782759425653</v>
      </c>
      <c r="L55" s="102">
        <f>TrAvia_ene!L$13</f>
        <v>413.25861972485569</v>
      </c>
      <c r="M55" s="102">
        <f>TrAvia_ene!M$13</f>
        <v>437.37236219121263</v>
      </c>
      <c r="N55" s="102">
        <f>TrAvia_ene!N$13</f>
        <v>438.36927907462541</v>
      </c>
      <c r="O55" s="102">
        <f>TrAvia_ene!O$13</f>
        <v>401.53607529150372</v>
      </c>
      <c r="P55" s="102">
        <f>TrAvia_ene!P$13</f>
        <v>459.21408144718242</v>
      </c>
      <c r="Q55" s="102">
        <f>TrAvia_ene!Q$13</f>
        <v>492.39222815539279</v>
      </c>
      <c r="R55" s="102">
        <f>TrAvia_ene!R$13</f>
        <v>421.13679809263374</v>
      </c>
      <c r="S55" s="102">
        <f>TrAvia_ene!S$13</f>
        <v>426.06803225348057</v>
      </c>
      <c r="T55" s="102">
        <f>TrAvia_ene!T$13</f>
        <v>417.24112240448261</v>
      </c>
      <c r="U55" s="102">
        <f>TrAvia_ene!U$13</f>
        <v>392.4074099700025</v>
      </c>
      <c r="V55" s="102">
        <f>TrAvia_ene!V$13</f>
        <v>465.30152761022453</v>
      </c>
      <c r="W55" s="102">
        <f>TrAvia_ene!W$13</f>
        <v>426.12815155809727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483.10877042132415</v>
      </c>
      <c r="C56" s="110">
        <f t="shared" si="45"/>
        <v>438.3539122957867</v>
      </c>
      <c r="D56" s="110">
        <f t="shared" si="45"/>
        <v>442.80352536543421</v>
      </c>
      <c r="E56" s="110">
        <f t="shared" si="45"/>
        <v>463.52794496990543</v>
      </c>
      <c r="F56" s="110">
        <f t="shared" si="45"/>
        <v>530.35176268271709</v>
      </c>
      <c r="G56" s="110">
        <f t="shared" si="45"/>
        <v>475.16448839208942</v>
      </c>
      <c r="H56" s="110">
        <f t="shared" si="45"/>
        <v>489.02699914015466</v>
      </c>
      <c r="I56" s="110">
        <f t="shared" si="45"/>
        <v>506.16225279449691</v>
      </c>
      <c r="J56" s="110">
        <f t="shared" si="45"/>
        <v>485.88331900257958</v>
      </c>
      <c r="K56" s="110">
        <f t="shared" si="45"/>
        <v>491.1377472055031</v>
      </c>
      <c r="L56" s="110">
        <f t="shared" si="45"/>
        <v>493.46388650042991</v>
      </c>
      <c r="M56" s="110">
        <f t="shared" si="45"/>
        <v>477.76680997420453</v>
      </c>
      <c r="N56" s="110">
        <f t="shared" si="45"/>
        <v>474.9424763542562</v>
      </c>
      <c r="O56" s="110">
        <f t="shared" si="45"/>
        <v>478.28675838349091</v>
      </c>
      <c r="P56" s="110">
        <f t="shared" si="45"/>
        <v>477.64445399828031</v>
      </c>
      <c r="Q56" s="110">
        <f t="shared" si="45"/>
        <v>482.8561478933791</v>
      </c>
      <c r="R56" s="110">
        <f t="shared" ref="R56:V56" si="46">R57+R58</f>
        <v>476.71418744625964</v>
      </c>
      <c r="S56" s="110">
        <f t="shared" si="46"/>
        <v>475.06018916595008</v>
      </c>
      <c r="T56" s="110">
        <f t="shared" si="46"/>
        <v>473.4766122098024</v>
      </c>
      <c r="U56" s="110">
        <f t="shared" si="46"/>
        <v>483.3239036973344</v>
      </c>
      <c r="V56" s="110">
        <f t="shared" si="46"/>
        <v>418.76182287188294</v>
      </c>
      <c r="W56" s="110">
        <f t="shared" ref="W56" si="47">W57+W58</f>
        <v>480.3801375752364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400.22789126899806</v>
      </c>
      <c r="C57" s="102">
        <f>TrNavi_ene!C4</f>
        <v>343.65054416615214</v>
      </c>
      <c r="D57" s="102">
        <f>TrNavi_ene!D4</f>
        <v>345.42110033278033</v>
      </c>
      <c r="E57" s="102">
        <f>TrNavi_ene!E4</f>
        <v>342.19966155999867</v>
      </c>
      <c r="F57" s="102">
        <f>TrNavi_ene!F4</f>
        <v>381.80123680916557</v>
      </c>
      <c r="G57" s="102">
        <f>TrNavi_ene!G4</f>
        <v>356.00347361247043</v>
      </c>
      <c r="H57" s="102">
        <f>TrNavi_ene!H4</f>
        <v>400.49284278182688</v>
      </c>
      <c r="I57" s="102">
        <f>TrNavi_ene!I4</f>
        <v>372.56619830001193</v>
      </c>
      <c r="J57" s="102">
        <f>TrNavi_ene!J4</f>
        <v>399.85318510319746</v>
      </c>
      <c r="K57" s="102">
        <f>TrNavi_ene!K4</f>
        <v>379.71309884924369</v>
      </c>
      <c r="L57" s="102">
        <f>TrNavi_ene!L4</f>
        <v>393.56357743222509</v>
      </c>
      <c r="M57" s="102">
        <f>TrNavi_ene!M4</f>
        <v>383.47000541857869</v>
      </c>
      <c r="N57" s="102">
        <f>TrNavi_ene!N4</f>
        <v>364.90294545009078</v>
      </c>
      <c r="O57" s="102">
        <f>TrNavi_ene!O4</f>
        <v>300.59450867389501</v>
      </c>
      <c r="P57" s="102">
        <f>TrNavi_ene!P4</f>
        <v>361.31538008884485</v>
      </c>
      <c r="Q57" s="102">
        <f>TrNavi_ene!Q4</f>
        <v>375.69119086295029</v>
      </c>
      <c r="R57" s="102">
        <f>TrNavi_ene!R4</f>
        <v>345.62256187375891</v>
      </c>
      <c r="S57" s="102">
        <f>TrNavi_ene!S4</f>
        <v>366.4114527219989</v>
      </c>
      <c r="T57" s="102">
        <f>TrNavi_ene!T4</f>
        <v>380.57507078947111</v>
      </c>
      <c r="U57" s="102">
        <f>TrNavi_ene!U4</f>
        <v>385.83913246360555</v>
      </c>
      <c r="V57" s="102">
        <f>TrNavi_ene!V4</f>
        <v>339.19444598886025</v>
      </c>
      <c r="W57" s="102">
        <f>TrNavi_ene!W4</f>
        <v>388.32493848525343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82.880879152326074</v>
      </c>
      <c r="C58" s="169">
        <f>TrNavi_ene!C10</f>
        <v>94.703368129634541</v>
      </c>
      <c r="D58" s="169">
        <f>TrNavi_ene!D10</f>
        <v>97.382425032653913</v>
      </c>
      <c r="E58" s="169">
        <f>TrNavi_ene!E10</f>
        <v>121.32828340990673</v>
      </c>
      <c r="F58" s="169">
        <f>TrNavi_ene!F10</f>
        <v>148.55052587355152</v>
      </c>
      <c r="G58" s="169">
        <f>TrNavi_ene!G10</f>
        <v>119.16101477961898</v>
      </c>
      <c r="H58" s="169">
        <f>TrNavi_ene!H10</f>
        <v>88.534156358327806</v>
      </c>
      <c r="I58" s="169">
        <f>TrNavi_ene!I10</f>
        <v>133.59605449448495</v>
      </c>
      <c r="J58" s="169">
        <f>TrNavi_ene!J10</f>
        <v>86.030133899382093</v>
      </c>
      <c r="K58" s="169">
        <f>TrNavi_ene!K10</f>
        <v>111.42464835625941</v>
      </c>
      <c r="L58" s="169">
        <f>TrNavi_ene!L10</f>
        <v>99.90030906820482</v>
      </c>
      <c r="M58" s="169">
        <f>TrNavi_ene!M10</f>
        <v>94.296804555625826</v>
      </c>
      <c r="N58" s="169">
        <f>TrNavi_ene!N10</f>
        <v>110.03953090416545</v>
      </c>
      <c r="O58" s="169">
        <f>TrNavi_ene!O10</f>
        <v>177.6922497095959</v>
      </c>
      <c r="P58" s="169">
        <f>TrNavi_ene!P10</f>
        <v>116.32907390943548</v>
      </c>
      <c r="Q58" s="169">
        <f>TrNavi_ene!Q10</f>
        <v>107.16495703042884</v>
      </c>
      <c r="R58" s="169">
        <f>TrNavi_ene!R10</f>
        <v>131.09162557250073</v>
      </c>
      <c r="S58" s="169">
        <f>TrNavi_ene!S10</f>
        <v>108.64873644395121</v>
      </c>
      <c r="T58" s="169">
        <f>TrNavi_ene!T10</f>
        <v>92.901541420331256</v>
      </c>
      <c r="U58" s="169">
        <f>TrNavi_ene!U10</f>
        <v>97.484771233728836</v>
      </c>
      <c r="V58" s="169">
        <f>TrNavi_ene!V10</f>
        <v>79.567376883022675</v>
      </c>
      <c r="W58" s="169">
        <f>TrNavi_ene!W10</f>
        <v>92.055199089982992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2818.4197764402406</v>
      </c>
      <c r="C59" s="28">
        <f t="shared" ref="C59:W59" si="48">C60+C61</f>
        <v>2390.2073086844362</v>
      </c>
      <c r="D59" s="28">
        <f t="shared" si="48"/>
        <v>2313.4613069647462</v>
      </c>
      <c r="E59" s="28">
        <f t="shared" si="48"/>
        <v>2478.2748925193459</v>
      </c>
      <c r="F59" s="28">
        <f t="shared" si="48"/>
        <v>2796.8029234737742</v>
      </c>
      <c r="G59" s="28">
        <f t="shared" si="48"/>
        <v>2557.3062768701639</v>
      </c>
      <c r="H59" s="28">
        <f t="shared" si="48"/>
        <v>2646.6034393809114</v>
      </c>
      <c r="I59" s="28">
        <f t="shared" si="48"/>
        <v>2712.4119518486668</v>
      </c>
      <c r="J59" s="28">
        <f t="shared" si="48"/>
        <v>2370.3568357695608</v>
      </c>
      <c r="K59" s="28">
        <f t="shared" si="48"/>
        <v>2364.3950988822016</v>
      </c>
      <c r="L59" s="28">
        <f t="shared" si="48"/>
        <v>2293.5897678417887</v>
      </c>
      <c r="M59" s="28">
        <f t="shared" si="48"/>
        <v>2633.7740326741186</v>
      </c>
      <c r="N59" s="28">
        <f t="shared" si="48"/>
        <v>2494.5598452278587</v>
      </c>
      <c r="O59" s="28">
        <f t="shared" si="48"/>
        <v>2279.2638005159074</v>
      </c>
      <c r="P59" s="28">
        <f t="shared" si="48"/>
        <v>1952.0380051590714</v>
      </c>
      <c r="Q59" s="28">
        <f t="shared" si="48"/>
        <v>1747.9613929492689</v>
      </c>
      <c r="R59" s="28">
        <f t="shared" si="48"/>
        <v>1658.9067927772999</v>
      </c>
      <c r="S59" s="28">
        <f t="shared" si="48"/>
        <v>1749.3066208082544</v>
      </c>
      <c r="T59" s="28">
        <f t="shared" si="48"/>
        <v>1969.4362854686153</v>
      </c>
      <c r="U59" s="28">
        <f t="shared" si="48"/>
        <v>1722.1537403267409</v>
      </c>
      <c r="V59" s="28">
        <f t="shared" si="48"/>
        <v>986.91711092003425</v>
      </c>
      <c r="W59" s="28">
        <f t="shared" si="48"/>
        <v>1081.519604471195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832.5718583601996</v>
      </c>
      <c r="C60" s="102">
        <f>MBunk_ene!C$4</f>
        <v>708.83888604584342</v>
      </c>
      <c r="D60" s="102">
        <f>MBunk_ene!D$4</f>
        <v>638.56122136476483</v>
      </c>
      <c r="E60" s="102">
        <f>MBunk_ene!E$4</f>
        <v>671.51572865094465</v>
      </c>
      <c r="F60" s="102">
        <f>MBunk_ene!F$4</f>
        <v>774.26934111162257</v>
      </c>
      <c r="G60" s="102">
        <f>MBunk_ene!G$4</f>
        <v>677.54303034385384</v>
      </c>
      <c r="H60" s="102">
        <f>MBunk_ene!H$4</f>
        <v>641.66903219877474</v>
      </c>
      <c r="I60" s="102">
        <f>MBunk_ene!I$4</f>
        <v>669.36758972702705</v>
      </c>
      <c r="J60" s="102">
        <f>MBunk_ene!J$4</f>
        <v>569.89752769893892</v>
      </c>
      <c r="K60" s="102">
        <f>MBunk_ene!K$4</f>
        <v>607.75439537128545</v>
      </c>
      <c r="L60" s="102">
        <f>MBunk_ene!L$4</f>
        <v>591.80235368621516</v>
      </c>
      <c r="M60" s="102">
        <f>MBunk_ene!M$4</f>
        <v>661.16174108623159</v>
      </c>
      <c r="N60" s="102">
        <f>MBunk_ene!N$4</f>
        <v>630.26321093583556</v>
      </c>
      <c r="O60" s="102">
        <f>MBunk_ene!O$4</f>
        <v>540.0790774609851</v>
      </c>
      <c r="P60" s="102">
        <f>MBunk_ene!P$4</f>
        <v>467.17030988967554</v>
      </c>
      <c r="Q60" s="102">
        <f>MBunk_ene!Q$4</f>
        <v>396.86488659906524</v>
      </c>
      <c r="R60" s="102">
        <f>MBunk_ene!R$4</f>
        <v>414.99169679954218</v>
      </c>
      <c r="S60" s="102">
        <f>MBunk_ene!S$4</f>
        <v>430.38015069383528</v>
      </c>
      <c r="T60" s="102">
        <f>MBunk_ene!T$4</f>
        <v>485.62304933789079</v>
      </c>
      <c r="U60" s="102">
        <f>MBunk_ene!U$4</f>
        <v>413.92540892458322</v>
      </c>
      <c r="V60" s="102">
        <f>MBunk_ene!V$4</f>
        <v>216.47273461723455</v>
      </c>
      <c r="W60" s="102">
        <f>MBunk_ene!W$4</f>
        <v>228.770434513059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1985.8479180800412</v>
      </c>
      <c r="C61" s="86">
        <f>MBunk_ene!C$10</f>
        <v>1681.3684226385926</v>
      </c>
      <c r="D61" s="86">
        <f>MBunk_ene!D$10</f>
        <v>1674.9000855999814</v>
      </c>
      <c r="E61" s="86">
        <f>MBunk_ene!E$10</f>
        <v>1806.7591638684012</v>
      </c>
      <c r="F61" s="86">
        <f>MBunk_ene!F$10</f>
        <v>2022.5335823621517</v>
      </c>
      <c r="G61" s="86">
        <f>MBunk_ene!G$10</f>
        <v>1879.7632465263098</v>
      </c>
      <c r="H61" s="86">
        <f>MBunk_ene!H$10</f>
        <v>2004.9344071821367</v>
      </c>
      <c r="I61" s="86">
        <f>MBunk_ene!I$10</f>
        <v>2043.0443621216398</v>
      </c>
      <c r="J61" s="86">
        <f>MBunk_ene!J$10</f>
        <v>1800.459308070622</v>
      </c>
      <c r="K61" s="86">
        <f>MBunk_ene!K$10</f>
        <v>1756.6407035109162</v>
      </c>
      <c r="L61" s="86">
        <f>MBunk_ene!L$10</f>
        <v>1701.7874141555735</v>
      </c>
      <c r="M61" s="86">
        <f>MBunk_ene!M$10</f>
        <v>1972.6122915878868</v>
      </c>
      <c r="N61" s="86">
        <f>MBunk_ene!N$10</f>
        <v>1864.2966342920231</v>
      </c>
      <c r="O61" s="86">
        <f>MBunk_ene!O$10</f>
        <v>1739.1847230549224</v>
      </c>
      <c r="P61" s="86">
        <f>MBunk_ene!P$10</f>
        <v>1484.8676952693959</v>
      </c>
      <c r="Q61" s="86">
        <f>MBunk_ene!Q$10</f>
        <v>1351.0965063502035</v>
      </c>
      <c r="R61" s="86">
        <f>MBunk_ene!R$10</f>
        <v>1243.9150959777576</v>
      </c>
      <c r="S61" s="86">
        <f>MBunk_ene!S$10</f>
        <v>1318.9264701144191</v>
      </c>
      <c r="T61" s="86">
        <f>MBunk_ene!T$10</f>
        <v>1483.8132361307246</v>
      </c>
      <c r="U61" s="86">
        <f>MBunk_ene!U$10</f>
        <v>1308.2283314021577</v>
      </c>
      <c r="V61" s="86">
        <f>MBunk_ene!V$10</f>
        <v>770.4443763027997</v>
      </c>
      <c r="W61" s="86">
        <f>MBunk_ene!W$10</f>
        <v>852.74916995813601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99468.922032531846</v>
      </c>
      <c r="C64" s="28">
        <f t="shared" si="49"/>
        <v>100894.08422978762</v>
      </c>
      <c r="D64" s="28">
        <f t="shared" si="49"/>
        <v>101140.28222597734</v>
      </c>
      <c r="E64" s="28">
        <f t="shared" si="49"/>
        <v>99090.235803089716</v>
      </c>
      <c r="F64" s="28">
        <f t="shared" si="49"/>
        <v>98876.880865286104</v>
      </c>
      <c r="G64" s="28">
        <f t="shared" si="49"/>
        <v>97555.337613720301</v>
      </c>
      <c r="H64" s="28">
        <f t="shared" si="49"/>
        <v>98628.537703515452</v>
      </c>
      <c r="I64" s="28">
        <f t="shared" si="49"/>
        <v>98832.746843240719</v>
      </c>
      <c r="J64" s="28">
        <f t="shared" si="49"/>
        <v>96045.015228984354</v>
      </c>
      <c r="K64" s="28">
        <f t="shared" si="49"/>
        <v>96051.975026732543</v>
      </c>
      <c r="L64" s="28">
        <f t="shared" si="49"/>
        <v>95278.573553913244</v>
      </c>
      <c r="M64" s="28">
        <f t="shared" si="49"/>
        <v>99082.684876218962</v>
      </c>
      <c r="N64" s="28">
        <f t="shared" si="49"/>
        <v>99039.052680734603</v>
      </c>
      <c r="O64" s="28">
        <f t="shared" si="49"/>
        <v>97785.135114269578</v>
      </c>
      <c r="P64" s="28">
        <f t="shared" si="49"/>
        <v>98297.522290776804</v>
      </c>
      <c r="Q64" s="28">
        <f t="shared" si="49"/>
        <v>100404.23866430207</v>
      </c>
      <c r="R64" s="28">
        <f t="shared" ref="R64:V64" si="50">R65+R69+R73</f>
        <v>100451.49660103346</v>
      </c>
      <c r="S64" s="28">
        <f t="shared" si="50"/>
        <v>100423.08564066228</v>
      </c>
      <c r="T64" s="28">
        <f t="shared" si="50"/>
        <v>99189.252983857645</v>
      </c>
      <c r="U64" s="28">
        <f t="shared" si="50"/>
        <v>99809.832057009742</v>
      </c>
      <c r="V64" s="28">
        <f t="shared" si="50"/>
        <v>73038.100667590959</v>
      </c>
      <c r="W64" s="28">
        <f t="shared" ref="W64" si="51">W65+W69+W73</f>
        <v>82100.175061316913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81131.833833187455</v>
      </c>
      <c r="C65" s="137">
        <f t="shared" si="52"/>
        <v>82964.002162041259</v>
      </c>
      <c r="D65" s="137">
        <f t="shared" si="52"/>
        <v>83313.160140371925</v>
      </c>
      <c r="E65" s="137">
        <f t="shared" si="52"/>
        <v>81970.211939643574</v>
      </c>
      <c r="F65" s="137">
        <f t="shared" si="52"/>
        <v>80921.232058067864</v>
      </c>
      <c r="G65" s="137">
        <f t="shared" si="52"/>
        <v>79492.048642328708</v>
      </c>
      <c r="H65" s="137">
        <f t="shared" si="52"/>
        <v>79858.264529552282</v>
      </c>
      <c r="I65" s="137">
        <f t="shared" si="52"/>
        <v>79528.270800493832</v>
      </c>
      <c r="J65" s="137">
        <f t="shared" si="52"/>
        <v>76615.098290823691</v>
      </c>
      <c r="K65" s="137">
        <f t="shared" si="52"/>
        <v>78025.778725004246</v>
      </c>
      <c r="L65" s="137">
        <f t="shared" si="52"/>
        <v>77227.105731718562</v>
      </c>
      <c r="M65" s="137">
        <f t="shared" si="52"/>
        <v>78861.877061960491</v>
      </c>
      <c r="N65" s="137">
        <f t="shared" si="52"/>
        <v>79308.119827027724</v>
      </c>
      <c r="O65" s="137">
        <f t="shared" si="52"/>
        <v>78204.780463672665</v>
      </c>
      <c r="P65" s="137">
        <f t="shared" si="52"/>
        <v>79016.813428274341</v>
      </c>
      <c r="Q65" s="137">
        <f t="shared" si="52"/>
        <v>80261.298681701737</v>
      </c>
      <c r="R65" s="137">
        <f t="shared" ref="R65:V65" si="53">R66+R67+R68</f>
        <v>80272.195497865789</v>
      </c>
      <c r="S65" s="137">
        <f t="shared" si="53"/>
        <v>79853.518171358795</v>
      </c>
      <c r="T65" s="137">
        <f t="shared" si="53"/>
        <v>77780.684555556218</v>
      </c>
      <c r="U65" s="137">
        <f t="shared" si="53"/>
        <v>77355.705418677855</v>
      </c>
      <c r="V65" s="137">
        <f t="shared" si="53"/>
        <v>63411.001233802002</v>
      </c>
      <c r="W65" s="137">
        <f t="shared" ref="W65" si="54">W66+W67+W68</f>
        <v>71542.461005798905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1037.2695092802005</v>
      </c>
      <c r="C66" s="102">
        <f>TrRoad_emi!C$19</f>
        <v>1133.0083653642723</v>
      </c>
      <c r="D66" s="102">
        <f>TrRoad_emi!D$19</f>
        <v>1254.2966646852392</v>
      </c>
      <c r="E66" s="102">
        <f>TrRoad_emi!E$19</f>
        <v>1251.5887429857187</v>
      </c>
      <c r="F66" s="102">
        <f>TrRoad_emi!F$19</f>
        <v>1327.7465970593919</v>
      </c>
      <c r="G66" s="102">
        <f>TrRoad_emi!G$19</f>
        <v>1349.6834013030682</v>
      </c>
      <c r="H66" s="102">
        <f>TrRoad_emi!H$19</f>
        <v>1340.2320198160448</v>
      </c>
      <c r="I66" s="102">
        <f>TrRoad_emi!I$19</f>
        <v>1366.212458128326</v>
      </c>
      <c r="J66" s="102">
        <f>TrRoad_emi!J$19</f>
        <v>1406.888548091187</v>
      </c>
      <c r="K66" s="102">
        <f>TrRoad_emi!K$19</f>
        <v>1454.4988599636524</v>
      </c>
      <c r="L66" s="102">
        <f>TrRoad_emi!L$19</f>
        <v>1439.9998226150799</v>
      </c>
      <c r="M66" s="102">
        <f>TrRoad_emi!M$19</f>
        <v>1429.2514406590888</v>
      </c>
      <c r="N66" s="102">
        <f>TrRoad_emi!N$19</f>
        <v>1424.8463989846489</v>
      </c>
      <c r="O66" s="102">
        <f>TrRoad_emi!O$19</f>
        <v>1439.0347509768028</v>
      </c>
      <c r="P66" s="102">
        <f>TrRoad_emi!P$19</f>
        <v>1470.3174274681701</v>
      </c>
      <c r="Q66" s="102">
        <f>TrRoad_emi!Q$19</f>
        <v>1473.6618811877497</v>
      </c>
      <c r="R66" s="102">
        <f>TrRoad_emi!R$19</f>
        <v>1357.4232919764379</v>
      </c>
      <c r="S66" s="102">
        <f>TrRoad_emi!S$19</f>
        <v>1280.3401979164423</v>
      </c>
      <c r="T66" s="102">
        <f>TrRoad_emi!T$19</f>
        <v>1266.8000793464344</v>
      </c>
      <c r="U66" s="102">
        <f>TrRoad_emi!U$19</f>
        <v>1267.7427855390767</v>
      </c>
      <c r="V66" s="102">
        <f>TrRoad_emi!V$19</f>
        <v>1087.0697603416713</v>
      </c>
      <c r="W66" s="102">
        <f>TrRoad_emi!W$19</f>
        <v>1083.4897981400745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74908.359187408612</v>
      </c>
      <c r="C67" s="102">
        <f>TrRoad_emi!C$20</f>
        <v>76761.004426720538</v>
      </c>
      <c r="D67" s="102">
        <f>TrRoad_emi!D$20</f>
        <v>76991.570555481565</v>
      </c>
      <c r="E67" s="102">
        <f>TrRoad_emi!E$20</f>
        <v>75629.201812548563</v>
      </c>
      <c r="F67" s="102">
        <f>TrRoad_emi!F$20</f>
        <v>74444.88853419121</v>
      </c>
      <c r="G67" s="102">
        <f>TrRoad_emi!G$20</f>
        <v>73019.079946390149</v>
      </c>
      <c r="H67" s="102">
        <f>TrRoad_emi!H$20</f>
        <v>73192.344985337986</v>
      </c>
      <c r="I67" s="102">
        <f>TrRoad_emi!I$20</f>
        <v>72807.253636854512</v>
      </c>
      <c r="J67" s="102">
        <f>TrRoad_emi!J$20</f>
        <v>69987.721643907527</v>
      </c>
      <c r="K67" s="102">
        <f>TrRoad_emi!K$20</f>
        <v>71590.912300643846</v>
      </c>
      <c r="L67" s="102">
        <f>TrRoad_emi!L$20</f>
        <v>70943.055434532624</v>
      </c>
      <c r="M67" s="102">
        <f>TrRoad_emi!M$20</f>
        <v>72627.332380691296</v>
      </c>
      <c r="N67" s="102">
        <f>TrRoad_emi!N$20</f>
        <v>73144.27218145087</v>
      </c>
      <c r="O67" s="102">
        <f>TrRoad_emi!O$20</f>
        <v>72337.809994490002</v>
      </c>
      <c r="P67" s="102">
        <f>TrRoad_emi!P$20</f>
        <v>73101.054730226984</v>
      </c>
      <c r="Q67" s="102">
        <f>TrRoad_emi!Q$20</f>
        <v>74245.57129755411</v>
      </c>
      <c r="R67" s="102">
        <f>TrRoad_emi!R$20</f>
        <v>74242.816626979824</v>
      </c>
      <c r="S67" s="102">
        <f>TrRoad_emi!S$20</f>
        <v>73951.211944014707</v>
      </c>
      <c r="T67" s="102">
        <f>TrRoad_emi!T$20</f>
        <v>71838.556830833753</v>
      </c>
      <c r="U67" s="102">
        <f>TrRoad_emi!U$20</f>
        <v>71431.506415701762</v>
      </c>
      <c r="V67" s="102">
        <f>TrRoad_emi!V$20</f>
        <v>58652.349181255384</v>
      </c>
      <c r="W67" s="102">
        <f>TrRoad_emi!W$20</f>
        <v>66486.954939500312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5186.2051364986401</v>
      </c>
      <c r="C68" s="102">
        <f>TrRoad_emi!C$27</f>
        <v>5069.98936995645</v>
      </c>
      <c r="D68" s="102">
        <f>TrRoad_emi!D$27</f>
        <v>5067.2929202051173</v>
      </c>
      <c r="E68" s="102">
        <f>TrRoad_emi!E$27</f>
        <v>5089.4213841092933</v>
      </c>
      <c r="F68" s="102">
        <f>TrRoad_emi!F$27</f>
        <v>5148.5969268172557</v>
      </c>
      <c r="G68" s="102">
        <f>TrRoad_emi!G$27</f>
        <v>5123.2852946354878</v>
      </c>
      <c r="H68" s="102">
        <f>TrRoad_emi!H$27</f>
        <v>5325.6875243982449</v>
      </c>
      <c r="I68" s="102">
        <f>TrRoad_emi!I$27</f>
        <v>5354.8047055109864</v>
      </c>
      <c r="J68" s="102">
        <f>TrRoad_emi!J$27</f>
        <v>5220.4880988249724</v>
      </c>
      <c r="K68" s="102">
        <f>TrRoad_emi!K$27</f>
        <v>4980.3675643967417</v>
      </c>
      <c r="L68" s="102">
        <f>TrRoad_emi!L$27</f>
        <v>4844.0504745708586</v>
      </c>
      <c r="M68" s="102">
        <f>TrRoad_emi!M$27</f>
        <v>4805.2932406101063</v>
      </c>
      <c r="N68" s="102">
        <f>TrRoad_emi!N$27</f>
        <v>4739.0012465922082</v>
      </c>
      <c r="O68" s="102">
        <f>TrRoad_emi!O$27</f>
        <v>4427.9357182058557</v>
      </c>
      <c r="P68" s="102">
        <f>TrRoad_emi!P$27</f>
        <v>4445.4412705791901</v>
      </c>
      <c r="Q68" s="102">
        <f>TrRoad_emi!Q$27</f>
        <v>4542.065502959872</v>
      </c>
      <c r="R68" s="102">
        <f>TrRoad_emi!R$27</f>
        <v>4671.9555789095284</v>
      </c>
      <c r="S68" s="102">
        <f>TrRoad_emi!S$27</f>
        <v>4621.9660294276327</v>
      </c>
      <c r="T68" s="102">
        <f>TrRoad_emi!T$27</f>
        <v>4675.3276453760391</v>
      </c>
      <c r="U68" s="102">
        <f>TrRoad_emi!U$27</f>
        <v>4656.4562174370212</v>
      </c>
      <c r="V68" s="102">
        <f>TrRoad_emi!V$27</f>
        <v>3671.5822922049474</v>
      </c>
      <c r="W68" s="102">
        <f>TrRoad_emi!W$27</f>
        <v>3972.0162681585243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815.03799164555892</v>
      </c>
      <c r="C69" s="110">
        <f t="shared" si="55"/>
        <v>524.0615648695931</v>
      </c>
      <c r="D69" s="110">
        <f t="shared" si="55"/>
        <v>540.94873987121332</v>
      </c>
      <c r="E69" s="110">
        <f t="shared" si="55"/>
        <v>521.44839116759692</v>
      </c>
      <c r="F69" s="110">
        <f t="shared" si="55"/>
        <v>567.72939740932361</v>
      </c>
      <c r="G69" s="110">
        <f t="shared" si="55"/>
        <v>532.38810473560852</v>
      </c>
      <c r="H69" s="110">
        <f t="shared" si="55"/>
        <v>522.32776990876039</v>
      </c>
      <c r="I69" s="110">
        <f t="shared" si="55"/>
        <v>482.26199302100514</v>
      </c>
      <c r="J69" s="110">
        <f t="shared" si="55"/>
        <v>503.27120766489497</v>
      </c>
      <c r="K69" s="110">
        <f t="shared" si="55"/>
        <v>480.54837369057969</v>
      </c>
      <c r="L69" s="110">
        <f t="shared" si="55"/>
        <v>456.87120952170869</v>
      </c>
      <c r="M69" s="110">
        <f t="shared" si="55"/>
        <v>463.26277080711532</v>
      </c>
      <c r="N69" s="110">
        <f t="shared" si="55"/>
        <v>432.66972818982282</v>
      </c>
      <c r="O69" s="110">
        <f t="shared" si="55"/>
        <v>424.72775684502443</v>
      </c>
      <c r="P69" s="110">
        <f t="shared" si="55"/>
        <v>398.46675851002198</v>
      </c>
      <c r="Q69" s="110">
        <f t="shared" si="55"/>
        <v>402.50535425650418</v>
      </c>
      <c r="R69" s="110">
        <f t="shared" ref="R69:V69" si="56">R70+R71+R72</f>
        <v>340.33225210568366</v>
      </c>
      <c r="S69" s="110">
        <f t="shared" si="56"/>
        <v>352.26991945314506</v>
      </c>
      <c r="T69" s="110">
        <f t="shared" si="56"/>
        <v>309.45899431113423</v>
      </c>
      <c r="U69" s="110">
        <f t="shared" si="56"/>
        <v>304.39271810230082</v>
      </c>
      <c r="V69" s="110">
        <f t="shared" si="56"/>
        <v>241.32870085316097</v>
      </c>
      <c r="W69" s="110">
        <f t="shared" ref="W69" si="57">W70+W71+W72</f>
        <v>275.35590946562888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815.03799164555892</v>
      </c>
      <c r="C71" s="102">
        <f>TrRail_emi!C$11</f>
        <v>524.0615648695931</v>
      </c>
      <c r="D71" s="102">
        <f>TrRail_emi!D$11</f>
        <v>540.94873987121332</v>
      </c>
      <c r="E71" s="102">
        <f>TrRail_emi!E$11</f>
        <v>521.44839116759692</v>
      </c>
      <c r="F71" s="102">
        <f>TrRail_emi!F$11</f>
        <v>567.72939740932361</v>
      </c>
      <c r="G71" s="102">
        <f>TrRail_emi!G$11</f>
        <v>532.38810473560852</v>
      </c>
      <c r="H71" s="102">
        <f>TrRail_emi!H$11</f>
        <v>522.32776990876039</v>
      </c>
      <c r="I71" s="102">
        <f>TrRail_emi!I$11</f>
        <v>482.26199302100514</v>
      </c>
      <c r="J71" s="102">
        <f>TrRail_emi!J$11</f>
        <v>503.27120766489497</v>
      </c>
      <c r="K71" s="102">
        <f>TrRail_emi!K$11</f>
        <v>480.54837369057969</v>
      </c>
      <c r="L71" s="102">
        <f>TrRail_emi!L$11</f>
        <v>456.87120952170869</v>
      </c>
      <c r="M71" s="102">
        <f>TrRail_emi!M$11</f>
        <v>463.26277080711532</v>
      </c>
      <c r="N71" s="102">
        <f>TrRail_emi!N$11</f>
        <v>432.66972818982282</v>
      </c>
      <c r="O71" s="102">
        <f>TrRail_emi!O$11</f>
        <v>424.72775684502443</v>
      </c>
      <c r="P71" s="102">
        <f>TrRail_emi!P$11</f>
        <v>398.46675851002198</v>
      </c>
      <c r="Q71" s="102">
        <f>TrRail_emi!Q$11</f>
        <v>402.50535425650418</v>
      </c>
      <c r="R71" s="102">
        <f>TrRail_emi!R$11</f>
        <v>340.33225210568366</v>
      </c>
      <c r="S71" s="102">
        <f>TrRail_emi!S$11</f>
        <v>352.26991945314506</v>
      </c>
      <c r="T71" s="102">
        <f>TrRail_emi!T$11</f>
        <v>309.45899431113423</v>
      </c>
      <c r="U71" s="102">
        <f>TrRail_emi!U$11</f>
        <v>304.39271810230082</v>
      </c>
      <c r="V71" s="102">
        <f>TrRail_emi!V$11</f>
        <v>241.32870085316097</v>
      </c>
      <c r="W71" s="102">
        <f>TrRail_emi!W$11</f>
        <v>275.35590946562888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17522.05020769883</v>
      </c>
      <c r="C73" s="110">
        <f t="shared" si="58"/>
        <v>17406.020502876767</v>
      </c>
      <c r="D73" s="110">
        <f t="shared" si="58"/>
        <v>17286.173345734205</v>
      </c>
      <c r="E73" s="110">
        <f t="shared" si="58"/>
        <v>16598.575472278557</v>
      </c>
      <c r="F73" s="110">
        <f t="shared" si="58"/>
        <v>17387.919409808921</v>
      </c>
      <c r="G73" s="110">
        <f t="shared" si="58"/>
        <v>17530.900866655975</v>
      </c>
      <c r="H73" s="110">
        <f t="shared" si="58"/>
        <v>18247.945404054411</v>
      </c>
      <c r="I73" s="110">
        <f t="shared" si="58"/>
        <v>18822.214049725873</v>
      </c>
      <c r="J73" s="110">
        <f t="shared" si="58"/>
        <v>18926.645730495769</v>
      </c>
      <c r="K73" s="110">
        <f t="shared" si="58"/>
        <v>17545.647928037728</v>
      </c>
      <c r="L73" s="110">
        <f t="shared" si="58"/>
        <v>17594.596612672976</v>
      </c>
      <c r="M73" s="110">
        <f t="shared" si="58"/>
        <v>19757.545043451362</v>
      </c>
      <c r="N73" s="110">
        <f t="shared" si="58"/>
        <v>19298.263125517056</v>
      </c>
      <c r="O73" s="110">
        <f t="shared" si="58"/>
        <v>19155.626893751891</v>
      </c>
      <c r="P73" s="110">
        <f t="shared" si="58"/>
        <v>18882.242103992445</v>
      </c>
      <c r="Q73" s="110">
        <f t="shared" si="58"/>
        <v>19740.434628343828</v>
      </c>
      <c r="R73" s="110">
        <f t="shared" ref="R73:V73" si="59">R74+R75+R76</f>
        <v>19838.968851061993</v>
      </c>
      <c r="S73" s="110">
        <f t="shared" si="59"/>
        <v>20217.297549850337</v>
      </c>
      <c r="T73" s="110">
        <f t="shared" si="59"/>
        <v>21099.109433990285</v>
      </c>
      <c r="U73" s="110">
        <f t="shared" si="59"/>
        <v>22149.733920229592</v>
      </c>
      <c r="V73" s="110">
        <f t="shared" si="59"/>
        <v>9385.7707329357927</v>
      </c>
      <c r="W73" s="110">
        <f t="shared" ref="W73" si="60">W74+W75+W76</f>
        <v>10282.358146052389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2983.9174118206161</v>
      </c>
      <c r="C74" s="102">
        <f>TrAvia_emi!C$7</f>
        <v>3017.8289159067535</v>
      </c>
      <c r="D74" s="102">
        <f>TrAvia_emi!D$7</f>
        <v>2843.839156127367</v>
      </c>
      <c r="E74" s="102">
        <f>TrAvia_emi!E$7</f>
        <v>2651.6439830273957</v>
      </c>
      <c r="F74" s="102">
        <f>TrAvia_emi!F$7</f>
        <v>2520.5013853830424</v>
      </c>
      <c r="G74" s="102">
        <f>TrAvia_emi!G$7</f>
        <v>2500.6676590569405</v>
      </c>
      <c r="H74" s="102">
        <f>TrAvia_emi!H$7</f>
        <v>2516.3790035322054</v>
      </c>
      <c r="I74" s="102">
        <f>TrAvia_emi!I$7</f>
        <v>2536.7164397333786</v>
      </c>
      <c r="J74" s="102">
        <f>TrAvia_emi!J$7</f>
        <v>2560.3358131182072</v>
      </c>
      <c r="K74" s="102">
        <f>TrAvia_emi!K$7</f>
        <v>2436.3274070497464</v>
      </c>
      <c r="L74" s="102">
        <f>TrAvia_emi!L$7</f>
        <v>2375.7564412548318</v>
      </c>
      <c r="M74" s="102">
        <f>TrAvia_emi!M$7</f>
        <v>4416.2484151224444</v>
      </c>
      <c r="N74" s="102">
        <f>TrAvia_emi!N$7</f>
        <v>4427.7427066104729</v>
      </c>
      <c r="O74" s="102">
        <f>TrAvia_emi!O$7</f>
        <v>4375.8558105324746</v>
      </c>
      <c r="P74" s="102">
        <f>TrAvia_emi!P$7</f>
        <v>4171.7989067790577</v>
      </c>
      <c r="Q74" s="102">
        <f>TrAvia_emi!Q$7</f>
        <v>4170.0150318115429</v>
      </c>
      <c r="R74" s="102">
        <f>TrAvia_emi!R$7</f>
        <v>4316.6243230127056</v>
      </c>
      <c r="S74" s="102">
        <f>TrAvia_emi!S$7</f>
        <v>4461.4500999777674</v>
      </c>
      <c r="T74" s="102">
        <f>TrAvia_emi!T$7</f>
        <v>4697.560306674799</v>
      </c>
      <c r="U74" s="102">
        <f>TrAvia_emi!U$7</f>
        <v>4778.885517683756</v>
      </c>
      <c r="V74" s="102">
        <f>TrAvia_emi!V$7</f>
        <v>2904.6141306672062</v>
      </c>
      <c r="W74" s="102">
        <f>TrAvia_emi!W$7</f>
        <v>3588.6861471700354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3596.5189757989847</v>
      </c>
      <c r="C75" s="102">
        <f>TrAvia_emi!C$8</f>
        <v>3559.4420972486096</v>
      </c>
      <c r="D75" s="102">
        <f>TrAvia_emi!D$8</f>
        <v>3572.8335517121332</v>
      </c>
      <c r="E75" s="102">
        <f>TrAvia_emi!E$8</f>
        <v>3484.0732090503484</v>
      </c>
      <c r="F75" s="102">
        <f>TrAvia_emi!F$8</f>
        <v>3663.3723330408561</v>
      </c>
      <c r="G75" s="102">
        <f>TrAvia_emi!G$8</f>
        <v>3704.6641444754664</v>
      </c>
      <c r="H75" s="102">
        <f>TrAvia_emi!H$8</f>
        <v>3966.5739826782028</v>
      </c>
      <c r="I75" s="102">
        <f>TrAvia_emi!I$8</f>
        <v>4187.8386575634813</v>
      </c>
      <c r="J75" s="102">
        <f>TrAvia_emi!J$8</f>
        <v>4109.2688511860797</v>
      </c>
      <c r="K75" s="102">
        <f>TrAvia_emi!K$8</f>
        <v>3625.3186585323897</v>
      </c>
      <c r="L75" s="102">
        <f>TrAvia_emi!L$8</f>
        <v>3567.3861522486482</v>
      </c>
      <c r="M75" s="102">
        <f>TrAvia_emi!M$8</f>
        <v>3630.2469284066351</v>
      </c>
      <c r="N75" s="102">
        <f>TrAvia_emi!N$8</f>
        <v>3460.3279738376364</v>
      </c>
      <c r="O75" s="102">
        <f>TrAvia_emi!O$8</f>
        <v>3420.170218369658</v>
      </c>
      <c r="P75" s="102">
        <f>TrAvia_emi!P$8</f>
        <v>3435.9903007781327</v>
      </c>
      <c r="Q75" s="102">
        <f>TrAvia_emi!Q$8</f>
        <v>3647.6467984003484</v>
      </c>
      <c r="R75" s="102">
        <f>TrAvia_emi!R$8</f>
        <v>3827.4737607517159</v>
      </c>
      <c r="S75" s="102">
        <f>TrAvia_emi!S$8</f>
        <v>4001.4761323109801</v>
      </c>
      <c r="T75" s="102">
        <f>TrAvia_emi!T$8</f>
        <v>4099.5494492927983</v>
      </c>
      <c r="U75" s="102">
        <f>TrAvia_emi!U$8</f>
        <v>4177.1490291367982</v>
      </c>
      <c r="V75" s="102">
        <f>TrAvia_emi!V$8</f>
        <v>1266.192429261544</v>
      </c>
      <c r="W75" s="102">
        <f>TrAvia_emi!W$8</f>
        <v>1463.466914661188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10941.61382007923</v>
      </c>
      <c r="C76" s="102">
        <f>TrAvia_emi!C$9</f>
        <v>10828.749489721406</v>
      </c>
      <c r="D76" s="102">
        <f>TrAvia_emi!D$9</f>
        <v>10869.500637894704</v>
      </c>
      <c r="E76" s="102">
        <f>TrAvia_emi!E$9</f>
        <v>10462.858280200815</v>
      </c>
      <c r="F76" s="102">
        <f>TrAvia_emi!F$9</f>
        <v>11204.045691385023</v>
      </c>
      <c r="G76" s="102">
        <f>TrAvia_emi!G$9</f>
        <v>11325.56906312357</v>
      </c>
      <c r="H76" s="102">
        <f>TrAvia_emi!H$9</f>
        <v>11764.992417844003</v>
      </c>
      <c r="I76" s="102">
        <f>TrAvia_emi!I$9</f>
        <v>12097.658952429012</v>
      </c>
      <c r="J76" s="102">
        <f>TrAvia_emi!J$9</f>
        <v>12257.041066191483</v>
      </c>
      <c r="K76" s="102">
        <f>TrAvia_emi!K$9</f>
        <v>11484.001862455592</v>
      </c>
      <c r="L76" s="102">
        <f>TrAvia_emi!L$9</f>
        <v>11651.454019169494</v>
      </c>
      <c r="M76" s="102">
        <f>TrAvia_emi!M$9</f>
        <v>11711.049699922285</v>
      </c>
      <c r="N76" s="102">
        <f>TrAvia_emi!N$9</f>
        <v>11410.192445068946</v>
      </c>
      <c r="O76" s="102">
        <f>TrAvia_emi!O$9</f>
        <v>11359.600864849757</v>
      </c>
      <c r="P76" s="102">
        <f>TrAvia_emi!P$9</f>
        <v>11274.452896435256</v>
      </c>
      <c r="Q76" s="102">
        <f>TrAvia_emi!Q$9</f>
        <v>11922.772798131935</v>
      </c>
      <c r="R76" s="102">
        <f>TrAvia_emi!R$9</f>
        <v>11694.870767297571</v>
      </c>
      <c r="S76" s="102">
        <f>TrAvia_emi!S$9</f>
        <v>11754.371317561589</v>
      </c>
      <c r="T76" s="102">
        <f>TrAvia_emi!T$9</f>
        <v>12301.999678022685</v>
      </c>
      <c r="U76" s="102">
        <f>TrAvia_emi!U$9</f>
        <v>13193.699373409036</v>
      </c>
      <c r="V76" s="102">
        <f>TrAvia_emi!V$9</f>
        <v>5214.9641730070425</v>
      </c>
      <c r="W76" s="102">
        <f>TrAvia_emi!W$9</f>
        <v>5230.2050842211665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49925.567584268189</v>
      </c>
      <c r="C77" s="28">
        <f t="shared" si="61"/>
        <v>50088.002238092391</v>
      </c>
      <c r="D77" s="28">
        <f t="shared" si="61"/>
        <v>49825.327355822636</v>
      </c>
      <c r="E77" s="28">
        <f t="shared" si="61"/>
        <v>48867.464980590259</v>
      </c>
      <c r="F77" s="28">
        <f t="shared" si="61"/>
        <v>50363.708562153901</v>
      </c>
      <c r="G77" s="28">
        <f t="shared" si="61"/>
        <v>49614.054138359716</v>
      </c>
      <c r="H77" s="28">
        <f t="shared" si="61"/>
        <v>49631.657135924543</v>
      </c>
      <c r="I77" s="28">
        <f t="shared" si="61"/>
        <v>49226.432914119301</v>
      </c>
      <c r="J77" s="28">
        <f t="shared" si="61"/>
        <v>46144.128575735631</v>
      </c>
      <c r="K77" s="28">
        <f t="shared" si="61"/>
        <v>43156.291141467431</v>
      </c>
      <c r="L77" s="28">
        <f t="shared" si="61"/>
        <v>44583.50689076673</v>
      </c>
      <c r="M77" s="28">
        <f t="shared" si="61"/>
        <v>45605.874713861027</v>
      </c>
      <c r="N77" s="28">
        <f t="shared" si="61"/>
        <v>44044.761752025406</v>
      </c>
      <c r="O77" s="28">
        <f t="shared" si="61"/>
        <v>44139.918251010415</v>
      </c>
      <c r="P77" s="28">
        <f t="shared" si="61"/>
        <v>43855.788264863171</v>
      </c>
      <c r="Q77" s="28">
        <f t="shared" si="61"/>
        <v>44023.335942457932</v>
      </c>
      <c r="R77" s="28">
        <f t="shared" ref="R77:V77" si="62">R78+R81+R82+R86+R92</f>
        <v>44199.996017086545</v>
      </c>
      <c r="S77" s="28">
        <f t="shared" si="62"/>
        <v>45111.826458177755</v>
      </c>
      <c r="T77" s="28">
        <f t="shared" si="62"/>
        <v>44238.986264902342</v>
      </c>
      <c r="U77" s="28">
        <f t="shared" si="62"/>
        <v>44231.207303270254</v>
      </c>
      <c r="V77" s="28">
        <f t="shared" si="62"/>
        <v>40867.578432529037</v>
      </c>
      <c r="W77" s="28">
        <f t="shared" ref="W77" si="63">W78+W81+W82+W86+W92</f>
        <v>44846.936040963039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46762.293946252568</v>
      </c>
      <c r="C78" s="137">
        <f t="shared" si="64"/>
        <v>47160.18252243875</v>
      </c>
      <c r="D78" s="137">
        <f t="shared" si="64"/>
        <v>46915.493184948049</v>
      </c>
      <c r="E78" s="137">
        <f t="shared" si="64"/>
        <v>45933.697181996409</v>
      </c>
      <c r="F78" s="137">
        <f t="shared" si="64"/>
        <v>47150.422119252144</v>
      </c>
      <c r="G78" s="137">
        <f t="shared" si="64"/>
        <v>46568.509720671304</v>
      </c>
      <c r="H78" s="137">
        <f t="shared" si="64"/>
        <v>46516.946538927717</v>
      </c>
      <c r="I78" s="137">
        <f t="shared" si="64"/>
        <v>46006.86473038618</v>
      </c>
      <c r="J78" s="137">
        <f t="shared" si="64"/>
        <v>42988.609746536298</v>
      </c>
      <c r="K78" s="137">
        <f t="shared" si="64"/>
        <v>40357.525299075744</v>
      </c>
      <c r="L78" s="137">
        <f t="shared" si="64"/>
        <v>41600.678520721412</v>
      </c>
      <c r="M78" s="137">
        <f t="shared" si="64"/>
        <v>42546.033446199508</v>
      </c>
      <c r="N78" s="137">
        <f t="shared" si="64"/>
        <v>41009.461834012283</v>
      </c>
      <c r="O78" s="137">
        <f t="shared" si="64"/>
        <v>41200.199121247322</v>
      </c>
      <c r="P78" s="137">
        <f t="shared" si="64"/>
        <v>40706.888151645639</v>
      </c>
      <c r="Q78" s="137">
        <f t="shared" si="64"/>
        <v>40757.928598218263</v>
      </c>
      <c r="R78" s="137">
        <f t="shared" ref="R78:V78" si="65">R79+R80</f>
        <v>41217.184025854214</v>
      </c>
      <c r="S78" s="137">
        <f t="shared" si="65"/>
        <v>42102.210322521227</v>
      </c>
      <c r="T78" s="137">
        <f t="shared" si="65"/>
        <v>41292.624600443756</v>
      </c>
      <c r="U78" s="137">
        <f t="shared" si="65"/>
        <v>41332.374825362145</v>
      </c>
      <c r="V78" s="137">
        <f t="shared" si="65"/>
        <v>37941.158889397993</v>
      </c>
      <c r="W78" s="137">
        <f t="shared" ref="W78" si="66">W79+W80</f>
        <v>41837.453223321048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21518.247292195712</v>
      </c>
      <c r="C79" s="102">
        <f>TrRoad_emi!C$34</f>
        <v>21501.995736663819</v>
      </c>
      <c r="D79" s="102">
        <f>TrRoad_emi!D$34</f>
        <v>21200.216500846727</v>
      </c>
      <c r="E79" s="102">
        <f>TrRoad_emi!E$34</f>
        <v>20529.256415261363</v>
      </c>
      <c r="F79" s="102">
        <f>TrRoad_emi!F$34</f>
        <v>19847.473882392267</v>
      </c>
      <c r="G79" s="102">
        <f>TrRoad_emi!G$34</f>
        <v>19390.937725029198</v>
      </c>
      <c r="H79" s="102">
        <f>TrRoad_emi!H$34</f>
        <v>19218.495005801789</v>
      </c>
      <c r="I79" s="102">
        <f>TrRoad_emi!I$34</f>
        <v>18685.529635358998</v>
      </c>
      <c r="J79" s="102">
        <f>TrRoad_emi!J$34</f>
        <v>17634.274350177904</v>
      </c>
      <c r="K79" s="102">
        <f>TrRoad_emi!K$34</f>
        <v>17901.850928213131</v>
      </c>
      <c r="L79" s="102">
        <f>TrRoad_emi!L$34</f>
        <v>18385.903016858483</v>
      </c>
      <c r="M79" s="102">
        <f>TrRoad_emi!M$34</f>
        <v>19070.830973348675</v>
      </c>
      <c r="N79" s="102">
        <f>TrRoad_emi!N$34</f>
        <v>18987.780067055966</v>
      </c>
      <c r="O79" s="102">
        <f>TrRoad_emi!O$34</f>
        <v>19006.889671655579</v>
      </c>
      <c r="P79" s="102">
        <f>TrRoad_emi!P$34</f>
        <v>18876.000873160068</v>
      </c>
      <c r="Q79" s="102">
        <f>TrRoad_emi!Q$34</f>
        <v>19455.649240020088</v>
      </c>
      <c r="R79" s="102">
        <f>TrRoad_emi!R$34</f>
        <v>19215.076748027648</v>
      </c>
      <c r="S79" s="102">
        <f>TrRoad_emi!S$34</f>
        <v>19521.370232576253</v>
      </c>
      <c r="T79" s="102">
        <f>TrRoad_emi!T$34</f>
        <v>19204.170043156289</v>
      </c>
      <c r="U79" s="102">
        <f>TrRoad_emi!U$34</f>
        <v>19018.49003259492</v>
      </c>
      <c r="V79" s="102">
        <f>TrRoad_emi!V$34</f>
        <v>16497.339091817277</v>
      </c>
      <c r="W79" s="102">
        <f>TrRoad_emi!W$34</f>
        <v>19114.194199724949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25244.04665405686</v>
      </c>
      <c r="C80" s="102">
        <f>TrRoad_emi!C$40</f>
        <v>25658.186785774931</v>
      </c>
      <c r="D80" s="102">
        <f>TrRoad_emi!D$40</f>
        <v>25715.276684101322</v>
      </c>
      <c r="E80" s="102">
        <f>TrRoad_emi!E$40</f>
        <v>25404.440766735042</v>
      </c>
      <c r="F80" s="102">
        <f>TrRoad_emi!F$40</f>
        <v>27302.948236859876</v>
      </c>
      <c r="G80" s="102">
        <f>TrRoad_emi!G$40</f>
        <v>27177.571995642105</v>
      </c>
      <c r="H80" s="102">
        <f>TrRoad_emi!H$40</f>
        <v>27298.451533125932</v>
      </c>
      <c r="I80" s="102">
        <f>TrRoad_emi!I$40</f>
        <v>27321.335095027178</v>
      </c>
      <c r="J80" s="102">
        <f>TrRoad_emi!J$40</f>
        <v>25354.335396358394</v>
      </c>
      <c r="K80" s="102">
        <f>TrRoad_emi!K$40</f>
        <v>22455.674370862616</v>
      </c>
      <c r="L80" s="102">
        <f>TrRoad_emi!L$40</f>
        <v>23214.775503862929</v>
      </c>
      <c r="M80" s="102">
        <f>TrRoad_emi!M$40</f>
        <v>23475.202472850837</v>
      </c>
      <c r="N80" s="102">
        <f>TrRoad_emi!N$40</f>
        <v>22021.681766956317</v>
      </c>
      <c r="O80" s="102">
        <f>TrRoad_emi!O$40</f>
        <v>22193.309449591747</v>
      </c>
      <c r="P80" s="102">
        <f>TrRoad_emi!P$40</f>
        <v>21830.88727848557</v>
      </c>
      <c r="Q80" s="102">
        <f>TrRoad_emi!Q$40</f>
        <v>21302.279358198171</v>
      </c>
      <c r="R80" s="102">
        <f>TrRoad_emi!R$40</f>
        <v>22002.107277826566</v>
      </c>
      <c r="S80" s="102">
        <f>TrRoad_emi!S$40</f>
        <v>22580.840089944973</v>
      </c>
      <c r="T80" s="102">
        <f>TrRoad_emi!T$40</f>
        <v>22088.454557287467</v>
      </c>
      <c r="U80" s="102">
        <f>TrRoad_emi!U$40</f>
        <v>22313.884792767229</v>
      </c>
      <c r="V80" s="102">
        <f>TrRoad_emi!V$40</f>
        <v>21443.819797580712</v>
      </c>
      <c r="W80" s="102">
        <f>TrRoad_emi!W$40</f>
        <v>22723.259023596103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347.84261559444093</v>
      </c>
      <c r="C81" s="110">
        <f>TrRail_emi!C$15</f>
        <v>243.83670549040696</v>
      </c>
      <c r="D81" s="110">
        <f>TrRail_emi!D$15</f>
        <v>249.25360084878656</v>
      </c>
      <c r="E81" s="110">
        <f>TrRail_emi!E$15</f>
        <v>220.38422607240275</v>
      </c>
      <c r="F81" s="110">
        <f>TrRail_emi!F$15</f>
        <v>170.94638199067631</v>
      </c>
      <c r="G81" s="110">
        <f>TrRail_emi!G$15</f>
        <v>136.83964302439153</v>
      </c>
      <c r="H81" s="110">
        <f>TrRail_emi!H$15</f>
        <v>124.80264649123957</v>
      </c>
      <c r="I81" s="110">
        <f>TrRail_emi!I$15</f>
        <v>120.6742941789949</v>
      </c>
      <c r="J81" s="110">
        <f>TrRail_emi!J$15</f>
        <v>121.76214413510498</v>
      </c>
      <c r="K81" s="110">
        <f>TrRail_emi!K$15</f>
        <v>90.820602149420324</v>
      </c>
      <c r="L81" s="110">
        <f>TrRail_emi!L$15</f>
        <v>82.930454958291364</v>
      </c>
      <c r="M81" s="110">
        <f>TrRail_emi!M$15</f>
        <v>82.170464032884695</v>
      </c>
      <c r="N81" s="110">
        <f>TrRail_emi!N$15</f>
        <v>67.915815450177362</v>
      </c>
      <c r="O81" s="110">
        <f>TrRail_emi!O$15</f>
        <v>69.99867015497567</v>
      </c>
      <c r="P81" s="110">
        <f>TrRail_emi!P$15</f>
        <v>62.672183649978138</v>
      </c>
      <c r="Q81" s="110">
        <f>TrRail_emi!Q$15</f>
        <v>66.080193303495747</v>
      </c>
      <c r="R81" s="110">
        <f>TrRail_emi!R$15</f>
        <v>58.316025974316233</v>
      </c>
      <c r="S81" s="110">
        <f>TrRail_emi!S$15</f>
        <v>62.158813186855035</v>
      </c>
      <c r="T81" s="110">
        <f>TrRail_emi!T$15</f>
        <v>53.685395088865889</v>
      </c>
      <c r="U81" s="110">
        <f>TrRail_emi!U$15</f>
        <v>55.954692697699102</v>
      </c>
      <c r="V81" s="110">
        <f>TrRail_emi!V$15</f>
        <v>60.148779346839042</v>
      </c>
      <c r="W81" s="110">
        <f>TrRail_emi!W$15</f>
        <v>68.090388014370987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1355.0188003011758</v>
      </c>
      <c r="C82" s="110">
        <f t="shared" si="67"/>
        <v>1360.1407851232329</v>
      </c>
      <c r="D82" s="110">
        <f t="shared" si="67"/>
        <v>1324.6889102657938</v>
      </c>
      <c r="E82" s="110">
        <f t="shared" si="67"/>
        <v>1313.6571573614435</v>
      </c>
      <c r="F82" s="110">
        <f t="shared" si="67"/>
        <v>1442.505152391077</v>
      </c>
      <c r="G82" s="110">
        <f t="shared" si="67"/>
        <v>1472.6392593040214</v>
      </c>
      <c r="H82" s="110">
        <f t="shared" si="67"/>
        <v>1513.0263072655891</v>
      </c>
      <c r="I82" s="110">
        <f t="shared" si="67"/>
        <v>1566.3434551541268</v>
      </c>
      <c r="J82" s="110">
        <f t="shared" si="67"/>
        <v>1570.1392357042309</v>
      </c>
      <c r="K82" s="110">
        <f t="shared" si="67"/>
        <v>1229.0823175622704</v>
      </c>
      <c r="L82" s="110">
        <f t="shared" si="67"/>
        <v>1415.1383241670244</v>
      </c>
      <c r="M82" s="110">
        <f t="shared" si="67"/>
        <v>1551.637517348639</v>
      </c>
      <c r="N82" s="110">
        <f t="shared" si="67"/>
        <v>1549.275938362948</v>
      </c>
      <c r="O82" s="110">
        <f t="shared" si="67"/>
        <v>1441.4774814481127</v>
      </c>
      <c r="P82" s="110">
        <f t="shared" si="67"/>
        <v>1660.9272353675567</v>
      </c>
      <c r="Q82" s="110">
        <f t="shared" si="67"/>
        <v>1759.5567085361786</v>
      </c>
      <c r="R82" s="110">
        <f t="shared" si="67"/>
        <v>1511.4173524180148</v>
      </c>
      <c r="S82" s="110">
        <f t="shared" si="67"/>
        <v>1543.4494481896681</v>
      </c>
      <c r="T82" s="110">
        <f t="shared" si="67"/>
        <v>1495.4093047297174</v>
      </c>
      <c r="U82" s="110">
        <f t="shared" si="67"/>
        <v>1419.8596915304061</v>
      </c>
      <c r="V82" s="110">
        <f t="shared" si="67"/>
        <v>1632.6966807842066</v>
      </c>
      <c r="W82" s="110">
        <f t="shared" ref="W82" si="68">W83+W84+W85</f>
        <v>1528.0483808676156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191.39951617938436</v>
      </c>
      <c r="C83" s="102">
        <f>TrAvia_emi!C$11</f>
        <v>220.97374209324596</v>
      </c>
      <c r="D83" s="102">
        <f>TrAvia_emi!D$11</f>
        <v>176.24866987263329</v>
      </c>
      <c r="E83" s="102">
        <f>TrAvia_emi!E$11</f>
        <v>142.87874233260439</v>
      </c>
      <c r="F83" s="102">
        <f>TrAvia_emi!F$11</f>
        <v>147.26739197695753</v>
      </c>
      <c r="G83" s="102">
        <f>TrAvia_emi!G$11</f>
        <v>145.44864146305943</v>
      </c>
      <c r="H83" s="102">
        <f>TrAvia_emi!H$11</f>
        <v>123.55438590779528</v>
      </c>
      <c r="I83" s="102">
        <f>TrAvia_emi!I$11</f>
        <v>103.21694970662215</v>
      </c>
      <c r="J83" s="102">
        <f>TrAvia_emi!J$11</f>
        <v>82.712184361793206</v>
      </c>
      <c r="K83" s="102">
        <f>TrAvia_emi!K$11</f>
        <v>73.725785390254018</v>
      </c>
      <c r="L83" s="102">
        <f>TrAvia_emi!L$11</f>
        <v>53.962623745168123</v>
      </c>
      <c r="M83" s="102">
        <f>TrAvia_emi!M$11</f>
        <v>98.160278877556038</v>
      </c>
      <c r="N83" s="102">
        <f>TrAvia_emi!N$11</f>
        <v>101.1685063895283</v>
      </c>
      <c r="O83" s="102">
        <f>TrAvia_emi!O$11</f>
        <v>93.759299907526298</v>
      </c>
      <c r="P83" s="102">
        <f>TrAvia_emi!P$11</f>
        <v>109.69514690094158</v>
      </c>
      <c r="Q83" s="102">
        <f>TrAvia_emi!Q$11</f>
        <v>105.75115834845687</v>
      </c>
      <c r="R83" s="102">
        <f>TrAvia_emi!R$11</f>
        <v>93.010795387295701</v>
      </c>
      <c r="S83" s="102">
        <f>TrAvia_emi!S$11</f>
        <v>97.028113182232687</v>
      </c>
      <c r="T83" s="102">
        <f>TrAvia_emi!T$11</f>
        <v>97.227652805201302</v>
      </c>
      <c r="U83" s="102">
        <f>TrAvia_emi!U$11</f>
        <v>94.268584596242761</v>
      </c>
      <c r="V83" s="102">
        <f>TrAvia_emi!V$11</f>
        <v>94.310110372794171</v>
      </c>
      <c r="W83" s="102">
        <f>TrAvia_emi!W$11</f>
        <v>104.71281694996713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73.564826963342298</v>
      </c>
      <c r="C84" s="102">
        <f>TrAvia_emi!C$12</f>
        <v>84.004257538913848</v>
      </c>
      <c r="D84" s="102">
        <f>TrAvia_emi!D$12</f>
        <v>75.624877823956467</v>
      </c>
      <c r="E84" s="102">
        <f>TrAvia_emi!E$12</f>
        <v>71.308899698434317</v>
      </c>
      <c r="F84" s="102">
        <f>TrAvia_emi!F$12</f>
        <v>80.090934124125226</v>
      </c>
      <c r="G84" s="102">
        <f>TrAvia_emi!G$12</f>
        <v>76.830244349236025</v>
      </c>
      <c r="H84" s="102">
        <f>TrAvia_emi!H$12</f>
        <v>101.33799571014595</v>
      </c>
      <c r="I84" s="102">
        <f>TrAvia_emi!I$12</f>
        <v>122.85013706460596</v>
      </c>
      <c r="J84" s="102">
        <f>TrAvia_emi!J$12</f>
        <v>119.51836572783921</v>
      </c>
      <c r="K84" s="102">
        <f>TrAvia_emi!K$12</f>
        <v>105.12639808901217</v>
      </c>
      <c r="L84" s="102">
        <f>TrAvia_emi!L$12</f>
        <v>117.13947548482157</v>
      </c>
      <c r="M84" s="102">
        <f>TrAvia_emi!M$12</f>
        <v>136.85119274114271</v>
      </c>
      <c r="N84" s="102">
        <f>TrAvia_emi!N$12</f>
        <v>128.48035817770688</v>
      </c>
      <c r="O84" s="102">
        <f>TrAvia_emi!O$12</f>
        <v>138.97043995867978</v>
      </c>
      <c r="P84" s="102">
        <f>TrAvia_emi!P$12</f>
        <v>168.85571431661194</v>
      </c>
      <c r="Q84" s="102">
        <f>TrAvia_emi!Q$12</f>
        <v>171.55269576304354</v>
      </c>
      <c r="R84" s="102">
        <f>TrAvia_emi!R$12</f>
        <v>150.65457927392123</v>
      </c>
      <c r="S84" s="102">
        <f>TrAvia_emi!S$12</f>
        <v>163.82481768888599</v>
      </c>
      <c r="T84" s="102">
        <f>TrAvia_emi!T$12</f>
        <v>142.15686253197609</v>
      </c>
      <c r="U84" s="102">
        <f>TrAvia_emi!U$12</f>
        <v>144.32347055329268</v>
      </c>
      <c r="V84" s="102">
        <f>TrAvia_emi!V$12</f>
        <v>137.68510107229972</v>
      </c>
      <c r="W84" s="102">
        <f>TrAvia_emi!W$12</f>
        <v>140.55806890331351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1090.0544571584492</v>
      </c>
      <c r="C85" s="102">
        <f>TrAvia_emi!C$13</f>
        <v>1055.162785491073</v>
      </c>
      <c r="D85" s="102">
        <f>TrAvia_emi!D$13</f>
        <v>1072.8153625692041</v>
      </c>
      <c r="E85" s="102">
        <f>TrAvia_emi!E$13</f>
        <v>1099.4695153304049</v>
      </c>
      <c r="F85" s="102">
        <f>TrAvia_emi!F$13</f>
        <v>1215.1468262899941</v>
      </c>
      <c r="G85" s="102">
        <f>TrAvia_emi!G$13</f>
        <v>1250.3603734917258</v>
      </c>
      <c r="H85" s="102">
        <f>TrAvia_emi!H$13</f>
        <v>1288.1339256476479</v>
      </c>
      <c r="I85" s="102">
        <f>TrAvia_emi!I$13</f>
        <v>1340.2763683828987</v>
      </c>
      <c r="J85" s="102">
        <f>TrAvia_emi!J$13</f>
        <v>1367.9086856145987</v>
      </c>
      <c r="K85" s="102">
        <f>TrAvia_emi!K$13</f>
        <v>1050.2301340830043</v>
      </c>
      <c r="L85" s="102">
        <f>TrAvia_emi!L$13</f>
        <v>1244.0362249370346</v>
      </c>
      <c r="M85" s="102">
        <f>TrAvia_emi!M$13</f>
        <v>1316.6260457299402</v>
      </c>
      <c r="N85" s="102">
        <f>TrAvia_emi!N$13</f>
        <v>1319.6270737957127</v>
      </c>
      <c r="O85" s="102">
        <f>TrAvia_emi!O$13</f>
        <v>1208.7477415819067</v>
      </c>
      <c r="P85" s="102">
        <f>TrAvia_emi!P$13</f>
        <v>1382.3763741500031</v>
      </c>
      <c r="Q85" s="102">
        <f>TrAvia_emi!Q$13</f>
        <v>1482.2528544246782</v>
      </c>
      <c r="R85" s="102">
        <f>TrAvia_emi!R$13</f>
        <v>1267.7519777567979</v>
      </c>
      <c r="S85" s="102">
        <f>TrAvia_emi!S$13</f>
        <v>1282.5965173185496</v>
      </c>
      <c r="T85" s="102">
        <f>TrAvia_emi!T$13</f>
        <v>1256.02478939254</v>
      </c>
      <c r="U85" s="102">
        <f>TrAvia_emi!U$13</f>
        <v>1181.2676363808705</v>
      </c>
      <c r="V85" s="102">
        <f>TrAvia_emi!V$13</f>
        <v>1400.7014693391127</v>
      </c>
      <c r="W85" s="102">
        <f>TrAvia_emi!W$13</f>
        <v>1282.777495014335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1460.41222212</v>
      </c>
      <c r="C86" s="110">
        <f t="shared" si="69"/>
        <v>1323.8422250399999</v>
      </c>
      <c r="D86" s="110">
        <f t="shared" si="69"/>
        <v>1335.8916597600005</v>
      </c>
      <c r="E86" s="110">
        <f t="shared" si="69"/>
        <v>1399.72641516</v>
      </c>
      <c r="F86" s="110">
        <f t="shared" si="69"/>
        <v>1599.8349085200002</v>
      </c>
      <c r="G86" s="110">
        <f t="shared" si="69"/>
        <v>1436.0655153600001</v>
      </c>
      <c r="H86" s="110">
        <f t="shared" si="69"/>
        <v>1476.8816432399999</v>
      </c>
      <c r="I86" s="110">
        <f t="shared" si="69"/>
        <v>1532.5504343999999</v>
      </c>
      <c r="J86" s="110">
        <f t="shared" si="69"/>
        <v>1463.6174493600001</v>
      </c>
      <c r="K86" s="110">
        <f t="shared" si="69"/>
        <v>1478.8629226800003</v>
      </c>
      <c r="L86" s="110">
        <f t="shared" si="69"/>
        <v>1484.7595909199999</v>
      </c>
      <c r="M86" s="110">
        <f t="shared" si="69"/>
        <v>1426.0332862799999</v>
      </c>
      <c r="N86" s="110">
        <f t="shared" si="69"/>
        <v>1418.1081642000001</v>
      </c>
      <c r="O86" s="110">
        <f t="shared" si="69"/>
        <v>1428.2429781599999</v>
      </c>
      <c r="P86" s="110">
        <f t="shared" si="69"/>
        <v>1425.3006942000002</v>
      </c>
      <c r="Q86" s="110">
        <f t="shared" si="69"/>
        <v>1439.7704423999999</v>
      </c>
      <c r="R86" s="110">
        <f t="shared" ref="R86:V86" si="70">R87+R88</f>
        <v>1413.07861284</v>
      </c>
      <c r="S86" s="110">
        <f t="shared" si="70"/>
        <v>1404.0078742799999</v>
      </c>
      <c r="T86" s="110">
        <f t="shared" si="70"/>
        <v>1397.2669646400004</v>
      </c>
      <c r="U86" s="110">
        <f t="shared" si="70"/>
        <v>1423.0180936799998</v>
      </c>
      <c r="V86" s="110">
        <f t="shared" si="70"/>
        <v>1233.5740829999997</v>
      </c>
      <c r="W86" s="110">
        <f t="shared" ref="W86" si="71">W87+W88</f>
        <v>1413.3440487600001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1209.867714744265</v>
      </c>
      <c r="C87" s="102">
        <f>TrNavi_emi!C$4</f>
        <v>1037.8351561697659</v>
      </c>
      <c r="D87" s="102">
        <f>TrNavi_emi!D$4</f>
        <v>1042.0991266021761</v>
      </c>
      <c r="E87" s="102">
        <f>TrNavi_emi!E$4</f>
        <v>1033.3484976303648</v>
      </c>
      <c r="F87" s="102">
        <f>TrNavi_emi!F$4</f>
        <v>1151.7241758067594</v>
      </c>
      <c r="G87" s="102">
        <f>TrNavi_emi!G$4</f>
        <v>1075.9312286430404</v>
      </c>
      <c r="H87" s="102">
        <f>TrNavi_emi!H$4</f>
        <v>1209.5048510480412</v>
      </c>
      <c r="I87" s="102">
        <f>TrNavi_emi!I$4</f>
        <v>1128.0503156746809</v>
      </c>
      <c r="J87" s="102">
        <f>TrNavi_emi!J$4</f>
        <v>1204.4704479679963</v>
      </c>
      <c r="K87" s="102">
        <f>TrNavi_emi!K$4</f>
        <v>1143.3526059423609</v>
      </c>
      <c r="L87" s="102">
        <f>TrNavi_emi!L$4</f>
        <v>1184.1743888765266</v>
      </c>
      <c r="M87" s="102">
        <f>TrNavi_emi!M$4</f>
        <v>1144.5771882864572</v>
      </c>
      <c r="N87" s="102">
        <f>TrNavi_emi!N$4</f>
        <v>1089.5463594993817</v>
      </c>
      <c r="O87" s="102">
        <f>TrNavi_emi!O$4</f>
        <v>897.62467549376481</v>
      </c>
      <c r="P87" s="102">
        <f>TrNavi_emi!P$4</f>
        <v>1078.1723890122287</v>
      </c>
      <c r="Q87" s="102">
        <f>TrNavi_emi!Q$4</f>
        <v>1120.228197226915</v>
      </c>
      <c r="R87" s="102">
        <f>TrNavi_emi!R$4</f>
        <v>1024.4961512789782</v>
      </c>
      <c r="S87" s="102">
        <f>TrNavi_emi!S$4</f>
        <v>1082.9039700237906</v>
      </c>
      <c r="T87" s="102">
        <f>TrNavi_emi!T$4</f>
        <v>1123.1071615085964</v>
      </c>
      <c r="U87" s="102">
        <f>TrNavi_emi!U$4</f>
        <v>1136.0002320293538</v>
      </c>
      <c r="V87" s="102">
        <f>TrNavi_emi!V$4</f>
        <v>999.1872582840823</v>
      </c>
      <c r="W87" s="102">
        <f>TrNavi_emi!W$4</f>
        <v>1142.5050660161153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250.54450737573498</v>
      </c>
      <c r="C88" s="169">
        <f>TrNavi_emi!C$5</f>
        <v>286.00706887023409</v>
      </c>
      <c r="D88" s="169">
        <f>TrNavi_emi!D$5</f>
        <v>293.79253315782432</v>
      </c>
      <c r="E88" s="169">
        <f>TrNavi_emi!E$5</f>
        <v>366.37791752963511</v>
      </c>
      <c r="F88" s="169">
        <f>TrNavi_emi!F$5</f>
        <v>448.11073271324091</v>
      </c>
      <c r="G88" s="169">
        <f>TrNavi_emi!G$5</f>
        <v>360.13428671695954</v>
      </c>
      <c r="H88" s="169">
        <f>TrNavi_emi!H$5</f>
        <v>267.3767921919586</v>
      </c>
      <c r="I88" s="169">
        <f>TrNavi_emi!I$5</f>
        <v>404.500118725319</v>
      </c>
      <c r="J88" s="169">
        <f>TrNavi_emi!J$5</f>
        <v>259.14700139200374</v>
      </c>
      <c r="K88" s="169">
        <f>TrNavi_emi!K$5</f>
        <v>335.51031673763953</v>
      </c>
      <c r="L88" s="169">
        <f>TrNavi_emi!L$5</f>
        <v>300.58520204347343</v>
      </c>
      <c r="M88" s="169">
        <f>TrNavi_emi!M$5</f>
        <v>281.45609799354264</v>
      </c>
      <c r="N88" s="169">
        <f>TrNavi_emi!N$5</f>
        <v>328.5618047006185</v>
      </c>
      <c r="O88" s="169">
        <f>TrNavi_emi!O$5</f>
        <v>530.61830266623508</v>
      </c>
      <c r="P88" s="169">
        <f>TrNavi_emi!P$5</f>
        <v>347.12830518777145</v>
      </c>
      <c r="Q88" s="169">
        <f>TrNavi_emi!Q$5</f>
        <v>319.54224517308495</v>
      </c>
      <c r="R88" s="169">
        <f>TrNavi_emi!R$5</f>
        <v>388.58246156102189</v>
      </c>
      <c r="S88" s="169">
        <f>TrNavi_emi!S$5</f>
        <v>321.10390425620926</v>
      </c>
      <c r="T88" s="169">
        <f>TrNavi_emi!T$5</f>
        <v>274.15980313140392</v>
      </c>
      <c r="U88" s="169">
        <f>TrNavi_emi!U$5</f>
        <v>287.01786165064607</v>
      </c>
      <c r="V88" s="169">
        <f>TrNavi_emi!V$5</f>
        <v>234.38682471591738</v>
      </c>
      <c r="W88" s="169">
        <f>TrNavi_emi!W$5</f>
        <v>270.83898274388474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9071.3670616800009</v>
      </c>
      <c r="C89" s="28">
        <f t="shared" si="72"/>
        <v>7692.9051250799985</v>
      </c>
      <c r="D89" s="28">
        <f t="shared" si="72"/>
        <v>7452.1726527600022</v>
      </c>
      <c r="E89" s="28">
        <f t="shared" si="72"/>
        <v>7992.1005821999997</v>
      </c>
      <c r="F89" s="28">
        <f t="shared" si="72"/>
        <v>9030.2075773200013</v>
      </c>
      <c r="G89" s="28">
        <f t="shared" si="72"/>
        <v>8255.1742711200022</v>
      </c>
      <c r="H89" s="28">
        <f t="shared" si="72"/>
        <v>8552.6431873200017</v>
      </c>
      <c r="I89" s="28">
        <f t="shared" si="72"/>
        <v>8768.2594417200035</v>
      </c>
      <c r="J89" s="28">
        <f t="shared" si="72"/>
        <v>7660.0368446399998</v>
      </c>
      <c r="K89" s="28">
        <f t="shared" si="72"/>
        <v>7643.6554953600016</v>
      </c>
      <c r="L89" s="28">
        <f t="shared" si="72"/>
        <v>7412.4722232000022</v>
      </c>
      <c r="M89" s="28">
        <f t="shared" si="72"/>
        <v>8500.0966059599996</v>
      </c>
      <c r="N89" s="28">
        <f t="shared" si="72"/>
        <v>8047.6792102800009</v>
      </c>
      <c r="O89" s="28">
        <f t="shared" si="72"/>
        <v>7353.8315632800022</v>
      </c>
      <c r="P89" s="28">
        <f t="shared" si="72"/>
        <v>6292.4443124400013</v>
      </c>
      <c r="Q89" s="28">
        <f t="shared" si="72"/>
        <v>5626.3191011999997</v>
      </c>
      <c r="R89" s="28">
        <f t="shared" si="72"/>
        <v>5331.5884857599995</v>
      </c>
      <c r="S89" s="28">
        <f t="shared" si="72"/>
        <v>5632.3629514800004</v>
      </c>
      <c r="T89" s="28">
        <f t="shared" si="72"/>
        <v>6348.2499759600014</v>
      </c>
      <c r="U89" s="28">
        <f t="shared" si="72"/>
        <v>5551.1508315599995</v>
      </c>
      <c r="V89" s="28">
        <f t="shared" si="72"/>
        <v>3167.7742310400008</v>
      </c>
      <c r="W89" s="28">
        <f t="shared" si="72"/>
        <v>3469.7781885599998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2657.9310469488328</v>
      </c>
      <c r="C90" s="102">
        <f>MBunk_emi!C$4</f>
        <v>2262.9656643901826</v>
      </c>
      <c r="D90" s="102">
        <f>MBunk_emi!D$4</f>
        <v>2041.7304534248967</v>
      </c>
      <c r="E90" s="102">
        <f>MBunk_emi!E$4</f>
        <v>2152.7884291391201</v>
      </c>
      <c r="F90" s="102">
        <f>MBunk_emi!F$4</f>
        <v>2489.1453998868074</v>
      </c>
      <c r="G90" s="102">
        <f>MBunk_emi!G$4</f>
        <v>2177.2497116816653</v>
      </c>
      <c r="H90" s="102">
        <f>MBunk_emi!H$4</f>
        <v>2066.4877343554085</v>
      </c>
      <c r="I90" s="102">
        <f>MBunk_emi!I$4</f>
        <v>2157.754776795538</v>
      </c>
      <c r="J90" s="102">
        <f>MBunk_emi!J$4</f>
        <v>1835.3905385016876</v>
      </c>
      <c r="K90" s="102">
        <f>MBunk_emi!K$4</f>
        <v>1959.2887405924591</v>
      </c>
      <c r="L90" s="102">
        <f>MBunk_emi!L$4</f>
        <v>1906.3111764032244</v>
      </c>
      <c r="M90" s="102">
        <f>MBunk_emi!M$4</f>
        <v>2123.4095359768562</v>
      </c>
      <c r="N90" s="102">
        <f>MBunk_emi!N$4</f>
        <v>2022.3665725169431</v>
      </c>
      <c r="O90" s="102">
        <f>MBunk_emi!O$4</f>
        <v>1733.2497863402473</v>
      </c>
      <c r="P90" s="102">
        <f>MBunk_emi!P$4</f>
        <v>1496.4510597470537</v>
      </c>
      <c r="Q90" s="102">
        <f>MBunk_emi!Q$4</f>
        <v>1266.4066543424149</v>
      </c>
      <c r="R90" s="102">
        <f>MBunk_emi!R$4</f>
        <v>1319.9960375848907</v>
      </c>
      <c r="S90" s="102">
        <f>MBunk_emi!S$4</f>
        <v>1374.8487670574634</v>
      </c>
      <c r="T90" s="102">
        <f>MBunk_emi!T$4</f>
        <v>1555.1529701562663</v>
      </c>
      <c r="U90" s="102">
        <f>MBunk_emi!U$4</f>
        <v>1325.5677138366711</v>
      </c>
      <c r="V90" s="102">
        <f>MBunk_emi!V$4</f>
        <v>686.0997506233781</v>
      </c>
      <c r="W90" s="102">
        <f>MBunk_emi!W$4</f>
        <v>723.5079288039766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6413.4360147311681</v>
      </c>
      <c r="C91" s="86">
        <f>MBunk_emi!C$5</f>
        <v>5429.9394606898159</v>
      </c>
      <c r="D91" s="86">
        <f>MBunk_emi!D$5</f>
        <v>5410.4421993351052</v>
      </c>
      <c r="E91" s="86">
        <f>MBunk_emi!E$5</f>
        <v>5839.3121530608796</v>
      </c>
      <c r="F91" s="86">
        <f>MBunk_emi!F$5</f>
        <v>6541.0621774331948</v>
      </c>
      <c r="G91" s="86">
        <f>MBunk_emi!G$5</f>
        <v>6077.9245594383374</v>
      </c>
      <c r="H91" s="86">
        <f>MBunk_emi!H$5</f>
        <v>6486.1554529645928</v>
      </c>
      <c r="I91" s="86">
        <f>MBunk_emi!I$5</f>
        <v>6610.504664924465</v>
      </c>
      <c r="J91" s="86">
        <f>MBunk_emi!J$5</f>
        <v>5824.646306138312</v>
      </c>
      <c r="K91" s="86">
        <f>MBunk_emi!K$5</f>
        <v>5684.3667547675423</v>
      </c>
      <c r="L91" s="86">
        <f>MBunk_emi!L$5</f>
        <v>5506.1610467967776</v>
      </c>
      <c r="M91" s="86">
        <f>MBunk_emi!M$5</f>
        <v>6376.6870699831425</v>
      </c>
      <c r="N91" s="86">
        <f>MBunk_emi!N$5</f>
        <v>6025.3126377630579</v>
      </c>
      <c r="O91" s="86">
        <f>MBunk_emi!O$5</f>
        <v>5620.5817769397545</v>
      </c>
      <c r="P91" s="86">
        <f>MBunk_emi!P$5</f>
        <v>4795.9932526929479</v>
      </c>
      <c r="Q91" s="86">
        <f>MBunk_emi!Q$5</f>
        <v>4359.9124468575847</v>
      </c>
      <c r="R91" s="86">
        <f>MBunk_emi!R$5</f>
        <v>4011.592448175109</v>
      </c>
      <c r="S91" s="86">
        <f>MBunk_emi!S$5</f>
        <v>4257.5141844225373</v>
      </c>
      <c r="T91" s="86">
        <f>MBunk_emi!T$5</f>
        <v>4793.0970058037346</v>
      </c>
      <c r="U91" s="86">
        <f>MBunk_emi!U$5</f>
        <v>4225.5831177233285</v>
      </c>
      <c r="V91" s="86">
        <f>MBunk_emi!V$5</f>
        <v>2481.6744804166228</v>
      </c>
      <c r="W91" s="86">
        <f>MBunk_emi!W$5</f>
        <v>2746.2702597560233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0.78866384649707477</v>
      </c>
      <c r="C97" s="139">
        <f t="shared" si="76"/>
        <v>0.79102890580282414</v>
      </c>
      <c r="D97" s="139">
        <f t="shared" si="76"/>
        <v>0.78828530440394595</v>
      </c>
      <c r="E97" s="139">
        <f t="shared" si="76"/>
        <v>0.7914091920466535</v>
      </c>
      <c r="F97" s="139">
        <f t="shared" si="76"/>
        <v>0.77975122720241075</v>
      </c>
      <c r="G97" s="139">
        <f t="shared" si="76"/>
        <v>0.76848268787512619</v>
      </c>
      <c r="H97" s="139">
        <f t="shared" si="76"/>
        <v>0.7617377868756896</v>
      </c>
      <c r="I97" s="139">
        <f t="shared" si="76"/>
        <v>0.75605432085207824</v>
      </c>
      <c r="J97" s="139">
        <f t="shared" si="76"/>
        <v>0.7467065213724613</v>
      </c>
      <c r="K97" s="139">
        <f t="shared" si="76"/>
        <v>0.75143044235628675</v>
      </c>
      <c r="L97" s="139">
        <f t="shared" si="76"/>
        <v>0.7501162892846337</v>
      </c>
      <c r="M97" s="139">
        <f t="shared" si="76"/>
        <v>0.73919267966948554</v>
      </c>
      <c r="N97" s="139">
        <f t="shared" si="76"/>
        <v>0.75281777912495385</v>
      </c>
      <c r="O97" s="139">
        <f t="shared" si="76"/>
        <v>0.75157475257457151</v>
      </c>
      <c r="P97" s="139">
        <f t="shared" si="76"/>
        <v>0.74942717303364381</v>
      </c>
      <c r="Q97" s="139">
        <f t="shared" si="76"/>
        <v>0.75036739180027046</v>
      </c>
      <c r="R97" s="139">
        <f t="shared" ref="R97:V97" si="77">IF(R5=0,0,R5/R$4)</f>
        <v>0.75256882428274108</v>
      </c>
      <c r="S97" s="139">
        <f t="shared" si="77"/>
        <v>0.74347879486413126</v>
      </c>
      <c r="T97" s="139">
        <f t="shared" si="77"/>
        <v>0.73561125283957363</v>
      </c>
      <c r="U97" s="139">
        <f t="shared" si="77"/>
        <v>0.72599667103648813</v>
      </c>
      <c r="V97" s="139">
        <f t="shared" si="77"/>
        <v>0.83509670193653074</v>
      </c>
      <c r="W97" s="139">
        <f t="shared" ref="W97" si="78">IF(W5=0,0,W5/W$4)</f>
        <v>0.81930517719538809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1.193506749498301E-2</v>
      </c>
      <c r="C98" s="140">
        <f t="shared" si="79"/>
        <v>1.2729149823164955E-2</v>
      </c>
      <c r="D98" s="140">
        <f t="shared" si="79"/>
        <v>1.3991538965415374E-2</v>
      </c>
      <c r="E98" s="140">
        <f t="shared" si="79"/>
        <v>1.4204749720604246E-2</v>
      </c>
      <c r="F98" s="140">
        <f t="shared" si="79"/>
        <v>1.4850815414645424E-2</v>
      </c>
      <c r="G98" s="140">
        <f t="shared" si="79"/>
        <v>1.5461799215749592E-2</v>
      </c>
      <c r="H98" s="140">
        <f t="shared" si="79"/>
        <v>1.5294856341996099E-2</v>
      </c>
      <c r="I98" s="140">
        <f t="shared" si="79"/>
        <v>1.5707500586312661E-2</v>
      </c>
      <c r="J98" s="140">
        <f t="shared" si="79"/>
        <v>1.6697101955272544E-2</v>
      </c>
      <c r="K98" s="140">
        <f t="shared" si="79"/>
        <v>1.7362041599039625E-2</v>
      </c>
      <c r="L98" s="140">
        <f t="shared" si="79"/>
        <v>1.7057029094532491E-2</v>
      </c>
      <c r="M98" s="140">
        <f t="shared" si="79"/>
        <v>1.7207363490224413E-2</v>
      </c>
      <c r="N98" s="140">
        <f t="shared" si="79"/>
        <v>1.5819155898391609E-2</v>
      </c>
      <c r="O98" s="140">
        <f t="shared" si="79"/>
        <v>1.5802367282835166E-2</v>
      </c>
      <c r="P98" s="140">
        <f t="shared" si="79"/>
        <v>1.5963253977110917E-2</v>
      </c>
      <c r="Q98" s="140">
        <f t="shared" si="79"/>
        <v>1.5851906673411739E-2</v>
      </c>
      <c r="R98" s="140">
        <f t="shared" ref="R98:V98" si="80">IF(R6=0,0,R6/R$4)</f>
        <v>1.4547091378314007E-2</v>
      </c>
      <c r="S98" s="140">
        <f t="shared" si="80"/>
        <v>1.3601099095362898E-2</v>
      </c>
      <c r="T98" s="140">
        <f t="shared" si="80"/>
        <v>1.2784629613344608E-2</v>
      </c>
      <c r="U98" s="140">
        <f t="shared" si="80"/>
        <v>1.33794135190219E-2</v>
      </c>
      <c r="V98" s="140">
        <f t="shared" si="80"/>
        <v>1.6924803103593362E-2</v>
      </c>
      <c r="W98" s="140">
        <f t="shared" ref="W98" si="81">IF(W6=0,0,W6/W$4)</f>
        <v>1.522102516790483E-2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0.72448424801659395</v>
      </c>
      <c r="C99" s="140">
        <f t="shared" si="82"/>
        <v>0.72905125593470577</v>
      </c>
      <c r="D99" s="140">
        <f t="shared" si="82"/>
        <v>0.7250884166503947</v>
      </c>
      <c r="E99" s="140">
        <f t="shared" si="82"/>
        <v>0.72744507281420712</v>
      </c>
      <c r="F99" s="140">
        <f t="shared" si="82"/>
        <v>0.71491058188161449</v>
      </c>
      <c r="G99" s="140">
        <f t="shared" si="82"/>
        <v>0.70302899853622869</v>
      </c>
      <c r="H99" s="140">
        <f t="shared" si="82"/>
        <v>0.69448696781743047</v>
      </c>
      <c r="I99" s="140">
        <f t="shared" si="82"/>
        <v>0.68856467475234218</v>
      </c>
      <c r="J99" s="140">
        <f t="shared" si="82"/>
        <v>0.67743360505838679</v>
      </c>
      <c r="K99" s="140">
        <f t="shared" si="82"/>
        <v>0.68156502232285132</v>
      </c>
      <c r="L99" s="140">
        <f t="shared" si="82"/>
        <v>0.68023276517911557</v>
      </c>
      <c r="M99" s="140">
        <f t="shared" si="82"/>
        <v>0.66947491783127855</v>
      </c>
      <c r="N99" s="140">
        <f t="shared" si="82"/>
        <v>0.68733917257237898</v>
      </c>
      <c r="O99" s="140">
        <f t="shared" si="82"/>
        <v>0.68628306064166933</v>
      </c>
      <c r="P99" s="140">
        <f t="shared" si="82"/>
        <v>0.68365404377525119</v>
      </c>
      <c r="Q99" s="140">
        <f t="shared" si="82"/>
        <v>0.68465362263066121</v>
      </c>
      <c r="R99" s="140">
        <f t="shared" ref="R99:V99" si="83">IF(R7=0,0,R7/R$4)</f>
        <v>0.68768472641677025</v>
      </c>
      <c r="S99" s="140">
        <f t="shared" si="83"/>
        <v>0.68017055245233649</v>
      </c>
      <c r="T99" s="140">
        <f t="shared" si="83"/>
        <v>0.67345113029926928</v>
      </c>
      <c r="U99" s="140">
        <f t="shared" si="83"/>
        <v>0.66373593936615416</v>
      </c>
      <c r="V99" s="140">
        <f t="shared" si="83"/>
        <v>0.77285445926685492</v>
      </c>
      <c r="W99" s="140">
        <f t="shared" ref="W99" si="84">IF(W7=0,0,W7/W$4)</f>
        <v>0.76146243897132371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5.2244530985497944E-2</v>
      </c>
      <c r="C100" s="140">
        <f t="shared" si="85"/>
        <v>4.9248500044953424E-2</v>
      </c>
      <c r="D100" s="140">
        <f t="shared" si="85"/>
        <v>4.9205348788135858E-2</v>
      </c>
      <c r="E100" s="140">
        <f t="shared" si="85"/>
        <v>4.9759369511842011E-2</v>
      </c>
      <c r="F100" s="140">
        <f t="shared" si="85"/>
        <v>4.9989829906150758E-2</v>
      </c>
      <c r="G100" s="140">
        <f t="shared" si="85"/>
        <v>4.9991890123147822E-2</v>
      </c>
      <c r="H100" s="140">
        <f t="shared" si="85"/>
        <v>5.1955962716263043E-2</v>
      </c>
      <c r="I100" s="140">
        <f t="shared" si="85"/>
        <v>5.1782145513423403E-2</v>
      </c>
      <c r="J100" s="140">
        <f t="shared" si="85"/>
        <v>5.2575814358802028E-2</v>
      </c>
      <c r="K100" s="140">
        <f t="shared" si="85"/>
        <v>5.2503378434395759E-2</v>
      </c>
      <c r="L100" s="140">
        <f t="shared" si="85"/>
        <v>5.2826495010985609E-2</v>
      </c>
      <c r="M100" s="140">
        <f t="shared" si="85"/>
        <v>5.2510398347982531E-2</v>
      </c>
      <c r="N100" s="140">
        <f t="shared" si="85"/>
        <v>4.9659450654183285E-2</v>
      </c>
      <c r="O100" s="140">
        <f t="shared" si="85"/>
        <v>4.9489324650066849E-2</v>
      </c>
      <c r="P100" s="140">
        <f t="shared" si="85"/>
        <v>4.9809875281281703E-2</v>
      </c>
      <c r="Q100" s="140">
        <f t="shared" si="85"/>
        <v>4.9861862496197548E-2</v>
      </c>
      <c r="R100" s="140">
        <f t="shared" ref="R100:V100" si="86">IF(R8=0,0,R8/R$4)</f>
        <v>5.0337006487656821E-2</v>
      </c>
      <c r="S100" s="140">
        <f t="shared" si="86"/>
        <v>4.9707143316431945E-2</v>
      </c>
      <c r="T100" s="140">
        <f t="shared" si="86"/>
        <v>4.937549292695971E-2</v>
      </c>
      <c r="U100" s="140">
        <f t="shared" si="86"/>
        <v>4.8881318151312025E-2</v>
      </c>
      <c r="V100" s="140">
        <f t="shared" si="86"/>
        <v>4.5317439566082397E-2</v>
      </c>
      <c r="W100" s="140">
        <f t="shared" ref="W100" si="87">IF(W8=0,0,W8/W$4)</f>
        <v>4.2621713056159569E-2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8.703898139788438E-2</v>
      </c>
      <c r="C101" s="124">
        <f t="shared" si="88"/>
        <v>8.6568478435334911E-2</v>
      </c>
      <c r="D101" s="124">
        <f t="shared" si="88"/>
        <v>8.7568679288839588E-2</v>
      </c>
      <c r="E101" s="124">
        <f t="shared" si="88"/>
        <v>8.5834985892725549E-2</v>
      </c>
      <c r="F101" s="124">
        <f t="shared" si="88"/>
        <v>8.9286957622869534E-2</v>
      </c>
      <c r="G101" s="124">
        <f t="shared" si="88"/>
        <v>9.1469407590197449E-2</v>
      </c>
      <c r="H101" s="124">
        <f t="shared" si="88"/>
        <v>9.4641460249638126E-2</v>
      </c>
      <c r="I101" s="124">
        <f t="shared" si="88"/>
        <v>9.5372631853646972E-2</v>
      </c>
      <c r="J101" s="124">
        <f t="shared" si="88"/>
        <v>0.10181364000102473</v>
      </c>
      <c r="K101" s="124">
        <f t="shared" si="88"/>
        <v>0.1006041336061924</v>
      </c>
      <c r="L101" s="124">
        <f t="shared" si="88"/>
        <v>9.9870808417913931E-2</v>
      </c>
      <c r="M101" s="124">
        <f t="shared" si="88"/>
        <v>0.10158663728869986</v>
      </c>
      <c r="N101" s="124">
        <f t="shared" si="88"/>
        <v>9.6736512003643318E-2</v>
      </c>
      <c r="O101" s="124">
        <f t="shared" si="88"/>
        <v>9.4870086342360396E-2</v>
      </c>
      <c r="P101" s="124">
        <f t="shared" si="88"/>
        <v>9.265712155073938E-2</v>
      </c>
      <c r="Q101" s="124">
        <f t="shared" si="88"/>
        <v>9.1766557177752103E-2</v>
      </c>
      <c r="R101" s="124">
        <f t="shared" ref="R101:V101" si="89">IF(R9=0,0,R9/R$4)</f>
        <v>9.0172146023703714E-2</v>
      </c>
      <c r="S101" s="124">
        <f t="shared" si="89"/>
        <v>9.3847550316061096E-2</v>
      </c>
      <c r="T101" s="124">
        <f t="shared" si="89"/>
        <v>9.0790099815370617E-2</v>
      </c>
      <c r="U101" s="124">
        <f t="shared" si="89"/>
        <v>9.3614389237699616E-2</v>
      </c>
      <c r="V101" s="124">
        <f t="shared" si="89"/>
        <v>7.9585726052417677E-2</v>
      </c>
      <c r="W101" s="124">
        <f t="shared" ref="W101" si="90">IF(W9=0,0,W9/W$4)</f>
        <v>9.2062861657141101E-2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8.1367701499477866E-3</v>
      </c>
      <c r="C102" s="140">
        <f t="shared" si="91"/>
        <v>7.9532303288831104E-3</v>
      </c>
      <c r="D102" s="140">
        <f t="shared" si="91"/>
        <v>8.068636626343495E-3</v>
      </c>
      <c r="E102" s="140">
        <f t="shared" si="91"/>
        <v>8.2593332525865634E-3</v>
      </c>
      <c r="F102" s="140">
        <f t="shared" si="91"/>
        <v>9.0932006035605323E-3</v>
      </c>
      <c r="G102" s="140">
        <f t="shared" si="91"/>
        <v>9.3547192688935247E-3</v>
      </c>
      <c r="H102" s="140">
        <f t="shared" si="91"/>
        <v>9.6282258657351821E-3</v>
      </c>
      <c r="I102" s="140">
        <f t="shared" si="91"/>
        <v>9.5643715492679179E-3</v>
      </c>
      <c r="J102" s="140">
        <f t="shared" si="91"/>
        <v>1.0266741738910973E-2</v>
      </c>
      <c r="K102" s="140">
        <f t="shared" si="91"/>
        <v>9.4496984584271065E-3</v>
      </c>
      <c r="L102" s="140">
        <f t="shared" si="91"/>
        <v>9.5859639699922873E-3</v>
      </c>
      <c r="M102" s="140">
        <f t="shared" si="91"/>
        <v>9.5532927657164222E-3</v>
      </c>
      <c r="N102" s="140">
        <f t="shared" si="91"/>
        <v>9.5228036283958022E-3</v>
      </c>
      <c r="O102" s="140">
        <f t="shared" si="91"/>
        <v>9.0978281468940478E-3</v>
      </c>
      <c r="P102" s="140">
        <f t="shared" si="91"/>
        <v>9.0405255210503251E-3</v>
      </c>
      <c r="Q102" s="140">
        <f t="shared" si="91"/>
        <v>8.9173314206686567E-3</v>
      </c>
      <c r="R102" s="140">
        <f t="shared" ref="R102:V102" si="92">IF(R10=0,0,R10/R$4)</f>
        <v>8.8440265483901003E-3</v>
      </c>
      <c r="S102" s="140">
        <f t="shared" si="92"/>
        <v>8.7900092323359262E-3</v>
      </c>
      <c r="T102" s="140">
        <f t="shared" si="92"/>
        <v>9.0225449526305235E-3</v>
      </c>
      <c r="U102" s="140">
        <f t="shared" si="92"/>
        <v>8.6551841644913734E-3</v>
      </c>
      <c r="V102" s="140">
        <f t="shared" si="92"/>
        <v>6.7574753185175767E-3</v>
      </c>
      <c r="W102" s="140">
        <f t="shared" ref="W102" si="93">IF(W10=0,0,W10/W$4)</f>
        <v>7.7755118515633066E-3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4.2298537893703581E-2</v>
      </c>
      <c r="C103" s="140">
        <f t="shared" si="94"/>
        <v>4.0327165552106442E-2</v>
      </c>
      <c r="D103" s="140">
        <f t="shared" si="94"/>
        <v>3.9187654617248713E-2</v>
      </c>
      <c r="E103" s="140">
        <f t="shared" si="94"/>
        <v>3.7467217298623789E-2</v>
      </c>
      <c r="F103" s="140">
        <f t="shared" si="94"/>
        <v>3.8757982740965542E-2</v>
      </c>
      <c r="G103" s="140">
        <f t="shared" si="94"/>
        <v>3.9081802448912205E-2</v>
      </c>
      <c r="H103" s="140">
        <f t="shared" si="94"/>
        <v>4.0571525737968232E-2</v>
      </c>
      <c r="I103" s="140">
        <f t="shared" si="94"/>
        <v>3.8983698145563968E-2</v>
      </c>
      <c r="J103" s="140">
        <f t="shared" si="94"/>
        <v>3.991523345256711E-2</v>
      </c>
      <c r="K103" s="140">
        <f t="shared" si="94"/>
        <v>3.9934135857367679E-2</v>
      </c>
      <c r="L103" s="140">
        <f t="shared" si="94"/>
        <v>3.9560804631313701E-2</v>
      </c>
      <c r="M103" s="140">
        <f t="shared" si="94"/>
        <v>4.2618426073526082E-2</v>
      </c>
      <c r="N103" s="140">
        <f t="shared" si="94"/>
        <v>4.0728733766257297E-2</v>
      </c>
      <c r="O103" s="140">
        <f t="shared" si="94"/>
        <v>3.9979526855547232E-2</v>
      </c>
      <c r="P103" s="140">
        <f t="shared" si="94"/>
        <v>3.8737079879225679E-2</v>
      </c>
      <c r="Q103" s="140">
        <f t="shared" si="94"/>
        <v>3.91054304066384E-2</v>
      </c>
      <c r="R103" s="140">
        <f t="shared" ref="R103:V103" si="95">IF(R11=0,0,R11/R$4)</f>
        <v>3.7595952300115178E-2</v>
      </c>
      <c r="S103" s="140">
        <f t="shared" si="95"/>
        <v>3.5642964535548466E-2</v>
      </c>
      <c r="T103" s="140">
        <f t="shared" si="95"/>
        <v>3.3993249131241028E-2</v>
      </c>
      <c r="U103" s="140">
        <f t="shared" si="95"/>
        <v>3.5020904438501164E-2</v>
      </c>
      <c r="V103" s="140">
        <f t="shared" si="95"/>
        <v>2.8894822672188465E-2</v>
      </c>
      <c r="W103" s="140">
        <f t="shared" ref="W103" si="96">IF(W11=0,0,W11/W$4)</f>
        <v>3.3725842529300817E-2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3.6603673354233021E-2</v>
      </c>
      <c r="C104" s="140">
        <f t="shared" si="97"/>
        <v>3.8288082554345348E-2</v>
      </c>
      <c r="D104" s="140">
        <f t="shared" si="97"/>
        <v>4.0312388045247387E-2</v>
      </c>
      <c r="E104" s="140">
        <f t="shared" si="97"/>
        <v>4.0108435341515203E-2</v>
      </c>
      <c r="F104" s="140">
        <f t="shared" si="97"/>
        <v>4.1435774278343468E-2</v>
      </c>
      <c r="G104" s="140">
        <f t="shared" si="97"/>
        <v>4.3032885872391714E-2</v>
      </c>
      <c r="H104" s="140">
        <f t="shared" si="97"/>
        <v>4.4441708645934719E-2</v>
      </c>
      <c r="I104" s="140">
        <f t="shared" si="97"/>
        <v>4.6824562158815079E-2</v>
      </c>
      <c r="J104" s="140">
        <f t="shared" si="97"/>
        <v>5.1631664809546653E-2</v>
      </c>
      <c r="K104" s="140">
        <f t="shared" si="97"/>
        <v>5.1220299290397599E-2</v>
      </c>
      <c r="L104" s="140">
        <f t="shared" si="97"/>
        <v>5.0724039816607933E-2</v>
      </c>
      <c r="M104" s="140">
        <f t="shared" si="97"/>
        <v>4.9414918449457362E-2</v>
      </c>
      <c r="N104" s="140">
        <f t="shared" si="97"/>
        <v>4.6484974608990218E-2</v>
      </c>
      <c r="O104" s="140">
        <f t="shared" si="97"/>
        <v>4.579273133991911E-2</v>
      </c>
      <c r="P104" s="140">
        <f t="shared" si="97"/>
        <v>4.4879516150463372E-2</v>
      </c>
      <c r="Q104" s="140">
        <f t="shared" si="97"/>
        <v>4.3743795350445057E-2</v>
      </c>
      <c r="R104" s="140">
        <f t="shared" ref="R104:V104" si="98">IF(R12=0,0,R12/R$4)</f>
        <v>4.3732167175198448E-2</v>
      </c>
      <c r="S104" s="140">
        <f t="shared" si="98"/>
        <v>4.94145765481767E-2</v>
      </c>
      <c r="T104" s="140">
        <f t="shared" si="98"/>
        <v>4.7774305731499066E-2</v>
      </c>
      <c r="U104" s="140">
        <f t="shared" si="98"/>
        <v>4.9938300634707077E-2</v>
      </c>
      <c r="V104" s="140">
        <f t="shared" si="98"/>
        <v>4.3933428061711632E-2</v>
      </c>
      <c r="W104" s="140">
        <f t="shared" ref="W104" si="99">IF(W12=0,0,W12/W$4)</f>
        <v>5.0561507276276986E-2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0.12429717210504077</v>
      </c>
      <c r="C105" s="124">
        <f t="shared" si="100"/>
        <v>0.122402615761841</v>
      </c>
      <c r="D105" s="124">
        <f t="shared" si="100"/>
        <v>0.12414601630721445</v>
      </c>
      <c r="E105" s="124">
        <f t="shared" si="100"/>
        <v>0.12275582206062091</v>
      </c>
      <c r="F105" s="124">
        <f t="shared" si="100"/>
        <v>0.13096181517471975</v>
      </c>
      <c r="G105" s="124">
        <f t="shared" si="100"/>
        <v>0.1400479045346763</v>
      </c>
      <c r="H105" s="124">
        <f t="shared" si="100"/>
        <v>0.1436207528746723</v>
      </c>
      <c r="I105" s="124">
        <f t="shared" si="100"/>
        <v>0.1485730472942749</v>
      </c>
      <c r="J105" s="124">
        <f t="shared" si="100"/>
        <v>0.1514798386265139</v>
      </c>
      <c r="K105" s="124">
        <f t="shared" si="100"/>
        <v>0.14796542403752083</v>
      </c>
      <c r="L105" s="124">
        <f t="shared" si="100"/>
        <v>0.15001290229745246</v>
      </c>
      <c r="M105" s="124">
        <f t="shared" si="100"/>
        <v>0.1592206830418145</v>
      </c>
      <c r="N105" s="124">
        <f t="shared" si="100"/>
        <v>0.15044570887140282</v>
      </c>
      <c r="O105" s="124">
        <f t="shared" si="100"/>
        <v>0.15355516108306827</v>
      </c>
      <c r="P105" s="124">
        <f t="shared" si="100"/>
        <v>0.15791570541561684</v>
      </c>
      <c r="Q105" s="124">
        <f t="shared" si="100"/>
        <v>0.1578660510219774</v>
      </c>
      <c r="R105" s="124">
        <f t="shared" ref="R105:V105" si="101">IF(R13=0,0,R13/R$4)</f>
        <v>0.15725902969355526</v>
      </c>
      <c r="S105" s="124">
        <f t="shared" si="101"/>
        <v>0.16267365481980761</v>
      </c>
      <c r="T105" s="124">
        <f t="shared" si="101"/>
        <v>0.1735986473450557</v>
      </c>
      <c r="U105" s="124">
        <f t="shared" si="101"/>
        <v>0.18038893972581221</v>
      </c>
      <c r="V105" s="124">
        <f t="shared" si="101"/>
        <v>8.5317572011051668E-2</v>
      </c>
      <c r="W105" s="124">
        <f t="shared" ref="W105" si="102">IF(W13=0,0,W13/W$4)</f>
        <v>8.8631961147470836E-2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2.1898515573136688E-2</v>
      </c>
      <c r="C106" s="140">
        <f t="shared" si="103"/>
        <v>2.2022449805434042E-2</v>
      </c>
      <c r="D106" s="140">
        <f t="shared" si="103"/>
        <v>2.2874452415307191E-2</v>
      </c>
      <c r="E106" s="140">
        <f t="shared" si="103"/>
        <v>2.1933173484359508E-2</v>
      </c>
      <c r="F106" s="140">
        <f t="shared" si="103"/>
        <v>2.1396398642028226E-2</v>
      </c>
      <c r="G106" s="140">
        <f t="shared" si="103"/>
        <v>2.1339604573528671E-2</v>
      </c>
      <c r="H106" s="140">
        <f t="shared" si="103"/>
        <v>2.1534702502049249E-2</v>
      </c>
      <c r="I106" s="140">
        <f t="shared" si="103"/>
        <v>2.1981046119942657E-2</v>
      </c>
      <c r="J106" s="140">
        <f t="shared" si="103"/>
        <v>2.1778199399413101E-2</v>
      </c>
      <c r="K106" s="140">
        <f t="shared" si="103"/>
        <v>2.2499680564899541E-2</v>
      </c>
      <c r="L106" s="140">
        <f t="shared" si="103"/>
        <v>2.2970069883401851E-2</v>
      </c>
      <c r="M106" s="140">
        <f t="shared" si="103"/>
        <v>2.4215055871829261E-2</v>
      </c>
      <c r="N106" s="140">
        <f t="shared" si="103"/>
        <v>2.2722167490755531E-2</v>
      </c>
      <c r="O106" s="140">
        <f t="shared" si="103"/>
        <v>2.3269774792664507E-2</v>
      </c>
      <c r="P106" s="140">
        <f t="shared" si="103"/>
        <v>2.2970744258036625E-2</v>
      </c>
      <c r="Q106" s="140">
        <f t="shared" si="103"/>
        <v>2.2973907978470327E-2</v>
      </c>
      <c r="R106" s="140">
        <f t="shared" ref="R106:V106" si="104">IF(R14=0,0,R14/R$4)</f>
        <v>2.362354876396618E-2</v>
      </c>
      <c r="S106" s="140">
        <f t="shared" si="104"/>
        <v>2.4731862123122048E-2</v>
      </c>
      <c r="T106" s="140">
        <f t="shared" si="104"/>
        <v>2.6248060941463376E-2</v>
      </c>
      <c r="U106" s="140">
        <f t="shared" si="104"/>
        <v>2.6794602441901579E-2</v>
      </c>
      <c r="V106" s="140">
        <f t="shared" si="104"/>
        <v>1.9844381523965678E-2</v>
      </c>
      <c r="W106" s="140">
        <f t="shared" ref="W106" si="105">IF(W14=0,0,W14/W$4)</f>
        <v>2.3111175754619264E-2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2.361014087625915E-2</v>
      </c>
      <c r="C107" s="140">
        <f t="shared" si="106"/>
        <v>2.3221045247523588E-2</v>
      </c>
      <c r="D107" s="140">
        <f t="shared" si="106"/>
        <v>2.3301087191411527E-2</v>
      </c>
      <c r="E107" s="140">
        <f t="shared" si="106"/>
        <v>2.3606250272464196E-2</v>
      </c>
      <c r="F107" s="140">
        <f t="shared" si="106"/>
        <v>2.448860233823549E-2</v>
      </c>
      <c r="G107" s="140">
        <f t="shared" si="106"/>
        <v>2.5759721271437816E-2</v>
      </c>
      <c r="H107" s="140">
        <f t="shared" si="106"/>
        <v>2.6524720134573226E-2</v>
      </c>
      <c r="I107" s="140">
        <f t="shared" si="106"/>
        <v>2.7273967523896173E-2</v>
      </c>
      <c r="J107" s="140">
        <f t="shared" si="106"/>
        <v>2.7262106180647023E-2</v>
      </c>
      <c r="K107" s="140">
        <f t="shared" si="106"/>
        <v>2.5913751666626728E-2</v>
      </c>
      <c r="L107" s="140">
        <f t="shared" si="106"/>
        <v>2.5736076651932879E-2</v>
      </c>
      <c r="M107" s="140">
        <f t="shared" si="106"/>
        <v>2.7958686898684876E-2</v>
      </c>
      <c r="N107" s="140">
        <f t="shared" si="106"/>
        <v>2.7288612448605622E-2</v>
      </c>
      <c r="O107" s="140">
        <f t="shared" si="106"/>
        <v>2.7287854461775878E-2</v>
      </c>
      <c r="P107" s="140">
        <f t="shared" si="106"/>
        <v>2.8582307318292477E-2</v>
      </c>
      <c r="Q107" s="140">
        <f t="shared" si="106"/>
        <v>2.972857568682399E-2</v>
      </c>
      <c r="R107" s="140">
        <f t="shared" ref="R107:V107" si="107">IF(R15=0,0,R15/R$4)</f>
        <v>3.1311967506096182E-2</v>
      </c>
      <c r="S107" s="140">
        <f t="shared" si="107"/>
        <v>3.2584679441578911E-2</v>
      </c>
      <c r="T107" s="140">
        <f t="shared" si="107"/>
        <v>3.4101808927638921E-2</v>
      </c>
      <c r="U107" s="140">
        <f t="shared" si="107"/>
        <v>3.5143684335513577E-2</v>
      </c>
      <c r="V107" s="140">
        <f t="shared" si="107"/>
        <v>1.467898130403923E-2</v>
      </c>
      <c r="W107" s="140">
        <f t="shared" ref="W107" si="108">IF(W15=0,0,W15/W$4)</f>
        <v>1.819436343629232E-2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7.8788515655644931E-2</v>
      </c>
      <c r="C108" s="140">
        <f t="shared" si="109"/>
        <v>7.7159120708883366E-2</v>
      </c>
      <c r="D108" s="140">
        <f t="shared" si="109"/>
        <v>7.7970476700495742E-2</v>
      </c>
      <c r="E108" s="140">
        <f t="shared" si="109"/>
        <v>7.7216398303797201E-2</v>
      </c>
      <c r="F108" s="140">
        <f t="shared" si="109"/>
        <v>8.5076814194456021E-2</v>
      </c>
      <c r="G108" s="140">
        <f t="shared" si="109"/>
        <v>9.2948578689709807E-2</v>
      </c>
      <c r="H108" s="140">
        <f t="shared" si="109"/>
        <v>9.5561330238049844E-2</v>
      </c>
      <c r="I108" s="140">
        <f t="shared" si="109"/>
        <v>9.9318033650436066E-2</v>
      </c>
      <c r="J108" s="140">
        <f t="shared" si="109"/>
        <v>0.10243953304645377</v>
      </c>
      <c r="K108" s="140">
        <f t="shared" si="109"/>
        <v>9.9551991805994555E-2</v>
      </c>
      <c r="L108" s="140">
        <f t="shared" si="109"/>
        <v>0.10130675576211773</v>
      </c>
      <c r="M108" s="140">
        <f t="shared" si="109"/>
        <v>0.10704694027130038</v>
      </c>
      <c r="N108" s="140">
        <f t="shared" si="109"/>
        <v>0.10043492893204167</v>
      </c>
      <c r="O108" s="140">
        <f t="shared" si="109"/>
        <v>0.10299753182862788</v>
      </c>
      <c r="P108" s="140">
        <f t="shared" si="109"/>
        <v>0.10636265383928774</v>
      </c>
      <c r="Q108" s="140">
        <f t="shared" si="109"/>
        <v>0.10516356735668309</v>
      </c>
      <c r="R108" s="140">
        <f t="shared" ref="R108:V108" si="110">IF(R16=0,0,R16/R$4)</f>
        <v>0.1023235134234929</v>
      </c>
      <c r="S108" s="140">
        <f t="shared" si="110"/>
        <v>0.10535711325510663</v>
      </c>
      <c r="T108" s="140">
        <f t="shared" si="110"/>
        <v>0.11324877747595338</v>
      </c>
      <c r="U108" s="140">
        <f t="shared" si="110"/>
        <v>0.11845065294839707</v>
      </c>
      <c r="V108" s="140">
        <f t="shared" si="110"/>
        <v>5.0794209183046758E-2</v>
      </c>
      <c r="W108" s="140">
        <f t="shared" ref="W108" si="111">IF(W16=0,0,W16/W$4)</f>
        <v>4.7326421956559263E-2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0.74040428827216986</v>
      </c>
      <c r="C110" s="139">
        <f t="shared" si="115"/>
        <v>0.77370181846318864</v>
      </c>
      <c r="D110" s="139">
        <f t="shared" si="115"/>
        <v>0.77748954982447815</v>
      </c>
      <c r="E110" s="139">
        <f t="shared" si="115"/>
        <v>0.79239804637747147</v>
      </c>
      <c r="F110" s="139">
        <f t="shared" si="115"/>
        <v>0.80833194462327618</v>
      </c>
      <c r="G110" s="139">
        <f t="shared" si="115"/>
        <v>0.81781968539701533</v>
      </c>
      <c r="H110" s="139">
        <f t="shared" si="115"/>
        <v>0.80462549969788943</v>
      </c>
      <c r="I110" s="139">
        <f t="shared" si="115"/>
        <v>0.82420402188087227</v>
      </c>
      <c r="J110" s="139">
        <f t="shared" si="115"/>
        <v>0.81128724917108785</v>
      </c>
      <c r="K110" s="139">
        <f t="shared" si="115"/>
        <v>0.82185406564172614</v>
      </c>
      <c r="L110" s="139">
        <f t="shared" si="115"/>
        <v>0.82998928248391801</v>
      </c>
      <c r="M110" s="139">
        <f t="shared" si="115"/>
        <v>0.81610379562483459</v>
      </c>
      <c r="N110" s="139">
        <f t="shared" si="115"/>
        <v>0.81659400604868115</v>
      </c>
      <c r="O110" s="139">
        <f t="shared" si="115"/>
        <v>0.8368252041754185</v>
      </c>
      <c r="P110" s="139">
        <f t="shared" si="115"/>
        <v>0.81897924118111654</v>
      </c>
      <c r="Q110" s="139">
        <f t="shared" si="115"/>
        <v>0.80451529438468106</v>
      </c>
      <c r="R110" s="139">
        <f t="shared" ref="R110:V110" si="116">IF(R18=0,0,R18/R$17)</f>
        <v>0.82290109528734334</v>
      </c>
      <c r="S110" s="139">
        <f t="shared" si="116"/>
        <v>0.83083773212233181</v>
      </c>
      <c r="T110" s="139">
        <f t="shared" si="116"/>
        <v>0.83236207708420717</v>
      </c>
      <c r="U110" s="139">
        <f t="shared" si="116"/>
        <v>0.83419176151598196</v>
      </c>
      <c r="V110" s="139">
        <f t="shared" si="116"/>
        <v>0.8384549642491852</v>
      </c>
      <c r="W110" s="139">
        <f t="shared" ref="W110" si="117">IF(W18=0,0,W18/W$17)</f>
        <v>0.83506211545902542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4.1952085627954716E-2</v>
      </c>
      <c r="C111" s="140">
        <f t="shared" si="118"/>
        <v>4.3311729944625808E-2</v>
      </c>
      <c r="D111" s="140">
        <f t="shared" si="118"/>
        <v>4.2865033537602258E-2</v>
      </c>
      <c r="E111" s="140">
        <f t="shared" si="118"/>
        <v>4.3246873899182824E-2</v>
      </c>
      <c r="F111" s="140">
        <f t="shared" si="118"/>
        <v>4.0654529864733252E-2</v>
      </c>
      <c r="G111" s="140">
        <f t="shared" si="118"/>
        <v>4.083139606687923E-2</v>
      </c>
      <c r="H111" s="140">
        <f t="shared" si="118"/>
        <v>3.9440908784944419E-2</v>
      </c>
      <c r="I111" s="140">
        <f t="shared" si="118"/>
        <v>3.9258262065394969E-2</v>
      </c>
      <c r="J111" s="140">
        <f t="shared" si="118"/>
        <v>3.9416579148921653E-2</v>
      </c>
      <c r="K111" s="140">
        <f t="shared" si="118"/>
        <v>4.641982901891923E-2</v>
      </c>
      <c r="L111" s="140">
        <f t="shared" si="118"/>
        <v>4.5861330019318414E-2</v>
      </c>
      <c r="M111" s="140">
        <f t="shared" si="118"/>
        <v>4.6398945699406169E-2</v>
      </c>
      <c r="N111" s="140">
        <f t="shared" si="118"/>
        <v>4.9140894794565633E-2</v>
      </c>
      <c r="O111" s="140">
        <f t="shared" si="118"/>
        <v>5.0242584105619464E-2</v>
      </c>
      <c r="P111" s="140">
        <f t="shared" si="118"/>
        <v>5.0549364440500802E-2</v>
      </c>
      <c r="Q111" s="140">
        <f t="shared" si="118"/>
        <v>5.3007220951814794E-2</v>
      </c>
      <c r="R111" s="140">
        <f t="shared" ref="R111:V111" si="119">IF(R19=0,0,R19/R$17)</f>
        <v>5.2534863452827221E-2</v>
      </c>
      <c r="S111" s="140">
        <f t="shared" si="119"/>
        <v>5.0743119262346204E-2</v>
      </c>
      <c r="T111" s="140">
        <f t="shared" si="119"/>
        <v>4.993456730159139E-2</v>
      </c>
      <c r="U111" s="140">
        <f t="shared" si="119"/>
        <v>4.9137831954728324E-2</v>
      </c>
      <c r="V111" s="140">
        <f t="shared" si="119"/>
        <v>4.5948432935763242E-2</v>
      </c>
      <c r="W111" s="140">
        <f t="shared" ref="W111" si="120">IF(W19=0,0,W19/W$17)</f>
        <v>4.8265989907806284E-2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0.69845220264421515</v>
      </c>
      <c r="C112" s="140">
        <f t="shared" si="121"/>
        <v>0.7303900885185628</v>
      </c>
      <c r="D112" s="140">
        <f t="shared" si="121"/>
        <v>0.73462451628687586</v>
      </c>
      <c r="E112" s="140">
        <f t="shared" si="121"/>
        <v>0.74915117247828866</v>
      </c>
      <c r="F112" s="140">
        <f t="shared" si="121"/>
        <v>0.76767741475854301</v>
      </c>
      <c r="G112" s="140">
        <f t="shared" si="121"/>
        <v>0.77698828933013608</v>
      </c>
      <c r="H112" s="140">
        <f t="shared" si="121"/>
        <v>0.765184590912945</v>
      </c>
      <c r="I112" s="140">
        <f t="shared" si="121"/>
        <v>0.78494575981547721</v>
      </c>
      <c r="J112" s="140">
        <f t="shared" si="121"/>
        <v>0.77187067002216625</v>
      </c>
      <c r="K112" s="140">
        <f t="shared" si="121"/>
        <v>0.77543423662280697</v>
      </c>
      <c r="L112" s="140">
        <f t="shared" si="121"/>
        <v>0.78412795246459965</v>
      </c>
      <c r="M112" s="140">
        <f t="shared" si="121"/>
        <v>0.76970484992542831</v>
      </c>
      <c r="N112" s="140">
        <f t="shared" si="121"/>
        <v>0.76745311125411564</v>
      </c>
      <c r="O112" s="140">
        <f t="shared" si="121"/>
        <v>0.78658262006979907</v>
      </c>
      <c r="P112" s="140">
        <f t="shared" si="121"/>
        <v>0.7684298767406158</v>
      </c>
      <c r="Q112" s="140">
        <f t="shared" si="121"/>
        <v>0.7515080734328663</v>
      </c>
      <c r="R112" s="140">
        <f t="shared" ref="R112:V112" si="122">IF(R20=0,0,R20/R$17)</f>
        <v>0.77036623183451614</v>
      </c>
      <c r="S112" s="140">
        <f t="shared" si="122"/>
        <v>0.7800946128599856</v>
      </c>
      <c r="T112" s="140">
        <f t="shared" si="122"/>
        <v>0.78242750978261577</v>
      </c>
      <c r="U112" s="140">
        <f t="shared" si="122"/>
        <v>0.78505392956125353</v>
      </c>
      <c r="V112" s="140">
        <f t="shared" si="122"/>
        <v>0.79250653131342197</v>
      </c>
      <c r="W112" s="140">
        <f t="shared" ref="W112" si="123">IF(W20=0,0,W20/W$17)</f>
        <v>0.78679612555121903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0.16273320661811932</v>
      </c>
      <c r="C113" s="124">
        <f t="shared" si="124"/>
        <v>0.14574006745989979</v>
      </c>
      <c r="D113" s="124">
        <f t="shared" si="124"/>
        <v>0.14180344933570949</v>
      </c>
      <c r="E113" s="124">
        <f t="shared" si="124"/>
        <v>0.13413554300038508</v>
      </c>
      <c r="F113" s="124">
        <f t="shared" si="124"/>
        <v>0.11847978468527777</v>
      </c>
      <c r="G113" s="124">
        <f t="shared" si="124"/>
        <v>0.10736889870516932</v>
      </c>
      <c r="H113" s="124">
        <f t="shared" si="124"/>
        <v>0.10367346922070751</v>
      </c>
      <c r="I113" s="124">
        <f t="shared" si="124"/>
        <v>0.10607428425303517</v>
      </c>
      <c r="J113" s="124">
        <f t="shared" si="124"/>
        <v>0.10354545404054619</v>
      </c>
      <c r="K113" s="124">
        <f t="shared" si="124"/>
        <v>9.5182660468368666E-2</v>
      </c>
      <c r="L113" s="124">
        <f t="shared" si="124"/>
        <v>8.5401060824797009E-2</v>
      </c>
      <c r="M113" s="124">
        <f t="shared" si="124"/>
        <v>9.6297206477588285E-2</v>
      </c>
      <c r="N113" s="124">
        <f t="shared" si="124"/>
        <v>9.6396285193724299E-2</v>
      </c>
      <c r="O113" s="124">
        <f t="shared" si="124"/>
        <v>9.6123945038005171E-2</v>
      </c>
      <c r="P113" s="124">
        <f t="shared" si="124"/>
        <v>9.6389011082397807E-2</v>
      </c>
      <c r="Q113" s="124">
        <f t="shared" si="124"/>
        <v>0.10868927585395689</v>
      </c>
      <c r="R113" s="124">
        <f t="shared" ref="R113:V113" si="125">IF(R21=0,0,R21/R$17)</f>
        <v>0.10356724414961495</v>
      </c>
      <c r="S113" s="124">
        <f t="shared" si="125"/>
        <v>0.10011118448888028</v>
      </c>
      <c r="T113" s="124">
        <f t="shared" si="125"/>
        <v>9.462830232007724E-2</v>
      </c>
      <c r="U113" s="124">
        <f t="shared" si="125"/>
        <v>9.1361567151087411E-2</v>
      </c>
      <c r="V113" s="124">
        <f t="shared" si="125"/>
        <v>8.9292405976887756E-2</v>
      </c>
      <c r="W113" s="124">
        <f t="shared" ref="W113" si="126">IF(W21=0,0,W21/W$17)</f>
        <v>9.534037753006129E-2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1.5372929035244867E-2</v>
      </c>
      <c r="C114" s="124">
        <f t="shared" si="127"/>
        <v>1.5724720091746608E-2</v>
      </c>
      <c r="D114" s="124">
        <f t="shared" si="127"/>
        <v>1.4748975409843469E-2</v>
      </c>
      <c r="E114" s="124">
        <f t="shared" si="127"/>
        <v>1.4250020721323626E-2</v>
      </c>
      <c r="F114" s="124">
        <f t="shared" si="127"/>
        <v>1.3834711698700576E-2</v>
      </c>
      <c r="G114" s="124">
        <f t="shared" si="127"/>
        <v>1.4042924835403663E-2</v>
      </c>
      <c r="H114" s="124">
        <f t="shared" si="127"/>
        <v>1.3313475434530367E-2</v>
      </c>
      <c r="I114" s="124">
        <f t="shared" si="127"/>
        <v>1.3803628744838181E-2</v>
      </c>
      <c r="J114" s="124">
        <f t="shared" si="127"/>
        <v>1.3744981263740788E-2</v>
      </c>
      <c r="K114" s="124">
        <f t="shared" si="127"/>
        <v>1.354898205924741E-2</v>
      </c>
      <c r="L114" s="124">
        <f t="shared" si="127"/>
        <v>1.381003974723404E-2</v>
      </c>
      <c r="M114" s="124">
        <f t="shared" si="127"/>
        <v>1.6948709029200683E-2</v>
      </c>
      <c r="N114" s="124">
        <f t="shared" si="127"/>
        <v>1.7367988999928072E-2</v>
      </c>
      <c r="O114" s="124">
        <f t="shared" si="127"/>
        <v>1.6586707179535577E-2</v>
      </c>
      <c r="P114" s="124">
        <f t="shared" si="127"/>
        <v>2.3484171897769749E-2</v>
      </c>
      <c r="Q114" s="124">
        <f t="shared" si="127"/>
        <v>2.3255911865957872E-2</v>
      </c>
      <c r="R114" s="124">
        <f t="shared" ref="R114:V114" si="128">IF(R22=0,0,R22/R$17)</f>
        <v>2.1508261592440826E-2</v>
      </c>
      <c r="S114" s="124">
        <f t="shared" si="128"/>
        <v>2.014072041673487E-2</v>
      </c>
      <c r="T114" s="124">
        <f t="shared" si="128"/>
        <v>2.00937273102543E-2</v>
      </c>
      <c r="U114" s="124">
        <f t="shared" si="128"/>
        <v>1.8978798530681379E-2</v>
      </c>
      <c r="V114" s="124">
        <f t="shared" si="128"/>
        <v>1.5415932360588318E-2</v>
      </c>
      <c r="W114" s="124">
        <f t="shared" ref="W114" si="129">IF(W22=0,0,W22/W$17)</f>
        <v>1.4648074687865923E-2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4.9936111304120262E-4</v>
      </c>
      <c r="C115" s="140">
        <f t="shared" si="130"/>
        <v>5.7733239183909411E-4</v>
      </c>
      <c r="D115" s="140">
        <f t="shared" si="130"/>
        <v>5.1133199394993859E-4</v>
      </c>
      <c r="E115" s="140">
        <f t="shared" si="130"/>
        <v>4.6260443594248603E-4</v>
      </c>
      <c r="F115" s="140">
        <f t="shared" si="130"/>
        <v>4.1186110012323893E-4</v>
      </c>
      <c r="G115" s="140">
        <f t="shared" si="130"/>
        <v>3.9826291065587425E-4</v>
      </c>
      <c r="H115" s="140">
        <f t="shared" si="130"/>
        <v>3.3537771122601063E-4</v>
      </c>
      <c r="I115" s="140">
        <f t="shared" si="130"/>
        <v>2.9461067265116285E-4</v>
      </c>
      <c r="J115" s="140">
        <f t="shared" si="130"/>
        <v>2.4514314876223985E-4</v>
      </c>
      <c r="K115" s="140">
        <f t="shared" si="130"/>
        <v>2.8550009670990528E-4</v>
      </c>
      <c r="L115" s="140">
        <f t="shared" si="130"/>
        <v>2.1117390972502932E-4</v>
      </c>
      <c r="M115" s="140">
        <f t="shared" si="130"/>
        <v>2.3539211557758351E-4</v>
      </c>
      <c r="N115" s="140">
        <f t="shared" si="130"/>
        <v>2.4935047236401635E-4</v>
      </c>
      <c r="O115" s="140">
        <f t="shared" si="130"/>
        <v>2.42166570721887E-4</v>
      </c>
      <c r="P115" s="140">
        <f t="shared" si="130"/>
        <v>3.2406411989552547E-4</v>
      </c>
      <c r="Q115" s="140">
        <f t="shared" si="130"/>
        <v>3.2236239212722688E-4</v>
      </c>
      <c r="R115" s="140">
        <f t="shared" ref="R115:V116" si="131">IF(R23=0,0,R23/R$17)</f>
        <v>3.1843353650586162E-4</v>
      </c>
      <c r="S115" s="140">
        <f t="shared" si="131"/>
        <v>2.9326786417490513E-4</v>
      </c>
      <c r="T115" s="140">
        <f t="shared" si="131"/>
        <v>2.9585303878558076E-4</v>
      </c>
      <c r="U115" s="140">
        <f t="shared" si="131"/>
        <v>3.1405982007016146E-4</v>
      </c>
      <c r="V115" s="140">
        <f t="shared" si="131"/>
        <v>2.9633107577589602E-4</v>
      </c>
      <c r="W115" s="140">
        <f t="shared" ref="W115" si="132">IF(W23=0,0,W23/W$17)</f>
        <v>3.2891923597275512E-4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3.87746761048171E-4</v>
      </c>
      <c r="C116" s="140">
        <f t="shared" si="133"/>
        <v>4.6113670502744984E-4</v>
      </c>
      <c r="D116" s="140">
        <f t="shared" si="133"/>
        <v>3.8319384647354332E-4</v>
      </c>
      <c r="E116" s="140">
        <f t="shared" si="133"/>
        <v>3.828286247875149E-4</v>
      </c>
      <c r="F116" s="140">
        <f t="shared" si="133"/>
        <v>3.5796804055727104E-4</v>
      </c>
      <c r="G116" s="140">
        <f t="shared" si="133"/>
        <v>3.3600657922896326E-4</v>
      </c>
      <c r="H116" s="140">
        <f t="shared" si="133"/>
        <v>3.5155672367193194E-4</v>
      </c>
      <c r="I116" s="140">
        <f t="shared" si="133"/>
        <v>4.0929948143280688E-4</v>
      </c>
      <c r="J116" s="140">
        <f t="shared" si="133"/>
        <v>4.143727040520296E-4</v>
      </c>
      <c r="K116" s="140">
        <f t="shared" si="133"/>
        <v>4.4700369029201475E-4</v>
      </c>
      <c r="L116" s="140">
        <f t="shared" si="133"/>
        <v>4.3993678931408256E-4</v>
      </c>
      <c r="M116" s="140">
        <f t="shared" si="133"/>
        <v>5.6038616517154643E-4</v>
      </c>
      <c r="N116" s="140">
        <f t="shared" si="133"/>
        <v>6.2279918926702496E-4</v>
      </c>
      <c r="O116" s="140">
        <f t="shared" si="133"/>
        <v>6.5594999938849532E-4</v>
      </c>
      <c r="P116" s="140">
        <f t="shared" si="133"/>
        <v>9.3015669444916583E-4</v>
      </c>
      <c r="Q116" s="140">
        <f t="shared" si="133"/>
        <v>9.2245216466368854E-4</v>
      </c>
      <c r="R116" s="140">
        <f t="shared" si="131"/>
        <v>8.9088784298661349E-4</v>
      </c>
      <c r="S116" s="140">
        <f t="shared" si="131"/>
        <v>8.0748704465094805E-4</v>
      </c>
      <c r="T116" s="140">
        <f t="shared" si="131"/>
        <v>7.0030039749577582E-4</v>
      </c>
      <c r="U116" s="140">
        <f t="shared" si="131"/>
        <v>7.3127557014006448E-4</v>
      </c>
      <c r="V116" s="140">
        <f t="shared" si="131"/>
        <v>6.886238891974318E-4</v>
      </c>
      <c r="W116" s="140">
        <f t="shared" ref="W116" si="134">IF(W24=0,0,W24/W$17)</f>
        <v>7.44964937784925E-4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1.4485821161155493E-2</v>
      </c>
      <c r="C117" s="140">
        <f t="shared" si="135"/>
        <v>1.4686250994880063E-2</v>
      </c>
      <c r="D117" s="140">
        <f t="shared" si="135"/>
        <v>1.3854449569419988E-2</v>
      </c>
      <c r="E117" s="140">
        <f t="shared" si="135"/>
        <v>1.3404587660593626E-2</v>
      </c>
      <c r="F117" s="140">
        <f t="shared" si="135"/>
        <v>1.3064882558020066E-2</v>
      </c>
      <c r="G117" s="140">
        <f t="shared" si="135"/>
        <v>1.3308655345518826E-2</v>
      </c>
      <c r="H117" s="140">
        <f t="shared" si="135"/>
        <v>1.2626540999632424E-2</v>
      </c>
      <c r="I117" s="140">
        <f t="shared" si="135"/>
        <v>1.3099718590754211E-2</v>
      </c>
      <c r="J117" s="140">
        <f t="shared" si="135"/>
        <v>1.3085465410926519E-2</v>
      </c>
      <c r="K117" s="140">
        <f t="shared" si="135"/>
        <v>1.2816478272245489E-2</v>
      </c>
      <c r="L117" s="140">
        <f t="shared" si="135"/>
        <v>1.3158929048194929E-2</v>
      </c>
      <c r="M117" s="140">
        <f t="shared" si="135"/>
        <v>1.615293074845155E-2</v>
      </c>
      <c r="N117" s="140">
        <f t="shared" si="135"/>
        <v>1.6495839338297031E-2</v>
      </c>
      <c r="O117" s="140">
        <f t="shared" si="135"/>
        <v>1.5688590609425193E-2</v>
      </c>
      <c r="P117" s="140">
        <f t="shared" si="135"/>
        <v>2.222995108342506E-2</v>
      </c>
      <c r="Q117" s="140">
        <f t="shared" si="135"/>
        <v>2.2011097309166956E-2</v>
      </c>
      <c r="R117" s="140">
        <f t="shared" ref="R117:V117" si="136">IF(R25=0,0,R25/R$17)</f>
        <v>2.0298940212948351E-2</v>
      </c>
      <c r="S117" s="140">
        <f t="shared" si="136"/>
        <v>1.9039965507909016E-2</v>
      </c>
      <c r="T117" s="140">
        <f t="shared" si="136"/>
        <v>1.9097573873972942E-2</v>
      </c>
      <c r="U117" s="140">
        <f t="shared" si="136"/>
        <v>1.7933463140471152E-2</v>
      </c>
      <c r="V117" s="140">
        <f t="shared" si="136"/>
        <v>1.443097739561499E-2</v>
      </c>
      <c r="W117" s="140">
        <f t="shared" ref="W117" si="137">IF(W25=0,0,W25/W$17)</f>
        <v>1.3574190514108244E-2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8.1489576074465803E-2</v>
      </c>
      <c r="C118" s="124">
        <f t="shared" si="138"/>
        <v>6.4833393985164869E-2</v>
      </c>
      <c r="D118" s="124">
        <f t="shared" si="138"/>
        <v>6.5958025429968953E-2</v>
      </c>
      <c r="E118" s="124">
        <f t="shared" si="138"/>
        <v>5.9216389900819733E-2</v>
      </c>
      <c r="F118" s="124">
        <f t="shared" si="138"/>
        <v>5.93535589927454E-2</v>
      </c>
      <c r="G118" s="124">
        <f t="shared" si="138"/>
        <v>6.0768491062411736E-2</v>
      </c>
      <c r="H118" s="124">
        <f t="shared" si="138"/>
        <v>7.8387555646872678E-2</v>
      </c>
      <c r="I118" s="124">
        <f t="shared" si="138"/>
        <v>5.5918065121254343E-2</v>
      </c>
      <c r="J118" s="124">
        <f t="shared" si="138"/>
        <v>7.1422315524625038E-2</v>
      </c>
      <c r="K118" s="124">
        <f t="shared" si="138"/>
        <v>6.9414291830657726E-2</v>
      </c>
      <c r="L118" s="124">
        <f t="shared" si="138"/>
        <v>7.0799616944051014E-2</v>
      </c>
      <c r="M118" s="124">
        <f t="shared" si="138"/>
        <v>7.065028886837646E-2</v>
      </c>
      <c r="N118" s="124">
        <f t="shared" si="138"/>
        <v>6.9641719757666393E-2</v>
      </c>
      <c r="O118" s="124">
        <f t="shared" si="138"/>
        <v>5.0464143607040622E-2</v>
      </c>
      <c r="P118" s="124">
        <f t="shared" si="138"/>
        <v>6.1147575838715745E-2</v>
      </c>
      <c r="Q118" s="124">
        <f t="shared" si="138"/>
        <v>6.3539517895404074E-2</v>
      </c>
      <c r="R118" s="124">
        <f t="shared" ref="R118:V118" si="139">IF(R26=0,0,R26/R$17)</f>
        <v>5.2023398970600827E-2</v>
      </c>
      <c r="S118" s="124">
        <f t="shared" si="139"/>
        <v>4.8910362972053215E-2</v>
      </c>
      <c r="T118" s="124">
        <f t="shared" si="139"/>
        <v>5.2915893285461188E-2</v>
      </c>
      <c r="U118" s="124">
        <f t="shared" si="139"/>
        <v>5.5467872802249331E-2</v>
      </c>
      <c r="V118" s="124">
        <f t="shared" si="139"/>
        <v>5.6836697413338653E-2</v>
      </c>
      <c r="W118" s="124">
        <f t="shared" ref="W118" si="140">IF(W26=0,0,W26/W$17)</f>
        <v>5.4949432323047415E-2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5.5807806793502945E-2</v>
      </c>
      <c r="C119" s="140">
        <f t="shared" si="141"/>
        <v>4.1461240088530388E-2</v>
      </c>
      <c r="D119" s="140">
        <f t="shared" si="141"/>
        <v>4.3095595225501042E-2</v>
      </c>
      <c r="E119" s="140">
        <f t="shared" si="141"/>
        <v>3.6820119265245393E-2</v>
      </c>
      <c r="F119" s="140">
        <f t="shared" si="141"/>
        <v>3.7254627942651261E-2</v>
      </c>
      <c r="G119" s="140">
        <f t="shared" si="141"/>
        <v>3.7277175296962908E-2</v>
      </c>
      <c r="H119" s="140">
        <f t="shared" si="141"/>
        <v>5.571630111586242E-2</v>
      </c>
      <c r="I119" s="140">
        <f t="shared" si="141"/>
        <v>3.2996540447407824E-2</v>
      </c>
      <c r="J119" s="140">
        <f t="shared" si="141"/>
        <v>4.8606260635386075E-2</v>
      </c>
      <c r="K119" s="140">
        <f t="shared" si="141"/>
        <v>4.3607819318598223E-2</v>
      </c>
      <c r="L119" s="140">
        <f t="shared" si="141"/>
        <v>4.3798460586496307E-2</v>
      </c>
      <c r="M119" s="140">
        <f t="shared" si="141"/>
        <v>4.5211856597602525E-2</v>
      </c>
      <c r="N119" s="140">
        <f t="shared" si="141"/>
        <v>4.3228207394433171E-2</v>
      </c>
      <c r="O119" s="140">
        <f t="shared" si="141"/>
        <v>2.2986951375109452E-2</v>
      </c>
      <c r="P119" s="140">
        <f t="shared" si="141"/>
        <v>3.5116392118064499E-2</v>
      </c>
      <c r="Q119" s="140">
        <f t="shared" si="141"/>
        <v>3.8060607050537938E-2</v>
      </c>
      <c r="R119" s="140">
        <f t="shared" ref="R119:V119" si="142">IF(R27=0,0,R27/R$17)</f>
        <v>2.7273446519553636E-2</v>
      </c>
      <c r="S119" s="140">
        <f t="shared" si="142"/>
        <v>2.781555637929042E-2</v>
      </c>
      <c r="T119" s="140">
        <f t="shared" si="142"/>
        <v>3.2735041635390989E-2</v>
      </c>
      <c r="U119" s="140">
        <f t="shared" si="142"/>
        <v>3.3723000385367907E-2</v>
      </c>
      <c r="V119" s="140">
        <f t="shared" si="142"/>
        <v>3.7064989407175855E-2</v>
      </c>
      <c r="W119" s="140">
        <f t="shared" ref="W119" si="143">IF(W27=0,0,W27/W$17)</f>
        <v>3.5732549984605927E-2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2.5681769280962854E-2</v>
      </c>
      <c r="C120" s="127">
        <f t="shared" si="144"/>
        <v>2.3372153896634489E-2</v>
      </c>
      <c r="D120" s="127">
        <f t="shared" si="144"/>
        <v>2.2862430204467904E-2</v>
      </c>
      <c r="E120" s="127">
        <f t="shared" si="144"/>
        <v>2.2396270635574339E-2</v>
      </c>
      <c r="F120" s="127">
        <f t="shared" si="144"/>
        <v>2.2098931050094139E-2</v>
      </c>
      <c r="G120" s="127">
        <f t="shared" si="144"/>
        <v>2.3491315765448828E-2</v>
      </c>
      <c r="H120" s="127">
        <f t="shared" si="144"/>
        <v>2.2671254531010251E-2</v>
      </c>
      <c r="I120" s="127">
        <f t="shared" si="144"/>
        <v>2.2921524673846519E-2</v>
      </c>
      <c r="J120" s="127">
        <f t="shared" si="144"/>
        <v>2.2816054889238959E-2</v>
      </c>
      <c r="K120" s="127">
        <f t="shared" si="144"/>
        <v>2.5806472512059496E-2</v>
      </c>
      <c r="L120" s="127">
        <f t="shared" si="144"/>
        <v>2.7001156357554706E-2</v>
      </c>
      <c r="M120" s="127">
        <f t="shared" si="144"/>
        <v>2.5438432270773935E-2</v>
      </c>
      <c r="N120" s="127">
        <f t="shared" si="144"/>
        <v>2.6413512363233225E-2</v>
      </c>
      <c r="O120" s="127">
        <f t="shared" si="144"/>
        <v>2.7477192231931173E-2</v>
      </c>
      <c r="P120" s="127">
        <f t="shared" si="144"/>
        <v>2.6031183720651243E-2</v>
      </c>
      <c r="Q120" s="127">
        <f t="shared" si="144"/>
        <v>2.5478910844866136E-2</v>
      </c>
      <c r="R120" s="127">
        <f t="shared" ref="R120:V120" si="145">IF(R28=0,0,R28/R$17)</f>
        <v>2.4749952451047191E-2</v>
      </c>
      <c r="S120" s="127">
        <f t="shared" si="145"/>
        <v>2.1094806592762794E-2</v>
      </c>
      <c r="T120" s="127">
        <f t="shared" si="145"/>
        <v>2.0180851650070202E-2</v>
      </c>
      <c r="U120" s="127">
        <f t="shared" si="145"/>
        <v>2.1744872416881424E-2</v>
      </c>
      <c r="V120" s="127">
        <f t="shared" si="145"/>
        <v>1.9771708006162795E-2</v>
      </c>
      <c r="W120" s="127">
        <f t="shared" ref="W120" si="146">IF(W28=0,0,W28/W$17)</f>
        <v>1.9216882338441488E-2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0.12138115326889261</v>
      </c>
      <c r="C122" s="140">
        <f>IF(C30=0,0,C30/C$29)</f>
        <v>0.12220067937962288</v>
      </c>
      <c r="D122" s="140">
        <f t="shared" ref="D122:W122" si="150">IF(D30=0,0,D30/D$29)</f>
        <v>0.11151204966582635</v>
      </c>
      <c r="E122" s="140">
        <f t="shared" si="150"/>
        <v>0.1086019291830651</v>
      </c>
      <c r="F122" s="140">
        <f t="shared" si="150"/>
        <v>0.11275407507270976</v>
      </c>
      <c r="G122" s="140">
        <f t="shared" si="150"/>
        <v>0.10457688004522038</v>
      </c>
      <c r="H122" s="140">
        <f t="shared" si="150"/>
        <v>9.1654167943244658E-2</v>
      </c>
      <c r="I122" s="140">
        <f t="shared" si="150"/>
        <v>9.3972950215052919E-2</v>
      </c>
      <c r="J122" s="140">
        <f t="shared" si="150"/>
        <v>8.9186313362916131E-2</v>
      </c>
      <c r="K122" s="140">
        <f t="shared" si="150"/>
        <v>9.9090872382392156E-2</v>
      </c>
      <c r="L122" s="140">
        <f t="shared" si="150"/>
        <v>9.8668070187250018E-2</v>
      </c>
      <c r="M122" s="140">
        <f t="shared" si="150"/>
        <v>9.449229089926299E-2</v>
      </c>
      <c r="N122" s="140">
        <f t="shared" si="150"/>
        <v>9.4421143934399598E-2</v>
      </c>
      <c r="O122" s="140">
        <f t="shared" si="150"/>
        <v>8.6075066010364978E-2</v>
      </c>
      <c r="P122" s="140">
        <f t="shared" si="150"/>
        <v>8.7755689712381957E-2</v>
      </c>
      <c r="Q122" s="140">
        <f t="shared" si="150"/>
        <v>8.0637333150203355E-2</v>
      </c>
      <c r="R122" s="140">
        <f t="shared" si="150"/>
        <v>9.4088830312579225E-2</v>
      </c>
      <c r="S122" s="140">
        <f t="shared" si="150"/>
        <v>9.153234638727277E-2</v>
      </c>
      <c r="T122" s="140">
        <f t="shared" si="150"/>
        <v>9.1254456522315314E-2</v>
      </c>
      <c r="U122" s="140">
        <f t="shared" si="150"/>
        <v>8.7182706069684548E-2</v>
      </c>
      <c r="V122" s="140">
        <f t="shared" si="150"/>
        <v>9.2556802043739103E-2</v>
      </c>
      <c r="W122" s="140">
        <f t="shared" si="150"/>
        <v>8.3534021004476183E-2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0.87861884673110746</v>
      </c>
      <c r="C123" s="127">
        <f>IF(C31=0,0,C31/C$29)</f>
        <v>0.87779932062037702</v>
      </c>
      <c r="D123" s="127">
        <f t="shared" ref="D123:W123" si="152">IF(D31=0,0,D31/D$29)</f>
        <v>0.8884879503341736</v>
      </c>
      <c r="E123" s="127">
        <f t="shared" si="152"/>
        <v>0.8913980708169349</v>
      </c>
      <c r="F123" s="127">
        <f t="shared" si="152"/>
        <v>0.88724592492729026</v>
      </c>
      <c r="G123" s="127">
        <f t="shared" si="152"/>
        <v>0.89542311995477952</v>
      </c>
      <c r="H123" s="127">
        <f t="shared" si="152"/>
        <v>0.90834583205675534</v>
      </c>
      <c r="I123" s="127">
        <f t="shared" si="152"/>
        <v>0.90602704978494708</v>
      </c>
      <c r="J123" s="127">
        <f t="shared" si="152"/>
        <v>0.91081368663708384</v>
      </c>
      <c r="K123" s="127">
        <f t="shared" si="152"/>
        <v>0.90090912761760789</v>
      </c>
      <c r="L123" s="127">
        <f t="shared" si="152"/>
        <v>0.90133192981275001</v>
      </c>
      <c r="M123" s="127">
        <f t="shared" si="152"/>
        <v>0.90550770910073697</v>
      </c>
      <c r="N123" s="127">
        <f t="shared" si="152"/>
        <v>0.90557885606560051</v>
      </c>
      <c r="O123" s="127">
        <f t="shared" si="152"/>
        <v>0.91392493398963504</v>
      </c>
      <c r="P123" s="127">
        <f t="shared" si="152"/>
        <v>0.91224431028761799</v>
      </c>
      <c r="Q123" s="127">
        <f t="shared" si="152"/>
        <v>0.91936266684979662</v>
      </c>
      <c r="R123" s="127">
        <f t="shared" si="152"/>
        <v>0.9059111696874208</v>
      </c>
      <c r="S123" s="127">
        <f t="shared" si="152"/>
        <v>0.90846765361272719</v>
      </c>
      <c r="T123" s="127">
        <f t="shared" si="152"/>
        <v>0.90874554347768466</v>
      </c>
      <c r="U123" s="127">
        <f t="shared" si="152"/>
        <v>0.91281729393031541</v>
      </c>
      <c r="V123" s="127">
        <f t="shared" si="152"/>
        <v>0.90744319795626083</v>
      </c>
      <c r="W123" s="127">
        <f t="shared" si="152"/>
        <v>0.91646597899552384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0.802894080473602</v>
      </c>
      <c r="C127" s="139">
        <f t="shared" ref="C127:W127" si="155">IF(C35=0,0,C35/C$34)</f>
        <v>0.80900419487414821</v>
      </c>
      <c r="D127" s="139">
        <f t="shared" si="155"/>
        <v>0.81007767981462042</v>
      </c>
      <c r="E127" s="139">
        <f t="shared" si="155"/>
        <v>0.81265836105507872</v>
      </c>
      <c r="F127" s="139">
        <f t="shared" si="155"/>
        <v>0.80311531345192178</v>
      </c>
      <c r="G127" s="139">
        <f t="shared" si="155"/>
        <v>0.79959745161963092</v>
      </c>
      <c r="H127" s="139">
        <f t="shared" si="155"/>
        <v>0.79453560520198396</v>
      </c>
      <c r="I127" s="139">
        <f t="shared" si="155"/>
        <v>0.79191003173911689</v>
      </c>
      <c r="J127" s="139">
        <f t="shared" si="155"/>
        <v>0.78726962325713357</v>
      </c>
      <c r="K127" s="139">
        <f t="shared" si="155"/>
        <v>0.80169816165026042</v>
      </c>
      <c r="L127" s="139">
        <f t="shared" si="155"/>
        <v>0.79955642849084518</v>
      </c>
      <c r="M127" s="139">
        <f t="shared" si="155"/>
        <v>0.78638692117864939</v>
      </c>
      <c r="N127" s="139">
        <f t="shared" si="155"/>
        <v>0.79144675296747591</v>
      </c>
      <c r="O127" s="139">
        <f t="shared" si="155"/>
        <v>0.79044887788630547</v>
      </c>
      <c r="P127" s="139">
        <f t="shared" si="155"/>
        <v>0.79580818631844852</v>
      </c>
      <c r="Q127" s="139">
        <f t="shared" si="155"/>
        <v>0.79174768159229891</v>
      </c>
      <c r="R127" s="139">
        <f t="shared" si="155"/>
        <v>0.79178066236362354</v>
      </c>
      <c r="S127" s="139">
        <f t="shared" si="155"/>
        <v>0.78892564444030189</v>
      </c>
      <c r="T127" s="139">
        <f t="shared" si="155"/>
        <v>0.77978389879695276</v>
      </c>
      <c r="U127" s="139">
        <f t="shared" si="155"/>
        <v>0.77183073959601145</v>
      </c>
      <c r="V127" s="139">
        <f t="shared" si="155"/>
        <v>0.85817372833286309</v>
      </c>
      <c r="W127" s="139">
        <f t="shared" si="155"/>
        <v>0.86166026233076176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1.0586060439625036E-2</v>
      </c>
      <c r="C128" s="140">
        <f t="shared" ref="C128:W128" si="156">IF(C36=0,0,C36/C$34)</f>
        <v>1.1406781312172059E-2</v>
      </c>
      <c r="D128" s="140">
        <f t="shared" si="156"/>
        <v>1.2605251887187459E-2</v>
      </c>
      <c r="E128" s="140">
        <f t="shared" si="156"/>
        <v>1.2843872877004257E-2</v>
      </c>
      <c r="F128" s="140">
        <f t="shared" si="156"/>
        <v>1.365227661039444E-2</v>
      </c>
      <c r="G128" s="140">
        <f t="shared" si="156"/>
        <v>1.4069858861564742E-2</v>
      </c>
      <c r="H128" s="140">
        <f t="shared" si="156"/>
        <v>1.3865051425310124E-2</v>
      </c>
      <c r="I128" s="140">
        <f t="shared" si="156"/>
        <v>1.4136776778055964E-2</v>
      </c>
      <c r="J128" s="140">
        <f t="shared" si="156"/>
        <v>1.5037910436304593E-2</v>
      </c>
      <c r="K128" s="140">
        <f t="shared" si="156"/>
        <v>1.5471445983924902E-2</v>
      </c>
      <c r="L128" s="140">
        <f t="shared" si="156"/>
        <v>1.5520474411563566E-2</v>
      </c>
      <c r="M128" s="140">
        <f t="shared" si="156"/>
        <v>1.4858014123226782E-2</v>
      </c>
      <c r="N128" s="140">
        <f t="shared" si="156"/>
        <v>1.481436760937418E-2</v>
      </c>
      <c r="O128" s="140">
        <f t="shared" si="156"/>
        <v>1.5157125479381564E-2</v>
      </c>
      <c r="P128" s="140">
        <f t="shared" si="156"/>
        <v>1.5376282483785973E-2</v>
      </c>
      <c r="Q128" s="140">
        <f t="shared" si="156"/>
        <v>1.5116855744790693E-2</v>
      </c>
      <c r="R128" s="140">
        <f t="shared" si="156"/>
        <v>1.3980892162406928E-2</v>
      </c>
      <c r="S128" s="140">
        <f t="shared" si="156"/>
        <v>1.323331543514732E-2</v>
      </c>
      <c r="T128" s="140">
        <f t="shared" si="156"/>
        <v>1.3293411636941062E-2</v>
      </c>
      <c r="U128" s="140">
        <f t="shared" si="156"/>
        <v>1.3240614780544821E-2</v>
      </c>
      <c r="V128" s="140">
        <f t="shared" si="156"/>
        <v>1.5392071740701578E-2</v>
      </c>
      <c r="W128" s="140">
        <f t="shared" si="156"/>
        <v>1.3685441319469709E-2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0.74246293308590083</v>
      </c>
      <c r="C129" s="140">
        <f t="shared" ref="C129:W129" si="157">IF(C37=0,0,C37/C$34)</f>
        <v>0.7494664872637955</v>
      </c>
      <c r="D129" s="140">
        <f t="shared" si="157"/>
        <v>0.74944643550138623</v>
      </c>
      <c r="E129" s="140">
        <f t="shared" si="157"/>
        <v>0.75054018865219141</v>
      </c>
      <c r="F129" s="140">
        <f t="shared" si="157"/>
        <v>0.73950108217961319</v>
      </c>
      <c r="G129" s="140">
        <f t="shared" si="157"/>
        <v>0.73504391581583661</v>
      </c>
      <c r="H129" s="140">
        <f t="shared" si="157"/>
        <v>0.72870925884144433</v>
      </c>
      <c r="I129" s="140">
        <f t="shared" si="157"/>
        <v>0.7253417830837976</v>
      </c>
      <c r="J129" s="140">
        <f t="shared" si="157"/>
        <v>0.71937014880392425</v>
      </c>
      <c r="K129" s="140">
        <f t="shared" si="157"/>
        <v>0.73561937387733112</v>
      </c>
      <c r="L129" s="140">
        <f t="shared" si="157"/>
        <v>0.7344630036784523</v>
      </c>
      <c r="M129" s="140">
        <f t="shared" si="157"/>
        <v>0.72394762692867221</v>
      </c>
      <c r="N129" s="140">
        <f t="shared" si="157"/>
        <v>0.72955726358061435</v>
      </c>
      <c r="O129" s="140">
        <f t="shared" si="157"/>
        <v>0.73062030839512415</v>
      </c>
      <c r="P129" s="140">
        <f t="shared" si="157"/>
        <v>0.73566905675329153</v>
      </c>
      <c r="Q129" s="140">
        <f t="shared" si="157"/>
        <v>0.7318512691319301</v>
      </c>
      <c r="R129" s="140">
        <f t="shared" si="157"/>
        <v>0.73181451033622169</v>
      </c>
      <c r="S129" s="140">
        <f t="shared" si="157"/>
        <v>0.73014922761599077</v>
      </c>
      <c r="T129" s="140">
        <f t="shared" si="157"/>
        <v>0.71976788304702011</v>
      </c>
      <c r="U129" s="140">
        <f t="shared" si="157"/>
        <v>0.71218059854244298</v>
      </c>
      <c r="V129" s="140">
        <f t="shared" si="157"/>
        <v>0.79283385874299017</v>
      </c>
      <c r="W129" s="140">
        <f t="shared" si="157"/>
        <v>0.79951352014677524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4.9845086948076114E-2</v>
      </c>
      <c r="C130" s="140">
        <f t="shared" ref="C130:W130" si="158">IF(C38=0,0,C38/C$34)</f>
        <v>4.8130926298180617E-2</v>
      </c>
      <c r="D130" s="140">
        <f t="shared" si="158"/>
        <v>4.8025992426046729E-2</v>
      </c>
      <c r="E130" s="140">
        <f t="shared" si="158"/>
        <v>4.9274299525883025E-2</v>
      </c>
      <c r="F130" s="140">
        <f t="shared" si="158"/>
        <v>4.9961954661914165E-2</v>
      </c>
      <c r="G130" s="140">
        <f t="shared" si="158"/>
        <v>5.0483676942229605E-2</v>
      </c>
      <c r="H130" s="140">
        <f t="shared" si="158"/>
        <v>5.1961294935229448E-2</v>
      </c>
      <c r="I130" s="140">
        <f t="shared" si="158"/>
        <v>5.2431471877263436E-2</v>
      </c>
      <c r="J130" s="140">
        <f t="shared" si="158"/>
        <v>5.2861564016904776E-2</v>
      </c>
      <c r="K130" s="140">
        <f t="shared" si="158"/>
        <v>5.0607341789004376E-2</v>
      </c>
      <c r="L130" s="140">
        <f t="shared" si="158"/>
        <v>4.9572950400829381E-2</v>
      </c>
      <c r="M130" s="140">
        <f t="shared" si="158"/>
        <v>4.7581280126750329E-2</v>
      </c>
      <c r="N130" s="140">
        <f t="shared" si="158"/>
        <v>4.7075121777487454E-2</v>
      </c>
      <c r="O130" s="140">
        <f t="shared" si="158"/>
        <v>4.467144401179967E-2</v>
      </c>
      <c r="P130" s="140">
        <f t="shared" si="158"/>
        <v>4.4762847081370988E-2</v>
      </c>
      <c r="Q130" s="140">
        <f t="shared" si="158"/>
        <v>4.4779556715578081E-2</v>
      </c>
      <c r="R130" s="140">
        <f t="shared" si="158"/>
        <v>4.5985259864994937E-2</v>
      </c>
      <c r="S130" s="140">
        <f t="shared" si="158"/>
        <v>4.5543101389163898E-2</v>
      </c>
      <c r="T130" s="140">
        <f t="shared" si="158"/>
        <v>4.6722604112991568E-2</v>
      </c>
      <c r="U130" s="140">
        <f t="shared" si="158"/>
        <v>4.6409526273023582E-2</v>
      </c>
      <c r="V130" s="140">
        <f t="shared" si="158"/>
        <v>4.9947797849171451E-2</v>
      </c>
      <c r="W130" s="140">
        <f t="shared" si="158"/>
        <v>4.8461300864516783E-2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2.5436784863687171E-2</v>
      </c>
      <c r="C131" s="124">
        <f t="shared" ref="C131:W131" si="159">IF(C39=0,0,C39/C$34)</f>
        <v>2.2726580769433423E-2</v>
      </c>
      <c r="D131" s="124">
        <f t="shared" si="159"/>
        <v>2.3176076076826025E-2</v>
      </c>
      <c r="E131" s="124">
        <f t="shared" si="159"/>
        <v>2.3779622321052199E-2</v>
      </c>
      <c r="F131" s="124">
        <f t="shared" si="159"/>
        <v>2.5301669635826779E-2</v>
      </c>
      <c r="G131" s="124">
        <f t="shared" si="159"/>
        <v>2.5846105060443016E-2</v>
      </c>
      <c r="H131" s="124">
        <f t="shared" si="159"/>
        <v>2.6011630972380153E-2</v>
      </c>
      <c r="I131" s="124">
        <f t="shared" si="159"/>
        <v>2.5624709171823662E-2</v>
      </c>
      <c r="J131" s="124">
        <f t="shared" si="159"/>
        <v>2.7357867499506694E-2</v>
      </c>
      <c r="K131" s="124">
        <f t="shared" si="159"/>
        <v>2.6930853141003755E-2</v>
      </c>
      <c r="L131" s="124">
        <f t="shared" si="159"/>
        <v>2.6951595186569557E-2</v>
      </c>
      <c r="M131" s="124">
        <f t="shared" si="159"/>
        <v>2.5761386261590705E-2</v>
      </c>
      <c r="N131" s="124">
        <f t="shared" si="159"/>
        <v>2.5875277589051126E-2</v>
      </c>
      <c r="O131" s="124">
        <f t="shared" si="159"/>
        <v>2.598964154570528E-2</v>
      </c>
      <c r="P131" s="124">
        <f t="shared" si="159"/>
        <v>2.495941877858401E-2</v>
      </c>
      <c r="Q131" s="124">
        <f t="shared" si="159"/>
        <v>2.4806420836463415E-2</v>
      </c>
      <c r="R131" s="124">
        <f t="shared" si="159"/>
        <v>2.3970503038850434E-2</v>
      </c>
      <c r="S131" s="124">
        <f t="shared" si="159"/>
        <v>2.3776121607785895E-2</v>
      </c>
      <c r="T131" s="124">
        <f t="shared" si="159"/>
        <v>2.2542359871918969E-2</v>
      </c>
      <c r="U131" s="124">
        <f t="shared" si="159"/>
        <v>2.2301346147566348E-2</v>
      </c>
      <c r="V131" s="124">
        <f t="shared" si="159"/>
        <v>2.3662328872687717E-2</v>
      </c>
      <c r="W131" s="124">
        <f t="shared" si="159"/>
        <v>2.3534945154724932E-2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1.1052832324471048E-3</v>
      </c>
      <c r="C132" s="140">
        <f t="shared" ref="C132:W132" si="160">IF(C40=0,0,C40/C$34)</f>
        <v>1.1396253228253329E-3</v>
      </c>
      <c r="D132" s="140">
        <f t="shared" si="160"/>
        <v>1.1498807670176972E-3</v>
      </c>
      <c r="E132" s="140">
        <f t="shared" si="160"/>
        <v>1.2029969957700745E-3</v>
      </c>
      <c r="F132" s="140">
        <f t="shared" si="160"/>
        <v>1.3277307464730631E-3</v>
      </c>
      <c r="G132" s="140">
        <f t="shared" si="160"/>
        <v>1.3118886833835863E-3</v>
      </c>
      <c r="H132" s="140">
        <f t="shared" si="160"/>
        <v>1.2877322229830849E-3</v>
      </c>
      <c r="I132" s="140">
        <f t="shared" si="160"/>
        <v>1.2349180083090006E-3</v>
      </c>
      <c r="J132" s="140">
        <f t="shared" si="160"/>
        <v>1.3442686026820057E-3</v>
      </c>
      <c r="K132" s="140">
        <f t="shared" si="160"/>
        <v>1.197854981228659E-3</v>
      </c>
      <c r="L132" s="140">
        <f t="shared" si="160"/>
        <v>1.2202029196366245E-3</v>
      </c>
      <c r="M132" s="140">
        <f t="shared" si="160"/>
        <v>1.1879970214799221E-3</v>
      </c>
      <c r="N132" s="140">
        <f t="shared" si="160"/>
        <v>1.2023019085790421E-3</v>
      </c>
      <c r="O132" s="140">
        <f t="shared" si="160"/>
        <v>1.1753742973254133E-3</v>
      </c>
      <c r="P132" s="140">
        <f t="shared" si="160"/>
        <v>1.1480180024264542E-3</v>
      </c>
      <c r="Q132" s="140">
        <f t="shared" si="160"/>
        <v>1.1083660358171793E-3</v>
      </c>
      <c r="R132" s="140">
        <f t="shared" si="160"/>
        <v>1.0898732316485327E-3</v>
      </c>
      <c r="S132" s="140">
        <f t="shared" si="160"/>
        <v>1.0810153656349694E-3</v>
      </c>
      <c r="T132" s="140">
        <f t="shared" si="160"/>
        <v>1.1119137798665255E-3</v>
      </c>
      <c r="U132" s="140">
        <f t="shared" si="160"/>
        <v>1.0509734172494771E-3</v>
      </c>
      <c r="V132" s="140">
        <f t="shared" si="160"/>
        <v>1.0048314952434232E-3</v>
      </c>
      <c r="W132" s="140">
        <f t="shared" si="160"/>
        <v>1.0766170726146649E-3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1.7644233915225068E-2</v>
      </c>
      <c r="C133" s="140">
        <f t="shared" ref="C133:W133" si="161">IF(C41=0,0,C41/C$34)</f>
        <v>1.4097232377275587E-2</v>
      </c>
      <c r="D133" s="140">
        <f t="shared" si="161"/>
        <v>1.40936776782562E-2</v>
      </c>
      <c r="E133" s="140">
        <f t="shared" si="161"/>
        <v>1.4625317957715543E-2</v>
      </c>
      <c r="F133" s="140">
        <f t="shared" si="161"/>
        <v>1.548750565902355E-2</v>
      </c>
      <c r="G133" s="140">
        <f t="shared" si="161"/>
        <v>1.5744406026638628E-2</v>
      </c>
      <c r="H133" s="140">
        <f t="shared" si="161"/>
        <v>1.5881773525252971E-2</v>
      </c>
      <c r="I133" s="140">
        <f t="shared" si="161"/>
        <v>1.535441605896308E-2</v>
      </c>
      <c r="J133" s="140">
        <f t="shared" si="161"/>
        <v>1.5945922465843029E-2</v>
      </c>
      <c r="K133" s="140">
        <f t="shared" si="161"/>
        <v>1.5767927250769326E-2</v>
      </c>
      <c r="L133" s="140">
        <f t="shared" si="161"/>
        <v>1.5909425345794818E-2</v>
      </c>
      <c r="M133" s="140">
        <f t="shared" si="161"/>
        <v>1.5469366286119732E-2</v>
      </c>
      <c r="N133" s="140">
        <f t="shared" si="161"/>
        <v>1.4928093537029449E-2</v>
      </c>
      <c r="O133" s="140">
        <f t="shared" si="161"/>
        <v>1.5087532054897683E-2</v>
      </c>
      <c r="P133" s="140">
        <f t="shared" si="161"/>
        <v>1.4562267980571388E-2</v>
      </c>
      <c r="Q133" s="140">
        <f t="shared" si="161"/>
        <v>1.4286466234793323E-2</v>
      </c>
      <c r="R133" s="140">
        <f t="shared" si="161"/>
        <v>1.3950465269146084E-2</v>
      </c>
      <c r="S133" s="140">
        <f t="shared" si="161"/>
        <v>1.3487421790233725E-2</v>
      </c>
      <c r="T133" s="140">
        <f t="shared" si="161"/>
        <v>1.2777555052513283E-2</v>
      </c>
      <c r="U133" s="140">
        <f t="shared" si="161"/>
        <v>1.2398609584879646E-2</v>
      </c>
      <c r="V133" s="140">
        <f t="shared" si="161"/>
        <v>1.3233784924286195E-2</v>
      </c>
      <c r="W133" s="140">
        <f t="shared" si="161"/>
        <v>1.227515102179556E-2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6.6872677160149992E-3</v>
      </c>
      <c r="C134" s="140">
        <f t="shared" ref="C134:W134" si="162">IF(C42=0,0,C42/C$34)</f>
        <v>7.4897230693325026E-3</v>
      </c>
      <c r="D134" s="140">
        <f t="shared" si="162"/>
        <v>7.9325176315521266E-3</v>
      </c>
      <c r="E134" s="140">
        <f t="shared" si="162"/>
        <v>7.9513073675665843E-3</v>
      </c>
      <c r="F134" s="140">
        <f t="shared" si="162"/>
        <v>8.4864332303301628E-3</v>
      </c>
      <c r="G134" s="140">
        <f t="shared" si="162"/>
        <v>8.7898103504207986E-3</v>
      </c>
      <c r="H134" s="140">
        <f t="shared" si="162"/>
        <v>8.8421252241441001E-3</v>
      </c>
      <c r="I134" s="140">
        <f t="shared" si="162"/>
        <v>9.0353751045515792E-3</v>
      </c>
      <c r="J134" s="140">
        <f t="shared" si="162"/>
        <v>1.0067676430981661E-2</v>
      </c>
      <c r="K134" s="140">
        <f t="shared" si="162"/>
        <v>9.9650709090057694E-3</v>
      </c>
      <c r="L134" s="140">
        <f t="shared" si="162"/>
        <v>9.8219669211381117E-3</v>
      </c>
      <c r="M134" s="140">
        <f t="shared" si="162"/>
        <v>9.1040229539910526E-3</v>
      </c>
      <c r="N134" s="140">
        <f t="shared" si="162"/>
        <v>9.7448821434426378E-3</v>
      </c>
      <c r="O134" s="140">
        <f t="shared" si="162"/>
        <v>9.7267351934821819E-3</v>
      </c>
      <c r="P134" s="140">
        <f t="shared" si="162"/>
        <v>9.24913279558617E-3</v>
      </c>
      <c r="Q134" s="140">
        <f t="shared" si="162"/>
        <v>9.4115885658529151E-3</v>
      </c>
      <c r="R134" s="140">
        <f t="shared" si="162"/>
        <v>8.930164538055816E-3</v>
      </c>
      <c r="S134" s="140">
        <f t="shared" si="162"/>
        <v>9.2076844519171971E-3</v>
      </c>
      <c r="T134" s="140">
        <f t="shared" si="162"/>
        <v>8.6528910395391612E-3</v>
      </c>
      <c r="U134" s="140">
        <f t="shared" si="162"/>
        <v>8.8517631454372216E-3</v>
      </c>
      <c r="V134" s="140">
        <f t="shared" si="162"/>
        <v>9.4237124531580986E-3</v>
      </c>
      <c r="W134" s="140">
        <f t="shared" si="162"/>
        <v>1.0183177060314708E-2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0.17166913466271078</v>
      </c>
      <c r="C135" s="124">
        <f t="shared" ref="C135:W135" si="163">IF(C43=0,0,C43/C$34)</f>
        <v>0.16826922435641845</v>
      </c>
      <c r="D135" s="124">
        <f t="shared" si="163"/>
        <v>0.1667462441085536</v>
      </c>
      <c r="E135" s="124">
        <f t="shared" si="163"/>
        <v>0.1635620166238691</v>
      </c>
      <c r="F135" s="124">
        <f t="shared" si="163"/>
        <v>0.17158301691225158</v>
      </c>
      <c r="G135" s="124">
        <f t="shared" si="163"/>
        <v>0.17455644331992609</v>
      </c>
      <c r="H135" s="124">
        <f t="shared" si="163"/>
        <v>0.17945276382563599</v>
      </c>
      <c r="I135" s="124">
        <f t="shared" si="163"/>
        <v>0.18246525908905933</v>
      </c>
      <c r="J135" s="124">
        <f t="shared" si="163"/>
        <v>0.18537250924335974</v>
      </c>
      <c r="K135" s="124">
        <f t="shared" si="163"/>
        <v>0.17137098520873578</v>
      </c>
      <c r="L135" s="124">
        <f t="shared" si="163"/>
        <v>0.17349197632258526</v>
      </c>
      <c r="M135" s="124">
        <f t="shared" si="163"/>
        <v>0.18785169255975986</v>
      </c>
      <c r="N135" s="124">
        <f t="shared" si="163"/>
        <v>0.18267796944347303</v>
      </c>
      <c r="O135" s="124">
        <f t="shared" si="163"/>
        <v>0.18356148056798927</v>
      </c>
      <c r="P135" s="124">
        <f t="shared" si="163"/>
        <v>0.17923239490296747</v>
      </c>
      <c r="Q135" s="124">
        <f t="shared" si="163"/>
        <v>0.18344589757123769</v>
      </c>
      <c r="R135" s="124">
        <f t="shared" si="163"/>
        <v>0.18424883459752603</v>
      </c>
      <c r="S135" s="124">
        <f t="shared" si="163"/>
        <v>0.18729823395191222</v>
      </c>
      <c r="T135" s="124">
        <f t="shared" si="163"/>
        <v>0.19767374133112839</v>
      </c>
      <c r="U135" s="124">
        <f t="shared" si="163"/>
        <v>0.20586791425642223</v>
      </c>
      <c r="V135" s="124">
        <f t="shared" si="163"/>
        <v>0.11816394279444914</v>
      </c>
      <c r="W135" s="124">
        <f t="shared" si="163"/>
        <v>0.11480479251451332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2.9251109163211587E-2</v>
      </c>
      <c r="C136" s="140">
        <f t="shared" ref="C136:W136" si="164">IF(C44=0,0,C44/C$34)</f>
        <v>2.9189924337075013E-2</v>
      </c>
      <c r="D136" s="140">
        <f t="shared" si="164"/>
        <v>2.744762885675528E-2</v>
      </c>
      <c r="E136" s="140">
        <f t="shared" si="164"/>
        <v>2.6143035639519772E-2</v>
      </c>
      <c r="F136" s="140">
        <f t="shared" si="164"/>
        <v>2.4886160349040357E-2</v>
      </c>
      <c r="G136" s="140">
        <f t="shared" si="164"/>
        <v>2.4914164087115775E-2</v>
      </c>
      <c r="H136" s="140">
        <f t="shared" si="164"/>
        <v>2.4761272793598774E-2</v>
      </c>
      <c r="I136" s="140">
        <f t="shared" si="164"/>
        <v>2.4606116901065539E-2</v>
      </c>
      <c r="J136" s="140">
        <f t="shared" si="164"/>
        <v>2.5090313433943055E-2</v>
      </c>
      <c r="K136" s="140">
        <f t="shared" si="164"/>
        <v>2.3813036780884086E-2</v>
      </c>
      <c r="L136" s="140">
        <f t="shared" si="164"/>
        <v>2.3440847368633527E-2</v>
      </c>
      <c r="M136" s="140">
        <f t="shared" si="164"/>
        <v>4.2004705091569838E-2</v>
      </c>
      <c r="N136" s="140">
        <f t="shared" si="164"/>
        <v>4.192626682730495E-2</v>
      </c>
      <c r="O136" s="140">
        <f t="shared" si="164"/>
        <v>4.1945563385643744E-2</v>
      </c>
      <c r="P136" s="140">
        <f t="shared" si="164"/>
        <v>3.9610032593401498E-2</v>
      </c>
      <c r="Q136" s="140">
        <f t="shared" si="164"/>
        <v>3.8762888980153738E-2</v>
      </c>
      <c r="R136" s="140">
        <f t="shared" si="164"/>
        <v>4.0099540762773153E-2</v>
      </c>
      <c r="S136" s="140">
        <f t="shared" si="164"/>
        <v>4.1342060457102529E-2</v>
      </c>
      <c r="T136" s="140">
        <f t="shared" si="164"/>
        <v>4.4020550334791408E-2</v>
      </c>
      <c r="U136" s="140">
        <f t="shared" si="164"/>
        <v>4.4426649259056691E-2</v>
      </c>
      <c r="V136" s="140">
        <f t="shared" si="164"/>
        <v>3.6578661158408361E-2</v>
      </c>
      <c r="W136" s="140">
        <f t="shared" si="164"/>
        <v>4.0079913444202322E-2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3.5232112568815706E-2</v>
      </c>
      <c r="C137" s="140">
        <f t="shared" ref="C137:W137" si="165">IF(C45=0,0,C45/C$34)</f>
        <v>3.4406319401045105E-2</v>
      </c>
      <c r="D137" s="140">
        <f t="shared" si="165"/>
        <v>3.4460549087474972E-2</v>
      </c>
      <c r="E137" s="140">
        <f t="shared" si="165"/>
        <v>3.4328539609702863E-2</v>
      </c>
      <c r="F137" s="140">
        <f t="shared" si="165"/>
        <v>3.6146505384783076E-2</v>
      </c>
      <c r="G137" s="140">
        <f t="shared" si="165"/>
        <v>3.6883951081417392E-2</v>
      </c>
      <c r="H137" s="140">
        <f t="shared" si="165"/>
        <v>3.9004078045846047E-2</v>
      </c>
      <c r="I137" s="140">
        <f t="shared" si="165"/>
        <v>4.0593700845779401E-2</v>
      </c>
      <c r="J137" s="140">
        <f t="shared" si="165"/>
        <v>4.0243808040076566E-2</v>
      </c>
      <c r="K137" s="140">
        <f t="shared" si="165"/>
        <v>3.5404939812294846E-2</v>
      </c>
      <c r="L137" s="140">
        <f t="shared" si="165"/>
        <v>3.5172872145993732E-2</v>
      </c>
      <c r="M137" s="140">
        <f t="shared" si="165"/>
        <v>3.4512114008412226E-2</v>
      </c>
      <c r="N137" s="140">
        <f t="shared" si="165"/>
        <v>3.2752522454342903E-2</v>
      </c>
      <c r="O137" s="140">
        <f t="shared" si="165"/>
        <v>3.2771180261653828E-2</v>
      </c>
      <c r="P137" s="140">
        <f t="shared" si="165"/>
        <v>3.2612279333519789E-2</v>
      </c>
      <c r="Q137" s="140">
        <f t="shared" si="165"/>
        <v>3.3894559475310108E-2</v>
      </c>
      <c r="R137" s="140">
        <f t="shared" si="165"/>
        <v>3.5544091859732868E-2</v>
      </c>
      <c r="S137" s="140">
        <f t="shared" si="165"/>
        <v>3.7068151774193848E-2</v>
      </c>
      <c r="T137" s="140">
        <f t="shared" si="165"/>
        <v>3.8405448756181876E-2</v>
      </c>
      <c r="U137" s="140">
        <f t="shared" si="165"/>
        <v>3.8821605469052896E-2</v>
      </c>
      <c r="V137" s="140">
        <f t="shared" si="165"/>
        <v>1.5938924529391389E-2</v>
      </c>
      <c r="W137" s="140">
        <f t="shared" si="165"/>
        <v>1.6337428580264744E-2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0.10718591293068351</v>
      </c>
      <c r="C138" s="140">
        <f t="shared" ref="C138:W138" si="166">IF(C46=0,0,C46/C$34)</f>
        <v>0.10467298061829833</v>
      </c>
      <c r="D138" s="140">
        <f t="shared" si="166"/>
        <v>0.10483806616432335</v>
      </c>
      <c r="E138" s="140">
        <f t="shared" si="166"/>
        <v>0.10309044137464646</v>
      </c>
      <c r="F138" s="140">
        <f t="shared" si="166"/>
        <v>0.11055035117842814</v>
      </c>
      <c r="G138" s="140">
        <f t="shared" si="166"/>
        <v>0.11275832815139292</v>
      </c>
      <c r="H138" s="140">
        <f t="shared" si="166"/>
        <v>0.11568741298619119</v>
      </c>
      <c r="I138" s="140">
        <f t="shared" si="166"/>
        <v>0.11726544134221439</v>
      </c>
      <c r="J138" s="140">
        <f t="shared" si="166"/>
        <v>0.12003838776934014</v>
      </c>
      <c r="K138" s="140">
        <f t="shared" si="166"/>
        <v>0.11215300861555685</v>
      </c>
      <c r="L138" s="140">
        <f t="shared" si="166"/>
        <v>0.114878256807958</v>
      </c>
      <c r="M138" s="140">
        <f t="shared" si="166"/>
        <v>0.11133487345977779</v>
      </c>
      <c r="N138" s="140">
        <f t="shared" si="166"/>
        <v>0.10799918016182519</v>
      </c>
      <c r="O138" s="140">
        <f t="shared" si="166"/>
        <v>0.1088447369206917</v>
      </c>
      <c r="P138" s="140">
        <f t="shared" si="166"/>
        <v>0.10701008297604618</v>
      </c>
      <c r="Q138" s="140">
        <f t="shared" si="166"/>
        <v>0.11078844911577386</v>
      </c>
      <c r="R138" s="140">
        <f t="shared" si="166"/>
        <v>0.10860520197502001</v>
      </c>
      <c r="S138" s="140">
        <f t="shared" si="166"/>
        <v>0.10888802172061585</v>
      </c>
      <c r="T138" s="140">
        <f t="shared" si="166"/>
        <v>0.1152477422401551</v>
      </c>
      <c r="U138" s="140">
        <f t="shared" si="166"/>
        <v>0.12261965952831265</v>
      </c>
      <c r="V138" s="140">
        <f t="shared" si="166"/>
        <v>6.56463571066494E-2</v>
      </c>
      <c r="W138" s="140">
        <f t="shared" si="166"/>
        <v>5.8387450490046261E-2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0.92428264648612857</v>
      </c>
      <c r="C140" s="139">
        <f t="shared" ref="C140:W140" si="169">IF(C48=0,0,C48/C$47)</f>
        <v>0.92897751033536635</v>
      </c>
      <c r="D140" s="139">
        <f t="shared" si="169"/>
        <v>0.9290013186172088</v>
      </c>
      <c r="E140" s="139">
        <f t="shared" si="169"/>
        <v>0.92704643366692696</v>
      </c>
      <c r="F140" s="139">
        <f t="shared" si="169"/>
        <v>0.92439388690894586</v>
      </c>
      <c r="G140" s="139">
        <f t="shared" si="169"/>
        <v>0.92911144640345333</v>
      </c>
      <c r="H140" s="139">
        <f t="shared" si="169"/>
        <v>0.92836996320353371</v>
      </c>
      <c r="I140" s="139">
        <f t="shared" si="169"/>
        <v>0.92740188891490727</v>
      </c>
      <c r="J140" s="139">
        <f t="shared" si="169"/>
        <v>0.92594415242476491</v>
      </c>
      <c r="K140" s="139">
        <f t="shared" si="169"/>
        <v>0.93075393145120722</v>
      </c>
      <c r="L140" s="139">
        <f t="shared" si="169"/>
        <v>0.92898911101534698</v>
      </c>
      <c r="M140" s="139">
        <f t="shared" si="169"/>
        <v>0.92927805283478204</v>
      </c>
      <c r="N140" s="139">
        <f t="shared" si="169"/>
        <v>0.92792288000677647</v>
      </c>
      <c r="O140" s="139">
        <f t="shared" si="169"/>
        <v>0.92949787430934394</v>
      </c>
      <c r="P140" s="139">
        <f t="shared" si="169"/>
        <v>0.92531104756142768</v>
      </c>
      <c r="Q140" s="139">
        <f t="shared" si="169"/>
        <v>0.92312847238334783</v>
      </c>
      <c r="R140" s="139">
        <f t="shared" si="169"/>
        <v>0.92959381649035289</v>
      </c>
      <c r="S140" s="139">
        <f t="shared" si="169"/>
        <v>0.9301678554579762</v>
      </c>
      <c r="T140" s="139">
        <f t="shared" si="169"/>
        <v>0.93041707393339679</v>
      </c>
      <c r="U140" s="139">
        <f t="shared" si="169"/>
        <v>0.93155661550134139</v>
      </c>
      <c r="V140" s="139">
        <f t="shared" si="169"/>
        <v>0.92483921228949517</v>
      </c>
      <c r="W140" s="139">
        <f t="shared" si="169"/>
        <v>0.92909827827946589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0.42743022818477416</v>
      </c>
      <c r="C141" s="140">
        <f t="shared" ref="C141:W141" si="170">IF(C49=0,0,C49/C$47)</f>
        <v>0.42544151432268268</v>
      </c>
      <c r="D141" s="140">
        <f t="shared" si="170"/>
        <v>0.42141730880426514</v>
      </c>
      <c r="E141" s="140">
        <f t="shared" si="170"/>
        <v>0.41568032859324705</v>
      </c>
      <c r="F141" s="140">
        <f t="shared" si="170"/>
        <v>0.39022999233752409</v>
      </c>
      <c r="G141" s="140">
        <f t="shared" si="170"/>
        <v>0.38783020218985836</v>
      </c>
      <c r="H141" s="140">
        <f t="shared" si="170"/>
        <v>0.38443653931692956</v>
      </c>
      <c r="I141" s="140">
        <f t="shared" si="170"/>
        <v>0.37737166283230689</v>
      </c>
      <c r="J141" s="140">
        <f t="shared" si="170"/>
        <v>0.38044829684867604</v>
      </c>
      <c r="K141" s="140">
        <f t="shared" si="170"/>
        <v>0.41337008067991282</v>
      </c>
      <c r="L141" s="140">
        <f t="shared" si="170"/>
        <v>0.41114966672191056</v>
      </c>
      <c r="M141" s="140">
        <f t="shared" si="170"/>
        <v>0.41715947172556117</v>
      </c>
      <c r="N141" s="140">
        <f t="shared" si="170"/>
        <v>0.4302626309688341</v>
      </c>
      <c r="O141" s="140">
        <f t="shared" si="170"/>
        <v>0.42947033355145708</v>
      </c>
      <c r="P141" s="140">
        <f t="shared" si="170"/>
        <v>0.42964472939311904</v>
      </c>
      <c r="Q141" s="140">
        <f t="shared" si="170"/>
        <v>0.44120363054997469</v>
      </c>
      <c r="R141" s="140">
        <f t="shared" si="170"/>
        <v>0.43398767899305674</v>
      </c>
      <c r="S141" s="140">
        <f t="shared" si="170"/>
        <v>0.43193640629569879</v>
      </c>
      <c r="T141" s="140">
        <f t="shared" si="170"/>
        <v>0.43344268770206756</v>
      </c>
      <c r="U141" s="140">
        <f t="shared" si="170"/>
        <v>0.42941097637034359</v>
      </c>
      <c r="V141" s="140">
        <f t="shared" si="170"/>
        <v>0.40295640163407498</v>
      </c>
      <c r="W141" s="140">
        <f t="shared" si="170"/>
        <v>0.4254669454353911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0.4968524183013544</v>
      </c>
      <c r="C142" s="140">
        <f t="shared" ref="C142:W142" si="171">IF(C50=0,0,C50/C$47)</f>
        <v>0.50353599601268373</v>
      </c>
      <c r="D142" s="140">
        <f t="shared" si="171"/>
        <v>0.5075840098129436</v>
      </c>
      <c r="E142" s="140">
        <f t="shared" si="171"/>
        <v>0.51136610507367986</v>
      </c>
      <c r="F142" s="140">
        <f t="shared" si="171"/>
        <v>0.53416389457142177</v>
      </c>
      <c r="G142" s="140">
        <f t="shared" si="171"/>
        <v>0.54128124421359503</v>
      </c>
      <c r="H142" s="140">
        <f t="shared" si="171"/>
        <v>0.54393342388660415</v>
      </c>
      <c r="I142" s="140">
        <f t="shared" si="171"/>
        <v>0.55003022608260033</v>
      </c>
      <c r="J142" s="140">
        <f t="shared" si="171"/>
        <v>0.54549585557608893</v>
      </c>
      <c r="K142" s="140">
        <f t="shared" si="171"/>
        <v>0.51738385077129434</v>
      </c>
      <c r="L142" s="140">
        <f t="shared" si="171"/>
        <v>0.51783944429343642</v>
      </c>
      <c r="M142" s="140">
        <f t="shared" si="171"/>
        <v>0.51211858110922093</v>
      </c>
      <c r="N142" s="140">
        <f t="shared" si="171"/>
        <v>0.49766024903794231</v>
      </c>
      <c r="O142" s="140">
        <f t="shared" si="171"/>
        <v>0.50002754075788691</v>
      </c>
      <c r="P142" s="140">
        <f t="shared" si="171"/>
        <v>0.49566631816830864</v>
      </c>
      <c r="Q142" s="140">
        <f t="shared" si="171"/>
        <v>0.48192484183337325</v>
      </c>
      <c r="R142" s="140">
        <f t="shared" si="171"/>
        <v>0.4956061374972961</v>
      </c>
      <c r="S142" s="140">
        <f t="shared" si="171"/>
        <v>0.49823144916227735</v>
      </c>
      <c r="T142" s="140">
        <f t="shared" si="171"/>
        <v>0.49697438623132917</v>
      </c>
      <c r="U142" s="140">
        <f t="shared" si="171"/>
        <v>0.50214563913099786</v>
      </c>
      <c r="V142" s="140">
        <f t="shared" si="171"/>
        <v>0.52188281065542019</v>
      </c>
      <c r="W142" s="140">
        <f t="shared" si="171"/>
        <v>0.5036313328440748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1.9274761348704889E-2</v>
      </c>
      <c r="C143" s="124">
        <f t="shared" ref="C143:W143" si="172">IF(C51=0,0,C51/C$47)</f>
        <v>1.7332195182829784E-2</v>
      </c>
      <c r="D143" s="124">
        <f t="shared" si="172"/>
        <v>1.7453637250628436E-2</v>
      </c>
      <c r="E143" s="124">
        <f t="shared" si="172"/>
        <v>1.726082230068645E-2</v>
      </c>
      <c r="F143" s="124">
        <f t="shared" si="172"/>
        <v>1.4918414667401781E-2</v>
      </c>
      <c r="G143" s="124">
        <f t="shared" si="172"/>
        <v>1.2238043419910303E-2</v>
      </c>
      <c r="H143" s="124">
        <f t="shared" si="172"/>
        <v>1.1422739909983434E-2</v>
      </c>
      <c r="I143" s="124">
        <f t="shared" si="172"/>
        <v>1.075023156100257E-2</v>
      </c>
      <c r="J143" s="124">
        <f t="shared" si="172"/>
        <v>1.0662182684929522E-2</v>
      </c>
      <c r="K143" s="124">
        <f t="shared" si="172"/>
        <v>9.0224867973221663E-3</v>
      </c>
      <c r="L143" s="124">
        <f t="shared" si="172"/>
        <v>8.3818409555651702E-3</v>
      </c>
      <c r="M143" s="124">
        <f t="shared" si="172"/>
        <v>7.5111345223753236E-3</v>
      </c>
      <c r="N143" s="124">
        <f t="shared" si="172"/>
        <v>7.2745986693770652E-3</v>
      </c>
      <c r="O143" s="124">
        <f t="shared" si="172"/>
        <v>8.0571092049938845E-3</v>
      </c>
      <c r="P143" s="124">
        <f t="shared" si="172"/>
        <v>7.48253752899885E-3</v>
      </c>
      <c r="Q143" s="124">
        <f t="shared" si="172"/>
        <v>7.4236115879029486E-3</v>
      </c>
      <c r="R143" s="124">
        <f t="shared" si="172"/>
        <v>6.8978573743492273E-3</v>
      </c>
      <c r="S143" s="124">
        <f t="shared" si="172"/>
        <v>7.1965543463468583E-3</v>
      </c>
      <c r="T143" s="124">
        <f t="shared" si="172"/>
        <v>6.9252170795649675E-3</v>
      </c>
      <c r="U143" s="124">
        <f t="shared" si="172"/>
        <v>6.768791239095337E-3</v>
      </c>
      <c r="V143" s="124">
        <f t="shared" si="172"/>
        <v>7.8629843091658127E-3</v>
      </c>
      <c r="W143" s="124">
        <f t="shared" si="172"/>
        <v>7.6812140603138993E-3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2.7225262986033061E-2</v>
      </c>
      <c r="C144" s="124">
        <f t="shared" ref="C144:W144" si="173">IF(C52=0,0,C52/C$47)</f>
        <v>2.7252888813618627E-2</v>
      </c>
      <c r="D144" s="124">
        <f t="shared" si="173"/>
        <v>2.6690236390463813E-2</v>
      </c>
      <c r="E144" s="124">
        <f t="shared" si="173"/>
        <v>2.7007463035009564E-2</v>
      </c>
      <c r="F144" s="124">
        <f t="shared" si="173"/>
        <v>2.8807042549580972E-2</v>
      </c>
      <c r="G144" s="124">
        <f t="shared" si="173"/>
        <v>2.9753025908653939E-2</v>
      </c>
      <c r="H144" s="124">
        <f t="shared" si="173"/>
        <v>3.0516998104246181E-2</v>
      </c>
      <c r="I144" s="124">
        <f t="shared" si="173"/>
        <v>3.1351358797198463E-2</v>
      </c>
      <c r="J144" s="124">
        <f t="shared" si="173"/>
        <v>3.2820673067291223E-2</v>
      </c>
      <c r="K144" s="124">
        <f t="shared" si="173"/>
        <v>2.7338929150746243E-2</v>
      </c>
      <c r="L144" s="124">
        <f t="shared" si="173"/>
        <v>3.0555571610169269E-2</v>
      </c>
      <c r="M144" s="124">
        <f t="shared" si="173"/>
        <v>3.280474531628938E-2</v>
      </c>
      <c r="N144" s="124">
        <f t="shared" si="173"/>
        <v>3.3702006292398577E-2</v>
      </c>
      <c r="O144" s="124">
        <f t="shared" si="173"/>
        <v>3.1241201093737448E-2</v>
      </c>
      <c r="P144" s="124">
        <f t="shared" si="173"/>
        <v>3.6022562680278196E-2</v>
      </c>
      <c r="Q144" s="124">
        <f t="shared" si="173"/>
        <v>3.8031392158124337E-2</v>
      </c>
      <c r="R144" s="124">
        <f t="shared" si="173"/>
        <v>3.2577412343370554E-2</v>
      </c>
      <c r="S144" s="124">
        <f t="shared" si="173"/>
        <v>3.2512152032273672E-2</v>
      </c>
      <c r="T144" s="124">
        <f t="shared" si="173"/>
        <v>3.2081054158355202E-2</v>
      </c>
      <c r="U144" s="124">
        <f t="shared" si="173"/>
        <v>3.0461136829990902E-2</v>
      </c>
      <c r="V144" s="124">
        <f t="shared" si="173"/>
        <v>3.797673088949665E-2</v>
      </c>
      <c r="W144" s="124">
        <f t="shared" si="173"/>
        <v>3.2481782942578474E-2</v>
      </c>
      <c r="DA144" s="176"/>
    </row>
    <row r="145" spans="1:105" ht="11.45" customHeight="1" x14ac:dyDescent="0.25">
      <c r="A145" s="128" t="s">
        <v>27</v>
      </c>
      <c r="B145" s="140">
        <f t="shared" si="167"/>
        <v>3.8479066952179348E-3</v>
      </c>
      <c r="C145" s="140">
        <f t="shared" ref="C145:W145" si="174">IF(C53=0,0,C53/C$47)</f>
        <v>4.4300189316418418E-3</v>
      </c>
      <c r="D145" s="140">
        <f t="shared" si="174"/>
        <v>3.5531710412524628E-3</v>
      </c>
      <c r="E145" s="140">
        <f t="shared" si="174"/>
        <v>2.939087016405047E-3</v>
      </c>
      <c r="F145" s="140">
        <f t="shared" si="174"/>
        <v>2.9426893676979334E-3</v>
      </c>
      <c r="G145" s="140">
        <f t="shared" si="174"/>
        <v>2.9404674137598215E-3</v>
      </c>
      <c r="H145" s="140">
        <f t="shared" si="174"/>
        <v>2.4936255876547523E-3</v>
      </c>
      <c r="I145" s="140">
        <f t="shared" si="174"/>
        <v>2.0672971647775215E-3</v>
      </c>
      <c r="J145" s="140">
        <f t="shared" si="174"/>
        <v>1.7299716182138914E-3</v>
      </c>
      <c r="K145" s="140">
        <f t="shared" si="174"/>
        <v>1.6411931818684034E-3</v>
      </c>
      <c r="L145" s="140">
        <f t="shared" si="174"/>
        <v>1.165967090246076E-3</v>
      </c>
      <c r="M145" s="140">
        <f t="shared" si="174"/>
        <v>2.0762421509101891E-3</v>
      </c>
      <c r="N145" s="140">
        <f t="shared" si="174"/>
        <v>2.2015934748882224E-3</v>
      </c>
      <c r="O145" s="140">
        <f t="shared" si="174"/>
        <v>2.0328309274492864E-3</v>
      </c>
      <c r="P145" s="140">
        <f t="shared" si="174"/>
        <v>2.3798738775202468E-3</v>
      </c>
      <c r="Q145" s="140">
        <f t="shared" si="174"/>
        <v>2.2865236308153643E-3</v>
      </c>
      <c r="R145" s="140">
        <f t="shared" si="174"/>
        <v>2.0053808835797243E-3</v>
      </c>
      <c r="S145" s="140">
        <f t="shared" si="174"/>
        <v>2.0444559512226503E-3</v>
      </c>
      <c r="T145" s="140">
        <f t="shared" si="174"/>
        <v>2.086394952677954E-3</v>
      </c>
      <c r="U145" s="140">
        <f t="shared" si="174"/>
        <v>2.022939430979621E-3</v>
      </c>
      <c r="V145" s="140">
        <f t="shared" si="174"/>
        <v>2.1945221844629132E-3</v>
      </c>
      <c r="W145" s="140">
        <f t="shared" si="174"/>
        <v>2.2267940067057269E-3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1.4779328547241722E-3</v>
      </c>
      <c r="C146" s="140">
        <f t="shared" ref="C146:W146" si="175">IF(C54=0,0,C54/C$47)</f>
        <v>1.6830000929830536E-3</v>
      </c>
      <c r="D146" s="140">
        <f t="shared" si="175"/>
        <v>1.5235775260191116E-3</v>
      </c>
      <c r="E146" s="140">
        <f t="shared" si="175"/>
        <v>1.4659387202424592E-3</v>
      </c>
      <c r="F146" s="140">
        <f t="shared" si="175"/>
        <v>1.5993204260745099E-3</v>
      </c>
      <c r="G146" s="140">
        <f t="shared" si="175"/>
        <v>1.5521624347692247E-3</v>
      </c>
      <c r="H146" s="140">
        <f t="shared" si="175"/>
        <v>2.0438213685491941E-3</v>
      </c>
      <c r="I146" s="140">
        <f t="shared" si="175"/>
        <v>2.4588106168242445E-3</v>
      </c>
      <c r="J146" s="140">
        <f t="shared" si="175"/>
        <v>2.4982131548382082E-3</v>
      </c>
      <c r="K146" s="140">
        <f t="shared" si="175"/>
        <v>2.3382482776739613E-3</v>
      </c>
      <c r="L146" s="140">
        <f t="shared" si="175"/>
        <v>2.5291979992760577E-3</v>
      </c>
      <c r="M146" s="140">
        <f t="shared" si="175"/>
        <v>2.8932219907039044E-3</v>
      </c>
      <c r="N146" s="140">
        <f t="shared" si="175"/>
        <v>2.7948094403631562E-3</v>
      </c>
      <c r="O146" s="140">
        <f t="shared" si="175"/>
        <v>3.0118314853073034E-3</v>
      </c>
      <c r="P146" s="140">
        <f t="shared" si="175"/>
        <v>3.6620956280865613E-3</v>
      </c>
      <c r="Q146" s="140">
        <f t="shared" si="175"/>
        <v>3.707889694081251E-3</v>
      </c>
      <c r="R146" s="140">
        <f t="shared" si="175"/>
        <v>3.2471765688715159E-3</v>
      </c>
      <c r="S146" s="140">
        <f t="shared" si="175"/>
        <v>3.4508373425319468E-3</v>
      </c>
      <c r="T146" s="140">
        <f t="shared" si="175"/>
        <v>3.0496371051113818E-3</v>
      </c>
      <c r="U146" s="140">
        <f t="shared" si="175"/>
        <v>3.096203137932468E-3</v>
      </c>
      <c r="V146" s="140">
        <f t="shared" si="175"/>
        <v>3.2024961195710033E-3</v>
      </c>
      <c r="W146" s="140">
        <f t="shared" si="175"/>
        <v>2.9877584227660284E-3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2.1899423436090953E-2</v>
      </c>
      <c r="C147" s="140">
        <f t="shared" ref="C147:W147" si="176">IF(C55=0,0,C55/C$47)</f>
        <v>2.113986978899373E-2</v>
      </c>
      <c r="D147" s="140">
        <f t="shared" si="176"/>
        <v>2.1613487823192241E-2</v>
      </c>
      <c r="E147" s="140">
        <f t="shared" si="176"/>
        <v>2.2602437298362057E-2</v>
      </c>
      <c r="F147" s="140">
        <f t="shared" si="176"/>
        <v>2.4265032755808529E-2</v>
      </c>
      <c r="G147" s="140">
        <f t="shared" si="176"/>
        <v>2.5260396060124892E-2</v>
      </c>
      <c r="H147" s="140">
        <f t="shared" si="176"/>
        <v>2.5979551148042235E-2</v>
      </c>
      <c r="I147" s="140">
        <f t="shared" si="176"/>
        <v>2.6825251015596692E-2</v>
      </c>
      <c r="J147" s="140">
        <f t="shared" si="176"/>
        <v>2.8592488294239125E-2</v>
      </c>
      <c r="K147" s="140">
        <f t="shared" si="176"/>
        <v>2.3359487691203877E-2</v>
      </c>
      <c r="L147" s="140">
        <f t="shared" si="176"/>
        <v>2.686040652064714E-2</v>
      </c>
      <c r="M147" s="140">
        <f t="shared" si="176"/>
        <v>2.7835281174675285E-2</v>
      </c>
      <c r="N147" s="140">
        <f t="shared" si="176"/>
        <v>2.8705603377147202E-2</v>
      </c>
      <c r="O147" s="140">
        <f t="shared" si="176"/>
        <v>2.6196538680980857E-2</v>
      </c>
      <c r="P147" s="140">
        <f t="shared" si="176"/>
        <v>2.9980593174671388E-2</v>
      </c>
      <c r="Q147" s="140">
        <f t="shared" si="176"/>
        <v>3.2036978833227724E-2</v>
      </c>
      <c r="R147" s="140">
        <f t="shared" si="176"/>
        <v>2.7324854890919313E-2</v>
      </c>
      <c r="S147" s="140">
        <f t="shared" si="176"/>
        <v>2.7016858738519074E-2</v>
      </c>
      <c r="T147" s="140">
        <f t="shared" si="176"/>
        <v>2.6945022100565864E-2</v>
      </c>
      <c r="U147" s="140">
        <f t="shared" si="176"/>
        <v>2.5341994261078814E-2</v>
      </c>
      <c r="V147" s="140">
        <f t="shared" si="176"/>
        <v>3.2579712585462731E-2</v>
      </c>
      <c r="W147" s="140">
        <f t="shared" si="176"/>
        <v>2.7267230513106717E-2</v>
      </c>
      <c r="DA147" s="175"/>
    </row>
    <row r="148" spans="1:105" ht="11.45" customHeight="1" x14ac:dyDescent="0.25">
      <c r="A148" s="109" t="s">
        <v>142</v>
      </c>
      <c r="B148" s="124">
        <f t="shared" si="167"/>
        <v>2.9217329179133583E-2</v>
      </c>
      <c r="C148" s="124">
        <f t="shared" ref="C148:W148" si="177">IF(C56=0,0,C56/C$47)</f>
        <v>2.6437405668185247E-2</v>
      </c>
      <c r="D148" s="124">
        <f t="shared" si="177"/>
        <v>2.6854807741698898E-2</v>
      </c>
      <c r="E148" s="124">
        <f t="shared" si="177"/>
        <v>2.8685280997377102E-2</v>
      </c>
      <c r="F148" s="124">
        <f t="shared" si="177"/>
        <v>3.188065587407149E-2</v>
      </c>
      <c r="G148" s="124">
        <f t="shared" si="177"/>
        <v>2.8897484267982294E-2</v>
      </c>
      <c r="H148" s="124">
        <f t="shared" si="177"/>
        <v>2.9690298782236609E-2</v>
      </c>
      <c r="I148" s="124">
        <f t="shared" si="177"/>
        <v>3.0496520726891702E-2</v>
      </c>
      <c r="J148" s="124">
        <f t="shared" si="177"/>
        <v>3.0572991823014262E-2</v>
      </c>
      <c r="K148" s="124">
        <f t="shared" si="177"/>
        <v>3.2884652600724415E-2</v>
      </c>
      <c r="L148" s="124">
        <f t="shared" si="177"/>
        <v>3.2073476418918646E-2</v>
      </c>
      <c r="M148" s="124">
        <f t="shared" si="177"/>
        <v>3.0406067326553241E-2</v>
      </c>
      <c r="N148" s="124">
        <f t="shared" si="177"/>
        <v>3.1100515031447958E-2</v>
      </c>
      <c r="O148" s="124">
        <f t="shared" si="177"/>
        <v>3.1203815391924714E-2</v>
      </c>
      <c r="P148" s="124">
        <f t="shared" si="177"/>
        <v>3.1183852229295237E-2</v>
      </c>
      <c r="Q148" s="124">
        <f t="shared" si="177"/>
        <v>3.1416523870624866E-2</v>
      </c>
      <c r="R148" s="124">
        <f t="shared" si="177"/>
        <v>3.0930913791927313E-2</v>
      </c>
      <c r="S148" s="124">
        <f t="shared" si="177"/>
        <v>3.0123438163403248E-2</v>
      </c>
      <c r="T148" s="124">
        <f t="shared" si="177"/>
        <v>3.0576654828683096E-2</v>
      </c>
      <c r="U148" s="124">
        <f t="shared" si="177"/>
        <v>3.1213456429572479E-2</v>
      </c>
      <c r="V148" s="124">
        <f t="shared" si="177"/>
        <v>2.9321072511842329E-2</v>
      </c>
      <c r="W148" s="124">
        <f t="shared" si="177"/>
        <v>3.0738724717641785E-2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2.4204880477907077E-2</v>
      </c>
      <c r="C149" s="140">
        <f t="shared" ref="C149:W149" si="178">IF(C57=0,0,C57/C$47)</f>
        <v>2.0725784781139959E-2</v>
      </c>
      <c r="D149" s="140">
        <f t="shared" si="178"/>
        <v>2.0948833304132983E-2</v>
      </c>
      <c r="E149" s="140">
        <f t="shared" si="178"/>
        <v>2.1176918361832997E-2</v>
      </c>
      <c r="F149" s="140">
        <f t="shared" si="178"/>
        <v>2.2950944447581344E-2</v>
      </c>
      <c r="G149" s="140">
        <f t="shared" si="178"/>
        <v>2.1650617900499405E-2</v>
      </c>
      <c r="H149" s="140">
        <f t="shared" si="178"/>
        <v>2.431512407954366E-2</v>
      </c>
      <c r="I149" s="140">
        <f t="shared" si="178"/>
        <v>2.2447293779547302E-2</v>
      </c>
      <c r="J149" s="140">
        <f t="shared" si="178"/>
        <v>2.5159760955904234E-2</v>
      </c>
      <c r="K149" s="140">
        <f t="shared" si="178"/>
        <v>2.5424096222799949E-2</v>
      </c>
      <c r="L149" s="140">
        <f t="shared" si="178"/>
        <v>2.5580295671964511E-2</v>
      </c>
      <c r="M149" s="140">
        <f t="shared" si="178"/>
        <v>2.4404823773967417E-2</v>
      </c>
      <c r="N149" s="140">
        <f t="shared" si="178"/>
        <v>2.3894829595164049E-2</v>
      </c>
      <c r="O149" s="140">
        <f t="shared" si="178"/>
        <v>1.9611029141153601E-2</v>
      </c>
      <c r="P149" s="140">
        <f t="shared" si="178"/>
        <v>2.3589105508388768E-2</v>
      </c>
      <c r="Q149" s="140">
        <f t="shared" si="178"/>
        <v>2.4443949439648834E-2</v>
      </c>
      <c r="R149" s="140">
        <f t="shared" si="178"/>
        <v>2.2425222381424175E-2</v>
      </c>
      <c r="S149" s="140">
        <f t="shared" si="178"/>
        <v>2.3234051158469507E-2</v>
      </c>
      <c r="T149" s="140">
        <f t="shared" si="178"/>
        <v>2.4577164480460011E-2</v>
      </c>
      <c r="U149" s="140">
        <f t="shared" si="178"/>
        <v>2.4917809481069156E-2</v>
      </c>
      <c r="V149" s="140">
        <f t="shared" si="178"/>
        <v>2.3749884548325512E-2</v>
      </c>
      <c r="W149" s="140">
        <f t="shared" si="178"/>
        <v>2.4848265886563411E-2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5.0124487012265066E-3</v>
      </c>
      <c r="C150" s="127">
        <f t="shared" ref="C150:W150" si="179">IF(C58=0,0,C58/C$47)</f>
        <v>5.7116208870452902E-3</v>
      </c>
      <c r="D150" s="127">
        <f t="shared" si="179"/>
        <v>5.9059744375659206E-3</v>
      </c>
      <c r="E150" s="127">
        <f t="shared" si="179"/>
        <v>7.5083626355441028E-3</v>
      </c>
      <c r="F150" s="127">
        <f t="shared" si="179"/>
        <v>8.9297114264901469E-3</v>
      </c>
      <c r="G150" s="127">
        <f t="shared" si="179"/>
        <v>7.2468663674828855E-3</v>
      </c>
      <c r="H150" s="127">
        <f t="shared" si="179"/>
        <v>5.375174702692948E-3</v>
      </c>
      <c r="I150" s="127">
        <f t="shared" si="179"/>
        <v>8.0492269473444022E-3</v>
      </c>
      <c r="J150" s="127">
        <f t="shared" si="179"/>
        <v>5.4132308671100251E-3</v>
      </c>
      <c r="K150" s="127">
        <f t="shared" si="179"/>
        <v>7.4605563779244644E-3</v>
      </c>
      <c r="L150" s="127">
        <f t="shared" si="179"/>
        <v>6.4931807469541351E-3</v>
      </c>
      <c r="M150" s="127">
        <f t="shared" si="179"/>
        <v>6.0012435525858233E-3</v>
      </c>
      <c r="N150" s="127">
        <f t="shared" si="179"/>
        <v>7.2056854362839108E-3</v>
      </c>
      <c r="O150" s="127">
        <f t="shared" si="179"/>
        <v>1.1592786250771113E-2</v>
      </c>
      <c r="P150" s="127">
        <f t="shared" si="179"/>
        <v>7.5947467209064685E-3</v>
      </c>
      <c r="Q150" s="127">
        <f t="shared" si="179"/>
        <v>6.9725744309760296E-3</v>
      </c>
      <c r="R150" s="127">
        <f t="shared" si="179"/>
        <v>8.5056914105031394E-3</v>
      </c>
      <c r="S150" s="127">
        <f t="shared" si="179"/>
        <v>6.8893870049337403E-3</v>
      </c>
      <c r="T150" s="127">
        <f t="shared" si="179"/>
        <v>5.9994903482230863E-3</v>
      </c>
      <c r="U150" s="127">
        <f t="shared" si="179"/>
        <v>6.2956469485033195E-3</v>
      </c>
      <c r="V150" s="127">
        <f t="shared" si="179"/>
        <v>5.5711879635168158E-3</v>
      </c>
      <c r="W150" s="127">
        <f t="shared" si="179"/>
        <v>5.890458831078374E-3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0.29540378098388381</v>
      </c>
      <c r="C152" s="140">
        <f t="shared" ref="C152:W152" si="181">IF(C60=0,0,C60/C$59)</f>
        <v>0.2965595843801459</v>
      </c>
      <c r="D152" s="140">
        <f t="shared" si="181"/>
        <v>0.27601984067870799</v>
      </c>
      <c r="E152" s="140">
        <f t="shared" si="181"/>
        <v>0.27096095379810764</v>
      </c>
      <c r="F152" s="140">
        <f t="shared" si="181"/>
        <v>0.2768408651940123</v>
      </c>
      <c r="G152" s="140">
        <f t="shared" si="181"/>
        <v>0.26494402976755888</v>
      </c>
      <c r="H152" s="140">
        <f t="shared" si="181"/>
        <v>0.2424500107008373</v>
      </c>
      <c r="I152" s="140">
        <f t="shared" si="181"/>
        <v>0.24677947214869556</v>
      </c>
      <c r="J152" s="140">
        <f t="shared" si="181"/>
        <v>0.2404268923138384</v>
      </c>
      <c r="K152" s="140">
        <f t="shared" si="181"/>
        <v>0.2570443474775469</v>
      </c>
      <c r="L152" s="140">
        <f t="shared" si="181"/>
        <v>0.25802450027630119</v>
      </c>
      <c r="M152" s="140">
        <f t="shared" si="181"/>
        <v>0.25103206762766284</v>
      </c>
      <c r="N152" s="140">
        <f t="shared" si="181"/>
        <v>0.2526550774644839</v>
      </c>
      <c r="O152" s="140">
        <f t="shared" si="181"/>
        <v>0.23695329927967931</v>
      </c>
      <c r="P152" s="140">
        <f t="shared" si="181"/>
        <v>0.23932439258609919</v>
      </c>
      <c r="Q152" s="140">
        <f t="shared" si="181"/>
        <v>0.22704442340654343</v>
      </c>
      <c r="R152" s="140">
        <f t="shared" si="181"/>
        <v>0.25015974291405096</v>
      </c>
      <c r="S152" s="140">
        <f t="shared" si="181"/>
        <v>0.24602899547420753</v>
      </c>
      <c r="T152" s="140">
        <f t="shared" si="181"/>
        <v>0.24657972076631043</v>
      </c>
      <c r="U152" s="140">
        <f t="shared" si="181"/>
        <v>0.24035334316090151</v>
      </c>
      <c r="V152" s="140">
        <f t="shared" si="181"/>
        <v>0.21934236646827621</v>
      </c>
      <c r="W152" s="140">
        <f t="shared" si="181"/>
        <v>0.21152684941380739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0.70459621901611624</v>
      </c>
      <c r="C153" s="127">
        <f t="shared" ref="C153:W153" si="182">IF(C61=0,0,C61/C$59)</f>
        <v>0.70344041561985404</v>
      </c>
      <c r="D153" s="127">
        <f t="shared" si="182"/>
        <v>0.72398015932129201</v>
      </c>
      <c r="E153" s="127">
        <f t="shared" si="182"/>
        <v>0.7290390462018923</v>
      </c>
      <c r="F153" s="127">
        <f t="shared" si="182"/>
        <v>0.72315913480598781</v>
      </c>
      <c r="G153" s="127">
        <f t="shared" si="182"/>
        <v>0.73505597023244107</v>
      </c>
      <c r="H153" s="127">
        <f t="shared" si="182"/>
        <v>0.75754998929916273</v>
      </c>
      <c r="I153" s="127">
        <f t="shared" si="182"/>
        <v>0.75322052785130444</v>
      </c>
      <c r="J153" s="127">
        <f t="shared" si="182"/>
        <v>0.75957310768616171</v>
      </c>
      <c r="K153" s="127">
        <f t="shared" si="182"/>
        <v>0.7429556525224531</v>
      </c>
      <c r="L153" s="127">
        <f t="shared" si="182"/>
        <v>0.74197549972369881</v>
      </c>
      <c r="M153" s="127">
        <f t="shared" si="182"/>
        <v>0.74896793237233705</v>
      </c>
      <c r="N153" s="127">
        <f t="shared" si="182"/>
        <v>0.7473449225355161</v>
      </c>
      <c r="O153" s="127">
        <f t="shared" si="182"/>
        <v>0.76304670072032077</v>
      </c>
      <c r="P153" s="127">
        <f t="shared" si="182"/>
        <v>0.76067560741390083</v>
      </c>
      <c r="Q153" s="127">
        <f t="shared" si="182"/>
        <v>0.77295557659345648</v>
      </c>
      <c r="R153" s="127">
        <f t="shared" si="182"/>
        <v>0.74984025708594892</v>
      </c>
      <c r="S153" s="127">
        <f t="shared" si="182"/>
        <v>0.75397100452579247</v>
      </c>
      <c r="T153" s="127">
        <f t="shared" si="182"/>
        <v>0.75342027923368959</v>
      </c>
      <c r="U153" s="127">
        <f t="shared" si="182"/>
        <v>0.75964665683909849</v>
      </c>
      <c r="V153" s="127">
        <f t="shared" si="182"/>
        <v>0.78065763353172379</v>
      </c>
      <c r="W153" s="127">
        <f t="shared" si="182"/>
        <v>0.78847315058619261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0.8156500761780936</v>
      </c>
      <c r="C157" s="139">
        <f t="shared" ref="C157:W157" si="185">IF(C65=0,0,C65/C$64)</f>
        <v>0.82228807363065648</v>
      </c>
      <c r="D157" s="139">
        <f t="shared" si="185"/>
        <v>0.823738655921739</v>
      </c>
      <c r="E157" s="139">
        <f t="shared" si="185"/>
        <v>0.82722794304913416</v>
      </c>
      <c r="F157" s="139">
        <f t="shared" si="185"/>
        <v>0.81840397219162131</v>
      </c>
      <c r="G157" s="139">
        <f t="shared" si="185"/>
        <v>0.81484058778090729</v>
      </c>
      <c r="H157" s="139">
        <f t="shared" si="185"/>
        <v>0.80968719996246952</v>
      </c>
      <c r="I157" s="139">
        <f t="shared" si="185"/>
        <v>0.80467530591489234</v>
      </c>
      <c r="J157" s="139">
        <f t="shared" si="185"/>
        <v>0.79769989216163795</v>
      </c>
      <c r="K157" s="139">
        <f t="shared" si="185"/>
        <v>0.81232872830869574</v>
      </c>
      <c r="L157" s="139">
        <f t="shared" si="185"/>
        <v>0.81054011254712699</v>
      </c>
      <c r="M157" s="139">
        <f t="shared" si="185"/>
        <v>0.79591986390437719</v>
      </c>
      <c r="N157" s="139">
        <f t="shared" si="185"/>
        <v>0.80077623604385506</v>
      </c>
      <c r="O157" s="139">
        <f t="shared" si="185"/>
        <v>0.79976143993955995</v>
      </c>
      <c r="P157" s="139">
        <f t="shared" si="185"/>
        <v>0.80385356199042712</v>
      </c>
      <c r="Q157" s="139">
        <f t="shared" si="185"/>
        <v>0.79938157740583515</v>
      </c>
      <c r="R157" s="139">
        <f t="shared" si="185"/>
        <v>0.79911398250924548</v>
      </c>
      <c r="S157" s="139">
        <f t="shared" si="185"/>
        <v>0.79517092769976916</v>
      </c>
      <c r="T157" s="139">
        <f t="shared" si="185"/>
        <v>0.78416443531654056</v>
      </c>
      <c r="U157" s="139">
        <f t="shared" si="185"/>
        <v>0.77503091453448736</v>
      </c>
      <c r="V157" s="139">
        <f t="shared" si="185"/>
        <v>0.86819072038026357</v>
      </c>
      <c r="W157" s="139">
        <f t="shared" si="185"/>
        <v>0.87140448789989877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1.0428076308507254E-2</v>
      </c>
      <c r="C158" s="140">
        <f t="shared" ref="C158:W158" si="186">IF(C66=0,0,C66/C$64)</f>
        <v>1.1229680848124163E-2</v>
      </c>
      <c r="D158" s="140">
        <f t="shared" si="186"/>
        <v>1.2401553931625077E-2</v>
      </c>
      <c r="E158" s="140">
        <f t="shared" si="186"/>
        <v>1.2630797906999159E-2</v>
      </c>
      <c r="F158" s="140">
        <f t="shared" si="186"/>
        <v>1.3428281570374049E-2</v>
      </c>
      <c r="G158" s="140">
        <f t="shared" si="186"/>
        <v>1.3835054383669594E-2</v>
      </c>
      <c r="H158" s="140">
        <f t="shared" si="186"/>
        <v>1.3588683874081959E-2</v>
      </c>
      <c r="I158" s="140">
        <f t="shared" si="186"/>
        <v>1.3823479583090863E-2</v>
      </c>
      <c r="J158" s="140">
        <f t="shared" si="186"/>
        <v>1.4648220365596005E-2</v>
      </c>
      <c r="K158" s="140">
        <f t="shared" si="186"/>
        <v>1.5142831363528403E-2</v>
      </c>
      <c r="L158" s="140">
        <f t="shared" si="186"/>
        <v>1.5113574531006787E-2</v>
      </c>
      <c r="M158" s="140">
        <f t="shared" si="186"/>
        <v>1.4424835605177735E-2</v>
      </c>
      <c r="N158" s="140">
        <f t="shared" si="186"/>
        <v>1.4386712720060322E-2</v>
      </c>
      <c r="O158" s="140">
        <f t="shared" si="186"/>
        <v>1.4716293527591675E-2</v>
      </c>
      <c r="P158" s="140">
        <f t="shared" si="186"/>
        <v>1.495782796151037E-2</v>
      </c>
      <c r="Q158" s="140">
        <f t="shared" si="186"/>
        <v>1.4677287540766927E-2</v>
      </c>
      <c r="R158" s="140">
        <f t="shared" si="186"/>
        <v>1.3513221185422065E-2</v>
      </c>
      <c r="S158" s="140">
        <f t="shared" si="186"/>
        <v>1.2749460841083938E-2</v>
      </c>
      <c r="T158" s="140">
        <f t="shared" si="186"/>
        <v>1.2771545719298815E-2</v>
      </c>
      <c r="U158" s="140">
        <f t="shared" si="186"/>
        <v>1.2701582192974363E-2</v>
      </c>
      <c r="V158" s="140">
        <f t="shared" si="186"/>
        <v>1.4883598428840777E-2</v>
      </c>
      <c r="W158" s="140">
        <f t="shared" si="186"/>
        <v>1.3197167939421139E-2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0.75308305002953013</v>
      </c>
      <c r="C159" s="140">
        <f t="shared" ref="C159:W159" si="187">IF(C67=0,0,C67/C$64)</f>
        <v>0.76080778187050413</v>
      </c>
      <c r="D159" s="140">
        <f t="shared" si="187"/>
        <v>0.76123547276108638</v>
      </c>
      <c r="E159" s="140">
        <f t="shared" si="187"/>
        <v>0.76323566292482659</v>
      </c>
      <c r="F159" s="140">
        <f t="shared" si="187"/>
        <v>0.75290490438930779</v>
      </c>
      <c r="G159" s="140">
        <f t="shared" si="187"/>
        <v>0.74848882421499263</v>
      </c>
      <c r="H159" s="140">
        <f t="shared" si="187"/>
        <v>0.7421010864559251</v>
      </c>
      <c r="I159" s="140">
        <f t="shared" si="187"/>
        <v>0.7366713560267083</v>
      </c>
      <c r="J159" s="140">
        <f t="shared" si="187"/>
        <v>0.72869707477319146</v>
      </c>
      <c r="K159" s="140">
        <f t="shared" si="187"/>
        <v>0.74533514048741989</v>
      </c>
      <c r="L159" s="140">
        <f t="shared" si="187"/>
        <v>0.74458561655931588</v>
      </c>
      <c r="M159" s="140">
        <f t="shared" si="187"/>
        <v>0.73299721814585916</v>
      </c>
      <c r="N159" s="140">
        <f t="shared" si="187"/>
        <v>0.73853969925622209</v>
      </c>
      <c r="O159" s="140">
        <f t="shared" si="187"/>
        <v>0.73976284749167254</v>
      </c>
      <c r="P159" s="140">
        <f t="shared" si="187"/>
        <v>0.74367138689401135</v>
      </c>
      <c r="Q159" s="140">
        <f t="shared" si="187"/>
        <v>0.73946650345899723</v>
      </c>
      <c r="R159" s="140">
        <f t="shared" si="187"/>
        <v>0.73909119464742745</v>
      </c>
      <c r="S159" s="140">
        <f t="shared" si="187"/>
        <v>0.73639653145721651</v>
      </c>
      <c r="T159" s="140">
        <f t="shared" si="187"/>
        <v>0.72425746408761615</v>
      </c>
      <c r="U159" s="140">
        <f t="shared" si="187"/>
        <v>0.71567605058088124</v>
      </c>
      <c r="V159" s="140">
        <f t="shared" si="187"/>
        <v>0.80303771107346256</v>
      </c>
      <c r="W159" s="140">
        <f t="shared" si="187"/>
        <v>0.80982720061003777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5.2138949840056209E-2</v>
      </c>
      <c r="C160" s="140">
        <f t="shared" ref="C160:W160" si="188">IF(C68=0,0,C68/C$64)</f>
        <v>5.0250610912028121E-2</v>
      </c>
      <c r="D160" s="140">
        <f t="shared" si="188"/>
        <v>5.0101629229027507E-2</v>
      </c>
      <c r="E160" s="140">
        <f t="shared" si="188"/>
        <v>5.1361482217308449E-2</v>
      </c>
      <c r="F160" s="140">
        <f t="shared" si="188"/>
        <v>5.2070786231939441E-2</v>
      </c>
      <c r="G160" s="140">
        <f t="shared" si="188"/>
        <v>5.2516709182245123E-2</v>
      </c>
      <c r="H160" s="140">
        <f t="shared" si="188"/>
        <v>5.3997429632462443E-2</v>
      </c>
      <c r="I160" s="140">
        <f t="shared" si="188"/>
        <v>5.4180470305093091E-2</v>
      </c>
      <c r="J160" s="140">
        <f t="shared" si="188"/>
        <v>5.4354597022850379E-2</v>
      </c>
      <c r="K160" s="140">
        <f t="shared" si="188"/>
        <v>5.1850756457747373E-2</v>
      </c>
      <c r="L160" s="140">
        <f t="shared" si="188"/>
        <v>5.0840921456804342E-2</v>
      </c>
      <c r="M160" s="140">
        <f t="shared" si="188"/>
        <v>4.8497810153340266E-2</v>
      </c>
      <c r="N160" s="140">
        <f t="shared" si="188"/>
        <v>4.7849824067572627E-2</v>
      </c>
      <c r="O160" s="140">
        <f t="shared" si="188"/>
        <v>4.5282298920295672E-2</v>
      </c>
      <c r="P160" s="140">
        <f t="shared" si="188"/>
        <v>4.5224347134905384E-2</v>
      </c>
      <c r="Q160" s="140">
        <f t="shared" si="188"/>
        <v>4.5237786406070991E-2</v>
      </c>
      <c r="R160" s="140">
        <f t="shared" si="188"/>
        <v>4.6509566676395962E-2</v>
      </c>
      <c r="S160" s="140">
        <f t="shared" si="188"/>
        <v>4.6024935401468625E-2</v>
      </c>
      <c r="T160" s="140">
        <f t="shared" si="188"/>
        <v>4.7135425509625684E-2</v>
      </c>
      <c r="U160" s="140">
        <f t="shared" si="188"/>
        <v>4.6653281760631854E-2</v>
      </c>
      <c r="V160" s="140">
        <f t="shared" si="188"/>
        <v>5.0269410877960177E-2</v>
      </c>
      <c r="W160" s="140">
        <f t="shared" si="188"/>
        <v>4.8380119350439933E-2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8.1938958922164289E-3</v>
      </c>
      <c r="C161" s="124">
        <f t="shared" ref="C161:W161" si="189">IF(C69=0,0,C69/C$64)</f>
        <v>5.1941753460592981E-3</v>
      </c>
      <c r="D161" s="124">
        <f t="shared" si="189"/>
        <v>5.348499410576823E-3</v>
      </c>
      <c r="E161" s="124">
        <f t="shared" si="189"/>
        <v>5.2623589694933163E-3</v>
      </c>
      <c r="F161" s="124">
        <f t="shared" si="189"/>
        <v>5.7417810153500021E-3</v>
      </c>
      <c r="G161" s="124">
        <f t="shared" si="189"/>
        <v>5.4572934475779298E-3</v>
      </c>
      <c r="H161" s="124">
        <f t="shared" si="189"/>
        <v>5.2959090955897129E-3</v>
      </c>
      <c r="I161" s="124">
        <f t="shared" si="189"/>
        <v>4.8795769461504913E-3</v>
      </c>
      <c r="J161" s="124">
        <f t="shared" si="189"/>
        <v>5.2399513547374439E-3</v>
      </c>
      <c r="K161" s="124">
        <f t="shared" si="189"/>
        <v>5.0030035671503542E-3</v>
      </c>
      <c r="L161" s="124">
        <f t="shared" si="189"/>
        <v>4.7951096713595188E-3</v>
      </c>
      <c r="M161" s="124">
        <f t="shared" si="189"/>
        <v>4.6755169320033636E-3</v>
      </c>
      <c r="N161" s="124">
        <f t="shared" si="189"/>
        <v>4.3686779757939583E-3</v>
      </c>
      <c r="O161" s="124">
        <f t="shared" si="189"/>
        <v>4.3434797768464178E-3</v>
      </c>
      <c r="P161" s="124">
        <f t="shared" si="189"/>
        <v>4.0536805936095283E-3</v>
      </c>
      <c r="Q161" s="124">
        <f t="shared" si="189"/>
        <v>4.0088482280341391E-3</v>
      </c>
      <c r="R161" s="124">
        <f t="shared" si="189"/>
        <v>3.3880257001783912E-3</v>
      </c>
      <c r="S161" s="124">
        <f t="shared" si="189"/>
        <v>3.5078579512449037E-3</v>
      </c>
      <c r="T161" s="124">
        <f t="shared" si="189"/>
        <v>3.1198843120786132E-3</v>
      </c>
      <c r="U161" s="124">
        <f t="shared" si="189"/>
        <v>3.0497267837144211E-3</v>
      </c>
      <c r="V161" s="124">
        <f t="shared" si="189"/>
        <v>3.3041480904807434E-3</v>
      </c>
      <c r="W161" s="124">
        <f t="shared" si="189"/>
        <v>3.3539016117807054E-3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8.1938958922164289E-3</v>
      </c>
      <c r="C163" s="140">
        <f t="shared" ref="C163:W163" si="191">IF(C71=0,0,C71/C$64)</f>
        <v>5.1941753460592981E-3</v>
      </c>
      <c r="D163" s="140">
        <f t="shared" si="191"/>
        <v>5.348499410576823E-3</v>
      </c>
      <c r="E163" s="140">
        <f t="shared" si="191"/>
        <v>5.2623589694933163E-3</v>
      </c>
      <c r="F163" s="140">
        <f t="shared" si="191"/>
        <v>5.7417810153500021E-3</v>
      </c>
      <c r="G163" s="140">
        <f t="shared" si="191"/>
        <v>5.4572934475779298E-3</v>
      </c>
      <c r="H163" s="140">
        <f t="shared" si="191"/>
        <v>5.2959090955897129E-3</v>
      </c>
      <c r="I163" s="140">
        <f t="shared" si="191"/>
        <v>4.8795769461504913E-3</v>
      </c>
      <c r="J163" s="140">
        <f t="shared" si="191"/>
        <v>5.2399513547374439E-3</v>
      </c>
      <c r="K163" s="140">
        <f t="shared" si="191"/>
        <v>5.0030035671503542E-3</v>
      </c>
      <c r="L163" s="140">
        <f t="shared" si="191"/>
        <v>4.7951096713595188E-3</v>
      </c>
      <c r="M163" s="140">
        <f t="shared" si="191"/>
        <v>4.6755169320033636E-3</v>
      </c>
      <c r="N163" s="140">
        <f t="shared" si="191"/>
        <v>4.3686779757939583E-3</v>
      </c>
      <c r="O163" s="140">
        <f t="shared" si="191"/>
        <v>4.3434797768464178E-3</v>
      </c>
      <c r="P163" s="140">
        <f t="shared" si="191"/>
        <v>4.0536805936095283E-3</v>
      </c>
      <c r="Q163" s="140">
        <f t="shared" si="191"/>
        <v>4.0088482280341391E-3</v>
      </c>
      <c r="R163" s="140">
        <f t="shared" si="191"/>
        <v>3.3880257001783912E-3</v>
      </c>
      <c r="S163" s="140">
        <f t="shared" si="191"/>
        <v>3.5078579512449037E-3</v>
      </c>
      <c r="T163" s="140">
        <f t="shared" si="191"/>
        <v>3.1198843120786132E-3</v>
      </c>
      <c r="U163" s="140">
        <f t="shared" si="191"/>
        <v>3.0497267837144211E-3</v>
      </c>
      <c r="V163" s="140">
        <f t="shared" si="191"/>
        <v>3.3041480904807434E-3</v>
      </c>
      <c r="W163" s="140">
        <f t="shared" si="191"/>
        <v>3.3539016117807054E-3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0.17615602792968993</v>
      </c>
      <c r="C165" s="124">
        <f t="shared" ref="C165:W165" si="193">IF(C73=0,0,C73/C$64)</f>
        <v>0.1725177510232842</v>
      </c>
      <c r="D165" s="124">
        <f t="shared" si="193"/>
        <v>0.17091284466768419</v>
      </c>
      <c r="E165" s="124">
        <f t="shared" si="193"/>
        <v>0.16750969798137264</v>
      </c>
      <c r="F165" s="124">
        <f t="shared" si="193"/>
        <v>0.17585424679302872</v>
      </c>
      <c r="G165" s="124">
        <f t="shared" si="193"/>
        <v>0.17970211877151462</v>
      </c>
      <c r="H165" s="124">
        <f t="shared" si="193"/>
        <v>0.18501689094194076</v>
      </c>
      <c r="I165" s="124">
        <f t="shared" si="193"/>
        <v>0.19044511713895712</v>
      </c>
      <c r="J165" s="124">
        <f t="shared" si="193"/>
        <v>0.19706015648362465</v>
      </c>
      <c r="K165" s="124">
        <f t="shared" si="193"/>
        <v>0.18266826812415404</v>
      </c>
      <c r="L165" s="124">
        <f t="shared" si="193"/>
        <v>0.18466477778151347</v>
      </c>
      <c r="M165" s="124">
        <f t="shared" si="193"/>
        <v>0.19940461916361948</v>
      </c>
      <c r="N165" s="124">
        <f t="shared" si="193"/>
        <v>0.19485508598035103</v>
      </c>
      <c r="O165" s="124">
        <f t="shared" si="193"/>
        <v>0.19589508028359365</v>
      </c>
      <c r="P165" s="124">
        <f t="shared" si="193"/>
        <v>0.19209275741596341</v>
      </c>
      <c r="Q165" s="124">
        <f t="shared" si="193"/>
        <v>0.19660957436613063</v>
      </c>
      <c r="R165" s="124">
        <f t="shared" si="193"/>
        <v>0.19749799179057614</v>
      </c>
      <c r="S165" s="124">
        <f t="shared" si="193"/>
        <v>0.20132121434898589</v>
      </c>
      <c r="T165" s="124">
        <f t="shared" si="193"/>
        <v>0.21271568037138072</v>
      </c>
      <c r="U165" s="124">
        <f t="shared" si="193"/>
        <v>0.22191935868179827</v>
      </c>
      <c r="V165" s="124">
        <f t="shared" si="193"/>
        <v>0.12850513152925566</v>
      </c>
      <c r="W165" s="124">
        <f t="shared" si="193"/>
        <v>0.12524161048832064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2.9998489486441904E-2</v>
      </c>
      <c r="C166" s="140">
        <f t="shared" ref="C166:W166" si="194">IF(C74=0,0,C74/C$64)</f>
        <v>2.9910860869043699E-2</v>
      </c>
      <c r="D166" s="140">
        <f t="shared" si="194"/>
        <v>2.8117769631820763E-2</v>
      </c>
      <c r="E166" s="140">
        <f t="shared" si="194"/>
        <v>2.6759891744497347E-2</v>
      </c>
      <c r="F166" s="140">
        <f t="shared" si="194"/>
        <v>2.5491311652691351E-2</v>
      </c>
      <c r="G166" s="140">
        <f t="shared" si="194"/>
        <v>2.5633324841317997E-2</v>
      </c>
      <c r="H166" s="140">
        <f t="shared" si="194"/>
        <v>2.5513700822541074E-2</v>
      </c>
      <c r="I166" s="140">
        <f t="shared" si="194"/>
        <v>2.5666760469147756E-2</v>
      </c>
      <c r="J166" s="140">
        <f t="shared" si="194"/>
        <v>2.665766471080273E-2</v>
      </c>
      <c r="K166" s="140">
        <f t="shared" si="194"/>
        <v>2.536467788790063E-2</v>
      </c>
      <c r="L166" s="140">
        <f t="shared" si="194"/>
        <v>2.4934844767701244E-2</v>
      </c>
      <c r="M166" s="140">
        <f t="shared" si="194"/>
        <v>4.4571343829040683E-2</v>
      </c>
      <c r="N166" s="140">
        <f t="shared" si="194"/>
        <v>4.4707038150737198E-2</v>
      </c>
      <c r="O166" s="140">
        <f t="shared" si="194"/>
        <v>4.474970357630477E-2</v>
      </c>
      <c r="P166" s="140">
        <f t="shared" si="194"/>
        <v>4.2440529624320905E-2</v>
      </c>
      <c r="Q166" s="140">
        <f t="shared" si="194"/>
        <v>4.1532260861554232E-2</v>
      </c>
      <c r="R166" s="140">
        <f t="shared" si="194"/>
        <v>4.2972225094437225E-2</v>
      </c>
      <c r="S166" s="140">
        <f t="shared" si="194"/>
        <v>4.442653869392043E-2</v>
      </c>
      <c r="T166" s="140">
        <f t="shared" si="194"/>
        <v>4.7359569362209974E-2</v>
      </c>
      <c r="U166" s="140">
        <f t="shared" si="194"/>
        <v>4.7879907411868351E-2</v>
      </c>
      <c r="V166" s="140">
        <f t="shared" si="194"/>
        <v>3.9768478425891825E-2</v>
      </c>
      <c r="W166" s="140">
        <f t="shared" si="194"/>
        <v>4.3711065713194983E-2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3.6157212748547975E-2</v>
      </c>
      <c r="C167" s="140">
        <f t="shared" ref="C167:W167" si="195">IF(C75=0,0,C75/C$64)</f>
        <v>3.5278997023670218E-2</v>
      </c>
      <c r="D167" s="140">
        <f t="shared" si="195"/>
        <v>3.5325524836181149E-2</v>
      </c>
      <c r="E167" s="140">
        <f t="shared" si="195"/>
        <v>3.5160610738416594E-2</v>
      </c>
      <c r="F167" s="140">
        <f t="shared" si="195"/>
        <v>3.7049837140716281E-2</v>
      </c>
      <c r="G167" s="140">
        <f t="shared" si="195"/>
        <v>3.797500203571063E-2</v>
      </c>
      <c r="H167" s="140">
        <f t="shared" si="195"/>
        <v>4.0217305001540346E-2</v>
      </c>
      <c r="I167" s="140">
        <f t="shared" si="195"/>
        <v>4.2372986599328664E-2</v>
      </c>
      <c r="J167" s="140">
        <f t="shared" si="195"/>
        <v>4.2784821694171478E-2</v>
      </c>
      <c r="K167" s="140">
        <f t="shared" si="195"/>
        <v>3.7743301556510581E-2</v>
      </c>
      <c r="L167" s="140">
        <f t="shared" si="195"/>
        <v>3.7441641065606927E-2</v>
      </c>
      <c r="M167" s="140">
        <f t="shared" si="195"/>
        <v>3.663856033919341E-2</v>
      </c>
      <c r="N167" s="140">
        <f t="shared" si="195"/>
        <v>3.4939025366008479E-2</v>
      </c>
      <c r="O167" s="140">
        <f t="shared" si="195"/>
        <v>3.4976381782087035E-2</v>
      </c>
      <c r="P167" s="140">
        <f t="shared" si="195"/>
        <v>3.4955004161895641E-2</v>
      </c>
      <c r="Q167" s="140">
        <f t="shared" si="195"/>
        <v>3.6329609655187202E-2</v>
      </c>
      <c r="R167" s="140">
        <f t="shared" si="195"/>
        <v>3.8102705188688434E-2</v>
      </c>
      <c r="S167" s="140">
        <f t="shared" si="195"/>
        <v>3.9846177866205139E-2</v>
      </c>
      <c r="T167" s="140">
        <f t="shared" si="195"/>
        <v>4.1330580944691366E-2</v>
      </c>
      <c r="U167" s="140">
        <f t="shared" si="195"/>
        <v>4.1851077624806332E-2</v>
      </c>
      <c r="V167" s="140">
        <f t="shared" si="195"/>
        <v>1.733605361705947E-2</v>
      </c>
      <c r="W167" s="140">
        <f t="shared" si="195"/>
        <v>1.7825381170846356E-2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0.11000032569470007</v>
      </c>
      <c r="C168" s="140">
        <f t="shared" ref="C168:W168" si="196">IF(C76=0,0,C76/C$64)</f>
        <v>0.10732789313057031</v>
      </c>
      <c r="D168" s="140">
        <f t="shared" si="196"/>
        <v>0.10746955019968227</v>
      </c>
      <c r="E168" s="140">
        <f t="shared" si="196"/>
        <v>0.10558919549845873</v>
      </c>
      <c r="F168" s="140">
        <f t="shared" si="196"/>
        <v>0.11331309799962108</v>
      </c>
      <c r="G168" s="140">
        <f t="shared" si="196"/>
        <v>0.11609379189448603</v>
      </c>
      <c r="H168" s="140">
        <f t="shared" si="196"/>
        <v>0.11928588511785934</v>
      </c>
      <c r="I168" s="140">
        <f t="shared" si="196"/>
        <v>0.12240537007048069</v>
      </c>
      <c r="J168" s="140">
        <f t="shared" si="196"/>
        <v>0.12761767007865044</v>
      </c>
      <c r="K168" s="140">
        <f t="shared" si="196"/>
        <v>0.11956028867974283</v>
      </c>
      <c r="L168" s="140">
        <f t="shared" si="196"/>
        <v>0.12228829194820529</v>
      </c>
      <c r="M168" s="140">
        <f t="shared" si="196"/>
        <v>0.11819471499538542</v>
      </c>
      <c r="N168" s="140">
        <f t="shared" si="196"/>
        <v>0.11520902246360534</v>
      </c>
      <c r="O168" s="140">
        <f t="shared" si="196"/>
        <v>0.11616899492520183</v>
      </c>
      <c r="P168" s="140">
        <f t="shared" si="196"/>
        <v>0.11469722362974688</v>
      </c>
      <c r="Q168" s="140">
        <f t="shared" si="196"/>
        <v>0.11874770384938919</v>
      </c>
      <c r="R168" s="140">
        <f t="shared" si="196"/>
        <v>0.11642306150745046</v>
      </c>
      <c r="S168" s="140">
        <f t="shared" si="196"/>
        <v>0.11704849778886031</v>
      </c>
      <c r="T168" s="140">
        <f t="shared" si="196"/>
        <v>0.12402553006447935</v>
      </c>
      <c r="U168" s="140">
        <f t="shared" si="196"/>
        <v>0.13218837364512356</v>
      </c>
      <c r="V168" s="140">
        <f t="shared" si="196"/>
        <v>7.1400599486304381E-2</v>
      </c>
      <c r="W168" s="140">
        <f t="shared" si="196"/>
        <v>6.3705163604279316E-2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0.93664020679031024</v>
      </c>
      <c r="C170" s="139">
        <f t="shared" ref="C170:W170" si="199">IF(C78=0,0,C78/C$77)</f>
        <v>0.94154648648719697</v>
      </c>
      <c r="D170" s="139">
        <f t="shared" si="199"/>
        <v>0.94159929647638252</v>
      </c>
      <c r="E170" s="139">
        <f t="shared" si="199"/>
        <v>0.93996480480910727</v>
      </c>
      <c r="F170" s="139">
        <f t="shared" si="199"/>
        <v>0.93619837508716741</v>
      </c>
      <c r="G170" s="139">
        <f t="shared" si="199"/>
        <v>0.93861528813599382</v>
      </c>
      <c r="H170" s="139">
        <f t="shared" si="199"/>
        <v>0.9372434696575479</v>
      </c>
      <c r="I170" s="139">
        <f t="shared" si="199"/>
        <v>0.93459676045692774</v>
      </c>
      <c r="J170" s="139">
        <f t="shared" si="199"/>
        <v>0.9316160272910945</v>
      </c>
      <c r="K170" s="139">
        <f t="shared" si="199"/>
        <v>0.93514813788753859</v>
      </c>
      <c r="L170" s="139">
        <f t="shared" si="199"/>
        <v>0.93309569887910582</v>
      </c>
      <c r="M170" s="139">
        <f t="shared" si="199"/>
        <v>0.93290686152037472</v>
      </c>
      <c r="N170" s="139">
        <f t="shared" si="199"/>
        <v>0.93108601801271984</v>
      </c>
      <c r="O170" s="139">
        <f t="shared" si="199"/>
        <v>0.93339998699032933</v>
      </c>
      <c r="P170" s="139">
        <f t="shared" si="199"/>
        <v>0.9281987569303275</v>
      </c>
      <c r="Q170" s="139">
        <f t="shared" si="199"/>
        <v>0.92582553606324103</v>
      </c>
      <c r="R170" s="139">
        <f t="shared" si="199"/>
        <v>0.93251555972812183</v>
      </c>
      <c r="S170" s="139">
        <f t="shared" si="199"/>
        <v>0.93328542929986036</v>
      </c>
      <c r="T170" s="139">
        <f t="shared" si="199"/>
        <v>0.9333989787465784</v>
      </c>
      <c r="U170" s="139">
        <f t="shared" si="199"/>
        <v>0.93446182786663878</v>
      </c>
      <c r="V170" s="139">
        <f t="shared" si="199"/>
        <v>0.92839263652573734</v>
      </c>
      <c r="W170" s="139">
        <f t="shared" si="199"/>
        <v>0.93289434946251093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0.43100656303757728</v>
      </c>
      <c r="C171" s="140">
        <f t="shared" ref="C171:W171" si="200">IF(C79=0,0,C79/C$77)</f>
        <v>0.42928435505282242</v>
      </c>
      <c r="D171" s="140">
        <f t="shared" si="200"/>
        <v>0.42549076194617813</v>
      </c>
      <c r="E171" s="140">
        <f t="shared" si="200"/>
        <v>0.42010070347245165</v>
      </c>
      <c r="F171" s="140">
        <f t="shared" si="200"/>
        <v>0.39408285150205891</v>
      </c>
      <c r="G171" s="140">
        <f t="shared" si="200"/>
        <v>0.39083558200975266</v>
      </c>
      <c r="H171" s="140">
        <f t="shared" si="200"/>
        <v>0.38722251310627703</v>
      </c>
      <c r="I171" s="140">
        <f t="shared" si="200"/>
        <v>0.37958325495487094</v>
      </c>
      <c r="J171" s="140">
        <f t="shared" si="200"/>
        <v>0.38215640633965048</v>
      </c>
      <c r="K171" s="140">
        <f t="shared" si="200"/>
        <v>0.41481439796414393</v>
      </c>
      <c r="L171" s="140">
        <f t="shared" si="200"/>
        <v>0.41239248096623404</v>
      </c>
      <c r="M171" s="140">
        <f t="shared" si="200"/>
        <v>0.41816610454250236</v>
      </c>
      <c r="N171" s="140">
        <f t="shared" si="200"/>
        <v>0.431101890707419</v>
      </c>
      <c r="O171" s="140">
        <f t="shared" si="200"/>
        <v>0.43060545702801545</v>
      </c>
      <c r="P171" s="140">
        <f t="shared" si="200"/>
        <v>0.43041070791294694</v>
      </c>
      <c r="Q171" s="140">
        <f t="shared" si="200"/>
        <v>0.44193945832388071</v>
      </c>
      <c r="R171" s="140">
        <f t="shared" si="200"/>
        <v>0.43473028234209815</v>
      </c>
      <c r="S171" s="140">
        <f t="shared" si="200"/>
        <v>0.43273287218095935</v>
      </c>
      <c r="T171" s="140">
        <f t="shared" si="200"/>
        <v>0.43410059010308299</v>
      </c>
      <c r="U171" s="140">
        <f t="shared" si="200"/>
        <v>0.42997899429231223</v>
      </c>
      <c r="V171" s="140">
        <f t="shared" si="200"/>
        <v>0.40367792084999155</v>
      </c>
      <c r="W171" s="140">
        <f t="shared" si="200"/>
        <v>0.42620958948602661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0.50563364375273312</v>
      </c>
      <c r="C172" s="140">
        <f t="shared" ref="C172:W172" si="201">IF(C80=0,0,C80/C$77)</f>
        <v>0.5122621314343746</v>
      </c>
      <c r="D172" s="140">
        <f t="shared" si="201"/>
        <v>0.51610853453020433</v>
      </c>
      <c r="E172" s="140">
        <f t="shared" si="201"/>
        <v>0.51986410133665562</v>
      </c>
      <c r="F172" s="140">
        <f t="shared" si="201"/>
        <v>0.54211552358510851</v>
      </c>
      <c r="G172" s="140">
        <f t="shared" si="201"/>
        <v>0.54777970612624116</v>
      </c>
      <c r="H172" s="140">
        <f t="shared" si="201"/>
        <v>0.55002095655127103</v>
      </c>
      <c r="I172" s="140">
        <f t="shared" si="201"/>
        <v>0.55501350550205675</v>
      </c>
      <c r="J172" s="140">
        <f t="shared" si="201"/>
        <v>0.54945962095144396</v>
      </c>
      <c r="K172" s="140">
        <f t="shared" si="201"/>
        <v>0.52033373992339471</v>
      </c>
      <c r="L172" s="140">
        <f t="shared" si="201"/>
        <v>0.52070321791287177</v>
      </c>
      <c r="M172" s="140">
        <f t="shared" si="201"/>
        <v>0.51474075697787247</v>
      </c>
      <c r="N172" s="140">
        <f t="shared" si="201"/>
        <v>0.49998412730530084</v>
      </c>
      <c r="O172" s="140">
        <f t="shared" si="201"/>
        <v>0.502794529962314</v>
      </c>
      <c r="P172" s="140">
        <f t="shared" si="201"/>
        <v>0.49778804901738055</v>
      </c>
      <c r="Q172" s="140">
        <f t="shared" si="201"/>
        <v>0.48388607773936027</v>
      </c>
      <c r="R172" s="140">
        <f t="shared" si="201"/>
        <v>0.49778527738602363</v>
      </c>
      <c r="S172" s="140">
        <f t="shared" si="201"/>
        <v>0.50055255711890112</v>
      </c>
      <c r="T172" s="140">
        <f t="shared" si="201"/>
        <v>0.49929838864349546</v>
      </c>
      <c r="U172" s="140">
        <f t="shared" si="201"/>
        <v>0.50448283357432666</v>
      </c>
      <c r="V172" s="140">
        <f t="shared" si="201"/>
        <v>0.52471471567574579</v>
      </c>
      <c r="W172" s="140">
        <f t="shared" si="201"/>
        <v>0.50668475997648432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6.9672240582408116E-3</v>
      </c>
      <c r="C173" s="124">
        <f t="shared" ref="C173:W173" si="202">IF(C81=0,0,C81/C$77)</f>
        <v>4.8681659198810462E-3</v>
      </c>
      <c r="D173" s="124">
        <f t="shared" si="202"/>
        <v>5.0025481833519464E-3</v>
      </c>
      <c r="E173" s="124">
        <f t="shared" si="202"/>
        <v>4.5098354530961962E-3</v>
      </c>
      <c r="F173" s="124">
        <f t="shared" si="202"/>
        <v>3.3942373759015625E-3</v>
      </c>
      <c r="G173" s="124">
        <f t="shared" si="202"/>
        <v>2.7580822692454049E-3</v>
      </c>
      <c r="H173" s="124">
        <f t="shared" si="202"/>
        <v>2.5145774631188875E-3</v>
      </c>
      <c r="I173" s="124">
        <f t="shared" si="202"/>
        <v>2.4514125244362904E-3</v>
      </c>
      <c r="J173" s="124">
        <f t="shared" si="202"/>
        <v>2.6387353687968925E-3</v>
      </c>
      <c r="K173" s="124">
        <f t="shared" si="202"/>
        <v>2.1044580001489946E-3</v>
      </c>
      <c r="L173" s="124">
        <f t="shared" si="202"/>
        <v>1.8601151130053053E-3</v>
      </c>
      <c r="M173" s="124">
        <f t="shared" si="202"/>
        <v>1.8017517380915526E-3</v>
      </c>
      <c r="N173" s="124">
        <f t="shared" si="202"/>
        <v>1.5419725921676541E-3</v>
      </c>
      <c r="O173" s="124">
        <f t="shared" si="202"/>
        <v>1.5858359718048031E-3</v>
      </c>
      <c r="P173" s="124">
        <f t="shared" si="202"/>
        <v>1.4290515831450799E-3</v>
      </c>
      <c r="Q173" s="124">
        <f t="shared" si="202"/>
        <v>1.5010264871764356E-3</v>
      </c>
      <c r="R173" s="124">
        <f t="shared" si="202"/>
        <v>1.3193672223810338E-3</v>
      </c>
      <c r="S173" s="124">
        <f t="shared" si="202"/>
        <v>1.3778828761119037E-3</v>
      </c>
      <c r="T173" s="124">
        <f t="shared" si="202"/>
        <v>1.2135313130232823E-3</v>
      </c>
      <c r="U173" s="124">
        <f t="shared" si="202"/>
        <v>1.2650500881435825E-3</v>
      </c>
      <c r="V173" s="124">
        <f t="shared" si="202"/>
        <v>1.471797000307777E-3</v>
      </c>
      <c r="W173" s="124">
        <f t="shared" si="202"/>
        <v>1.5182840574031067E-3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2.714077908106045E-2</v>
      </c>
      <c r="C174" s="124">
        <f t="shared" ref="C174:W174" si="203">IF(C82=0,0,C82/C$77)</f>
        <v>2.7155021648853729E-2</v>
      </c>
      <c r="D174" s="124">
        <f t="shared" si="203"/>
        <v>2.6586657440414978E-2</v>
      </c>
      <c r="E174" s="124">
        <f t="shared" si="203"/>
        <v>2.6882040185289269E-2</v>
      </c>
      <c r="F174" s="124">
        <f t="shared" si="203"/>
        <v>2.8641757995459767E-2</v>
      </c>
      <c r="G174" s="124">
        <f t="shared" si="203"/>
        <v>2.9681897294610161E-2</v>
      </c>
      <c r="H174" s="124">
        <f t="shared" si="203"/>
        <v>3.048510556723736E-2</v>
      </c>
      <c r="I174" s="124">
        <f t="shared" si="203"/>
        <v>3.1819154109475653E-2</v>
      </c>
      <c r="J174" s="124">
        <f t="shared" si="203"/>
        <v>3.4026847708851761E-2</v>
      </c>
      <c r="K174" s="124">
        <f t="shared" si="203"/>
        <v>2.8479794835318609E-2</v>
      </c>
      <c r="L174" s="124">
        <f t="shared" si="203"/>
        <v>3.1741296790183643E-2</v>
      </c>
      <c r="M174" s="124">
        <f t="shared" si="203"/>
        <v>3.4022755337637427E-2</v>
      </c>
      <c r="N174" s="124">
        <f t="shared" si="203"/>
        <v>3.5175032778823105E-2</v>
      </c>
      <c r="O174" s="124">
        <f t="shared" si="203"/>
        <v>3.2657003876873189E-2</v>
      </c>
      <c r="P174" s="124">
        <f t="shared" si="203"/>
        <v>3.7872474787969443E-2</v>
      </c>
      <c r="Q174" s="124">
        <f t="shared" si="203"/>
        <v>3.9968727286729518E-2</v>
      </c>
      <c r="R174" s="124">
        <f t="shared" si="203"/>
        <v>3.4194965805737651E-2</v>
      </c>
      <c r="S174" s="124">
        <f t="shared" si="203"/>
        <v>3.4213854090358507E-2</v>
      </c>
      <c r="T174" s="124">
        <f t="shared" si="203"/>
        <v>3.3802974050427613E-2</v>
      </c>
      <c r="U174" s="124">
        <f t="shared" si="203"/>
        <v>3.2100857699749651E-2</v>
      </c>
      <c r="V174" s="124">
        <f t="shared" si="203"/>
        <v>3.9950903464459793E-2</v>
      </c>
      <c r="W174" s="124">
        <f t="shared" si="203"/>
        <v>3.407252570101782E-2</v>
      </c>
      <c r="DA174" s="176"/>
    </row>
    <row r="175" spans="1:105" ht="11.45" customHeight="1" x14ac:dyDescent="0.25">
      <c r="A175" s="128" t="s">
        <v>27</v>
      </c>
      <c r="B175" s="140">
        <f t="shared" si="197"/>
        <v>3.8336973506876136E-3</v>
      </c>
      <c r="C175" s="140">
        <f t="shared" ref="C175:W175" si="204">IF(C83=0,0,C83/C$77)</f>
        <v>4.4117100347275057E-3</v>
      </c>
      <c r="D175" s="140">
        <f t="shared" si="204"/>
        <v>3.537330896272309E-3</v>
      </c>
      <c r="E175" s="140">
        <f t="shared" si="204"/>
        <v>2.9238009867987753E-3</v>
      </c>
      <c r="F175" s="140">
        <f t="shared" si="204"/>
        <v>2.9240775983606269E-3</v>
      </c>
      <c r="G175" s="140">
        <f t="shared" si="204"/>
        <v>2.9316016195218369E-3</v>
      </c>
      <c r="H175" s="140">
        <f t="shared" si="204"/>
        <v>2.4894269713667035E-3</v>
      </c>
      <c r="I175" s="140">
        <f t="shared" si="204"/>
        <v>2.0967789782106493E-3</v>
      </c>
      <c r="J175" s="140">
        <f t="shared" si="204"/>
        <v>1.7924747289579648E-3</v>
      </c>
      <c r="K175" s="140">
        <f t="shared" si="204"/>
        <v>1.7083438692305369E-3</v>
      </c>
      <c r="L175" s="140">
        <f t="shared" si="204"/>
        <v>1.2103718955393304E-3</v>
      </c>
      <c r="M175" s="140">
        <f t="shared" si="204"/>
        <v>2.1523604029838311E-3</v>
      </c>
      <c r="N175" s="140">
        <f t="shared" si="204"/>
        <v>2.296947522593332E-3</v>
      </c>
      <c r="O175" s="140">
        <f t="shared" si="204"/>
        <v>2.1241385037087156E-3</v>
      </c>
      <c r="P175" s="140">
        <f t="shared" si="204"/>
        <v>2.5012695299978967E-3</v>
      </c>
      <c r="Q175" s="140">
        <f t="shared" si="204"/>
        <v>2.4021614010960508E-3</v>
      </c>
      <c r="R175" s="140">
        <f t="shared" si="204"/>
        <v>2.1043168273440611E-3</v>
      </c>
      <c r="S175" s="140">
        <f t="shared" si="204"/>
        <v>2.1508353972806986E-3</v>
      </c>
      <c r="T175" s="140">
        <f t="shared" si="204"/>
        <v>2.1977821151462121E-3</v>
      </c>
      <c r="U175" s="140">
        <f t="shared" si="204"/>
        <v>2.1312686300849169E-3</v>
      </c>
      <c r="V175" s="140">
        <f t="shared" si="204"/>
        <v>2.3076999908007005E-3</v>
      </c>
      <c r="W175" s="140">
        <f t="shared" si="204"/>
        <v>2.3348934440988968E-3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1.473490047743052E-3</v>
      </c>
      <c r="C176" s="140">
        <f t="shared" ref="C176:W176" si="205">IF(C84=0,0,C84/C$77)</f>
        <v>1.6771333210616221E-3</v>
      </c>
      <c r="D176" s="140">
        <f t="shared" si="205"/>
        <v>1.5177999189827476E-3</v>
      </c>
      <c r="E176" s="140">
        <f t="shared" si="205"/>
        <v>1.4592305888336463E-3</v>
      </c>
      <c r="F176" s="140">
        <f t="shared" si="205"/>
        <v>1.5902509249350637E-3</v>
      </c>
      <c r="G176" s="140">
        <f t="shared" si="205"/>
        <v>1.5485580786238104E-3</v>
      </c>
      <c r="H176" s="140">
        <f t="shared" si="205"/>
        <v>2.0418015750031278E-3</v>
      </c>
      <c r="I176" s="140">
        <f t="shared" si="205"/>
        <v>2.4956132263113796E-3</v>
      </c>
      <c r="J176" s="140">
        <f t="shared" si="205"/>
        <v>2.5901099320073972E-3</v>
      </c>
      <c r="K176" s="140">
        <f t="shared" si="205"/>
        <v>2.4359460766543895E-3</v>
      </c>
      <c r="L176" s="140">
        <f t="shared" si="205"/>
        <v>2.6274172592977703E-3</v>
      </c>
      <c r="M176" s="140">
        <f t="shared" si="205"/>
        <v>3.0007360586716131E-3</v>
      </c>
      <c r="N176" s="140">
        <f t="shared" si="205"/>
        <v>2.9170405984043878E-3</v>
      </c>
      <c r="O176" s="140">
        <f t="shared" si="205"/>
        <v>3.1484072799681405E-3</v>
      </c>
      <c r="P176" s="140">
        <f t="shared" si="205"/>
        <v>3.8502492144668046E-3</v>
      </c>
      <c r="Q176" s="140">
        <f t="shared" si="205"/>
        <v>3.8968581569392385E-3</v>
      </c>
      <c r="R176" s="140">
        <f t="shared" si="205"/>
        <v>3.4084749513480085E-3</v>
      </c>
      <c r="S176" s="140">
        <f t="shared" si="205"/>
        <v>3.6315270418227157E-3</v>
      </c>
      <c r="T176" s="140">
        <f t="shared" si="205"/>
        <v>3.2133842688153629E-3</v>
      </c>
      <c r="U176" s="140">
        <f t="shared" si="205"/>
        <v>3.2629331043066974E-3</v>
      </c>
      <c r="V176" s="140">
        <f t="shared" si="205"/>
        <v>3.3690545501640886E-3</v>
      </c>
      <c r="W176" s="140">
        <f t="shared" si="205"/>
        <v>3.1341732861065079E-3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2.1833591682629785E-2</v>
      </c>
      <c r="C177" s="140">
        <f t="shared" ref="C177:W177" si="206">IF(C85=0,0,C85/C$77)</f>
        <v>2.1066178293064598E-2</v>
      </c>
      <c r="D177" s="140">
        <f t="shared" si="206"/>
        <v>2.1531526625159923E-2</v>
      </c>
      <c r="E177" s="140">
        <f t="shared" si="206"/>
        <v>2.249900860965685E-2</v>
      </c>
      <c r="F177" s="140">
        <f t="shared" si="206"/>
        <v>2.4127429472164074E-2</v>
      </c>
      <c r="G177" s="140">
        <f t="shared" si="206"/>
        <v>2.5201737596464512E-2</v>
      </c>
      <c r="H177" s="140">
        <f t="shared" si="206"/>
        <v>2.5953877020867527E-2</v>
      </c>
      <c r="I177" s="140">
        <f t="shared" si="206"/>
        <v>2.7226761904953625E-2</v>
      </c>
      <c r="J177" s="140">
        <f t="shared" si="206"/>
        <v>2.96442630478864E-2</v>
      </c>
      <c r="K177" s="140">
        <f t="shared" si="206"/>
        <v>2.4335504889433684E-2</v>
      </c>
      <c r="L177" s="140">
        <f t="shared" si="206"/>
        <v>2.790350763534654E-2</v>
      </c>
      <c r="M177" s="140">
        <f t="shared" si="206"/>
        <v>2.8869658875981981E-2</v>
      </c>
      <c r="N177" s="140">
        <f t="shared" si="206"/>
        <v>2.9961044657825387E-2</v>
      </c>
      <c r="O177" s="140">
        <f t="shared" si="206"/>
        <v>2.7384458093196333E-2</v>
      </c>
      <c r="P177" s="140">
        <f t="shared" si="206"/>
        <v>3.1520956043504744E-2</v>
      </c>
      <c r="Q177" s="140">
        <f t="shared" si="206"/>
        <v>3.3669707728694223E-2</v>
      </c>
      <c r="R177" s="140">
        <f t="shared" si="206"/>
        <v>2.8682174027045582E-2</v>
      </c>
      <c r="S177" s="140">
        <f t="shared" si="206"/>
        <v>2.8431491651255095E-2</v>
      </c>
      <c r="T177" s="140">
        <f t="shared" si="206"/>
        <v>2.8391807666466037E-2</v>
      </c>
      <c r="U177" s="140">
        <f t="shared" si="206"/>
        <v>2.6706655965358036E-2</v>
      </c>
      <c r="V177" s="140">
        <f t="shared" si="206"/>
        <v>3.4274148923495E-2</v>
      </c>
      <c r="W177" s="140">
        <f t="shared" si="206"/>
        <v>2.8603458970812418E-2</v>
      </c>
      <c r="DA177" s="175"/>
    </row>
    <row r="178" spans="1:105" ht="11.45" customHeight="1" x14ac:dyDescent="0.25">
      <c r="A178" s="109" t="s">
        <v>142</v>
      </c>
      <c r="B178" s="124">
        <f t="shared" si="197"/>
        <v>2.9251790070388375E-2</v>
      </c>
      <c r="C178" s="124">
        <f t="shared" ref="C178:W178" si="207">IF(C86=0,0,C86/C$77)</f>
        <v>2.643032594406821E-2</v>
      </c>
      <c r="D178" s="124">
        <f t="shared" si="207"/>
        <v>2.6811497899850465E-2</v>
      </c>
      <c r="E178" s="124">
        <f t="shared" si="207"/>
        <v>2.8643319552507162E-2</v>
      </c>
      <c r="F178" s="124">
        <f t="shared" si="207"/>
        <v>3.1765629541471163E-2</v>
      </c>
      <c r="G178" s="124">
        <f t="shared" si="207"/>
        <v>2.8944732300150582E-2</v>
      </c>
      <c r="H178" s="124">
        <f t="shared" si="207"/>
        <v>2.9756847312095866E-2</v>
      </c>
      <c r="I178" s="124">
        <f t="shared" si="207"/>
        <v>3.113267290916032E-2</v>
      </c>
      <c r="J178" s="124">
        <f t="shared" si="207"/>
        <v>3.1718389631256942E-2</v>
      </c>
      <c r="K178" s="124">
        <f t="shared" si="207"/>
        <v>3.4267609276993932E-2</v>
      </c>
      <c r="L178" s="124">
        <f t="shared" si="207"/>
        <v>3.3302889217705182E-2</v>
      </c>
      <c r="M178" s="124">
        <f t="shared" si="207"/>
        <v>3.1268631403896407E-2</v>
      </c>
      <c r="N178" s="124">
        <f t="shared" si="207"/>
        <v>3.2196976616289411E-2</v>
      </c>
      <c r="O178" s="124">
        <f t="shared" si="207"/>
        <v>3.2357173160992563E-2</v>
      </c>
      <c r="P178" s="124">
        <f t="shared" si="207"/>
        <v>3.2499716698558057E-2</v>
      </c>
      <c r="Q178" s="124">
        <f t="shared" si="207"/>
        <v>3.2704710162853097E-2</v>
      </c>
      <c r="R178" s="124">
        <f t="shared" si="207"/>
        <v>3.197010724375951E-2</v>
      </c>
      <c r="S178" s="124">
        <f t="shared" si="207"/>
        <v>3.1122833733669079E-2</v>
      </c>
      <c r="T178" s="124">
        <f t="shared" si="207"/>
        <v>3.1584515889970632E-2</v>
      </c>
      <c r="U178" s="124">
        <f t="shared" si="207"/>
        <v>3.2172264345467876E-2</v>
      </c>
      <c r="V178" s="124">
        <f t="shared" si="207"/>
        <v>3.018466300949512E-2</v>
      </c>
      <c r="W178" s="124">
        <f t="shared" si="207"/>
        <v>3.1514840779068083E-2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2.4233429348643011E-2</v>
      </c>
      <c r="C179" s="140">
        <f t="shared" ref="C179:W179" si="208">IF(C87=0,0,C87/C$77)</f>
        <v>2.0720234583053158E-2</v>
      </c>
      <c r="D179" s="140">
        <f t="shared" si="208"/>
        <v>2.0915048267723932E-2</v>
      </c>
      <c r="E179" s="140">
        <f t="shared" si="208"/>
        <v>2.1145940311018834E-2</v>
      </c>
      <c r="F179" s="140">
        <f t="shared" si="208"/>
        <v>2.2868136773236535E-2</v>
      </c>
      <c r="G179" s="140">
        <f t="shared" si="208"/>
        <v>2.1686017144306919E-2</v>
      </c>
      <c r="H179" s="140">
        <f t="shared" si="208"/>
        <v>2.4369624567150985E-2</v>
      </c>
      <c r="I179" s="140">
        <f t="shared" si="208"/>
        <v>2.2915540470760568E-2</v>
      </c>
      <c r="J179" s="140">
        <f t="shared" si="208"/>
        <v>2.6102355492337838E-2</v>
      </c>
      <c r="K179" s="140">
        <f t="shared" si="208"/>
        <v>2.6493300876908578E-2</v>
      </c>
      <c r="L179" s="140">
        <f t="shared" si="208"/>
        <v>2.6560817474001127E-2</v>
      </c>
      <c r="M179" s="140">
        <f t="shared" si="208"/>
        <v>2.5097143634843715E-2</v>
      </c>
      <c r="N179" s="140">
        <f t="shared" si="208"/>
        <v>2.4737251744795252E-2</v>
      </c>
      <c r="O179" s="140">
        <f t="shared" si="208"/>
        <v>2.0335893473776814E-2</v>
      </c>
      <c r="P179" s="140">
        <f t="shared" si="208"/>
        <v>2.4584494582578279E-2</v>
      </c>
      <c r="Q179" s="140">
        <f t="shared" si="208"/>
        <v>2.5446236030162366E-2</v>
      </c>
      <c r="R179" s="140">
        <f t="shared" si="208"/>
        <v>2.3178648045192929E-2</v>
      </c>
      <c r="S179" s="140">
        <f t="shared" si="208"/>
        <v>2.4004879763131041E-2</v>
      </c>
      <c r="T179" s="140">
        <f t="shared" si="208"/>
        <v>2.5387271642786945E-2</v>
      </c>
      <c r="U179" s="140">
        <f t="shared" si="208"/>
        <v>2.5683229133683701E-2</v>
      </c>
      <c r="V179" s="140">
        <f t="shared" si="208"/>
        <v>2.4449387426605323E-2</v>
      </c>
      <c r="W179" s="140">
        <f t="shared" si="208"/>
        <v>2.547565490254574E-2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5.0183607217453626E-3</v>
      </c>
      <c r="C180" s="127">
        <f t="shared" ref="C180:W180" si="209">IF(C88=0,0,C88/C$77)</f>
        <v>5.7100913610150551E-3</v>
      </c>
      <c r="D180" s="127">
        <f t="shared" si="209"/>
        <v>5.8964496321265306E-3</v>
      </c>
      <c r="E180" s="127">
        <f t="shared" si="209"/>
        <v>7.4973792414883261E-3</v>
      </c>
      <c r="F180" s="127">
        <f t="shared" si="209"/>
        <v>8.8974927682346303E-3</v>
      </c>
      <c r="G180" s="127">
        <f t="shared" si="209"/>
        <v>7.2587151558436598E-3</v>
      </c>
      <c r="H180" s="127">
        <f t="shared" si="209"/>
        <v>5.3872227449448806E-3</v>
      </c>
      <c r="I180" s="127">
        <f t="shared" si="209"/>
        <v>8.2171324383997525E-3</v>
      </c>
      <c r="J180" s="127">
        <f t="shared" si="209"/>
        <v>5.6160341389191008E-3</v>
      </c>
      <c r="K180" s="127">
        <f t="shared" si="209"/>
        <v>7.7743084000853569E-3</v>
      </c>
      <c r="L180" s="127">
        <f t="shared" si="209"/>
        <v>6.7420717437040555E-3</v>
      </c>
      <c r="M180" s="127">
        <f t="shared" si="209"/>
        <v>6.1714877690526894E-3</v>
      </c>
      <c r="N180" s="127">
        <f t="shared" si="209"/>
        <v>7.4597248714941573E-3</v>
      </c>
      <c r="O180" s="127">
        <f t="shared" si="209"/>
        <v>1.2021279687215745E-2</v>
      </c>
      <c r="P180" s="127">
        <f t="shared" si="209"/>
        <v>7.9152221159797791E-3</v>
      </c>
      <c r="Q180" s="127">
        <f t="shared" si="209"/>
        <v>7.2584741326907291E-3</v>
      </c>
      <c r="R180" s="127">
        <f t="shared" si="209"/>
        <v>8.7914591985665848E-3</v>
      </c>
      <c r="S180" s="127">
        <f t="shared" si="209"/>
        <v>7.1179539705380377E-3</v>
      </c>
      <c r="T180" s="127">
        <f t="shared" si="209"/>
        <v>6.1972442471836808E-3</v>
      </c>
      <c r="U180" s="127">
        <f t="shared" si="209"/>
        <v>6.4890352117841759E-3</v>
      </c>
      <c r="V180" s="127">
        <f t="shared" si="209"/>
        <v>5.7352755828897952E-3</v>
      </c>
      <c r="W180" s="127">
        <f t="shared" si="209"/>
        <v>6.0391858765223416E-3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0.29300225962376486</v>
      </c>
      <c r="C182" s="140">
        <f t="shared" ref="C182:W182" si="211">IF(C90=0,0,C90/C$89)</f>
        <v>0.2941626898546536</v>
      </c>
      <c r="D182" s="140">
        <f t="shared" si="211"/>
        <v>0.27397787847396654</v>
      </c>
      <c r="E182" s="140">
        <f t="shared" si="211"/>
        <v>0.26936453151425654</v>
      </c>
      <c r="F182" s="140">
        <f t="shared" si="211"/>
        <v>0.2756465317739174</v>
      </c>
      <c r="G182" s="140">
        <f t="shared" si="211"/>
        <v>0.26374364007051687</v>
      </c>
      <c r="H182" s="140">
        <f t="shared" si="211"/>
        <v>0.24161977637733642</v>
      </c>
      <c r="I182" s="140">
        <f t="shared" si="211"/>
        <v>0.24608701317946718</v>
      </c>
      <c r="J182" s="140">
        <f t="shared" si="211"/>
        <v>0.23960596740288209</v>
      </c>
      <c r="K182" s="140">
        <f t="shared" si="211"/>
        <v>0.2563287607325872</v>
      </c>
      <c r="L182" s="140">
        <f t="shared" si="211"/>
        <v>0.25717616457795778</v>
      </c>
      <c r="M182" s="140">
        <f t="shared" si="211"/>
        <v>0.24981004739263651</v>
      </c>
      <c r="N182" s="140">
        <f t="shared" si="211"/>
        <v>0.25129810963806787</v>
      </c>
      <c r="O182" s="140">
        <f t="shared" si="211"/>
        <v>0.23569343021057343</v>
      </c>
      <c r="P182" s="140">
        <f t="shared" si="211"/>
        <v>0.23781713201475749</v>
      </c>
      <c r="Q182" s="140">
        <f t="shared" si="211"/>
        <v>0.22508617651499921</v>
      </c>
      <c r="R182" s="140">
        <f t="shared" si="211"/>
        <v>0.24758025513605067</v>
      </c>
      <c r="S182" s="140">
        <f t="shared" si="211"/>
        <v>0.24409804178123823</v>
      </c>
      <c r="T182" s="140">
        <f t="shared" si="211"/>
        <v>0.244973492859517</v>
      </c>
      <c r="U182" s="140">
        <f t="shared" si="211"/>
        <v>0.23879151441903021</v>
      </c>
      <c r="V182" s="140">
        <f t="shared" si="211"/>
        <v>0.21658732617385018</v>
      </c>
      <c r="W182" s="140">
        <f t="shared" si="211"/>
        <v>0.20851705483347949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0.70699774037623508</v>
      </c>
      <c r="C183" s="127">
        <f t="shared" ref="C183:W183" si="212">IF(C91=0,0,C91/C$89)</f>
        <v>0.70583731014534645</v>
      </c>
      <c r="D183" s="127">
        <f t="shared" si="212"/>
        <v>0.7260221215260334</v>
      </c>
      <c r="E183" s="127">
        <f t="shared" si="212"/>
        <v>0.73063546848574346</v>
      </c>
      <c r="F183" s="127">
        <f t="shared" si="212"/>
        <v>0.72435346822608271</v>
      </c>
      <c r="G183" s="127">
        <f t="shared" si="212"/>
        <v>0.73625635992948324</v>
      </c>
      <c r="H183" s="127">
        <f t="shared" si="212"/>
        <v>0.75838022362266355</v>
      </c>
      <c r="I183" s="127">
        <f t="shared" si="212"/>
        <v>0.75391298682053276</v>
      </c>
      <c r="J183" s="127">
        <f t="shared" si="212"/>
        <v>0.76039403259711791</v>
      </c>
      <c r="K183" s="127">
        <f t="shared" si="212"/>
        <v>0.74367123926741274</v>
      </c>
      <c r="L183" s="127">
        <f t="shared" si="212"/>
        <v>0.74282383542204222</v>
      </c>
      <c r="M183" s="127">
        <f t="shared" si="212"/>
        <v>0.75018995260736343</v>
      </c>
      <c r="N183" s="127">
        <f t="shared" si="212"/>
        <v>0.74870189036193213</v>
      </c>
      <c r="O183" s="127">
        <f t="shared" si="212"/>
        <v>0.76430656978942646</v>
      </c>
      <c r="P183" s="127">
        <f t="shared" si="212"/>
        <v>0.7621828679852426</v>
      </c>
      <c r="Q183" s="127">
        <f t="shared" si="212"/>
        <v>0.77491382348500071</v>
      </c>
      <c r="R183" s="127">
        <f t="shared" si="212"/>
        <v>0.75241974486394936</v>
      </c>
      <c r="S183" s="127">
        <f t="shared" si="212"/>
        <v>0.75590195821876183</v>
      </c>
      <c r="T183" s="127">
        <f t="shared" si="212"/>
        <v>0.75502650714048292</v>
      </c>
      <c r="U183" s="127">
        <f t="shared" si="212"/>
        <v>0.76120848558096987</v>
      </c>
      <c r="V183" s="127">
        <f t="shared" si="212"/>
        <v>0.78341267382614987</v>
      </c>
      <c r="W183" s="127">
        <f t="shared" si="212"/>
        <v>0.79148294516652051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35.722341844827938</v>
      </c>
      <c r="C186" s="32">
        <f t="shared" si="213"/>
        <v>35.178569820207905</v>
      </c>
      <c r="D186" s="32">
        <f t="shared" si="213"/>
        <v>34.835680666162943</v>
      </c>
      <c r="E186" s="32">
        <f t="shared" si="213"/>
        <v>34.144244390119844</v>
      </c>
      <c r="F186" s="32">
        <f t="shared" si="213"/>
        <v>33.664318800335913</v>
      </c>
      <c r="G186" s="32">
        <f t="shared" si="213"/>
        <v>33.29057622496348</v>
      </c>
      <c r="H186" s="32">
        <f t="shared" si="213"/>
        <v>33.47292681357608</v>
      </c>
      <c r="I186" s="32">
        <f t="shared" si="213"/>
        <v>33.454951974139654</v>
      </c>
      <c r="J186" s="32">
        <f t="shared" si="213"/>
        <v>33.318243936260195</v>
      </c>
      <c r="K186" s="32">
        <f t="shared" si="213"/>
        <v>33.592886541457915</v>
      </c>
      <c r="L186" s="32">
        <f t="shared" si="213"/>
        <v>32.935162201780507</v>
      </c>
      <c r="M186" s="32">
        <f t="shared" si="213"/>
        <v>33.615864837550745</v>
      </c>
      <c r="N186" s="32">
        <f t="shared" si="213"/>
        <v>31.935381144317397</v>
      </c>
      <c r="O186" s="32">
        <f t="shared" si="213"/>
        <v>31.260582912366864</v>
      </c>
      <c r="P186" s="32">
        <f t="shared" si="213"/>
        <v>31.006391283516788</v>
      </c>
      <c r="Q186" s="32">
        <f t="shared" si="213"/>
        <v>31.28901479352951</v>
      </c>
      <c r="R186" s="32">
        <f t="shared" si="213"/>
        <v>30.953377819408235</v>
      </c>
      <c r="S186" s="32">
        <f t="shared" si="213"/>
        <v>30.404910359050348</v>
      </c>
      <c r="T186" s="32">
        <f t="shared" si="213"/>
        <v>29.820647161813003</v>
      </c>
      <c r="U186" s="32">
        <f t="shared" si="213"/>
        <v>29.773692608075955</v>
      </c>
      <c r="V186" s="32">
        <f t="shared" si="213"/>
        <v>32.381214674840315</v>
      </c>
      <c r="W186" s="32">
        <f t="shared" ref="W186" si="214">IF(W34=0,0,W34/W4*1000)</f>
        <v>31.542036771479189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36.366896917181279</v>
      </c>
      <c r="C187" s="141">
        <f t="shared" si="215"/>
        <v>35.977965337862486</v>
      </c>
      <c r="D187" s="141">
        <f t="shared" si="215"/>
        <v>35.798723141421853</v>
      </c>
      <c r="E187" s="141">
        <f t="shared" si="215"/>
        <v>35.061010112582998</v>
      </c>
      <c r="F187" s="141">
        <f t="shared" si="215"/>
        <v>34.673020063691425</v>
      </c>
      <c r="G187" s="141">
        <f t="shared" si="215"/>
        <v>34.638463991989504</v>
      </c>
      <c r="H187" s="141">
        <f t="shared" si="215"/>
        <v>34.914156317213894</v>
      </c>
      <c r="I187" s="141">
        <f t="shared" si="215"/>
        <v>35.041545757999799</v>
      </c>
      <c r="J187" s="141">
        <f t="shared" si="215"/>
        <v>35.128180349994501</v>
      </c>
      <c r="K187" s="141">
        <f t="shared" si="215"/>
        <v>35.840117550152733</v>
      </c>
      <c r="L187" s="141">
        <f t="shared" si="215"/>
        <v>35.105917626366832</v>
      </c>
      <c r="M187" s="141">
        <f t="shared" si="215"/>
        <v>35.762091778532003</v>
      </c>
      <c r="N187" s="141">
        <f t="shared" si="215"/>
        <v>33.574065879298999</v>
      </c>
      <c r="O187" s="141">
        <f t="shared" si="215"/>
        <v>32.87749169394894</v>
      </c>
      <c r="P187" s="141">
        <f t="shared" si="215"/>
        <v>32.925334041107568</v>
      </c>
      <c r="Q187" s="141">
        <f t="shared" si="215"/>
        <v>33.014500886891021</v>
      </c>
      <c r="R187" s="141">
        <f t="shared" si="215"/>
        <v>32.566172290754835</v>
      </c>
      <c r="S187" s="141">
        <f t="shared" si="215"/>
        <v>32.263480364019003</v>
      </c>
      <c r="T187" s="141">
        <f t="shared" si="215"/>
        <v>31.611344196712714</v>
      </c>
      <c r="U187" s="141">
        <f t="shared" si="215"/>
        <v>31.653383690296</v>
      </c>
      <c r="V187" s="141">
        <f t="shared" si="215"/>
        <v>33.276035770485578</v>
      </c>
      <c r="W187" s="141">
        <f t="shared" ref="W187" si="216">IF(W35=0,0,W35/W5*1000)</f>
        <v>33.172644864756847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31.684686322323422</v>
      </c>
      <c r="C188" s="97">
        <f t="shared" si="217"/>
        <v>31.524041934350905</v>
      </c>
      <c r="D188" s="97">
        <f t="shared" si="217"/>
        <v>31.384147987152744</v>
      </c>
      <c r="E188" s="97">
        <f t="shared" si="217"/>
        <v>30.873077178681189</v>
      </c>
      <c r="F188" s="97">
        <f t="shared" si="217"/>
        <v>30.94743145951767</v>
      </c>
      <c r="G188" s="97">
        <f t="shared" si="217"/>
        <v>30.293609583824306</v>
      </c>
      <c r="H188" s="97">
        <f t="shared" si="217"/>
        <v>30.343786253915571</v>
      </c>
      <c r="I188" s="97">
        <f t="shared" si="217"/>
        <v>30.109512686640549</v>
      </c>
      <c r="J188" s="97">
        <f t="shared" si="217"/>
        <v>30.007409043233043</v>
      </c>
      <c r="K188" s="97">
        <f t="shared" si="217"/>
        <v>29.934874110601871</v>
      </c>
      <c r="L188" s="97">
        <f t="shared" si="217"/>
        <v>29.968251760635244</v>
      </c>
      <c r="M188" s="97">
        <f t="shared" si="217"/>
        <v>29.026236053219893</v>
      </c>
      <c r="N188" s="97">
        <f t="shared" si="217"/>
        <v>29.906935556877382</v>
      </c>
      <c r="O188" s="97">
        <f t="shared" si="217"/>
        <v>29.984151695805014</v>
      </c>
      <c r="P188" s="97">
        <f t="shared" si="217"/>
        <v>29.866281139281821</v>
      </c>
      <c r="Q188" s="97">
        <f t="shared" si="217"/>
        <v>29.838147093292697</v>
      </c>
      <c r="R188" s="97">
        <f t="shared" si="217"/>
        <v>29.74861613920384</v>
      </c>
      <c r="S188" s="97">
        <f t="shared" si="217"/>
        <v>29.582739360811644</v>
      </c>
      <c r="T188" s="97">
        <f t="shared" si="217"/>
        <v>31.007401073878341</v>
      </c>
      <c r="U188" s="97">
        <f t="shared" si="217"/>
        <v>29.464818757370175</v>
      </c>
      <c r="V188" s="97">
        <f t="shared" si="217"/>
        <v>29.448731324997269</v>
      </c>
      <c r="W188" s="97">
        <f t="shared" ref="W188" si="218">IF(W36=0,0,W36/W6*1000)</f>
        <v>28.359896168022246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36.608821758952416</v>
      </c>
      <c r="C189" s="97">
        <f t="shared" si="219"/>
        <v>36.163656444584277</v>
      </c>
      <c r="D189" s="97">
        <f t="shared" si="219"/>
        <v>36.005921628324998</v>
      </c>
      <c r="E189" s="97">
        <f t="shared" si="219"/>
        <v>35.228264763423908</v>
      </c>
      <c r="F189" s="97">
        <f t="shared" si="219"/>
        <v>34.82225723693422</v>
      </c>
      <c r="G189" s="97">
        <f t="shared" si="219"/>
        <v>34.806580609209036</v>
      </c>
      <c r="H189" s="97">
        <f t="shared" si="219"/>
        <v>35.122374961522986</v>
      </c>
      <c r="I189" s="97">
        <f t="shared" si="219"/>
        <v>35.241823183324335</v>
      </c>
      <c r="J189" s="97">
        <f t="shared" si="219"/>
        <v>35.380810634936211</v>
      </c>
      <c r="K189" s="97">
        <f t="shared" si="219"/>
        <v>36.257110260939768</v>
      </c>
      <c r="L189" s="97">
        <f t="shared" si="219"/>
        <v>35.560854159953962</v>
      </c>
      <c r="M189" s="97">
        <f t="shared" si="219"/>
        <v>36.351063987781934</v>
      </c>
      <c r="N189" s="97">
        <f t="shared" si="219"/>
        <v>33.896932124290835</v>
      </c>
      <c r="O189" s="97">
        <f t="shared" si="219"/>
        <v>33.280169711153832</v>
      </c>
      <c r="P189" s="97">
        <f t="shared" si="219"/>
        <v>33.365476057020338</v>
      </c>
      <c r="Q189" s="97">
        <f t="shared" si="219"/>
        <v>33.445970969301662</v>
      </c>
      <c r="R189" s="97">
        <f t="shared" si="219"/>
        <v>32.939703561823784</v>
      </c>
      <c r="S189" s="97">
        <f t="shared" si="219"/>
        <v>32.639051682481856</v>
      </c>
      <c r="T189" s="97">
        <f t="shared" si="219"/>
        <v>31.871568868274213</v>
      </c>
      <c r="U189" s="97">
        <f t="shared" si="219"/>
        <v>31.946810417841164</v>
      </c>
      <c r="V189" s="97">
        <f t="shared" si="219"/>
        <v>33.218315652590825</v>
      </c>
      <c r="W189" s="97">
        <f t="shared" ref="W189" si="220">IF(W37=0,0,W37/W7*1000)</f>
        <v>33.118225615740528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34.081715380670204</v>
      </c>
      <c r="C190" s="97">
        <f t="shared" si="221"/>
        <v>34.380278582013993</v>
      </c>
      <c r="D190" s="97">
        <f t="shared" si="221"/>
        <v>34.000737257911958</v>
      </c>
      <c r="E190" s="97">
        <f t="shared" si="221"/>
        <v>33.811395555631414</v>
      </c>
      <c r="F190" s="97">
        <f t="shared" si="221"/>
        <v>33.645546959935984</v>
      </c>
      <c r="G190" s="97">
        <f t="shared" si="221"/>
        <v>33.618066674849345</v>
      </c>
      <c r="H190" s="97">
        <f t="shared" si="221"/>
        <v>33.476362126211733</v>
      </c>
      <c r="I190" s="97">
        <f t="shared" si="221"/>
        <v>33.874463025727493</v>
      </c>
      <c r="J190" s="97">
        <f t="shared" si="221"/>
        <v>33.499328659901316</v>
      </c>
      <c r="K190" s="97">
        <f t="shared" si="221"/>
        <v>32.379758057037328</v>
      </c>
      <c r="L190" s="97">
        <f t="shared" si="221"/>
        <v>30.906710012326329</v>
      </c>
      <c r="M190" s="97">
        <f t="shared" si="221"/>
        <v>30.460364648898754</v>
      </c>
      <c r="N190" s="97">
        <f t="shared" si="221"/>
        <v>30.273431070518217</v>
      </c>
      <c r="O190" s="97">
        <f t="shared" si="221"/>
        <v>28.217305231384515</v>
      </c>
      <c r="P190" s="97">
        <f t="shared" si="221"/>
        <v>27.864642176504205</v>
      </c>
      <c r="Q190" s="97">
        <f t="shared" si="221"/>
        <v>28.099796966634859</v>
      </c>
      <c r="R190" s="97">
        <f t="shared" si="221"/>
        <v>28.277389182328328</v>
      </c>
      <c r="S190" s="97">
        <f t="shared" si="221"/>
        <v>27.857845428685319</v>
      </c>
      <c r="T190" s="97">
        <f t="shared" si="221"/>
        <v>28.218417865633786</v>
      </c>
      <c r="U190" s="97">
        <f t="shared" si="221"/>
        <v>28.268120042551274</v>
      </c>
      <c r="V190" s="97">
        <f t="shared" si="221"/>
        <v>35.68980022207743</v>
      </c>
      <c r="W190" s="97">
        <f t="shared" ref="W190" si="222">IF(W38=0,0,W38/W8*1000)</f>
        <v>35.863601536808723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10.439707700394395</v>
      </c>
      <c r="C191" s="130">
        <f t="shared" si="223"/>
        <v>9.2353316452166982</v>
      </c>
      <c r="D191" s="130">
        <f t="shared" si="223"/>
        <v>9.2196706843551226</v>
      </c>
      <c r="E191" s="130">
        <f t="shared" si="223"/>
        <v>9.4592808234336321</v>
      </c>
      <c r="F191" s="130">
        <f t="shared" si="223"/>
        <v>9.5396180526044159</v>
      </c>
      <c r="G191" s="130">
        <f t="shared" si="223"/>
        <v>9.4067705618911539</v>
      </c>
      <c r="H191" s="130">
        <f t="shared" si="223"/>
        <v>9.1998307881514219</v>
      </c>
      <c r="I191" s="130">
        <f t="shared" si="223"/>
        <v>8.9886731448302264</v>
      </c>
      <c r="J191" s="130">
        <f t="shared" si="223"/>
        <v>8.9527896548564101</v>
      </c>
      <c r="K191" s="130">
        <f t="shared" si="223"/>
        <v>8.992524080290071</v>
      </c>
      <c r="L191" s="130">
        <f t="shared" si="223"/>
        <v>8.8880341826408547</v>
      </c>
      <c r="M191" s="130">
        <f t="shared" si="223"/>
        <v>8.524657393043757</v>
      </c>
      <c r="N191" s="130">
        <f t="shared" si="223"/>
        <v>8.5421402416312073</v>
      </c>
      <c r="O191" s="130">
        <f t="shared" si="223"/>
        <v>8.5638305574035023</v>
      </c>
      <c r="P191" s="130">
        <f t="shared" si="223"/>
        <v>8.3523154173761078</v>
      </c>
      <c r="Q191" s="130">
        <f t="shared" si="223"/>
        <v>8.4580754950104726</v>
      </c>
      <c r="R191" s="130">
        <f t="shared" si="223"/>
        <v>8.2283506581707417</v>
      </c>
      <c r="S191" s="130">
        <f t="shared" si="223"/>
        <v>7.7030337364798642</v>
      </c>
      <c r="T191" s="130">
        <f t="shared" si="223"/>
        <v>7.40419672742006</v>
      </c>
      <c r="U191" s="130">
        <f t="shared" si="223"/>
        <v>7.0928564545560402</v>
      </c>
      <c r="V191" s="130">
        <f t="shared" si="223"/>
        <v>9.6275423865395133</v>
      </c>
      <c r="W191" s="130">
        <f t="shared" ref="W191" si="224">IF(W39=0,0,W39/W9*1000)</f>
        <v>8.0634046359507039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4.8524543199841093</v>
      </c>
      <c r="C192" s="97">
        <f t="shared" si="225"/>
        <v>5.0407680062143907</v>
      </c>
      <c r="D192" s="97">
        <f t="shared" si="225"/>
        <v>4.9645164429896749</v>
      </c>
      <c r="E192" s="97">
        <f t="shared" si="225"/>
        <v>4.9732129904420379</v>
      </c>
      <c r="F192" s="97">
        <f t="shared" si="225"/>
        <v>4.9154476051892635</v>
      </c>
      <c r="G192" s="97">
        <f t="shared" si="225"/>
        <v>4.6686093892814338</v>
      </c>
      <c r="H192" s="97">
        <f t="shared" si="225"/>
        <v>4.4768545167594205</v>
      </c>
      <c r="I192" s="97">
        <f t="shared" si="225"/>
        <v>4.3195857090202754</v>
      </c>
      <c r="J192" s="97">
        <f t="shared" si="225"/>
        <v>4.3625008166189234</v>
      </c>
      <c r="K192" s="97">
        <f t="shared" si="225"/>
        <v>4.2582741295463897</v>
      </c>
      <c r="L192" s="97">
        <f t="shared" si="225"/>
        <v>4.1923359198011569</v>
      </c>
      <c r="M192" s="97">
        <f t="shared" si="225"/>
        <v>4.1802913697774731</v>
      </c>
      <c r="N192" s="97">
        <f t="shared" si="225"/>
        <v>4.0320026747711157</v>
      </c>
      <c r="O192" s="97">
        <f t="shared" si="225"/>
        <v>4.0386436280564233</v>
      </c>
      <c r="P192" s="97">
        <f t="shared" si="225"/>
        <v>3.9373701562893721</v>
      </c>
      <c r="Q192" s="97">
        <f t="shared" si="225"/>
        <v>3.8890201177168948</v>
      </c>
      <c r="R192" s="97">
        <f t="shared" si="225"/>
        <v>3.8144681870745152</v>
      </c>
      <c r="S192" s="97">
        <f t="shared" si="225"/>
        <v>3.7392651611757901</v>
      </c>
      <c r="T192" s="97">
        <f t="shared" si="225"/>
        <v>3.6750150515005475</v>
      </c>
      <c r="U192" s="97">
        <f t="shared" si="225"/>
        <v>3.615331444109593</v>
      </c>
      <c r="V192" s="97">
        <f t="shared" si="225"/>
        <v>4.8150622571058133</v>
      </c>
      <c r="W192" s="97">
        <f t="shared" ref="W192" si="226">IF(W40=0,0,W40/W10*1000)</f>
        <v>4.3673903328160284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14.901067197492896</v>
      </c>
      <c r="C193" s="97">
        <f t="shared" si="227"/>
        <v>12.297429453972143</v>
      </c>
      <c r="D193" s="97">
        <f t="shared" si="227"/>
        <v>12.528508271466217</v>
      </c>
      <c r="E193" s="97">
        <f t="shared" si="227"/>
        <v>13.328196397702328</v>
      </c>
      <c r="F193" s="97">
        <f t="shared" si="227"/>
        <v>13.452101762156538</v>
      </c>
      <c r="G193" s="97">
        <f t="shared" si="227"/>
        <v>13.411365804628504</v>
      </c>
      <c r="H193" s="97">
        <f t="shared" si="227"/>
        <v>13.103018267392507</v>
      </c>
      <c r="I193" s="97">
        <f t="shared" si="227"/>
        <v>13.176822012254915</v>
      </c>
      <c r="J193" s="97">
        <f t="shared" si="227"/>
        <v>13.310460406977285</v>
      </c>
      <c r="K193" s="97">
        <f t="shared" si="227"/>
        <v>13.264095485149475</v>
      </c>
      <c r="L193" s="97">
        <f t="shared" si="227"/>
        <v>13.244915243359912</v>
      </c>
      <c r="M193" s="97">
        <f t="shared" si="227"/>
        <v>12.201673644625545</v>
      </c>
      <c r="N193" s="97">
        <f t="shared" si="227"/>
        <v>11.705111177750849</v>
      </c>
      <c r="O193" s="97">
        <f t="shared" si="227"/>
        <v>11.79716429484658</v>
      </c>
      <c r="P193" s="97">
        <f t="shared" si="227"/>
        <v>11.656102638319208</v>
      </c>
      <c r="Q193" s="97">
        <f t="shared" si="227"/>
        <v>11.430879259465339</v>
      </c>
      <c r="R193" s="97">
        <f t="shared" si="227"/>
        <v>11.485651933628198</v>
      </c>
      <c r="S193" s="97">
        <f t="shared" si="227"/>
        <v>11.50532386546473</v>
      </c>
      <c r="T193" s="97">
        <f t="shared" si="227"/>
        <v>11.209136241744385</v>
      </c>
      <c r="U193" s="97">
        <f t="shared" si="227"/>
        <v>10.540915389435613</v>
      </c>
      <c r="V193" s="97">
        <f t="shared" si="227"/>
        <v>14.830547169491263</v>
      </c>
      <c r="W193" s="97">
        <f t="shared" ref="W193" si="228">IF(W41=0,0,W41/W11*1000)</f>
        <v>11.480314081658697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6.5262538283399847</v>
      </c>
      <c r="C194" s="97">
        <f t="shared" si="229"/>
        <v>6.881455752049221</v>
      </c>
      <c r="D194" s="97">
        <f t="shared" si="229"/>
        <v>6.8548320873795383</v>
      </c>
      <c r="E194" s="97">
        <f t="shared" si="229"/>
        <v>6.7689347556806894</v>
      </c>
      <c r="F194" s="97">
        <f t="shared" si="229"/>
        <v>6.8947666290603351</v>
      </c>
      <c r="G194" s="97">
        <f t="shared" si="229"/>
        <v>6.7998658593656911</v>
      </c>
      <c r="H194" s="97">
        <f t="shared" si="229"/>
        <v>6.6597756819443159</v>
      </c>
      <c r="I194" s="97">
        <f t="shared" si="229"/>
        <v>6.4555444035092586</v>
      </c>
      <c r="J194" s="97">
        <f t="shared" si="229"/>
        <v>6.4967360714807398</v>
      </c>
      <c r="K194" s="97">
        <f t="shared" si="229"/>
        <v>6.5356021159870732</v>
      </c>
      <c r="L194" s="97">
        <f t="shared" si="229"/>
        <v>6.37741147703876</v>
      </c>
      <c r="M194" s="97">
        <f t="shared" si="229"/>
        <v>6.1932633848692182</v>
      </c>
      <c r="N194" s="97">
        <f t="shared" si="229"/>
        <v>6.694776711722799</v>
      </c>
      <c r="O194" s="97">
        <f t="shared" si="229"/>
        <v>6.6399929221392373</v>
      </c>
      <c r="P194" s="97">
        <f t="shared" si="229"/>
        <v>6.3900472886491064</v>
      </c>
      <c r="Q194" s="97">
        <f t="shared" si="229"/>
        <v>6.7319109260735193</v>
      </c>
      <c r="R194" s="97">
        <f t="shared" si="229"/>
        <v>6.3207193878259602</v>
      </c>
      <c r="S194" s="97">
        <f t="shared" si="229"/>
        <v>5.6655108660501901</v>
      </c>
      <c r="T194" s="97">
        <f t="shared" si="229"/>
        <v>5.4011210978117958</v>
      </c>
      <c r="U194" s="97">
        <f t="shared" si="229"/>
        <v>5.277505873889841</v>
      </c>
      <c r="V194" s="97">
        <f t="shared" si="229"/>
        <v>6.9457647500450896</v>
      </c>
      <c r="W194" s="97">
        <f t="shared" ref="W194" si="230">IF(W42=0,0,W42/W12*1000)</f>
        <v>6.3526220358077268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49.33679028067332</v>
      </c>
      <c r="C195" s="130">
        <f t="shared" si="231"/>
        <v>48.360654882833707</v>
      </c>
      <c r="D195" s="130">
        <f t="shared" si="231"/>
        <v>46.78941044449823</v>
      </c>
      <c r="E195" s="130">
        <f t="shared" si="231"/>
        <v>45.494391832497527</v>
      </c>
      <c r="F195" s="130">
        <f t="shared" si="231"/>
        <v>44.106179914742675</v>
      </c>
      <c r="G195" s="130">
        <f t="shared" si="231"/>
        <v>41.493548948186323</v>
      </c>
      <c r="H195" s="130">
        <f t="shared" si="231"/>
        <v>41.824103479468498</v>
      </c>
      <c r="I195" s="130">
        <f t="shared" si="231"/>
        <v>41.086634426247343</v>
      </c>
      <c r="J195" s="130">
        <f t="shared" si="231"/>
        <v>40.772993541900028</v>
      </c>
      <c r="K195" s="130">
        <f t="shared" si="231"/>
        <v>38.906697967189366</v>
      </c>
      <c r="L195" s="130">
        <f t="shared" si="231"/>
        <v>38.089966218784667</v>
      </c>
      <c r="M195" s="130">
        <f t="shared" si="231"/>
        <v>39.660658313691791</v>
      </c>
      <c r="N195" s="130">
        <f t="shared" si="231"/>
        <v>38.777381054011585</v>
      </c>
      <c r="O195" s="130">
        <f t="shared" si="231"/>
        <v>37.369234888225279</v>
      </c>
      <c r="P195" s="130">
        <f t="shared" si="231"/>
        <v>35.191875009625385</v>
      </c>
      <c r="Q195" s="130">
        <f t="shared" si="231"/>
        <v>36.358934462227609</v>
      </c>
      <c r="R195" s="130">
        <f t="shared" si="231"/>
        <v>36.265795364478222</v>
      </c>
      <c r="S195" s="130">
        <f t="shared" si="231"/>
        <v>35.00742649462449</v>
      </c>
      <c r="T195" s="130">
        <f t="shared" si="231"/>
        <v>33.956248988935236</v>
      </c>
      <c r="U195" s="130">
        <f t="shared" si="231"/>
        <v>33.97906770921265</v>
      </c>
      <c r="V195" s="130">
        <f t="shared" si="231"/>
        <v>44.84764285084163</v>
      </c>
      <c r="W195" s="130">
        <f t="shared" ref="W195" si="232">IF(W43=0,0,W43/W13*1000)</f>
        <v>40.856333766661223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47.716390518745634</v>
      </c>
      <c r="C196" s="97">
        <f t="shared" si="233"/>
        <v>46.627863857589603</v>
      </c>
      <c r="D196" s="97">
        <f t="shared" si="233"/>
        <v>41.800206472153285</v>
      </c>
      <c r="E196" s="97">
        <f t="shared" si="233"/>
        <v>40.697904414603357</v>
      </c>
      <c r="F196" s="97">
        <f t="shared" si="233"/>
        <v>39.15498349618327</v>
      </c>
      <c r="G196" s="97">
        <f t="shared" si="233"/>
        <v>38.867021915309394</v>
      </c>
      <c r="H196" s="97">
        <f t="shared" si="233"/>
        <v>38.488215565190771</v>
      </c>
      <c r="I196" s="97">
        <f t="shared" si="233"/>
        <v>37.450285791828414</v>
      </c>
      <c r="J196" s="97">
        <f t="shared" si="233"/>
        <v>38.385413233560037</v>
      </c>
      <c r="K196" s="97">
        <f t="shared" si="233"/>
        <v>35.553777773883482</v>
      </c>
      <c r="L196" s="97">
        <f t="shared" si="233"/>
        <v>33.610176814960056</v>
      </c>
      <c r="M196" s="97">
        <f t="shared" si="233"/>
        <v>58.3118410452267</v>
      </c>
      <c r="N196" s="97">
        <f t="shared" si="233"/>
        <v>58.926214307375211</v>
      </c>
      <c r="O196" s="97">
        <f t="shared" si="233"/>
        <v>56.349611189026554</v>
      </c>
      <c r="P196" s="97">
        <f t="shared" si="233"/>
        <v>53.466450871053965</v>
      </c>
      <c r="Q196" s="97">
        <f t="shared" si="233"/>
        <v>52.792611856745488</v>
      </c>
      <c r="R196" s="97">
        <f t="shared" si="233"/>
        <v>52.541480876410461</v>
      </c>
      <c r="S196" s="97">
        <f t="shared" si="233"/>
        <v>50.825192053834883</v>
      </c>
      <c r="T196" s="97">
        <f t="shared" si="233"/>
        <v>50.012124793910864</v>
      </c>
      <c r="U196" s="97">
        <f t="shared" si="233"/>
        <v>49.366113996804117</v>
      </c>
      <c r="V196" s="97">
        <f t="shared" si="233"/>
        <v>59.687497847096559</v>
      </c>
      <c r="W196" s="97">
        <f t="shared" ref="W196" si="234">IF(W44=0,0,W44/W14*1000)</f>
        <v>54.700899559471999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53.306482824261103</v>
      </c>
      <c r="C197" s="97">
        <f t="shared" si="235"/>
        <v>52.123627356314557</v>
      </c>
      <c r="D197" s="97">
        <f t="shared" si="235"/>
        <v>51.519342154746475</v>
      </c>
      <c r="E197" s="97">
        <f t="shared" si="235"/>
        <v>49.65303817679338</v>
      </c>
      <c r="F197" s="97">
        <f t="shared" si="235"/>
        <v>49.69036060059095</v>
      </c>
      <c r="G197" s="97">
        <f t="shared" si="235"/>
        <v>47.666974809825398</v>
      </c>
      <c r="H197" s="97">
        <f t="shared" si="235"/>
        <v>49.221278989401135</v>
      </c>
      <c r="I197" s="97">
        <f t="shared" si="235"/>
        <v>49.793280389377642</v>
      </c>
      <c r="J197" s="97">
        <f t="shared" si="235"/>
        <v>49.183764611523408</v>
      </c>
      <c r="K197" s="97">
        <f t="shared" si="235"/>
        <v>45.896639800453443</v>
      </c>
      <c r="L197" s="97">
        <f t="shared" si="235"/>
        <v>45.01168786905167</v>
      </c>
      <c r="M197" s="97">
        <f t="shared" si="235"/>
        <v>41.49531642773605</v>
      </c>
      <c r="N197" s="97">
        <f t="shared" si="235"/>
        <v>38.329698513883237</v>
      </c>
      <c r="O197" s="97">
        <f t="shared" si="235"/>
        <v>37.542203955263972</v>
      </c>
      <c r="P197" s="97">
        <f t="shared" si="235"/>
        <v>35.378147831169279</v>
      </c>
      <c r="Q197" s="97">
        <f t="shared" si="235"/>
        <v>35.673669132866678</v>
      </c>
      <c r="R197" s="97">
        <f t="shared" si="235"/>
        <v>35.137035204442597</v>
      </c>
      <c r="S197" s="97">
        <f t="shared" si="235"/>
        <v>34.58845847757172</v>
      </c>
      <c r="T197" s="97">
        <f t="shared" si="235"/>
        <v>33.584005437346875</v>
      </c>
      <c r="U197" s="97">
        <f t="shared" si="235"/>
        <v>32.889623545234073</v>
      </c>
      <c r="V197" s="97">
        <f t="shared" si="235"/>
        <v>35.160596378052396</v>
      </c>
      <c r="W197" s="97">
        <f t="shared" ref="W197" si="236">IF(W45=0,0,W45/W15*1000)</f>
        <v>28.32282507901456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48.597587996132141</v>
      </c>
      <c r="C198" s="97">
        <f t="shared" si="237"/>
        <v>47.722754265992265</v>
      </c>
      <c r="D198" s="97">
        <f t="shared" si="237"/>
        <v>46.83959299860495</v>
      </c>
      <c r="E198" s="97">
        <f t="shared" si="237"/>
        <v>45.5854624393709</v>
      </c>
      <c r="F198" s="97">
        <f t="shared" si="237"/>
        <v>43.744024747487686</v>
      </c>
      <c r="G198" s="97">
        <f t="shared" si="237"/>
        <v>40.385660235372356</v>
      </c>
      <c r="H198" s="97">
        <f t="shared" si="237"/>
        <v>40.522628750482269</v>
      </c>
      <c r="I198" s="97">
        <f t="shared" si="237"/>
        <v>39.50047704466256</v>
      </c>
      <c r="J198" s="97">
        <f t="shared" si="237"/>
        <v>39.04223463807287</v>
      </c>
      <c r="K198" s="97">
        <f t="shared" si="237"/>
        <v>37.844981555443773</v>
      </c>
      <c r="L198" s="97">
        <f t="shared" si="237"/>
        <v>37.347302190903768</v>
      </c>
      <c r="M198" s="97">
        <f t="shared" si="237"/>
        <v>34.962401059239937</v>
      </c>
      <c r="N198" s="97">
        <f t="shared" si="237"/>
        <v>34.340592644571089</v>
      </c>
      <c r="O198" s="97">
        <f t="shared" si="237"/>
        <v>33.035256890867672</v>
      </c>
      <c r="P198" s="97">
        <f t="shared" si="237"/>
        <v>31.19512708897172</v>
      </c>
      <c r="Q198" s="97">
        <f t="shared" si="237"/>
        <v>32.962569742223074</v>
      </c>
      <c r="R198" s="97">
        <f t="shared" si="237"/>
        <v>32.853620222877424</v>
      </c>
      <c r="S198" s="97">
        <f t="shared" si="237"/>
        <v>31.423891916753725</v>
      </c>
      <c r="T198" s="97">
        <f t="shared" si="237"/>
        <v>30.347014194206032</v>
      </c>
      <c r="U198" s="97">
        <f t="shared" si="237"/>
        <v>30.821611866448702</v>
      </c>
      <c r="V198" s="97">
        <f t="shared" si="237"/>
        <v>41.849431584439877</v>
      </c>
      <c r="W198" s="97">
        <f t="shared" ref="W198" si="238">IF(W46=0,0,W46/W16*1000)</f>
        <v>38.91397308760024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46.613420348760911</v>
      </c>
      <c r="C199" s="32">
        <f t="shared" si="239"/>
        <v>46.724079924394267</v>
      </c>
      <c r="D199" s="32">
        <f t="shared" si="239"/>
        <v>45.588827532996653</v>
      </c>
      <c r="E199" s="32">
        <f t="shared" si="239"/>
        <v>45.102602289110322</v>
      </c>
      <c r="F199" s="32">
        <f t="shared" si="239"/>
        <v>43.681979351225941</v>
      </c>
      <c r="G199" s="32">
        <f t="shared" si="239"/>
        <v>43.376784901103719</v>
      </c>
      <c r="H199" s="32">
        <f t="shared" si="239"/>
        <v>41.467714971207606</v>
      </c>
      <c r="I199" s="32">
        <f t="shared" si="239"/>
        <v>41.315941274422137</v>
      </c>
      <c r="J199" s="32">
        <f t="shared" si="239"/>
        <v>40.696484798962814</v>
      </c>
      <c r="K199" s="32">
        <f t="shared" si="239"/>
        <v>44.245660914278467</v>
      </c>
      <c r="L199" s="32">
        <f t="shared" si="239"/>
        <v>43.848861620957074</v>
      </c>
      <c r="M199" s="32">
        <f t="shared" si="239"/>
        <v>44.240284346606231</v>
      </c>
      <c r="N199" s="32">
        <f t="shared" si="239"/>
        <v>45.240721996547563</v>
      </c>
      <c r="O199" s="32">
        <f t="shared" si="239"/>
        <v>45.714285728585317</v>
      </c>
      <c r="P199" s="32">
        <f t="shared" si="239"/>
        <v>45.29374086939734</v>
      </c>
      <c r="Q199" s="32">
        <f t="shared" si="239"/>
        <v>45.983798305274192</v>
      </c>
      <c r="R199" s="32">
        <f t="shared" si="239"/>
        <v>45.919323897414742</v>
      </c>
      <c r="S199" s="32">
        <f t="shared" si="239"/>
        <v>44.279861877015065</v>
      </c>
      <c r="T199" s="32">
        <f t="shared" si="239"/>
        <v>43.02017921540164</v>
      </c>
      <c r="U199" s="32">
        <f t="shared" si="239"/>
        <v>42.014958342554429</v>
      </c>
      <c r="V199" s="32">
        <f t="shared" si="239"/>
        <v>40.409038920608936</v>
      </c>
      <c r="W199" s="32">
        <f t="shared" ref="W199" si="240">IF(W47=0,0,W47/W17*1000)</f>
        <v>41.676176617571258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58.189797390646092</v>
      </c>
      <c r="C200" s="141">
        <f t="shared" si="241"/>
        <v>56.101224535172285</v>
      </c>
      <c r="D200" s="141">
        <f t="shared" si="241"/>
        <v>54.472861920687656</v>
      </c>
      <c r="E200" s="141">
        <f t="shared" si="241"/>
        <v>52.766670478765398</v>
      </c>
      <c r="F200" s="141">
        <f t="shared" si="241"/>
        <v>49.953926662115144</v>
      </c>
      <c r="G200" s="141">
        <f t="shared" si="241"/>
        <v>49.2796493890107</v>
      </c>
      <c r="H200" s="141">
        <f t="shared" si="241"/>
        <v>47.845091954467186</v>
      </c>
      <c r="I200" s="141">
        <f t="shared" si="241"/>
        <v>46.489074261924202</v>
      </c>
      <c r="J200" s="141">
        <f t="shared" si="241"/>
        <v>46.448002433594596</v>
      </c>
      <c r="K200" s="141">
        <f t="shared" si="241"/>
        <v>50.108437211983365</v>
      </c>
      <c r="L200" s="141">
        <f t="shared" si="241"/>
        <v>49.079085520694257</v>
      </c>
      <c r="M200" s="141">
        <f t="shared" si="241"/>
        <v>50.375363421750855</v>
      </c>
      <c r="N200" s="141">
        <f t="shared" si="241"/>
        <v>51.408534397348625</v>
      </c>
      <c r="O200" s="141">
        <f t="shared" si="241"/>
        <v>50.776830332398582</v>
      </c>
      <c r="P200" s="141">
        <f t="shared" si="241"/>
        <v>51.174433617383187</v>
      </c>
      <c r="Q200" s="141">
        <f t="shared" si="241"/>
        <v>52.763389061979311</v>
      </c>
      <c r="R200" s="141">
        <f t="shared" si="241"/>
        <v>51.87296480332072</v>
      </c>
      <c r="S200" s="141">
        <f t="shared" si="241"/>
        <v>49.573704430715559</v>
      </c>
      <c r="T200" s="141">
        <f t="shared" si="241"/>
        <v>48.088098157834459</v>
      </c>
      <c r="U200" s="141">
        <f t="shared" si="241"/>
        <v>46.91884312414178</v>
      </c>
      <c r="V200" s="141">
        <f t="shared" si="241"/>
        <v>44.572297044215198</v>
      </c>
      <c r="W200" s="141">
        <f t="shared" ref="W200" si="242">IF(W48=0,0,W48/W18*1000)</f>
        <v>46.369321783172623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474.92239296125359</v>
      </c>
      <c r="C201" s="97">
        <f t="shared" si="243"/>
        <v>458.96027112708055</v>
      </c>
      <c r="D201" s="97">
        <f t="shared" si="243"/>
        <v>448.19563697865914</v>
      </c>
      <c r="E201" s="97">
        <f t="shared" si="243"/>
        <v>433.51721984932124</v>
      </c>
      <c r="F201" s="97">
        <f t="shared" si="243"/>
        <v>419.28952380540903</v>
      </c>
      <c r="G201" s="97">
        <f t="shared" si="243"/>
        <v>412.00715329415459</v>
      </c>
      <c r="H201" s="97">
        <f t="shared" si="243"/>
        <v>404.19212761642109</v>
      </c>
      <c r="I201" s="97">
        <f t="shared" si="243"/>
        <v>397.15118907298887</v>
      </c>
      <c r="J201" s="97">
        <f t="shared" si="243"/>
        <v>392.80192913232588</v>
      </c>
      <c r="K201" s="97">
        <f t="shared" si="243"/>
        <v>394.00904329951334</v>
      </c>
      <c r="L201" s="97">
        <f t="shared" si="243"/>
        <v>393.10776277088905</v>
      </c>
      <c r="M201" s="97">
        <f t="shared" si="243"/>
        <v>397.75157320557537</v>
      </c>
      <c r="N201" s="97">
        <f t="shared" si="243"/>
        <v>396.11391193708562</v>
      </c>
      <c r="O201" s="97">
        <f t="shared" si="243"/>
        <v>390.76273423058802</v>
      </c>
      <c r="P201" s="97">
        <f t="shared" si="243"/>
        <v>384.97451460423309</v>
      </c>
      <c r="Q201" s="97">
        <f t="shared" si="243"/>
        <v>382.744433578349</v>
      </c>
      <c r="R201" s="97">
        <f t="shared" si="243"/>
        <v>379.33706284520588</v>
      </c>
      <c r="S201" s="97">
        <f t="shared" si="243"/>
        <v>376.91976150587703</v>
      </c>
      <c r="T201" s="97">
        <f t="shared" si="243"/>
        <v>373.42432531610314</v>
      </c>
      <c r="U201" s="97">
        <f t="shared" si="243"/>
        <v>367.16484155543895</v>
      </c>
      <c r="V201" s="97">
        <f t="shared" si="243"/>
        <v>354.37728506876198</v>
      </c>
      <c r="W201" s="97">
        <f t="shared" ref="W201" si="244">IF(W49=0,0,W49/W19*1000)</f>
        <v>367.37743485161712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33.15902009886981</v>
      </c>
      <c r="C202" s="97">
        <f t="shared" si="245"/>
        <v>32.211904970159189</v>
      </c>
      <c r="D202" s="97">
        <f t="shared" si="245"/>
        <v>31.499302526452549</v>
      </c>
      <c r="E202" s="97">
        <f t="shared" si="245"/>
        <v>30.786766287732139</v>
      </c>
      <c r="F202" s="97">
        <f t="shared" si="245"/>
        <v>30.39471497305713</v>
      </c>
      <c r="G202" s="97">
        <f t="shared" si="245"/>
        <v>30.218010263059252</v>
      </c>
      <c r="H202" s="97">
        <f t="shared" si="245"/>
        <v>29.477431266789459</v>
      </c>
      <c r="I202" s="97">
        <f t="shared" si="245"/>
        <v>28.951066026941756</v>
      </c>
      <c r="J202" s="97">
        <f t="shared" si="245"/>
        <v>28.760988927992294</v>
      </c>
      <c r="K202" s="97">
        <f t="shared" si="245"/>
        <v>29.521511099961462</v>
      </c>
      <c r="L202" s="97">
        <f t="shared" si="245"/>
        <v>28.957863398858134</v>
      </c>
      <c r="M202" s="97">
        <f t="shared" si="245"/>
        <v>29.435012199348201</v>
      </c>
      <c r="N202" s="97">
        <f t="shared" si="245"/>
        <v>29.336657373981605</v>
      </c>
      <c r="O202" s="97">
        <f t="shared" si="245"/>
        <v>29.060395293681282</v>
      </c>
      <c r="P202" s="97">
        <f t="shared" si="245"/>
        <v>29.216175024363135</v>
      </c>
      <c r="Q202" s="97">
        <f t="shared" si="245"/>
        <v>29.488352166248109</v>
      </c>
      <c r="R202" s="97">
        <f t="shared" si="245"/>
        <v>29.541661891241457</v>
      </c>
      <c r="S202" s="97">
        <f t="shared" si="245"/>
        <v>28.280697479512526</v>
      </c>
      <c r="T202" s="97">
        <f t="shared" si="245"/>
        <v>27.325122000217078</v>
      </c>
      <c r="U202" s="97">
        <f t="shared" si="245"/>
        <v>26.87411312210763</v>
      </c>
      <c r="V202" s="97">
        <f t="shared" si="245"/>
        <v>26.610232186757116</v>
      </c>
      <c r="W202" s="97">
        <f t="shared" ref="W202" si="246">IF(W50=0,0,W50/W20*1000)</f>
        <v>26.677086599845115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5.5210769303994809</v>
      </c>
      <c r="C203" s="130">
        <f t="shared" si="247"/>
        <v>5.5566796907827971</v>
      </c>
      <c r="D203" s="130">
        <f t="shared" si="247"/>
        <v>5.6112235786214519</v>
      </c>
      <c r="E203" s="130">
        <f t="shared" si="247"/>
        <v>5.803890497603847</v>
      </c>
      <c r="F203" s="130">
        <f t="shared" si="247"/>
        <v>5.5002284413793872</v>
      </c>
      <c r="G203" s="130">
        <f t="shared" si="247"/>
        <v>4.9441410262901311</v>
      </c>
      <c r="H203" s="130">
        <f t="shared" si="247"/>
        <v>4.5689116640732594</v>
      </c>
      <c r="I203" s="130">
        <f t="shared" si="247"/>
        <v>4.187215958971815</v>
      </c>
      <c r="J203" s="130">
        <f t="shared" si="247"/>
        <v>4.1905592049563829</v>
      </c>
      <c r="K203" s="130">
        <f t="shared" si="247"/>
        <v>4.1941031010636225</v>
      </c>
      <c r="L203" s="130">
        <f t="shared" si="247"/>
        <v>4.3036255128429355</v>
      </c>
      <c r="M203" s="130">
        <f t="shared" si="247"/>
        <v>3.4507203187958653</v>
      </c>
      <c r="N203" s="130">
        <f t="shared" si="247"/>
        <v>3.4141159628334785</v>
      </c>
      <c r="O203" s="130">
        <f t="shared" si="247"/>
        <v>3.8317714925024995</v>
      </c>
      <c r="P203" s="130">
        <f t="shared" si="247"/>
        <v>3.516086658408569</v>
      </c>
      <c r="Q203" s="130">
        <f t="shared" si="247"/>
        <v>3.140750136319892</v>
      </c>
      <c r="R203" s="130">
        <f t="shared" si="247"/>
        <v>3.0583506355864603</v>
      </c>
      <c r="S203" s="130">
        <f t="shared" si="247"/>
        <v>3.1830852274259769</v>
      </c>
      <c r="T203" s="130">
        <f t="shared" si="247"/>
        <v>3.148361246730671</v>
      </c>
      <c r="U203" s="130">
        <f t="shared" si="247"/>
        <v>3.1128021421713652</v>
      </c>
      <c r="V203" s="130">
        <f t="shared" si="247"/>
        <v>3.5583724674577661</v>
      </c>
      <c r="W203" s="130">
        <f t="shared" ref="W203" si="248">IF(W51=0,0,W51/W21*1000)</f>
        <v>3.3576921143833021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82.551778178640788</v>
      </c>
      <c r="C204" s="130">
        <f t="shared" si="249"/>
        <v>80.978621410659983</v>
      </c>
      <c r="D204" s="130">
        <f t="shared" si="249"/>
        <v>82.499058396130266</v>
      </c>
      <c r="E204" s="130">
        <f t="shared" si="249"/>
        <v>85.481059145627668</v>
      </c>
      <c r="F204" s="130">
        <f t="shared" si="249"/>
        <v>90.955898845284452</v>
      </c>
      <c r="G204" s="130">
        <f t="shared" si="249"/>
        <v>91.90326232772648</v>
      </c>
      <c r="H204" s="130">
        <f t="shared" si="249"/>
        <v>95.051828156124358</v>
      </c>
      <c r="I204" s="130">
        <f t="shared" si="249"/>
        <v>93.838433565722113</v>
      </c>
      <c r="J204" s="130">
        <f t="shared" si="249"/>
        <v>97.176270883561003</v>
      </c>
      <c r="K204" s="130">
        <f t="shared" si="249"/>
        <v>89.2782191070811</v>
      </c>
      <c r="L204" s="130">
        <f t="shared" si="249"/>
        <v>97.018332735204879</v>
      </c>
      <c r="M204" s="130">
        <f t="shared" si="249"/>
        <v>85.628425044658727</v>
      </c>
      <c r="N204" s="130">
        <f t="shared" si="249"/>
        <v>87.788119707273836</v>
      </c>
      <c r="O204" s="130">
        <f t="shared" si="249"/>
        <v>86.103237842491069</v>
      </c>
      <c r="P204" s="130">
        <f t="shared" si="249"/>
        <v>69.47643828339946</v>
      </c>
      <c r="Q204" s="130">
        <f t="shared" si="249"/>
        <v>75.199281642786048</v>
      </c>
      <c r="R204" s="130">
        <f t="shared" si="249"/>
        <v>69.55154151838201</v>
      </c>
      <c r="S204" s="130">
        <f t="shared" si="249"/>
        <v>71.478754062709953</v>
      </c>
      <c r="T204" s="130">
        <f t="shared" si="249"/>
        <v>68.684753107360663</v>
      </c>
      <c r="U204" s="130">
        <f t="shared" si="249"/>
        <v>67.434373830879693</v>
      </c>
      <c r="V204" s="130">
        <f t="shared" si="249"/>
        <v>99.546570437378122</v>
      </c>
      <c r="W204" s="130">
        <f t="shared" ref="W204" si="250">IF(W52=0,0,W52/W22*1000)</f>
        <v>92.416003578265261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359.18714445873479</v>
      </c>
      <c r="C205" s="97">
        <f t="shared" si="251"/>
        <v>358.52580169501732</v>
      </c>
      <c r="D205" s="97">
        <f t="shared" si="251"/>
        <v>316.79007711525207</v>
      </c>
      <c r="E205" s="97">
        <f t="shared" si="251"/>
        <v>286.55253277875067</v>
      </c>
      <c r="F205" s="97">
        <f t="shared" si="251"/>
        <v>312.10157054985325</v>
      </c>
      <c r="G205" s="97">
        <f t="shared" si="251"/>
        <v>320.26086060917316</v>
      </c>
      <c r="H205" s="97">
        <f t="shared" si="251"/>
        <v>308.32387380714408</v>
      </c>
      <c r="I205" s="97">
        <f t="shared" si="251"/>
        <v>289.91593375797663</v>
      </c>
      <c r="J205" s="97">
        <f t="shared" si="251"/>
        <v>287.19449847469383</v>
      </c>
      <c r="K205" s="97">
        <f t="shared" si="251"/>
        <v>254.34554263412184</v>
      </c>
      <c r="L205" s="97">
        <f t="shared" si="251"/>
        <v>242.10533233656574</v>
      </c>
      <c r="M205" s="97">
        <f t="shared" si="251"/>
        <v>390.21503716594043</v>
      </c>
      <c r="N205" s="97">
        <f t="shared" si="251"/>
        <v>399.44451439188316</v>
      </c>
      <c r="O205" s="97">
        <f t="shared" si="251"/>
        <v>383.74170959395269</v>
      </c>
      <c r="P205" s="97">
        <f t="shared" si="251"/>
        <v>332.62982259498909</v>
      </c>
      <c r="Q205" s="97">
        <f t="shared" si="251"/>
        <v>326.16410607277072</v>
      </c>
      <c r="R205" s="97">
        <f t="shared" si="251"/>
        <v>289.18353054526978</v>
      </c>
      <c r="S205" s="97">
        <f t="shared" si="251"/>
        <v>308.68785227620208</v>
      </c>
      <c r="T205" s="97">
        <f t="shared" si="251"/>
        <v>303.38402183310473</v>
      </c>
      <c r="U205" s="97">
        <f t="shared" si="251"/>
        <v>270.62906647253317</v>
      </c>
      <c r="V205" s="97">
        <f t="shared" si="251"/>
        <v>299.25491996379697</v>
      </c>
      <c r="W205" s="97">
        <f t="shared" ref="W205" si="252">IF(W53=0,0,W53/W23*1000)</f>
        <v>282.14908149094742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177.67138845537232</v>
      </c>
      <c r="C206" s="97">
        <f t="shared" si="253"/>
        <v>170.5278066134905</v>
      </c>
      <c r="D206" s="97">
        <f t="shared" si="253"/>
        <v>181.26103460701205</v>
      </c>
      <c r="E206" s="97">
        <f t="shared" si="253"/>
        <v>172.70822189955339</v>
      </c>
      <c r="F206" s="97">
        <f t="shared" si="253"/>
        <v>195.16122645759916</v>
      </c>
      <c r="G206" s="97">
        <f t="shared" si="253"/>
        <v>200.3764813744294</v>
      </c>
      <c r="H206" s="97">
        <f t="shared" si="253"/>
        <v>241.07802882516171</v>
      </c>
      <c r="I206" s="97">
        <f t="shared" si="253"/>
        <v>248.19986258964636</v>
      </c>
      <c r="J206" s="97">
        <f t="shared" si="253"/>
        <v>245.35519035461454</v>
      </c>
      <c r="K206" s="97">
        <f t="shared" si="253"/>
        <v>231.44627812752955</v>
      </c>
      <c r="L206" s="97">
        <f t="shared" si="253"/>
        <v>252.08724474979323</v>
      </c>
      <c r="M206" s="97">
        <f t="shared" si="253"/>
        <v>228.40850024806053</v>
      </c>
      <c r="N206" s="97">
        <f t="shared" si="253"/>
        <v>203.01760038191932</v>
      </c>
      <c r="O206" s="97">
        <f t="shared" si="253"/>
        <v>209.89972591514939</v>
      </c>
      <c r="P206" s="97">
        <f t="shared" si="253"/>
        <v>178.32480420487968</v>
      </c>
      <c r="Q206" s="97">
        <f t="shared" si="253"/>
        <v>184.83652417141835</v>
      </c>
      <c r="R206" s="97">
        <f t="shared" si="253"/>
        <v>167.370285487606</v>
      </c>
      <c r="S206" s="97">
        <f t="shared" si="253"/>
        <v>189.23226310511552</v>
      </c>
      <c r="T206" s="97">
        <f t="shared" si="253"/>
        <v>187.34236803659911</v>
      </c>
      <c r="U206" s="97">
        <f t="shared" si="253"/>
        <v>177.89032092977322</v>
      </c>
      <c r="V206" s="97">
        <f t="shared" si="253"/>
        <v>187.92521196101194</v>
      </c>
      <c r="W206" s="97">
        <f t="shared" ref="W206" si="254">IF(W54=0,0,W54/W24*1000)</f>
        <v>167.14658825162348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70.46939339271718</v>
      </c>
      <c r="C207" s="97">
        <f t="shared" si="255"/>
        <v>67.256168096036077</v>
      </c>
      <c r="D207" s="97">
        <f t="shared" si="255"/>
        <v>71.120369222960392</v>
      </c>
      <c r="E207" s="97">
        <f t="shared" si="255"/>
        <v>76.050734721923661</v>
      </c>
      <c r="F207" s="97">
        <f t="shared" si="255"/>
        <v>81.129291066255092</v>
      </c>
      <c r="G207" s="97">
        <f t="shared" si="255"/>
        <v>82.33098971833131</v>
      </c>
      <c r="H207" s="97">
        <f t="shared" si="255"/>
        <v>85.321278576475279</v>
      </c>
      <c r="I207" s="97">
        <f t="shared" si="255"/>
        <v>84.605672095450359</v>
      </c>
      <c r="J207" s="97">
        <f t="shared" si="255"/>
        <v>88.92414053988432</v>
      </c>
      <c r="K207" s="97">
        <f t="shared" si="255"/>
        <v>80.642743627511791</v>
      </c>
      <c r="L207" s="97">
        <f t="shared" si="255"/>
        <v>89.505631065627909</v>
      </c>
      <c r="M207" s="97">
        <f t="shared" si="255"/>
        <v>76.236366837232808</v>
      </c>
      <c r="N207" s="97">
        <f t="shared" si="255"/>
        <v>78.726653157543581</v>
      </c>
      <c r="O207" s="97">
        <f t="shared" si="255"/>
        <v>76.332927805691085</v>
      </c>
      <c r="P207" s="97">
        <f t="shared" si="255"/>
        <v>61.085749278903322</v>
      </c>
      <c r="Q207" s="97">
        <f t="shared" si="255"/>
        <v>66.929056388476653</v>
      </c>
      <c r="R207" s="97">
        <f t="shared" si="255"/>
        <v>61.813023193477093</v>
      </c>
      <c r="S207" s="97">
        <f t="shared" si="255"/>
        <v>62.831141831402995</v>
      </c>
      <c r="T207" s="97">
        <f t="shared" si="255"/>
        <v>60.697745555475244</v>
      </c>
      <c r="U207" s="97">
        <f t="shared" si="255"/>
        <v>59.371847191836174</v>
      </c>
      <c r="V207" s="97">
        <f t="shared" si="255"/>
        <v>91.228392769034045</v>
      </c>
      <c r="W207" s="97">
        <f t="shared" ref="W207" si="256">IF(W55=0,0,W55/W25*1000)</f>
        <v>83.717251025404465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16.712808092786474</v>
      </c>
      <c r="C208" s="130">
        <f t="shared" si="257"/>
        <v>19.052888943567776</v>
      </c>
      <c r="D208" s="130">
        <f t="shared" si="257"/>
        <v>18.561489531974772</v>
      </c>
      <c r="E208" s="130">
        <f t="shared" si="257"/>
        <v>21.848356891445075</v>
      </c>
      <c r="F208" s="130">
        <f t="shared" si="257"/>
        <v>23.462959512923987</v>
      </c>
      <c r="G208" s="130">
        <f t="shared" si="257"/>
        <v>20.627136487360222</v>
      </c>
      <c r="H208" s="130">
        <f t="shared" si="257"/>
        <v>15.706432445197684</v>
      </c>
      <c r="I208" s="130">
        <f t="shared" si="257"/>
        <v>22.532833650346294</v>
      </c>
      <c r="J208" s="130">
        <f t="shared" si="257"/>
        <v>17.420511892464948</v>
      </c>
      <c r="K208" s="130">
        <f t="shared" si="257"/>
        <v>20.961147191490568</v>
      </c>
      <c r="L208" s="130">
        <f t="shared" si="257"/>
        <v>19.864308451097717</v>
      </c>
      <c r="M208" s="130">
        <f t="shared" si="257"/>
        <v>19.03988059970802</v>
      </c>
      <c r="N208" s="130">
        <f t="shared" si="257"/>
        <v>20.203546945468666</v>
      </c>
      <c r="O208" s="130">
        <f t="shared" si="257"/>
        <v>28.266805511576322</v>
      </c>
      <c r="P208" s="130">
        <f t="shared" si="257"/>
        <v>23.098762343559518</v>
      </c>
      <c r="Q208" s="130">
        <f t="shared" si="257"/>
        <v>22.736261541955134</v>
      </c>
      <c r="R208" s="130">
        <f t="shared" si="257"/>
        <v>27.301688796942514</v>
      </c>
      <c r="S208" s="130">
        <f t="shared" si="257"/>
        <v>27.271555557632084</v>
      </c>
      <c r="T208" s="130">
        <f t="shared" si="257"/>
        <v>24.858564957814604</v>
      </c>
      <c r="U208" s="130">
        <f t="shared" si="257"/>
        <v>23.64309293581643</v>
      </c>
      <c r="V208" s="130">
        <f t="shared" si="257"/>
        <v>20.846326655970895</v>
      </c>
      <c r="W208" s="130">
        <f t="shared" ref="W208" si="258">IF(W56=0,0,W56/W26*1000)</f>
        <v>23.313662510650225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20.217104613750038</v>
      </c>
      <c r="C209" s="97">
        <f t="shared" si="259"/>
        <v>23.356590939923883</v>
      </c>
      <c r="D209" s="97">
        <f t="shared" si="259"/>
        <v>22.160797258335382</v>
      </c>
      <c r="E209" s="97">
        <f t="shared" si="259"/>
        <v>25.940549505070855</v>
      </c>
      <c r="F209" s="97">
        <f t="shared" si="259"/>
        <v>26.910554119441702</v>
      </c>
      <c r="G209" s="97">
        <f t="shared" si="259"/>
        <v>25.193276801809144</v>
      </c>
      <c r="H209" s="97">
        <f t="shared" si="259"/>
        <v>18.096905476968256</v>
      </c>
      <c r="I209" s="97">
        <f t="shared" si="259"/>
        <v>28.106918452365687</v>
      </c>
      <c r="J209" s="97">
        <f t="shared" si="259"/>
        <v>21.065472140888584</v>
      </c>
      <c r="K209" s="97">
        <f t="shared" si="259"/>
        <v>25.795968661203734</v>
      </c>
      <c r="L209" s="97">
        <f t="shared" si="259"/>
        <v>25.609732171476477</v>
      </c>
      <c r="M209" s="97">
        <f t="shared" si="259"/>
        <v>23.880380600127506</v>
      </c>
      <c r="N209" s="97">
        <f t="shared" si="259"/>
        <v>25.007267430869806</v>
      </c>
      <c r="O209" s="97">
        <f t="shared" si="259"/>
        <v>39.000569277797076</v>
      </c>
      <c r="P209" s="97">
        <f t="shared" si="259"/>
        <v>30.425643632342577</v>
      </c>
      <c r="Q209" s="97">
        <f t="shared" si="259"/>
        <v>29.532520049525733</v>
      </c>
      <c r="R209" s="97">
        <f t="shared" si="259"/>
        <v>37.756542770122337</v>
      </c>
      <c r="S209" s="97">
        <f t="shared" si="259"/>
        <v>36.986517979791593</v>
      </c>
      <c r="T209" s="97">
        <f t="shared" si="259"/>
        <v>32.299150015825681</v>
      </c>
      <c r="U209" s="97">
        <f t="shared" si="259"/>
        <v>31.04470881508745</v>
      </c>
      <c r="V209" s="97">
        <f t="shared" si="259"/>
        <v>25.892628715751172</v>
      </c>
      <c r="W209" s="97">
        <f t="shared" ref="W209" si="260">IF(W57=0,0,W57/W27*1000)</f>
        <v>28.981439000992932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9.0977913449315118</v>
      </c>
      <c r="C210" s="98">
        <f t="shared" si="261"/>
        <v>11.418298544687069</v>
      </c>
      <c r="D210" s="98">
        <f t="shared" si="261"/>
        <v>11.776807961380326</v>
      </c>
      <c r="E210" s="98">
        <f t="shared" si="261"/>
        <v>15.120673406020282</v>
      </c>
      <c r="F210" s="98">
        <f t="shared" si="261"/>
        <v>17.650965526800324</v>
      </c>
      <c r="G210" s="98">
        <f t="shared" si="261"/>
        <v>13.381360446897133</v>
      </c>
      <c r="H210" s="98">
        <f t="shared" si="261"/>
        <v>9.831666447343455</v>
      </c>
      <c r="I210" s="98">
        <f t="shared" si="261"/>
        <v>14.508694015474038</v>
      </c>
      <c r="J210" s="98">
        <f t="shared" si="261"/>
        <v>9.6554583500989999</v>
      </c>
      <c r="K210" s="98">
        <f t="shared" si="261"/>
        <v>12.791257990616394</v>
      </c>
      <c r="L210" s="98">
        <f t="shared" si="261"/>
        <v>10.544681134494914</v>
      </c>
      <c r="M210" s="98">
        <f t="shared" si="261"/>
        <v>10.436835036593893</v>
      </c>
      <c r="N210" s="98">
        <f t="shared" si="261"/>
        <v>12.341804722315551</v>
      </c>
      <c r="O210" s="98">
        <f t="shared" si="261"/>
        <v>19.287121427287087</v>
      </c>
      <c r="P210" s="98">
        <f t="shared" si="261"/>
        <v>13.214707930186924</v>
      </c>
      <c r="Q210" s="98">
        <f t="shared" si="261"/>
        <v>12.583954559702775</v>
      </c>
      <c r="R210" s="98">
        <f t="shared" si="261"/>
        <v>15.780862594498704</v>
      </c>
      <c r="S210" s="98">
        <f t="shared" si="261"/>
        <v>14.46143171089461</v>
      </c>
      <c r="T210" s="98">
        <f t="shared" si="261"/>
        <v>12.78930911623503</v>
      </c>
      <c r="U210" s="98">
        <f t="shared" si="261"/>
        <v>12.164308863704623</v>
      </c>
      <c r="V210" s="98">
        <f t="shared" si="261"/>
        <v>11.386287476105135</v>
      </c>
      <c r="W210" s="98">
        <f t="shared" ref="W210:W213" si="262">IF(W58=0,0,W58/W28*1000)</f>
        <v>12.774798652509435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4.4758227475450019</v>
      </c>
      <c r="C211" s="32">
        <f t="shared" si="263"/>
        <v>3.9219811410755852</v>
      </c>
      <c r="D211" s="32">
        <f t="shared" si="263"/>
        <v>3.7011958414930679</v>
      </c>
      <c r="E211" s="32">
        <f t="shared" si="263"/>
        <v>3.9263284854786216</v>
      </c>
      <c r="F211" s="32">
        <f t="shared" si="263"/>
        <v>4.3541099506872136</v>
      </c>
      <c r="G211" s="32">
        <f t="shared" si="263"/>
        <v>3.910554413127691</v>
      </c>
      <c r="H211" s="32">
        <f t="shared" si="263"/>
        <v>3.9281804893931569</v>
      </c>
      <c r="I211" s="32">
        <f t="shared" si="263"/>
        <v>5.5761059922771024</v>
      </c>
      <c r="J211" s="32">
        <f t="shared" si="263"/>
        <v>3.8972938235292016</v>
      </c>
      <c r="K211" s="32">
        <f t="shared" si="263"/>
        <v>4.3689685926138999</v>
      </c>
      <c r="L211" s="32">
        <f t="shared" si="263"/>
        <v>3.9860497164849868</v>
      </c>
      <c r="M211" s="32">
        <f t="shared" si="263"/>
        <v>4.5930786202441611</v>
      </c>
      <c r="N211" s="32">
        <f t="shared" si="263"/>
        <v>4.6048157879579881</v>
      </c>
      <c r="O211" s="32">
        <f t="shared" si="263"/>
        <v>5.300338242587844</v>
      </c>
      <c r="P211" s="32">
        <f t="shared" si="263"/>
        <v>3.3581610683421861</v>
      </c>
      <c r="Q211" s="32">
        <f t="shared" si="263"/>
        <v>2.9276346260124608</v>
      </c>
      <c r="R211" s="32">
        <f t="shared" si="263"/>
        <v>2.9683980690842615</v>
      </c>
      <c r="S211" s="32">
        <f t="shared" si="263"/>
        <v>2.9500626381450217</v>
      </c>
      <c r="T211" s="32">
        <f t="shared" si="263"/>
        <v>3.3109528967483013</v>
      </c>
      <c r="U211" s="32">
        <f t="shared" si="263"/>
        <v>2.9278375342995471</v>
      </c>
      <c r="V211" s="32">
        <f t="shared" si="263"/>
        <v>1.8732889357241935</v>
      </c>
      <c r="W211" s="32">
        <f t="shared" si="262"/>
        <v>1.9467204635724766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10.892753339634925</v>
      </c>
      <c r="C212" s="97">
        <f t="shared" si="264"/>
        <v>9.5179593358144157</v>
      </c>
      <c r="D212" s="97">
        <f t="shared" si="264"/>
        <v>9.1613730493798897</v>
      </c>
      <c r="E212" s="97">
        <f t="shared" si="264"/>
        <v>9.7961584969327014</v>
      </c>
      <c r="F212" s="97">
        <f t="shared" si="264"/>
        <v>10.69048338271414</v>
      </c>
      <c r="G212" s="97">
        <f t="shared" si="264"/>
        <v>9.9073336706100648</v>
      </c>
      <c r="H212" s="97">
        <f t="shared" si="264"/>
        <v>10.391097568830055</v>
      </c>
      <c r="I212" s="97">
        <f t="shared" si="264"/>
        <v>14.643240318307026</v>
      </c>
      <c r="J212" s="97">
        <f t="shared" si="264"/>
        <v>10.50625602845756</v>
      </c>
      <c r="K212" s="97">
        <f t="shared" si="264"/>
        <v>11.333220245600439</v>
      </c>
      <c r="L212" s="97">
        <f t="shared" si="264"/>
        <v>10.423822866107239</v>
      </c>
      <c r="M212" s="97">
        <f t="shared" si="264"/>
        <v>12.20215968777298</v>
      </c>
      <c r="N212" s="97">
        <f t="shared" si="264"/>
        <v>12.321711442349324</v>
      </c>
      <c r="O212" s="97">
        <f t="shared" si="264"/>
        <v>14.591131811949003</v>
      </c>
      <c r="P212" s="97">
        <f t="shared" si="264"/>
        <v>9.1582649571937953</v>
      </c>
      <c r="Q212" s="97">
        <f t="shared" si="264"/>
        <v>8.2431187843214797</v>
      </c>
      <c r="R212" s="97">
        <f t="shared" si="264"/>
        <v>7.8922619758554449</v>
      </c>
      <c r="S212" s="97">
        <f t="shared" si="264"/>
        <v>7.9294476334950597</v>
      </c>
      <c r="T212" s="97">
        <f t="shared" si="264"/>
        <v>8.9465640568574027</v>
      </c>
      <c r="U212" s="97">
        <f t="shared" si="264"/>
        <v>8.0717331604549152</v>
      </c>
      <c r="V212" s="97">
        <f t="shared" si="264"/>
        <v>4.4393455604312058</v>
      </c>
      <c r="W212" s="97">
        <f t="shared" si="262"/>
        <v>4.9295322001416304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3.5893240813575167</v>
      </c>
      <c r="C213" s="98">
        <f t="shared" si="265"/>
        <v>3.1429507623469384</v>
      </c>
      <c r="D213" s="98">
        <f t="shared" si="265"/>
        <v>3.0159017395740935</v>
      </c>
      <c r="E213" s="98">
        <f t="shared" si="265"/>
        <v>3.211187984180091</v>
      </c>
      <c r="F213" s="98">
        <f t="shared" si="265"/>
        <v>3.5488631689654078</v>
      </c>
      <c r="G213" s="98">
        <f t="shared" si="265"/>
        <v>3.2101877919273458</v>
      </c>
      <c r="H213" s="98">
        <f t="shared" si="265"/>
        <v>3.2760574031224619</v>
      </c>
      <c r="I213" s="98">
        <f t="shared" si="265"/>
        <v>4.6356645751963956</v>
      </c>
      <c r="J213" s="98">
        <f t="shared" si="265"/>
        <v>3.2501483283964863</v>
      </c>
      <c r="K213" s="98">
        <f t="shared" si="265"/>
        <v>3.6029715007541929</v>
      </c>
      <c r="L213" s="98">
        <f t="shared" si="265"/>
        <v>3.2813119478934709</v>
      </c>
      <c r="M213" s="98">
        <f t="shared" si="265"/>
        <v>3.7990494866622404</v>
      </c>
      <c r="N213" s="98">
        <f t="shared" si="265"/>
        <v>3.800205443503077</v>
      </c>
      <c r="O213" s="98">
        <f t="shared" si="265"/>
        <v>4.4253148790382664</v>
      </c>
      <c r="P213" s="98">
        <f t="shared" si="265"/>
        <v>2.8002051442222937</v>
      </c>
      <c r="Q213" s="98">
        <f t="shared" si="265"/>
        <v>2.4614133159859346</v>
      </c>
      <c r="R213" s="98">
        <f t="shared" si="265"/>
        <v>2.4570006924890708</v>
      </c>
      <c r="S213" s="98">
        <f t="shared" si="265"/>
        <v>2.448366413323503</v>
      </c>
      <c r="T213" s="98">
        <f t="shared" si="265"/>
        <v>2.7450358066696312</v>
      </c>
      <c r="U213" s="98">
        <f t="shared" si="265"/>
        <v>2.4365467322844889</v>
      </c>
      <c r="V213" s="98">
        <f t="shared" si="265"/>
        <v>1.611557958423419</v>
      </c>
      <c r="W213" s="98">
        <f t="shared" si="262"/>
        <v>1.6748432046609567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104.78395058498481</v>
      </c>
      <c r="C216" s="32">
        <f t="shared" si="266"/>
        <v>103.27882114841144</v>
      </c>
      <c r="D216" s="32">
        <f t="shared" si="266"/>
        <v>102.29843195753301</v>
      </c>
      <c r="E216" s="32">
        <f t="shared" si="266"/>
        <v>100.35234611866778</v>
      </c>
      <c r="F216" s="32">
        <f t="shared" si="266"/>
        <v>98.869184026657322</v>
      </c>
      <c r="G216" s="32">
        <f t="shared" si="266"/>
        <v>97.335676090282121</v>
      </c>
      <c r="H216" s="32">
        <f t="shared" si="266"/>
        <v>97.724137444412221</v>
      </c>
      <c r="I216" s="32">
        <f t="shared" si="266"/>
        <v>96.480842636195632</v>
      </c>
      <c r="J216" s="32">
        <f t="shared" si="266"/>
        <v>94.34145104883045</v>
      </c>
      <c r="K216" s="32">
        <f t="shared" si="266"/>
        <v>94.859843211149098</v>
      </c>
      <c r="L216" s="32">
        <f t="shared" si="266"/>
        <v>93.137348570061022</v>
      </c>
      <c r="M216" s="32">
        <f t="shared" si="266"/>
        <v>95.320992755994212</v>
      </c>
      <c r="N216" s="32">
        <f t="shared" si="266"/>
        <v>90.119168640378831</v>
      </c>
      <c r="O216" s="32">
        <f t="shared" si="266"/>
        <v>88.170921539901499</v>
      </c>
      <c r="P216" s="32">
        <f t="shared" si="266"/>
        <v>87.083148881727851</v>
      </c>
      <c r="Q216" s="32">
        <f t="shared" si="266"/>
        <v>87.876399928941026</v>
      </c>
      <c r="R216" s="32">
        <f t="shared" si="266"/>
        <v>86.922211408125875</v>
      </c>
      <c r="S216" s="32">
        <f t="shared" si="266"/>
        <v>85.146950113153935</v>
      </c>
      <c r="T216" s="32">
        <f t="shared" si="266"/>
        <v>83.41602762515528</v>
      </c>
      <c r="U216" s="32">
        <f t="shared" si="266"/>
        <v>83.140121091601088</v>
      </c>
      <c r="V216" s="32">
        <f t="shared" si="266"/>
        <v>89.621666334589989</v>
      </c>
      <c r="W216" s="32">
        <f t="shared" ref="W216" si="267">IF(W4=0,0,W64/W4*1000)</f>
        <v>87.025337499924305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108.36941195731795</v>
      </c>
      <c r="C217" s="141">
        <f t="shared" si="268"/>
        <v>107.36010058037142</v>
      </c>
      <c r="D217" s="141">
        <f t="shared" si="268"/>
        <v>106.89933247876222</v>
      </c>
      <c r="E217" s="141">
        <f t="shared" si="268"/>
        <v>104.89423890215143</v>
      </c>
      <c r="F217" s="141">
        <f t="shared" si="268"/>
        <v>103.77018991693946</v>
      </c>
      <c r="G217" s="141">
        <f t="shared" si="268"/>
        <v>103.20734711247704</v>
      </c>
      <c r="H217" s="141">
        <f t="shared" si="268"/>
        <v>103.87561780367142</v>
      </c>
      <c r="I217" s="141">
        <f t="shared" si="268"/>
        <v>102.68541482007709</v>
      </c>
      <c r="J217" s="141">
        <f t="shared" si="268"/>
        <v>100.78412759768347</v>
      </c>
      <c r="K217" s="141">
        <f t="shared" si="268"/>
        <v>102.54758319564948</v>
      </c>
      <c r="L217" s="141">
        <f t="shared" si="268"/>
        <v>100.63980488187049</v>
      </c>
      <c r="M217" s="141">
        <f t="shared" si="268"/>
        <v>102.63612406917201</v>
      </c>
      <c r="N217" s="141">
        <f t="shared" si="268"/>
        <v>95.860234256324418</v>
      </c>
      <c r="O217" s="141">
        <f t="shared" si="268"/>
        <v>93.823938244323855</v>
      </c>
      <c r="P217" s="141">
        <f t="shared" si="268"/>
        <v>93.407474317423805</v>
      </c>
      <c r="Q217" s="141">
        <f t="shared" si="268"/>
        <v>93.61650833921216</v>
      </c>
      <c r="R217" s="141">
        <f t="shared" si="268"/>
        <v>92.298208862238965</v>
      </c>
      <c r="S217" s="141">
        <f t="shared" si="268"/>
        <v>91.066994485909618</v>
      </c>
      <c r="T217" s="141">
        <f t="shared" si="268"/>
        <v>88.921807471716647</v>
      </c>
      <c r="U217" s="141">
        <f t="shared" si="268"/>
        <v>88.75545392258843</v>
      </c>
      <c r="V217" s="141">
        <f t="shared" si="268"/>
        <v>93.173280263560343</v>
      </c>
      <c r="W217" s="141">
        <f t="shared" ref="W217" si="269">IF(W5=0,0,W65/W5*1000)</f>
        <v>92.559246260386331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91.553318241928423</v>
      </c>
      <c r="C218" s="97">
        <f t="shared" si="270"/>
        <v>91.112777835054899</v>
      </c>
      <c r="D218" s="97">
        <f t="shared" si="270"/>
        <v>90.673336519873004</v>
      </c>
      <c r="E218" s="97">
        <f t="shared" si="270"/>
        <v>89.232843115817005</v>
      </c>
      <c r="F218" s="97">
        <f t="shared" si="270"/>
        <v>89.398676414347008</v>
      </c>
      <c r="G218" s="97">
        <f t="shared" si="270"/>
        <v>87.09493335087366</v>
      </c>
      <c r="H218" s="97">
        <f t="shared" si="270"/>
        <v>86.822810290361076</v>
      </c>
      <c r="I218" s="97">
        <f t="shared" si="270"/>
        <v>84.908541050956558</v>
      </c>
      <c r="J218" s="97">
        <f t="shared" si="270"/>
        <v>82.764923414567448</v>
      </c>
      <c r="K218" s="97">
        <f t="shared" si="270"/>
        <v>82.734890405782238</v>
      </c>
      <c r="L218" s="97">
        <f t="shared" si="270"/>
        <v>82.525406472173032</v>
      </c>
      <c r="M218" s="97">
        <f t="shared" si="270"/>
        <v>79.907049735346874</v>
      </c>
      <c r="N218" s="97">
        <f t="shared" si="270"/>
        <v>81.958771891970613</v>
      </c>
      <c r="O218" s="97">
        <f t="shared" si="270"/>
        <v>82.111062143762993</v>
      </c>
      <c r="P218" s="97">
        <f t="shared" si="270"/>
        <v>81.598323323502228</v>
      </c>
      <c r="Q218" s="97">
        <f t="shared" si="270"/>
        <v>81.364798341126146</v>
      </c>
      <c r="R218" s="97">
        <f t="shared" si="270"/>
        <v>80.744599599824397</v>
      </c>
      <c r="S218" s="97">
        <f t="shared" si="270"/>
        <v>79.815439810705868</v>
      </c>
      <c r="T218" s="97">
        <f t="shared" si="270"/>
        <v>83.330658983264456</v>
      </c>
      <c r="U218" s="97">
        <f t="shared" si="270"/>
        <v>78.928054662295253</v>
      </c>
      <c r="V218" s="97">
        <f t="shared" si="270"/>
        <v>78.812904592337162</v>
      </c>
      <c r="W218" s="97">
        <f t="shared" ref="W218" si="271">IF(W6=0,0,W66/W6*1000)</f>
        <v>75.45404999349293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108.9202661296185</v>
      </c>
      <c r="C219" s="97">
        <f t="shared" si="272"/>
        <v>107.77751247596875</v>
      </c>
      <c r="D219" s="97">
        <f t="shared" si="272"/>
        <v>107.39820610243929</v>
      </c>
      <c r="E219" s="97">
        <f t="shared" si="272"/>
        <v>105.28972190248805</v>
      </c>
      <c r="F219" s="97">
        <f t="shared" si="272"/>
        <v>104.12364207943146</v>
      </c>
      <c r="G219" s="97">
        <f t="shared" si="272"/>
        <v>103.62967374415106</v>
      </c>
      <c r="H219" s="97">
        <f t="shared" si="272"/>
        <v>104.42411727088178</v>
      </c>
      <c r="I219" s="97">
        <f t="shared" si="272"/>
        <v>103.22149215826285</v>
      </c>
      <c r="J219" s="97">
        <f t="shared" si="272"/>
        <v>101.48055675982573</v>
      </c>
      <c r="K219" s="97">
        <f t="shared" si="272"/>
        <v>103.73533302139637</v>
      </c>
      <c r="L219" s="97">
        <f t="shared" si="272"/>
        <v>101.94852947355194</v>
      </c>
      <c r="M219" s="97">
        <f t="shared" si="272"/>
        <v>104.36540736639522</v>
      </c>
      <c r="N219" s="97">
        <f t="shared" si="272"/>
        <v>96.832228339026514</v>
      </c>
      <c r="O219" s="97">
        <f t="shared" si="272"/>
        <v>95.041792119037538</v>
      </c>
      <c r="P219" s="97">
        <f t="shared" si="272"/>
        <v>94.728096313670392</v>
      </c>
      <c r="Q219" s="97">
        <f t="shared" si="272"/>
        <v>94.911721846059777</v>
      </c>
      <c r="R219" s="97">
        <f t="shared" si="272"/>
        <v>93.41990392279466</v>
      </c>
      <c r="S219" s="97">
        <f t="shared" si="272"/>
        <v>92.185582721005986</v>
      </c>
      <c r="T219" s="97">
        <f t="shared" si="272"/>
        <v>89.709078972382628</v>
      </c>
      <c r="U219" s="97">
        <f t="shared" si="272"/>
        <v>89.646183035493223</v>
      </c>
      <c r="V219" s="97">
        <f t="shared" si="272"/>
        <v>93.121773359748104</v>
      </c>
      <c r="W219" s="97">
        <f t="shared" ref="W219" si="273">IF(W7=0,0,W67/W7*1000)</f>
        <v>92.552806077886544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104.57219235272615</v>
      </c>
      <c r="C220" s="97">
        <f t="shared" si="274"/>
        <v>105.38034360933952</v>
      </c>
      <c r="D220" s="97">
        <f t="shared" si="274"/>
        <v>104.16180831712765</v>
      </c>
      <c r="E220" s="97">
        <f t="shared" si="274"/>
        <v>103.58341134954497</v>
      </c>
      <c r="F220" s="97">
        <f t="shared" si="274"/>
        <v>102.98487024347567</v>
      </c>
      <c r="G220" s="97">
        <f t="shared" si="274"/>
        <v>102.25157283908447</v>
      </c>
      <c r="H220" s="97">
        <f t="shared" si="274"/>
        <v>101.56393913563262</v>
      </c>
      <c r="I220" s="97">
        <f t="shared" si="274"/>
        <v>100.94941755755701</v>
      </c>
      <c r="J220" s="97">
        <f t="shared" si="274"/>
        <v>97.533278691890644</v>
      </c>
      <c r="K220" s="97">
        <f t="shared" si="274"/>
        <v>93.680726357585641</v>
      </c>
      <c r="L220" s="97">
        <f t="shared" si="274"/>
        <v>89.636623106658263</v>
      </c>
      <c r="M220" s="97">
        <f t="shared" si="274"/>
        <v>88.037028012485877</v>
      </c>
      <c r="N220" s="97">
        <f t="shared" si="274"/>
        <v>86.835160432745937</v>
      </c>
      <c r="O220" s="97">
        <f t="shared" si="274"/>
        <v>80.675621530074011</v>
      </c>
      <c r="P220" s="97">
        <f t="shared" si="274"/>
        <v>79.066219949117055</v>
      </c>
      <c r="Q220" s="97">
        <f t="shared" si="274"/>
        <v>79.726941816966104</v>
      </c>
      <c r="R220" s="97">
        <f t="shared" si="274"/>
        <v>80.312967918291548</v>
      </c>
      <c r="S220" s="97">
        <f t="shared" si="274"/>
        <v>78.8394306557242</v>
      </c>
      <c r="T220" s="97">
        <f t="shared" si="274"/>
        <v>79.631609192250508</v>
      </c>
      <c r="U220" s="97">
        <f t="shared" si="274"/>
        <v>79.350550304163733</v>
      </c>
      <c r="V220" s="97">
        <f t="shared" si="274"/>
        <v>99.414892184528213</v>
      </c>
      <c r="W220" s="97">
        <f t="shared" ref="W220" si="275">IF(W8=0,0,W68/W8*1000)</f>
        <v>98.782895216131962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9.8644167070800037</v>
      </c>
      <c r="C221" s="130">
        <f t="shared" si="276"/>
        <v>6.1968087723739256</v>
      </c>
      <c r="D221" s="130">
        <f t="shared" si="276"/>
        <v>6.2481598154870257</v>
      </c>
      <c r="E221" s="130">
        <f t="shared" si="276"/>
        <v>6.1523872021982173</v>
      </c>
      <c r="F221" s="130">
        <f t="shared" si="276"/>
        <v>6.3579857457479596</v>
      </c>
      <c r="G221" s="130">
        <f t="shared" si="276"/>
        <v>5.8072896866557455</v>
      </c>
      <c r="H221" s="130">
        <f t="shared" si="276"/>
        <v>5.4684083168771771</v>
      </c>
      <c r="I221" s="130">
        <f t="shared" si="276"/>
        <v>4.9362766479506677</v>
      </c>
      <c r="J221" s="130">
        <f t="shared" si="276"/>
        <v>4.855386903230646</v>
      </c>
      <c r="K221" s="130">
        <f t="shared" si="276"/>
        <v>4.7173422895566857</v>
      </c>
      <c r="L221" s="130">
        <f t="shared" si="276"/>
        <v>4.4718152177586106</v>
      </c>
      <c r="M221" s="130">
        <f t="shared" si="276"/>
        <v>4.3871411388434272</v>
      </c>
      <c r="N221" s="130">
        <f t="shared" si="276"/>
        <v>4.0698348439651904</v>
      </c>
      <c r="O221" s="130">
        <f t="shared" si="276"/>
        <v>4.0367689055583291</v>
      </c>
      <c r="P221" s="130">
        <f t="shared" si="276"/>
        <v>3.8098234085435241</v>
      </c>
      <c r="Q221" s="130">
        <f t="shared" si="276"/>
        <v>3.8389055988967855</v>
      </c>
      <c r="R221" s="130">
        <f t="shared" si="276"/>
        <v>3.2659163517041665</v>
      </c>
      <c r="S221" s="130">
        <f t="shared" si="276"/>
        <v>3.1826446718403409</v>
      </c>
      <c r="T221" s="130">
        <f t="shared" si="276"/>
        <v>2.8664838621487951</v>
      </c>
      <c r="U221" s="130">
        <f t="shared" si="276"/>
        <v>2.7085008635852597</v>
      </c>
      <c r="V221" s="130">
        <f t="shared" si="276"/>
        <v>3.7208086471448616</v>
      </c>
      <c r="W221" s="130">
        <f t="shared" ref="W221" si="277">IF(W9=0,0,W69/W9*1000)</f>
        <v>3.1703817853691056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20.298308760131469</v>
      </c>
      <c r="C223" s="97">
        <f t="shared" si="280"/>
        <v>13.302405443943373</v>
      </c>
      <c r="D223" s="97">
        <f t="shared" si="280"/>
        <v>13.962129358641683</v>
      </c>
      <c r="E223" s="97">
        <f t="shared" si="280"/>
        <v>14.094723515179936</v>
      </c>
      <c r="F223" s="97">
        <f t="shared" si="280"/>
        <v>14.646923387150062</v>
      </c>
      <c r="G223" s="97">
        <f t="shared" si="280"/>
        <v>13.591731037416608</v>
      </c>
      <c r="H223" s="97">
        <f t="shared" si="280"/>
        <v>12.756191415946477</v>
      </c>
      <c r="I223" s="97">
        <f t="shared" si="280"/>
        <v>12.076476010943185</v>
      </c>
      <c r="J223" s="97">
        <f t="shared" si="280"/>
        <v>12.384860903260531</v>
      </c>
      <c r="K223" s="97">
        <f t="shared" si="280"/>
        <v>11.884171868893553</v>
      </c>
      <c r="L223" s="97">
        <f t="shared" si="280"/>
        <v>11.289047456319439</v>
      </c>
      <c r="M223" s="97">
        <f t="shared" si="280"/>
        <v>10.457329297828466</v>
      </c>
      <c r="N223" s="97">
        <f t="shared" si="280"/>
        <v>9.6664342548811604</v>
      </c>
      <c r="O223" s="97">
        <f t="shared" si="280"/>
        <v>9.5791182321442783</v>
      </c>
      <c r="P223" s="97">
        <f t="shared" si="280"/>
        <v>9.1129034958978394</v>
      </c>
      <c r="Q223" s="97">
        <f t="shared" si="280"/>
        <v>9.0085480834230189</v>
      </c>
      <c r="R223" s="97">
        <f t="shared" si="280"/>
        <v>7.8331487341036876</v>
      </c>
      <c r="S223" s="97">
        <f t="shared" si="280"/>
        <v>8.3798699089911164</v>
      </c>
      <c r="T223" s="97">
        <f t="shared" si="280"/>
        <v>7.6558835243689751</v>
      </c>
      <c r="U223" s="97">
        <f t="shared" si="280"/>
        <v>7.2400943996056251</v>
      </c>
      <c r="V223" s="97">
        <f t="shared" si="280"/>
        <v>10.24831545237892</v>
      </c>
      <c r="W223" s="97">
        <f t="shared" ref="W223" si="281">IF(W11=0,0,W71/W11*1000)</f>
        <v>8.6543255206501417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148.50156454270027</v>
      </c>
      <c r="C225" s="130">
        <f t="shared" si="284"/>
        <v>145.56412738374277</v>
      </c>
      <c r="D225" s="130">
        <f t="shared" si="284"/>
        <v>140.83509508383196</v>
      </c>
      <c r="E225" s="130">
        <f t="shared" si="284"/>
        <v>136.93844339015448</v>
      </c>
      <c r="F225" s="130">
        <f t="shared" si="284"/>
        <v>132.76057501839966</v>
      </c>
      <c r="G225" s="130">
        <f t="shared" si="284"/>
        <v>124.8960295664447</v>
      </c>
      <c r="H225" s="130">
        <f t="shared" si="284"/>
        <v>125.89138907888697</v>
      </c>
      <c r="I225" s="130">
        <f t="shared" si="284"/>
        <v>123.67186183589573</v>
      </c>
      <c r="J225" s="130">
        <f t="shared" si="284"/>
        <v>122.72881510266359</v>
      </c>
      <c r="K225" s="130">
        <f t="shared" si="284"/>
        <v>117.1076512409779</v>
      </c>
      <c r="L225" s="130">
        <f t="shared" si="284"/>
        <v>114.65139007007771</v>
      </c>
      <c r="M225" s="130">
        <f t="shared" si="284"/>
        <v>119.37799722800729</v>
      </c>
      <c r="N225" s="130">
        <f t="shared" si="284"/>
        <v>116.72103169728001</v>
      </c>
      <c r="O225" s="130">
        <f t="shared" si="284"/>
        <v>112.48237852711263</v>
      </c>
      <c r="P225" s="130">
        <f t="shared" si="284"/>
        <v>105.93019959053218</v>
      </c>
      <c r="Q225" s="130">
        <f t="shared" si="284"/>
        <v>109.44304665258078</v>
      </c>
      <c r="R225" s="130">
        <f t="shared" si="284"/>
        <v>109.1636024243147</v>
      </c>
      <c r="S225" s="130">
        <f t="shared" si="284"/>
        <v>105.37592835103268</v>
      </c>
      <c r="T225" s="130">
        <f t="shared" si="284"/>
        <v>102.21218506901091</v>
      </c>
      <c r="U225" s="130">
        <f t="shared" si="284"/>
        <v>102.28122844681845</v>
      </c>
      <c r="V225" s="130">
        <f t="shared" si="284"/>
        <v>134.9879485401402</v>
      </c>
      <c r="W225" s="130">
        <f t="shared" ref="W225" si="285">IF(W13=0,0,W73/W13*1000)</f>
        <v>122.97136699531532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143.5421606306289</v>
      </c>
      <c r="C226" s="97">
        <f t="shared" si="286"/>
        <v>140.27315205081013</v>
      </c>
      <c r="D226" s="97">
        <f t="shared" si="286"/>
        <v>125.74743610271364</v>
      </c>
      <c r="E226" s="97">
        <f t="shared" si="286"/>
        <v>122.43635971588165</v>
      </c>
      <c r="F226" s="97">
        <f t="shared" si="286"/>
        <v>117.79109302629394</v>
      </c>
      <c r="G226" s="97">
        <f t="shared" si="286"/>
        <v>116.92048909690445</v>
      </c>
      <c r="H226" s="97">
        <f t="shared" si="286"/>
        <v>115.7807685367538</v>
      </c>
      <c r="I226" s="97">
        <f t="shared" si="286"/>
        <v>112.6584542106057</v>
      </c>
      <c r="J226" s="97">
        <f t="shared" si="286"/>
        <v>115.47891192777421</v>
      </c>
      <c r="K226" s="97">
        <f t="shared" si="286"/>
        <v>106.93882344717177</v>
      </c>
      <c r="L226" s="97">
        <f t="shared" si="286"/>
        <v>101.10397314672045</v>
      </c>
      <c r="M226" s="97">
        <f t="shared" si="286"/>
        <v>175.45219654832727</v>
      </c>
      <c r="N226" s="97">
        <f t="shared" si="286"/>
        <v>177.31411900547383</v>
      </c>
      <c r="O226" s="97">
        <f t="shared" si="286"/>
        <v>169.55998234258905</v>
      </c>
      <c r="P226" s="97">
        <f t="shared" si="286"/>
        <v>160.89400144712656</v>
      </c>
      <c r="Q226" s="97">
        <f t="shared" si="286"/>
        <v>158.86307061224909</v>
      </c>
      <c r="R226" s="97">
        <f t="shared" si="286"/>
        <v>158.11514483521361</v>
      </c>
      <c r="S226" s="97">
        <f t="shared" si="286"/>
        <v>152.9518584180843</v>
      </c>
      <c r="T226" s="97">
        <f t="shared" si="286"/>
        <v>150.50815201335456</v>
      </c>
      <c r="U226" s="97">
        <f t="shared" si="286"/>
        <v>148.56504434834508</v>
      </c>
      <c r="V226" s="97">
        <f t="shared" si="286"/>
        <v>179.60334514911946</v>
      </c>
      <c r="W226" s="97">
        <f t="shared" ref="W226" si="287">IF(W14=0,0,W74/W14*1000)</f>
        <v>164.5944060380337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160.46899566551522</v>
      </c>
      <c r="C227" s="97">
        <f t="shared" si="288"/>
        <v>156.90823496808548</v>
      </c>
      <c r="D227" s="97">
        <f t="shared" si="288"/>
        <v>155.08914966638116</v>
      </c>
      <c r="E227" s="97">
        <f t="shared" si="288"/>
        <v>149.47099763155239</v>
      </c>
      <c r="F227" s="97">
        <f t="shared" si="288"/>
        <v>149.58334966727639</v>
      </c>
      <c r="G227" s="97">
        <f t="shared" si="288"/>
        <v>143.49233280618563</v>
      </c>
      <c r="H227" s="97">
        <f t="shared" si="288"/>
        <v>148.17126897756094</v>
      </c>
      <c r="I227" s="97">
        <f t="shared" si="288"/>
        <v>149.89317005432312</v>
      </c>
      <c r="J227" s="97">
        <f t="shared" si="288"/>
        <v>148.05833910070334</v>
      </c>
      <c r="K227" s="97">
        <f t="shared" si="288"/>
        <v>138.16307704039116</v>
      </c>
      <c r="L227" s="97">
        <f t="shared" si="288"/>
        <v>135.49909809973462</v>
      </c>
      <c r="M227" s="97">
        <f t="shared" si="288"/>
        <v>124.91373279932503</v>
      </c>
      <c r="N227" s="97">
        <f t="shared" si="288"/>
        <v>115.38424406956906</v>
      </c>
      <c r="O227" s="97">
        <f t="shared" si="288"/>
        <v>113.01364195480753</v>
      </c>
      <c r="P227" s="97">
        <f t="shared" si="288"/>
        <v>106.49916389512896</v>
      </c>
      <c r="Q227" s="97">
        <f t="shared" si="288"/>
        <v>107.38877438842465</v>
      </c>
      <c r="R227" s="97">
        <f t="shared" si="288"/>
        <v>105.77334033665745</v>
      </c>
      <c r="S227" s="97">
        <f t="shared" si="288"/>
        <v>104.12195476885219</v>
      </c>
      <c r="T227" s="97">
        <f t="shared" si="288"/>
        <v>101.09824054089532</v>
      </c>
      <c r="U227" s="97">
        <f t="shared" si="288"/>
        <v>99.007936342754746</v>
      </c>
      <c r="V227" s="97">
        <f t="shared" si="288"/>
        <v>105.8442667543378</v>
      </c>
      <c r="W227" s="97">
        <f t="shared" ref="W227" si="289">IF(W15=0,0,W75/W15*1000)</f>
        <v>85.26046090534831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146.29376624256622</v>
      </c>
      <c r="C228" s="97">
        <f t="shared" si="290"/>
        <v>143.66024621625584</v>
      </c>
      <c r="D228" s="97">
        <f t="shared" si="290"/>
        <v>141.00165772795609</v>
      </c>
      <c r="E228" s="97">
        <f t="shared" si="290"/>
        <v>137.22633696749273</v>
      </c>
      <c r="F228" s="97">
        <f t="shared" si="290"/>
        <v>131.68304014238981</v>
      </c>
      <c r="G228" s="97">
        <f t="shared" si="290"/>
        <v>121.57332455461555</v>
      </c>
      <c r="H228" s="97">
        <f t="shared" si="290"/>
        <v>121.9856421357613</v>
      </c>
      <c r="I228" s="97">
        <f t="shared" si="290"/>
        <v>118.90864945193653</v>
      </c>
      <c r="J228" s="97">
        <f t="shared" si="290"/>
        <v>117.52919811954942</v>
      </c>
      <c r="K228" s="97">
        <f t="shared" si="290"/>
        <v>113.92509615018268</v>
      </c>
      <c r="L228" s="97">
        <f t="shared" si="290"/>
        <v>112.42692738045777</v>
      </c>
      <c r="M228" s="97">
        <f t="shared" si="290"/>
        <v>105.24763756271977</v>
      </c>
      <c r="N228" s="97">
        <f t="shared" si="290"/>
        <v>103.37580197140468</v>
      </c>
      <c r="O228" s="97">
        <f t="shared" si="290"/>
        <v>99.446337742942376</v>
      </c>
      <c r="P228" s="97">
        <f t="shared" si="290"/>
        <v>93.906978071100824</v>
      </c>
      <c r="Q228" s="97">
        <f t="shared" si="290"/>
        <v>99.227526950655772</v>
      </c>
      <c r="R228" s="97">
        <f t="shared" si="290"/>
        <v>98.89955521023397</v>
      </c>
      <c r="S228" s="97">
        <f t="shared" si="290"/>
        <v>94.5956309368094</v>
      </c>
      <c r="T228" s="97">
        <f t="shared" si="290"/>
        <v>91.353896021349001</v>
      </c>
      <c r="U228" s="97">
        <f t="shared" si="290"/>
        <v>92.782581760399722</v>
      </c>
      <c r="V228" s="97">
        <f t="shared" si="290"/>
        <v>125.97972891340991</v>
      </c>
      <c r="W228" s="97">
        <f t="shared" ref="W228" si="291">IF(W16=0,0,W76/W16*1000)</f>
        <v>117.14309119415543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140.74389768609149</v>
      </c>
      <c r="C229" s="32">
        <f t="shared" si="292"/>
        <v>141.14594847886039</v>
      </c>
      <c r="D229" s="32">
        <f t="shared" si="292"/>
        <v>137.75886674171727</v>
      </c>
      <c r="E229" s="32">
        <f t="shared" si="292"/>
        <v>136.39693058072669</v>
      </c>
      <c r="F229" s="32">
        <f t="shared" si="292"/>
        <v>132.24621232676745</v>
      </c>
      <c r="G229" s="32">
        <f t="shared" si="292"/>
        <v>130.88146122046953</v>
      </c>
      <c r="H229" s="32">
        <f t="shared" si="292"/>
        <v>124.95412900881472</v>
      </c>
      <c r="I229" s="32">
        <f t="shared" si="292"/>
        <v>122.539628219639</v>
      </c>
      <c r="J229" s="32">
        <f t="shared" si="292"/>
        <v>118.16239847363458</v>
      </c>
      <c r="K229" s="32">
        <f t="shared" si="292"/>
        <v>127.85118138729376</v>
      </c>
      <c r="L229" s="32">
        <f t="shared" si="292"/>
        <v>127.06420102656851</v>
      </c>
      <c r="M229" s="32">
        <f t="shared" si="292"/>
        <v>128.40530769872225</v>
      </c>
      <c r="N229" s="32">
        <f t="shared" si="292"/>
        <v>130.48192676904273</v>
      </c>
      <c r="O229" s="32">
        <f t="shared" si="292"/>
        <v>131.64452609190712</v>
      </c>
      <c r="P229" s="32">
        <f t="shared" si="292"/>
        <v>129.68511661213611</v>
      </c>
      <c r="Q229" s="32">
        <f t="shared" si="292"/>
        <v>131.71285246259706</v>
      </c>
      <c r="R229" s="32">
        <f t="shared" si="292"/>
        <v>131.68987597921839</v>
      </c>
      <c r="S229" s="32">
        <f t="shared" si="292"/>
        <v>126.66381660875007</v>
      </c>
      <c r="T229" s="32">
        <f t="shared" si="292"/>
        <v>122.9047933592356</v>
      </c>
      <c r="U229" s="32">
        <f t="shared" si="292"/>
        <v>120.01521832471246</v>
      </c>
      <c r="V229" s="32">
        <f t="shared" si="292"/>
        <v>115.62991237649118</v>
      </c>
      <c r="W229" s="32">
        <f t="shared" ref="W229" si="293">IF(W17=0,0,W77/W17*1000)</f>
        <v>119.59732072422949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178.04650178459815</v>
      </c>
      <c r="C230" s="141">
        <f t="shared" si="294"/>
        <v>171.76574838113407</v>
      </c>
      <c r="D230" s="141">
        <f t="shared" si="294"/>
        <v>166.83652151552158</v>
      </c>
      <c r="E230" s="141">
        <f t="shared" si="294"/>
        <v>161.79786764491848</v>
      </c>
      <c r="F230" s="141">
        <f t="shared" si="294"/>
        <v>153.16565170445341</v>
      </c>
      <c r="G230" s="141">
        <f t="shared" si="294"/>
        <v>150.21323481040193</v>
      </c>
      <c r="H230" s="141">
        <f t="shared" si="294"/>
        <v>145.54900567311159</v>
      </c>
      <c r="I230" s="141">
        <f t="shared" si="294"/>
        <v>138.95241532590342</v>
      </c>
      <c r="J230" s="141">
        <f t="shared" si="294"/>
        <v>135.68804927437006</v>
      </c>
      <c r="K230" s="141">
        <f t="shared" si="294"/>
        <v>145.4756984230456</v>
      </c>
      <c r="L230" s="141">
        <f t="shared" si="294"/>
        <v>142.84890415039601</v>
      </c>
      <c r="M230" s="141">
        <f t="shared" si="294"/>
        <v>146.78303574860578</v>
      </c>
      <c r="N230" s="141">
        <f t="shared" si="294"/>
        <v>148.77637689979898</v>
      </c>
      <c r="O230" s="141">
        <f t="shared" si="294"/>
        <v>146.83711524034862</v>
      </c>
      <c r="P230" s="141">
        <f t="shared" si="294"/>
        <v>146.97999409380486</v>
      </c>
      <c r="Q230" s="141">
        <f t="shared" si="294"/>
        <v>151.57340461857657</v>
      </c>
      <c r="R230" s="141">
        <f t="shared" si="294"/>
        <v>149.23161375354235</v>
      </c>
      <c r="S230" s="141">
        <f t="shared" si="294"/>
        <v>142.2822891763544</v>
      </c>
      <c r="T230" s="141">
        <f t="shared" si="294"/>
        <v>137.82368486372548</v>
      </c>
      <c r="U230" s="141">
        <f t="shared" si="294"/>
        <v>134.44107873196239</v>
      </c>
      <c r="V230" s="141">
        <f t="shared" si="294"/>
        <v>128.03306532817746</v>
      </c>
      <c r="W230" s="141">
        <f t="shared" ref="W230" si="295">IF(W18=0,0,W78/W18*1000)</f>
        <v>133.60882100747619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1445.9720584135389</v>
      </c>
      <c r="C231" s="97">
        <f t="shared" si="296"/>
        <v>1398.9685366650847</v>
      </c>
      <c r="D231" s="97">
        <f t="shared" si="296"/>
        <v>1367.4344876776238</v>
      </c>
      <c r="E231" s="97">
        <f t="shared" si="296"/>
        <v>1324.9615827036496</v>
      </c>
      <c r="F231" s="97">
        <f t="shared" si="296"/>
        <v>1281.9226941617762</v>
      </c>
      <c r="G231" s="97">
        <f t="shared" si="296"/>
        <v>1252.7892013930532</v>
      </c>
      <c r="H231" s="97">
        <f t="shared" si="296"/>
        <v>1226.7732501201638</v>
      </c>
      <c r="I231" s="97">
        <f t="shared" si="296"/>
        <v>1184.8204299795298</v>
      </c>
      <c r="J231" s="97">
        <f t="shared" si="296"/>
        <v>1145.6224395970539</v>
      </c>
      <c r="K231" s="97">
        <f t="shared" si="296"/>
        <v>1142.4969017994374</v>
      </c>
      <c r="L231" s="97">
        <f t="shared" si="296"/>
        <v>1142.5818021689738</v>
      </c>
      <c r="M231" s="97">
        <f t="shared" si="296"/>
        <v>1157.2406767777759</v>
      </c>
      <c r="N231" s="97">
        <f t="shared" si="296"/>
        <v>1144.688259512563</v>
      </c>
      <c r="O231" s="97">
        <f t="shared" si="296"/>
        <v>1128.2630527895544</v>
      </c>
      <c r="P231" s="97">
        <f t="shared" si="296"/>
        <v>1104.224819928311</v>
      </c>
      <c r="Q231" s="97">
        <f t="shared" si="296"/>
        <v>1098.1354167675995</v>
      </c>
      <c r="R231" s="97">
        <f t="shared" si="296"/>
        <v>1089.7444706875042</v>
      </c>
      <c r="S231" s="97">
        <f t="shared" si="296"/>
        <v>1080.1779228258738</v>
      </c>
      <c r="T231" s="97">
        <f t="shared" si="296"/>
        <v>1068.4591097286088</v>
      </c>
      <c r="U231" s="97">
        <f t="shared" si="296"/>
        <v>1050.1892497531428</v>
      </c>
      <c r="V231" s="97">
        <f t="shared" si="296"/>
        <v>1015.8614697799227</v>
      </c>
      <c r="W231" s="97">
        <f t="shared" ref="W231" si="297">IF(W19=0,0,W79/W19*1000)</f>
        <v>1056.0961262136741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101.88936272741772</v>
      </c>
      <c r="C232" s="97">
        <f t="shared" si="298"/>
        <v>98.993298988708602</v>
      </c>
      <c r="D232" s="97">
        <f t="shared" si="298"/>
        <v>96.782131900489091</v>
      </c>
      <c r="E232" s="97">
        <f t="shared" si="298"/>
        <v>94.650946759991456</v>
      </c>
      <c r="F232" s="97">
        <f t="shared" si="298"/>
        <v>93.389128375259588</v>
      </c>
      <c r="G232" s="97">
        <f t="shared" si="298"/>
        <v>92.271929125896435</v>
      </c>
      <c r="H232" s="97">
        <f t="shared" si="298"/>
        <v>89.818052243394305</v>
      </c>
      <c r="I232" s="97">
        <f t="shared" si="298"/>
        <v>86.644392648338481</v>
      </c>
      <c r="J232" s="97">
        <f t="shared" si="298"/>
        <v>84.114436780156751</v>
      </c>
      <c r="K232" s="97">
        <f t="shared" si="298"/>
        <v>85.791006152381996</v>
      </c>
      <c r="L232" s="97">
        <f t="shared" si="298"/>
        <v>84.37747710447708</v>
      </c>
      <c r="M232" s="97">
        <f t="shared" si="298"/>
        <v>85.871156055753673</v>
      </c>
      <c r="N232" s="97">
        <f t="shared" si="298"/>
        <v>85.007007370294431</v>
      </c>
      <c r="O232" s="97">
        <f t="shared" si="298"/>
        <v>84.149008546131498</v>
      </c>
      <c r="P232" s="97">
        <f t="shared" si="298"/>
        <v>84.00987928627552</v>
      </c>
      <c r="Q232" s="97">
        <f t="shared" si="298"/>
        <v>84.808158180994724</v>
      </c>
      <c r="R232" s="97">
        <f t="shared" si="298"/>
        <v>85.093659008314248</v>
      </c>
      <c r="S232" s="97">
        <f t="shared" si="298"/>
        <v>81.274625222067755</v>
      </c>
      <c r="T232" s="97">
        <f t="shared" si="298"/>
        <v>78.430480157679611</v>
      </c>
      <c r="U232" s="97">
        <f t="shared" si="298"/>
        <v>77.122876700113807</v>
      </c>
      <c r="V232" s="97">
        <f t="shared" si="298"/>
        <v>76.558001983515524</v>
      </c>
      <c r="W232" s="97">
        <f t="shared" ref="W232" si="299">IF(W20=0,0,W80/W20*1000)</f>
        <v>77.018858859444151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6.0257785757903024</v>
      </c>
      <c r="C233" s="130">
        <f t="shared" si="300"/>
        <v>4.7147082342550375</v>
      </c>
      <c r="D233" s="130">
        <f t="shared" si="300"/>
        <v>4.8598632246800886</v>
      </c>
      <c r="E233" s="130">
        <f t="shared" si="300"/>
        <v>4.585866650010102</v>
      </c>
      <c r="F233" s="130">
        <f t="shared" si="300"/>
        <v>3.788621306945243</v>
      </c>
      <c r="G233" s="130">
        <f t="shared" si="300"/>
        <v>3.3620707851008955</v>
      </c>
      <c r="H233" s="130">
        <f t="shared" si="300"/>
        <v>3.0307352410510107</v>
      </c>
      <c r="I233" s="130">
        <f t="shared" si="300"/>
        <v>2.8319321829295712</v>
      </c>
      <c r="J233" s="130">
        <f t="shared" si="300"/>
        <v>3.0112311834777175</v>
      </c>
      <c r="K233" s="130">
        <f t="shared" si="300"/>
        <v>2.8267484873298372</v>
      </c>
      <c r="L233" s="130">
        <f t="shared" si="300"/>
        <v>2.7675773388383571</v>
      </c>
      <c r="M233" s="130">
        <f t="shared" si="300"/>
        <v>2.4025046498124287</v>
      </c>
      <c r="N233" s="130">
        <f t="shared" si="300"/>
        <v>2.0872127431751855</v>
      </c>
      <c r="O233" s="130">
        <f t="shared" si="300"/>
        <v>2.171848282810291</v>
      </c>
      <c r="P233" s="130">
        <f t="shared" si="300"/>
        <v>1.922695534727517</v>
      </c>
      <c r="Q233" s="130">
        <f t="shared" si="300"/>
        <v>1.8189879240116644</v>
      </c>
      <c r="R233" s="130">
        <f t="shared" si="300"/>
        <v>1.6776279731399049</v>
      </c>
      <c r="S233" s="130">
        <f t="shared" si="300"/>
        <v>1.7433407148185398</v>
      </c>
      <c r="T233" s="130">
        <f t="shared" si="300"/>
        <v>1.5761544020688143</v>
      </c>
      <c r="U233" s="130">
        <f t="shared" si="300"/>
        <v>1.6618066792699682</v>
      </c>
      <c r="V233" s="130">
        <f t="shared" si="300"/>
        <v>1.9059152491155942</v>
      </c>
      <c r="W233" s="130">
        <f t="shared" ref="W233" si="301">IF(W21=0,0,W81/W21*1000)</f>
        <v>1.9045729633960167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248.4821874444267</v>
      </c>
      <c r="C234" s="130">
        <f t="shared" si="302"/>
        <v>243.74496106949272</v>
      </c>
      <c r="D234" s="130">
        <f t="shared" si="302"/>
        <v>248.32557500892082</v>
      </c>
      <c r="E234" s="130">
        <f t="shared" si="302"/>
        <v>257.30683770406671</v>
      </c>
      <c r="F234" s="130">
        <f t="shared" si="302"/>
        <v>273.7869853576513</v>
      </c>
      <c r="G234" s="130">
        <f t="shared" si="302"/>
        <v>276.63824561109038</v>
      </c>
      <c r="H234" s="130">
        <f t="shared" si="302"/>
        <v>286.11911537509695</v>
      </c>
      <c r="I234" s="130">
        <f t="shared" si="302"/>
        <v>282.46973219245723</v>
      </c>
      <c r="J234" s="130">
        <f t="shared" si="302"/>
        <v>292.52087439228438</v>
      </c>
      <c r="K234" s="130">
        <f t="shared" si="302"/>
        <v>268.74162202304103</v>
      </c>
      <c r="L234" s="130">
        <f t="shared" si="302"/>
        <v>292.04713310109474</v>
      </c>
      <c r="M234" s="130">
        <f t="shared" si="302"/>
        <v>257.76018458756386</v>
      </c>
      <c r="N234" s="130">
        <f t="shared" si="302"/>
        <v>264.26237667262927</v>
      </c>
      <c r="O234" s="130">
        <f t="shared" si="302"/>
        <v>259.19043197776637</v>
      </c>
      <c r="P234" s="130">
        <f t="shared" si="302"/>
        <v>209.14070679811527</v>
      </c>
      <c r="Q234" s="130">
        <f t="shared" si="302"/>
        <v>226.36803538720113</v>
      </c>
      <c r="R234" s="130">
        <f t="shared" si="302"/>
        <v>209.3674928918407</v>
      </c>
      <c r="S234" s="130">
        <f t="shared" si="302"/>
        <v>215.16893389666834</v>
      </c>
      <c r="T234" s="130">
        <f t="shared" si="302"/>
        <v>206.75843144717334</v>
      </c>
      <c r="U234" s="130">
        <f t="shared" si="302"/>
        <v>202.99448561076355</v>
      </c>
      <c r="V234" s="130">
        <f t="shared" si="302"/>
        <v>299.65877891156293</v>
      </c>
      <c r="W234" s="130">
        <f t="shared" ref="W234" si="303">IF(W22=0,0,W82/W22*1000)</f>
        <v>278.19238165987696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1080.519675227689</v>
      </c>
      <c r="C235" s="97">
        <f t="shared" si="304"/>
        <v>1078.5727703268528</v>
      </c>
      <c r="D235" s="97">
        <f t="shared" si="304"/>
        <v>952.99864144359583</v>
      </c>
      <c r="E235" s="97">
        <f t="shared" si="304"/>
        <v>862.07016025638336</v>
      </c>
      <c r="F235" s="97">
        <f t="shared" si="304"/>
        <v>938.90437047109856</v>
      </c>
      <c r="G235" s="97">
        <f t="shared" si="304"/>
        <v>963.41460229734707</v>
      </c>
      <c r="H235" s="97">
        <f t="shared" si="304"/>
        <v>927.50403060790234</v>
      </c>
      <c r="I235" s="97">
        <f t="shared" si="304"/>
        <v>872.12901737921254</v>
      </c>
      <c r="J235" s="97">
        <f t="shared" si="304"/>
        <v>863.99768562357576</v>
      </c>
      <c r="K235" s="97">
        <f t="shared" si="304"/>
        <v>765.02174399889407</v>
      </c>
      <c r="L235" s="97">
        <f t="shared" si="304"/>
        <v>728.2856961448291</v>
      </c>
      <c r="M235" s="97">
        <f t="shared" si="304"/>
        <v>1174.1026208356313</v>
      </c>
      <c r="N235" s="97">
        <f t="shared" si="304"/>
        <v>1201.963387491895</v>
      </c>
      <c r="O235" s="97">
        <f t="shared" si="304"/>
        <v>1154.7060597205441</v>
      </c>
      <c r="P235" s="97">
        <f t="shared" si="304"/>
        <v>1000.9668172481903</v>
      </c>
      <c r="Q235" s="97">
        <f t="shared" si="304"/>
        <v>981.49020462981798</v>
      </c>
      <c r="R235" s="97">
        <f t="shared" si="304"/>
        <v>870.25137193368664</v>
      </c>
      <c r="S235" s="97">
        <f t="shared" si="304"/>
        <v>928.95626693789848</v>
      </c>
      <c r="T235" s="97">
        <f t="shared" si="304"/>
        <v>913.01396740574546</v>
      </c>
      <c r="U235" s="97">
        <f t="shared" si="304"/>
        <v>814.44569983867859</v>
      </c>
      <c r="V235" s="97">
        <f t="shared" si="304"/>
        <v>900.47642498795801</v>
      </c>
      <c r="W235" s="97">
        <f t="shared" ref="W235" si="305">IF(W23=0,0,W83/W23*1000)</f>
        <v>848.98348758759437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534.84581524398118</v>
      </c>
      <c r="C236" s="97">
        <f t="shared" si="306"/>
        <v>513.34142510441154</v>
      </c>
      <c r="D236" s="97">
        <f t="shared" si="306"/>
        <v>545.65176007900675</v>
      </c>
      <c r="E236" s="97">
        <f t="shared" si="306"/>
        <v>519.90514929986728</v>
      </c>
      <c r="F236" s="97">
        <f t="shared" si="306"/>
        <v>587.49563548859408</v>
      </c>
      <c r="G236" s="97">
        <f t="shared" si="306"/>
        <v>603.19516534507341</v>
      </c>
      <c r="H236" s="97">
        <f t="shared" si="306"/>
        <v>725.71940809024954</v>
      </c>
      <c r="I236" s="97">
        <f t="shared" si="306"/>
        <v>747.15832979234835</v>
      </c>
      <c r="J236" s="97">
        <f t="shared" si="306"/>
        <v>738.59498679224737</v>
      </c>
      <c r="K236" s="97">
        <f t="shared" si="306"/>
        <v>696.7248603530611</v>
      </c>
      <c r="L236" s="97">
        <f t="shared" si="306"/>
        <v>758.86055207295408</v>
      </c>
      <c r="M236" s="97">
        <f t="shared" si="306"/>
        <v>687.58020965493949</v>
      </c>
      <c r="N236" s="97">
        <f t="shared" si="306"/>
        <v>611.14575019161543</v>
      </c>
      <c r="O236" s="97">
        <f t="shared" si="306"/>
        <v>631.86307599985275</v>
      </c>
      <c r="P236" s="97">
        <f t="shared" si="306"/>
        <v>536.81279868614808</v>
      </c>
      <c r="Q236" s="97">
        <f t="shared" si="306"/>
        <v>556.41508920924321</v>
      </c>
      <c r="R236" s="97">
        <f t="shared" si="306"/>
        <v>503.83631020996688</v>
      </c>
      <c r="S236" s="97">
        <f t="shared" si="306"/>
        <v>569.64762256214988</v>
      </c>
      <c r="T236" s="97">
        <f t="shared" si="306"/>
        <v>563.95845405036027</v>
      </c>
      <c r="U236" s="97">
        <f t="shared" si="306"/>
        <v>535.50486968584892</v>
      </c>
      <c r="V236" s="97">
        <f t="shared" si="306"/>
        <v>565.71299447818421</v>
      </c>
      <c r="W236" s="97">
        <f t="shared" ref="W236" si="307">IF(W24=0,0,W84/W24*1000)</f>
        <v>503.16291236247423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212.13466324851584</v>
      </c>
      <c r="C237" s="97">
        <f t="shared" si="308"/>
        <v>202.46186157624399</v>
      </c>
      <c r="D237" s="97">
        <f t="shared" si="308"/>
        <v>214.09430177927459</v>
      </c>
      <c r="E237" s="97">
        <f t="shared" si="308"/>
        <v>228.93622640016628</v>
      </c>
      <c r="F237" s="97">
        <f t="shared" si="308"/>
        <v>244.22425128622547</v>
      </c>
      <c r="G237" s="97">
        <f t="shared" si="308"/>
        <v>247.84173579419812</v>
      </c>
      <c r="H237" s="97">
        <f t="shared" si="308"/>
        <v>256.84342985452645</v>
      </c>
      <c r="I237" s="97">
        <f t="shared" si="308"/>
        <v>254.68923308111752</v>
      </c>
      <c r="J237" s="97">
        <f t="shared" si="308"/>
        <v>267.68915836930665</v>
      </c>
      <c r="K237" s="97">
        <f t="shared" si="308"/>
        <v>242.7595930551401</v>
      </c>
      <c r="L237" s="97">
        <f t="shared" si="308"/>
        <v>269.43962464866547</v>
      </c>
      <c r="M237" s="97">
        <f t="shared" si="308"/>
        <v>229.49503646469697</v>
      </c>
      <c r="N237" s="97">
        <f t="shared" si="308"/>
        <v>236.99156828536255</v>
      </c>
      <c r="O237" s="97">
        <f t="shared" si="308"/>
        <v>229.78571483640775</v>
      </c>
      <c r="P237" s="97">
        <f t="shared" si="308"/>
        <v>183.88699304317609</v>
      </c>
      <c r="Q237" s="97">
        <f t="shared" si="308"/>
        <v>201.47715419355009</v>
      </c>
      <c r="R237" s="97">
        <f t="shared" si="308"/>
        <v>186.07631239913749</v>
      </c>
      <c r="S237" s="97">
        <f t="shared" si="308"/>
        <v>189.14116430157731</v>
      </c>
      <c r="T237" s="97">
        <f t="shared" si="308"/>
        <v>182.71898186490623</v>
      </c>
      <c r="U237" s="97">
        <f t="shared" si="308"/>
        <v>178.72761782257865</v>
      </c>
      <c r="V237" s="97">
        <f t="shared" si="308"/>
        <v>274.62567005383664</v>
      </c>
      <c r="W237" s="97">
        <f t="shared" ref="W237" si="309">IF(W25=0,0,W85/W25*1000)</f>
        <v>252.01481096048457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50.521933566565778</v>
      </c>
      <c r="C238" s="130">
        <f t="shared" si="310"/>
        <v>57.540307466157898</v>
      </c>
      <c r="D238" s="130">
        <f t="shared" si="310"/>
        <v>55.998061528584358</v>
      </c>
      <c r="E238" s="130">
        <f t="shared" si="310"/>
        <v>65.976005547592649</v>
      </c>
      <c r="F238" s="130">
        <f t="shared" si="310"/>
        <v>70.777292218454718</v>
      </c>
      <c r="G238" s="130">
        <f t="shared" si="310"/>
        <v>62.340347634899494</v>
      </c>
      <c r="H238" s="130">
        <f t="shared" si="310"/>
        <v>47.434071738140368</v>
      </c>
      <c r="I238" s="130">
        <f t="shared" si="310"/>
        <v>68.224573856402344</v>
      </c>
      <c r="J238" s="130">
        <f t="shared" si="310"/>
        <v>52.475489866446168</v>
      </c>
      <c r="K238" s="130">
        <f t="shared" si="310"/>
        <v>63.116027173050661</v>
      </c>
      <c r="L238" s="130">
        <f t="shared" si="310"/>
        <v>59.768755721772244</v>
      </c>
      <c r="M238" s="130">
        <f t="shared" si="310"/>
        <v>56.830032842688254</v>
      </c>
      <c r="N238" s="130">
        <f t="shared" si="310"/>
        <v>60.324810467776842</v>
      </c>
      <c r="O238" s="130">
        <f t="shared" si="310"/>
        <v>84.40933347887723</v>
      </c>
      <c r="P238" s="130">
        <f t="shared" si="310"/>
        <v>68.927173188856358</v>
      </c>
      <c r="Q238" s="130">
        <f t="shared" si="310"/>
        <v>67.794512882563851</v>
      </c>
      <c r="R238" s="130">
        <f t="shared" si="310"/>
        <v>80.927804435696572</v>
      </c>
      <c r="S238" s="130">
        <f t="shared" si="310"/>
        <v>80.599215888840746</v>
      </c>
      <c r="T238" s="130">
        <f t="shared" si="310"/>
        <v>73.35959307852967</v>
      </c>
      <c r="U238" s="130">
        <f t="shared" si="310"/>
        <v>69.610769880923058</v>
      </c>
      <c r="V238" s="130">
        <f t="shared" si="310"/>
        <v>61.408387498650306</v>
      </c>
      <c r="W238" s="130">
        <f t="shared" ref="W238" si="311">IF(W26=0,0,W86/W26*1000)</f>
        <v>68.59198286287598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61.115236322557081</v>
      </c>
      <c r="C239" s="97">
        <f t="shared" si="312"/>
        <v>70.537619151882566</v>
      </c>
      <c r="D239" s="97">
        <f t="shared" si="312"/>
        <v>66.85679434600425</v>
      </c>
      <c r="E239" s="97">
        <f t="shared" si="312"/>
        <v>78.333297398867188</v>
      </c>
      <c r="F239" s="97">
        <f t="shared" si="312"/>
        <v>81.177148672277838</v>
      </c>
      <c r="G239" s="97">
        <f t="shared" si="312"/>
        <v>76.140361743833338</v>
      </c>
      <c r="H239" s="97">
        <f t="shared" si="312"/>
        <v>54.653398575901328</v>
      </c>
      <c r="I239" s="97">
        <f t="shared" si="312"/>
        <v>85.101703744208436</v>
      </c>
      <c r="J239" s="97">
        <f t="shared" si="312"/>
        <v>63.455137063982647</v>
      </c>
      <c r="K239" s="97">
        <f t="shared" si="312"/>
        <v>77.674138924832377</v>
      </c>
      <c r="L239" s="97">
        <f t="shared" si="312"/>
        <v>77.055882918109035</v>
      </c>
      <c r="M239" s="97">
        <f t="shared" si="312"/>
        <v>71.277905693481785</v>
      </c>
      <c r="N239" s="97">
        <f t="shared" si="312"/>
        <v>74.668011124778047</v>
      </c>
      <c r="O239" s="97">
        <f t="shared" si="312"/>
        <v>116.46211867440854</v>
      </c>
      <c r="P239" s="97">
        <f t="shared" si="312"/>
        <v>90.790734881673757</v>
      </c>
      <c r="Q239" s="97">
        <f t="shared" si="312"/>
        <v>88.059455476336822</v>
      </c>
      <c r="R239" s="97">
        <f t="shared" si="312"/>
        <v>111.91813562136356</v>
      </c>
      <c r="S239" s="97">
        <f t="shared" si="312"/>
        <v>109.3111224011364</v>
      </c>
      <c r="T239" s="97">
        <f t="shared" si="312"/>
        <v>95.317348606581149</v>
      </c>
      <c r="U239" s="97">
        <f t="shared" si="312"/>
        <v>91.402850177592143</v>
      </c>
      <c r="V239" s="97">
        <f t="shared" si="312"/>
        <v>76.273609436130855</v>
      </c>
      <c r="W239" s="97">
        <f t="shared" ref="W239" si="313">IF(W27=0,0,W87/W27*1000)</f>
        <v>85.267356271863164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27.502141314570249</v>
      </c>
      <c r="C240" s="98">
        <f t="shared" si="314"/>
        <v>34.483610907913445</v>
      </c>
      <c r="D240" s="98">
        <f t="shared" si="314"/>
        <v>35.529390876505545</v>
      </c>
      <c r="E240" s="98">
        <f t="shared" si="314"/>
        <v>45.660258914461011</v>
      </c>
      <c r="F240" s="98">
        <f t="shared" si="314"/>
        <v>53.245096567637944</v>
      </c>
      <c r="G240" s="98">
        <f t="shared" si="314"/>
        <v>40.441806481410396</v>
      </c>
      <c r="H240" s="98">
        <f t="shared" si="314"/>
        <v>29.69203688972333</v>
      </c>
      <c r="I240" s="98">
        <f t="shared" si="314"/>
        <v>43.92920490066453</v>
      </c>
      <c r="J240" s="98">
        <f t="shared" si="314"/>
        <v>29.084960874523428</v>
      </c>
      <c r="K240" s="98">
        <f t="shared" si="314"/>
        <v>38.51570620337958</v>
      </c>
      <c r="L240" s="98">
        <f t="shared" si="314"/>
        <v>31.727380414130611</v>
      </c>
      <c r="M240" s="98">
        <f t="shared" si="314"/>
        <v>31.151754066800514</v>
      </c>
      <c r="N240" s="98">
        <f t="shared" si="314"/>
        <v>36.850808064223699</v>
      </c>
      <c r="O240" s="98">
        <f t="shared" si="314"/>
        <v>57.59451890439977</v>
      </c>
      <c r="P240" s="98">
        <f t="shared" si="314"/>
        <v>39.432955263861345</v>
      </c>
      <c r="Q240" s="98">
        <f t="shared" si="314"/>
        <v>37.522574585848403</v>
      </c>
      <c r="R240" s="98">
        <f t="shared" si="314"/>
        <v>46.7777129602771</v>
      </c>
      <c r="S240" s="98">
        <f t="shared" si="314"/>
        <v>42.739771630002565</v>
      </c>
      <c r="T240" s="98">
        <f t="shared" si="314"/>
        <v>37.742263646944373</v>
      </c>
      <c r="U240" s="98">
        <f t="shared" si="314"/>
        <v>35.814557231176209</v>
      </c>
      <c r="V240" s="98">
        <f t="shared" si="314"/>
        <v>33.541331527750053</v>
      </c>
      <c r="W240" s="98">
        <f t="shared" ref="W240:W243" si="315">IF(W28=0,0,W88/W28*1000)</f>
        <v>37.585204377447234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14.405884952056111</v>
      </c>
      <c r="C241" s="32">
        <f t="shared" si="316"/>
        <v>12.622933881519149</v>
      </c>
      <c r="D241" s="32">
        <f t="shared" si="316"/>
        <v>11.922373782283445</v>
      </c>
      <c r="E241" s="32">
        <f t="shared" si="316"/>
        <v>12.661877126472636</v>
      </c>
      <c r="F241" s="32">
        <f t="shared" si="316"/>
        <v>14.058379422867757</v>
      </c>
      <c r="G241" s="32">
        <f t="shared" si="316"/>
        <v>12.623559590435983</v>
      </c>
      <c r="H241" s="32">
        <f t="shared" si="316"/>
        <v>12.694129237975494</v>
      </c>
      <c r="I241" s="32">
        <f t="shared" si="316"/>
        <v>18.025559864345805</v>
      </c>
      <c r="J241" s="32">
        <f t="shared" si="316"/>
        <v>12.594481063830782</v>
      </c>
      <c r="K241" s="32">
        <f t="shared" si="316"/>
        <v>14.124073767441132</v>
      </c>
      <c r="L241" s="32">
        <f t="shared" si="316"/>
        <v>12.882200303649645</v>
      </c>
      <c r="M241" s="32">
        <f t="shared" si="316"/>
        <v>14.823447838159893</v>
      </c>
      <c r="N241" s="32">
        <f t="shared" si="316"/>
        <v>14.855558729052522</v>
      </c>
      <c r="O241" s="32">
        <f t="shared" si="316"/>
        <v>17.10104580943197</v>
      </c>
      <c r="P241" s="32">
        <f t="shared" si="316"/>
        <v>10.825117881362797</v>
      </c>
      <c r="Q241" s="32">
        <f t="shared" si="316"/>
        <v>9.4234384604319956</v>
      </c>
      <c r="R241" s="32">
        <f t="shared" si="316"/>
        <v>9.5401845571961932</v>
      </c>
      <c r="S241" s="32">
        <f t="shared" si="316"/>
        <v>9.4985197620507194</v>
      </c>
      <c r="T241" s="32">
        <f t="shared" si="316"/>
        <v>10.672473540917734</v>
      </c>
      <c r="U241" s="32">
        <f t="shared" si="316"/>
        <v>9.4375242945010722</v>
      </c>
      <c r="V241" s="32">
        <f t="shared" si="316"/>
        <v>6.0128214945502831</v>
      </c>
      <c r="W241" s="32">
        <f t="shared" si="315"/>
        <v>6.245553178880999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34.774400548673754</v>
      </c>
      <c r="C242" s="97">
        <f t="shared" si="317"/>
        <v>30.386051888548632</v>
      </c>
      <c r="D242" s="97">
        <f t="shared" si="317"/>
        <v>29.292499644948148</v>
      </c>
      <c r="E242" s="97">
        <f t="shared" si="317"/>
        <v>31.405156666362664</v>
      </c>
      <c r="F242" s="97">
        <f t="shared" si="317"/>
        <v>34.368101798328858</v>
      </c>
      <c r="G242" s="97">
        <f t="shared" si="317"/>
        <v>31.836707650763735</v>
      </c>
      <c r="H242" s="97">
        <f t="shared" si="317"/>
        <v>33.464410147544314</v>
      </c>
      <c r="I242" s="97">
        <f t="shared" si="317"/>
        <v>47.203542910521385</v>
      </c>
      <c r="J242" s="97">
        <f t="shared" si="317"/>
        <v>33.836052926157009</v>
      </c>
      <c r="K242" s="97">
        <f t="shared" si="317"/>
        <v>36.536224157283264</v>
      </c>
      <c r="L242" s="97">
        <f t="shared" si="317"/>
        <v>33.57717303206897</v>
      </c>
      <c r="M242" s="97">
        <f t="shared" si="317"/>
        <v>39.188871089185128</v>
      </c>
      <c r="N242" s="97">
        <f t="shared" si="317"/>
        <v>39.537477207667294</v>
      </c>
      <c r="O242" s="97">
        <f t="shared" si="317"/>
        <v>46.826616973233762</v>
      </c>
      <c r="P242" s="97">
        <f t="shared" si="317"/>
        <v>29.335972364924977</v>
      </c>
      <c r="Q242" s="97">
        <f t="shared" si="317"/>
        <v>26.304016388191769</v>
      </c>
      <c r="R242" s="97">
        <f t="shared" si="317"/>
        <v>25.103525241718959</v>
      </c>
      <c r="S242" s="97">
        <f t="shared" si="317"/>
        <v>25.330608962290974</v>
      </c>
      <c r="T242" s="97">
        <f t="shared" si="317"/>
        <v>28.650360984069341</v>
      </c>
      <c r="U242" s="97">
        <f t="shared" si="317"/>
        <v>25.849171472711717</v>
      </c>
      <c r="V242" s="97">
        <f t="shared" si="317"/>
        <v>14.07028874711853</v>
      </c>
      <c r="W242" s="97">
        <f t="shared" si="315"/>
        <v>15.590107347955358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11.591975459115863</v>
      </c>
      <c r="C243" s="98">
        <f t="shared" si="318"/>
        <v>10.150084977027724</v>
      </c>
      <c r="D243" s="98">
        <f t="shared" si="318"/>
        <v>9.7422898124664172</v>
      </c>
      <c r="E243" s="98">
        <f t="shared" si="318"/>
        <v>10.378322355724688</v>
      </c>
      <c r="F243" s="98">
        <f t="shared" si="318"/>
        <v>11.477354368719103</v>
      </c>
      <c r="G243" s="98">
        <f t="shared" si="318"/>
        <v>10.379647148128903</v>
      </c>
      <c r="H243" s="98">
        <f t="shared" si="318"/>
        <v>10.598360481703992</v>
      </c>
      <c r="I243" s="98">
        <f t="shared" si="318"/>
        <v>14.99922511106803</v>
      </c>
      <c r="J243" s="98">
        <f t="shared" si="318"/>
        <v>10.514519473190807</v>
      </c>
      <c r="K243" s="98">
        <f t="shared" si="318"/>
        <v>11.65896439512554</v>
      </c>
      <c r="L243" s="98">
        <f t="shared" si="318"/>
        <v>10.616738541837755</v>
      </c>
      <c r="M243" s="98">
        <f t="shared" si="318"/>
        <v>12.280846998233296</v>
      </c>
      <c r="N243" s="98">
        <f t="shared" si="318"/>
        <v>12.282072210858482</v>
      </c>
      <c r="O243" s="98">
        <f t="shared" si="318"/>
        <v>14.301438965409636</v>
      </c>
      <c r="P243" s="98">
        <f t="shared" si="318"/>
        <v>9.0444185839800859</v>
      </c>
      <c r="Q243" s="98">
        <f t="shared" si="318"/>
        <v>7.9428423527034608</v>
      </c>
      <c r="R243" s="98">
        <f t="shared" si="318"/>
        <v>7.9237605967010571</v>
      </c>
      <c r="S243" s="98">
        <f t="shared" si="318"/>
        <v>7.9033630528957763</v>
      </c>
      <c r="T243" s="98">
        <f t="shared" si="318"/>
        <v>8.8671691189935515</v>
      </c>
      <c r="U243" s="98">
        <f t="shared" si="318"/>
        <v>7.8700563887423369</v>
      </c>
      <c r="V243" s="98">
        <f t="shared" si="318"/>
        <v>5.1909811819560669</v>
      </c>
      <c r="W243" s="98">
        <f t="shared" si="315"/>
        <v>5.3938159599037343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748659.90659007907</v>
      </c>
      <c r="C4" s="29">
        <f t="shared" si="0"/>
        <v>772763.82672474429</v>
      </c>
      <c r="D4" s="29">
        <f t="shared" si="0"/>
        <v>779360.90159331739</v>
      </c>
      <c r="E4" s="29">
        <f t="shared" si="0"/>
        <v>781455.80536704126</v>
      </c>
      <c r="F4" s="29">
        <f t="shared" si="0"/>
        <v>779811.92983109574</v>
      </c>
      <c r="G4" s="29">
        <f t="shared" si="0"/>
        <v>770216.95515239809</v>
      </c>
      <c r="H4" s="29">
        <f t="shared" si="0"/>
        <v>768787.38454761554</v>
      </c>
      <c r="I4" s="29">
        <f t="shared" si="0"/>
        <v>774484.58420157677</v>
      </c>
      <c r="J4" s="29">
        <f t="shared" si="0"/>
        <v>760190.12236391776</v>
      </c>
      <c r="K4" s="29">
        <f t="shared" si="0"/>
        <v>760873.89184140658</v>
      </c>
      <c r="L4" s="29">
        <f t="shared" ref="L4" si="1">L5+L6+L13</f>
        <v>767361.44135381212</v>
      </c>
      <c r="M4" s="29">
        <f t="shared" ref="M4:V4" si="2">M5+M6+M13</f>
        <v>768363.74889616086</v>
      </c>
      <c r="N4" s="29">
        <f t="shared" si="2"/>
        <v>827330.75338583719</v>
      </c>
      <c r="O4" s="29">
        <f t="shared" si="2"/>
        <v>833526.9434120548</v>
      </c>
      <c r="P4" s="29">
        <f t="shared" si="2"/>
        <v>845936.73049925198</v>
      </c>
      <c r="Q4" s="29">
        <f t="shared" si="2"/>
        <v>857341.29701655975</v>
      </c>
      <c r="R4" s="29">
        <f t="shared" si="2"/>
        <v>869704.80237246235</v>
      </c>
      <c r="S4" s="29">
        <f t="shared" si="2"/>
        <v>876865.63745896064</v>
      </c>
      <c r="T4" s="29">
        <f t="shared" si="2"/>
        <v>874708.76680386777</v>
      </c>
      <c r="U4" s="29">
        <f t="shared" si="2"/>
        <v>871560.02251024125</v>
      </c>
      <c r="V4" s="29">
        <f t="shared" si="2"/>
        <v>680570.66419074836</v>
      </c>
      <c r="W4" s="29">
        <f t="shared" ref="W4" si="3">W5+W6+W13</f>
        <v>772936.94467364915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11329.676839666583</v>
      </c>
      <c r="C5" s="152">
        <f t="shared" si="4"/>
        <v>12435.230187091898</v>
      </c>
      <c r="D5" s="152">
        <f t="shared" si="4"/>
        <v>13833.13676132711</v>
      </c>
      <c r="E5" s="152">
        <f t="shared" si="4"/>
        <v>14026.099575929211</v>
      </c>
      <c r="F5" s="152">
        <f t="shared" si="4"/>
        <v>14851.971531496974</v>
      </c>
      <c r="G5" s="152">
        <f t="shared" si="4"/>
        <v>15496.692509835066</v>
      </c>
      <c r="H5" s="152">
        <f t="shared" si="4"/>
        <v>15436.404503999742</v>
      </c>
      <c r="I5" s="152">
        <f t="shared" si="4"/>
        <v>16090.400815018298</v>
      </c>
      <c r="J5" s="152">
        <f t="shared" si="4"/>
        <v>16998.608710650489</v>
      </c>
      <c r="K5" s="152">
        <f t="shared" si="4"/>
        <v>17580.235530982216</v>
      </c>
      <c r="L5" s="152">
        <f t="shared" ref="L5:L7" si="5">IF(L32=0,0,L32*L142)</f>
        <v>17449.169706309018</v>
      </c>
      <c r="M5" s="152">
        <f t="shared" ref="M5:V5" si="6">IF(M32=0,0,M32*M142)</f>
        <v>17886.424857290902</v>
      </c>
      <c r="N5" s="152">
        <f t="shared" si="6"/>
        <v>17384.916417033808</v>
      </c>
      <c r="O5" s="152">
        <f t="shared" si="6"/>
        <v>17525.467499827111</v>
      </c>
      <c r="P5" s="152">
        <f t="shared" si="6"/>
        <v>18018.966169672316</v>
      </c>
      <c r="Q5" s="152">
        <f t="shared" si="6"/>
        <v>18111.786807475954</v>
      </c>
      <c r="R5" s="152">
        <f t="shared" si="6"/>
        <v>16811.319874071058</v>
      </c>
      <c r="S5" s="152">
        <f t="shared" si="6"/>
        <v>16041.25969803535</v>
      </c>
      <c r="T5" s="152">
        <f t="shared" si="6"/>
        <v>15202.088820644627</v>
      </c>
      <c r="U5" s="152">
        <f t="shared" si="6"/>
        <v>16062.004707493323</v>
      </c>
      <c r="V5" s="152">
        <f t="shared" si="6"/>
        <v>13793.042725231129</v>
      </c>
      <c r="W5" s="152">
        <f t="shared" ref="W5" si="7">IF(W32=0,0,W32*W142)</f>
        <v>14359.597639006963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687735.73412192496</v>
      </c>
      <c r="C6" s="116">
        <f t="shared" si="8"/>
        <v>712217.25815796701</v>
      </c>
      <c r="D6" s="116">
        <f t="shared" si="8"/>
        <v>716879.48383462697</v>
      </c>
      <c r="E6" s="116">
        <f t="shared" si="8"/>
        <v>718296.14938665158</v>
      </c>
      <c r="F6" s="116">
        <f t="shared" si="8"/>
        <v>714966.23674957885</v>
      </c>
      <c r="G6" s="116">
        <f t="shared" si="8"/>
        <v>704615.55371355591</v>
      </c>
      <c r="H6" s="116">
        <f t="shared" si="8"/>
        <v>700914.18436866556</v>
      </c>
      <c r="I6" s="116">
        <f t="shared" si="8"/>
        <v>705349.74950007361</v>
      </c>
      <c r="J6" s="116">
        <f t="shared" si="8"/>
        <v>689666.31518929906</v>
      </c>
      <c r="K6" s="116">
        <f t="shared" si="8"/>
        <v>690130.45232984948</v>
      </c>
      <c r="L6" s="116">
        <f t="shared" ref="L6" si="9">SUM(L7:L12)</f>
        <v>695871.29702480964</v>
      </c>
      <c r="M6" s="116">
        <f t="shared" ref="M6:V6" si="10">SUM(M7:M12)</f>
        <v>695894.68592518219</v>
      </c>
      <c r="N6" s="116">
        <f t="shared" si="10"/>
        <v>755371.15520423662</v>
      </c>
      <c r="O6" s="116">
        <f t="shared" si="10"/>
        <v>761115.80370757997</v>
      </c>
      <c r="P6" s="116">
        <f t="shared" si="10"/>
        <v>771693.48456206266</v>
      </c>
      <c r="Q6" s="116">
        <f t="shared" si="10"/>
        <v>782259.23893758107</v>
      </c>
      <c r="R6" s="116">
        <f t="shared" si="10"/>
        <v>794721.61187766341</v>
      </c>
      <c r="S6" s="116">
        <f t="shared" si="10"/>
        <v>802199.32185950945</v>
      </c>
      <c r="T6" s="116">
        <f t="shared" si="10"/>
        <v>800794.72059845354</v>
      </c>
      <c r="U6" s="116">
        <f t="shared" si="10"/>
        <v>796815.92675753077</v>
      </c>
      <c r="V6" s="116">
        <f t="shared" si="10"/>
        <v>629845.70702567685</v>
      </c>
      <c r="W6" s="116">
        <f t="shared" ref="W6" si="11">SUM(W7:W12)</f>
        <v>718367.79193435935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351688.48569544009</v>
      </c>
      <c r="C7" s="87">
        <f t="shared" si="12"/>
        <v>341901.52293983812</v>
      </c>
      <c r="D7" s="87">
        <f t="shared" si="12"/>
        <v>329096.18370046455</v>
      </c>
      <c r="E7" s="87">
        <f t="shared" si="12"/>
        <v>309225.59312739526</v>
      </c>
      <c r="F7" s="87">
        <f t="shared" si="12"/>
        <v>292276.35445138736</v>
      </c>
      <c r="G7" s="87">
        <f t="shared" si="12"/>
        <v>272995.41083213926</v>
      </c>
      <c r="H7" s="87">
        <f t="shared" si="12"/>
        <v>251245.3064342601</v>
      </c>
      <c r="I7" s="87">
        <f t="shared" si="12"/>
        <v>233479.66052612162</v>
      </c>
      <c r="J7" s="87">
        <f t="shared" si="12"/>
        <v>209417.97261583901</v>
      </c>
      <c r="K7" s="87">
        <f t="shared" si="12"/>
        <v>198600.49603449769</v>
      </c>
      <c r="L7" s="87">
        <f t="shared" si="5"/>
        <v>184457.51632138711</v>
      </c>
      <c r="M7" s="87">
        <f t="shared" ref="M7:V7" si="13">IF(M34=0,0,M34*M144)</f>
        <v>178729.42089636158</v>
      </c>
      <c r="N7" s="87">
        <f t="shared" si="13"/>
        <v>180763.12192620887</v>
      </c>
      <c r="O7" s="87">
        <f t="shared" si="13"/>
        <v>177007.75523289069</v>
      </c>
      <c r="P7" s="87">
        <f t="shared" si="13"/>
        <v>180086.90113654023</v>
      </c>
      <c r="Q7" s="87">
        <f t="shared" si="13"/>
        <v>185318.35220968112</v>
      </c>
      <c r="R7" s="87">
        <f t="shared" si="13"/>
        <v>196114.38994790928</v>
      </c>
      <c r="S7" s="87">
        <f t="shared" si="13"/>
        <v>209323.16456573163</v>
      </c>
      <c r="T7" s="87">
        <f t="shared" si="13"/>
        <v>225761.41577512806</v>
      </c>
      <c r="U7" s="87">
        <f t="shared" si="13"/>
        <v>242709.67437212073</v>
      </c>
      <c r="V7" s="87">
        <f t="shared" si="13"/>
        <v>199360.03172487899</v>
      </c>
      <c r="W7" s="87">
        <f t="shared" ref="W7" si="14">IF(W34=0,0,W34*W144)</f>
        <v>242939.62939240813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329775.03616703715</v>
      </c>
      <c r="C8" s="87">
        <f t="shared" si="15"/>
        <v>364416.96667952772</v>
      </c>
      <c r="D8" s="87">
        <f t="shared" si="15"/>
        <v>382681.66769288975</v>
      </c>
      <c r="E8" s="87">
        <f t="shared" si="15"/>
        <v>404817.86719654221</v>
      </c>
      <c r="F8" s="87">
        <f t="shared" si="15"/>
        <v>418952.6603337269</v>
      </c>
      <c r="G8" s="87">
        <f t="shared" si="15"/>
        <v>428312.53019273386</v>
      </c>
      <c r="H8" s="87">
        <f t="shared" si="15"/>
        <v>446751.82214470266</v>
      </c>
      <c r="I8" s="87">
        <f t="shared" si="15"/>
        <v>469387.11379765242</v>
      </c>
      <c r="J8" s="87">
        <f t="shared" si="15"/>
        <v>477579.51749148767</v>
      </c>
      <c r="K8" s="87">
        <f t="shared" si="15"/>
        <v>488725.90979861654</v>
      </c>
      <c r="L8" s="87">
        <f t="shared" ref="L8" si="16">IF(L35=0,0,L35*L145)</f>
        <v>508420.51531407738</v>
      </c>
      <c r="M8" s="87">
        <f t="shared" ref="M8:V8" si="17">IF(M35=0,0,M35*M145)</f>
        <v>513944.63445059024</v>
      </c>
      <c r="N8" s="87">
        <f t="shared" si="17"/>
        <v>571404.88210438204</v>
      </c>
      <c r="O8" s="87">
        <f t="shared" si="17"/>
        <v>581175.31678656198</v>
      </c>
      <c r="P8" s="87">
        <f t="shared" si="17"/>
        <v>588680.7798144042</v>
      </c>
      <c r="Q8" s="87">
        <f t="shared" si="17"/>
        <v>593675.40768079669</v>
      </c>
      <c r="R8" s="87">
        <f t="shared" si="17"/>
        <v>595039.0468660522</v>
      </c>
      <c r="S8" s="87">
        <f t="shared" si="17"/>
        <v>588741.42166459316</v>
      </c>
      <c r="T8" s="87">
        <f t="shared" si="17"/>
        <v>569991.21430103737</v>
      </c>
      <c r="U8" s="87">
        <f t="shared" si="17"/>
        <v>547941.99876289815</v>
      </c>
      <c r="V8" s="87">
        <f t="shared" si="17"/>
        <v>422435.71678617492</v>
      </c>
      <c r="W8" s="87">
        <f t="shared" ref="W8" si="18">IF(W35=0,0,W35*W145)</f>
        <v>460527.48517528095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6272.2122594476532</v>
      </c>
      <c r="C9" s="87">
        <f t="shared" si="19"/>
        <v>5898.7685386011308</v>
      </c>
      <c r="D9" s="87">
        <f t="shared" si="19"/>
        <v>5101.6324412726399</v>
      </c>
      <c r="E9" s="87">
        <f t="shared" si="19"/>
        <v>4252.6890627141029</v>
      </c>
      <c r="F9" s="87">
        <f t="shared" si="19"/>
        <v>3737.2219644646971</v>
      </c>
      <c r="G9" s="87">
        <f t="shared" si="19"/>
        <v>3307.6126886827715</v>
      </c>
      <c r="H9" s="87">
        <f t="shared" si="19"/>
        <v>2916.7064958849328</v>
      </c>
      <c r="I9" s="87">
        <f t="shared" si="19"/>
        <v>2464.6464044361419</v>
      </c>
      <c r="J9" s="87">
        <f t="shared" si="19"/>
        <v>2573.6088052872651</v>
      </c>
      <c r="K9" s="87">
        <f t="shared" si="19"/>
        <v>2699.9945088932604</v>
      </c>
      <c r="L9" s="87">
        <f t="shared" ref="L9" si="20">IF(L36=0,0,L36*L146)</f>
        <v>2885.8309185767293</v>
      </c>
      <c r="M9" s="87">
        <f t="shared" ref="M9:V9" si="21">IF(M36=0,0,M36*M146)</f>
        <v>3051.8278055018036</v>
      </c>
      <c r="N9" s="87">
        <f t="shared" si="21"/>
        <v>2912.4769383445823</v>
      </c>
      <c r="O9" s="87">
        <f t="shared" si="21"/>
        <v>2432.6242398045583</v>
      </c>
      <c r="P9" s="87">
        <f t="shared" si="21"/>
        <v>2137.5274290672673</v>
      </c>
      <c r="Q9" s="87">
        <f t="shared" si="21"/>
        <v>1943.3505590459135</v>
      </c>
      <c r="R9" s="87">
        <f t="shared" si="21"/>
        <v>1761.2846067307496</v>
      </c>
      <c r="S9" s="87">
        <f t="shared" si="21"/>
        <v>1594.6391538679768</v>
      </c>
      <c r="T9" s="87">
        <f t="shared" si="21"/>
        <v>1479.4078954610243</v>
      </c>
      <c r="U9" s="87">
        <f t="shared" si="21"/>
        <v>1393.0774131185922</v>
      </c>
      <c r="V9" s="87">
        <f t="shared" si="21"/>
        <v>1030.7999592880224</v>
      </c>
      <c r="W9" s="87">
        <f t="shared" ref="W9" si="22">IF(W36=0,0,W36*W146)</f>
        <v>1242.434810647517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17.838744252668917</v>
      </c>
      <c r="J10" s="87">
        <f t="shared" si="23"/>
        <v>32.064600189833335</v>
      </c>
      <c r="K10" s="87">
        <f t="shared" si="23"/>
        <v>42.576007490270804</v>
      </c>
      <c r="L10" s="87">
        <f t="shared" ref="L10" si="24">IF(L37=0,0,L37*L147)</f>
        <v>45.744916123999978</v>
      </c>
      <c r="M10" s="87">
        <f t="shared" ref="M10:V10" si="25">IF(M37=0,0,M37*M147)</f>
        <v>46.765757368487982</v>
      </c>
      <c r="N10" s="87">
        <f t="shared" si="25"/>
        <v>53.009499069708667</v>
      </c>
      <c r="O10" s="87">
        <f t="shared" si="25"/>
        <v>53.002309132129199</v>
      </c>
      <c r="P10" s="87">
        <f t="shared" si="25"/>
        <v>52.883075285845528</v>
      </c>
      <c r="Q10" s="87">
        <f t="shared" si="25"/>
        <v>54.815086732734194</v>
      </c>
      <c r="R10" s="87">
        <f t="shared" si="25"/>
        <v>64.075070356235244</v>
      </c>
      <c r="S10" s="87">
        <f t="shared" si="25"/>
        <v>63.988181555068707</v>
      </c>
      <c r="T10" s="87">
        <f t="shared" si="25"/>
        <v>63.213264869652178</v>
      </c>
      <c r="U10" s="87">
        <f t="shared" si="25"/>
        <v>66.407974211379951</v>
      </c>
      <c r="V10" s="87">
        <f t="shared" si="25"/>
        <v>57.045046215103206</v>
      </c>
      <c r="W10" s="87">
        <f t="shared" ref="W10" si="26">IF(W37=0,0,W37*W147)</f>
        <v>66.792306111950765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9.57573921383376</v>
      </c>
      <c r="O11" s="87">
        <f t="shared" si="29"/>
        <v>20.772325256409452</v>
      </c>
      <c r="P11" s="87">
        <f t="shared" si="29"/>
        <v>42.885689180640234</v>
      </c>
      <c r="Q11" s="87">
        <f t="shared" si="29"/>
        <v>116.65027383321008</v>
      </c>
      <c r="R11" s="87">
        <f t="shared" si="29"/>
        <v>216.55370360222076</v>
      </c>
      <c r="S11" s="87">
        <f t="shared" si="29"/>
        <v>387.26476124266213</v>
      </c>
      <c r="T11" s="87">
        <f t="shared" si="29"/>
        <v>610.26524205243186</v>
      </c>
      <c r="U11" s="87">
        <f t="shared" si="29"/>
        <v>922.32481338215894</v>
      </c>
      <c r="V11" s="87">
        <f t="shared" si="29"/>
        <v>1703.1497830247342</v>
      </c>
      <c r="W11" s="87">
        <f t="shared" ref="W11" si="30">IF(W38=0,0,W38*W148)</f>
        <v>4130.2638679642114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0.34929381793651831</v>
      </c>
      <c r="I12" s="87">
        <f t="shared" si="31"/>
        <v>0.49002761076759599</v>
      </c>
      <c r="J12" s="87">
        <f t="shared" si="31"/>
        <v>63.151676495306603</v>
      </c>
      <c r="K12" s="87">
        <f t="shared" si="31"/>
        <v>61.475980351805042</v>
      </c>
      <c r="L12" s="87">
        <f t="shared" ref="L12" si="32">IF(L39=0,0,L39*L149)</f>
        <v>61.689554644424419</v>
      </c>
      <c r="M12" s="87">
        <f t="shared" ref="M12:V12" si="33">IF(M39=0,0,M39*M149)</f>
        <v>122.03701536007107</v>
      </c>
      <c r="N12" s="87">
        <f t="shared" si="33"/>
        <v>228.08899701768183</v>
      </c>
      <c r="O12" s="87">
        <f t="shared" si="33"/>
        <v>426.33281393421549</v>
      </c>
      <c r="P12" s="87">
        <f t="shared" si="33"/>
        <v>692.50741758446793</v>
      </c>
      <c r="Q12" s="87">
        <f t="shared" si="33"/>
        <v>1150.6631274913366</v>
      </c>
      <c r="R12" s="87">
        <f t="shared" si="33"/>
        <v>1526.261683012701</v>
      </c>
      <c r="S12" s="87">
        <f t="shared" si="33"/>
        <v>2088.8435325189566</v>
      </c>
      <c r="T12" s="87">
        <f t="shared" si="33"/>
        <v>2889.2041199050541</v>
      </c>
      <c r="U12" s="87">
        <f t="shared" si="33"/>
        <v>3782.4434217997982</v>
      </c>
      <c r="V12" s="87">
        <f t="shared" si="33"/>
        <v>5258.963726095275</v>
      </c>
      <c r="W12" s="87">
        <f t="shared" ref="W12" si="34">IF(W39=0,0,W39*W149)</f>
        <v>9461.1863819465161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49594.495628487588</v>
      </c>
      <c r="C13" s="116">
        <f t="shared" si="35"/>
        <v>48111.338379685381</v>
      </c>
      <c r="D13" s="116">
        <f t="shared" si="35"/>
        <v>48648.280997363276</v>
      </c>
      <c r="E13" s="116">
        <f t="shared" si="35"/>
        <v>49133.556404460418</v>
      </c>
      <c r="F13" s="116">
        <f t="shared" si="35"/>
        <v>49993.721550019931</v>
      </c>
      <c r="G13" s="116">
        <f t="shared" si="35"/>
        <v>50104.708929007029</v>
      </c>
      <c r="H13" s="116">
        <f t="shared" si="35"/>
        <v>52436.79567495019</v>
      </c>
      <c r="I13" s="116">
        <f t="shared" si="35"/>
        <v>53044.433886484854</v>
      </c>
      <c r="J13" s="116">
        <f t="shared" si="35"/>
        <v>53525.198463968249</v>
      </c>
      <c r="K13" s="116">
        <f t="shared" si="35"/>
        <v>53163.203980574865</v>
      </c>
      <c r="L13" s="116">
        <f t="shared" ref="L13" si="36">SUM(L14:L18)</f>
        <v>54040.974622693473</v>
      </c>
      <c r="M13" s="116">
        <f t="shared" ref="M13:V13" si="37">SUM(M14:M18)</f>
        <v>54582.638113687732</v>
      </c>
      <c r="N13" s="116">
        <f t="shared" si="37"/>
        <v>54574.681764566754</v>
      </c>
      <c r="O13" s="116">
        <f t="shared" si="37"/>
        <v>54885.672204647635</v>
      </c>
      <c r="P13" s="116">
        <f t="shared" si="37"/>
        <v>56224.279767516986</v>
      </c>
      <c r="Q13" s="116">
        <f t="shared" si="37"/>
        <v>56970.271271502708</v>
      </c>
      <c r="R13" s="116">
        <f t="shared" si="37"/>
        <v>58171.870620727917</v>
      </c>
      <c r="S13" s="116">
        <f t="shared" si="37"/>
        <v>58625.055901415886</v>
      </c>
      <c r="T13" s="116">
        <f t="shared" si="37"/>
        <v>58711.957384769601</v>
      </c>
      <c r="U13" s="116">
        <f t="shared" si="37"/>
        <v>58682.091045217174</v>
      </c>
      <c r="V13" s="116">
        <f t="shared" si="37"/>
        <v>36931.91443984033</v>
      </c>
      <c r="W13" s="116">
        <f t="shared" ref="W13" si="38">SUM(W14:W18)</f>
        <v>40209.555100282843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105.21807253098299</v>
      </c>
      <c r="C14" s="101">
        <f t="shared" si="39"/>
        <v>98.612280134493972</v>
      </c>
      <c r="D14" s="101">
        <f t="shared" si="39"/>
        <v>95.821771183165609</v>
      </c>
      <c r="E14" s="101">
        <f t="shared" si="39"/>
        <v>89.941822438411137</v>
      </c>
      <c r="F14" s="101">
        <f t="shared" si="39"/>
        <v>84.418790257149666</v>
      </c>
      <c r="G14" s="101">
        <f t="shared" si="39"/>
        <v>77.196827312989782</v>
      </c>
      <c r="H14" s="101">
        <f t="shared" si="39"/>
        <v>72.510906073612901</v>
      </c>
      <c r="I14" s="101">
        <f t="shared" si="39"/>
        <v>66.126587690115997</v>
      </c>
      <c r="J14" s="101">
        <f t="shared" si="39"/>
        <v>60.924483652889023</v>
      </c>
      <c r="K14" s="101">
        <f t="shared" si="39"/>
        <v>54.041163234420196</v>
      </c>
      <c r="L14" s="101">
        <f t="shared" ref="L14" si="40">IF(L41=0,0,L41*L151)</f>
        <v>47.226185810867655</v>
      </c>
      <c r="M14" s="101">
        <f t="shared" ref="M14:V14" si="41">IF(M41=0,0,M41*M151)</f>
        <v>40.718513347054554</v>
      </c>
      <c r="N14" s="101">
        <f t="shared" si="41"/>
        <v>34.733967092321038</v>
      </c>
      <c r="O14" s="101">
        <f t="shared" si="41"/>
        <v>31.008623747099456</v>
      </c>
      <c r="P14" s="101">
        <f t="shared" si="41"/>
        <v>26.406032899196322</v>
      </c>
      <c r="Q14" s="101">
        <f t="shared" si="41"/>
        <v>22.189494264191257</v>
      </c>
      <c r="R14" s="101">
        <f t="shared" si="41"/>
        <v>21.941468429153804</v>
      </c>
      <c r="S14" s="101">
        <f t="shared" si="41"/>
        <v>22.046557002302404</v>
      </c>
      <c r="T14" s="101">
        <f t="shared" si="41"/>
        <v>21.749127035402683</v>
      </c>
      <c r="U14" s="101">
        <f t="shared" si="41"/>
        <v>21.005972987816254</v>
      </c>
      <c r="V14" s="101">
        <f t="shared" si="41"/>
        <v>13.960627085721061</v>
      </c>
      <c r="W14" s="101">
        <f t="shared" ref="W14" si="42">IF(W41=0,0,W41*W151)</f>
        <v>15.427019769462996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49317.961246113773</v>
      </c>
      <c r="C15" s="101">
        <f t="shared" si="43"/>
        <v>47541.15720245531</v>
      </c>
      <c r="D15" s="101">
        <f t="shared" si="43"/>
        <v>48020.280365858547</v>
      </c>
      <c r="E15" s="101">
        <f t="shared" si="43"/>
        <v>48361.016872079694</v>
      </c>
      <c r="F15" s="101">
        <f t="shared" si="43"/>
        <v>49114.557413027367</v>
      </c>
      <c r="G15" s="101">
        <f t="shared" si="43"/>
        <v>49177.857652183229</v>
      </c>
      <c r="H15" s="101">
        <f t="shared" si="43"/>
        <v>51399.413642594001</v>
      </c>
      <c r="I15" s="101">
        <f t="shared" si="43"/>
        <v>51909.876634448898</v>
      </c>
      <c r="J15" s="101">
        <f t="shared" si="43"/>
        <v>52220.77608736424</v>
      </c>
      <c r="K15" s="101">
        <f t="shared" si="43"/>
        <v>51856.069564400263</v>
      </c>
      <c r="L15" s="101">
        <f t="shared" ref="L15" si="44">IF(L42=0,0,L42*L152)</f>
        <v>52732.01201199169</v>
      </c>
      <c r="M15" s="101">
        <f t="shared" ref="M15:V15" si="45">IF(M42=0,0,M42*M152)</f>
        <v>51713.605816867363</v>
      </c>
      <c r="N15" s="101">
        <f t="shared" si="45"/>
        <v>51380.47692903049</v>
      </c>
      <c r="O15" s="101">
        <f t="shared" si="45"/>
        <v>51103.526962390424</v>
      </c>
      <c r="P15" s="101">
        <f t="shared" si="45"/>
        <v>52135.519274373619</v>
      </c>
      <c r="Q15" s="101">
        <f t="shared" si="45"/>
        <v>52851.45831415298</v>
      </c>
      <c r="R15" s="101">
        <f t="shared" si="45"/>
        <v>53988.37491554852</v>
      </c>
      <c r="S15" s="101">
        <f t="shared" si="45"/>
        <v>54163.016977310675</v>
      </c>
      <c r="T15" s="101">
        <f t="shared" si="45"/>
        <v>53640.581225046437</v>
      </c>
      <c r="U15" s="101">
        <f t="shared" si="45"/>
        <v>52329.92581742187</v>
      </c>
      <c r="V15" s="101">
        <f t="shared" si="45"/>
        <v>31462.789922844939</v>
      </c>
      <c r="W15" s="101">
        <f t="shared" ref="W15" si="46">IF(W42=0,0,W42*W152)</f>
        <v>32125.359833505874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57.434077243474547</v>
      </c>
      <c r="C16" s="101">
        <f t="shared" si="47"/>
        <v>65.332633447204913</v>
      </c>
      <c r="D16" s="101">
        <f t="shared" si="47"/>
        <v>66.184694305327014</v>
      </c>
      <c r="E16" s="101">
        <f t="shared" si="47"/>
        <v>69.685775835545513</v>
      </c>
      <c r="F16" s="101">
        <f t="shared" si="47"/>
        <v>72.135202466221202</v>
      </c>
      <c r="G16" s="101">
        <f t="shared" si="47"/>
        <v>72.018635258580716</v>
      </c>
      <c r="H16" s="101">
        <f t="shared" si="47"/>
        <v>59.647544466111789</v>
      </c>
      <c r="I16" s="101">
        <f t="shared" si="47"/>
        <v>69.995511135026263</v>
      </c>
      <c r="J16" s="101">
        <f t="shared" si="47"/>
        <v>68.941036115226311</v>
      </c>
      <c r="K16" s="101">
        <f t="shared" si="47"/>
        <v>67.660138002508148</v>
      </c>
      <c r="L16" s="101">
        <f t="shared" ref="L16" si="48">IF(L43=0,0,L43*L153)</f>
        <v>66.121438748805488</v>
      </c>
      <c r="M16" s="101">
        <f t="shared" ref="M16:V16" si="49">IF(M43=0,0,M43*M153)</f>
        <v>61.757013522575967</v>
      </c>
      <c r="N16" s="101">
        <f t="shared" si="49"/>
        <v>57.60902364003902</v>
      </c>
      <c r="O16" s="101">
        <f t="shared" si="49"/>
        <v>56.873078063833631</v>
      </c>
      <c r="P16" s="101">
        <f t="shared" si="49"/>
        <v>53.66526796228711</v>
      </c>
      <c r="Q16" s="101">
        <f t="shared" si="49"/>
        <v>50.558819606707452</v>
      </c>
      <c r="R16" s="101">
        <f t="shared" si="49"/>
        <v>47.876214052395341</v>
      </c>
      <c r="S16" s="101">
        <f t="shared" si="49"/>
        <v>44.686955904861215</v>
      </c>
      <c r="T16" s="101">
        <f t="shared" si="49"/>
        <v>41.172248672736757</v>
      </c>
      <c r="U16" s="101">
        <f t="shared" si="49"/>
        <v>37.000768446261809</v>
      </c>
      <c r="V16" s="101">
        <f t="shared" si="49"/>
        <v>20.807147583371023</v>
      </c>
      <c r="W16" s="101">
        <f t="shared" ref="W16" si="50">IF(W43=0,0,W43*W153)</f>
        <v>20.137816000457285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11.303401996935815</v>
      </c>
      <c r="C17" s="101">
        <f t="shared" si="51"/>
        <v>294.56255971028554</v>
      </c>
      <c r="D17" s="101">
        <f t="shared" si="51"/>
        <v>340.77394248372303</v>
      </c>
      <c r="E17" s="101">
        <f t="shared" si="51"/>
        <v>477.45565952361972</v>
      </c>
      <c r="F17" s="101">
        <f t="shared" si="51"/>
        <v>576.96122853924226</v>
      </c>
      <c r="G17" s="101">
        <f t="shared" si="51"/>
        <v>633.80488654685939</v>
      </c>
      <c r="H17" s="101">
        <f t="shared" si="51"/>
        <v>764.52552837651035</v>
      </c>
      <c r="I17" s="101">
        <f t="shared" si="51"/>
        <v>863.94377425007042</v>
      </c>
      <c r="J17" s="101">
        <f t="shared" si="51"/>
        <v>1043.2269867958346</v>
      </c>
      <c r="K17" s="101">
        <f t="shared" si="51"/>
        <v>1057.3001196587575</v>
      </c>
      <c r="L17" s="101">
        <f t="shared" ref="L17" si="52">IF(L44=0,0,L44*L154)</f>
        <v>1069.471638809358</v>
      </c>
      <c r="M17" s="101">
        <f t="shared" ref="M17:V17" si="53">IF(M44=0,0,M44*M154)</f>
        <v>2646.5722698430832</v>
      </c>
      <c r="N17" s="101">
        <f t="shared" si="53"/>
        <v>2967.8276194033674</v>
      </c>
      <c r="O17" s="101">
        <f t="shared" si="53"/>
        <v>3471.84860799132</v>
      </c>
      <c r="P17" s="101">
        <f t="shared" si="53"/>
        <v>3763.680654629849</v>
      </c>
      <c r="Q17" s="101">
        <f t="shared" si="53"/>
        <v>3776.9688699646199</v>
      </c>
      <c r="R17" s="101">
        <f t="shared" si="53"/>
        <v>3809.391496025472</v>
      </c>
      <c r="S17" s="101">
        <f t="shared" si="53"/>
        <v>4046.454557616973</v>
      </c>
      <c r="T17" s="101">
        <f t="shared" si="53"/>
        <v>4647.8353348695482</v>
      </c>
      <c r="U17" s="101">
        <f t="shared" si="53"/>
        <v>5727.0089037012731</v>
      </c>
      <c r="V17" s="101">
        <f t="shared" si="53"/>
        <v>4995.8570532968915</v>
      </c>
      <c r="W17" s="101">
        <f t="shared" ref="W17" si="54">IF(W44=0,0,W44*W154)</f>
        <v>7100.2210378590353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102.5788306024285</v>
      </c>
      <c r="C18" s="101">
        <f t="shared" si="55"/>
        <v>111.67370393807923</v>
      </c>
      <c r="D18" s="101">
        <f t="shared" si="55"/>
        <v>125.22022353252001</v>
      </c>
      <c r="E18" s="101">
        <f t="shared" si="55"/>
        <v>135.45627458314038</v>
      </c>
      <c r="F18" s="101">
        <f t="shared" si="55"/>
        <v>145.64891572994983</v>
      </c>
      <c r="G18" s="101">
        <f t="shared" si="55"/>
        <v>143.83092770536686</v>
      </c>
      <c r="H18" s="101">
        <f t="shared" si="55"/>
        <v>140.69805343995668</v>
      </c>
      <c r="I18" s="101">
        <f t="shared" si="55"/>
        <v>134.49137896073481</v>
      </c>
      <c r="J18" s="101">
        <f t="shared" si="55"/>
        <v>131.32987004006392</v>
      </c>
      <c r="K18" s="101">
        <f t="shared" si="55"/>
        <v>128.13299527891897</v>
      </c>
      <c r="L18" s="101">
        <f t="shared" ref="L18" si="56">IF(L45=0,0,L45*L155)</f>
        <v>126.14334733275179</v>
      </c>
      <c r="M18" s="101">
        <f t="shared" ref="M18:V18" si="57">IF(M45=0,0,M45*M155)</f>
        <v>119.98450010765501</v>
      </c>
      <c r="N18" s="101">
        <f t="shared" si="57"/>
        <v>134.03422540054058</v>
      </c>
      <c r="O18" s="101">
        <f t="shared" si="57"/>
        <v>222.41493245496113</v>
      </c>
      <c r="P18" s="101">
        <f t="shared" si="57"/>
        <v>245.00853765203956</v>
      </c>
      <c r="Q18" s="101">
        <f t="shared" si="57"/>
        <v>269.09577351420461</v>
      </c>
      <c r="R18" s="101">
        <f t="shared" si="57"/>
        <v>304.28652667237799</v>
      </c>
      <c r="S18" s="101">
        <f t="shared" si="57"/>
        <v>348.85085358107335</v>
      </c>
      <c r="T18" s="101">
        <f t="shared" si="57"/>
        <v>360.61944914547985</v>
      </c>
      <c r="U18" s="101">
        <f t="shared" si="57"/>
        <v>567.14958265995278</v>
      </c>
      <c r="V18" s="101">
        <f t="shared" si="57"/>
        <v>438.49968902940742</v>
      </c>
      <c r="W18" s="101">
        <f t="shared" ref="W18" si="58">IF(W45=0,0,W45*W155)</f>
        <v>948.40939314801494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262640.9026717408</v>
      </c>
      <c r="C19" s="29">
        <f t="shared" si="59"/>
        <v>274561.0400613409</v>
      </c>
      <c r="D19" s="29">
        <f t="shared" si="59"/>
        <v>281206.37351326749</v>
      </c>
      <c r="E19" s="29">
        <f t="shared" si="59"/>
        <v>283895.56581056106</v>
      </c>
      <c r="F19" s="29">
        <f t="shared" si="59"/>
        <v>307839.39868080238</v>
      </c>
      <c r="G19" s="29">
        <f t="shared" si="59"/>
        <v>310016.02341797471</v>
      </c>
      <c r="H19" s="29">
        <f t="shared" si="59"/>
        <v>319596.45704073092</v>
      </c>
      <c r="I19" s="29">
        <f t="shared" si="59"/>
        <v>331097.98503667762</v>
      </c>
      <c r="J19" s="29">
        <f t="shared" si="59"/>
        <v>316819.42497095326</v>
      </c>
      <c r="K19" s="29">
        <f t="shared" si="59"/>
        <v>277417.64251040353</v>
      </c>
      <c r="L19" s="29">
        <f t="shared" ref="L19" si="60">L20+L26</f>
        <v>291221.54466738406</v>
      </c>
      <c r="M19" s="29">
        <f t="shared" ref="M19:V19" si="61">M20+M26</f>
        <v>289856.61203429382</v>
      </c>
      <c r="N19" s="29">
        <f t="shared" si="61"/>
        <v>275644.982681842</v>
      </c>
      <c r="O19" s="29">
        <f t="shared" si="61"/>
        <v>280584.36760902894</v>
      </c>
      <c r="P19" s="29">
        <f t="shared" si="61"/>
        <v>276955.29859435081</v>
      </c>
      <c r="Q19" s="29">
        <f t="shared" si="61"/>
        <v>268898.94504106854</v>
      </c>
      <c r="R19" s="29">
        <f t="shared" si="61"/>
        <v>276196.06187416054</v>
      </c>
      <c r="S19" s="29">
        <f t="shared" si="61"/>
        <v>295906.19160152017</v>
      </c>
      <c r="T19" s="29">
        <f t="shared" si="61"/>
        <v>299604.70612342312</v>
      </c>
      <c r="U19" s="29">
        <f t="shared" si="61"/>
        <v>307438.58361749124</v>
      </c>
      <c r="V19" s="29">
        <f t="shared" si="61"/>
        <v>296338.75274442811</v>
      </c>
      <c r="W19" s="29">
        <f t="shared" ref="W19" si="62">W20+W26</f>
        <v>313133.91517001711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14881.509754624614</v>
      </c>
      <c r="C20" s="152">
        <f t="shared" si="63"/>
        <v>15369.892297879058</v>
      </c>
      <c r="D20" s="152">
        <f t="shared" si="63"/>
        <v>15503.643276433681</v>
      </c>
      <c r="E20" s="152">
        <f t="shared" si="63"/>
        <v>15494.227669130149</v>
      </c>
      <c r="F20" s="152">
        <f t="shared" si="63"/>
        <v>15482.582508900925</v>
      </c>
      <c r="G20" s="152">
        <f t="shared" si="63"/>
        <v>15478.212698087773</v>
      </c>
      <c r="H20" s="152">
        <f t="shared" si="63"/>
        <v>15665.89017483004</v>
      </c>
      <c r="I20" s="152">
        <f t="shared" si="63"/>
        <v>15770.769276557654</v>
      </c>
      <c r="J20" s="152">
        <f t="shared" si="63"/>
        <v>15392.745236711975</v>
      </c>
      <c r="K20" s="152">
        <f t="shared" si="63"/>
        <v>15669.058620655902</v>
      </c>
      <c r="L20" s="152">
        <f t="shared" ref="L20" si="64">SUM(L21:L25)</f>
        <v>16091.541963959473</v>
      </c>
      <c r="M20" s="152">
        <f t="shared" ref="M20:V20" si="65">SUM(M21:M25)</f>
        <v>16479.571930058275</v>
      </c>
      <c r="N20" s="152">
        <f t="shared" si="65"/>
        <v>16587.730248182539</v>
      </c>
      <c r="O20" s="152">
        <f t="shared" si="65"/>
        <v>16846.150926118091</v>
      </c>
      <c r="P20" s="152">
        <f t="shared" si="65"/>
        <v>17094.345764104037</v>
      </c>
      <c r="Q20" s="152">
        <f t="shared" si="65"/>
        <v>17716.985485531906</v>
      </c>
      <c r="R20" s="152">
        <f t="shared" si="65"/>
        <v>17632.644408743945</v>
      </c>
      <c r="S20" s="152">
        <f t="shared" si="65"/>
        <v>18072.36550577337</v>
      </c>
      <c r="T20" s="152">
        <f t="shared" si="65"/>
        <v>17973.706123423097</v>
      </c>
      <c r="U20" s="152">
        <f t="shared" si="65"/>
        <v>18109.583617491229</v>
      </c>
      <c r="V20" s="152">
        <f t="shared" si="65"/>
        <v>16239.752744428113</v>
      </c>
      <c r="W20" s="152">
        <f t="shared" ref="W20" si="66">SUM(W21:W25)</f>
        <v>18098.915170017088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1621.2682655302326</v>
      </c>
      <c r="C21" s="87">
        <f t="shared" si="67"/>
        <v>1418.5749087100789</v>
      </c>
      <c r="D21" s="87">
        <f t="shared" si="67"/>
        <v>1181.3544846149562</v>
      </c>
      <c r="E21" s="87">
        <f t="shared" si="67"/>
        <v>937.80545242655728</v>
      </c>
      <c r="F21" s="87">
        <f t="shared" si="67"/>
        <v>742.8881906151372</v>
      </c>
      <c r="G21" s="87">
        <f t="shared" si="67"/>
        <v>621.87881951660347</v>
      </c>
      <c r="H21" s="87">
        <f t="shared" si="67"/>
        <v>534.35889954536776</v>
      </c>
      <c r="I21" s="87">
        <f t="shared" si="67"/>
        <v>468.2625937700866</v>
      </c>
      <c r="J21" s="87">
        <f t="shared" si="67"/>
        <v>415.6837026245218</v>
      </c>
      <c r="K21" s="87">
        <f t="shared" si="67"/>
        <v>378.72768229542004</v>
      </c>
      <c r="L21" s="87">
        <f t="shared" ref="L21" si="68">IF(L48=0,0,L48*L158)</f>
        <v>415.35294326956409</v>
      </c>
      <c r="M21" s="87">
        <f t="shared" ref="M21:V21" si="69">IF(M48=0,0,M48*M158)</f>
        <v>462.69772121697258</v>
      </c>
      <c r="N21" s="87">
        <f t="shared" si="69"/>
        <v>498.93645789865417</v>
      </c>
      <c r="O21" s="87">
        <f t="shared" si="69"/>
        <v>541.07645815579997</v>
      </c>
      <c r="P21" s="87">
        <f t="shared" si="69"/>
        <v>492.02851237495804</v>
      </c>
      <c r="Q21" s="87">
        <f t="shared" si="69"/>
        <v>457.29475723959365</v>
      </c>
      <c r="R21" s="87">
        <f t="shared" si="69"/>
        <v>440.4557208124088</v>
      </c>
      <c r="S21" s="87">
        <f t="shared" si="69"/>
        <v>441.07643637106139</v>
      </c>
      <c r="T21" s="87">
        <f t="shared" si="69"/>
        <v>427.58884162051169</v>
      </c>
      <c r="U21" s="87">
        <f t="shared" si="69"/>
        <v>409.03244887354998</v>
      </c>
      <c r="V21" s="87">
        <f t="shared" si="69"/>
        <v>360.48427591960365</v>
      </c>
      <c r="W21" s="87">
        <f t="shared" ref="W21" si="70">IF(W48=0,0,W48*W158)</f>
        <v>423.38001966283838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13211.974831746158</v>
      </c>
      <c r="C22" s="87">
        <f t="shared" si="71"/>
        <v>13898.368450713797</v>
      </c>
      <c r="D22" s="87">
        <f t="shared" si="71"/>
        <v>14267.476205286948</v>
      </c>
      <c r="E22" s="87">
        <f t="shared" si="71"/>
        <v>14500.653273657079</v>
      </c>
      <c r="F22" s="87">
        <f t="shared" si="71"/>
        <v>14682.705238674955</v>
      </c>
      <c r="G22" s="87">
        <f t="shared" si="71"/>
        <v>14797.904965946058</v>
      </c>
      <c r="H22" s="87">
        <f t="shared" si="71"/>
        <v>15068.474276305684</v>
      </c>
      <c r="I22" s="87">
        <f t="shared" si="71"/>
        <v>15250.380484343628</v>
      </c>
      <c r="J22" s="87">
        <f t="shared" si="71"/>
        <v>14929.465404140627</v>
      </c>
      <c r="K22" s="87">
        <f t="shared" si="71"/>
        <v>15239.877513993897</v>
      </c>
      <c r="L22" s="87">
        <f t="shared" ref="L22" si="72">IF(L49=0,0,L49*L159)</f>
        <v>15626.940076709692</v>
      </c>
      <c r="M22" s="87">
        <f t="shared" ref="M22:V22" si="73">IF(M49=0,0,M49*M159)</f>
        <v>15965.278208101206</v>
      </c>
      <c r="N22" s="87">
        <f t="shared" si="73"/>
        <v>16037.155761575896</v>
      </c>
      <c r="O22" s="87">
        <f t="shared" si="73"/>
        <v>16249.997776601511</v>
      </c>
      <c r="P22" s="87">
        <f t="shared" si="73"/>
        <v>16542.783669663098</v>
      </c>
      <c r="Q22" s="87">
        <f t="shared" si="73"/>
        <v>17195.751507647485</v>
      </c>
      <c r="R22" s="87">
        <f t="shared" si="73"/>
        <v>17120.878731390145</v>
      </c>
      <c r="S22" s="87">
        <f t="shared" si="73"/>
        <v>17557.637903720606</v>
      </c>
      <c r="T22" s="87">
        <f t="shared" si="73"/>
        <v>17455.742676215345</v>
      </c>
      <c r="U22" s="87">
        <f t="shared" si="73"/>
        <v>17602.318485942062</v>
      </c>
      <c r="V22" s="87">
        <f t="shared" si="73"/>
        <v>15781.404958406914</v>
      </c>
      <c r="W22" s="87">
        <f t="shared" ref="W22" si="74">IF(W49=0,0,W49*W159)</f>
        <v>17553.715512501967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43.130473229636841</v>
      </c>
      <c r="C23" s="87">
        <f t="shared" si="75"/>
        <v>47.039442007402059</v>
      </c>
      <c r="D23" s="87">
        <f t="shared" si="75"/>
        <v>48.522641900707157</v>
      </c>
      <c r="E23" s="87">
        <f t="shared" si="75"/>
        <v>48.949976080773389</v>
      </c>
      <c r="F23" s="87">
        <f t="shared" si="75"/>
        <v>49.944086356253656</v>
      </c>
      <c r="G23" s="87">
        <f t="shared" si="75"/>
        <v>51.488889689959144</v>
      </c>
      <c r="H23" s="87">
        <f t="shared" si="75"/>
        <v>55.34283558822942</v>
      </c>
      <c r="I23" s="87">
        <f t="shared" si="75"/>
        <v>44.215439580012188</v>
      </c>
      <c r="J23" s="87">
        <f t="shared" si="75"/>
        <v>40.279307055935924</v>
      </c>
      <c r="K23" s="87">
        <f t="shared" si="75"/>
        <v>42.454167293042083</v>
      </c>
      <c r="L23" s="87">
        <f t="shared" ref="L23" si="76">IF(L50=0,0,L50*L160)</f>
        <v>41.86832128303795</v>
      </c>
      <c r="M23" s="87">
        <f t="shared" ref="M23:V23" si="77">IF(M50=0,0,M50*M160)</f>
        <v>41.258663886689277</v>
      </c>
      <c r="N23" s="87">
        <f t="shared" si="77"/>
        <v>39.375610777327609</v>
      </c>
      <c r="O23" s="87">
        <f t="shared" si="77"/>
        <v>38.614154566920917</v>
      </c>
      <c r="P23" s="87">
        <f t="shared" si="77"/>
        <v>37.725235030557634</v>
      </c>
      <c r="Q23" s="87">
        <f t="shared" si="77"/>
        <v>37.922418657208723</v>
      </c>
      <c r="R23" s="87">
        <f t="shared" si="77"/>
        <v>36.845371032747352</v>
      </c>
      <c r="S23" s="87">
        <f t="shared" si="77"/>
        <v>35.846332020095062</v>
      </c>
      <c r="T23" s="87">
        <f t="shared" si="77"/>
        <v>30.499723554681285</v>
      </c>
      <c r="U23" s="87">
        <f t="shared" si="77"/>
        <v>28.421135289452558</v>
      </c>
      <c r="V23" s="87">
        <f t="shared" si="77"/>
        <v>23.604439232774986</v>
      </c>
      <c r="W23" s="87">
        <f t="shared" ref="W23" si="78">IF(W50=0,0,W50*W160)</f>
        <v>26.580182452002859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0.54517766732158057</v>
      </c>
      <c r="C24" s="87">
        <f t="shared" si="79"/>
        <v>0.51186145868829214</v>
      </c>
      <c r="D24" s="87">
        <f t="shared" si="79"/>
        <v>0.52346794679001285</v>
      </c>
      <c r="E24" s="87">
        <f t="shared" si="79"/>
        <v>0.83667444691527182</v>
      </c>
      <c r="F24" s="87">
        <f t="shared" si="79"/>
        <v>0.79416381788778134</v>
      </c>
      <c r="G24" s="87">
        <f t="shared" si="79"/>
        <v>0.7579083029933078</v>
      </c>
      <c r="H24" s="87">
        <f t="shared" si="79"/>
        <v>1.5507979812462354</v>
      </c>
      <c r="I24" s="87">
        <f t="shared" si="79"/>
        <v>1.4424752963506295</v>
      </c>
      <c r="J24" s="87">
        <f t="shared" si="79"/>
        <v>1.422362909371288</v>
      </c>
      <c r="K24" s="87">
        <f t="shared" si="79"/>
        <v>1.7506039595648109</v>
      </c>
      <c r="L24" s="87">
        <f t="shared" ref="L24" si="80">IF(L51=0,0,L51*L161)</f>
        <v>1.7027240201369529</v>
      </c>
      <c r="M24" s="87">
        <f t="shared" ref="M24:V24" si="81">IF(M51=0,0,M51*M161)</f>
        <v>2.0978633938175384</v>
      </c>
      <c r="N24" s="87">
        <f t="shared" si="81"/>
        <v>2.8928007469271351</v>
      </c>
      <c r="O24" s="87">
        <f t="shared" si="81"/>
        <v>3.7623544488520189</v>
      </c>
      <c r="P24" s="87">
        <f t="shared" si="81"/>
        <v>4.3865432218361891</v>
      </c>
      <c r="Q24" s="87">
        <f t="shared" si="81"/>
        <v>5.0631931841645441</v>
      </c>
      <c r="R24" s="87">
        <f t="shared" si="81"/>
        <v>5.7231204589794284</v>
      </c>
      <c r="S24" s="87">
        <f t="shared" si="81"/>
        <v>6.6680848283409624</v>
      </c>
      <c r="T24" s="87">
        <f t="shared" si="81"/>
        <v>13.7729023588328</v>
      </c>
      <c r="U24" s="87">
        <f t="shared" si="81"/>
        <v>14.86328147073783</v>
      </c>
      <c r="V24" s="87">
        <f t="shared" si="81"/>
        <v>14.345912819234011</v>
      </c>
      <c r="W24" s="87">
        <f t="shared" ref="W24" si="82">IF(W51=0,0,W51*W161)</f>
        <v>17.384309418464536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4.5910064512644153</v>
      </c>
      <c r="C25" s="87">
        <f t="shared" si="83"/>
        <v>5.3976349890906414</v>
      </c>
      <c r="D25" s="87">
        <f t="shared" si="83"/>
        <v>5.7664766842794313</v>
      </c>
      <c r="E25" s="87">
        <f t="shared" si="83"/>
        <v>5.9822925188243312</v>
      </c>
      <c r="F25" s="87">
        <f t="shared" si="83"/>
        <v>6.2508294366923787</v>
      </c>
      <c r="G25" s="87">
        <f t="shared" si="83"/>
        <v>6.182114632157842</v>
      </c>
      <c r="H25" s="87">
        <f t="shared" si="83"/>
        <v>6.1633654095119503</v>
      </c>
      <c r="I25" s="87">
        <f t="shared" si="83"/>
        <v>6.4682835675750567</v>
      </c>
      <c r="J25" s="87">
        <f t="shared" si="83"/>
        <v>5.894459981519077</v>
      </c>
      <c r="K25" s="87">
        <f t="shared" si="83"/>
        <v>6.2486531139762764</v>
      </c>
      <c r="L25" s="87">
        <f t="shared" ref="L25" si="84">IF(L52=0,0,L52*L162)</f>
        <v>5.6778986770401394</v>
      </c>
      <c r="M25" s="87">
        <f t="shared" ref="M25:V25" si="85">IF(M52=0,0,M52*M162)</f>
        <v>8.2394734595892967</v>
      </c>
      <c r="N25" s="87">
        <f t="shared" si="85"/>
        <v>9.3696171837369508</v>
      </c>
      <c r="O25" s="87">
        <f t="shared" si="85"/>
        <v>12.700182345010015</v>
      </c>
      <c r="P25" s="87">
        <f t="shared" si="85"/>
        <v>17.421803813587807</v>
      </c>
      <c r="Q25" s="87">
        <f t="shared" si="85"/>
        <v>20.953608803455925</v>
      </c>
      <c r="R25" s="87">
        <f t="shared" si="85"/>
        <v>28.741465049662544</v>
      </c>
      <c r="S25" s="87">
        <f t="shared" si="85"/>
        <v>31.136748833267678</v>
      </c>
      <c r="T25" s="87">
        <f t="shared" si="85"/>
        <v>46.101979673728493</v>
      </c>
      <c r="U25" s="87">
        <f t="shared" si="85"/>
        <v>54.94826591542796</v>
      </c>
      <c r="V25" s="87">
        <f t="shared" si="85"/>
        <v>59.913158049586073</v>
      </c>
      <c r="W25" s="87">
        <f t="shared" ref="W25" si="86">IF(W52=0,0,W52*W162)</f>
        <v>77.855145981815753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247759.39291711617</v>
      </c>
      <c r="C26" s="116">
        <f t="shared" si="87"/>
        <v>259191.14776346183</v>
      </c>
      <c r="D26" s="116">
        <f t="shared" si="87"/>
        <v>265702.7302368338</v>
      </c>
      <c r="E26" s="116">
        <f t="shared" si="87"/>
        <v>268401.33814143093</v>
      </c>
      <c r="F26" s="116">
        <f t="shared" si="87"/>
        <v>292356.81617190148</v>
      </c>
      <c r="G26" s="116">
        <f t="shared" si="87"/>
        <v>294537.81071988691</v>
      </c>
      <c r="H26" s="116">
        <f t="shared" si="87"/>
        <v>303930.56686590088</v>
      </c>
      <c r="I26" s="116">
        <f t="shared" si="87"/>
        <v>315327.21576011996</v>
      </c>
      <c r="J26" s="116">
        <f t="shared" si="87"/>
        <v>301426.67973424128</v>
      </c>
      <c r="K26" s="116">
        <f t="shared" si="87"/>
        <v>261748.58388974765</v>
      </c>
      <c r="L26" s="116">
        <f t="shared" ref="L26" si="88">SUM(L27:L28)</f>
        <v>275130.0027034246</v>
      </c>
      <c r="M26" s="116">
        <f t="shared" ref="M26:V26" si="89">SUM(M27:M28)</f>
        <v>273377.04010423552</v>
      </c>
      <c r="N26" s="116">
        <f t="shared" si="89"/>
        <v>259057.25243365948</v>
      </c>
      <c r="O26" s="116">
        <f t="shared" si="89"/>
        <v>263738.21668291086</v>
      </c>
      <c r="P26" s="116">
        <f t="shared" si="89"/>
        <v>259860.9528302468</v>
      </c>
      <c r="Q26" s="116">
        <f t="shared" si="89"/>
        <v>251181.95955553662</v>
      </c>
      <c r="R26" s="116">
        <f t="shared" si="89"/>
        <v>258563.4174654166</v>
      </c>
      <c r="S26" s="116">
        <f t="shared" si="89"/>
        <v>277833.82609574683</v>
      </c>
      <c r="T26" s="116">
        <f t="shared" si="89"/>
        <v>281631</v>
      </c>
      <c r="U26" s="116">
        <f t="shared" si="89"/>
        <v>289329</v>
      </c>
      <c r="V26" s="116">
        <f t="shared" si="89"/>
        <v>280099</v>
      </c>
      <c r="W26" s="116">
        <f t="shared" ref="W26" si="90">SUM(W27:W28)</f>
        <v>295035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163163</v>
      </c>
      <c r="C27" s="101">
        <f t="shared" si="91"/>
        <v>168572</v>
      </c>
      <c r="D27" s="101">
        <f t="shared" si="91"/>
        <v>169742</v>
      </c>
      <c r="E27" s="101">
        <f t="shared" si="91"/>
        <v>170896</v>
      </c>
      <c r="F27" s="101">
        <f t="shared" si="91"/>
        <v>179183</v>
      </c>
      <c r="G27" s="101">
        <f t="shared" si="91"/>
        <v>177331</v>
      </c>
      <c r="H27" s="101">
        <f t="shared" si="91"/>
        <v>182753</v>
      </c>
      <c r="I27" s="101">
        <f t="shared" si="91"/>
        <v>191388</v>
      </c>
      <c r="J27" s="101">
        <f t="shared" si="91"/>
        <v>181879</v>
      </c>
      <c r="K27" s="101">
        <f t="shared" si="91"/>
        <v>156021</v>
      </c>
      <c r="L27" s="101">
        <f t="shared" ref="L27:V27" si="92">IF(L54=0,0,L54*L164)</f>
        <v>164325</v>
      </c>
      <c r="M27" s="101">
        <f t="shared" si="92"/>
        <v>168242</v>
      </c>
      <c r="N27" s="101">
        <f t="shared" si="92"/>
        <v>156449</v>
      </c>
      <c r="O27" s="101">
        <f t="shared" si="92"/>
        <v>155712</v>
      </c>
      <c r="P27" s="101">
        <f t="shared" si="92"/>
        <v>151112</v>
      </c>
      <c r="Q27" s="101">
        <f t="shared" si="92"/>
        <v>141242</v>
      </c>
      <c r="R27" s="101">
        <f t="shared" si="92"/>
        <v>144205</v>
      </c>
      <c r="S27" s="101">
        <f t="shared" si="92"/>
        <v>155876</v>
      </c>
      <c r="T27" s="101">
        <f t="shared" si="92"/>
        <v>159623</v>
      </c>
      <c r="U27" s="101">
        <f t="shared" si="92"/>
        <v>162504</v>
      </c>
      <c r="V27" s="101">
        <f t="shared" si="92"/>
        <v>158158</v>
      </c>
      <c r="W27" s="101">
        <f t="shared" ref="W27" si="93">IF(W54=0,0,W54*W164)</f>
        <v>162574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84596.392917116173</v>
      </c>
      <c r="C28" s="88">
        <f t="shared" si="94"/>
        <v>90619.147763461835</v>
      </c>
      <c r="D28" s="88">
        <f t="shared" si="94"/>
        <v>95960.730236833799</v>
      </c>
      <c r="E28" s="88">
        <f t="shared" si="94"/>
        <v>97505.338141430926</v>
      </c>
      <c r="F28" s="88">
        <f t="shared" si="94"/>
        <v>113173.81617190148</v>
      </c>
      <c r="G28" s="88">
        <f t="shared" si="94"/>
        <v>117206.81071988691</v>
      </c>
      <c r="H28" s="88">
        <f t="shared" si="94"/>
        <v>121177.56686590088</v>
      </c>
      <c r="I28" s="88">
        <f t="shared" si="94"/>
        <v>123939.21576011996</v>
      </c>
      <c r="J28" s="88">
        <f t="shared" si="94"/>
        <v>119547.67973424128</v>
      </c>
      <c r="K28" s="88">
        <f t="shared" si="94"/>
        <v>105727.58388974765</v>
      </c>
      <c r="L28" s="88">
        <f t="shared" ref="L28:V28" si="95">IF(L55=0,0,L55*L165)</f>
        <v>110805.0027034246</v>
      </c>
      <c r="M28" s="88">
        <f t="shared" si="95"/>
        <v>105135.04010423552</v>
      </c>
      <c r="N28" s="88">
        <f t="shared" si="95"/>
        <v>102608.25243365948</v>
      </c>
      <c r="O28" s="88">
        <f t="shared" si="95"/>
        <v>108026.21668291086</v>
      </c>
      <c r="P28" s="88">
        <f t="shared" si="95"/>
        <v>108748.9528302468</v>
      </c>
      <c r="Q28" s="88">
        <f t="shared" si="95"/>
        <v>109939.95955553662</v>
      </c>
      <c r="R28" s="88">
        <f t="shared" si="95"/>
        <v>114358.4174654166</v>
      </c>
      <c r="S28" s="88">
        <f t="shared" si="95"/>
        <v>121957.82609574682</v>
      </c>
      <c r="T28" s="88">
        <f t="shared" si="95"/>
        <v>122008</v>
      </c>
      <c r="U28" s="88">
        <f t="shared" si="95"/>
        <v>126825</v>
      </c>
      <c r="V28" s="88">
        <f t="shared" si="95"/>
        <v>121941</v>
      </c>
      <c r="W28" s="88">
        <f t="shared" ref="W28" si="96">IF(W55=0,0,W55*W165)</f>
        <v>132461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399213.91345760552</v>
      </c>
      <c r="C30" s="62">
        <f t="shared" ref="C30:V30" si="98">C31+C46</f>
        <v>421600.09179256309</v>
      </c>
      <c r="D30" s="62">
        <f t="shared" si="98"/>
        <v>430034.88340206159</v>
      </c>
      <c r="E30" s="62">
        <f t="shared" si="98"/>
        <v>430853.47278304922</v>
      </c>
      <c r="F30" s="62">
        <f t="shared" si="98"/>
        <v>435750.99113580975</v>
      </c>
      <c r="G30" s="62">
        <f t="shared" si="98"/>
        <v>436025.8445147897</v>
      </c>
      <c r="H30" s="62">
        <f t="shared" si="98"/>
        <v>444334.7988848348</v>
      </c>
      <c r="I30" s="62">
        <f t="shared" si="98"/>
        <v>454792.01818939933</v>
      </c>
      <c r="J30" s="62">
        <f t="shared" si="98"/>
        <v>448968.83816277469</v>
      </c>
      <c r="K30" s="62">
        <f t="shared" si="98"/>
        <v>457203.85579654813</v>
      </c>
      <c r="L30" s="62">
        <f t="shared" si="98"/>
        <v>463380.99018038786</v>
      </c>
      <c r="M30" s="62">
        <f t="shared" si="98"/>
        <v>475953.46028936596</v>
      </c>
      <c r="N30" s="62">
        <f t="shared" si="98"/>
        <v>484188.70135368418</v>
      </c>
      <c r="O30" s="62">
        <f t="shared" si="98"/>
        <v>488148.09981098294</v>
      </c>
      <c r="P30" s="62">
        <f t="shared" si="98"/>
        <v>501164.8610188833</v>
      </c>
      <c r="Q30" s="62">
        <f t="shared" si="98"/>
        <v>515435.88216355897</v>
      </c>
      <c r="R30" s="62">
        <f t="shared" si="98"/>
        <v>525114.5240648</v>
      </c>
      <c r="S30" s="62">
        <f t="shared" si="98"/>
        <v>535271.01014336525</v>
      </c>
      <c r="T30" s="62">
        <f t="shared" si="98"/>
        <v>529844.66884036583</v>
      </c>
      <c r="U30" s="62">
        <f t="shared" si="98"/>
        <v>541310.40665998182</v>
      </c>
      <c r="V30" s="62">
        <f t="shared" si="98"/>
        <v>459635.52660184162</v>
      </c>
      <c r="W30" s="62">
        <f t="shared" ref="W30" si="99">W31+W46</f>
        <v>522543.53852987906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317159.61514669703</v>
      </c>
      <c r="C31" s="29">
        <f t="shared" ref="C31:V31" si="101">C32+C33+C40</f>
        <v>336745.53861745936</v>
      </c>
      <c r="D31" s="29">
        <f t="shared" si="101"/>
        <v>344638.3841806553</v>
      </c>
      <c r="E31" s="29">
        <f t="shared" si="101"/>
        <v>345826.3574616902</v>
      </c>
      <c r="F31" s="29">
        <f t="shared" si="101"/>
        <v>349087.00906043069</v>
      </c>
      <c r="G31" s="29">
        <f t="shared" si="101"/>
        <v>349379.47515912086</v>
      </c>
      <c r="H31" s="29">
        <f t="shared" si="101"/>
        <v>356525.69274016726</v>
      </c>
      <c r="I31" s="29">
        <f t="shared" si="101"/>
        <v>365941.08278607647</v>
      </c>
      <c r="J31" s="29">
        <f t="shared" si="101"/>
        <v>363415.75723651762</v>
      </c>
      <c r="K31" s="29">
        <f t="shared" si="101"/>
        <v>373163.26107476879</v>
      </c>
      <c r="L31" s="29">
        <f t="shared" si="101"/>
        <v>376377.4389545251</v>
      </c>
      <c r="M31" s="29">
        <f t="shared" si="101"/>
        <v>386645.93433890422</v>
      </c>
      <c r="N31" s="29">
        <f t="shared" si="101"/>
        <v>395458.90675335331</v>
      </c>
      <c r="O31" s="29">
        <f t="shared" si="101"/>
        <v>397769.87541940017</v>
      </c>
      <c r="P31" s="29">
        <f t="shared" si="101"/>
        <v>409989.25542241742</v>
      </c>
      <c r="Q31" s="29">
        <f t="shared" si="101"/>
        <v>421730.10236731183</v>
      </c>
      <c r="R31" s="29">
        <f t="shared" si="101"/>
        <v>430923.41080996353</v>
      </c>
      <c r="S31" s="29">
        <f t="shared" si="101"/>
        <v>437875.41419452237</v>
      </c>
      <c r="T31" s="29">
        <f t="shared" si="101"/>
        <v>433218.61158648698</v>
      </c>
      <c r="U31" s="29">
        <f t="shared" si="101"/>
        <v>443253.66156758892</v>
      </c>
      <c r="V31" s="29">
        <f t="shared" si="101"/>
        <v>371892.29002368706</v>
      </c>
      <c r="W31" s="29">
        <f t="shared" ref="W31" si="102">W32+W33+W40</f>
        <v>424106.69298309158</v>
      </c>
      <c r="DA31" s="173" t="s">
        <v>474</v>
      </c>
    </row>
    <row r="32" spans="1:105" ht="11.45" customHeight="1" x14ac:dyDescent="0.25">
      <c r="A32" s="136" t="s">
        <v>180</v>
      </c>
      <c r="B32" s="152">
        <v>9800.7568577540969</v>
      </c>
      <c r="C32" s="152">
        <v>10759.053785945445</v>
      </c>
      <c r="D32" s="152">
        <v>11972.752414596795</v>
      </c>
      <c r="E32" s="152">
        <v>12007.178992436851</v>
      </c>
      <c r="F32" s="152">
        <v>12820.638752390581</v>
      </c>
      <c r="G32" s="152">
        <v>13181.525198208627</v>
      </c>
      <c r="H32" s="152">
        <v>13246.737497712062</v>
      </c>
      <c r="I32" s="152">
        <v>13770.325744143469</v>
      </c>
      <c r="J32" s="152">
        <v>14587.470000000001</v>
      </c>
      <c r="K32" s="152">
        <v>15170.62</v>
      </c>
      <c r="L32" s="152">
        <v>15170.62</v>
      </c>
      <c r="M32" s="152">
        <v>15185.880000000001</v>
      </c>
      <c r="N32" s="152">
        <v>15325.2</v>
      </c>
      <c r="O32" s="152">
        <v>15603.840000000002</v>
      </c>
      <c r="P32" s="152">
        <v>16021.8</v>
      </c>
      <c r="Q32" s="152">
        <v>16161.119999999999</v>
      </c>
      <c r="R32" s="152">
        <v>15000.270181577165</v>
      </c>
      <c r="S32" s="152">
        <v>14330.310358434645</v>
      </c>
      <c r="T32" s="152">
        <v>13596.626917685493</v>
      </c>
      <c r="U32" s="152">
        <v>14353.978394426258</v>
      </c>
      <c r="V32" s="152">
        <v>12346.122018666465</v>
      </c>
      <c r="W32" s="152">
        <v>12852.627829418636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304401.15246629441</v>
      </c>
      <c r="C33" s="116">
        <f t="shared" ref="C33:V33" si="104">SUM(C34:C39)</f>
        <v>323043.97223632084</v>
      </c>
      <c r="D33" s="116">
        <f t="shared" si="104"/>
        <v>329702.140788791</v>
      </c>
      <c r="E33" s="116">
        <f t="shared" si="104"/>
        <v>330825.52630721667</v>
      </c>
      <c r="F33" s="116">
        <f t="shared" si="104"/>
        <v>333219.08823329204</v>
      </c>
      <c r="G33" s="116">
        <f t="shared" si="104"/>
        <v>333133.11602643563</v>
      </c>
      <c r="H33" s="116">
        <f t="shared" si="104"/>
        <v>340075.06482615619</v>
      </c>
      <c r="I33" s="116">
        <f t="shared" si="104"/>
        <v>348879.23904517526</v>
      </c>
      <c r="J33" s="116">
        <f t="shared" si="104"/>
        <v>345526.28723651764</v>
      </c>
      <c r="K33" s="116">
        <f t="shared" si="104"/>
        <v>354803.44993056729</v>
      </c>
      <c r="L33" s="116">
        <f t="shared" si="104"/>
        <v>358107.99361897656</v>
      </c>
      <c r="M33" s="116">
        <f t="shared" si="104"/>
        <v>368357.43647844932</v>
      </c>
      <c r="N33" s="116">
        <f t="shared" si="104"/>
        <v>377047.64836155373</v>
      </c>
      <c r="O33" s="116">
        <f t="shared" si="104"/>
        <v>379269.83541940013</v>
      </c>
      <c r="P33" s="116">
        <f t="shared" si="104"/>
        <v>391043.79442241741</v>
      </c>
      <c r="Q33" s="116">
        <f t="shared" si="104"/>
        <v>402594.89236731181</v>
      </c>
      <c r="R33" s="116">
        <f t="shared" si="104"/>
        <v>412885.39062838635</v>
      </c>
      <c r="S33" s="116">
        <f t="shared" si="104"/>
        <v>420547.88683608774</v>
      </c>
      <c r="T33" s="116">
        <f t="shared" si="104"/>
        <v>416590.08866880147</v>
      </c>
      <c r="U33" s="116">
        <f t="shared" si="104"/>
        <v>425868.63617316267</v>
      </c>
      <c r="V33" s="116">
        <f t="shared" si="104"/>
        <v>357171.76000502059</v>
      </c>
      <c r="W33" s="116">
        <f t="shared" ref="W33" si="105">SUM(W34:W39)</f>
        <v>408649.45815367292</v>
      </c>
      <c r="DA33" s="176" t="s">
        <v>476</v>
      </c>
    </row>
    <row r="34" spans="1:105" ht="11.45" customHeight="1" x14ac:dyDescent="0.25">
      <c r="A34" s="111" t="s">
        <v>110</v>
      </c>
      <c r="B34" s="87">
        <v>158556.24819124833</v>
      </c>
      <c r="C34" s="87">
        <v>158163.0567300141</v>
      </c>
      <c r="D34" s="87">
        <v>154503.25729944534</v>
      </c>
      <c r="E34" s="87">
        <v>145553.99574663045</v>
      </c>
      <c r="F34" s="87">
        <v>139340.33490254474</v>
      </c>
      <c r="G34" s="87">
        <v>132140.52896745721</v>
      </c>
      <c r="H34" s="87">
        <v>124948.12190023073</v>
      </c>
      <c r="I34" s="87">
        <v>118501.51719750751</v>
      </c>
      <c r="J34" s="87">
        <v>107775.35664556261</v>
      </c>
      <c r="K34" s="87">
        <v>104946.84333582803</v>
      </c>
      <c r="L34" s="87">
        <v>97656.104594689372</v>
      </c>
      <c r="M34" s="87">
        <v>97358.226444761793</v>
      </c>
      <c r="N34" s="87">
        <v>92918.11268944203</v>
      </c>
      <c r="O34" s="87">
        <v>90856.983441957651</v>
      </c>
      <c r="P34" s="87">
        <v>93995.408624501841</v>
      </c>
      <c r="Q34" s="87">
        <v>98218.275623238282</v>
      </c>
      <c r="R34" s="87">
        <v>104879.14525007248</v>
      </c>
      <c r="S34" s="87">
        <v>112884.94960777841</v>
      </c>
      <c r="T34" s="87">
        <v>120699.57891775358</v>
      </c>
      <c r="U34" s="87">
        <v>133172.80291124221</v>
      </c>
      <c r="V34" s="87">
        <v>115947.52556165462</v>
      </c>
      <c r="W34" s="87">
        <v>141506.37835610649</v>
      </c>
      <c r="DA34" s="171" t="s">
        <v>477</v>
      </c>
    </row>
    <row r="35" spans="1:105" ht="11.45" customHeight="1" x14ac:dyDescent="0.25">
      <c r="A35" s="111" t="s">
        <v>111</v>
      </c>
      <c r="B35" s="87">
        <v>142982.87735364711</v>
      </c>
      <c r="C35" s="87">
        <v>162122.63284329252</v>
      </c>
      <c r="D35" s="87">
        <v>172780.01060074678</v>
      </c>
      <c r="E35" s="87">
        <v>183252.29321548506</v>
      </c>
      <c r="F35" s="87">
        <v>192083.1041292919</v>
      </c>
      <c r="G35" s="87">
        <v>199380.4257409432</v>
      </c>
      <c r="H35" s="87">
        <v>213667.83644560352</v>
      </c>
      <c r="I35" s="87">
        <v>229111.5929540639</v>
      </c>
      <c r="J35" s="87">
        <v>236369.94543300261</v>
      </c>
      <c r="K35" s="87">
        <v>248367.89679100132</v>
      </c>
      <c r="L35" s="87">
        <v>258861.31392225827</v>
      </c>
      <c r="M35" s="87">
        <v>269236.53132064448</v>
      </c>
      <c r="N35" s="87">
        <v>282472.08660650131</v>
      </c>
      <c r="O35" s="87">
        <v>286889.21676219825</v>
      </c>
      <c r="P35" s="87">
        <v>295491.78835092665</v>
      </c>
      <c r="Q35" s="87">
        <v>302596.55477118411</v>
      </c>
      <c r="R35" s="87">
        <v>306031.54018580529</v>
      </c>
      <c r="S35" s="87">
        <v>305340.48321994487</v>
      </c>
      <c r="T35" s="87">
        <v>293065.86814329226</v>
      </c>
      <c r="U35" s="87">
        <v>289137.27736299695</v>
      </c>
      <c r="V35" s="87">
        <v>236278.96832041215</v>
      </c>
      <c r="W35" s="87">
        <v>257972.99805795951</v>
      </c>
      <c r="DA35" s="171" t="s">
        <v>478</v>
      </c>
    </row>
    <row r="36" spans="1:105" ht="11.45" customHeight="1" x14ac:dyDescent="0.25">
      <c r="A36" s="111" t="s">
        <v>112</v>
      </c>
      <c r="B36" s="87">
        <v>2862.0269213989754</v>
      </c>
      <c r="C36" s="87">
        <v>2758.2826630142231</v>
      </c>
      <c r="D36" s="87">
        <v>2418.8728885988903</v>
      </c>
      <c r="E36" s="87">
        <v>2019.2373451011101</v>
      </c>
      <c r="F36" s="87">
        <v>1795.6492014554194</v>
      </c>
      <c r="G36" s="87">
        <v>1612.1613180352117</v>
      </c>
      <c r="H36" s="87">
        <v>1458.9181768487115</v>
      </c>
      <c r="I36" s="87">
        <v>1256.763319913056</v>
      </c>
      <c r="J36" s="87">
        <v>1329.269005618308</v>
      </c>
      <c r="K36" s="87">
        <v>1431.0268731255494</v>
      </c>
      <c r="L36" s="87">
        <v>1531.0319011214046</v>
      </c>
      <c r="M36" s="87">
        <v>1665.3833298728528</v>
      </c>
      <c r="N36" s="87">
        <v>1498.7410431327362</v>
      </c>
      <c r="O36" s="87">
        <v>1249.6858695945639</v>
      </c>
      <c r="P36" s="87">
        <v>1116.6588877955737</v>
      </c>
      <c r="Q36" s="87">
        <v>1031.0909499779782</v>
      </c>
      <c r="R36" s="87">
        <v>943.34879263944492</v>
      </c>
      <c r="S36" s="87">
        <v>861.83445696597335</v>
      </c>
      <c r="T36" s="87">
        <v>793.4214361335562</v>
      </c>
      <c r="U36" s="87">
        <v>767.57561142446355</v>
      </c>
      <c r="V36" s="87">
        <v>602.62285506550222</v>
      </c>
      <c r="W36" s="87">
        <v>728.62815970607164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9.0962660646621796</v>
      </c>
      <c r="J37" s="87">
        <v>16.56136671677686</v>
      </c>
      <c r="K37" s="87">
        <v>22.565753622197779</v>
      </c>
      <c r="L37" s="87">
        <v>24.269240948637623</v>
      </c>
      <c r="M37" s="87">
        <v>25.520087532445935</v>
      </c>
      <c r="N37" s="87">
        <v>27.278331679026447</v>
      </c>
      <c r="O37" s="87">
        <v>27.228305833056371</v>
      </c>
      <c r="P37" s="87">
        <v>27.626478719699975</v>
      </c>
      <c r="Q37" s="87">
        <v>29.083450533046541</v>
      </c>
      <c r="R37" s="87">
        <v>34.318780751191994</v>
      </c>
      <c r="S37" s="87">
        <v>34.582883261700282</v>
      </c>
      <c r="T37" s="87">
        <v>33.901914103237026</v>
      </c>
      <c r="U37" s="87">
        <v>36.590315031129322</v>
      </c>
      <c r="V37" s="87">
        <v>33.349485812196875</v>
      </c>
      <c r="W37" s="87">
        <v>39.170469684048655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4.9276109929527925</v>
      </c>
      <c r="O38" s="87">
        <v>10.671143091808851</v>
      </c>
      <c r="P38" s="87">
        <v>22.403776125435325</v>
      </c>
      <c r="Q38" s="87">
        <v>61.891582608196941</v>
      </c>
      <c r="R38" s="87">
        <v>115.98674856640285</v>
      </c>
      <c r="S38" s="87">
        <v>209.30008798420582</v>
      </c>
      <c r="T38" s="87">
        <v>327.29142940037065</v>
      </c>
      <c r="U38" s="87">
        <v>508.19432279711867</v>
      </c>
      <c r="V38" s="87">
        <v>995.68978015818402</v>
      </c>
      <c r="W38" s="87">
        <v>2422.2007749821728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0.18830347316757984</v>
      </c>
      <c r="I39" s="87">
        <v>0.26930762611329384</v>
      </c>
      <c r="J39" s="87">
        <v>35.154785617343812</v>
      </c>
      <c r="K39" s="87">
        <v>35.117176990150888</v>
      </c>
      <c r="L39" s="87">
        <v>35.273959958807701</v>
      </c>
      <c r="M39" s="87">
        <v>71.775295637749508</v>
      </c>
      <c r="N39" s="87">
        <v>126.50207980562529</v>
      </c>
      <c r="O39" s="87">
        <v>236.04989672481605</v>
      </c>
      <c r="P39" s="87">
        <v>389.90830434815223</v>
      </c>
      <c r="Q39" s="87">
        <v>657.99598977013409</v>
      </c>
      <c r="R39" s="87">
        <v>881.0508705515299</v>
      </c>
      <c r="S39" s="87">
        <v>1216.7365801526125</v>
      </c>
      <c r="T39" s="87">
        <v>1670.0268281184231</v>
      </c>
      <c r="U39" s="87">
        <v>2246.1956496707658</v>
      </c>
      <c r="V39" s="87">
        <v>3313.6040019179472</v>
      </c>
      <c r="W39" s="87">
        <v>5980.0823352346315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2957.7058226485265</v>
      </c>
      <c r="C40" s="116">
        <f t="shared" ref="C40:V40" si="107">SUM(C41:C45)</f>
        <v>2942.5125951930677</v>
      </c>
      <c r="D40" s="116">
        <f t="shared" si="107"/>
        <v>2963.4909772674928</v>
      </c>
      <c r="E40" s="116">
        <f t="shared" si="107"/>
        <v>2993.652162036663</v>
      </c>
      <c r="F40" s="116">
        <f t="shared" si="107"/>
        <v>3047.2820747480955</v>
      </c>
      <c r="G40" s="116">
        <f t="shared" si="107"/>
        <v>3064.8339344765923</v>
      </c>
      <c r="H40" s="116">
        <f t="shared" si="107"/>
        <v>3203.8904162990125</v>
      </c>
      <c r="I40" s="116">
        <f t="shared" si="107"/>
        <v>3291.5179967577433</v>
      </c>
      <c r="J40" s="116">
        <f t="shared" si="107"/>
        <v>3301.9999999999995</v>
      </c>
      <c r="K40" s="116">
        <f t="shared" si="107"/>
        <v>3189.1911442015244</v>
      </c>
      <c r="L40" s="116">
        <f t="shared" si="107"/>
        <v>3098.8253355485454</v>
      </c>
      <c r="M40" s="116">
        <f t="shared" si="107"/>
        <v>3102.6178604548709</v>
      </c>
      <c r="N40" s="116">
        <f t="shared" si="107"/>
        <v>3086.0583917995787</v>
      </c>
      <c r="O40" s="116">
        <f t="shared" si="107"/>
        <v>2896.2</v>
      </c>
      <c r="P40" s="116">
        <f t="shared" si="107"/>
        <v>2923.6610000000005</v>
      </c>
      <c r="Q40" s="116">
        <f t="shared" si="107"/>
        <v>2974.09</v>
      </c>
      <c r="R40" s="116">
        <f t="shared" si="107"/>
        <v>3037.75</v>
      </c>
      <c r="S40" s="116">
        <f t="shared" si="107"/>
        <v>2997.2169999999996</v>
      </c>
      <c r="T40" s="116">
        <f t="shared" si="107"/>
        <v>3031.8960000000006</v>
      </c>
      <c r="U40" s="116">
        <f t="shared" si="107"/>
        <v>3031.047</v>
      </c>
      <c r="V40" s="116">
        <f t="shared" si="107"/>
        <v>2374.4079999999999</v>
      </c>
      <c r="W40" s="116">
        <f t="shared" ref="W40" si="108">SUM(W41:W45)</f>
        <v>2604.607</v>
      </c>
      <c r="DA40" s="176" t="s">
        <v>483</v>
      </c>
    </row>
    <row r="41" spans="1:105" ht="11.45" customHeight="1" x14ac:dyDescent="0.25">
      <c r="A41" s="111" t="s">
        <v>110</v>
      </c>
      <c r="B41" s="101">
        <v>15.834365018007935</v>
      </c>
      <c r="C41" s="101">
        <v>14.876199166390721</v>
      </c>
      <c r="D41" s="101">
        <v>14.449749078887107</v>
      </c>
      <c r="E41" s="101">
        <v>13.563322234150045</v>
      </c>
      <c r="F41" s="101">
        <v>12.730928722059721</v>
      </c>
      <c r="G41" s="101">
        <v>11.645707846868047</v>
      </c>
      <c r="H41" s="101">
        <v>10.937638431097572</v>
      </c>
      <c r="I41" s="101">
        <v>9.9891721196704193</v>
      </c>
      <c r="J41" s="101">
        <v>9.198288090713536</v>
      </c>
      <c r="K41" s="101">
        <v>8.1373244144099033</v>
      </c>
      <c r="L41" s="101">
        <v>7.0409319131620656</v>
      </c>
      <c r="M41" s="101">
        <v>6.0178176968356842</v>
      </c>
      <c r="N41" s="101">
        <v>5.1067037427580786</v>
      </c>
      <c r="O41" s="101">
        <v>4.2542734464448486</v>
      </c>
      <c r="P41" s="101">
        <v>3.5700937578113745</v>
      </c>
      <c r="Q41" s="101">
        <v>3.0118030678207171</v>
      </c>
      <c r="R41" s="101">
        <v>2.9790516795238071</v>
      </c>
      <c r="S41" s="101">
        <v>2.9305493615171487</v>
      </c>
      <c r="T41" s="101">
        <v>2.9201349251219288</v>
      </c>
      <c r="U41" s="101">
        <v>2.8210010023352132</v>
      </c>
      <c r="V41" s="101">
        <v>2.1158117699369274</v>
      </c>
      <c r="W41" s="101">
        <v>2.3396379120067152</v>
      </c>
      <c r="DA41" s="175" t="s">
        <v>484</v>
      </c>
    </row>
    <row r="42" spans="1:105" ht="11.45" customHeight="1" x14ac:dyDescent="0.25">
      <c r="A42" s="111" t="s">
        <v>111</v>
      </c>
      <c r="B42" s="101">
        <v>2931.6876241408622</v>
      </c>
      <c r="C42" s="101">
        <v>2898.8818890755701</v>
      </c>
      <c r="D42" s="101">
        <v>2916.7170694359529</v>
      </c>
      <c r="E42" s="101">
        <v>2938.6114357650972</v>
      </c>
      <c r="F42" s="101">
        <v>2986.2295853273531</v>
      </c>
      <c r="G42" s="101">
        <v>3001.3336599529594</v>
      </c>
      <c r="H42" s="101">
        <v>3134.1190144250195</v>
      </c>
      <c r="I42" s="101">
        <v>3215.3491710979188</v>
      </c>
      <c r="J42" s="101">
        <v>3216.2161401651979</v>
      </c>
      <c r="K42" s="101">
        <v>3105.9978997281878</v>
      </c>
      <c r="L42" s="101">
        <v>3019.5349837875174</v>
      </c>
      <c r="M42" s="101">
        <v>2936.0234321984408</v>
      </c>
      <c r="N42" s="101">
        <v>2902.4737558511447</v>
      </c>
      <c r="O42" s="101">
        <v>2694.1852663582254</v>
      </c>
      <c r="P42" s="101">
        <v>2709.0073984691148</v>
      </c>
      <c r="Q42" s="101">
        <v>2757.3503895615195</v>
      </c>
      <c r="R42" s="101">
        <v>2817.5847181451572</v>
      </c>
      <c r="S42" s="101">
        <v>2767.4276402381283</v>
      </c>
      <c r="T42" s="101">
        <v>2768.366832261891</v>
      </c>
      <c r="U42" s="101">
        <v>2701.3963633781391</v>
      </c>
      <c r="V42" s="101">
        <v>2021.7515611090544</v>
      </c>
      <c r="W42" s="101">
        <v>2079.8753296154878</v>
      </c>
      <c r="DA42" s="175" t="s">
        <v>485</v>
      </c>
    </row>
    <row r="43" spans="1:105" ht="11.45" customHeight="1" x14ac:dyDescent="0.25">
      <c r="A43" s="111" t="s">
        <v>112</v>
      </c>
      <c r="B43" s="101">
        <v>3.414147081595202</v>
      </c>
      <c r="C43" s="101">
        <v>3.9837395429645506</v>
      </c>
      <c r="D43" s="101">
        <v>4.0200104236167009</v>
      </c>
      <c r="E43" s="101">
        <v>4.2343902387776842</v>
      </c>
      <c r="F43" s="101">
        <v>4.3859150340438875</v>
      </c>
      <c r="G43" s="101">
        <v>4.3953105007992823</v>
      </c>
      <c r="H43" s="101">
        <v>3.6370551729424023</v>
      </c>
      <c r="I43" s="101">
        <v>4.3355912843612003</v>
      </c>
      <c r="J43" s="101">
        <v>4.2459972770713774</v>
      </c>
      <c r="K43" s="101">
        <v>4.0526065376034861</v>
      </c>
      <c r="L43" s="101">
        <v>3.7862389440967719</v>
      </c>
      <c r="M43" s="101">
        <v>3.5062346927998997</v>
      </c>
      <c r="N43" s="101">
        <v>3.2543232217633786</v>
      </c>
      <c r="O43" s="101">
        <v>2.9983568274023176</v>
      </c>
      <c r="P43" s="101">
        <v>2.7884944846444135</v>
      </c>
      <c r="Q43" s="101">
        <v>2.6377395323639252</v>
      </c>
      <c r="R43" s="101">
        <v>2.4985988055333381</v>
      </c>
      <c r="S43" s="101">
        <v>2.2832538479350375</v>
      </c>
      <c r="T43" s="101">
        <v>2.1248816666815378</v>
      </c>
      <c r="U43" s="101">
        <v>1.9100684696489918</v>
      </c>
      <c r="V43" s="101">
        <v>1.337036010222423</v>
      </c>
      <c r="W43" s="101">
        <v>1.3037720638385852</v>
      </c>
      <c r="DA43" s="175" t="s">
        <v>486</v>
      </c>
    </row>
    <row r="44" spans="1:105" ht="11.45" customHeight="1" x14ac:dyDescent="0.25">
      <c r="A44" s="111" t="s">
        <v>113</v>
      </c>
      <c r="B44" s="101">
        <v>0.67192647278616136</v>
      </c>
      <c r="C44" s="101">
        <v>17.961322773602731</v>
      </c>
      <c r="D44" s="101">
        <v>20.698362593649758</v>
      </c>
      <c r="E44" s="101">
        <v>29.012141429079495</v>
      </c>
      <c r="F44" s="101">
        <v>35.080000329875752</v>
      </c>
      <c r="G44" s="101">
        <v>38.681228313964702</v>
      </c>
      <c r="H44" s="101">
        <v>46.617535603801684</v>
      </c>
      <c r="I44" s="101">
        <v>53.513533040583042</v>
      </c>
      <c r="J44" s="101">
        <v>64.251122334440581</v>
      </c>
      <c r="K44" s="101">
        <v>63.328593521035835</v>
      </c>
      <c r="L44" s="101">
        <v>61.239973677072165</v>
      </c>
      <c r="M44" s="101">
        <v>150.2582942443253</v>
      </c>
      <c r="N44" s="101">
        <v>167.6520400755843</v>
      </c>
      <c r="O44" s="101">
        <v>183.03635624915768</v>
      </c>
      <c r="P44" s="101">
        <v>195.56415435721851</v>
      </c>
      <c r="Q44" s="101">
        <v>197.050884065574</v>
      </c>
      <c r="R44" s="101">
        <v>198.80730400615062</v>
      </c>
      <c r="S44" s="101">
        <v>206.75122643939508</v>
      </c>
      <c r="T44" s="101">
        <v>239.87273979909332</v>
      </c>
      <c r="U44" s="101">
        <v>295.64194452464153</v>
      </c>
      <c r="V44" s="101">
        <v>321.0262605874899</v>
      </c>
      <c r="W44" s="101">
        <v>459.68588828249347</v>
      </c>
      <c r="DA44" s="175" t="s">
        <v>487</v>
      </c>
    </row>
    <row r="45" spans="1:105" ht="11.45" customHeight="1" x14ac:dyDescent="0.25">
      <c r="A45" s="111" t="s">
        <v>115</v>
      </c>
      <c r="B45" s="101">
        <v>6.0977599352746719</v>
      </c>
      <c r="C45" s="101">
        <v>6.809444634540065</v>
      </c>
      <c r="D45" s="101">
        <v>7.6057857353860685</v>
      </c>
      <c r="E45" s="101">
        <v>8.2308723695585062</v>
      </c>
      <c r="F45" s="101">
        <v>8.8556453347630288</v>
      </c>
      <c r="G45" s="101">
        <v>8.7780278620008936</v>
      </c>
      <c r="H45" s="101">
        <v>8.5791726661514751</v>
      </c>
      <c r="I45" s="101">
        <v>8.3305292152098289</v>
      </c>
      <c r="J45" s="101">
        <v>8.0884521325766965</v>
      </c>
      <c r="K45" s="101">
        <v>7.6747200002875289</v>
      </c>
      <c r="L45" s="101">
        <v>7.2232072266972356</v>
      </c>
      <c r="M45" s="101">
        <v>6.8120816224690657</v>
      </c>
      <c r="N45" s="101">
        <v>7.5715689083278939</v>
      </c>
      <c r="O45" s="101">
        <v>11.72574711876964</v>
      </c>
      <c r="P45" s="101">
        <v>12.730858931210834</v>
      </c>
      <c r="Q45" s="101">
        <v>14.039183772722014</v>
      </c>
      <c r="R45" s="101">
        <v>15.880327363634825</v>
      </c>
      <c r="S45" s="101">
        <v>17.824330113024331</v>
      </c>
      <c r="T45" s="101">
        <v>18.611411347212442</v>
      </c>
      <c r="U45" s="101">
        <v>29.277622625235118</v>
      </c>
      <c r="V45" s="101">
        <v>28.177330523296344</v>
      </c>
      <c r="W45" s="101">
        <v>61.402372126173425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82054.29831090846</v>
      </c>
      <c r="C46" s="29">
        <f t="shared" ref="C46:V46" si="110">C47+C53</f>
        <v>84854.553175103763</v>
      </c>
      <c r="D46" s="29">
        <f t="shared" si="110"/>
        <v>85396.499221406295</v>
      </c>
      <c r="E46" s="29">
        <f t="shared" si="110"/>
        <v>85027.115321359044</v>
      </c>
      <c r="F46" s="29">
        <f t="shared" si="110"/>
        <v>86663.98207537907</v>
      </c>
      <c r="G46" s="29">
        <f t="shared" si="110"/>
        <v>86646.369355668838</v>
      </c>
      <c r="H46" s="29">
        <f t="shared" si="110"/>
        <v>87809.106144667545</v>
      </c>
      <c r="I46" s="29">
        <f t="shared" si="110"/>
        <v>88850.935403322859</v>
      </c>
      <c r="J46" s="29">
        <f t="shared" si="110"/>
        <v>85553.08092625704</v>
      </c>
      <c r="K46" s="29">
        <f t="shared" si="110"/>
        <v>84040.594721779329</v>
      </c>
      <c r="L46" s="29">
        <f t="shared" si="110"/>
        <v>87003.551225862742</v>
      </c>
      <c r="M46" s="29">
        <f t="shared" si="110"/>
        <v>89307.525950461757</v>
      </c>
      <c r="N46" s="29">
        <f t="shared" si="110"/>
        <v>88729.794600330846</v>
      </c>
      <c r="O46" s="29">
        <f t="shared" si="110"/>
        <v>90378.224391582771</v>
      </c>
      <c r="P46" s="29">
        <f t="shared" si="110"/>
        <v>91175.605596465844</v>
      </c>
      <c r="Q46" s="29">
        <f t="shared" si="110"/>
        <v>93705.779796247109</v>
      </c>
      <c r="R46" s="29">
        <f t="shared" si="110"/>
        <v>94191.113254836484</v>
      </c>
      <c r="S46" s="29">
        <f t="shared" si="110"/>
        <v>97395.595948842878</v>
      </c>
      <c r="T46" s="29">
        <f t="shared" si="110"/>
        <v>96626.057253878826</v>
      </c>
      <c r="U46" s="29">
        <f t="shared" si="110"/>
        <v>98056.74509239287</v>
      </c>
      <c r="V46" s="29">
        <f t="shared" si="110"/>
        <v>87743.236578154538</v>
      </c>
      <c r="W46" s="29">
        <f t="shared" ref="W46" si="111">W47+W53</f>
        <v>98436.845546787488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62367.799738522262</v>
      </c>
      <c r="C47" s="152">
        <f t="shared" ref="C47:V47" si="113">SUM(C48:C52)</f>
        <v>64402.10871510439</v>
      </c>
      <c r="D47" s="152">
        <f t="shared" si="113"/>
        <v>64595.025371521122</v>
      </c>
      <c r="E47" s="152">
        <f t="shared" si="113"/>
        <v>64048.62879077917</v>
      </c>
      <c r="F47" s="152">
        <f t="shared" si="113"/>
        <v>63581.173826742102</v>
      </c>
      <c r="G47" s="152">
        <f t="shared" si="113"/>
        <v>63300.097713851763</v>
      </c>
      <c r="H47" s="152">
        <f t="shared" si="113"/>
        <v>64045.150427176632</v>
      </c>
      <c r="I47" s="152">
        <f t="shared" si="113"/>
        <v>64369.424277041908</v>
      </c>
      <c r="J47" s="152">
        <f t="shared" si="113"/>
        <v>62302.076193803121</v>
      </c>
      <c r="K47" s="152">
        <f t="shared" si="113"/>
        <v>63586.125467146427</v>
      </c>
      <c r="L47" s="152">
        <f t="shared" si="113"/>
        <v>65739.659784796357</v>
      </c>
      <c r="M47" s="152">
        <f t="shared" si="113"/>
        <v>67904.657696974158</v>
      </c>
      <c r="N47" s="152">
        <f t="shared" si="113"/>
        <v>68534.601213226051</v>
      </c>
      <c r="O47" s="152">
        <f t="shared" si="113"/>
        <v>69884.596721421956</v>
      </c>
      <c r="P47" s="152">
        <f t="shared" si="113"/>
        <v>70844.759122161719</v>
      </c>
      <c r="Q47" s="152">
        <f t="shared" si="113"/>
        <v>73893.04094536764</v>
      </c>
      <c r="R47" s="152">
        <f t="shared" si="113"/>
        <v>73480.223081444477</v>
      </c>
      <c r="S47" s="152">
        <f t="shared" si="113"/>
        <v>75917.114206276165</v>
      </c>
      <c r="T47" s="152">
        <f t="shared" si="113"/>
        <v>75432.221070753658</v>
      </c>
      <c r="U47" s="152">
        <f t="shared" si="113"/>
        <v>76192.360443270692</v>
      </c>
      <c r="V47" s="152">
        <f t="shared" si="113"/>
        <v>66503.157703205943</v>
      </c>
      <c r="W47" s="152">
        <f t="shared" ref="W47" si="114">SUM(W48:W52)</f>
        <v>76172.821925725671</v>
      </c>
      <c r="DA47" s="174" t="s">
        <v>490</v>
      </c>
    </row>
    <row r="48" spans="1:105" ht="11.45" customHeight="1" x14ac:dyDescent="0.25">
      <c r="A48" s="111" t="s">
        <v>110</v>
      </c>
      <c r="B48" s="87">
        <v>8864.2517318160208</v>
      </c>
      <c r="C48" s="87">
        <v>7849.5985742717266</v>
      </c>
      <c r="D48" s="87">
        <v>6532.3716408474411</v>
      </c>
      <c r="E48" s="87">
        <v>5168.8477193349254</v>
      </c>
      <c r="F48" s="87">
        <v>4082.4918505652709</v>
      </c>
      <c r="G48" s="87">
        <v>3411.4759662685092</v>
      </c>
      <c r="H48" s="87">
        <v>2935.0691236103921</v>
      </c>
      <c r="I48" s="87">
        <v>2563.7547300074257</v>
      </c>
      <c r="J48" s="87">
        <v>2236.612141914909</v>
      </c>
      <c r="K48" s="87">
        <v>2024.8028354678102</v>
      </c>
      <c r="L48" s="87">
        <v>2213.8309109976208</v>
      </c>
      <c r="M48" s="87">
        <v>2462.7489083062119</v>
      </c>
      <c r="N48" s="87">
        <v>2635.1565643178246</v>
      </c>
      <c r="O48" s="87">
        <v>2839.8352680623866</v>
      </c>
      <c r="P48" s="87">
        <v>2557.0697348877025</v>
      </c>
      <c r="Q48" s="87">
        <v>2370.4576775694013</v>
      </c>
      <c r="R48" s="87">
        <v>2304.8659543994809</v>
      </c>
      <c r="S48" s="87">
        <v>2350.0358313965594</v>
      </c>
      <c r="T48" s="87">
        <v>2297.7442032449699</v>
      </c>
      <c r="U48" s="87">
        <v>2225.7010583984265</v>
      </c>
      <c r="V48" s="87">
        <v>1925.2962895246503</v>
      </c>
      <c r="W48" s="87">
        <v>2347.5035591369547</v>
      </c>
      <c r="DA48" s="171" t="s">
        <v>491</v>
      </c>
    </row>
    <row r="49" spans="1:105" ht="11.45" customHeight="1" x14ac:dyDescent="0.25">
      <c r="A49" s="111" t="s">
        <v>111</v>
      </c>
      <c r="B49" s="87">
        <v>53253.783619544498</v>
      </c>
      <c r="C49" s="87">
        <v>56277.299407130413</v>
      </c>
      <c r="D49" s="87">
        <v>57777.939372494424</v>
      </c>
      <c r="E49" s="87">
        <v>58590.9356884558</v>
      </c>
      <c r="F49" s="87">
        <v>59204.286589450261</v>
      </c>
      <c r="G49" s="87">
        <v>59587.262769567184</v>
      </c>
      <c r="H49" s="87">
        <v>60784.826336200938</v>
      </c>
      <c r="I49" s="87">
        <v>61537.285241509744</v>
      </c>
      <c r="J49" s="87">
        <v>59822.451141842161</v>
      </c>
      <c r="K49" s="87">
        <v>61303.403676800917</v>
      </c>
      <c r="L49" s="87">
        <v>63273.039598947587</v>
      </c>
      <c r="M49" s="87">
        <v>65175.515484563366</v>
      </c>
      <c r="N49" s="87">
        <v>65632.800352229067</v>
      </c>
      <c r="O49" s="87">
        <v>66759.966887896648</v>
      </c>
      <c r="P49" s="87">
        <v>67980.250460917756</v>
      </c>
      <c r="Q49" s="87">
        <v>71191.14448772071</v>
      </c>
      <c r="R49" s="87">
        <v>70805.339958822471</v>
      </c>
      <c r="S49" s="87">
        <v>73182.718874513244</v>
      </c>
      <c r="T49" s="87">
        <v>72663.470970582377</v>
      </c>
      <c r="U49" s="87">
        <v>73454.299604288331</v>
      </c>
      <c r="V49" s="87">
        <v>64079.623993169022</v>
      </c>
      <c r="W49" s="87">
        <v>73190.790526479715</v>
      </c>
      <c r="DA49" s="171" t="s">
        <v>492</v>
      </c>
    </row>
    <row r="50" spans="1:105" ht="11.45" customHeight="1" x14ac:dyDescent="0.25">
      <c r="A50" s="111" t="s">
        <v>112</v>
      </c>
      <c r="B50" s="87">
        <v>223.21140292339678</v>
      </c>
      <c r="C50" s="87">
        <v>244.63445279550027</v>
      </c>
      <c r="D50" s="87">
        <v>252.17113573115299</v>
      </c>
      <c r="E50" s="87">
        <v>253.56759599636149</v>
      </c>
      <c r="F50" s="87">
        <v>257.95635401197569</v>
      </c>
      <c r="G50" s="87">
        <v>265.466890328197</v>
      </c>
      <c r="H50" s="87">
        <v>285.36908002732508</v>
      </c>
      <c r="I50" s="87">
        <v>227.49521939650091</v>
      </c>
      <c r="J50" s="87">
        <v>205.25539240514382</v>
      </c>
      <c r="K50" s="87">
        <v>216.63793474332837</v>
      </c>
      <c r="L50" s="87">
        <v>214.65686266611073</v>
      </c>
      <c r="M50" s="87">
        <v>212.88428053660724</v>
      </c>
      <c r="N50" s="87">
        <v>203.1738134304955</v>
      </c>
      <c r="O50" s="87">
        <v>199.54179307754444</v>
      </c>
      <c r="P50" s="87">
        <v>194.54078806474803</v>
      </c>
      <c r="Q50" s="87">
        <v>196.57668721288883</v>
      </c>
      <c r="R50" s="87">
        <v>191.31664967609149</v>
      </c>
      <c r="S50" s="87">
        <v>188.04343675941834</v>
      </c>
      <c r="T50" s="87">
        <v>160.12180002694799</v>
      </c>
      <c r="U50" s="87">
        <v>149.91881878208733</v>
      </c>
      <c r="V50" s="87">
        <v>121.26542973546866</v>
      </c>
      <c r="W50" s="87">
        <v>140.66703971820735</v>
      </c>
      <c r="DA50" s="171" t="s">
        <v>493</v>
      </c>
    </row>
    <row r="51" spans="1:105" ht="11.45" customHeight="1" x14ac:dyDescent="0.25">
      <c r="A51" s="111" t="s">
        <v>113</v>
      </c>
      <c r="B51" s="87">
        <v>2.8157704686783491</v>
      </c>
      <c r="C51" s="87">
        <v>2.6619990057197662</v>
      </c>
      <c r="D51" s="87">
        <v>2.720451762107547</v>
      </c>
      <c r="E51" s="87">
        <v>4.3340884944624252</v>
      </c>
      <c r="F51" s="87">
        <v>4.1017789671691851</v>
      </c>
      <c r="G51" s="87">
        <v>3.9076305890664851</v>
      </c>
      <c r="H51" s="87">
        <v>7.9965146077660458</v>
      </c>
      <c r="I51" s="87">
        <v>7.4217566789873972</v>
      </c>
      <c r="J51" s="87">
        <v>7.2480804275033242</v>
      </c>
      <c r="K51" s="87">
        <v>8.9330977507070202</v>
      </c>
      <c r="L51" s="87">
        <v>8.7297838783161552</v>
      </c>
      <c r="M51" s="87">
        <v>10.824445030102222</v>
      </c>
      <c r="N51" s="87">
        <v>14.926533141834895</v>
      </c>
      <c r="O51" s="87">
        <v>19.442273470369877</v>
      </c>
      <c r="P51" s="87">
        <v>22.620444234869943</v>
      </c>
      <c r="Q51" s="87">
        <v>26.245840273501258</v>
      </c>
      <c r="R51" s="87">
        <v>29.716846410136331</v>
      </c>
      <c r="S51" s="87">
        <v>34.979578580638432</v>
      </c>
      <c r="T51" s="87">
        <v>72.018288035639827</v>
      </c>
      <c r="U51" s="87">
        <v>77.777675657816644</v>
      </c>
      <c r="V51" s="87">
        <v>72.821530528734556</v>
      </c>
      <c r="W51" s="87">
        <v>90.54050035520595</v>
      </c>
      <c r="DA51" s="171" t="s">
        <v>494</v>
      </c>
    </row>
    <row r="52" spans="1:105" ht="11.45" customHeight="1" x14ac:dyDescent="0.25">
      <c r="A52" s="111" t="s">
        <v>115</v>
      </c>
      <c r="B52" s="87">
        <v>23.737213769658265</v>
      </c>
      <c r="C52" s="87">
        <v>27.91428190103019</v>
      </c>
      <c r="D52" s="87">
        <v>29.822770685997991</v>
      </c>
      <c r="E52" s="87">
        <v>30.943698497622286</v>
      </c>
      <c r="F52" s="87">
        <v>32.33725374742896</v>
      </c>
      <c r="G52" s="87">
        <v>31.984457098803592</v>
      </c>
      <c r="H52" s="87">
        <v>31.889372730208557</v>
      </c>
      <c r="I52" s="87">
        <v>33.467329449255054</v>
      </c>
      <c r="J52" s="87">
        <v>30.509437213405711</v>
      </c>
      <c r="K52" s="87">
        <v>32.347922383666059</v>
      </c>
      <c r="L52" s="87">
        <v>29.402628306717855</v>
      </c>
      <c r="M52" s="87">
        <v>42.684578537884889</v>
      </c>
      <c r="N52" s="87">
        <v>48.543950106853622</v>
      </c>
      <c r="O52" s="87">
        <v>65.810498914995833</v>
      </c>
      <c r="P52" s="87">
        <v>90.277694056644478</v>
      </c>
      <c r="Q52" s="87">
        <v>108.61625259113593</v>
      </c>
      <c r="R52" s="87">
        <v>148.9836721362785</v>
      </c>
      <c r="S52" s="87">
        <v>161.33648502631786</v>
      </c>
      <c r="T52" s="87">
        <v>238.86580886371624</v>
      </c>
      <c r="U52" s="87">
        <v>284.66328614404625</v>
      </c>
      <c r="V52" s="87">
        <v>304.15046024807151</v>
      </c>
      <c r="W52" s="87">
        <v>403.32030003559623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19686.498572386201</v>
      </c>
      <c r="C53" s="116">
        <f t="shared" ref="C53:V53" si="116">SUM(C54:C55)</f>
        <v>20452.44445999938</v>
      </c>
      <c r="D53" s="116">
        <f t="shared" si="116"/>
        <v>20801.47384988518</v>
      </c>
      <c r="E53" s="116">
        <f t="shared" si="116"/>
        <v>20978.486530579881</v>
      </c>
      <c r="F53" s="116">
        <f t="shared" si="116"/>
        <v>23082.808248636968</v>
      </c>
      <c r="G53" s="116">
        <f t="shared" si="116"/>
        <v>23346.271641817068</v>
      </c>
      <c r="H53" s="116">
        <f t="shared" si="116"/>
        <v>23763.955717490913</v>
      </c>
      <c r="I53" s="116">
        <f t="shared" si="116"/>
        <v>24481.511126280959</v>
      </c>
      <c r="J53" s="116">
        <f t="shared" si="116"/>
        <v>23251.004732453919</v>
      </c>
      <c r="K53" s="116">
        <f t="shared" si="116"/>
        <v>20454.469254632906</v>
      </c>
      <c r="L53" s="116">
        <f t="shared" si="116"/>
        <v>21263.891441066386</v>
      </c>
      <c r="M53" s="116">
        <f t="shared" si="116"/>
        <v>21402.868253487595</v>
      </c>
      <c r="N53" s="116">
        <f t="shared" si="116"/>
        <v>20195.193387104795</v>
      </c>
      <c r="O53" s="116">
        <f t="shared" si="116"/>
        <v>20493.627670160822</v>
      </c>
      <c r="P53" s="116">
        <f t="shared" si="116"/>
        <v>20330.846474304126</v>
      </c>
      <c r="Q53" s="116">
        <f t="shared" si="116"/>
        <v>19812.738850879465</v>
      </c>
      <c r="R53" s="116">
        <f t="shared" si="116"/>
        <v>20710.89017339201</v>
      </c>
      <c r="S53" s="116">
        <f t="shared" si="116"/>
        <v>21478.481742566706</v>
      </c>
      <c r="T53" s="116">
        <f t="shared" si="116"/>
        <v>21193.836183125168</v>
      </c>
      <c r="U53" s="116">
        <f t="shared" si="116"/>
        <v>21864.384649122181</v>
      </c>
      <c r="V53" s="116">
        <f t="shared" si="116"/>
        <v>21240.078874948598</v>
      </c>
      <c r="W53" s="116">
        <f t="shared" ref="W53" si="117">SUM(W54:W55)</f>
        <v>22264.02362106181</v>
      </c>
      <c r="DA53" s="176" t="s">
        <v>496</v>
      </c>
    </row>
    <row r="54" spans="1:105" ht="11.45" customHeight="1" x14ac:dyDescent="0.25">
      <c r="A54" s="128" t="s">
        <v>27</v>
      </c>
      <c r="B54" s="101">
        <v>13753</v>
      </c>
      <c r="C54" s="101">
        <v>14091</v>
      </c>
      <c r="D54" s="101">
        <v>14109</v>
      </c>
      <c r="E54" s="101">
        <v>14138</v>
      </c>
      <c r="F54" s="101">
        <v>14995</v>
      </c>
      <c r="G54" s="101">
        <v>14974</v>
      </c>
      <c r="H54" s="101">
        <v>15163</v>
      </c>
      <c r="I54" s="101">
        <v>15701</v>
      </c>
      <c r="J54" s="101">
        <v>14660</v>
      </c>
      <c r="K54" s="101">
        <v>12755</v>
      </c>
      <c r="L54" s="101">
        <v>13449</v>
      </c>
      <c r="M54" s="101">
        <v>13964</v>
      </c>
      <c r="N54" s="101">
        <v>12911</v>
      </c>
      <c r="O54" s="101">
        <v>12835</v>
      </c>
      <c r="P54" s="101">
        <v>12639</v>
      </c>
      <c r="Q54" s="101">
        <v>11963</v>
      </c>
      <c r="R54" s="101">
        <v>12502</v>
      </c>
      <c r="S54" s="101">
        <v>12798</v>
      </c>
      <c r="T54" s="101">
        <v>12575</v>
      </c>
      <c r="U54" s="101">
        <v>12871</v>
      </c>
      <c r="V54" s="101">
        <v>12459</v>
      </c>
      <c r="W54" s="101">
        <v>12830</v>
      </c>
      <c r="DA54" s="175" t="s">
        <v>497</v>
      </c>
    </row>
    <row r="55" spans="1:105" ht="11.45" customHeight="1" x14ac:dyDescent="0.25">
      <c r="A55" s="138" t="s">
        <v>116</v>
      </c>
      <c r="B55" s="88">
        <v>5933.4985723862019</v>
      </c>
      <c r="C55" s="88">
        <v>6361.4444599993785</v>
      </c>
      <c r="D55" s="88">
        <v>6692.4738498851821</v>
      </c>
      <c r="E55" s="88">
        <v>6840.4865305798794</v>
      </c>
      <c r="F55" s="88">
        <v>8087.8082486369694</v>
      </c>
      <c r="G55" s="88">
        <v>8372.2716418170676</v>
      </c>
      <c r="H55" s="88">
        <v>8600.9557174909114</v>
      </c>
      <c r="I55" s="88">
        <v>8780.5111262809569</v>
      </c>
      <c r="J55" s="88">
        <v>8591.0047324539191</v>
      </c>
      <c r="K55" s="88">
        <v>7699.4692546329052</v>
      </c>
      <c r="L55" s="88">
        <v>7814.8914410663874</v>
      </c>
      <c r="M55" s="88">
        <v>7438.8682534875943</v>
      </c>
      <c r="N55" s="88">
        <v>7284.1933871047968</v>
      </c>
      <c r="O55" s="88">
        <v>7658.6276701608231</v>
      </c>
      <c r="P55" s="88">
        <v>7691.8464743041259</v>
      </c>
      <c r="Q55" s="88">
        <v>7849.7388508794647</v>
      </c>
      <c r="R55" s="88">
        <v>8208.8901733920102</v>
      </c>
      <c r="S55" s="88">
        <v>8680.4817425667043</v>
      </c>
      <c r="T55" s="88">
        <v>8618.8361831251659</v>
      </c>
      <c r="U55" s="88">
        <v>8993.3846491221811</v>
      </c>
      <c r="V55" s="88">
        <v>8781.0788749485982</v>
      </c>
      <c r="W55" s="88">
        <v>9434.0236210618095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38142673</v>
      </c>
      <c r="C57" s="54">
        <f t="shared" si="118"/>
        <v>38676945</v>
      </c>
      <c r="D57" s="54">
        <f t="shared" si="118"/>
        <v>39185694</v>
      </c>
      <c r="E57" s="54">
        <f t="shared" si="118"/>
        <v>39642290</v>
      </c>
      <c r="F57" s="54">
        <f t="shared" si="118"/>
        <v>40052579</v>
      </c>
      <c r="G57" s="54">
        <f t="shared" si="118"/>
        <v>40305561</v>
      </c>
      <c r="H57" s="54">
        <f t="shared" si="118"/>
        <v>40742273</v>
      </c>
      <c r="I57" s="54">
        <f t="shared" si="118"/>
        <v>41337595</v>
      </c>
      <c r="J57" s="54">
        <f t="shared" si="118"/>
        <v>42574876</v>
      </c>
      <c r="K57" s="54">
        <f t="shared" si="118"/>
        <v>43767591</v>
      </c>
      <c r="L57" s="54">
        <f t="shared" ref="L57" si="119">L58+L73</f>
        <v>44672453</v>
      </c>
      <c r="M57" s="54">
        <f t="shared" ref="M57:V57" si="120">M58+M73</f>
        <v>46297477</v>
      </c>
      <c r="N57" s="54">
        <f t="shared" si="120"/>
        <v>46525394</v>
      </c>
      <c r="O57" s="54">
        <f t="shared" si="120"/>
        <v>47128888</v>
      </c>
      <c r="P57" s="54">
        <f t="shared" si="120"/>
        <v>47719259</v>
      </c>
      <c r="Q57" s="54">
        <f t="shared" si="120"/>
        <v>48280423</v>
      </c>
      <c r="R57" s="54">
        <f t="shared" si="120"/>
        <v>48767460</v>
      </c>
      <c r="S57" s="54">
        <f t="shared" si="120"/>
        <v>49126623</v>
      </c>
      <c r="T57" s="54">
        <f t="shared" si="120"/>
        <v>49253086</v>
      </c>
      <c r="U57" s="54">
        <f t="shared" si="120"/>
        <v>49453635</v>
      </c>
      <c r="V57" s="54">
        <f t="shared" si="120"/>
        <v>49476951</v>
      </c>
      <c r="W57" s="54">
        <f t="shared" ref="W57" si="121">W58+W73</f>
        <v>49410982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31727690</v>
      </c>
      <c r="C58" s="28">
        <f t="shared" si="122"/>
        <v>32201089</v>
      </c>
      <c r="D58" s="28">
        <f t="shared" si="122"/>
        <v>32662351</v>
      </c>
      <c r="E58" s="28">
        <f t="shared" si="122"/>
        <v>33074955</v>
      </c>
      <c r="F58" s="28">
        <f t="shared" si="122"/>
        <v>33435028</v>
      </c>
      <c r="G58" s="28">
        <f t="shared" si="122"/>
        <v>33654493</v>
      </c>
      <c r="H58" s="28">
        <f t="shared" si="122"/>
        <v>34057039</v>
      </c>
      <c r="I58" s="28">
        <f t="shared" si="122"/>
        <v>34611291</v>
      </c>
      <c r="J58" s="28">
        <f t="shared" si="122"/>
        <v>35806984</v>
      </c>
      <c r="K58" s="28">
        <f t="shared" si="122"/>
        <v>36979364</v>
      </c>
      <c r="L58" s="28">
        <f t="shared" ref="L58" si="123">L59+L60+L67</f>
        <v>37847142</v>
      </c>
      <c r="M58" s="28">
        <f t="shared" ref="M58:V58" si="124">M59+M60+M67</f>
        <v>39519586</v>
      </c>
      <c r="N58" s="28">
        <f t="shared" si="124"/>
        <v>39763334</v>
      </c>
      <c r="O58" s="28">
        <f t="shared" si="124"/>
        <v>40351983</v>
      </c>
      <c r="P58" s="28">
        <f t="shared" si="124"/>
        <v>40854984</v>
      </c>
      <c r="Q58" s="28">
        <f t="shared" si="124"/>
        <v>41384982</v>
      </c>
      <c r="R58" s="28">
        <f t="shared" si="124"/>
        <v>41889178</v>
      </c>
      <c r="S58" s="28">
        <f t="shared" si="124"/>
        <v>42294850</v>
      </c>
      <c r="T58" s="28">
        <f t="shared" si="124"/>
        <v>42419163</v>
      </c>
      <c r="U58" s="28">
        <f t="shared" si="124"/>
        <v>42629823</v>
      </c>
      <c r="V58" s="28">
        <f t="shared" si="124"/>
        <v>42656951</v>
      </c>
      <c r="W58" s="28">
        <f t="shared" ref="W58" si="125">W59+W60+W67</f>
        <v>42564492</v>
      </c>
      <c r="DA58" s="173" t="s">
        <v>500</v>
      </c>
    </row>
    <row r="59" spans="1:105" ht="11.45" customHeight="1" x14ac:dyDescent="0.25">
      <c r="A59" s="136" t="s">
        <v>180</v>
      </c>
      <c r="B59" s="137">
        <v>3228941</v>
      </c>
      <c r="C59" s="137">
        <v>3269135</v>
      </c>
      <c r="D59" s="137">
        <v>3270475</v>
      </c>
      <c r="E59" s="137">
        <v>3279854</v>
      </c>
      <c r="F59" s="137">
        <v>3298611</v>
      </c>
      <c r="G59" s="137">
        <v>3316438</v>
      </c>
      <c r="H59" s="137">
        <v>3407887</v>
      </c>
      <c r="I59" s="137">
        <v>3659899</v>
      </c>
      <c r="J59" s="137">
        <v>3905029</v>
      </c>
      <c r="K59" s="137">
        <v>4094912</v>
      </c>
      <c r="L59" s="137">
        <v>4200457</v>
      </c>
      <c r="M59" s="137">
        <v>4175456</v>
      </c>
      <c r="N59" s="137">
        <v>4138839</v>
      </c>
      <c r="O59" s="137">
        <v>4113767</v>
      </c>
      <c r="P59" s="137">
        <v>4117278</v>
      </c>
      <c r="Q59" s="137">
        <v>4114816</v>
      </c>
      <c r="R59" s="137">
        <v>4124034</v>
      </c>
      <c r="S59" s="137">
        <v>4064982</v>
      </c>
      <c r="T59" s="137">
        <v>4077802</v>
      </c>
      <c r="U59" s="137">
        <v>4096337</v>
      </c>
      <c r="V59" s="137">
        <v>4076015</v>
      </c>
      <c r="W59" s="137">
        <v>3722031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28413000</v>
      </c>
      <c r="C60" s="110">
        <f t="shared" si="126"/>
        <v>28845000</v>
      </c>
      <c r="D60" s="110">
        <f t="shared" si="126"/>
        <v>29306000</v>
      </c>
      <c r="E60" s="110">
        <f t="shared" si="126"/>
        <v>29708000</v>
      </c>
      <c r="F60" s="110">
        <f t="shared" si="126"/>
        <v>30048000</v>
      </c>
      <c r="G60" s="110">
        <f t="shared" si="126"/>
        <v>30248000</v>
      </c>
      <c r="H60" s="110">
        <f t="shared" si="126"/>
        <v>30557000</v>
      </c>
      <c r="I60" s="110">
        <f t="shared" si="126"/>
        <v>30857000</v>
      </c>
      <c r="J60" s="110">
        <f t="shared" si="126"/>
        <v>31809081</v>
      </c>
      <c r="K60" s="110">
        <f t="shared" si="126"/>
        <v>32794000</v>
      </c>
      <c r="L60" s="110">
        <f t="shared" ref="L60" si="127">SUM(L61:L66)</f>
        <v>33557000</v>
      </c>
      <c r="M60" s="110">
        <f t="shared" ref="M60:V60" si="128">SUM(M61:M66)</f>
        <v>35252631</v>
      </c>
      <c r="N60" s="110">
        <f t="shared" si="128"/>
        <v>35531728</v>
      </c>
      <c r="O60" s="110">
        <f t="shared" si="128"/>
        <v>36149230</v>
      </c>
      <c r="P60" s="110">
        <f t="shared" si="128"/>
        <v>36647883</v>
      </c>
      <c r="Q60" s="110">
        <f t="shared" si="128"/>
        <v>37180101</v>
      </c>
      <c r="R60" s="110">
        <f t="shared" si="128"/>
        <v>37673476</v>
      </c>
      <c r="S60" s="110">
        <f t="shared" si="128"/>
        <v>38136818</v>
      </c>
      <c r="T60" s="110">
        <f t="shared" si="128"/>
        <v>38246432</v>
      </c>
      <c r="U60" s="110">
        <f t="shared" si="128"/>
        <v>38435918</v>
      </c>
      <c r="V60" s="110">
        <f t="shared" si="128"/>
        <v>38480505</v>
      </c>
      <c r="W60" s="110">
        <f t="shared" ref="W60" si="129">SUM(W61:W66)</f>
        <v>38738592</v>
      </c>
      <c r="DA60" s="176" t="s">
        <v>502</v>
      </c>
    </row>
    <row r="61" spans="1:105" ht="11.45" customHeight="1" x14ac:dyDescent="0.25">
      <c r="A61" s="111" t="s">
        <v>110</v>
      </c>
      <c r="B61" s="84">
        <v>18086443</v>
      </c>
      <c r="C61" s="84">
        <v>17700627</v>
      </c>
      <c r="D61" s="84">
        <v>17250179</v>
      </c>
      <c r="E61" s="84">
        <v>16768647</v>
      </c>
      <c r="F61" s="84">
        <v>16262618</v>
      </c>
      <c r="G61" s="84">
        <v>15720999</v>
      </c>
      <c r="H61" s="84">
        <v>15247017</v>
      </c>
      <c r="I61" s="84">
        <v>14783826</v>
      </c>
      <c r="J61" s="84">
        <v>14386759</v>
      </c>
      <c r="K61" s="84">
        <v>14043689</v>
      </c>
      <c r="L61" s="84">
        <v>13735839</v>
      </c>
      <c r="M61" s="84">
        <v>13397124</v>
      </c>
      <c r="N61" s="84">
        <v>13084402</v>
      </c>
      <c r="O61" s="84">
        <v>12957196</v>
      </c>
      <c r="P61" s="84">
        <v>12978380</v>
      </c>
      <c r="Q61" s="84">
        <v>13185221</v>
      </c>
      <c r="R61" s="84">
        <v>13533108</v>
      </c>
      <c r="S61" s="84">
        <v>14054568</v>
      </c>
      <c r="T61" s="84">
        <v>14675215</v>
      </c>
      <c r="U61" s="84">
        <v>15386632</v>
      </c>
      <c r="V61" s="84">
        <v>15808986</v>
      </c>
      <c r="W61" s="84">
        <v>16355296</v>
      </c>
      <c r="DA61" s="171" t="s">
        <v>503</v>
      </c>
    </row>
    <row r="62" spans="1:105" ht="11.45" customHeight="1" x14ac:dyDescent="0.25">
      <c r="A62" s="111" t="s">
        <v>111</v>
      </c>
      <c r="B62" s="84">
        <v>9983557</v>
      </c>
      <c r="C62" s="84">
        <v>10821522</v>
      </c>
      <c r="D62" s="84">
        <v>11762119</v>
      </c>
      <c r="E62" s="84">
        <v>12681843</v>
      </c>
      <c r="F62" s="84">
        <v>13550519</v>
      </c>
      <c r="G62" s="84">
        <v>14317878</v>
      </c>
      <c r="H62" s="84">
        <v>15125088</v>
      </c>
      <c r="I62" s="84">
        <v>15912958</v>
      </c>
      <c r="J62" s="84">
        <v>17233800</v>
      </c>
      <c r="K62" s="84">
        <v>18556428</v>
      </c>
      <c r="L62" s="84">
        <v>19621210</v>
      </c>
      <c r="M62" s="84">
        <v>21625270</v>
      </c>
      <c r="N62" s="84">
        <v>22227975</v>
      </c>
      <c r="O62" s="84">
        <v>22987449</v>
      </c>
      <c r="P62" s="84">
        <v>23466489</v>
      </c>
      <c r="Q62" s="84">
        <v>23774776</v>
      </c>
      <c r="R62" s="84">
        <v>23904978</v>
      </c>
      <c r="S62" s="84">
        <v>23818023</v>
      </c>
      <c r="T62" s="84">
        <v>23262675</v>
      </c>
      <c r="U62" s="84">
        <v>22679049</v>
      </c>
      <c r="V62" s="84">
        <v>22115753</v>
      </c>
      <c r="W62" s="84">
        <v>21506046</v>
      </c>
      <c r="DA62" s="171" t="s">
        <v>504</v>
      </c>
    </row>
    <row r="63" spans="1:105" ht="11.45" customHeight="1" x14ac:dyDescent="0.25">
      <c r="A63" s="111" t="s">
        <v>112</v>
      </c>
      <c r="B63" s="84">
        <v>343000</v>
      </c>
      <c r="C63" s="84">
        <v>322851</v>
      </c>
      <c r="D63" s="84">
        <v>293702</v>
      </c>
      <c r="E63" s="84">
        <v>257510</v>
      </c>
      <c r="F63" s="84">
        <v>234863</v>
      </c>
      <c r="G63" s="84">
        <v>209123</v>
      </c>
      <c r="H63" s="84">
        <v>184881</v>
      </c>
      <c r="I63" s="84">
        <v>159721</v>
      </c>
      <c r="J63" s="84">
        <v>185000</v>
      </c>
      <c r="K63" s="84">
        <v>190000</v>
      </c>
      <c r="L63" s="84">
        <v>195918</v>
      </c>
      <c r="M63" s="84">
        <v>223377</v>
      </c>
      <c r="N63" s="84">
        <v>207684</v>
      </c>
      <c r="O63" s="84">
        <v>184011</v>
      </c>
      <c r="P63" s="84">
        <v>169613</v>
      </c>
      <c r="Q63" s="84">
        <v>161929</v>
      </c>
      <c r="R63" s="84">
        <v>153985</v>
      </c>
      <c r="S63" s="84">
        <v>147128</v>
      </c>
      <c r="T63" s="84">
        <v>144435</v>
      </c>
      <c r="U63" s="84">
        <v>144469</v>
      </c>
      <c r="V63" s="84">
        <v>143788</v>
      </c>
      <c r="W63" s="84">
        <v>158723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475</v>
      </c>
      <c r="J64" s="84">
        <v>920</v>
      </c>
      <c r="K64" s="84">
        <v>1284</v>
      </c>
      <c r="L64" s="84">
        <v>1429</v>
      </c>
      <c r="M64" s="84">
        <v>1567</v>
      </c>
      <c r="N64" s="84">
        <v>1681</v>
      </c>
      <c r="O64" s="84">
        <v>1732</v>
      </c>
      <c r="P64" s="84">
        <v>1761</v>
      </c>
      <c r="Q64" s="84">
        <v>1862</v>
      </c>
      <c r="R64" s="84">
        <v>2127</v>
      </c>
      <c r="S64" s="84">
        <v>2173</v>
      </c>
      <c r="T64" s="84">
        <v>2202</v>
      </c>
      <c r="U64" s="84">
        <v>2382</v>
      </c>
      <c r="V64" s="84">
        <v>2668</v>
      </c>
      <c r="W64" s="84">
        <v>2686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668</v>
      </c>
      <c r="O65" s="84">
        <v>1466</v>
      </c>
      <c r="P65" s="84">
        <v>2985</v>
      </c>
      <c r="Q65" s="84">
        <v>8025</v>
      </c>
      <c r="R65" s="84">
        <v>14492</v>
      </c>
      <c r="S65" s="84">
        <v>25295</v>
      </c>
      <c r="T65" s="84">
        <v>38734</v>
      </c>
      <c r="U65" s="84">
        <v>57294</v>
      </c>
      <c r="V65" s="84">
        <v>132309</v>
      </c>
      <c r="W65" s="84">
        <v>273600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14</v>
      </c>
      <c r="I66" s="84">
        <v>20</v>
      </c>
      <c r="J66" s="84">
        <v>2602</v>
      </c>
      <c r="K66" s="84">
        <v>2599</v>
      </c>
      <c r="L66" s="84">
        <v>2604</v>
      </c>
      <c r="M66" s="84">
        <v>5293</v>
      </c>
      <c r="N66" s="84">
        <v>9318</v>
      </c>
      <c r="O66" s="84">
        <v>17376</v>
      </c>
      <c r="P66" s="84">
        <v>28655</v>
      </c>
      <c r="Q66" s="84">
        <v>48288</v>
      </c>
      <c r="R66" s="84">
        <v>64786</v>
      </c>
      <c r="S66" s="84">
        <v>89631</v>
      </c>
      <c r="T66" s="84">
        <v>123171</v>
      </c>
      <c r="U66" s="84">
        <v>166092</v>
      </c>
      <c r="V66" s="84">
        <v>277001</v>
      </c>
      <c r="W66" s="84">
        <v>442241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85749</v>
      </c>
      <c r="C67" s="110">
        <f t="shared" si="130"/>
        <v>86954</v>
      </c>
      <c r="D67" s="110">
        <f t="shared" si="130"/>
        <v>85876</v>
      </c>
      <c r="E67" s="110">
        <f t="shared" si="130"/>
        <v>87101</v>
      </c>
      <c r="F67" s="110">
        <f t="shared" si="130"/>
        <v>88417</v>
      </c>
      <c r="G67" s="110">
        <f t="shared" si="130"/>
        <v>90055</v>
      </c>
      <c r="H67" s="110">
        <f t="shared" si="130"/>
        <v>92152</v>
      </c>
      <c r="I67" s="110">
        <f t="shared" si="130"/>
        <v>94392</v>
      </c>
      <c r="J67" s="110">
        <f t="shared" si="130"/>
        <v>92874</v>
      </c>
      <c r="K67" s="110">
        <f t="shared" si="130"/>
        <v>90452</v>
      </c>
      <c r="L67" s="110">
        <f t="shared" ref="L67" si="131">SUM(L68:L72)</f>
        <v>89685</v>
      </c>
      <c r="M67" s="110">
        <f t="shared" ref="M67:V67" si="132">SUM(M68:M72)</f>
        <v>91499</v>
      </c>
      <c r="N67" s="110">
        <f t="shared" si="132"/>
        <v>92767</v>
      </c>
      <c r="O67" s="110">
        <f t="shared" si="132"/>
        <v>88986</v>
      </c>
      <c r="P67" s="110">
        <f t="shared" si="132"/>
        <v>89823</v>
      </c>
      <c r="Q67" s="110">
        <f t="shared" si="132"/>
        <v>90065</v>
      </c>
      <c r="R67" s="110">
        <f t="shared" si="132"/>
        <v>91668</v>
      </c>
      <c r="S67" s="110">
        <f t="shared" si="132"/>
        <v>93050</v>
      </c>
      <c r="T67" s="110">
        <f t="shared" si="132"/>
        <v>94929</v>
      </c>
      <c r="U67" s="110">
        <f t="shared" si="132"/>
        <v>97568</v>
      </c>
      <c r="V67" s="110">
        <f t="shared" si="132"/>
        <v>100431</v>
      </c>
      <c r="W67" s="110">
        <f t="shared" ref="W67" si="133">SUM(W68:W72)</f>
        <v>103869</v>
      </c>
      <c r="DA67" s="176" t="s">
        <v>509</v>
      </c>
    </row>
    <row r="68" spans="1:105" ht="11.45" customHeight="1" x14ac:dyDescent="0.25">
      <c r="A68" s="111" t="s">
        <v>110</v>
      </c>
      <c r="B68" s="102">
        <v>1273</v>
      </c>
      <c r="C68" s="102">
        <v>1208</v>
      </c>
      <c r="D68" s="102">
        <v>1138</v>
      </c>
      <c r="E68" s="102">
        <v>1062</v>
      </c>
      <c r="F68" s="102">
        <v>984</v>
      </c>
      <c r="G68" s="102">
        <v>903</v>
      </c>
      <c r="H68" s="102">
        <v>821</v>
      </c>
      <c r="I68" s="102">
        <v>740</v>
      </c>
      <c r="J68" s="102">
        <v>661</v>
      </c>
      <c r="K68" s="102">
        <v>584</v>
      </c>
      <c r="L68" s="102">
        <v>511</v>
      </c>
      <c r="M68" s="102">
        <v>441</v>
      </c>
      <c r="N68" s="102">
        <v>378</v>
      </c>
      <c r="O68" s="102">
        <v>319</v>
      </c>
      <c r="P68" s="102">
        <v>265</v>
      </c>
      <c r="Q68" s="102">
        <v>218</v>
      </c>
      <c r="R68" s="102">
        <v>217</v>
      </c>
      <c r="S68" s="102">
        <v>218</v>
      </c>
      <c r="T68" s="102">
        <v>217</v>
      </c>
      <c r="U68" s="102">
        <v>218</v>
      </c>
      <c r="V68" s="102">
        <v>220</v>
      </c>
      <c r="W68" s="102">
        <v>231</v>
      </c>
      <c r="DA68" s="175" t="s">
        <v>510</v>
      </c>
    </row>
    <row r="69" spans="1:105" ht="11.45" customHeight="1" x14ac:dyDescent="0.25">
      <c r="A69" s="111" t="s">
        <v>111</v>
      </c>
      <c r="B69" s="102">
        <v>84165</v>
      </c>
      <c r="C69" s="102">
        <v>84948</v>
      </c>
      <c r="D69" s="102">
        <v>83869</v>
      </c>
      <c r="E69" s="102">
        <v>84940</v>
      </c>
      <c r="F69" s="102">
        <v>86174</v>
      </c>
      <c r="G69" s="102">
        <v>87802</v>
      </c>
      <c r="H69" s="102">
        <v>89866</v>
      </c>
      <c r="I69" s="102">
        <v>92009</v>
      </c>
      <c r="J69" s="102">
        <v>90377</v>
      </c>
      <c r="K69" s="102">
        <v>88073</v>
      </c>
      <c r="L69" s="102">
        <v>87431</v>
      </c>
      <c r="M69" s="102">
        <v>87172</v>
      </c>
      <c r="N69" s="102">
        <v>87958</v>
      </c>
      <c r="O69" s="102">
        <v>83618</v>
      </c>
      <c r="P69" s="102">
        <v>84128</v>
      </c>
      <c r="Q69" s="102">
        <v>84383</v>
      </c>
      <c r="R69" s="102">
        <v>85972</v>
      </c>
      <c r="S69" s="102">
        <v>87007</v>
      </c>
      <c r="T69" s="102">
        <v>88030</v>
      </c>
      <c r="U69" s="102">
        <v>88843</v>
      </c>
      <c r="V69" s="102">
        <v>88246</v>
      </c>
      <c r="W69" s="102">
        <v>87342</v>
      </c>
      <c r="DA69" s="175" t="s">
        <v>511</v>
      </c>
    </row>
    <row r="70" spans="1:105" ht="11.45" customHeight="1" x14ac:dyDescent="0.25">
      <c r="A70" s="111" t="s">
        <v>112</v>
      </c>
      <c r="B70" s="102">
        <v>147</v>
      </c>
      <c r="C70" s="102">
        <v>175</v>
      </c>
      <c r="D70" s="102">
        <v>173</v>
      </c>
      <c r="E70" s="102">
        <v>183</v>
      </c>
      <c r="F70" s="102">
        <v>189</v>
      </c>
      <c r="G70" s="102">
        <v>191</v>
      </c>
      <c r="H70" s="102">
        <v>153</v>
      </c>
      <c r="I70" s="102">
        <v>180</v>
      </c>
      <c r="J70" s="102">
        <v>171</v>
      </c>
      <c r="K70" s="102">
        <v>163</v>
      </c>
      <c r="L70" s="102">
        <v>154</v>
      </c>
      <c r="M70" s="102">
        <v>144</v>
      </c>
      <c r="N70" s="102">
        <v>135</v>
      </c>
      <c r="O70" s="102">
        <v>126</v>
      </c>
      <c r="P70" s="102">
        <v>116</v>
      </c>
      <c r="Q70" s="102">
        <v>107</v>
      </c>
      <c r="R70" s="102">
        <v>102</v>
      </c>
      <c r="S70" s="102">
        <v>97</v>
      </c>
      <c r="T70" s="102">
        <v>92</v>
      </c>
      <c r="U70" s="102">
        <v>86</v>
      </c>
      <c r="V70" s="102">
        <v>81</v>
      </c>
      <c r="W70" s="102">
        <v>75</v>
      </c>
      <c r="DA70" s="175" t="s">
        <v>512</v>
      </c>
    </row>
    <row r="71" spans="1:105" ht="11.45" customHeight="1" x14ac:dyDescent="0.25">
      <c r="A71" s="111" t="s">
        <v>113</v>
      </c>
      <c r="B71" s="102">
        <v>17</v>
      </c>
      <c r="C71" s="102">
        <v>459</v>
      </c>
      <c r="D71" s="102">
        <v>513</v>
      </c>
      <c r="E71" s="102">
        <v>718</v>
      </c>
      <c r="F71" s="102">
        <v>857</v>
      </c>
      <c r="G71" s="102">
        <v>948</v>
      </c>
      <c r="H71" s="102">
        <v>1106</v>
      </c>
      <c r="I71" s="102">
        <v>1263</v>
      </c>
      <c r="J71" s="102">
        <v>1471</v>
      </c>
      <c r="K71" s="102">
        <v>1448</v>
      </c>
      <c r="L71" s="102">
        <v>1416</v>
      </c>
      <c r="M71" s="102">
        <v>3579</v>
      </c>
      <c r="N71" s="102">
        <v>4115</v>
      </c>
      <c r="O71" s="102">
        <v>4643</v>
      </c>
      <c r="P71" s="102">
        <v>5010</v>
      </c>
      <c r="Q71" s="102">
        <v>5022</v>
      </c>
      <c r="R71" s="102">
        <v>4998</v>
      </c>
      <c r="S71" s="102">
        <v>5302</v>
      </c>
      <c r="T71" s="102">
        <v>6145</v>
      </c>
      <c r="U71" s="102">
        <v>7720</v>
      </c>
      <c r="V71" s="102">
        <v>11056</v>
      </c>
      <c r="W71" s="102">
        <v>14735</v>
      </c>
      <c r="DA71" s="175" t="s">
        <v>513</v>
      </c>
    </row>
    <row r="72" spans="1:105" ht="11.45" customHeight="1" x14ac:dyDescent="0.25">
      <c r="A72" s="111" t="s">
        <v>115</v>
      </c>
      <c r="B72" s="102">
        <v>147</v>
      </c>
      <c r="C72" s="102">
        <v>164</v>
      </c>
      <c r="D72" s="102">
        <v>183</v>
      </c>
      <c r="E72" s="102">
        <v>198</v>
      </c>
      <c r="F72" s="102">
        <v>213</v>
      </c>
      <c r="G72" s="102">
        <v>211</v>
      </c>
      <c r="H72" s="102">
        <v>206</v>
      </c>
      <c r="I72" s="102">
        <v>200</v>
      </c>
      <c r="J72" s="102">
        <v>194</v>
      </c>
      <c r="K72" s="102">
        <v>184</v>
      </c>
      <c r="L72" s="102">
        <v>173</v>
      </c>
      <c r="M72" s="102">
        <v>163</v>
      </c>
      <c r="N72" s="102">
        <v>181</v>
      </c>
      <c r="O72" s="102">
        <v>280</v>
      </c>
      <c r="P72" s="102">
        <v>304</v>
      </c>
      <c r="Q72" s="102">
        <v>335</v>
      </c>
      <c r="R72" s="102">
        <v>379</v>
      </c>
      <c r="S72" s="102">
        <v>426</v>
      </c>
      <c r="T72" s="102">
        <v>445</v>
      </c>
      <c r="U72" s="102">
        <v>701</v>
      </c>
      <c r="V72" s="102">
        <v>828</v>
      </c>
      <c r="W72" s="102">
        <v>1486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6414983</v>
      </c>
      <c r="C73" s="28">
        <f t="shared" si="134"/>
        <v>6475856</v>
      </c>
      <c r="D73" s="28">
        <f t="shared" si="134"/>
        <v>6523343</v>
      </c>
      <c r="E73" s="28">
        <f t="shared" si="134"/>
        <v>6567335</v>
      </c>
      <c r="F73" s="28">
        <f t="shared" si="134"/>
        <v>6617551</v>
      </c>
      <c r="G73" s="28">
        <f t="shared" si="134"/>
        <v>6651068</v>
      </c>
      <c r="H73" s="28">
        <f t="shared" si="134"/>
        <v>6685234</v>
      </c>
      <c r="I73" s="28">
        <f t="shared" si="134"/>
        <v>6726304</v>
      </c>
      <c r="J73" s="28">
        <f t="shared" si="134"/>
        <v>6767892</v>
      </c>
      <c r="K73" s="28">
        <f t="shared" si="134"/>
        <v>6788227</v>
      </c>
      <c r="L73" s="28">
        <f t="shared" ref="L73" si="135">L74+L80</f>
        <v>6825311</v>
      </c>
      <c r="M73" s="28">
        <f t="shared" ref="M73:V73" si="136">M74+M80</f>
        <v>6777891</v>
      </c>
      <c r="N73" s="28">
        <f t="shared" si="136"/>
        <v>6762060</v>
      </c>
      <c r="O73" s="28">
        <f t="shared" si="136"/>
        <v>6776905</v>
      </c>
      <c r="P73" s="28">
        <f t="shared" si="136"/>
        <v>6864275</v>
      </c>
      <c r="Q73" s="28">
        <f t="shared" si="136"/>
        <v>6895441</v>
      </c>
      <c r="R73" s="28">
        <f t="shared" si="136"/>
        <v>6878282</v>
      </c>
      <c r="S73" s="28">
        <f t="shared" si="136"/>
        <v>6831773</v>
      </c>
      <c r="T73" s="28">
        <f t="shared" si="136"/>
        <v>6833923</v>
      </c>
      <c r="U73" s="28">
        <f t="shared" si="136"/>
        <v>6823812</v>
      </c>
      <c r="V73" s="28">
        <f t="shared" si="136"/>
        <v>6820000</v>
      </c>
      <c r="W73" s="28">
        <f t="shared" ref="W73" si="137">W74+W80</f>
        <v>6846490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5894666</v>
      </c>
      <c r="C74" s="137">
        <f t="shared" si="138"/>
        <v>5936465</v>
      </c>
      <c r="D74" s="137">
        <f t="shared" si="138"/>
        <v>5969141</v>
      </c>
      <c r="E74" s="137">
        <f t="shared" si="138"/>
        <v>6002578</v>
      </c>
      <c r="F74" s="137">
        <f t="shared" si="138"/>
        <v>6033918</v>
      </c>
      <c r="G74" s="137">
        <f t="shared" si="138"/>
        <v>6056108</v>
      </c>
      <c r="H74" s="137">
        <f t="shared" si="138"/>
        <v>6079536</v>
      </c>
      <c r="I74" s="137">
        <f t="shared" si="138"/>
        <v>6109204</v>
      </c>
      <c r="J74" s="137">
        <f t="shared" si="138"/>
        <v>6136275</v>
      </c>
      <c r="K74" s="137">
        <f t="shared" si="138"/>
        <v>6154035</v>
      </c>
      <c r="L74" s="137">
        <f t="shared" ref="L74" si="139">SUM(L75:L79)</f>
        <v>6168004</v>
      </c>
      <c r="M74" s="137">
        <f t="shared" ref="M74:V74" si="140">SUM(M75:M79)</f>
        <v>6128783</v>
      </c>
      <c r="N74" s="137">
        <f t="shared" si="140"/>
        <v>6124619</v>
      </c>
      <c r="O74" s="137">
        <f t="shared" si="140"/>
        <v>6145325</v>
      </c>
      <c r="P74" s="137">
        <f t="shared" si="140"/>
        <v>6231811</v>
      </c>
      <c r="Q74" s="137">
        <f t="shared" si="140"/>
        <v>6270612</v>
      </c>
      <c r="R74" s="137">
        <f t="shared" si="140"/>
        <v>6257151</v>
      </c>
      <c r="S74" s="137">
        <f t="shared" si="140"/>
        <v>6204939</v>
      </c>
      <c r="T74" s="137">
        <f t="shared" si="140"/>
        <v>6201035</v>
      </c>
      <c r="U74" s="137">
        <f t="shared" si="140"/>
        <v>6179774</v>
      </c>
      <c r="V74" s="137">
        <f t="shared" si="140"/>
        <v>6179273</v>
      </c>
      <c r="W74" s="137">
        <f t="shared" ref="W74" si="141">SUM(W75:W79)</f>
        <v>6195884</v>
      </c>
      <c r="DA74" s="174" t="s">
        <v>516</v>
      </c>
    </row>
    <row r="75" spans="1:105" ht="11.45" customHeight="1" x14ac:dyDescent="0.25">
      <c r="A75" s="111" t="s">
        <v>110</v>
      </c>
      <c r="B75" s="84">
        <v>770989</v>
      </c>
      <c r="C75" s="84">
        <v>643004</v>
      </c>
      <c r="D75" s="84">
        <v>536982</v>
      </c>
      <c r="E75" s="84">
        <v>431848</v>
      </c>
      <c r="F75" s="84">
        <v>346145</v>
      </c>
      <c r="G75" s="84">
        <v>291811</v>
      </c>
      <c r="H75" s="84">
        <v>249479</v>
      </c>
      <c r="I75" s="84">
        <v>221454</v>
      </c>
      <c r="J75" s="84">
        <v>210763</v>
      </c>
      <c r="K75" s="84">
        <v>196991</v>
      </c>
      <c r="L75" s="84">
        <v>218701</v>
      </c>
      <c r="M75" s="84">
        <v>244990</v>
      </c>
      <c r="N75" s="84">
        <v>272485</v>
      </c>
      <c r="O75" s="84">
        <v>303014</v>
      </c>
      <c r="P75" s="84">
        <v>286631</v>
      </c>
      <c r="Q75" s="84">
        <v>269150</v>
      </c>
      <c r="R75" s="84">
        <v>249615</v>
      </c>
      <c r="S75" s="84">
        <v>232602</v>
      </c>
      <c r="T75" s="84">
        <v>217905</v>
      </c>
      <c r="U75" s="84">
        <v>198273</v>
      </c>
      <c r="V75" s="84">
        <v>188271</v>
      </c>
      <c r="W75" s="84">
        <v>190357</v>
      </c>
      <c r="DA75" s="171" t="s">
        <v>517</v>
      </c>
    </row>
    <row r="76" spans="1:105" ht="11.45" customHeight="1" x14ac:dyDescent="0.25">
      <c r="A76" s="111" t="s">
        <v>111</v>
      </c>
      <c r="B76" s="84">
        <v>5097990</v>
      </c>
      <c r="C76" s="84">
        <v>5265605</v>
      </c>
      <c r="D76" s="84">
        <v>5403184</v>
      </c>
      <c r="E76" s="84">
        <v>5540874</v>
      </c>
      <c r="F76" s="84">
        <v>5656919</v>
      </c>
      <c r="G76" s="84">
        <v>5732573</v>
      </c>
      <c r="H76" s="84">
        <v>5795993</v>
      </c>
      <c r="I76" s="84">
        <v>5858848</v>
      </c>
      <c r="J76" s="84">
        <v>5898297</v>
      </c>
      <c r="K76" s="84">
        <v>5928314</v>
      </c>
      <c r="L76" s="84">
        <v>5921846</v>
      </c>
      <c r="M76" s="84">
        <v>5854728</v>
      </c>
      <c r="N76" s="84">
        <v>5822576</v>
      </c>
      <c r="O76" s="84">
        <v>5809841</v>
      </c>
      <c r="P76" s="84">
        <v>5908457</v>
      </c>
      <c r="Q76" s="84">
        <v>5961617</v>
      </c>
      <c r="R76" s="84">
        <v>5961127</v>
      </c>
      <c r="S76" s="84">
        <v>5924592</v>
      </c>
      <c r="T76" s="84">
        <v>5920921</v>
      </c>
      <c r="U76" s="84">
        <v>5912112</v>
      </c>
      <c r="V76" s="84">
        <v>5913038</v>
      </c>
      <c r="W76" s="84">
        <v>5915367</v>
      </c>
      <c r="DA76" s="171" t="s">
        <v>518</v>
      </c>
    </row>
    <row r="77" spans="1:105" ht="11.45" customHeight="1" x14ac:dyDescent="0.25">
      <c r="A77" s="111" t="s">
        <v>112</v>
      </c>
      <c r="B77" s="84">
        <v>21292</v>
      </c>
      <c r="C77" s="84">
        <v>22772</v>
      </c>
      <c r="D77" s="84">
        <v>23556</v>
      </c>
      <c r="E77" s="84">
        <v>24074</v>
      </c>
      <c r="F77" s="84">
        <v>24854</v>
      </c>
      <c r="G77" s="84">
        <v>25804</v>
      </c>
      <c r="H77" s="84">
        <v>27723</v>
      </c>
      <c r="I77" s="84">
        <v>22343</v>
      </c>
      <c r="J77" s="84">
        <v>21154</v>
      </c>
      <c r="K77" s="84">
        <v>22173</v>
      </c>
      <c r="L77" s="84">
        <v>21459</v>
      </c>
      <c r="M77" s="84">
        <v>20614</v>
      </c>
      <c r="N77" s="84">
        <v>19671</v>
      </c>
      <c r="O77" s="84">
        <v>19176</v>
      </c>
      <c r="P77" s="84">
        <v>18892</v>
      </c>
      <c r="Q77" s="84">
        <v>18600</v>
      </c>
      <c r="R77" s="84">
        <v>17950</v>
      </c>
      <c r="S77" s="84">
        <v>16763</v>
      </c>
      <c r="T77" s="84">
        <v>14218</v>
      </c>
      <c r="U77" s="84">
        <v>13000</v>
      </c>
      <c r="V77" s="84">
        <v>12000</v>
      </c>
      <c r="W77" s="84">
        <v>12000</v>
      </c>
      <c r="DA77" s="171" t="s">
        <v>519</v>
      </c>
    </row>
    <row r="78" spans="1:105" ht="11.45" customHeight="1" x14ac:dyDescent="0.25">
      <c r="A78" s="111" t="s">
        <v>113</v>
      </c>
      <c r="B78" s="84">
        <v>300</v>
      </c>
      <c r="C78" s="84">
        <v>274</v>
      </c>
      <c r="D78" s="84">
        <v>281</v>
      </c>
      <c r="E78" s="84">
        <v>455</v>
      </c>
      <c r="F78" s="84">
        <v>437</v>
      </c>
      <c r="G78" s="84">
        <v>420</v>
      </c>
      <c r="H78" s="84">
        <v>859</v>
      </c>
      <c r="I78" s="84">
        <v>806</v>
      </c>
      <c r="J78" s="84">
        <v>826</v>
      </c>
      <c r="K78" s="84">
        <v>1011</v>
      </c>
      <c r="L78" s="84">
        <v>965</v>
      </c>
      <c r="M78" s="84">
        <v>1159</v>
      </c>
      <c r="N78" s="84">
        <v>1598</v>
      </c>
      <c r="O78" s="84">
        <v>2066</v>
      </c>
      <c r="P78" s="84">
        <v>2429</v>
      </c>
      <c r="Q78" s="84">
        <v>2746</v>
      </c>
      <c r="R78" s="84">
        <v>3083</v>
      </c>
      <c r="S78" s="84">
        <v>3448</v>
      </c>
      <c r="T78" s="84">
        <v>7214</v>
      </c>
      <c r="U78" s="84">
        <v>7762</v>
      </c>
      <c r="V78" s="84">
        <v>8461</v>
      </c>
      <c r="W78" s="84">
        <v>9252</v>
      </c>
      <c r="DA78" s="171" t="s">
        <v>520</v>
      </c>
    </row>
    <row r="79" spans="1:105" ht="11.45" customHeight="1" x14ac:dyDescent="0.25">
      <c r="A79" s="111" t="s">
        <v>115</v>
      </c>
      <c r="B79" s="84">
        <v>4095</v>
      </c>
      <c r="C79" s="84">
        <v>4810</v>
      </c>
      <c r="D79" s="84">
        <v>5138</v>
      </c>
      <c r="E79" s="84">
        <v>5327</v>
      </c>
      <c r="F79" s="84">
        <v>5563</v>
      </c>
      <c r="G79" s="84">
        <v>5500</v>
      </c>
      <c r="H79" s="84">
        <v>5482</v>
      </c>
      <c r="I79" s="84">
        <v>5753</v>
      </c>
      <c r="J79" s="84">
        <v>5235</v>
      </c>
      <c r="K79" s="84">
        <v>5546</v>
      </c>
      <c r="L79" s="84">
        <v>5033</v>
      </c>
      <c r="M79" s="84">
        <v>7292</v>
      </c>
      <c r="N79" s="84">
        <v>8289</v>
      </c>
      <c r="O79" s="84">
        <v>11228</v>
      </c>
      <c r="P79" s="84">
        <v>15402</v>
      </c>
      <c r="Q79" s="84">
        <v>18499</v>
      </c>
      <c r="R79" s="84">
        <v>25376</v>
      </c>
      <c r="S79" s="84">
        <v>27534</v>
      </c>
      <c r="T79" s="84">
        <v>40777</v>
      </c>
      <c r="U79" s="84">
        <v>48627</v>
      </c>
      <c r="V79" s="84">
        <v>57503</v>
      </c>
      <c r="W79" s="84">
        <v>68908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520317</v>
      </c>
      <c r="C80" s="110">
        <f t="shared" si="142"/>
        <v>539391</v>
      </c>
      <c r="D80" s="110">
        <f t="shared" si="142"/>
        <v>554202</v>
      </c>
      <c r="E80" s="110">
        <f t="shared" si="142"/>
        <v>564757</v>
      </c>
      <c r="F80" s="110">
        <f t="shared" si="142"/>
        <v>583633</v>
      </c>
      <c r="G80" s="110">
        <f t="shared" si="142"/>
        <v>594960</v>
      </c>
      <c r="H80" s="110">
        <f t="shared" si="142"/>
        <v>605698</v>
      </c>
      <c r="I80" s="110">
        <f t="shared" si="142"/>
        <v>617100</v>
      </c>
      <c r="J80" s="110">
        <f t="shared" si="142"/>
        <v>631617</v>
      </c>
      <c r="K80" s="110">
        <f t="shared" si="142"/>
        <v>634192</v>
      </c>
      <c r="L80" s="110">
        <f t="shared" ref="L80" si="143">SUM(L81:L82)</f>
        <v>657307</v>
      </c>
      <c r="M80" s="110">
        <f t="shared" ref="M80:V80" si="144">SUM(M81:M82)</f>
        <v>649108</v>
      </c>
      <c r="N80" s="110">
        <f t="shared" si="144"/>
        <v>637441</v>
      </c>
      <c r="O80" s="110">
        <f t="shared" si="144"/>
        <v>631580</v>
      </c>
      <c r="P80" s="110">
        <f t="shared" si="144"/>
        <v>632464</v>
      </c>
      <c r="Q80" s="110">
        <f t="shared" si="144"/>
        <v>624829</v>
      </c>
      <c r="R80" s="110">
        <f t="shared" si="144"/>
        <v>621131</v>
      </c>
      <c r="S80" s="110">
        <f t="shared" si="144"/>
        <v>626834</v>
      </c>
      <c r="T80" s="110">
        <f t="shared" si="144"/>
        <v>632888</v>
      </c>
      <c r="U80" s="110">
        <f t="shared" si="144"/>
        <v>644038</v>
      </c>
      <c r="V80" s="110">
        <f t="shared" si="144"/>
        <v>640727</v>
      </c>
      <c r="W80" s="110">
        <f t="shared" ref="W80" si="145">SUM(W81:W82)</f>
        <v>650606</v>
      </c>
      <c r="DA80" s="176" t="s">
        <v>522</v>
      </c>
    </row>
    <row r="81" spans="1:105" ht="11.45" customHeight="1" x14ac:dyDescent="0.25">
      <c r="A81" s="128" t="s">
        <v>27</v>
      </c>
      <c r="B81" s="102">
        <v>450511</v>
      </c>
      <c r="C81" s="102">
        <v>464550</v>
      </c>
      <c r="D81" s="102">
        <v>475467</v>
      </c>
      <c r="E81" s="102">
        <v>484281</v>
      </c>
      <c r="F81" s="102">
        <v>488482</v>
      </c>
      <c r="G81" s="102">
        <v>496463</v>
      </c>
      <c r="H81" s="102">
        <v>504510</v>
      </c>
      <c r="I81" s="102">
        <v>513800</v>
      </c>
      <c r="J81" s="102">
        <v>530546</v>
      </c>
      <c r="K81" s="102">
        <v>543610</v>
      </c>
      <c r="L81" s="102">
        <v>565367</v>
      </c>
      <c r="M81" s="102">
        <v>561592</v>
      </c>
      <c r="N81" s="102">
        <v>551745</v>
      </c>
      <c r="O81" s="102">
        <v>541478</v>
      </c>
      <c r="P81" s="102">
        <v>541972</v>
      </c>
      <c r="Q81" s="102">
        <v>532479</v>
      </c>
      <c r="R81" s="102">
        <v>524556</v>
      </c>
      <c r="S81" s="102">
        <v>524711</v>
      </c>
      <c r="T81" s="102">
        <v>531490</v>
      </c>
      <c r="U81" s="102">
        <v>538233</v>
      </c>
      <c r="V81" s="102">
        <v>537420</v>
      </c>
      <c r="W81" s="102">
        <v>539617</v>
      </c>
      <c r="DA81" s="175" t="s">
        <v>523</v>
      </c>
    </row>
    <row r="82" spans="1:105" ht="11.45" customHeight="1" x14ac:dyDescent="0.25">
      <c r="A82" s="138" t="s">
        <v>116</v>
      </c>
      <c r="B82" s="86">
        <v>69806</v>
      </c>
      <c r="C82" s="86">
        <v>74841</v>
      </c>
      <c r="D82" s="86">
        <v>78735</v>
      </c>
      <c r="E82" s="86">
        <v>80476</v>
      </c>
      <c r="F82" s="86">
        <v>95151</v>
      </c>
      <c r="G82" s="86">
        <v>98497</v>
      </c>
      <c r="H82" s="86">
        <v>101188</v>
      </c>
      <c r="I82" s="86">
        <v>103300</v>
      </c>
      <c r="J82" s="86">
        <v>101071</v>
      </c>
      <c r="K82" s="86">
        <v>90582</v>
      </c>
      <c r="L82" s="86">
        <v>91940</v>
      </c>
      <c r="M82" s="86">
        <v>87516</v>
      </c>
      <c r="N82" s="86">
        <v>85696</v>
      </c>
      <c r="O82" s="86">
        <v>90102</v>
      </c>
      <c r="P82" s="86">
        <v>90492</v>
      </c>
      <c r="Q82" s="86">
        <v>92350</v>
      </c>
      <c r="R82" s="86">
        <v>96575</v>
      </c>
      <c r="S82" s="86">
        <v>102123</v>
      </c>
      <c r="T82" s="86">
        <v>101398</v>
      </c>
      <c r="U82" s="86">
        <v>105805</v>
      </c>
      <c r="V82" s="86">
        <v>103307</v>
      </c>
      <c r="W82" s="86">
        <v>110989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38142673</v>
      </c>
      <c r="C84" s="54">
        <f t="shared" si="146"/>
        <v>38676945</v>
      </c>
      <c r="D84" s="54">
        <f t="shared" ref="D84:V84" si="147">D85+D100</f>
        <v>39185694</v>
      </c>
      <c r="E84" s="54">
        <f t="shared" si="147"/>
        <v>39642290</v>
      </c>
      <c r="F84" s="54">
        <f t="shared" si="147"/>
        <v>40052579</v>
      </c>
      <c r="G84" s="54">
        <f t="shared" si="147"/>
        <v>40305561</v>
      </c>
      <c r="H84" s="54">
        <f t="shared" si="147"/>
        <v>40742273</v>
      </c>
      <c r="I84" s="54">
        <f t="shared" si="147"/>
        <v>41337595</v>
      </c>
      <c r="J84" s="54">
        <f t="shared" si="147"/>
        <v>42574876</v>
      </c>
      <c r="K84" s="54">
        <f t="shared" si="147"/>
        <v>43767591</v>
      </c>
      <c r="L84" s="54">
        <f t="shared" si="147"/>
        <v>44672453</v>
      </c>
      <c r="M84" s="54">
        <f t="shared" si="147"/>
        <v>46297477</v>
      </c>
      <c r="N84" s="54">
        <f t="shared" si="147"/>
        <v>46525394</v>
      </c>
      <c r="O84" s="54">
        <f t="shared" si="147"/>
        <v>47128888</v>
      </c>
      <c r="P84" s="54">
        <f t="shared" si="147"/>
        <v>47719259</v>
      </c>
      <c r="Q84" s="54">
        <f t="shared" si="147"/>
        <v>48280423</v>
      </c>
      <c r="R84" s="54">
        <f t="shared" si="147"/>
        <v>48767460</v>
      </c>
      <c r="S84" s="54">
        <f t="shared" si="147"/>
        <v>49126623</v>
      </c>
      <c r="T84" s="54">
        <f t="shared" si="147"/>
        <v>49253086</v>
      </c>
      <c r="U84" s="54">
        <f t="shared" si="147"/>
        <v>49453635</v>
      </c>
      <c r="V84" s="54">
        <f t="shared" si="147"/>
        <v>49476951</v>
      </c>
      <c r="W84" s="54">
        <f t="shared" ref="W84" si="148">W85+W100</f>
        <v>49410982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31727690</v>
      </c>
      <c r="C85" s="28">
        <f t="shared" si="149"/>
        <v>32201089</v>
      </c>
      <c r="D85" s="28">
        <f t="shared" ref="D85:V85" si="150">D86+D87+D94</f>
        <v>32662351</v>
      </c>
      <c r="E85" s="28">
        <f t="shared" si="150"/>
        <v>33074955</v>
      </c>
      <c r="F85" s="28">
        <f t="shared" si="150"/>
        <v>33435028</v>
      </c>
      <c r="G85" s="28">
        <f t="shared" si="150"/>
        <v>33654493</v>
      </c>
      <c r="H85" s="28">
        <f t="shared" si="150"/>
        <v>34057039</v>
      </c>
      <c r="I85" s="28">
        <f t="shared" si="150"/>
        <v>34611291</v>
      </c>
      <c r="J85" s="28">
        <f t="shared" si="150"/>
        <v>35806984</v>
      </c>
      <c r="K85" s="28">
        <f t="shared" si="150"/>
        <v>36979364</v>
      </c>
      <c r="L85" s="28">
        <f t="shared" si="150"/>
        <v>37847142</v>
      </c>
      <c r="M85" s="28">
        <f t="shared" si="150"/>
        <v>39519586</v>
      </c>
      <c r="N85" s="28">
        <f t="shared" si="150"/>
        <v>39763334</v>
      </c>
      <c r="O85" s="28">
        <f t="shared" si="150"/>
        <v>40351983</v>
      </c>
      <c r="P85" s="28">
        <f t="shared" si="150"/>
        <v>40854984</v>
      </c>
      <c r="Q85" s="28">
        <f t="shared" si="150"/>
        <v>41384982</v>
      </c>
      <c r="R85" s="28">
        <f t="shared" si="150"/>
        <v>41889178</v>
      </c>
      <c r="S85" s="28">
        <f t="shared" si="150"/>
        <v>42294850</v>
      </c>
      <c r="T85" s="28">
        <f t="shared" si="150"/>
        <v>42419163</v>
      </c>
      <c r="U85" s="28">
        <f t="shared" si="150"/>
        <v>42629823</v>
      </c>
      <c r="V85" s="28">
        <f t="shared" si="150"/>
        <v>42656951</v>
      </c>
      <c r="W85" s="28">
        <f t="shared" ref="W85" si="151">W86+W87+W94</f>
        <v>42564492</v>
      </c>
      <c r="DA85" s="173"/>
    </row>
    <row r="86" spans="1:105" ht="11.45" hidden="1" customHeight="1" x14ac:dyDescent="0.25">
      <c r="A86" s="136" t="s">
        <v>180</v>
      </c>
      <c r="B86" s="137">
        <v>3228941</v>
      </c>
      <c r="C86" s="137">
        <v>3269135</v>
      </c>
      <c r="D86" s="137">
        <v>3270475</v>
      </c>
      <c r="E86" s="137">
        <v>3279854</v>
      </c>
      <c r="F86" s="137">
        <v>3298611</v>
      </c>
      <c r="G86" s="137">
        <v>3316438</v>
      </c>
      <c r="H86" s="137">
        <v>3407887</v>
      </c>
      <c r="I86" s="137">
        <v>3659899</v>
      </c>
      <c r="J86" s="137">
        <v>3905029</v>
      </c>
      <c r="K86" s="137">
        <v>4094912</v>
      </c>
      <c r="L86" s="137">
        <v>4200457</v>
      </c>
      <c r="M86" s="137">
        <v>4175456</v>
      </c>
      <c r="N86" s="137">
        <v>4138839</v>
      </c>
      <c r="O86" s="137">
        <v>4113767</v>
      </c>
      <c r="P86" s="137">
        <v>4117278</v>
      </c>
      <c r="Q86" s="137">
        <v>4114816</v>
      </c>
      <c r="R86" s="137">
        <v>4124034</v>
      </c>
      <c r="S86" s="137">
        <v>4064982</v>
      </c>
      <c r="T86" s="137">
        <v>4077802</v>
      </c>
      <c r="U86" s="137">
        <v>4096337</v>
      </c>
      <c r="V86" s="137">
        <v>4076015</v>
      </c>
      <c r="W86" s="137">
        <v>3722031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28413000</v>
      </c>
      <c r="C87" s="110">
        <f t="shared" si="152"/>
        <v>28845000</v>
      </c>
      <c r="D87" s="110">
        <f t="shared" ref="D87:V87" si="153">SUM(D88:D93)</f>
        <v>29306000</v>
      </c>
      <c r="E87" s="110">
        <f t="shared" si="153"/>
        <v>29708000</v>
      </c>
      <c r="F87" s="110">
        <f t="shared" si="153"/>
        <v>30048000</v>
      </c>
      <c r="G87" s="110">
        <f t="shared" si="153"/>
        <v>30248000</v>
      </c>
      <c r="H87" s="110">
        <f t="shared" si="153"/>
        <v>30557000</v>
      </c>
      <c r="I87" s="110">
        <f t="shared" si="153"/>
        <v>30857000</v>
      </c>
      <c r="J87" s="110">
        <f t="shared" si="153"/>
        <v>31809081</v>
      </c>
      <c r="K87" s="110">
        <f t="shared" si="153"/>
        <v>32794000</v>
      </c>
      <c r="L87" s="110">
        <f t="shared" si="153"/>
        <v>33557000</v>
      </c>
      <c r="M87" s="110">
        <f t="shared" si="153"/>
        <v>35252631</v>
      </c>
      <c r="N87" s="110">
        <f t="shared" si="153"/>
        <v>35531728</v>
      </c>
      <c r="O87" s="110">
        <f t="shared" si="153"/>
        <v>36149230</v>
      </c>
      <c r="P87" s="110">
        <f t="shared" si="153"/>
        <v>36647883</v>
      </c>
      <c r="Q87" s="110">
        <f t="shared" si="153"/>
        <v>37180101</v>
      </c>
      <c r="R87" s="110">
        <f t="shared" si="153"/>
        <v>37673476</v>
      </c>
      <c r="S87" s="110">
        <f t="shared" si="153"/>
        <v>38136818</v>
      </c>
      <c r="T87" s="110">
        <f t="shared" si="153"/>
        <v>38246432</v>
      </c>
      <c r="U87" s="110">
        <f t="shared" si="153"/>
        <v>38435918</v>
      </c>
      <c r="V87" s="110">
        <f t="shared" si="153"/>
        <v>38480505</v>
      </c>
      <c r="W87" s="110">
        <f t="shared" ref="W87" si="154">SUM(W88:W93)</f>
        <v>38738592</v>
      </c>
      <c r="DA87" s="176"/>
    </row>
    <row r="88" spans="1:105" ht="11.45" hidden="1" customHeight="1" x14ac:dyDescent="0.25">
      <c r="A88" s="111" t="s">
        <v>110</v>
      </c>
      <c r="B88" s="84">
        <v>18086443</v>
      </c>
      <c r="C88" s="84">
        <v>17700627</v>
      </c>
      <c r="D88" s="84">
        <v>17250179</v>
      </c>
      <c r="E88" s="84">
        <v>16768647</v>
      </c>
      <c r="F88" s="84">
        <v>16262618</v>
      </c>
      <c r="G88" s="84">
        <v>15720999</v>
      </c>
      <c r="H88" s="84">
        <v>15247017</v>
      </c>
      <c r="I88" s="84">
        <v>14783826</v>
      </c>
      <c r="J88" s="84">
        <v>14386759</v>
      </c>
      <c r="K88" s="84">
        <v>14043689</v>
      </c>
      <c r="L88" s="84">
        <v>13735839</v>
      </c>
      <c r="M88" s="84">
        <v>13397124</v>
      </c>
      <c r="N88" s="84">
        <v>13084402</v>
      </c>
      <c r="O88" s="84">
        <v>12957196</v>
      </c>
      <c r="P88" s="84">
        <v>12978380</v>
      </c>
      <c r="Q88" s="84">
        <v>13185221</v>
      </c>
      <c r="R88" s="84">
        <v>13533108</v>
      </c>
      <c r="S88" s="84">
        <v>14054568</v>
      </c>
      <c r="T88" s="84">
        <v>14675215</v>
      </c>
      <c r="U88" s="84">
        <v>15386632</v>
      </c>
      <c r="V88" s="84">
        <v>15808986</v>
      </c>
      <c r="W88" s="84">
        <v>16355296</v>
      </c>
      <c r="DA88" s="171"/>
    </row>
    <row r="89" spans="1:105" ht="11.45" hidden="1" customHeight="1" x14ac:dyDescent="0.25">
      <c r="A89" s="111" t="s">
        <v>111</v>
      </c>
      <c r="B89" s="84">
        <v>9983557</v>
      </c>
      <c r="C89" s="84">
        <v>10821522</v>
      </c>
      <c r="D89" s="84">
        <v>11762119</v>
      </c>
      <c r="E89" s="84">
        <v>12681843</v>
      </c>
      <c r="F89" s="84">
        <v>13550519</v>
      </c>
      <c r="G89" s="84">
        <v>14317878</v>
      </c>
      <c r="H89" s="84">
        <v>15125088</v>
      </c>
      <c r="I89" s="84">
        <v>15912958</v>
      </c>
      <c r="J89" s="84">
        <v>17233800</v>
      </c>
      <c r="K89" s="84">
        <v>18556428</v>
      </c>
      <c r="L89" s="84">
        <v>19621210</v>
      </c>
      <c r="M89" s="84">
        <v>21625270</v>
      </c>
      <c r="N89" s="84">
        <v>22227975</v>
      </c>
      <c r="O89" s="84">
        <v>22987449</v>
      </c>
      <c r="P89" s="84">
        <v>23466489</v>
      </c>
      <c r="Q89" s="84">
        <v>23774776</v>
      </c>
      <c r="R89" s="84">
        <v>23904978</v>
      </c>
      <c r="S89" s="84">
        <v>23818023</v>
      </c>
      <c r="T89" s="84">
        <v>23262675</v>
      </c>
      <c r="U89" s="84">
        <v>22679049</v>
      </c>
      <c r="V89" s="84">
        <v>22115753</v>
      </c>
      <c r="W89" s="84">
        <v>21506046</v>
      </c>
      <c r="DA89" s="171"/>
    </row>
    <row r="90" spans="1:105" ht="11.45" hidden="1" customHeight="1" x14ac:dyDescent="0.25">
      <c r="A90" s="111" t="s">
        <v>112</v>
      </c>
      <c r="B90" s="84">
        <v>343000</v>
      </c>
      <c r="C90" s="84">
        <v>322851</v>
      </c>
      <c r="D90" s="84">
        <v>293702</v>
      </c>
      <c r="E90" s="84">
        <v>257510</v>
      </c>
      <c r="F90" s="84">
        <v>234863</v>
      </c>
      <c r="G90" s="84">
        <v>209123</v>
      </c>
      <c r="H90" s="84">
        <v>184881</v>
      </c>
      <c r="I90" s="84">
        <v>159721</v>
      </c>
      <c r="J90" s="84">
        <v>185000</v>
      </c>
      <c r="K90" s="84">
        <v>190000</v>
      </c>
      <c r="L90" s="84">
        <v>195918</v>
      </c>
      <c r="M90" s="84">
        <v>223377</v>
      </c>
      <c r="N90" s="84">
        <v>207684</v>
      </c>
      <c r="O90" s="84">
        <v>184011</v>
      </c>
      <c r="P90" s="84">
        <v>169613</v>
      </c>
      <c r="Q90" s="84">
        <v>161929</v>
      </c>
      <c r="R90" s="84">
        <v>153985</v>
      </c>
      <c r="S90" s="84">
        <v>147128</v>
      </c>
      <c r="T90" s="84">
        <v>144435</v>
      </c>
      <c r="U90" s="84">
        <v>144469</v>
      </c>
      <c r="V90" s="84">
        <v>143788</v>
      </c>
      <c r="W90" s="84">
        <v>158723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475</v>
      </c>
      <c r="J91" s="84">
        <v>920</v>
      </c>
      <c r="K91" s="84">
        <v>1284</v>
      </c>
      <c r="L91" s="84">
        <v>1429</v>
      </c>
      <c r="M91" s="84">
        <v>1567</v>
      </c>
      <c r="N91" s="84">
        <v>1681</v>
      </c>
      <c r="O91" s="84">
        <v>1732</v>
      </c>
      <c r="P91" s="84">
        <v>1761</v>
      </c>
      <c r="Q91" s="84">
        <v>1862</v>
      </c>
      <c r="R91" s="84">
        <v>2127</v>
      </c>
      <c r="S91" s="84">
        <v>2173</v>
      </c>
      <c r="T91" s="84">
        <v>2202</v>
      </c>
      <c r="U91" s="84">
        <v>2382</v>
      </c>
      <c r="V91" s="84">
        <v>2668</v>
      </c>
      <c r="W91" s="84">
        <v>2686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668</v>
      </c>
      <c r="O92" s="84">
        <v>1466</v>
      </c>
      <c r="P92" s="84">
        <v>2985</v>
      </c>
      <c r="Q92" s="84">
        <v>8025</v>
      </c>
      <c r="R92" s="84">
        <v>14492</v>
      </c>
      <c r="S92" s="84">
        <v>25295</v>
      </c>
      <c r="T92" s="84">
        <v>38734</v>
      </c>
      <c r="U92" s="84">
        <v>57294</v>
      </c>
      <c r="V92" s="84">
        <v>132309</v>
      </c>
      <c r="W92" s="84">
        <v>273600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14</v>
      </c>
      <c r="I93" s="84">
        <v>20</v>
      </c>
      <c r="J93" s="84">
        <v>2602</v>
      </c>
      <c r="K93" s="84">
        <v>2599</v>
      </c>
      <c r="L93" s="84">
        <v>2604</v>
      </c>
      <c r="M93" s="84">
        <v>5293</v>
      </c>
      <c r="N93" s="84">
        <v>9318</v>
      </c>
      <c r="O93" s="84">
        <v>17376</v>
      </c>
      <c r="P93" s="84">
        <v>28655</v>
      </c>
      <c r="Q93" s="84">
        <v>48288</v>
      </c>
      <c r="R93" s="84">
        <v>64786</v>
      </c>
      <c r="S93" s="84">
        <v>89631</v>
      </c>
      <c r="T93" s="84">
        <v>123171</v>
      </c>
      <c r="U93" s="84">
        <v>166092</v>
      </c>
      <c r="V93" s="84">
        <v>277001</v>
      </c>
      <c r="W93" s="84">
        <v>442241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85749</v>
      </c>
      <c r="C94" s="110">
        <f t="shared" si="155"/>
        <v>86954</v>
      </c>
      <c r="D94" s="110">
        <f t="shared" ref="D94:V94" si="156">SUM(D95:D99)</f>
        <v>85876</v>
      </c>
      <c r="E94" s="110">
        <f t="shared" si="156"/>
        <v>87101</v>
      </c>
      <c r="F94" s="110">
        <f t="shared" si="156"/>
        <v>88417</v>
      </c>
      <c r="G94" s="110">
        <f t="shared" si="156"/>
        <v>90055</v>
      </c>
      <c r="H94" s="110">
        <f t="shared" si="156"/>
        <v>92152</v>
      </c>
      <c r="I94" s="110">
        <f t="shared" si="156"/>
        <v>94392</v>
      </c>
      <c r="J94" s="110">
        <f t="shared" si="156"/>
        <v>92874</v>
      </c>
      <c r="K94" s="110">
        <f t="shared" si="156"/>
        <v>90452</v>
      </c>
      <c r="L94" s="110">
        <f t="shared" si="156"/>
        <v>89685</v>
      </c>
      <c r="M94" s="110">
        <f t="shared" si="156"/>
        <v>91499</v>
      </c>
      <c r="N94" s="110">
        <f t="shared" si="156"/>
        <v>92767</v>
      </c>
      <c r="O94" s="110">
        <f t="shared" si="156"/>
        <v>88986</v>
      </c>
      <c r="P94" s="110">
        <f t="shared" si="156"/>
        <v>89823</v>
      </c>
      <c r="Q94" s="110">
        <f t="shared" si="156"/>
        <v>90065</v>
      </c>
      <c r="R94" s="110">
        <f t="shared" si="156"/>
        <v>91668</v>
      </c>
      <c r="S94" s="110">
        <f t="shared" si="156"/>
        <v>93050</v>
      </c>
      <c r="T94" s="110">
        <f t="shared" si="156"/>
        <v>94929</v>
      </c>
      <c r="U94" s="110">
        <f t="shared" si="156"/>
        <v>97568</v>
      </c>
      <c r="V94" s="110">
        <f t="shared" si="156"/>
        <v>100431</v>
      </c>
      <c r="W94" s="110">
        <f t="shared" ref="W94" si="157">SUM(W95:W99)</f>
        <v>103869</v>
      </c>
      <c r="DA94" s="176"/>
    </row>
    <row r="95" spans="1:105" ht="11.45" hidden="1" customHeight="1" x14ac:dyDescent="0.25">
      <c r="A95" s="111" t="s">
        <v>110</v>
      </c>
      <c r="B95" s="102">
        <v>1273</v>
      </c>
      <c r="C95" s="102">
        <v>1208</v>
      </c>
      <c r="D95" s="102">
        <v>1138</v>
      </c>
      <c r="E95" s="102">
        <v>1062</v>
      </c>
      <c r="F95" s="102">
        <v>984</v>
      </c>
      <c r="G95" s="102">
        <v>903</v>
      </c>
      <c r="H95" s="102">
        <v>821</v>
      </c>
      <c r="I95" s="102">
        <v>740</v>
      </c>
      <c r="J95" s="102">
        <v>661</v>
      </c>
      <c r="K95" s="102">
        <v>584</v>
      </c>
      <c r="L95" s="102">
        <v>511</v>
      </c>
      <c r="M95" s="102">
        <v>441</v>
      </c>
      <c r="N95" s="102">
        <v>378</v>
      </c>
      <c r="O95" s="102">
        <v>319</v>
      </c>
      <c r="P95" s="102">
        <v>265</v>
      </c>
      <c r="Q95" s="102">
        <v>218</v>
      </c>
      <c r="R95" s="102">
        <v>217</v>
      </c>
      <c r="S95" s="102">
        <v>218</v>
      </c>
      <c r="T95" s="102">
        <v>217</v>
      </c>
      <c r="U95" s="102">
        <v>218</v>
      </c>
      <c r="V95" s="102">
        <v>220</v>
      </c>
      <c r="W95" s="102">
        <v>231</v>
      </c>
      <c r="DA95" s="175"/>
    </row>
    <row r="96" spans="1:105" ht="11.45" hidden="1" customHeight="1" x14ac:dyDescent="0.25">
      <c r="A96" s="111" t="s">
        <v>111</v>
      </c>
      <c r="B96" s="102">
        <v>84165</v>
      </c>
      <c r="C96" s="102">
        <v>84948</v>
      </c>
      <c r="D96" s="102">
        <v>83869</v>
      </c>
      <c r="E96" s="102">
        <v>84940</v>
      </c>
      <c r="F96" s="102">
        <v>86174</v>
      </c>
      <c r="G96" s="102">
        <v>87802</v>
      </c>
      <c r="H96" s="102">
        <v>89866</v>
      </c>
      <c r="I96" s="102">
        <v>92009</v>
      </c>
      <c r="J96" s="102">
        <v>90377</v>
      </c>
      <c r="K96" s="102">
        <v>88073</v>
      </c>
      <c r="L96" s="102">
        <v>87431</v>
      </c>
      <c r="M96" s="102">
        <v>87172</v>
      </c>
      <c r="N96" s="102">
        <v>87958</v>
      </c>
      <c r="O96" s="102">
        <v>83618</v>
      </c>
      <c r="P96" s="102">
        <v>84128</v>
      </c>
      <c r="Q96" s="102">
        <v>84383</v>
      </c>
      <c r="R96" s="102">
        <v>85972</v>
      </c>
      <c r="S96" s="102">
        <v>87007</v>
      </c>
      <c r="T96" s="102">
        <v>88030</v>
      </c>
      <c r="U96" s="102">
        <v>88843</v>
      </c>
      <c r="V96" s="102">
        <v>88246</v>
      </c>
      <c r="W96" s="102">
        <v>87342</v>
      </c>
      <c r="DA96" s="175"/>
    </row>
    <row r="97" spans="1:105" ht="11.45" hidden="1" customHeight="1" x14ac:dyDescent="0.25">
      <c r="A97" s="111" t="s">
        <v>112</v>
      </c>
      <c r="B97" s="102">
        <v>147</v>
      </c>
      <c r="C97" s="102">
        <v>175</v>
      </c>
      <c r="D97" s="102">
        <v>173</v>
      </c>
      <c r="E97" s="102">
        <v>183</v>
      </c>
      <c r="F97" s="102">
        <v>189</v>
      </c>
      <c r="G97" s="102">
        <v>191</v>
      </c>
      <c r="H97" s="102">
        <v>153</v>
      </c>
      <c r="I97" s="102">
        <v>180</v>
      </c>
      <c r="J97" s="102">
        <v>171</v>
      </c>
      <c r="K97" s="102">
        <v>163</v>
      </c>
      <c r="L97" s="102">
        <v>154</v>
      </c>
      <c r="M97" s="102">
        <v>144</v>
      </c>
      <c r="N97" s="102">
        <v>135</v>
      </c>
      <c r="O97" s="102">
        <v>126</v>
      </c>
      <c r="P97" s="102">
        <v>116</v>
      </c>
      <c r="Q97" s="102">
        <v>107</v>
      </c>
      <c r="R97" s="102">
        <v>102</v>
      </c>
      <c r="S97" s="102">
        <v>97</v>
      </c>
      <c r="T97" s="102">
        <v>92</v>
      </c>
      <c r="U97" s="102">
        <v>86</v>
      </c>
      <c r="V97" s="102">
        <v>81</v>
      </c>
      <c r="W97" s="102">
        <v>75</v>
      </c>
      <c r="DA97" s="175"/>
    </row>
    <row r="98" spans="1:105" ht="11.45" hidden="1" customHeight="1" x14ac:dyDescent="0.25">
      <c r="A98" s="111" t="s">
        <v>113</v>
      </c>
      <c r="B98" s="102">
        <v>17</v>
      </c>
      <c r="C98" s="102">
        <v>459</v>
      </c>
      <c r="D98" s="102">
        <v>513</v>
      </c>
      <c r="E98" s="102">
        <v>718</v>
      </c>
      <c r="F98" s="102">
        <v>857</v>
      </c>
      <c r="G98" s="102">
        <v>948</v>
      </c>
      <c r="H98" s="102">
        <v>1106</v>
      </c>
      <c r="I98" s="102">
        <v>1263</v>
      </c>
      <c r="J98" s="102">
        <v>1471</v>
      </c>
      <c r="K98" s="102">
        <v>1448</v>
      </c>
      <c r="L98" s="102">
        <v>1416</v>
      </c>
      <c r="M98" s="102">
        <v>3579</v>
      </c>
      <c r="N98" s="102">
        <v>4115</v>
      </c>
      <c r="O98" s="102">
        <v>4643</v>
      </c>
      <c r="P98" s="102">
        <v>5010</v>
      </c>
      <c r="Q98" s="102">
        <v>5022</v>
      </c>
      <c r="R98" s="102">
        <v>4998</v>
      </c>
      <c r="S98" s="102">
        <v>5302</v>
      </c>
      <c r="T98" s="102">
        <v>6145</v>
      </c>
      <c r="U98" s="102">
        <v>7720</v>
      </c>
      <c r="V98" s="102">
        <v>11056</v>
      </c>
      <c r="W98" s="102">
        <v>14735</v>
      </c>
      <c r="DA98" s="175"/>
    </row>
    <row r="99" spans="1:105" ht="11.45" hidden="1" customHeight="1" x14ac:dyDescent="0.25">
      <c r="A99" s="111" t="s">
        <v>115</v>
      </c>
      <c r="B99" s="102">
        <v>147</v>
      </c>
      <c r="C99" s="102">
        <v>164</v>
      </c>
      <c r="D99" s="102">
        <v>183</v>
      </c>
      <c r="E99" s="102">
        <v>198</v>
      </c>
      <c r="F99" s="102">
        <v>213</v>
      </c>
      <c r="G99" s="102">
        <v>211</v>
      </c>
      <c r="H99" s="102">
        <v>206</v>
      </c>
      <c r="I99" s="102">
        <v>200</v>
      </c>
      <c r="J99" s="102">
        <v>194</v>
      </c>
      <c r="K99" s="102">
        <v>184</v>
      </c>
      <c r="L99" s="102">
        <v>173</v>
      </c>
      <c r="M99" s="102">
        <v>163</v>
      </c>
      <c r="N99" s="102">
        <v>181</v>
      </c>
      <c r="O99" s="102">
        <v>280</v>
      </c>
      <c r="P99" s="102">
        <v>304</v>
      </c>
      <c r="Q99" s="102">
        <v>335</v>
      </c>
      <c r="R99" s="102">
        <v>379</v>
      </c>
      <c r="S99" s="102">
        <v>426</v>
      </c>
      <c r="T99" s="102">
        <v>445</v>
      </c>
      <c r="U99" s="102">
        <v>701</v>
      </c>
      <c r="V99" s="102">
        <v>828</v>
      </c>
      <c r="W99" s="102">
        <v>1486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6414983</v>
      </c>
      <c r="C100" s="28">
        <f t="shared" si="158"/>
        <v>6475856</v>
      </c>
      <c r="D100" s="28">
        <f t="shared" ref="D100:V100" si="159">D101+D107</f>
        <v>6523343</v>
      </c>
      <c r="E100" s="28">
        <f t="shared" si="159"/>
        <v>6567335</v>
      </c>
      <c r="F100" s="28">
        <f t="shared" si="159"/>
        <v>6617551</v>
      </c>
      <c r="G100" s="28">
        <f t="shared" si="159"/>
        <v>6651068</v>
      </c>
      <c r="H100" s="28">
        <f t="shared" si="159"/>
        <v>6685234</v>
      </c>
      <c r="I100" s="28">
        <f t="shared" si="159"/>
        <v>6726304</v>
      </c>
      <c r="J100" s="28">
        <f t="shared" si="159"/>
        <v>6767892</v>
      </c>
      <c r="K100" s="28">
        <f t="shared" si="159"/>
        <v>6788227</v>
      </c>
      <c r="L100" s="28">
        <f t="shared" si="159"/>
        <v>6825311</v>
      </c>
      <c r="M100" s="28">
        <f t="shared" si="159"/>
        <v>6777891</v>
      </c>
      <c r="N100" s="28">
        <f t="shared" si="159"/>
        <v>6762060</v>
      </c>
      <c r="O100" s="28">
        <f t="shared" si="159"/>
        <v>6776905</v>
      </c>
      <c r="P100" s="28">
        <f t="shared" si="159"/>
        <v>6864275</v>
      </c>
      <c r="Q100" s="28">
        <f t="shared" si="159"/>
        <v>6895441</v>
      </c>
      <c r="R100" s="28">
        <f t="shared" si="159"/>
        <v>6878282</v>
      </c>
      <c r="S100" s="28">
        <f t="shared" si="159"/>
        <v>6831773</v>
      </c>
      <c r="T100" s="28">
        <f t="shared" si="159"/>
        <v>6833923</v>
      </c>
      <c r="U100" s="28">
        <f t="shared" si="159"/>
        <v>6823812</v>
      </c>
      <c r="V100" s="28">
        <f t="shared" si="159"/>
        <v>6820000</v>
      </c>
      <c r="W100" s="28">
        <f t="shared" ref="W100" si="160">W101+W107</f>
        <v>6846490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5894666</v>
      </c>
      <c r="C101" s="137">
        <f t="shared" si="161"/>
        <v>5936465</v>
      </c>
      <c r="D101" s="137">
        <f t="shared" ref="D101:V101" si="162">SUM(D102:D106)</f>
        <v>5969141</v>
      </c>
      <c r="E101" s="137">
        <f t="shared" si="162"/>
        <v>6002578</v>
      </c>
      <c r="F101" s="137">
        <f t="shared" si="162"/>
        <v>6033918</v>
      </c>
      <c r="G101" s="137">
        <f t="shared" si="162"/>
        <v>6056108</v>
      </c>
      <c r="H101" s="137">
        <f t="shared" si="162"/>
        <v>6079536</v>
      </c>
      <c r="I101" s="137">
        <f t="shared" si="162"/>
        <v>6109204</v>
      </c>
      <c r="J101" s="137">
        <f t="shared" si="162"/>
        <v>6136275</v>
      </c>
      <c r="K101" s="137">
        <f t="shared" si="162"/>
        <v>6154035</v>
      </c>
      <c r="L101" s="137">
        <f t="shared" si="162"/>
        <v>6168004</v>
      </c>
      <c r="M101" s="137">
        <f t="shared" si="162"/>
        <v>6128783</v>
      </c>
      <c r="N101" s="137">
        <f t="shared" si="162"/>
        <v>6124619</v>
      </c>
      <c r="O101" s="137">
        <f t="shared" si="162"/>
        <v>6145325</v>
      </c>
      <c r="P101" s="137">
        <f t="shared" si="162"/>
        <v>6231811</v>
      </c>
      <c r="Q101" s="137">
        <f t="shared" si="162"/>
        <v>6270612</v>
      </c>
      <c r="R101" s="137">
        <f t="shared" si="162"/>
        <v>6257151</v>
      </c>
      <c r="S101" s="137">
        <f t="shared" si="162"/>
        <v>6204939</v>
      </c>
      <c r="T101" s="137">
        <f t="shared" si="162"/>
        <v>6201035</v>
      </c>
      <c r="U101" s="137">
        <f t="shared" si="162"/>
        <v>6179774</v>
      </c>
      <c r="V101" s="137">
        <f t="shared" si="162"/>
        <v>6179273</v>
      </c>
      <c r="W101" s="137">
        <f t="shared" ref="W101" si="163">SUM(W102:W106)</f>
        <v>6195884</v>
      </c>
      <c r="DA101" s="174"/>
    </row>
    <row r="102" spans="1:105" ht="11.45" hidden="1" customHeight="1" x14ac:dyDescent="0.25">
      <c r="A102" s="111" t="s">
        <v>110</v>
      </c>
      <c r="B102" s="84">
        <v>770989</v>
      </c>
      <c r="C102" s="84">
        <v>643004</v>
      </c>
      <c r="D102" s="84">
        <v>536982</v>
      </c>
      <c r="E102" s="84">
        <v>431848</v>
      </c>
      <c r="F102" s="84">
        <v>346145</v>
      </c>
      <c r="G102" s="84">
        <v>291811</v>
      </c>
      <c r="H102" s="84">
        <v>249479</v>
      </c>
      <c r="I102" s="84">
        <v>221454</v>
      </c>
      <c r="J102" s="84">
        <v>210763</v>
      </c>
      <c r="K102" s="84">
        <v>196991</v>
      </c>
      <c r="L102" s="84">
        <v>218701</v>
      </c>
      <c r="M102" s="84">
        <v>244990</v>
      </c>
      <c r="N102" s="84">
        <v>272485</v>
      </c>
      <c r="O102" s="84">
        <v>303014</v>
      </c>
      <c r="P102" s="84">
        <v>286631</v>
      </c>
      <c r="Q102" s="84">
        <v>269150</v>
      </c>
      <c r="R102" s="84">
        <v>249615</v>
      </c>
      <c r="S102" s="84">
        <v>232602</v>
      </c>
      <c r="T102" s="84">
        <v>217905</v>
      </c>
      <c r="U102" s="84">
        <v>198273</v>
      </c>
      <c r="V102" s="84">
        <v>188271</v>
      </c>
      <c r="W102" s="84">
        <v>190357</v>
      </c>
      <c r="DA102" s="171"/>
    </row>
    <row r="103" spans="1:105" ht="11.45" hidden="1" customHeight="1" x14ac:dyDescent="0.25">
      <c r="A103" s="111" t="s">
        <v>111</v>
      </c>
      <c r="B103" s="84">
        <v>5097990</v>
      </c>
      <c r="C103" s="84">
        <v>5265605</v>
      </c>
      <c r="D103" s="84">
        <v>5403184</v>
      </c>
      <c r="E103" s="84">
        <v>5540874</v>
      </c>
      <c r="F103" s="84">
        <v>5656919</v>
      </c>
      <c r="G103" s="84">
        <v>5732573</v>
      </c>
      <c r="H103" s="84">
        <v>5795993</v>
      </c>
      <c r="I103" s="84">
        <v>5858848</v>
      </c>
      <c r="J103" s="84">
        <v>5898297</v>
      </c>
      <c r="K103" s="84">
        <v>5928314</v>
      </c>
      <c r="L103" s="84">
        <v>5921846</v>
      </c>
      <c r="M103" s="84">
        <v>5854728</v>
      </c>
      <c r="N103" s="84">
        <v>5822576</v>
      </c>
      <c r="O103" s="84">
        <v>5809841</v>
      </c>
      <c r="P103" s="84">
        <v>5908457</v>
      </c>
      <c r="Q103" s="84">
        <v>5961617</v>
      </c>
      <c r="R103" s="84">
        <v>5961127</v>
      </c>
      <c r="S103" s="84">
        <v>5924592</v>
      </c>
      <c r="T103" s="84">
        <v>5920921</v>
      </c>
      <c r="U103" s="84">
        <v>5912112</v>
      </c>
      <c r="V103" s="84">
        <v>5913038</v>
      </c>
      <c r="W103" s="84">
        <v>5915367</v>
      </c>
      <c r="DA103" s="171"/>
    </row>
    <row r="104" spans="1:105" ht="11.45" hidden="1" customHeight="1" x14ac:dyDescent="0.25">
      <c r="A104" s="111" t="s">
        <v>112</v>
      </c>
      <c r="B104" s="84">
        <v>21292</v>
      </c>
      <c r="C104" s="84">
        <v>22772</v>
      </c>
      <c r="D104" s="84">
        <v>23556</v>
      </c>
      <c r="E104" s="84">
        <v>24074</v>
      </c>
      <c r="F104" s="84">
        <v>24854</v>
      </c>
      <c r="G104" s="84">
        <v>25804</v>
      </c>
      <c r="H104" s="84">
        <v>27723</v>
      </c>
      <c r="I104" s="84">
        <v>22343</v>
      </c>
      <c r="J104" s="84">
        <v>21154</v>
      </c>
      <c r="K104" s="84">
        <v>22173</v>
      </c>
      <c r="L104" s="84">
        <v>21459</v>
      </c>
      <c r="M104" s="84">
        <v>20614</v>
      </c>
      <c r="N104" s="84">
        <v>19671</v>
      </c>
      <c r="O104" s="84">
        <v>19176</v>
      </c>
      <c r="P104" s="84">
        <v>18892</v>
      </c>
      <c r="Q104" s="84">
        <v>18600</v>
      </c>
      <c r="R104" s="84">
        <v>17950</v>
      </c>
      <c r="S104" s="84">
        <v>16763</v>
      </c>
      <c r="T104" s="84">
        <v>14218</v>
      </c>
      <c r="U104" s="84">
        <v>13000</v>
      </c>
      <c r="V104" s="84">
        <v>12000</v>
      </c>
      <c r="W104" s="84">
        <v>12000</v>
      </c>
      <c r="DA104" s="171"/>
    </row>
    <row r="105" spans="1:105" ht="11.45" hidden="1" customHeight="1" x14ac:dyDescent="0.25">
      <c r="A105" s="111" t="s">
        <v>113</v>
      </c>
      <c r="B105" s="84">
        <v>300</v>
      </c>
      <c r="C105" s="84">
        <v>274</v>
      </c>
      <c r="D105" s="84">
        <v>281</v>
      </c>
      <c r="E105" s="84">
        <v>455</v>
      </c>
      <c r="F105" s="84">
        <v>437</v>
      </c>
      <c r="G105" s="84">
        <v>420</v>
      </c>
      <c r="H105" s="84">
        <v>859</v>
      </c>
      <c r="I105" s="84">
        <v>806</v>
      </c>
      <c r="J105" s="84">
        <v>826</v>
      </c>
      <c r="K105" s="84">
        <v>1011</v>
      </c>
      <c r="L105" s="84">
        <v>965</v>
      </c>
      <c r="M105" s="84">
        <v>1159</v>
      </c>
      <c r="N105" s="84">
        <v>1598</v>
      </c>
      <c r="O105" s="84">
        <v>2066</v>
      </c>
      <c r="P105" s="84">
        <v>2429</v>
      </c>
      <c r="Q105" s="84">
        <v>2746</v>
      </c>
      <c r="R105" s="84">
        <v>3083</v>
      </c>
      <c r="S105" s="84">
        <v>3448</v>
      </c>
      <c r="T105" s="84">
        <v>7214</v>
      </c>
      <c r="U105" s="84">
        <v>7762</v>
      </c>
      <c r="V105" s="84">
        <v>8461</v>
      </c>
      <c r="W105" s="84">
        <v>9252</v>
      </c>
      <c r="DA105" s="171"/>
    </row>
    <row r="106" spans="1:105" ht="11.45" hidden="1" customHeight="1" x14ac:dyDescent="0.25">
      <c r="A106" s="111" t="s">
        <v>115</v>
      </c>
      <c r="B106" s="84">
        <v>4095</v>
      </c>
      <c r="C106" s="84">
        <v>4810</v>
      </c>
      <c r="D106" s="84">
        <v>5138</v>
      </c>
      <c r="E106" s="84">
        <v>5327</v>
      </c>
      <c r="F106" s="84">
        <v>5563</v>
      </c>
      <c r="G106" s="84">
        <v>5500</v>
      </c>
      <c r="H106" s="84">
        <v>5482</v>
      </c>
      <c r="I106" s="84">
        <v>5753</v>
      </c>
      <c r="J106" s="84">
        <v>5235</v>
      </c>
      <c r="K106" s="84">
        <v>5546</v>
      </c>
      <c r="L106" s="84">
        <v>5033</v>
      </c>
      <c r="M106" s="84">
        <v>7292</v>
      </c>
      <c r="N106" s="84">
        <v>8289</v>
      </c>
      <c r="O106" s="84">
        <v>11228</v>
      </c>
      <c r="P106" s="84">
        <v>15402</v>
      </c>
      <c r="Q106" s="84">
        <v>18499</v>
      </c>
      <c r="R106" s="84">
        <v>25376</v>
      </c>
      <c r="S106" s="84">
        <v>27534</v>
      </c>
      <c r="T106" s="84">
        <v>40777</v>
      </c>
      <c r="U106" s="84">
        <v>48627</v>
      </c>
      <c r="V106" s="84">
        <v>57503</v>
      </c>
      <c r="W106" s="84">
        <v>68908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520317</v>
      </c>
      <c r="C107" s="110">
        <f t="shared" si="164"/>
        <v>539391</v>
      </c>
      <c r="D107" s="110">
        <f t="shared" ref="D107:V107" si="165">SUM(D108:D109)</f>
        <v>554202</v>
      </c>
      <c r="E107" s="110">
        <f t="shared" si="165"/>
        <v>564757</v>
      </c>
      <c r="F107" s="110">
        <f t="shared" si="165"/>
        <v>583633</v>
      </c>
      <c r="G107" s="110">
        <f t="shared" si="165"/>
        <v>594960</v>
      </c>
      <c r="H107" s="110">
        <f t="shared" si="165"/>
        <v>605698</v>
      </c>
      <c r="I107" s="110">
        <f t="shared" si="165"/>
        <v>617100</v>
      </c>
      <c r="J107" s="110">
        <f t="shared" si="165"/>
        <v>631617</v>
      </c>
      <c r="K107" s="110">
        <f t="shared" si="165"/>
        <v>634192</v>
      </c>
      <c r="L107" s="110">
        <f t="shared" si="165"/>
        <v>657307</v>
      </c>
      <c r="M107" s="110">
        <f t="shared" si="165"/>
        <v>649108</v>
      </c>
      <c r="N107" s="110">
        <f t="shared" si="165"/>
        <v>637441</v>
      </c>
      <c r="O107" s="110">
        <f t="shared" si="165"/>
        <v>631580</v>
      </c>
      <c r="P107" s="110">
        <f t="shared" si="165"/>
        <v>632464</v>
      </c>
      <c r="Q107" s="110">
        <f t="shared" si="165"/>
        <v>624829</v>
      </c>
      <c r="R107" s="110">
        <f t="shared" si="165"/>
        <v>621131</v>
      </c>
      <c r="S107" s="110">
        <f t="shared" si="165"/>
        <v>626834</v>
      </c>
      <c r="T107" s="110">
        <f t="shared" si="165"/>
        <v>632888</v>
      </c>
      <c r="U107" s="110">
        <f t="shared" si="165"/>
        <v>644038</v>
      </c>
      <c r="V107" s="110">
        <f t="shared" si="165"/>
        <v>640727</v>
      </c>
      <c r="W107" s="110">
        <f t="shared" ref="W107" si="166">SUM(W108:W109)</f>
        <v>650606</v>
      </c>
      <c r="DA107" s="176"/>
    </row>
    <row r="108" spans="1:105" ht="11.45" hidden="1" customHeight="1" x14ac:dyDescent="0.25">
      <c r="A108" s="128" t="s">
        <v>27</v>
      </c>
      <c r="B108" s="102">
        <v>450511</v>
      </c>
      <c r="C108" s="102">
        <v>464550</v>
      </c>
      <c r="D108" s="102">
        <v>475467</v>
      </c>
      <c r="E108" s="102">
        <v>484281</v>
      </c>
      <c r="F108" s="102">
        <v>488482</v>
      </c>
      <c r="G108" s="102">
        <v>496463</v>
      </c>
      <c r="H108" s="102">
        <v>504510</v>
      </c>
      <c r="I108" s="102">
        <v>513800</v>
      </c>
      <c r="J108" s="102">
        <v>530546</v>
      </c>
      <c r="K108" s="102">
        <v>543610</v>
      </c>
      <c r="L108" s="102">
        <v>565367</v>
      </c>
      <c r="M108" s="102">
        <v>561592</v>
      </c>
      <c r="N108" s="102">
        <v>551745</v>
      </c>
      <c r="O108" s="102">
        <v>541478</v>
      </c>
      <c r="P108" s="102">
        <v>541972</v>
      </c>
      <c r="Q108" s="102">
        <v>532479</v>
      </c>
      <c r="R108" s="102">
        <v>524556</v>
      </c>
      <c r="S108" s="102">
        <v>524711</v>
      </c>
      <c r="T108" s="102">
        <v>531490</v>
      </c>
      <c r="U108" s="102">
        <v>538233</v>
      </c>
      <c r="V108" s="102">
        <v>537420</v>
      </c>
      <c r="W108" s="102">
        <v>539617</v>
      </c>
      <c r="DA108" s="175"/>
    </row>
    <row r="109" spans="1:105" ht="11.45" hidden="1" customHeight="1" x14ac:dyDescent="0.25">
      <c r="A109" s="138" t="s">
        <v>116</v>
      </c>
      <c r="B109" s="86">
        <v>69806</v>
      </c>
      <c r="C109" s="86">
        <v>74841</v>
      </c>
      <c r="D109" s="86">
        <v>78735</v>
      </c>
      <c r="E109" s="86">
        <v>80476</v>
      </c>
      <c r="F109" s="86">
        <v>95151</v>
      </c>
      <c r="G109" s="86">
        <v>98497</v>
      </c>
      <c r="H109" s="86">
        <v>101188</v>
      </c>
      <c r="I109" s="86">
        <v>103300</v>
      </c>
      <c r="J109" s="86">
        <v>101071</v>
      </c>
      <c r="K109" s="86">
        <v>90582</v>
      </c>
      <c r="L109" s="86">
        <v>91940</v>
      </c>
      <c r="M109" s="86">
        <v>87516</v>
      </c>
      <c r="N109" s="86">
        <v>85696</v>
      </c>
      <c r="O109" s="86">
        <v>90102</v>
      </c>
      <c r="P109" s="86">
        <v>90492</v>
      </c>
      <c r="Q109" s="86">
        <v>92350</v>
      </c>
      <c r="R109" s="86">
        <v>96575</v>
      </c>
      <c r="S109" s="86">
        <v>102123</v>
      </c>
      <c r="T109" s="86">
        <v>101398</v>
      </c>
      <c r="U109" s="86">
        <v>105805</v>
      </c>
      <c r="V109" s="86">
        <v>103307</v>
      </c>
      <c r="W109" s="86">
        <v>110989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2765708</v>
      </c>
      <c r="C111" s="54">
        <f t="shared" si="167"/>
        <v>2912762</v>
      </c>
      <c r="D111" s="54">
        <f t="shared" si="167"/>
        <v>2757397</v>
      </c>
      <c r="E111" s="54">
        <f t="shared" si="167"/>
        <v>2631894</v>
      </c>
      <c r="F111" s="54">
        <f t="shared" si="167"/>
        <v>2722544</v>
      </c>
      <c r="G111" s="54">
        <f t="shared" si="167"/>
        <v>2778092</v>
      </c>
      <c r="H111" s="54">
        <f t="shared" si="167"/>
        <v>2756070</v>
      </c>
      <c r="I111" s="54">
        <f t="shared" si="167"/>
        <v>2855635</v>
      </c>
      <c r="J111" s="54">
        <f t="shared" si="167"/>
        <v>2834560</v>
      </c>
      <c r="K111" s="54">
        <f t="shared" si="167"/>
        <v>3000732</v>
      </c>
      <c r="L111" s="54">
        <f t="shared" ref="L111" si="168">L112+L127</f>
        <v>2970320</v>
      </c>
      <c r="M111" s="54">
        <f t="shared" ref="M111:V111" si="169">M112+M127</f>
        <v>3311293</v>
      </c>
      <c r="N111" s="54">
        <f t="shared" si="169"/>
        <v>2622678</v>
      </c>
      <c r="O111" s="54">
        <f t="shared" si="169"/>
        <v>2567410</v>
      </c>
      <c r="P111" s="54">
        <f t="shared" si="169"/>
        <v>2638953</v>
      </c>
      <c r="Q111" s="54">
        <f t="shared" si="169"/>
        <v>2781267</v>
      </c>
      <c r="R111" s="54">
        <f t="shared" si="169"/>
        <v>2893202</v>
      </c>
      <c r="S111" s="54">
        <f t="shared" si="169"/>
        <v>2951834</v>
      </c>
      <c r="T111" s="54">
        <f t="shared" si="169"/>
        <v>3093951</v>
      </c>
      <c r="U111" s="54">
        <f t="shared" si="169"/>
        <v>3106887</v>
      </c>
      <c r="V111" s="54">
        <f t="shared" si="169"/>
        <v>2535053</v>
      </c>
      <c r="W111" s="54">
        <f t="shared" ref="W111" si="170">W112+W127</f>
        <v>2742457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2313057</v>
      </c>
      <c r="C112" s="28">
        <f t="shared" si="171"/>
        <v>2440833</v>
      </c>
      <c r="D112" s="28">
        <f t="shared" si="171"/>
        <v>2320021</v>
      </c>
      <c r="E112" s="28">
        <f t="shared" si="171"/>
        <v>2211158</v>
      </c>
      <c r="F112" s="28">
        <f t="shared" si="171"/>
        <v>2243271</v>
      </c>
      <c r="G112" s="28">
        <f t="shared" si="171"/>
        <v>2314254</v>
      </c>
      <c r="H112" s="28">
        <f t="shared" si="171"/>
        <v>2280901</v>
      </c>
      <c r="I112" s="28">
        <f t="shared" si="171"/>
        <v>2361165</v>
      </c>
      <c r="J112" s="28">
        <f t="shared" si="171"/>
        <v>2344424</v>
      </c>
      <c r="K112" s="28">
        <f t="shared" si="171"/>
        <v>2530512</v>
      </c>
      <c r="L112" s="28">
        <f t="shared" ref="L112" si="172">L113+L114+L121</f>
        <v>2496128</v>
      </c>
      <c r="M112" s="28">
        <f t="shared" ref="M112:V112" si="173">M113+M114+M121</f>
        <v>2861194</v>
      </c>
      <c r="N112" s="28">
        <f t="shared" si="173"/>
        <v>2160678</v>
      </c>
      <c r="O112" s="28">
        <f t="shared" si="173"/>
        <v>2064567</v>
      </c>
      <c r="P112" s="28">
        <f t="shared" si="173"/>
        <v>2063375</v>
      </c>
      <c r="Q112" s="28">
        <f t="shared" si="173"/>
        <v>2248594</v>
      </c>
      <c r="R112" s="28">
        <f t="shared" si="173"/>
        <v>2409388</v>
      </c>
      <c r="S112" s="28">
        <f t="shared" si="173"/>
        <v>2504092</v>
      </c>
      <c r="T112" s="28">
        <f t="shared" si="173"/>
        <v>2605689</v>
      </c>
      <c r="U112" s="28">
        <f t="shared" si="173"/>
        <v>2629771</v>
      </c>
      <c r="V112" s="28">
        <f t="shared" si="173"/>
        <v>2130564</v>
      </c>
      <c r="W112" s="28">
        <f t="shared" ref="W112" si="174">W113+W114+W121</f>
        <v>2316294</v>
      </c>
      <c r="DA112" s="173" t="s">
        <v>526</v>
      </c>
    </row>
    <row r="113" spans="1:105" ht="11.45" customHeight="1" x14ac:dyDescent="0.25">
      <c r="A113" s="136" t="s">
        <v>180</v>
      </c>
      <c r="B113" s="137">
        <v>180536</v>
      </c>
      <c r="C113" s="137">
        <v>180425</v>
      </c>
      <c r="D113" s="137">
        <v>169587</v>
      </c>
      <c r="E113" s="137">
        <v>196928</v>
      </c>
      <c r="F113" s="137">
        <v>224696</v>
      </c>
      <c r="G113" s="137">
        <v>241023</v>
      </c>
      <c r="H113" s="137">
        <v>274502</v>
      </c>
      <c r="I113" s="137">
        <v>290446</v>
      </c>
      <c r="J113" s="137">
        <v>287398</v>
      </c>
      <c r="K113" s="137">
        <v>254067</v>
      </c>
      <c r="L113" s="137">
        <v>231020</v>
      </c>
      <c r="M113" s="137">
        <v>215309</v>
      </c>
      <c r="N113" s="137">
        <v>197455</v>
      </c>
      <c r="O113" s="137">
        <v>172383</v>
      </c>
      <c r="P113" s="137">
        <v>175894</v>
      </c>
      <c r="Q113" s="137">
        <v>173432</v>
      </c>
      <c r="R113" s="137">
        <v>182650</v>
      </c>
      <c r="S113" s="137">
        <v>170849</v>
      </c>
      <c r="T113" s="137">
        <v>183669</v>
      </c>
      <c r="U113" s="137">
        <v>202204</v>
      </c>
      <c r="V113" s="137">
        <v>181882</v>
      </c>
      <c r="W113" s="137">
        <v>206955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2127334</v>
      </c>
      <c r="C114" s="110">
        <f t="shared" si="175"/>
        <v>2254732</v>
      </c>
      <c r="D114" s="110">
        <f t="shared" si="175"/>
        <v>2145071</v>
      </c>
      <c r="E114" s="110">
        <f t="shared" si="175"/>
        <v>2009246</v>
      </c>
      <c r="F114" s="110">
        <f t="shared" si="175"/>
        <v>2013709</v>
      </c>
      <c r="G114" s="110">
        <f t="shared" si="175"/>
        <v>2067789.0000000002</v>
      </c>
      <c r="H114" s="110">
        <f t="shared" si="175"/>
        <v>2000549</v>
      </c>
      <c r="I114" s="110">
        <f t="shared" si="175"/>
        <v>2064543</v>
      </c>
      <c r="J114" s="110">
        <f t="shared" si="175"/>
        <v>2050283</v>
      </c>
      <c r="K114" s="110">
        <f t="shared" si="175"/>
        <v>2269011</v>
      </c>
      <c r="L114" s="110">
        <f t="shared" ref="L114" si="176">SUM(L115:L120)</f>
        <v>2259208</v>
      </c>
      <c r="M114" s="110">
        <f t="shared" ref="M114:V114" si="177">SUM(M115:M120)</f>
        <v>2639085</v>
      </c>
      <c r="N114" s="110">
        <f t="shared" si="177"/>
        <v>1956649</v>
      </c>
      <c r="O114" s="110">
        <f t="shared" si="177"/>
        <v>1884551</v>
      </c>
      <c r="P114" s="110">
        <f t="shared" si="177"/>
        <v>1880348</v>
      </c>
      <c r="Q114" s="110">
        <f t="shared" si="177"/>
        <v>2067818</v>
      </c>
      <c r="R114" s="110">
        <f t="shared" si="177"/>
        <v>2219435</v>
      </c>
      <c r="S114" s="110">
        <f t="shared" si="177"/>
        <v>2325864</v>
      </c>
      <c r="T114" s="110">
        <f t="shared" si="177"/>
        <v>2414046</v>
      </c>
      <c r="U114" s="110">
        <f t="shared" si="177"/>
        <v>2418696</v>
      </c>
      <c r="V114" s="110">
        <f t="shared" si="177"/>
        <v>1937961</v>
      </c>
      <c r="W114" s="110">
        <f t="shared" ref="W114" si="178">SUM(W115:W120)</f>
        <v>2097894</v>
      </c>
      <c r="DA114" s="176" t="s">
        <v>528</v>
      </c>
    </row>
    <row r="115" spans="1:105" ht="11.45" customHeight="1" x14ac:dyDescent="0.25">
      <c r="A115" s="111" t="s">
        <v>110</v>
      </c>
      <c r="B115" s="84">
        <v>1080849</v>
      </c>
      <c r="C115" s="84">
        <v>966844</v>
      </c>
      <c r="D115" s="84">
        <v>790138</v>
      </c>
      <c r="E115" s="84">
        <v>655332</v>
      </c>
      <c r="F115" s="84">
        <v>620784</v>
      </c>
      <c r="G115" s="84">
        <v>638752.00000000023</v>
      </c>
      <c r="H115" s="84">
        <v>572838</v>
      </c>
      <c r="I115" s="84">
        <v>538623</v>
      </c>
      <c r="J115" s="84">
        <v>431337</v>
      </c>
      <c r="K115" s="84">
        <v>645250</v>
      </c>
      <c r="L115" s="84">
        <v>590071</v>
      </c>
      <c r="M115" s="84">
        <v>599265</v>
      </c>
      <c r="N115" s="84">
        <v>530542</v>
      </c>
      <c r="O115" s="84">
        <v>625803</v>
      </c>
      <c r="P115" s="84">
        <v>677504</v>
      </c>
      <c r="Q115" s="84">
        <v>839442</v>
      </c>
      <c r="R115" s="84">
        <v>1015348</v>
      </c>
      <c r="S115" s="84">
        <v>1184725</v>
      </c>
      <c r="T115" s="84">
        <v>1418861</v>
      </c>
      <c r="U115" s="84">
        <v>1509980</v>
      </c>
      <c r="V115" s="84">
        <v>1117052</v>
      </c>
      <c r="W115" s="84">
        <v>1260927</v>
      </c>
      <c r="DA115" s="171" t="s">
        <v>529</v>
      </c>
    </row>
    <row r="116" spans="1:105" ht="11.45" customHeight="1" x14ac:dyDescent="0.25">
      <c r="A116" s="111" t="s">
        <v>111</v>
      </c>
      <c r="B116" s="84">
        <v>1046485</v>
      </c>
      <c r="C116" s="84">
        <v>1267761</v>
      </c>
      <c r="D116" s="84">
        <v>1354933</v>
      </c>
      <c r="E116" s="84">
        <v>1353914</v>
      </c>
      <c r="F116" s="84">
        <v>1392925</v>
      </c>
      <c r="G116" s="84">
        <v>1429037</v>
      </c>
      <c r="H116" s="84">
        <v>1427697</v>
      </c>
      <c r="I116" s="84">
        <v>1525439</v>
      </c>
      <c r="J116" s="84">
        <v>1584438</v>
      </c>
      <c r="K116" s="84">
        <v>1598535</v>
      </c>
      <c r="L116" s="84">
        <v>1593402</v>
      </c>
      <c r="M116" s="84">
        <v>2004071</v>
      </c>
      <c r="N116" s="84">
        <v>1417436</v>
      </c>
      <c r="O116" s="84">
        <v>1246310</v>
      </c>
      <c r="P116" s="84">
        <v>1187395</v>
      </c>
      <c r="Q116" s="84">
        <v>1201315</v>
      </c>
      <c r="R116" s="84">
        <v>1171962</v>
      </c>
      <c r="S116" s="84">
        <v>1101716</v>
      </c>
      <c r="T116" s="84">
        <v>944510</v>
      </c>
      <c r="U116" s="84">
        <v>843157</v>
      </c>
      <c r="V116" s="84">
        <v>613649</v>
      </c>
      <c r="W116" s="84">
        <v>479517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20127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31455</v>
      </c>
      <c r="K117" s="84">
        <v>24821</v>
      </c>
      <c r="L117" s="84">
        <v>75405</v>
      </c>
      <c r="M117" s="84">
        <v>32879</v>
      </c>
      <c r="N117" s="84">
        <v>2185</v>
      </c>
      <c r="O117" s="84">
        <v>2647</v>
      </c>
      <c r="P117" s="84">
        <v>2154</v>
      </c>
      <c r="Q117" s="84">
        <v>1422</v>
      </c>
      <c r="R117" s="84">
        <v>544</v>
      </c>
      <c r="S117" s="84">
        <v>942</v>
      </c>
      <c r="T117" s="84">
        <v>2163</v>
      </c>
      <c r="U117" s="84">
        <v>2748</v>
      </c>
      <c r="V117" s="84">
        <v>16450</v>
      </c>
      <c r="W117" s="84">
        <v>46414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475</v>
      </c>
      <c r="J118" s="84">
        <v>471</v>
      </c>
      <c r="K118" s="84">
        <v>393</v>
      </c>
      <c r="L118" s="84">
        <v>178</v>
      </c>
      <c r="M118" s="84">
        <v>170</v>
      </c>
      <c r="N118" s="84">
        <v>155</v>
      </c>
      <c r="O118" s="84">
        <v>106</v>
      </c>
      <c r="P118" s="84">
        <v>92</v>
      </c>
      <c r="Q118" s="84">
        <v>177</v>
      </c>
      <c r="R118" s="84">
        <v>1208</v>
      </c>
      <c r="S118" s="84">
        <v>237</v>
      </c>
      <c r="T118" s="84">
        <v>257</v>
      </c>
      <c r="U118" s="84">
        <v>353</v>
      </c>
      <c r="V118" s="84">
        <v>416</v>
      </c>
      <c r="W118" s="84">
        <v>473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668</v>
      </c>
      <c r="O119" s="84">
        <v>810</v>
      </c>
      <c r="P119" s="84">
        <v>1865</v>
      </c>
      <c r="Q119" s="84">
        <v>5726</v>
      </c>
      <c r="R119" s="84">
        <v>7362</v>
      </c>
      <c r="S119" s="84">
        <v>11735</v>
      </c>
      <c r="T119" s="84">
        <v>14285</v>
      </c>
      <c r="U119" s="84">
        <v>18697</v>
      </c>
      <c r="V119" s="84">
        <v>75839</v>
      </c>
      <c r="W119" s="84">
        <v>141686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14</v>
      </c>
      <c r="I120" s="84">
        <v>6</v>
      </c>
      <c r="J120" s="84">
        <v>2582</v>
      </c>
      <c r="K120" s="84">
        <v>12</v>
      </c>
      <c r="L120" s="84">
        <v>152</v>
      </c>
      <c r="M120" s="84">
        <v>2700</v>
      </c>
      <c r="N120" s="84">
        <v>5663</v>
      </c>
      <c r="O120" s="84">
        <v>8875</v>
      </c>
      <c r="P120" s="84">
        <v>11338</v>
      </c>
      <c r="Q120" s="84">
        <v>19736</v>
      </c>
      <c r="R120" s="84">
        <v>23011</v>
      </c>
      <c r="S120" s="84">
        <v>26509</v>
      </c>
      <c r="T120" s="84">
        <v>33970</v>
      </c>
      <c r="U120" s="84">
        <v>43761</v>
      </c>
      <c r="V120" s="84">
        <v>114555</v>
      </c>
      <c r="W120" s="84">
        <v>168877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5187</v>
      </c>
      <c r="C121" s="110">
        <f t="shared" si="179"/>
        <v>5676</v>
      </c>
      <c r="D121" s="110">
        <f t="shared" si="179"/>
        <v>5363</v>
      </c>
      <c r="E121" s="110">
        <f t="shared" si="179"/>
        <v>4984</v>
      </c>
      <c r="F121" s="110">
        <f t="shared" si="179"/>
        <v>4866</v>
      </c>
      <c r="G121" s="110">
        <f t="shared" si="179"/>
        <v>5442</v>
      </c>
      <c r="H121" s="110">
        <f t="shared" si="179"/>
        <v>5850</v>
      </c>
      <c r="I121" s="110">
        <f t="shared" si="179"/>
        <v>6176</v>
      </c>
      <c r="J121" s="110">
        <f t="shared" si="179"/>
        <v>6743</v>
      </c>
      <c r="K121" s="110">
        <f t="shared" si="179"/>
        <v>7434</v>
      </c>
      <c r="L121" s="110">
        <f t="shared" ref="L121" si="180">SUM(L122:L126)</f>
        <v>5900</v>
      </c>
      <c r="M121" s="110">
        <f t="shared" ref="M121:V121" si="181">SUM(M122:M126)</f>
        <v>6800</v>
      </c>
      <c r="N121" s="110">
        <f t="shared" si="181"/>
        <v>6574</v>
      </c>
      <c r="O121" s="110">
        <f t="shared" si="181"/>
        <v>7633</v>
      </c>
      <c r="P121" s="110">
        <f t="shared" si="181"/>
        <v>7133</v>
      </c>
      <c r="Q121" s="110">
        <f t="shared" si="181"/>
        <v>7344</v>
      </c>
      <c r="R121" s="110">
        <f t="shared" si="181"/>
        <v>7303</v>
      </c>
      <c r="S121" s="110">
        <f t="shared" si="181"/>
        <v>7379</v>
      </c>
      <c r="T121" s="110">
        <f t="shared" si="181"/>
        <v>7974</v>
      </c>
      <c r="U121" s="110">
        <f t="shared" si="181"/>
        <v>8871</v>
      </c>
      <c r="V121" s="110">
        <f t="shared" si="181"/>
        <v>10721</v>
      </c>
      <c r="W121" s="110">
        <f t="shared" ref="W121" si="182">SUM(W122:W126)</f>
        <v>11445</v>
      </c>
      <c r="DA121" s="176" t="s">
        <v>535</v>
      </c>
    </row>
    <row r="122" spans="1:105" ht="11.45" customHeight="1" x14ac:dyDescent="0.25">
      <c r="A122" s="111" t="s">
        <v>110</v>
      </c>
      <c r="B122" s="102">
        <v>3</v>
      </c>
      <c r="C122" s="102">
        <v>5</v>
      </c>
      <c r="D122" s="102">
        <v>4</v>
      </c>
      <c r="E122" s="102">
        <v>1</v>
      </c>
      <c r="F122" s="102">
        <v>1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1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2</v>
      </c>
      <c r="V122" s="102">
        <v>3</v>
      </c>
      <c r="W122" s="102">
        <v>11</v>
      </c>
      <c r="DA122" s="175" t="s">
        <v>536</v>
      </c>
    </row>
    <row r="123" spans="1:105" ht="11.45" customHeight="1" x14ac:dyDescent="0.25">
      <c r="A123" s="111" t="s">
        <v>111</v>
      </c>
      <c r="B123" s="102">
        <v>5126</v>
      </c>
      <c r="C123" s="102">
        <v>5177</v>
      </c>
      <c r="D123" s="102">
        <v>5276</v>
      </c>
      <c r="E123" s="102">
        <v>4742</v>
      </c>
      <c r="F123" s="102">
        <v>4691</v>
      </c>
      <c r="G123" s="102">
        <v>5328</v>
      </c>
      <c r="H123" s="102">
        <v>5675</v>
      </c>
      <c r="I123" s="102">
        <v>5963</v>
      </c>
      <c r="J123" s="102">
        <v>6510</v>
      </c>
      <c r="K123" s="102">
        <v>7428</v>
      </c>
      <c r="L123" s="102">
        <v>5900</v>
      </c>
      <c r="M123" s="102">
        <v>4600</v>
      </c>
      <c r="N123" s="102">
        <v>5959</v>
      </c>
      <c r="O123" s="102">
        <v>6942</v>
      </c>
      <c r="P123" s="102">
        <v>6644</v>
      </c>
      <c r="Q123" s="102">
        <v>7185</v>
      </c>
      <c r="R123" s="102">
        <v>7132</v>
      </c>
      <c r="S123" s="102">
        <v>6837</v>
      </c>
      <c r="T123" s="102">
        <v>6885</v>
      </c>
      <c r="U123" s="102">
        <v>6834</v>
      </c>
      <c r="V123" s="102">
        <v>7007</v>
      </c>
      <c r="W123" s="102">
        <v>6859</v>
      </c>
      <c r="DA123" s="175" t="s">
        <v>537</v>
      </c>
    </row>
    <row r="124" spans="1:105" ht="11.45" customHeight="1" x14ac:dyDescent="0.25">
      <c r="A124" s="111" t="s">
        <v>112</v>
      </c>
      <c r="B124" s="102">
        <v>28</v>
      </c>
      <c r="C124" s="102">
        <v>28</v>
      </c>
      <c r="D124" s="102">
        <v>1</v>
      </c>
      <c r="E124" s="102">
        <v>10</v>
      </c>
      <c r="F124" s="102">
        <v>6</v>
      </c>
      <c r="G124" s="102">
        <v>7</v>
      </c>
      <c r="H124" s="102">
        <v>1</v>
      </c>
      <c r="I124" s="102">
        <v>36</v>
      </c>
      <c r="J124" s="102">
        <v>0</v>
      </c>
      <c r="K124" s="102">
        <v>2</v>
      </c>
      <c r="L124" s="102">
        <v>0</v>
      </c>
      <c r="M124" s="102">
        <v>0</v>
      </c>
      <c r="N124" s="102">
        <v>1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443</v>
      </c>
      <c r="D125" s="102">
        <v>56</v>
      </c>
      <c r="E125" s="102">
        <v>208</v>
      </c>
      <c r="F125" s="102">
        <v>145</v>
      </c>
      <c r="G125" s="102">
        <v>100</v>
      </c>
      <c r="H125" s="102">
        <v>170</v>
      </c>
      <c r="I125" s="102">
        <v>173</v>
      </c>
      <c r="J125" s="102">
        <v>229</v>
      </c>
      <c r="K125" s="102">
        <v>4</v>
      </c>
      <c r="L125" s="102">
        <v>0</v>
      </c>
      <c r="M125" s="102">
        <v>2200</v>
      </c>
      <c r="N125" s="102">
        <v>584</v>
      </c>
      <c r="O125" s="102">
        <v>589</v>
      </c>
      <c r="P125" s="102">
        <v>446</v>
      </c>
      <c r="Q125" s="102">
        <v>108</v>
      </c>
      <c r="R125" s="102">
        <v>91</v>
      </c>
      <c r="S125" s="102">
        <v>438</v>
      </c>
      <c r="T125" s="102">
        <v>997</v>
      </c>
      <c r="U125" s="102">
        <v>1750</v>
      </c>
      <c r="V125" s="102">
        <v>3537</v>
      </c>
      <c r="W125" s="102">
        <v>3912</v>
      </c>
      <c r="DA125" s="175" t="s">
        <v>539</v>
      </c>
    </row>
    <row r="126" spans="1:105" ht="11.45" customHeight="1" x14ac:dyDescent="0.25">
      <c r="A126" s="111" t="s">
        <v>115</v>
      </c>
      <c r="B126" s="102">
        <v>30</v>
      </c>
      <c r="C126" s="102">
        <v>23</v>
      </c>
      <c r="D126" s="102">
        <v>26</v>
      </c>
      <c r="E126" s="102">
        <v>23</v>
      </c>
      <c r="F126" s="102">
        <v>23</v>
      </c>
      <c r="G126" s="102">
        <v>7</v>
      </c>
      <c r="H126" s="102">
        <v>4</v>
      </c>
      <c r="I126" s="102">
        <v>4</v>
      </c>
      <c r="J126" s="102">
        <v>4</v>
      </c>
      <c r="K126" s="102">
        <v>0</v>
      </c>
      <c r="L126" s="102">
        <v>0</v>
      </c>
      <c r="M126" s="102">
        <v>0</v>
      </c>
      <c r="N126" s="102">
        <v>29</v>
      </c>
      <c r="O126" s="102">
        <v>102</v>
      </c>
      <c r="P126" s="102">
        <v>43</v>
      </c>
      <c r="Q126" s="102">
        <v>51</v>
      </c>
      <c r="R126" s="102">
        <v>80</v>
      </c>
      <c r="S126" s="102">
        <v>103</v>
      </c>
      <c r="T126" s="102">
        <v>92</v>
      </c>
      <c r="U126" s="102">
        <v>285</v>
      </c>
      <c r="V126" s="102">
        <v>174</v>
      </c>
      <c r="W126" s="102">
        <v>663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452651</v>
      </c>
      <c r="C127" s="28">
        <f t="shared" si="183"/>
        <v>471929</v>
      </c>
      <c r="D127" s="28">
        <f t="shared" si="183"/>
        <v>437376</v>
      </c>
      <c r="E127" s="28">
        <f t="shared" si="183"/>
        <v>420736</v>
      </c>
      <c r="F127" s="28">
        <f t="shared" si="183"/>
        <v>479273</v>
      </c>
      <c r="G127" s="28">
        <f t="shared" si="183"/>
        <v>463838</v>
      </c>
      <c r="H127" s="28">
        <f t="shared" si="183"/>
        <v>475169</v>
      </c>
      <c r="I127" s="28">
        <f t="shared" si="183"/>
        <v>494470</v>
      </c>
      <c r="J127" s="28">
        <f t="shared" si="183"/>
        <v>490136</v>
      </c>
      <c r="K127" s="28">
        <f t="shared" si="183"/>
        <v>470220</v>
      </c>
      <c r="L127" s="28">
        <f t="shared" ref="L127" si="184">L128+L134</f>
        <v>474192</v>
      </c>
      <c r="M127" s="28">
        <f t="shared" ref="M127:V127" si="185">M128+M134</f>
        <v>450099</v>
      </c>
      <c r="N127" s="28">
        <f t="shared" si="185"/>
        <v>462000</v>
      </c>
      <c r="O127" s="28">
        <f t="shared" si="185"/>
        <v>502843</v>
      </c>
      <c r="P127" s="28">
        <f t="shared" si="185"/>
        <v>575578</v>
      </c>
      <c r="Q127" s="28">
        <f t="shared" si="185"/>
        <v>532673</v>
      </c>
      <c r="R127" s="28">
        <f t="shared" si="185"/>
        <v>483814</v>
      </c>
      <c r="S127" s="28">
        <f t="shared" si="185"/>
        <v>447742</v>
      </c>
      <c r="T127" s="28">
        <f t="shared" si="185"/>
        <v>488262</v>
      </c>
      <c r="U127" s="28">
        <f t="shared" si="185"/>
        <v>477116</v>
      </c>
      <c r="V127" s="28">
        <f t="shared" si="185"/>
        <v>404489</v>
      </c>
      <c r="W127" s="28">
        <f t="shared" ref="W127" si="186">W128+W134</f>
        <v>426163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394454</v>
      </c>
      <c r="C128" s="137">
        <f t="shared" si="187"/>
        <v>411239</v>
      </c>
      <c r="D128" s="137">
        <f t="shared" si="187"/>
        <v>382489</v>
      </c>
      <c r="E128" s="137">
        <f t="shared" si="187"/>
        <v>372062</v>
      </c>
      <c r="F128" s="137">
        <f t="shared" si="187"/>
        <v>415172</v>
      </c>
      <c r="G128" s="137">
        <f t="shared" si="187"/>
        <v>402185</v>
      </c>
      <c r="H128" s="137">
        <f t="shared" si="187"/>
        <v>415658</v>
      </c>
      <c r="I128" s="137">
        <f t="shared" si="187"/>
        <v>435249</v>
      </c>
      <c r="J128" s="137">
        <f t="shared" si="187"/>
        <v>430402</v>
      </c>
      <c r="K128" s="137">
        <f t="shared" si="187"/>
        <v>438693</v>
      </c>
      <c r="L128" s="137">
        <f t="shared" ref="L128" si="188">SUM(L129:L133)</f>
        <v>432216</v>
      </c>
      <c r="M128" s="137">
        <f t="shared" ref="M128:V128" si="189">SUM(M129:M133)</f>
        <v>401715</v>
      </c>
      <c r="N128" s="137">
        <f t="shared" si="189"/>
        <v>414731</v>
      </c>
      <c r="O128" s="137">
        <f t="shared" si="189"/>
        <v>449485</v>
      </c>
      <c r="P128" s="137">
        <f t="shared" si="189"/>
        <v>531504</v>
      </c>
      <c r="Q128" s="137">
        <f t="shared" si="189"/>
        <v>482915</v>
      </c>
      <c r="R128" s="137">
        <f t="shared" si="189"/>
        <v>426429</v>
      </c>
      <c r="S128" s="137">
        <f t="shared" si="189"/>
        <v>386070</v>
      </c>
      <c r="T128" s="137">
        <f t="shared" si="189"/>
        <v>429477</v>
      </c>
      <c r="U128" s="137">
        <f t="shared" si="189"/>
        <v>412349</v>
      </c>
      <c r="V128" s="137">
        <f t="shared" si="189"/>
        <v>358507</v>
      </c>
      <c r="W128" s="137">
        <f t="shared" ref="W128" si="190">SUM(W129:W133)</f>
        <v>369718</v>
      </c>
      <c r="DA128" s="174" t="s">
        <v>542</v>
      </c>
    </row>
    <row r="129" spans="1:105" ht="11.45" customHeight="1" x14ac:dyDescent="0.25">
      <c r="A129" s="111" t="s">
        <v>110</v>
      </c>
      <c r="B129" s="84">
        <v>15104</v>
      </c>
      <c r="C129" s="84">
        <v>12705</v>
      </c>
      <c r="D129" s="84">
        <v>9481</v>
      </c>
      <c r="E129" s="84">
        <v>6995</v>
      </c>
      <c r="F129" s="84">
        <v>6749</v>
      </c>
      <c r="G129" s="84">
        <v>6275</v>
      </c>
      <c r="H129" s="84">
        <v>5374</v>
      </c>
      <c r="I129" s="84">
        <v>4575</v>
      </c>
      <c r="J129" s="84">
        <v>3969</v>
      </c>
      <c r="K129" s="84">
        <v>4829</v>
      </c>
      <c r="L129" s="84">
        <v>24399</v>
      </c>
      <c r="M129" s="84">
        <v>27578</v>
      </c>
      <c r="N129" s="84">
        <v>34973</v>
      </c>
      <c r="O129" s="84">
        <v>30529</v>
      </c>
      <c r="P129" s="84">
        <v>3787</v>
      </c>
      <c r="Q129" s="84">
        <v>3899</v>
      </c>
      <c r="R129" s="84">
        <v>2876</v>
      </c>
      <c r="S129" s="84">
        <v>4632</v>
      </c>
      <c r="T129" s="84">
        <v>7575</v>
      </c>
      <c r="U129" s="84">
        <v>7465</v>
      </c>
      <c r="V129" s="84">
        <v>5568</v>
      </c>
      <c r="W129" s="84">
        <v>2102</v>
      </c>
      <c r="DA129" s="171" t="s">
        <v>543</v>
      </c>
    </row>
    <row r="130" spans="1:105" ht="11.45" customHeight="1" x14ac:dyDescent="0.25">
      <c r="A130" s="111" t="s">
        <v>111</v>
      </c>
      <c r="B130" s="84">
        <v>375534</v>
      </c>
      <c r="C130" s="84">
        <v>395934</v>
      </c>
      <c r="D130" s="84">
        <v>371128</v>
      </c>
      <c r="E130" s="84">
        <v>363195</v>
      </c>
      <c r="F130" s="84">
        <v>406453</v>
      </c>
      <c r="G130" s="84">
        <v>394206</v>
      </c>
      <c r="H130" s="84">
        <v>407668</v>
      </c>
      <c r="I130" s="84">
        <v>429755</v>
      </c>
      <c r="J130" s="84">
        <v>425585</v>
      </c>
      <c r="K130" s="84">
        <v>431613</v>
      </c>
      <c r="L130" s="84">
        <v>406817</v>
      </c>
      <c r="M130" s="84">
        <v>371493</v>
      </c>
      <c r="N130" s="84">
        <v>375629</v>
      </c>
      <c r="O130" s="84">
        <v>413296</v>
      </c>
      <c r="P130" s="84">
        <v>522759</v>
      </c>
      <c r="Q130" s="84">
        <v>473848</v>
      </c>
      <c r="R130" s="84">
        <v>416108</v>
      </c>
      <c r="S130" s="84">
        <v>375804</v>
      </c>
      <c r="T130" s="84">
        <v>404620</v>
      </c>
      <c r="U130" s="84">
        <v>396088</v>
      </c>
      <c r="V130" s="84">
        <v>337094</v>
      </c>
      <c r="W130" s="84">
        <v>354496</v>
      </c>
      <c r="DA130" s="171" t="s">
        <v>544</v>
      </c>
    </row>
    <row r="131" spans="1:105" ht="11.45" customHeight="1" x14ac:dyDescent="0.25">
      <c r="A131" s="111" t="s">
        <v>112</v>
      </c>
      <c r="B131" s="84">
        <v>3009</v>
      </c>
      <c r="C131" s="84">
        <v>1885</v>
      </c>
      <c r="D131" s="84">
        <v>1530</v>
      </c>
      <c r="E131" s="84">
        <v>1433</v>
      </c>
      <c r="F131" s="84">
        <v>1576</v>
      </c>
      <c r="G131" s="84">
        <v>1438</v>
      </c>
      <c r="H131" s="84">
        <v>1919</v>
      </c>
      <c r="I131" s="84">
        <v>454</v>
      </c>
      <c r="J131" s="84">
        <v>332</v>
      </c>
      <c r="K131" s="84">
        <v>1429</v>
      </c>
      <c r="L131" s="84">
        <v>0</v>
      </c>
      <c r="M131" s="84">
        <v>0</v>
      </c>
      <c r="N131" s="84">
        <v>27</v>
      </c>
      <c r="O131" s="84">
        <v>90</v>
      </c>
      <c r="P131" s="84">
        <v>120</v>
      </c>
      <c r="Q131" s="84">
        <v>95</v>
      </c>
      <c r="R131" s="84">
        <v>8</v>
      </c>
      <c r="S131" s="84">
        <v>6</v>
      </c>
      <c r="T131" s="84">
        <v>13</v>
      </c>
      <c r="U131" s="84">
        <v>16</v>
      </c>
      <c r="V131" s="84">
        <v>5888</v>
      </c>
      <c r="W131" s="84">
        <v>195</v>
      </c>
      <c r="DA131" s="171" t="s">
        <v>545</v>
      </c>
    </row>
    <row r="132" spans="1:105" ht="11.45" customHeight="1" x14ac:dyDescent="0.25">
      <c r="A132" s="111" t="s">
        <v>113</v>
      </c>
      <c r="B132" s="84">
        <v>2</v>
      </c>
      <c r="C132" s="84">
        <v>0</v>
      </c>
      <c r="D132" s="84">
        <v>7</v>
      </c>
      <c r="E132" s="84">
        <v>204</v>
      </c>
      <c r="F132" s="84">
        <v>9</v>
      </c>
      <c r="G132" s="84">
        <v>3</v>
      </c>
      <c r="H132" s="84">
        <v>439</v>
      </c>
      <c r="I132" s="84">
        <v>14</v>
      </c>
      <c r="J132" s="84">
        <v>49</v>
      </c>
      <c r="K132" s="84">
        <v>219</v>
      </c>
      <c r="L132" s="84">
        <v>247</v>
      </c>
      <c r="M132" s="84">
        <v>295</v>
      </c>
      <c r="N132" s="84">
        <v>451</v>
      </c>
      <c r="O132" s="84">
        <v>482</v>
      </c>
      <c r="P132" s="84">
        <v>380</v>
      </c>
      <c r="Q132" s="84">
        <v>337</v>
      </c>
      <c r="R132" s="84">
        <v>403</v>
      </c>
      <c r="S132" s="84">
        <v>487</v>
      </c>
      <c r="T132" s="84">
        <v>3797</v>
      </c>
      <c r="U132" s="84">
        <v>649</v>
      </c>
      <c r="V132" s="84">
        <v>746</v>
      </c>
      <c r="W132" s="84">
        <v>1105</v>
      </c>
      <c r="DA132" s="171" t="s">
        <v>546</v>
      </c>
    </row>
    <row r="133" spans="1:105" ht="11.45" customHeight="1" x14ac:dyDescent="0.25">
      <c r="A133" s="111" t="s">
        <v>115</v>
      </c>
      <c r="B133" s="84">
        <v>805</v>
      </c>
      <c r="C133" s="84">
        <v>715</v>
      </c>
      <c r="D133" s="84">
        <v>343</v>
      </c>
      <c r="E133" s="84">
        <v>235</v>
      </c>
      <c r="F133" s="84">
        <v>385</v>
      </c>
      <c r="G133" s="84">
        <v>263</v>
      </c>
      <c r="H133" s="84">
        <v>258</v>
      </c>
      <c r="I133" s="84">
        <v>451</v>
      </c>
      <c r="J133" s="84">
        <v>467</v>
      </c>
      <c r="K133" s="84">
        <v>603</v>
      </c>
      <c r="L133" s="84">
        <v>753</v>
      </c>
      <c r="M133" s="84">
        <v>2349</v>
      </c>
      <c r="N133" s="84">
        <v>3651</v>
      </c>
      <c r="O133" s="84">
        <v>5088</v>
      </c>
      <c r="P133" s="84">
        <v>4458</v>
      </c>
      <c r="Q133" s="84">
        <v>4736</v>
      </c>
      <c r="R133" s="84">
        <v>7034</v>
      </c>
      <c r="S133" s="84">
        <v>5141</v>
      </c>
      <c r="T133" s="84">
        <v>13472</v>
      </c>
      <c r="U133" s="84">
        <v>8131</v>
      </c>
      <c r="V133" s="84">
        <v>9211</v>
      </c>
      <c r="W133" s="84">
        <v>11820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58197</v>
      </c>
      <c r="C134" s="110">
        <f t="shared" si="191"/>
        <v>60690</v>
      </c>
      <c r="D134" s="110">
        <f t="shared" si="191"/>
        <v>54887</v>
      </c>
      <c r="E134" s="110">
        <f t="shared" si="191"/>
        <v>48674</v>
      </c>
      <c r="F134" s="110">
        <f t="shared" si="191"/>
        <v>64101</v>
      </c>
      <c r="G134" s="110">
        <f t="shared" si="191"/>
        <v>61653</v>
      </c>
      <c r="H134" s="110">
        <f t="shared" si="191"/>
        <v>59511</v>
      </c>
      <c r="I134" s="110">
        <f t="shared" si="191"/>
        <v>59221</v>
      </c>
      <c r="J134" s="110">
        <f t="shared" si="191"/>
        <v>59734</v>
      </c>
      <c r="K134" s="110">
        <f t="shared" si="191"/>
        <v>31527</v>
      </c>
      <c r="L134" s="110">
        <f t="shared" ref="L134" si="192">SUM(L135:L136)</f>
        <v>41976</v>
      </c>
      <c r="M134" s="110">
        <f t="shared" ref="M134:V134" si="193">SUM(M135:M136)</f>
        <v>48384</v>
      </c>
      <c r="N134" s="110">
        <f t="shared" si="193"/>
        <v>47269</v>
      </c>
      <c r="O134" s="110">
        <f t="shared" si="193"/>
        <v>53358</v>
      </c>
      <c r="P134" s="110">
        <f t="shared" si="193"/>
        <v>44074</v>
      </c>
      <c r="Q134" s="110">
        <f t="shared" si="193"/>
        <v>49758</v>
      </c>
      <c r="R134" s="110">
        <f t="shared" si="193"/>
        <v>57385</v>
      </c>
      <c r="S134" s="110">
        <f t="shared" si="193"/>
        <v>61672</v>
      </c>
      <c r="T134" s="110">
        <f t="shared" si="193"/>
        <v>58785</v>
      </c>
      <c r="U134" s="110">
        <f t="shared" si="193"/>
        <v>64767</v>
      </c>
      <c r="V134" s="110">
        <f t="shared" si="193"/>
        <v>45982</v>
      </c>
      <c r="W134" s="110">
        <f t="shared" ref="W134" si="194">SUM(W135:W136)</f>
        <v>56445</v>
      </c>
      <c r="DA134" s="176" t="s">
        <v>548</v>
      </c>
    </row>
    <row r="135" spans="1:105" ht="11.45" customHeight="1" x14ac:dyDescent="0.25">
      <c r="A135" s="128" t="s">
        <v>27</v>
      </c>
      <c r="B135" s="102">
        <v>51216</v>
      </c>
      <c r="C135" s="102">
        <v>50753</v>
      </c>
      <c r="D135" s="102">
        <v>45136</v>
      </c>
      <c r="E135" s="102">
        <v>40159</v>
      </c>
      <c r="F135" s="102">
        <v>41834</v>
      </c>
      <c r="G135" s="102">
        <v>49820</v>
      </c>
      <c r="H135" s="102">
        <v>47575</v>
      </c>
      <c r="I135" s="102">
        <v>47275</v>
      </c>
      <c r="J135" s="102">
        <v>51727</v>
      </c>
      <c r="K135" s="102">
        <v>31527</v>
      </c>
      <c r="L135" s="102">
        <v>30385</v>
      </c>
      <c r="M135" s="102">
        <v>42982</v>
      </c>
      <c r="N135" s="102">
        <v>39514</v>
      </c>
      <c r="O135" s="102">
        <v>39289</v>
      </c>
      <c r="P135" s="102">
        <v>33928</v>
      </c>
      <c r="Q135" s="102">
        <v>38042</v>
      </c>
      <c r="R135" s="102">
        <v>43175</v>
      </c>
      <c r="S135" s="102">
        <v>46062</v>
      </c>
      <c r="T135" s="102">
        <v>49425</v>
      </c>
      <c r="U135" s="102">
        <v>50251</v>
      </c>
      <c r="V135" s="102">
        <v>38337</v>
      </c>
      <c r="W135" s="102">
        <v>38579</v>
      </c>
      <c r="DA135" s="175" t="s">
        <v>549</v>
      </c>
    </row>
    <row r="136" spans="1:105" ht="11.45" customHeight="1" x14ac:dyDescent="0.25">
      <c r="A136" s="138" t="s">
        <v>116</v>
      </c>
      <c r="B136" s="86">
        <v>6981</v>
      </c>
      <c r="C136" s="86">
        <v>9937</v>
      </c>
      <c r="D136" s="86">
        <v>9751</v>
      </c>
      <c r="E136" s="86">
        <v>8515</v>
      </c>
      <c r="F136" s="86">
        <v>22267</v>
      </c>
      <c r="G136" s="86">
        <v>11833</v>
      </c>
      <c r="H136" s="86">
        <v>11936</v>
      </c>
      <c r="I136" s="86">
        <v>11946</v>
      </c>
      <c r="J136" s="86">
        <v>8007</v>
      </c>
      <c r="K136" s="86">
        <v>0</v>
      </c>
      <c r="L136" s="86">
        <v>11591</v>
      </c>
      <c r="M136" s="86">
        <v>5402</v>
      </c>
      <c r="N136" s="86">
        <v>7755</v>
      </c>
      <c r="O136" s="86">
        <v>14069</v>
      </c>
      <c r="P136" s="86">
        <v>10146</v>
      </c>
      <c r="Q136" s="86">
        <v>11716</v>
      </c>
      <c r="R136" s="86">
        <v>14210</v>
      </c>
      <c r="S136" s="86">
        <v>15610</v>
      </c>
      <c r="T136" s="86">
        <v>9360</v>
      </c>
      <c r="U136" s="86">
        <v>14516</v>
      </c>
      <c r="V136" s="86">
        <v>7645</v>
      </c>
      <c r="W136" s="86">
        <v>17866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2.3605146142071036</v>
      </c>
      <c r="C141" s="32">
        <f t="shared" si="195"/>
        <v>2.2948004891093707</v>
      </c>
      <c r="D141" s="32">
        <f t="shared" si="195"/>
        <v>2.2613874059506553</v>
      </c>
      <c r="E141" s="32">
        <f t="shared" si="195"/>
        <v>2.259676824816943</v>
      </c>
      <c r="F141" s="32">
        <f t="shared" si="195"/>
        <v>2.2338612139419429</v>
      </c>
      <c r="G141" s="32">
        <f t="shared" si="195"/>
        <v>2.2045283421460624</v>
      </c>
      <c r="H141" s="32">
        <f t="shared" si="195"/>
        <v>2.1563309466953364</v>
      </c>
      <c r="I141" s="32">
        <f t="shared" si="195"/>
        <v>2.1164187915307902</v>
      </c>
      <c r="J141" s="32">
        <f t="shared" si="195"/>
        <v>2.091791858846594</v>
      </c>
      <c r="K141" s="32">
        <f t="shared" si="195"/>
        <v>2.0389839279728941</v>
      </c>
      <c r="L141" s="32">
        <f t="shared" ref="L141" si="196">IF(L4=0,0,L4/L31)</f>
        <v>2.0388082863981833</v>
      </c>
      <c r="M141" s="32">
        <f t="shared" ref="M141:V141" si="197">IF(M4=0,0,M4/M31)</f>
        <v>1.987254179227117</v>
      </c>
      <c r="N141" s="32">
        <f t="shared" si="197"/>
        <v>2.0920776830595984</v>
      </c>
      <c r="O141" s="32">
        <f t="shared" si="197"/>
        <v>2.0955004260521277</v>
      </c>
      <c r="P141" s="32">
        <f t="shared" si="197"/>
        <v>2.0633143900994968</v>
      </c>
      <c r="Q141" s="32">
        <f t="shared" si="197"/>
        <v>2.0329146347486624</v>
      </c>
      <c r="R141" s="32">
        <f t="shared" si="197"/>
        <v>2.0182352143221123</v>
      </c>
      <c r="S141" s="32">
        <f t="shared" si="197"/>
        <v>2.0025459503634537</v>
      </c>
      <c r="T141" s="32">
        <f t="shared" si="197"/>
        <v>2.0190932323996944</v>
      </c>
      <c r="U141" s="32">
        <f t="shared" si="197"/>
        <v>1.9662782241390298</v>
      </c>
      <c r="V141" s="32">
        <f t="shared" si="197"/>
        <v>1.8300209024161285</v>
      </c>
      <c r="W141" s="32">
        <f t="shared" ref="W141" si="198">IF(W4=0,0,W4/W31)</f>
        <v>1.8225058869902457</v>
      </c>
      <c r="DA141" s="173" t="s">
        <v>551</v>
      </c>
    </row>
    <row r="142" spans="1:105" ht="11.45" customHeight="1" x14ac:dyDescent="0.25">
      <c r="A142" s="136" t="s">
        <v>180</v>
      </c>
      <c r="B142" s="141">
        <v>1.1560001950974679</v>
      </c>
      <c r="C142" s="141">
        <v>1.1557921760123593</v>
      </c>
      <c r="D142" s="141">
        <v>1.1553848507267381</v>
      </c>
      <c r="E142" s="141">
        <v>1.1681427906391708</v>
      </c>
      <c r="F142" s="141">
        <v>1.1584424004402762</v>
      </c>
      <c r="G142" s="141">
        <v>1.1756372860358428</v>
      </c>
      <c r="H142" s="141">
        <v>1.1652985881743239</v>
      </c>
      <c r="I142" s="141">
        <v>1.1684836738057238</v>
      </c>
      <c r="J142" s="141">
        <v>1.1652883406547185</v>
      </c>
      <c r="K142" s="141">
        <v>1.1588343476392009</v>
      </c>
      <c r="L142" s="141">
        <v>1.1501948968670375</v>
      </c>
      <c r="M142" s="141">
        <v>1.1778326219679662</v>
      </c>
      <c r="N142" s="141">
        <v>1.1344006223105609</v>
      </c>
      <c r="O142" s="141">
        <v>1.123150935912385</v>
      </c>
      <c r="P142" s="141">
        <v>1.1246530458295769</v>
      </c>
      <c r="Q142" s="141">
        <v>1.1207012142398518</v>
      </c>
      <c r="R142" s="141">
        <v>1.1207344714842646</v>
      </c>
      <c r="S142" s="141">
        <v>1.1193937393403111</v>
      </c>
      <c r="T142" s="141">
        <v>1.1180779551192117</v>
      </c>
      <c r="U142" s="141">
        <v>1.118993234219323</v>
      </c>
      <c r="V142" s="141">
        <v>1.1171963718143254</v>
      </c>
      <c r="W142" s="141">
        <v>1.1172499374905258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2.2593072613221339</v>
      </c>
      <c r="C143" s="130">
        <f t="shared" si="199"/>
        <v>2.2047068491250128</v>
      </c>
      <c r="D143" s="130">
        <f t="shared" si="199"/>
        <v>2.174324625613711</v>
      </c>
      <c r="E143" s="130">
        <f t="shared" si="199"/>
        <v>2.1712234766298399</v>
      </c>
      <c r="F143" s="130">
        <f t="shared" si="199"/>
        <v>2.1456340947941719</v>
      </c>
      <c r="G143" s="130">
        <f t="shared" si="199"/>
        <v>2.1151171102954578</v>
      </c>
      <c r="H143" s="130">
        <f t="shared" si="199"/>
        <v>2.0610572690090279</v>
      </c>
      <c r="I143" s="130">
        <f t="shared" si="199"/>
        <v>2.0217590230662599</v>
      </c>
      <c r="J143" s="130">
        <f t="shared" si="199"/>
        <v>1.9959879773697584</v>
      </c>
      <c r="K143" s="130">
        <f t="shared" si="199"/>
        <v>1.9451063749941087</v>
      </c>
      <c r="L143" s="130">
        <f t="shared" ref="L143" si="200">IF(L6=0,0,L6/L33)</f>
        <v>1.9431883940720127</v>
      </c>
      <c r="M143" s="130">
        <f t="shared" ref="M143:V143" si="201">IF(M6=0,0,M6/M33)</f>
        <v>1.8891832144832927</v>
      </c>
      <c r="N143" s="130">
        <f t="shared" si="201"/>
        <v>2.0033838123289547</v>
      </c>
      <c r="O143" s="130">
        <f t="shared" si="201"/>
        <v>2.0067923484237311</v>
      </c>
      <c r="P143" s="130">
        <f t="shared" si="201"/>
        <v>1.9734195902581078</v>
      </c>
      <c r="Q143" s="130">
        <f t="shared" si="201"/>
        <v>1.9430431278891596</v>
      </c>
      <c r="R143" s="130">
        <f t="shared" si="201"/>
        <v>1.9247995446584962</v>
      </c>
      <c r="S143" s="130">
        <f t="shared" si="201"/>
        <v>1.9075100528853062</v>
      </c>
      <c r="T143" s="130">
        <f t="shared" si="201"/>
        <v>1.922260616322784</v>
      </c>
      <c r="U143" s="130">
        <f t="shared" si="201"/>
        <v>1.8710368857347293</v>
      </c>
      <c r="V143" s="130">
        <f t="shared" si="201"/>
        <v>1.7634252691669223</v>
      </c>
      <c r="W143" s="130">
        <f t="shared" ref="W143" si="202">IF(W6=0,0,W6/W33)</f>
        <v>1.757907119661998</v>
      </c>
      <c r="DA143" s="176" t="s">
        <v>553</v>
      </c>
    </row>
    <row r="144" spans="1:105" ht="11.45" customHeight="1" x14ac:dyDescent="0.25">
      <c r="A144" s="111" t="s">
        <v>110</v>
      </c>
      <c r="B144" s="96">
        <v>2.2180676555315459</v>
      </c>
      <c r="C144" s="96">
        <v>2.1617028022129556</v>
      </c>
      <c r="D144" s="96">
        <v>2.1300274793730578</v>
      </c>
      <c r="E144" s="96">
        <v>2.124473406183037</v>
      </c>
      <c r="F144" s="96">
        <v>2.0975717810338748</v>
      </c>
      <c r="G144" s="96">
        <v>2.0659476162636743</v>
      </c>
      <c r="H144" s="96">
        <v>2.0107969820856999</v>
      </c>
      <c r="I144" s="96">
        <v>1.9702672678610438</v>
      </c>
      <c r="J144" s="96">
        <v>1.9430970041189028</v>
      </c>
      <c r="K144" s="96">
        <v>1.8923913261400311</v>
      </c>
      <c r="L144" s="96">
        <v>1.8888477795316247</v>
      </c>
      <c r="M144" s="96">
        <v>1.8357916677720851</v>
      </c>
      <c r="N144" s="96">
        <v>1.9454024268698731</v>
      </c>
      <c r="O144" s="96">
        <v>1.948201982140084</v>
      </c>
      <c r="P144" s="96">
        <v>1.9159116787923285</v>
      </c>
      <c r="Q144" s="96">
        <v>1.8868011175491979</v>
      </c>
      <c r="R144" s="96">
        <v>1.86990835480492</v>
      </c>
      <c r="S144" s="96">
        <v>1.8543053373636629</v>
      </c>
      <c r="T144" s="96">
        <v>1.870440790261291</v>
      </c>
      <c r="U144" s="96">
        <v>1.8225168282587196</v>
      </c>
      <c r="V144" s="96">
        <v>1.7193987604234824</v>
      </c>
      <c r="W144" s="96">
        <v>1.7168104520422449</v>
      </c>
      <c r="DA144" s="171" t="s">
        <v>554</v>
      </c>
    </row>
    <row r="145" spans="1:105" ht="11.45" customHeight="1" x14ac:dyDescent="0.25">
      <c r="A145" s="111" t="s">
        <v>111</v>
      </c>
      <c r="B145" s="96">
        <v>2.3063952990076366</v>
      </c>
      <c r="C145" s="96">
        <v>2.24778589076932</v>
      </c>
      <c r="D145" s="96">
        <v>2.2148491967463495</v>
      </c>
      <c r="E145" s="96">
        <v>2.209073949871502</v>
      </c>
      <c r="F145" s="96">
        <v>2.1811010511977575</v>
      </c>
      <c r="G145" s="96">
        <v>2.1482175524554461</v>
      </c>
      <c r="H145" s="96">
        <v>2.0908707158573145</v>
      </c>
      <c r="I145" s="96">
        <v>2.0487270318606834</v>
      </c>
      <c r="J145" s="96">
        <v>2.0204747968977901</v>
      </c>
      <c r="K145" s="96">
        <v>1.9677499230501343</v>
      </c>
      <c r="L145" s="96">
        <v>1.9640652657228157</v>
      </c>
      <c r="M145" s="96">
        <v>1.9088963593819039</v>
      </c>
      <c r="N145" s="96">
        <v>2.0228720259371311</v>
      </c>
      <c r="O145" s="96">
        <v>2.0257830647859336</v>
      </c>
      <c r="P145" s="96">
        <v>1.9922069005697232</v>
      </c>
      <c r="Q145" s="96">
        <v>1.961937101794563</v>
      </c>
      <c r="R145" s="96">
        <v>1.9443716373311641</v>
      </c>
      <c r="S145" s="96">
        <v>1.9281472782647922</v>
      </c>
      <c r="T145" s="96">
        <v>1.9449252753730593</v>
      </c>
      <c r="U145" s="96">
        <v>1.8950928906859188</v>
      </c>
      <c r="V145" s="96">
        <v>1.7878684666225566</v>
      </c>
      <c r="W145" s="96">
        <v>1.785177086912844</v>
      </c>
      <c r="DA145" s="171" t="s">
        <v>555</v>
      </c>
    </row>
    <row r="146" spans="1:105" ht="11.45" customHeight="1" x14ac:dyDescent="0.25">
      <c r="A146" s="111" t="s">
        <v>112</v>
      </c>
      <c r="B146" s="96">
        <v>2.19152804348247</v>
      </c>
      <c r="C146" s="96">
        <v>2.1385656436512628</v>
      </c>
      <c r="D146" s="96">
        <v>2.1090948868452997</v>
      </c>
      <c r="E146" s="96">
        <v>2.1060867723309449</v>
      </c>
      <c r="F146" s="96">
        <v>2.0812650719503472</v>
      </c>
      <c r="G146" s="96">
        <v>2.0516635969865944</v>
      </c>
      <c r="H146" s="96">
        <v>1.9992255509387575</v>
      </c>
      <c r="I146" s="96">
        <v>1.9611062523742724</v>
      </c>
      <c r="J146" s="96">
        <v>1.9361083380486659</v>
      </c>
      <c r="K146" s="96">
        <v>1.8867531837442857</v>
      </c>
      <c r="L146" s="96">
        <v>1.8848927422498525</v>
      </c>
      <c r="M146" s="96">
        <v>1.8325077180487941</v>
      </c>
      <c r="N146" s="96">
        <v>1.9432822979590867</v>
      </c>
      <c r="O146" s="96">
        <v>1.946588577971019</v>
      </c>
      <c r="P146" s="96">
        <v>1.9142170025503649</v>
      </c>
      <c r="Q146" s="96">
        <v>1.8847518340524851</v>
      </c>
      <c r="R146" s="96">
        <v>1.8670555583187416</v>
      </c>
      <c r="S146" s="96">
        <v>1.8502847512987473</v>
      </c>
      <c r="T146" s="96">
        <v>1.8645927978331005</v>
      </c>
      <c r="U146" s="96">
        <v>1.8149057791626875</v>
      </c>
      <c r="V146" s="96">
        <v>1.7105225110919156</v>
      </c>
      <c r="W146" s="96">
        <v>1.7051699060721381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1.9611062523742724</v>
      </c>
      <c r="J147" s="96">
        <v>1.9361083380486659</v>
      </c>
      <c r="K147" s="96">
        <v>1.8867531837442857</v>
      </c>
      <c r="L147" s="96">
        <v>1.8848927422498523</v>
      </c>
      <c r="M147" s="96">
        <v>1.8325077180487941</v>
      </c>
      <c r="N147" s="96">
        <v>1.9432822979590867</v>
      </c>
      <c r="O147" s="96">
        <v>1.9465885779710188</v>
      </c>
      <c r="P147" s="96">
        <v>1.9142170025503649</v>
      </c>
      <c r="Q147" s="96">
        <v>1.8847518340524851</v>
      </c>
      <c r="R147" s="96">
        <v>1.8670555583187414</v>
      </c>
      <c r="S147" s="96">
        <v>1.850284751298747</v>
      </c>
      <c r="T147" s="96">
        <v>1.8645927978331007</v>
      </c>
      <c r="U147" s="96">
        <v>1.8149057791626872</v>
      </c>
      <c r="V147" s="96">
        <v>1.7105225110919156</v>
      </c>
      <c r="W147" s="96">
        <v>1.7051699060721377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1.9432822979590867</v>
      </c>
      <c r="O148" s="96">
        <v>1.9465885779710188</v>
      </c>
      <c r="P148" s="96">
        <v>1.9142170025503649</v>
      </c>
      <c r="Q148" s="96">
        <v>1.8847518340524851</v>
      </c>
      <c r="R148" s="96">
        <v>1.8670555583187414</v>
      </c>
      <c r="S148" s="96">
        <v>1.850284751298747</v>
      </c>
      <c r="T148" s="96">
        <v>1.8645927978331007</v>
      </c>
      <c r="U148" s="96">
        <v>1.8149057791626875</v>
      </c>
      <c r="V148" s="96">
        <v>1.7105225110919156</v>
      </c>
      <c r="W148" s="96">
        <v>1.7051699060721379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1.8549515421081257</v>
      </c>
      <c r="I149" s="96">
        <v>1.8195831207596342</v>
      </c>
      <c r="J149" s="96">
        <v>1.7963891796327829</v>
      </c>
      <c r="K149" s="96">
        <v>1.7505957374946983</v>
      </c>
      <c r="L149" s="96">
        <v>1.7488695546648116</v>
      </c>
      <c r="M149" s="96">
        <v>1.7002648930349638</v>
      </c>
      <c r="N149" s="96">
        <v>1.80304543109606</v>
      </c>
      <c r="O149" s="96">
        <v>1.806113113581358</v>
      </c>
      <c r="P149" s="96">
        <v>1.7760776312322974</v>
      </c>
      <c r="Q149" s="96">
        <v>1.7487388151002441</v>
      </c>
      <c r="R149" s="96">
        <v>1.7323195901926469</v>
      </c>
      <c r="S149" s="96">
        <v>1.7167590475967753</v>
      </c>
      <c r="T149" s="96">
        <v>1.7300345546905058</v>
      </c>
      <c r="U149" s="96">
        <v>1.6839331971612566</v>
      </c>
      <c r="V149" s="96">
        <v>1.5870827422502309</v>
      </c>
      <c r="W149" s="96">
        <v>1.5821164076957983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16.767893293754746</v>
      </c>
      <c r="C150" s="130">
        <f t="shared" si="203"/>
        <v>16.350427338282522</v>
      </c>
      <c r="D150" s="130">
        <f t="shared" si="203"/>
        <v>16.415869449422033</v>
      </c>
      <c r="E150" s="130">
        <f t="shared" si="203"/>
        <v>16.41258026818771</v>
      </c>
      <c r="F150" s="130">
        <f t="shared" si="203"/>
        <v>16.406003882706749</v>
      </c>
      <c r="G150" s="130">
        <f t="shared" si="203"/>
        <v>16.348262255052273</v>
      </c>
      <c r="H150" s="130">
        <f t="shared" si="203"/>
        <v>16.366600870051847</v>
      </c>
      <c r="I150" s="130">
        <f t="shared" si="203"/>
        <v>16.115492589964695</v>
      </c>
      <c r="J150" s="130">
        <f t="shared" si="203"/>
        <v>16.209932908530664</v>
      </c>
      <c r="K150" s="130">
        <f t="shared" si="203"/>
        <v>16.669807978500863</v>
      </c>
      <c r="L150" s="130">
        <f t="shared" ref="L150" si="204">IF(L13=0,0,L13/L40)</f>
        <v>17.439180583286181</v>
      </c>
      <c r="M150" s="130">
        <f t="shared" ref="M150:V150" si="205">IF(M13=0,0,M13/M40)</f>
        <v>17.592446304581461</v>
      </c>
      <c r="N150" s="130">
        <f t="shared" si="205"/>
        <v>17.684267384436147</v>
      </c>
      <c r="O150" s="130">
        <f t="shared" si="205"/>
        <v>18.950926111680008</v>
      </c>
      <c r="P150" s="130">
        <f t="shared" si="205"/>
        <v>19.230779412359016</v>
      </c>
      <c r="Q150" s="130">
        <f t="shared" si="205"/>
        <v>19.15553035432778</v>
      </c>
      <c r="R150" s="130">
        <f t="shared" si="205"/>
        <v>19.149657022706911</v>
      </c>
      <c r="S150" s="130">
        <f t="shared" si="205"/>
        <v>19.559830303049761</v>
      </c>
      <c r="T150" s="130">
        <f t="shared" si="205"/>
        <v>19.364766266642917</v>
      </c>
      <c r="U150" s="130">
        <f t="shared" si="205"/>
        <v>19.360336888612142</v>
      </c>
      <c r="V150" s="130">
        <f t="shared" si="205"/>
        <v>15.554156842396223</v>
      </c>
      <c r="W150" s="130">
        <f t="shared" ref="W150" si="206">IF(W13=0,0,W13/W40)</f>
        <v>15.437858801839527</v>
      </c>
      <c r="DA150" s="176" t="s">
        <v>560</v>
      </c>
    </row>
    <row r="151" spans="1:105" ht="11.45" customHeight="1" x14ac:dyDescent="0.25">
      <c r="A151" s="111" t="s">
        <v>110</v>
      </c>
      <c r="B151" s="97">
        <v>6.6449189728367211</v>
      </c>
      <c r="C151" s="97">
        <v>6.6288625899339433</v>
      </c>
      <c r="D151" s="97">
        <v>6.6313795942085401</v>
      </c>
      <c r="E151" s="97">
        <v>6.6312530872379885</v>
      </c>
      <c r="F151" s="97">
        <v>6.6310001493348754</v>
      </c>
      <c r="G151" s="97">
        <v>6.6287793175020102</v>
      </c>
      <c r="H151" s="97">
        <v>6.6294846488481491</v>
      </c>
      <c r="I151" s="97">
        <v>6.6198266380755646</v>
      </c>
      <c r="J151" s="97">
        <v>6.62345895802041</v>
      </c>
      <c r="K151" s="97">
        <v>6.641146460711572</v>
      </c>
      <c r="L151" s="97">
        <v>6.7073771474177608</v>
      </c>
      <c r="M151" s="97">
        <v>6.7663255017620996</v>
      </c>
      <c r="N151" s="97">
        <v>6.8016413017062112</v>
      </c>
      <c r="O151" s="97">
        <v>7.2888177352615422</v>
      </c>
      <c r="P151" s="97">
        <v>7.3964536201380859</v>
      </c>
      <c r="Q151" s="97">
        <v>7.3675116747414533</v>
      </c>
      <c r="R151" s="97">
        <v>7.3652527010411193</v>
      </c>
      <c r="S151" s="97">
        <v>7.5230116550191379</v>
      </c>
      <c r="T151" s="97">
        <v>7.4479870256318925</v>
      </c>
      <c r="U151" s="97">
        <v>7.4462834186969777</v>
      </c>
      <c r="V151" s="97">
        <v>6.5982368016306241</v>
      </c>
      <c r="W151" s="97">
        <v>6.593763800070751</v>
      </c>
      <c r="DA151" s="175" t="s">
        <v>561</v>
      </c>
    </row>
    <row r="152" spans="1:105" ht="11.45" customHeight="1" x14ac:dyDescent="0.25">
      <c r="A152" s="111" t="s">
        <v>111</v>
      </c>
      <c r="B152" s="97">
        <v>16.822379314906211</v>
      </c>
      <c r="C152" s="97">
        <v>16.399825526391417</v>
      </c>
      <c r="D152" s="97">
        <v>16.463811615140617</v>
      </c>
      <c r="E152" s="97">
        <v>16.4570981666681</v>
      </c>
      <c r="F152" s="97">
        <v>16.447013201646847</v>
      </c>
      <c r="G152" s="97">
        <v>16.385335062331592</v>
      </c>
      <c r="H152" s="97">
        <v>16.399955906595864</v>
      </c>
      <c r="I152" s="97">
        <v>16.144397971161453</v>
      </c>
      <c r="J152" s="97">
        <v>16.236712276645054</v>
      </c>
      <c r="K152" s="97">
        <v>16.69546188970002</v>
      </c>
      <c r="L152" s="97">
        <v>17.463620158441724</v>
      </c>
      <c r="M152" s="97">
        <v>17.61348538630196</v>
      </c>
      <c r="N152" s="97">
        <v>17.702305430135841</v>
      </c>
      <c r="O152" s="97">
        <v>18.968081965449951</v>
      </c>
      <c r="P152" s="97">
        <v>19.245248021041171</v>
      </c>
      <c r="Q152" s="97">
        <v>19.167479952577789</v>
      </c>
      <c r="R152" s="97">
        <v>19.161225061970658</v>
      </c>
      <c r="S152" s="97">
        <v>19.57161090313101</v>
      </c>
      <c r="T152" s="97">
        <v>19.376254837304007</v>
      </c>
      <c r="U152" s="97">
        <v>19.371435649666186</v>
      </c>
      <c r="V152" s="97">
        <v>15.562144492959201</v>
      </c>
      <c r="W152" s="97">
        <v>15.445810321450843</v>
      </c>
      <c r="DA152" s="175" t="s">
        <v>562</v>
      </c>
    </row>
    <row r="153" spans="1:105" ht="11.45" customHeight="1" x14ac:dyDescent="0.25">
      <c r="A153" s="111" t="s">
        <v>112</v>
      </c>
      <c r="B153" s="97">
        <v>16.822379314906215</v>
      </c>
      <c r="C153" s="97">
        <v>16.399825526391417</v>
      </c>
      <c r="D153" s="97">
        <v>16.463811615140621</v>
      </c>
      <c r="E153" s="97">
        <v>16.457098166668096</v>
      </c>
      <c r="F153" s="97">
        <v>16.447013201646847</v>
      </c>
      <c r="G153" s="97">
        <v>16.385335062331592</v>
      </c>
      <c r="H153" s="97">
        <v>16.399955906595864</v>
      </c>
      <c r="I153" s="97">
        <v>16.144397971161457</v>
      </c>
      <c r="J153" s="97">
        <v>16.236712276645054</v>
      </c>
      <c r="K153" s="97">
        <v>16.69546188970002</v>
      </c>
      <c r="L153" s="97">
        <v>17.463620158441724</v>
      </c>
      <c r="M153" s="97">
        <v>17.613485386301956</v>
      </c>
      <c r="N153" s="97">
        <v>17.702305430135841</v>
      </c>
      <c r="O153" s="97">
        <v>18.968081965449951</v>
      </c>
      <c r="P153" s="97">
        <v>19.245248021041167</v>
      </c>
      <c r="Q153" s="97">
        <v>19.167479952577789</v>
      </c>
      <c r="R153" s="97">
        <v>19.161225061970654</v>
      </c>
      <c r="S153" s="97">
        <v>19.57161090313101</v>
      </c>
      <c r="T153" s="97">
        <v>19.37625483730401</v>
      </c>
      <c r="U153" s="97">
        <v>19.371435649666182</v>
      </c>
      <c r="V153" s="97">
        <v>15.562144492959202</v>
      </c>
      <c r="W153" s="97">
        <v>15.445810321450841</v>
      </c>
      <c r="DA153" s="175" t="s">
        <v>563</v>
      </c>
    </row>
    <row r="154" spans="1:105" ht="11.45" customHeight="1" x14ac:dyDescent="0.25">
      <c r="A154" s="111" t="s">
        <v>113</v>
      </c>
      <c r="B154" s="97">
        <v>16.822379314906215</v>
      </c>
      <c r="C154" s="97">
        <v>16.399825526391417</v>
      </c>
      <c r="D154" s="97">
        <v>16.463811615140621</v>
      </c>
      <c r="E154" s="97">
        <v>16.457098166668096</v>
      </c>
      <c r="F154" s="97">
        <v>16.447013201646847</v>
      </c>
      <c r="G154" s="97">
        <v>16.385335062331592</v>
      </c>
      <c r="H154" s="97">
        <v>16.399955906595864</v>
      </c>
      <c r="I154" s="97">
        <v>16.144397971161457</v>
      </c>
      <c r="J154" s="97">
        <v>16.236712276645054</v>
      </c>
      <c r="K154" s="97">
        <v>16.69546188970002</v>
      </c>
      <c r="L154" s="97">
        <v>17.463620158441724</v>
      </c>
      <c r="M154" s="97">
        <v>17.613485386301956</v>
      </c>
      <c r="N154" s="97">
        <v>17.702305430135841</v>
      </c>
      <c r="O154" s="97">
        <v>18.968081965449951</v>
      </c>
      <c r="P154" s="97">
        <v>19.245248021041167</v>
      </c>
      <c r="Q154" s="97">
        <v>19.167479952577789</v>
      </c>
      <c r="R154" s="97">
        <v>19.161225061970654</v>
      </c>
      <c r="S154" s="97">
        <v>19.57161090313101</v>
      </c>
      <c r="T154" s="97">
        <v>19.37625483730401</v>
      </c>
      <c r="U154" s="97">
        <v>19.371435649666182</v>
      </c>
      <c r="V154" s="97">
        <v>15.562144492959202</v>
      </c>
      <c r="W154" s="97">
        <v>15.445810321450839</v>
      </c>
      <c r="DA154" s="175" t="s">
        <v>564</v>
      </c>
    </row>
    <row r="155" spans="1:105" ht="11.45" customHeight="1" x14ac:dyDescent="0.25">
      <c r="A155" s="111" t="s">
        <v>115</v>
      </c>
      <c r="B155" s="97">
        <v>16.822379314906215</v>
      </c>
      <c r="C155" s="97">
        <v>16.399825526391417</v>
      </c>
      <c r="D155" s="97">
        <v>16.463811615140621</v>
      </c>
      <c r="E155" s="97">
        <v>16.457098166668096</v>
      </c>
      <c r="F155" s="97">
        <v>16.447013201646847</v>
      </c>
      <c r="G155" s="97">
        <v>16.385335062331592</v>
      </c>
      <c r="H155" s="97">
        <v>16.399955906595864</v>
      </c>
      <c r="I155" s="97">
        <v>16.144397971161457</v>
      </c>
      <c r="J155" s="97">
        <v>16.236712276645054</v>
      </c>
      <c r="K155" s="97">
        <v>16.69546188970002</v>
      </c>
      <c r="L155" s="97">
        <v>17.463620158441724</v>
      </c>
      <c r="M155" s="97">
        <v>17.613485386301956</v>
      </c>
      <c r="N155" s="97">
        <v>17.702305430135841</v>
      </c>
      <c r="O155" s="97">
        <v>18.968081965449951</v>
      </c>
      <c r="P155" s="97">
        <v>19.245248021041167</v>
      </c>
      <c r="Q155" s="97">
        <v>19.167479952577789</v>
      </c>
      <c r="R155" s="97">
        <v>19.161225061970654</v>
      </c>
      <c r="S155" s="97">
        <v>19.57161090313101</v>
      </c>
      <c r="T155" s="97">
        <v>19.37625483730401</v>
      </c>
      <c r="U155" s="97">
        <v>19.371435649666182</v>
      </c>
      <c r="V155" s="97">
        <v>15.562144492959201</v>
      </c>
      <c r="W155" s="97">
        <v>15.445810321450841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3.2008183371037955</v>
      </c>
      <c r="C156" s="32">
        <f t="shared" si="207"/>
        <v>3.2356665586908875</v>
      </c>
      <c r="D156" s="32">
        <f t="shared" si="207"/>
        <v>3.2929496651166894</v>
      </c>
      <c r="E156" s="32">
        <f t="shared" si="207"/>
        <v>3.3388827168554513</v>
      </c>
      <c r="F156" s="32">
        <f t="shared" si="207"/>
        <v>3.5521030918363312</v>
      </c>
      <c r="G156" s="32">
        <f t="shared" si="207"/>
        <v>3.5779459165266445</v>
      </c>
      <c r="H156" s="32">
        <f t="shared" si="207"/>
        <v>3.6396732761883297</v>
      </c>
      <c r="I156" s="32">
        <f t="shared" si="207"/>
        <v>3.7264434362307814</v>
      </c>
      <c r="J156" s="32">
        <f t="shared" si="207"/>
        <v>3.7031912999607526</v>
      </c>
      <c r="K156" s="32">
        <f t="shared" si="207"/>
        <v>3.3009957084288701</v>
      </c>
      <c r="L156" s="32">
        <f t="shared" ref="L156" si="208">IF(L19=0,0,L19/L46)</f>
        <v>3.3472374467953365</v>
      </c>
      <c r="M156" s="32">
        <f t="shared" ref="M156:V156" si="209">IF(M19=0,0,M19/M46)</f>
        <v>3.2456011847766919</v>
      </c>
      <c r="N156" s="32">
        <f t="shared" si="209"/>
        <v>3.1065662207766929</v>
      </c>
      <c r="O156" s="32">
        <f t="shared" si="209"/>
        <v>3.1045572038828495</v>
      </c>
      <c r="P156" s="32">
        <f t="shared" si="209"/>
        <v>3.037603060407708</v>
      </c>
      <c r="Q156" s="32">
        <f t="shared" si="209"/>
        <v>2.8696089571610166</v>
      </c>
      <c r="R156" s="32">
        <f t="shared" si="209"/>
        <v>2.9322942720392846</v>
      </c>
      <c r="S156" s="32">
        <f t="shared" si="209"/>
        <v>3.0381886236103033</v>
      </c>
      <c r="T156" s="32">
        <f t="shared" si="209"/>
        <v>3.1006616086614276</v>
      </c>
      <c r="U156" s="32">
        <f t="shared" si="209"/>
        <v>3.1353129591218907</v>
      </c>
      <c r="V156" s="32">
        <f t="shared" si="209"/>
        <v>3.3773401153315521</v>
      </c>
      <c r="W156" s="32">
        <f t="shared" ref="W156" si="210">IF(W19=0,0,W19/W46)</f>
        <v>3.1810640967886674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0.23860886253828931</v>
      </c>
      <c r="C157" s="141">
        <f t="shared" si="211"/>
        <v>0.23865510935163398</v>
      </c>
      <c r="D157" s="141">
        <f t="shared" si="211"/>
        <v>0.24001296055329022</v>
      </c>
      <c r="E157" s="141">
        <f t="shared" si="211"/>
        <v>0.24191349544333715</v>
      </c>
      <c r="F157" s="141">
        <f t="shared" si="211"/>
        <v>0.24350891273399208</v>
      </c>
      <c r="G157" s="141">
        <f t="shared" si="211"/>
        <v>0.24452115015773071</v>
      </c>
      <c r="H157" s="141">
        <f t="shared" si="211"/>
        <v>0.24460696977584812</v>
      </c>
      <c r="I157" s="141">
        <f t="shared" si="211"/>
        <v>0.24500404429098613</v>
      </c>
      <c r="J157" s="141">
        <f t="shared" si="211"/>
        <v>0.24706632871799888</v>
      </c>
      <c r="K157" s="141">
        <f t="shared" si="211"/>
        <v>0.2464226040750315</v>
      </c>
      <c r="L157" s="141">
        <f t="shared" ref="L157" si="212">IF(L20=0,0,L20/L47)</f>
        <v>0.24477677579464704</v>
      </c>
      <c r="M157" s="141">
        <f t="shared" ref="M157:V157" si="213">IF(M20=0,0,M20/M47)</f>
        <v>0.24268691558094119</v>
      </c>
      <c r="N157" s="141">
        <f t="shared" si="213"/>
        <v>0.24203438780616091</v>
      </c>
      <c r="O157" s="141">
        <f t="shared" si="213"/>
        <v>0.24105670943872221</v>
      </c>
      <c r="P157" s="141">
        <f t="shared" si="213"/>
        <v>0.24129301836748809</v>
      </c>
      <c r="Q157" s="141">
        <f t="shared" si="213"/>
        <v>0.2397652777428777</v>
      </c>
      <c r="R157" s="141">
        <f t="shared" si="213"/>
        <v>0.23996449206748002</v>
      </c>
      <c r="S157" s="141">
        <f t="shared" si="213"/>
        <v>0.23805390516647568</v>
      </c>
      <c r="T157" s="141">
        <f t="shared" si="213"/>
        <v>0.23827624148259113</v>
      </c>
      <c r="U157" s="141">
        <f t="shared" si="213"/>
        <v>0.23768240689924272</v>
      </c>
      <c r="V157" s="141">
        <f t="shared" si="213"/>
        <v>0.24419521275822423</v>
      </c>
      <c r="W157" s="141">
        <f t="shared" ref="W157" si="214">IF(W20=0,0,W20/W47)</f>
        <v>0.23760331719973452</v>
      </c>
      <c r="DA157" s="174" t="s">
        <v>567</v>
      </c>
    </row>
    <row r="158" spans="1:105" ht="11.45" customHeight="1" x14ac:dyDescent="0.25">
      <c r="A158" s="111" t="s">
        <v>110</v>
      </c>
      <c r="B158" s="96">
        <v>0.18289961911969338</v>
      </c>
      <c r="C158" s="96">
        <v>0.18071942090894655</v>
      </c>
      <c r="D158" s="96">
        <v>0.18084618413745052</v>
      </c>
      <c r="E158" s="96">
        <v>0.18143414225931664</v>
      </c>
      <c r="F158" s="96">
        <v>0.18196930154613175</v>
      </c>
      <c r="G158" s="96">
        <v>0.18229025373929802</v>
      </c>
      <c r="H158" s="96">
        <v>0.18206007321833004</v>
      </c>
      <c r="I158" s="96">
        <v>0.18264718862897245</v>
      </c>
      <c r="J158" s="96">
        <v>0.18585417419250347</v>
      </c>
      <c r="K158" s="96">
        <v>0.18704422754718183</v>
      </c>
      <c r="L158" s="96">
        <v>0.18761728423170007</v>
      </c>
      <c r="M158" s="96">
        <v>0.18787856108936377</v>
      </c>
      <c r="N158" s="96">
        <v>0.18933844943206105</v>
      </c>
      <c r="O158" s="96">
        <v>0.19053093122720996</v>
      </c>
      <c r="P158" s="96">
        <v>0.19241888700253465</v>
      </c>
      <c r="Q158" s="96">
        <v>0.19291412015779605</v>
      </c>
      <c r="R158" s="96">
        <v>0.19109819378939411</v>
      </c>
      <c r="S158" s="96">
        <v>0.18768923881000665</v>
      </c>
      <c r="T158" s="96">
        <v>0.18609070627472499</v>
      </c>
      <c r="U158" s="96">
        <v>0.18377690360981461</v>
      </c>
      <c r="V158" s="96">
        <v>0.1872357402239663</v>
      </c>
      <c r="W158" s="96">
        <v>0.18035330256048321</v>
      </c>
      <c r="DA158" s="171" t="s">
        <v>568</v>
      </c>
    </row>
    <row r="159" spans="1:105" ht="11.45" customHeight="1" x14ac:dyDescent="0.25">
      <c r="A159" s="111" t="s">
        <v>111</v>
      </c>
      <c r="B159" s="96">
        <v>0.24809457532886497</v>
      </c>
      <c r="C159" s="96">
        <v>0.24696224938172592</v>
      </c>
      <c r="D159" s="96">
        <v>0.2469363975288997</v>
      </c>
      <c r="E159" s="96">
        <v>0.24748970302780382</v>
      </c>
      <c r="F159" s="96">
        <v>0.24800071218646011</v>
      </c>
      <c r="G159" s="96">
        <v>0.24834006930594815</v>
      </c>
      <c r="H159" s="96">
        <v>0.24789861523930226</v>
      </c>
      <c r="I159" s="96">
        <v>0.24782341997200327</v>
      </c>
      <c r="J159" s="96">
        <v>0.24956291691796584</v>
      </c>
      <c r="K159" s="96">
        <v>0.24859757533758492</v>
      </c>
      <c r="L159" s="96">
        <v>0.24697628209044684</v>
      </c>
      <c r="M159" s="96">
        <v>0.24495821919325728</v>
      </c>
      <c r="N159" s="96">
        <v>0.24434666318532652</v>
      </c>
      <c r="O159" s="96">
        <v>0.24340931450563047</v>
      </c>
      <c r="P159" s="96">
        <v>0.24334690674865403</v>
      </c>
      <c r="Q159" s="96">
        <v>0.24154340587421608</v>
      </c>
      <c r="R159" s="96">
        <v>0.2418020835906862</v>
      </c>
      <c r="S159" s="96">
        <v>0.2399150806876521</v>
      </c>
      <c r="T159" s="96">
        <v>0.24022720691779584</v>
      </c>
      <c r="U159" s="96">
        <v>0.23963632599819143</v>
      </c>
      <c r="V159" s="96">
        <v>0.24627805182017351</v>
      </c>
      <c r="W159" s="96">
        <v>0.23983503096815445</v>
      </c>
      <c r="DA159" s="171" t="s">
        <v>569</v>
      </c>
    </row>
    <row r="160" spans="1:105" ht="11.45" customHeight="1" x14ac:dyDescent="0.25">
      <c r="A160" s="111" t="s">
        <v>112</v>
      </c>
      <c r="B160" s="96">
        <v>0.19322701557697147</v>
      </c>
      <c r="C160" s="96">
        <v>0.19228461678177527</v>
      </c>
      <c r="D160" s="96">
        <v>0.19241949226274083</v>
      </c>
      <c r="E160" s="96">
        <v>0.19304507694853795</v>
      </c>
      <c r="F160" s="96">
        <v>0.19361448392131869</v>
      </c>
      <c r="G160" s="96">
        <v>0.19395597555048533</v>
      </c>
      <c r="H160" s="96">
        <v>0.19393423976742732</v>
      </c>
      <c r="I160" s="96">
        <v>0.19435766473382105</v>
      </c>
      <c r="J160" s="96">
        <v>0.19623994567913969</v>
      </c>
      <c r="K160" s="96">
        <v>0.1959682977191487</v>
      </c>
      <c r="L160" s="96">
        <v>0.19504767172602477</v>
      </c>
      <c r="M160" s="96">
        <v>0.19380794008223873</v>
      </c>
      <c r="N160" s="96">
        <v>0.19380258760953836</v>
      </c>
      <c r="O160" s="96">
        <v>0.19351412038236507</v>
      </c>
      <c r="P160" s="96">
        <v>0.19391941096692655</v>
      </c>
      <c r="Q160" s="96">
        <v>0.19291412015779605</v>
      </c>
      <c r="R160" s="96">
        <v>0.19258841870338195</v>
      </c>
      <c r="S160" s="96">
        <v>0.19062793489547122</v>
      </c>
      <c r="T160" s="96">
        <v>0.19047827060118158</v>
      </c>
      <c r="U160" s="96">
        <v>0.18957683578579787</v>
      </c>
      <c r="V160" s="96">
        <v>0.19465101706451937</v>
      </c>
      <c r="W160" s="96">
        <v>0.18895814190196847</v>
      </c>
      <c r="DA160" s="171" t="s">
        <v>570</v>
      </c>
    </row>
    <row r="161" spans="1:105" ht="11.45" customHeight="1" x14ac:dyDescent="0.25">
      <c r="A161" s="111" t="s">
        <v>113</v>
      </c>
      <c r="B161" s="96">
        <v>0.19361580547347421</v>
      </c>
      <c r="C161" s="96">
        <v>0.1922846167817753</v>
      </c>
      <c r="D161" s="96">
        <v>0.19241949226274085</v>
      </c>
      <c r="E161" s="96">
        <v>0.19304507694853795</v>
      </c>
      <c r="F161" s="96">
        <v>0.19361448392131869</v>
      </c>
      <c r="G161" s="96">
        <v>0.19395597555048533</v>
      </c>
      <c r="H161" s="96">
        <v>0.19393423976742732</v>
      </c>
      <c r="I161" s="96">
        <v>0.19435766473382102</v>
      </c>
      <c r="J161" s="96">
        <v>0.19623994567913969</v>
      </c>
      <c r="K161" s="96">
        <v>0.1959682977191487</v>
      </c>
      <c r="L161" s="96">
        <v>0.19504767172602477</v>
      </c>
      <c r="M161" s="96">
        <v>0.19380794008223876</v>
      </c>
      <c r="N161" s="96">
        <v>0.19380258760953836</v>
      </c>
      <c r="O161" s="96">
        <v>0.19351412038236507</v>
      </c>
      <c r="P161" s="96">
        <v>0.19391941096692655</v>
      </c>
      <c r="Q161" s="96">
        <v>0.19291412015779605</v>
      </c>
      <c r="R161" s="96">
        <v>0.19258841870338195</v>
      </c>
      <c r="S161" s="96">
        <v>0.19062793489547122</v>
      </c>
      <c r="T161" s="96">
        <v>0.19124173504397907</v>
      </c>
      <c r="U161" s="96">
        <v>0.19109958410339911</v>
      </c>
      <c r="V161" s="96">
        <v>0.19700097917570236</v>
      </c>
      <c r="W161" s="96">
        <v>0.19200589073688462</v>
      </c>
      <c r="DA161" s="171" t="s">
        <v>571</v>
      </c>
    </row>
    <row r="162" spans="1:105" ht="11.45" customHeight="1" x14ac:dyDescent="0.25">
      <c r="A162" s="111" t="s">
        <v>115</v>
      </c>
      <c r="B162" s="96">
        <v>0.19340966028341541</v>
      </c>
      <c r="C162" s="96">
        <v>0.1933646370781775</v>
      </c>
      <c r="D162" s="96">
        <v>0.19335818073358402</v>
      </c>
      <c r="E162" s="96">
        <v>0.19332829652809636</v>
      </c>
      <c r="F162" s="96">
        <v>0.19330118400018317</v>
      </c>
      <c r="G162" s="96">
        <v>0.193284963789149</v>
      </c>
      <c r="H162" s="96">
        <v>0.19327333471421473</v>
      </c>
      <c r="I162" s="96">
        <v>0.19327157780493398</v>
      </c>
      <c r="J162" s="96">
        <v>0.19320120329617479</v>
      </c>
      <c r="K162" s="96">
        <v>0.19317015293481432</v>
      </c>
      <c r="L162" s="96">
        <v>0.19310854178783957</v>
      </c>
      <c r="M162" s="96">
        <v>0.19303162270364962</v>
      </c>
      <c r="N162" s="96">
        <v>0.19301307707989984</v>
      </c>
      <c r="O162" s="96">
        <v>0.19298109806786623</v>
      </c>
      <c r="P162" s="96">
        <v>0.1929801596688607</v>
      </c>
      <c r="Q162" s="96">
        <v>0.19291412015779605</v>
      </c>
      <c r="R162" s="96">
        <v>0.19291687899444526</v>
      </c>
      <c r="S162" s="96">
        <v>0.19299260689972592</v>
      </c>
      <c r="T162" s="96">
        <v>0.19300367806106467</v>
      </c>
      <c r="U162" s="96">
        <v>0.19302898754433284</v>
      </c>
      <c r="V162" s="96">
        <v>0.19698526183626236</v>
      </c>
      <c r="W162" s="96">
        <v>0.19303552530072107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12.585244247783228</v>
      </c>
      <c r="C163" s="130">
        <f t="shared" si="215"/>
        <v>12.672868921384163</v>
      </c>
      <c r="D163" s="130">
        <f t="shared" si="215"/>
        <v>12.773264632799105</v>
      </c>
      <c r="E163" s="130">
        <f t="shared" si="215"/>
        <v>12.794123053166308</v>
      </c>
      <c r="F163" s="130">
        <f t="shared" si="215"/>
        <v>12.665565342950204</v>
      </c>
      <c r="G163" s="130">
        <f t="shared" si="215"/>
        <v>12.616053442654225</v>
      </c>
      <c r="H163" s="130">
        <f t="shared" si="215"/>
        <v>12.789561236313858</v>
      </c>
      <c r="I163" s="130">
        <f t="shared" si="215"/>
        <v>12.88021863248529</v>
      </c>
      <c r="J163" s="130">
        <f t="shared" si="215"/>
        <v>12.964028144276611</v>
      </c>
      <c r="K163" s="130">
        <f t="shared" si="215"/>
        <v>12.796645106323744</v>
      </c>
      <c r="L163" s="130">
        <f t="shared" ref="L163" si="216">IF(L26=0,0,L26/L53)</f>
        <v>12.938835935367567</v>
      </c>
      <c r="M163" s="130">
        <f t="shared" ref="M163:V163" si="217">IF(M26=0,0,M26/M53)</f>
        <v>12.772916081455053</v>
      </c>
      <c r="N163" s="130">
        <f t="shared" si="217"/>
        <v>12.827668815445705</v>
      </c>
      <c r="O163" s="130">
        <f t="shared" si="217"/>
        <v>12.869279218286939</v>
      </c>
      <c r="P163" s="130">
        <f t="shared" si="217"/>
        <v>12.781610109479772</v>
      </c>
      <c r="Q163" s="130">
        <f t="shared" si="217"/>
        <v>12.677800956549071</v>
      </c>
      <c r="R163" s="130">
        <f t="shared" si="217"/>
        <v>12.484418356754258</v>
      </c>
      <c r="S163" s="130">
        <f t="shared" si="217"/>
        <v>12.935449973874427</v>
      </c>
      <c r="T163" s="130">
        <f t="shared" si="217"/>
        <v>13.288344666183585</v>
      </c>
      <c r="U163" s="130">
        <f t="shared" si="217"/>
        <v>13.232890138146013</v>
      </c>
      <c r="V163" s="130">
        <f t="shared" si="217"/>
        <v>13.187286245455519</v>
      </c>
      <c r="W163" s="130">
        <f t="shared" ref="W163" si="218">IF(W26=0,0,W26/W53)</f>
        <v>13.251647816295717</v>
      </c>
      <c r="DA163" s="176" t="s">
        <v>573</v>
      </c>
    </row>
    <row r="164" spans="1:105" ht="11.45" customHeight="1" x14ac:dyDescent="0.25">
      <c r="A164" s="128" t="s">
        <v>27</v>
      </c>
      <c r="B164" s="97">
        <v>11.863811532029375</v>
      </c>
      <c r="C164" s="97">
        <v>11.963097012277339</v>
      </c>
      <c r="D164" s="97">
        <v>12.030760507477497</v>
      </c>
      <c r="E164" s="97">
        <v>12.087706889234687</v>
      </c>
      <c r="F164" s="97">
        <v>11.949516505501833</v>
      </c>
      <c r="G164" s="97">
        <v>11.842593829304127</v>
      </c>
      <c r="H164" s="97">
        <v>12.052562157884324</v>
      </c>
      <c r="I164" s="97">
        <v>12.189542067384243</v>
      </c>
      <c r="J164" s="97">
        <v>12.406480218281036</v>
      </c>
      <c r="K164" s="97">
        <v>12.232144257154058</v>
      </c>
      <c r="L164" s="97">
        <v>12.218380548739683</v>
      </c>
      <c r="M164" s="97">
        <v>12.048266972214265</v>
      </c>
      <c r="N164" s="97">
        <v>12.11749670823329</v>
      </c>
      <c r="O164" s="97">
        <v>12.131827035449941</v>
      </c>
      <c r="P164" s="97">
        <v>11.956009177941294</v>
      </c>
      <c r="Q164" s="97">
        <v>11.806570258296414</v>
      </c>
      <c r="R164" s="97">
        <v>11.534554471284595</v>
      </c>
      <c r="S164" s="97">
        <v>12.179715580559462</v>
      </c>
      <c r="T164" s="97">
        <v>12.693677932405567</v>
      </c>
      <c r="U164" s="97">
        <v>12.625592417061611</v>
      </c>
      <c r="V164" s="97">
        <v>12.694277229312144</v>
      </c>
      <c r="W164" s="97">
        <v>12.671395167575994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13.915448013039784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14.049661034098955</v>
      </c>
      <c r="T165" s="98">
        <v>14.155971572922997</v>
      </c>
      <c r="U165" s="98">
        <v>14.102032210128923</v>
      </c>
      <c r="V165" s="98">
        <v>13.88679019247664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10466.332903769107</v>
      </c>
      <c r="C167" s="54">
        <f t="shared" si="219"/>
        <v>10900.553076065422</v>
      </c>
      <c r="D167" s="54">
        <f t="shared" si="219"/>
        <v>10974.282691077555</v>
      </c>
      <c r="E167" s="54">
        <f t="shared" si="219"/>
        <v>10868.531378561864</v>
      </c>
      <c r="F167" s="54">
        <f t="shared" si="219"/>
        <v>10879.473981832974</v>
      </c>
      <c r="G167" s="54">
        <f t="shared" si="219"/>
        <v>10818.007086287414</v>
      </c>
      <c r="H167" s="54">
        <f t="shared" si="219"/>
        <v>10905.989434728759</v>
      </c>
      <c r="I167" s="54">
        <f t="shared" si="219"/>
        <v>11001.898349175837</v>
      </c>
      <c r="J167" s="54">
        <f t="shared" si="219"/>
        <v>10545.393911723306</v>
      </c>
      <c r="K167" s="54">
        <f t="shared" si="219"/>
        <v>10446.173649277342</v>
      </c>
      <c r="L167" s="54">
        <f t="shared" si="219"/>
        <v>10372.85752318969</v>
      </c>
      <c r="M167" s="54">
        <f>IF(M30=0,0,M30*1000000/M57)</f>
        <v>10280.332560872939</v>
      </c>
      <c r="N167" s="54">
        <f t="shared" ref="N167:V167" si="220">IF(N30=0,0,N30*1000000/N57)</f>
        <v>10406.976915739482</v>
      </c>
      <c r="O167" s="54">
        <f t="shared" si="220"/>
        <v>10357.725813751067</v>
      </c>
      <c r="P167" s="54">
        <f t="shared" si="220"/>
        <v>10502.360504359116</v>
      </c>
      <c r="Q167" s="54">
        <f t="shared" si="220"/>
        <v>10675.877511751687</v>
      </c>
      <c r="R167" s="54">
        <f t="shared" si="220"/>
        <v>10767.723479238</v>
      </c>
      <c r="S167" s="54">
        <f t="shared" si="220"/>
        <v>10895.74201229678</v>
      </c>
      <c r="T167" s="54">
        <f t="shared" si="220"/>
        <v>10757.593317916482</v>
      </c>
      <c r="U167" s="54">
        <f t="shared" si="220"/>
        <v>10945.816352225307</v>
      </c>
      <c r="V167" s="54">
        <f t="shared" si="220"/>
        <v>9289.8919054620328</v>
      </c>
      <c r="W167" s="54">
        <f t="shared" ref="W167:W191" si="221">IF(W30=0,0,W30*1000000/W57)</f>
        <v>10575.453419037069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9996.3033913498602</v>
      </c>
      <c r="C168" s="28">
        <f t="shared" si="219"/>
        <v>10457.582307774104</v>
      </c>
      <c r="D168" s="28">
        <f t="shared" si="219"/>
        <v>10551.548606548722</v>
      </c>
      <c r="E168" s="28">
        <f t="shared" si="219"/>
        <v>10455.83758048016</v>
      </c>
      <c r="F168" s="28">
        <f t="shared" si="219"/>
        <v>10440.757192140849</v>
      </c>
      <c r="G168" s="28">
        <f t="shared" si="219"/>
        <v>10381.36201187523</v>
      </c>
      <c r="H168" s="28">
        <f t="shared" si="219"/>
        <v>10468.487666827619</v>
      </c>
      <c r="I168" s="28">
        <f t="shared" si="219"/>
        <v>10572.881629468155</v>
      </c>
      <c r="J168" s="28">
        <f t="shared" si="219"/>
        <v>10149.298171454977</v>
      </c>
      <c r="K168" s="28">
        <f t="shared" si="219"/>
        <v>10091.121661118044</v>
      </c>
      <c r="L168" s="28">
        <f t="shared" si="219"/>
        <v>9944.6726771211706</v>
      </c>
      <c r="M168" s="28">
        <f t="shared" ref="M168:M192" si="222">IF(M31=0,0,M31*1000000/M58)</f>
        <v>9783.6534608157144</v>
      </c>
      <c r="N168" s="28">
        <f t="shared" si="219"/>
        <v>9945.3156204998631</v>
      </c>
      <c r="O168" s="28">
        <f t="shared" si="219"/>
        <v>9857.5050306548783</v>
      </c>
      <c r="P168" s="28">
        <f t="shared" si="219"/>
        <v>10035.232309047469</v>
      </c>
      <c r="Q168" s="28">
        <f t="shared" si="219"/>
        <v>10190.414058107161</v>
      </c>
      <c r="R168" s="28">
        <f t="shared" si="219"/>
        <v>10287.22527832758</v>
      </c>
      <c r="S168" s="28">
        <f t="shared" si="219"/>
        <v>10352.925100680635</v>
      </c>
      <c r="T168" s="28">
        <f t="shared" si="219"/>
        <v>10212.804330591978</v>
      </c>
      <c r="U168" s="28">
        <f t="shared" si="219"/>
        <v>10397.736382053215</v>
      </c>
      <c r="V168" s="28">
        <f t="shared" si="219"/>
        <v>8718.2107793800606</v>
      </c>
      <c r="W168" s="28">
        <f t="shared" si="221"/>
        <v>9963.8612621781449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3035.2852089134167</v>
      </c>
      <c r="C169" s="137">
        <f t="shared" si="219"/>
        <v>3291.1010973684006</v>
      </c>
      <c r="D169" s="137">
        <f t="shared" si="219"/>
        <v>3660.8603993599691</v>
      </c>
      <c r="E169" s="137">
        <f t="shared" si="219"/>
        <v>3660.8882567446149</v>
      </c>
      <c r="F169" s="137">
        <f t="shared" si="219"/>
        <v>3886.677984275982</v>
      </c>
      <c r="G169" s="137">
        <f t="shared" si="219"/>
        <v>3974.603233411457</v>
      </c>
      <c r="H169" s="137">
        <f t="shared" si="219"/>
        <v>3887.0823761797446</v>
      </c>
      <c r="I169" s="137">
        <f t="shared" si="219"/>
        <v>3762.4879113176262</v>
      </c>
      <c r="J169" s="137">
        <f t="shared" si="219"/>
        <v>3735.5599663920552</v>
      </c>
      <c r="K169" s="137">
        <f t="shared" si="219"/>
        <v>3704.7487223168655</v>
      </c>
      <c r="L169" s="137">
        <f t="shared" si="219"/>
        <v>3611.6593980131211</v>
      </c>
      <c r="M169" s="137">
        <f t="shared" si="222"/>
        <v>3636.9392947740325</v>
      </c>
      <c r="N169" s="137">
        <f t="shared" si="219"/>
        <v>3702.7775180431036</v>
      </c>
      <c r="O169" s="137">
        <f t="shared" si="219"/>
        <v>3793.078217604449</v>
      </c>
      <c r="P169" s="137">
        <f t="shared" si="219"/>
        <v>3891.357348228611</v>
      </c>
      <c r="Q169" s="137">
        <f t="shared" si="219"/>
        <v>3927.5437832457146</v>
      </c>
      <c r="R169" s="137">
        <f t="shared" si="219"/>
        <v>3637.2809199868784</v>
      </c>
      <c r="S169" s="137">
        <f t="shared" si="219"/>
        <v>3525.3072113073672</v>
      </c>
      <c r="T169" s="137">
        <f t="shared" si="219"/>
        <v>3334.3028714208031</v>
      </c>
      <c r="U169" s="137">
        <f t="shared" si="219"/>
        <v>3504.1009551768466</v>
      </c>
      <c r="V169" s="137">
        <f t="shared" si="219"/>
        <v>3028.9687399743293</v>
      </c>
      <c r="W169" s="137">
        <f t="shared" si="221"/>
        <v>3453.1221877030675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10713.446396589394</v>
      </c>
      <c r="C170" s="110">
        <f t="shared" si="219"/>
        <v>11199.305676419513</v>
      </c>
      <c r="D170" s="110">
        <f t="shared" si="219"/>
        <v>11250.328969794275</v>
      </c>
      <c r="E170" s="110">
        <f t="shared" si="219"/>
        <v>11135.907038751066</v>
      </c>
      <c r="F170" s="110">
        <f t="shared" si="219"/>
        <v>11089.559645676653</v>
      </c>
      <c r="G170" s="110">
        <f t="shared" si="219"/>
        <v>11013.39315083429</v>
      </c>
      <c r="H170" s="110">
        <f t="shared" si="219"/>
        <v>11129.203286518839</v>
      </c>
      <c r="I170" s="110">
        <f t="shared" si="219"/>
        <v>11306.32397981577</v>
      </c>
      <c r="J170" s="110">
        <f t="shared" si="219"/>
        <v>10862.504554486111</v>
      </c>
      <c r="K170" s="110">
        <f t="shared" si="219"/>
        <v>10819.157465712244</v>
      </c>
      <c r="L170" s="110">
        <f t="shared" si="219"/>
        <v>10671.633150131911</v>
      </c>
      <c r="M170" s="110">
        <f t="shared" si="222"/>
        <v>10449.076452717794</v>
      </c>
      <c r="N170" s="110">
        <f t="shared" si="219"/>
        <v>10611.576458132115</v>
      </c>
      <c r="O170" s="110">
        <f t="shared" si="219"/>
        <v>10491.781855917819</v>
      </c>
      <c r="P170" s="110">
        <f t="shared" si="219"/>
        <v>10670.296956100232</v>
      </c>
      <c r="Q170" s="110">
        <f t="shared" si="219"/>
        <v>10828.235575995661</v>
      </c>
      <c r="R170" s="110">
        <f t="shared" si="219"/>
        <v>10959.577784337882</v>
      </c>
      <c r="S170" s="110">
        <f t="shared" si="219"/>
        <v>11027.345984557174</v>
      </c>
      <c r="T170" s="110">
        <f t="shared" si="219"/>
        <v>10892.260189625047</v>
      </c>
      <c r="U170" s="110">
        <f t="shared" si="219"/>
        <v>11079.965259920751</v>
      </c>
      <c r="V170" s="110">
        <f t="shared" si="219"/>
        <v>9281.8885824138888</v>
      </c>
      <c r="W170" s="110">
        <f t="shared" si="221"/>
        <v>10548.898064071944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8766.5799290246468</v>
      </c>
      <c r="C171" s="84">
        <f t="shared" si="219"/>
        <v>8935.4493900139296</v>
      </c>
      <c r="D171" s="84">
        <f t="shared" si="219"/>
        <v>8956.617626950152</v>
      </c>
      <c r="E171" s="84">
        <f t="shared" si="219"/>
        <v>8680.1276063972527</v>
      </c>
      <c r="F171" s="84">
        <f t="shared" si="219"/>
        <v>8568.1367478806151</v>
      </c>
      <c r="G171" s="84">
        <f t="shared" si="219"/>
        <v>8405.3519097264252</v>
      </c>
      <c r="H171" s="84">
        <f t="shared" si="219"/>
        <v>8194.922449435895</v>
      </c>
      <c r="I171" s="84">
        <f t="shared" si="219"/>
        <v>8015.6190418845235</v>
      </c>
      <c r="J171" s="84">
        <f t="shared" si="219"/>
        <v>7491.2881105162469</v>
      </c>
      <c r="K171" s="84">
        <f t="shared" si="219"/>
        <v>7472.8828967821801</v>
      </c>
      <c r="L171" s="84">
        <f t="shared" si="219"/>
        <v>7109.5842485260182</v>
      </c>
      <c r="M171" s="84">
        <f t="shared" si="222"/>
        <v>7267.0990016037622</v>
      </c>
      <c r="N171" s="84">
        <f t="shared" si="219"/>
        <v>7101.4412954785421</v>
      </c>
      <c r="O171" s="84">
        <f t="shared" si="219"/>
        <v>7012.0868312833782</v>
      </c>
      <c r="P171" s="84">
        <f t="shared" si="219"/>
        <v>7242.4608174904606</v>
      </c>
      <c r="Q171" s="84">
        <f t="shared" si="219"/>
        <v>7449.1186475553413</v>
      </c>
      <c r="R171" s="84">
        <f t="shared" si="219"/>
        <v>7749.8195721243401</v>
      </c>
      <c r="S171" s="84">
        <f t="shared" si="219"/>
        <v>8031.9046169030889</v>
      </c>
      <c r="T171" s="84">
        <f t="shared" si="219"/>
        <v>8224.72303933902</v>
      </c>
      <c r="U171" s="84">
        <f t="shared" si="219"/>
        <v>8655.097679026976</v>
      </c>
      <c r="V171" s="84">
        <f t="shared" si="219"/>
        <v>7334.2797293675012</v>
      </c>
      <c r="W171" s="84">
        <f t="shared" si="221"/>
        <v>8652.0218500543506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14321.837132161125</v>
      </c>
      <c r="C172" s="84">
        <f t="shared" si="219"/>
        <v>14981.500092435474</v>
      </c>
      <c r="D172" s="84">
        <f t="shared" si="219"/>
        <v>14689.530908567307</v>
      </c>
      <c r="E172" s="84">
        <f t="shared" si="219"/>
        <v>14449.973337115516</v>
      </c>
      <c r="F172" s="84">
        <f t="shared" si="219"/>
        <v>14175.331891663478</v>
      </c>
      <c r="G172" s="84">
        <f t="shared" si="219"/>
        <v>13925.277596368904</v>
      </c>
      <c r="H172" s="84">
        <f t="shared" si="219"/>
        <v>14126.716912034066</v>
      </c>
      <c r="I172" s="84">
        <f t="shared" si="219"/>
        <v>14397.800393494654</v>
      </c>
      <c r="J172" s="84">
        <f t="shared" si="219"/>
        <v>13715.486162831332</v>
      </c>
      <c r="K172" s="84">
        <f t="shared" si="219"/>
        <v>13384.466923860633</v>
      </c>
      <c r="L172" s="84">
        <f t="shared" si="219"/>
        <v>13192.933255505561</v>
      </c>
      <c r="M172" s="84">
        <f t="shared" si="222"/>
        <v>12450.088776724844</v>
      </c>
      <c r="N172" s="84">
        <f t="shared" si="219"/>
        <v>12707.954125668275</v>
      </c>
      <c r="O172" s="84">
        <f t="shared" si="219"/>
        <v>12480.254627740478</v>
      </c>
      <c r="P172" s="84">
        <f t="shared" si="219"/>
        <v>12592.074952112633</v>
      </c>
      <c r="Q172" s="84">
        <f t="shared" si="219"/>
        <v>12727.630105586866</v>
      </c>
      <c r="R172" s="84">
        <f t="shared" si="219"/>
        <v>12802.00049486786</v>
      </c>
      <c r="S172" s="84">
        <f t="shared" si="219"/>
        <v>12819.724089608315</v>
      </c>
      <c r="T172" s="84">
        <f t="shared" si="219"/>
        <v>12598.115571115199</v>
      </c>
      <c r="U172" s="84">
        <f t="shared" si="219"/>
        <v>12749.091787887444</v>
      </c>
      <c r="V172" s="84">
        <f t="shared" si="219"/>
        <v>10683.740604283839</v>
      </c>
      <c r="W172" s="84">
        <f t="shared" si="221"/>
        <v>11995.370885841103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8344.1018116588202</v>
      </c>
      <c r="C173" s="84">
        <f t="shared" si="219"/>
        <v>8543.5159346392702</v>
      </c>
      <c r="D173" s="84">
        <f t="shared" si="219"/>
        <v>8235.8066632126793</v>
      </c>
      <c r="E173" s="84">
        <f t="shared" si="219"/>
        <v>7841.3939074253822</v>
      </c>
      <c r="F173" s="84">
        <f t="shared" si="219"/>
        <v>7645.5176058187935</v>
      </c>
      <c r="G173" s="84">
        <f t="shared" si="219"/>
        <v>7709.1535509494979</v>
      </c>
      <c r="H173" s="84">
        <f t="shared" si="219"/>
        <v>7891.1201088738781</v>
      </c>
      <c r="I173" s="84">
        <f t="shared" si="219"/>
        <v>7868.4914313900854</v>
      </c>
      <c r="J173" s="84">
        <f t="shared" si="219"/>
        <v>7185.2378682070703</v>
      </c>
      <c r="K173" s="84">
        <f t="shared" si="219"/>
        <v>7531.7203848713125</v>
      </c>
      <c r="L173" s="84">
        <f t="shared" si="219"/>
        <v>7814.6566477883844</v>
      </c>
      <c r="M173" s="84">
        <f t="shared" si="222"/>
        <v>7455.4825692566956</v>
      </c>
      <c r="N173" s="84">
        <f t="shared" si="219"/>
        <v>7216.4492360159484</v>
      </c>
      <c r="O173" s="84">
        <f t="shared" si="219"/>
        <v>6791.3650248874465</v>
      </c>
      <c r="P173" s="84">
        <f t="shared" si="219"/>
        <v>6583.5689940958164</v>
      </c>
      <c r="Q173" s="84">
        <f t="shared" si="219"/>
        <v>6367.5496666932931</v>
      </c>
      <c r="R173" s="84">
        <f t="shared" si="219"/>
        <v>6126.2382221608923</v>
      </c>
      <c r="S173" s="84">
        <f t="shared" si="219"/>
        <v>5857.7188364279637</v>
      </c>
      <c r="T173" s="84">
        <f t="shared" si="219"/>
        <v>5493.2768105622335</v>
      </c>
      <c r="U173" s="84">
        <f t="shared" si="219"/>
        <v>5313.0817782670574</v>
      </c>
      <c r="V173" s="84">
        <f t="shared" si="219"/>
        <v>4191.0510965136327</v>
      </c>
      <c r="W173" s="84">
        <f t="shared" si="221"/>
        <v>4590.5644406045221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19150.033820341429</v>
      </c>
      <c r="J174" s="84">
        <f t="shared" si="219"/>
        <v>18001.485561713976</v>
      </c>
      <c r="K174" s="84">
        <f t="shared" si="219"/>
        <v>17574.574472116648</v>
      </c>
      <c r="L174" s="84">
        <f t="shared" si="219"/>
        <v>16983.373651950751</v>
      </c>
      <c r="M174" s="84">
        <f t="shared" si="222"/>
        <v>16285.952477629824</v>
      </c>
      <c r="N174" s="84">
        <f t="shared" si="219"/>
        <v>16227.442997636197</v>
      </c>
      <c r="O174" s="84">
        <f t="shared" si="219"/>
        <v>15720.730850494441</v>
      </c>
      <c r="P174" s="84">
        <f t="shared" si="219"/>
        <v>15687.949301362847</v>
      </c>
      <c r="Q174" s="84">
        <f t="shared" si="219"/>
        <v>15619.468599917584</v>
      </c>
      <c r="R174" s="84">
        <f t="shared" si="219"/>
        <v>16134.82874997273</v>
      </c>
      <c r="S174" s="84">
        <f t="shared" si="219"/>
        <v>15914.810520800866</v>
      </c>
      <c r="T174" s="84">
        <f t="shared" si="219"/>
        <v>15395.964624539974</v>
      </c>
      <c r="U174" s="84">
        <f t="shared" si="219"/>
        <v>15361.173396779732</v>
      </c>
      <c r="V174" s="84">
        <f t="shared" si="219"/>
        <v>12499.80727593586</v>
      </c>
      <c r="W174" s="84">
        <f t="shared" si="221"/>
        <v>14583.197946406795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7376.6631631029832</v>
      </c>
      <c r="O175" s="84">
        <f t="shared" si="219"/>
        <v>7279.0880571683847</v>
      </c>
      <c r="P175" s="84">
        <f t="shared" si="219"/>
        <v>7505.4526383367929</v>
      </c>
      <c r="Q175" s="84">
        <f t="shared" si="219"/>
        <v>7712.3467424544478</v>
      </c>
      <c r="R175" s="84">
        <f t="shared" si="219"/>
        <v>8003.5018331771216</v>
      </c>
      <c r="S175" s="84">
        <f t="shared" si="219"/>
        <v>8274.3660005616057</v>
      </c>
      <c r="T175" s="84">
        <f t="shared" si="219"/>
        <v>8449.7193525164112</v>
      </c>
      <c r="U175" s="84">
        <f t="shared" si="219"/>
        <v>8869.9396585527047</v>
      </c>
      <c r="V175" s="84">
        <f t="shared" si="219"/>
        <v>7525.4879120708647</v>
      </c>
      <c r="W175" s="84">
        <f t="shared" si="221"/>
        <v>8853.0730079757777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13450.248083398559</v>
      </c>
      <c r="I176" s="84">
        <f t="shared" si="219"/>
        <v>13465.381305664694</v>
      </c>
      <c r="J176" s="84">
        <f t="shared" si="219"/>
        <v>13510.678561623296</v>
      </c>
      <c r="K176" s="84">
        <f t="shared" si="219"/>
        <v>13511.803382128084</v>
      </c>
      <c r="L176" s="84">
        <f t="shared" si="219"/>
        <v>13546.067572506798</v>
      </c>
      <c r="M176" s="84">
        <f t="shared" si="222"/>
        <v>13560.418597723316</v>
      </c>
      <c r="N176" s="84">
        <f t="shared" si="219"/>
        <v>13576.097854220357</v>
      </c>
      <c r="O176" s="84">
        <f t="shared" si="219"/>
        <v>13584.823706538677</v>
      </c>
      <c r="P176" s="84">
        <f t="shared" si="219"/>
        <v>13606.990205833265</v>
      </c>
      <c r="Q176" s="84">
        <f t="shared" si="219"/>
        <v>13626.490841826833</v>
      </c>
      <c r="R176" s="84">
        <f t="shared" si="219"/>
        <v>13599.402194170498</v>
      </c>
      <c r="S176" s="84">
        <f t="shared" si="219"/>
        <v>13574.95264085654</v>
      </c>
      <c r="T176" s="84">
        <f t="shared" si="219"/>
        <v>13558.604120437627</v>
      </c>
      <c r="U176" s="84">
        <f t="shared" si="219"/>
        <v>13523.803974127386</v>
      </c>
      <c r="V176" s="84">
        <f t="shared" si="219"/>
        <v>11962.426135349502</v>
      </c>
      <c r="W176" s="84">
        <f t="shared" si="221"/>
        <v>13522.225065596884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34492.598428535923</v>
      </c>
      <c r="C177" s="110">
        <f t="shared" si="219"/>
        <v>33839.876201130108</v>
      </c>
      <c r="D177" s="110">
        <f t="shared" si="219"/>
        <v>34508.954507283677</v>
      </c>
      <c r="E177" s="110">
        <f t="shared" si="219"/>
        <v>34369.894284068643</v>
      </c>
      <c r="F177" s="110">
        <f t="shared" si="219"/>
        <v>34464.888819436259</v>
      </c>
      <c r="G177" s="110">
        <f t="shared" si="219"/>
        <v>34032.912492105846</v>
      </c>
      <c r="H177" s="110">
        <f t="shared" si="219"/>
        <v>34767.453948899783</v>
      </c>
      <c r="I177" s="110">
        <f t="shared" si="219"/>
        <v>34870.730536038471</v>
      </c>
      <c r="J177" s="110">
        <f t="shared" si="219"/>
        <v>35553.545664017911</v>
      </c>
      <c r="K177" s="110">
        <f t="shared" si="219"/>
        <v>35258.381729552959</v>
      </c>
      <c r="L177" s="110">
        <f t="shared" si="219"/>
        <v>34552.325757356812</v>
      </c>
      <c r="M177" s="110">
        <f t="shared" si="222"/>
        <v>33908.76250510793</v>
      </c>
      <c r="N177" s="110">
        <f t="shared" si="219"/>
        <v>33266.769344697779</v>
      </c>
      <c r="O177" s="110">
        <f t="shared" si="219"/>
        <v>32546.692738183534</v>
      </c>
      <c r="P177" s="110">
        <f t="shared" si="219"/>
        <v>32549.135522082324</v>
      </c>
      <c r="Q177" s="110">
        <f t="shared" si="219"/>
        <v>33021.595514350745</v>
      </c>
      <c r="R177" s="110">
        <f t="shared" si="219"/>
        <v>33138.608892961558</v>
      </c>
      <c r="S177" s="110">
        <f t="shared" si="219"/>
        <v>32210.822138635136</v>
      </c>
      <c r="T177" s="110">
        <f t="shared" si="219"/>
        <v>31938.564611446454</v>
      </c>
      <c r="U177" s="110">
        <f t="shared" si="219"/>
        <v>31065.994998360118</v>
      </c>
      <c r="V177" s="110">
        <f t="shared" si="219"/>
        <v>23642.182194740668</v>
      </c>
      <c r="W177" s="110">
        <f t="shared" si="221"/>
        <v>25075.884046250565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12438.621380996021</v>
      </c>
      <c r="C178" s="102">
        <f t="shared" si="219"/>
        <v>12314.734409263841</v>
      </c>
      <c r="D178" s="102">
        <f t="shared" si="219"/>
        <v>12697.494796913099</v>
      </c>
      <c r="E178" s="102">
        <f t="shared" si="219"/>
        <v>12771.489862664825</v>
      </c>
      <c r="F178" s="102">
        <f t="shared" si="219"/>
        <v>12937.935693150122</v>
      </c>
      <c r="G178" s="102">
        <f t="shared" si="219"/>
        <v>12896.68643064014</v>
      </c>
      <c r="H178" s="102">
        <f t="shared" si="219"/>
        <v>13322.336700484251</v>
      </c>
      <c r="I178" s="102">
        <f t="shared" si="219"/>
        <v>13498.881242797863</v>
      </c>
      <c r="J178" s="102">
        <f t="shared" si="219"/>
        <v>13915.715719687649</v>
      </c>
      <c r="K178" s="102">
        <f t="shared" si="219"/>
        <v>13933.774682208737</v>
      </c>
      <c r="L178" s="102">
        <f t="shared" si="219"/>
        <v>13778.731728301498</v>
      </c>
      <c r="M178" s="102">
        <f t="shared" si="222"/>
        <v>13645.845117541236</v>
      </c>
      <c r="N178" s="102">
        <f t="shared" si="219"/>
        <v>13509.798261264757</v>
      </c>
      <c r="O178" s="102">
        <f t="shared" si="219"/>
        <v>13336.280396378836</v>
      </c>
      <c r="P178" s="102">
        <f t="shared" si="219"/>
        <v>13472.051916269338</v>
      </c>
      <c r="Q178" s="102">
        <f t="shared" si="219"/>
        <v>13815.610402847326</v>
      </c>
      <c r="R178" s="102">
        <f t="shared" si="219"/>
        <v>13728.348753565931</v>
      </c>
      <c r="S178" s="102">
        <f t="shared" si="219"/>
        <v>13442.886979436462</v>
      </c>
      <c r="T178" s="102">
        <f t="shared" si="219"/>
        <v>13456.842972912116</v>
      </c>
      <c r="U178" s="102">
        <f t="shared" si="219"/>
        <v>12940.371570345014</v>
      </c>
      <c r="V178" s="102">
        <f t="shared" si="219"/>
        <v>9617.3262269860352</v>
      </c>
      <c r="W178" s="102">
        <f t="shared" si="221"/>
        <v>10128.302649379721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34832.621922899802</v>
      </c>
      <c r="C179" s="102">
        <f t="shared" si="219"/>
        <v>34125.369509294746</v>
      </c>
      <c r="D179" s="102">
        <f t="shared" si="219"/>
        <v>34777.05790501798</v>
      </c>
      <c r="E179" s="102">
        <f t="shared" si="219"/>
        <v>34596.32017618433</v>
      </c>
      <c r="F179" s="102">
        <f t="shared" si="219"/>
        <v>34653.486960421389</v>
      </c>
      <c r="G179" s="102">
        <f t="shared" si="219"/>
        <v>34182.976013678046</v>
      </c>
      <c r="H179" s="102">
        <f t="shared" si="219"/>
        <v>34875.470304954259</v>
      </c>
      <c r="I179" s="102">
        <f t="shared" si="219"/>
        <v>34946.028878674035</v>
      </c>
      <c r="J179" s="102">
        <f t="shared" si="219"/>
        <v>35586.666299669138</v>
      </c>
      <c r="K179" s="102">
        <f t="shared" si="219"/>
        <v>35266.175782909493</v>
      </c>
      <c r="L179" s="102">
        <f t="shared" si="219"/>
        <v>34536.205508200954</v>
      </c>
      <c r="M179" s="102">
        <f t="shared" si="222"/>
        <v>33680.80842699996</v>
      </c>
      <c r="N179" s="102">
        <f t="shared" si="219"/>
        <v>32998.405555505407</v>
      </c>
      <c r="O179" s="102">
        <f t="shared" si="219"/>
        <v>32220.159132701396</v>
      </c>
      <c r="P179" s="102">
        <f t="shared" si="219"/>
        <v>32201.019856279891</v>
      </c>
      <c r="Q179" s="102">
        <f t="shared" si="219"/>
        <v>32676.610093994284</v>
      </c>
      <c r="R179" s="102">
        <f t="shared" si="219"/>
        <v>32773.283373018625</v>
      </c>
      <c r="S179" s="102">
        <f t="shared" si="219"/>
        <v>31806.953925984439</v>
      </c>
      <c r="T179" s="102">
        <f t="shared" si="219"/>
        <v>31447.993096238679</v>
      </c>
      <c r="U179" s="102">
        <f t="shared" si="219"/>
        <v>30406.406395305639</v>
      </c>
      <c r="V179" s="102">
        <f t="shared" si="219"/>
        <v>22910.404563482247</v>
      </c>
      <c r="W179" s="102">
        <f t="shared" si="221"/>
        <v>23813.003247183347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23225.490350987769</v>
      </c>
      <c r="C180" s="102">
        <f t="shared" si="219"/>
        <v>22764.225959797433</v>
      </c>
      <c r="D180" s="102">
        <f t="shared" si="219"/>
        <v>23237.054471772837</v>
      </c>
      <c r="E180" s="102">
        <f t="shared" si="219"/>
        <v>23138.744474194995</v>
      </c>
      <c r="F180" s="102">
        <f t="shared" ref="B180:V192" si="223">IF(F43=0,0,F43*1000000/F70)</f>
        <v>23205.899651025862</v>
      </c>
      <c r="G180" s="102">
        <f t="shared" si="223"/>
        <v>23012.09686282347</v>
      </c>
      <c r="H180" s="102">
        <f t="shared" si="223"/>
        <v>23771.602437532041</v>
      </c>
      <c r="I180" s="102">
        <f t="shared" si="223"/>
        <v>24086.618246451115</v>
      </c>
      <c r="J180" s="102">
        <f t="shared" si="223"/>
        <v>24830.393433165947</v>
      </c>
      <c r="K180" s="102">
        <f t="shared" si="223"/>
        <v>24862.616795113412</v>
      </c>
      <c r="L180" s="102">
        <f t="shared" si="223"/>
        <v>24585.96716945956</v>
      </c>
      <c r="M180" s="102">
        <f t="shared" si="222"/>
        <v>24348.852033332638</v>
      </c>
      <c r="N180" s="102">
        <f t="shared" si="223"/>
        <v>24106.09793898799</v>
      </c>
      <c r="O180" s="102">
        <f t="shared" si="223"/>
        <v>23796.482757161248</v>
      </c>
      <c r="P180" s="102">
        <f t="shared" si="223"/>
        <v>24038.745557279428</v>
      </c>
      <c r="Q180" s="102">
        <f t="shared" si="223"/>
        <v>24651.771330503972</v>
      </c>
      <c r="R180" s="102">
        <f t="shared" si="223"/>
        <v>24496.066720915082</v>
      </c>
      <c r="S180" s="102">
        <f t="shared" si="223"/>
        <v>23538.699463247813</v>
      </c>
      <c r="T180" s="102">
        <f t="shared" si="223"/>
        <v>23096.539855234107</v>
      </c>
      <c r="U180" s="102">
        <f t="shared" si="223"/>
        <v>22210.0984842906</v>
      </c>
      <c r="V180" s="102">
        <f t="shared" si="223"/>
        <v>16506.617410153372</v>
      </c>
      <c r="W180" s="102">
        <f t="shared" si="221"/>
        <v>17383.627517847803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39525.086634480082</v>
      </c>
      <c r="C181" s="102">
        <f t="shared" si="223"/>
        <v>39131.422164711832</v>
      </c>
      <c r="D181" s="102">
        <f t="shared" si="223"/>
        <v>40347.685367738326</v>
      </c>
      <c r="E181" s="102">
        <f t="shared" si="223"/>
        <v>40406.88221320264</v>
      </c>
      <c r="F181" s="102">
        <f t="shared" si="223"/>
        <v>40933.489299738336</v>
      </c>
      <c r="G181" s="102">
        <f t="shared" si="223"/>
        <v>40802.983453549263</v>
      </c>
      <c r="H181" s="102">
        <f t="shared" si="223"/>
        <v>42149.670527849623</v>
      </c>
      <c r="I181" s="102">
        <f t="shared" si="223"/>
        <v>42370.176595869394</v>
      </c>
      <c r="J181" s="102">
        <f t="shared" si="223"/>
        <v>43678.533198124118</v>
      </c>
      <c r="K181" s="102">
        <f t="shared" si="223"/>
        <v>43735.216520052374</v>
      </c>
      <c r="L181" s="102">
        <f t="shared" si="223"/>
        <v>43248.568980983167</v>
      </c>
      <c r="M181" s="102">
        <f t="shared" si="222"/>
        <v>41983.317754770971</v>
      </c>
      <c r="N181" s="102">
        <f t="shared" si="223"/>
        <v>40741.686531126194</v>
      </c>
      <c r="O181" s="102">
        <f t="shared" si="223"/>
        <v>39422.002207442958</v>
      </c>
      <c r="P181" s="102">
        <f t="shared" si="223"/>
        <v>39034.761348746208</v>
      </c>
      <c r="Q181" s="102">
        <f t="shared" si="223"/>
        <v>39237.531673750294</v>
      </c>
      <c r="R181" s="102">
        <f t="shared" si="223"/>
        <v>39777.371749930091</v>
      </c>
      <c r="S181" s="102">
        <f t="shared" si="223"/>
        <v>38994.950290342334</v>
      </c>
      <c r="T181" s="102">
        <f t="shared" si="223"/>
        <v>39035.433653229185</v>
      </c>
      <c r="U181" s="102">
        <f t="shared" si="223"/>
        <v>38295.588668995013</v>
      </c>
      <c r="V181" s="102">
        <f t="shared" si="223"/>
        <v>29036.383917102921</v>
      </c>
      <c r="W181" s="102">
        <f t="shared" si="221"/>
        <v>31196.870599422698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41481.360103909334</v>
      </c>
      <c r="C182" s="102">
        <f t="shared" si="223"/>
        <v>41521.003869146742</v>
      </c>
      <c r="D182" s="102">
        <f t="shared" si="223"/>
        <v>41561.670685169775</v>
      </c>
      <c r="E182" s="102">
        <f t="shared" si="223"/>
        <v>41570.062472517711</v>
      </c>
      <c r="F182" s="102">
        <f t="shared" si="223"/>
        <v>41575.799693723144</v>
      </c>
      <c r="G182" s="102">
        <f t="shared" si="223"/>
        <v>41602.027781994759</v>
      </c>
      <c r="H182" s="102">
        <f t="shared" si="223"/>
        <v>41646.469253162504</v>
      </c>
      <c r="I182" s="102">
        <f t="shared" si="223"/>
        <v>41652.646076049146</v>
      </c>
      <c r="J182" s="102">
        <f t="shared" si="223"/>
        <v>41693.052229776789</v>
      </c>
      <c r="K182" s="102">
        <f t="shared" si="223"/>
        <v>41710.434784171353</v>
      </c>
      <c r="L182" s="102">
        <f t="shared" si="223"/>
        <v>41752.642928885754</v>
      </c>
      <c r="M182" s="102">
        <f t="shared" si="222"/>
        <v>41791.911794288746</v>
      </c>
      <c r="N182" s="102">
        <f t="shared" si="223"/>
        <v>41831.872421701075</v>
      </c>
      <c r="O182" s="102">
        <f t="shared" si="223"/>
        <v>41877.668281320141</v>
      </c>
      <c r="P182" s="102">
        <f t="shared" si="223"/>
        <v>41877.82543161459</v>
      </c>
      <c r="Q182" s="102">
        <f t="shared" si="223"/>
        <v>41908.011261856758</v>
      </c>
      <c r="R182" s="102">
        <f t="shared" si="223"/>
        <v>41900.599904049668</v>
      </c>
      <c r="S182" s="102">
        <f t="shared" si="223"/>
        <v>41841.15050005712</v>
      </c>
      <c r="T182" s="102">
        <f t="shared" si="223"/>
        <v>41823.396285870651</v>
      </c>
      <c r="U182" s="102">
        <f t="shared" si="223"/>
        <v>41765.51016438676</v>
      </c>
      <c r="V182" s="102">
        <f t="shared" si="223"/>
        <v>34030.592419440029</v>
      </c>
      <c r="W182" s="102">
        <f t="shared" si="221"/>
        <v>41320.573436186693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12791.039089411221</v>
      </c>
      <c r="C183" s="28">
        <f t="shared" si="223"/>
        <v>13103.218041769886</v>
      </c>
      <c r="D183" s="28">
        <f t="shared" si="223"/>
        <v>13090.910476638481</v>
      </c>
      <c r="E183" s="28">
        <f t="shared" si="223"/>
        <v>12946.973973668017</v>
      </c>
      <c r="F183" s="28">
        <f t="shared" si="223"/>
        <v>13096.080721611224</v>
      </c>
      <c r="G183" s="28">
        <f t="shared" si="223"/>
        <v>13027.437000443964</v>
      </c>
      <c r="H183" s="28">
        <f t="shared" si="223"/>
        <v>13134.784234129656</v>
      </c>
      <c r="I183" s="28">
        <f t="shared" si="223"/>
        <v>13209.473643076921</v>
      </c>
      <c r="J183" s="28">
        <f t="shared" si="223"/>
        <v>12641.023368318678</v>
      </c>
      <c r="K183" s="28">
        <f t="shared" si="223"/>
        <v>12380.345371741299</v>
      </c>
      <c r="L183" s="28">
        <f t="shared" si="223"/>
        <v>12747.192212320106</v>
      </c>
      <c r="M183" s="28">
        <f t="shared" si="222"/>
        <v>13176.300113185911</v>
      </c>
      <c r="N183" s="28">
        <f t="shared" si="223"/>
        <v>13121.710632607643</v>
      </c>
      <c r="O183" s="28">
        <f t="shared" si="223"/>
        <v>13336.209433595832</v>
      </c>
      <c r="P183" s="28">
        <f t="shared" si="223"/>
        <v>13282.627166957305</v>
      </c>
      <c r="Q183" s="28">
        <f t="shared" si="223"/>
        <v>13589.526731683603</v>
      </c>
      <c r="R183" s="28">
        <f t="shared" si="223"/>
        <v>13693.988303305459</v>
      </c>
      <c r="S183" s="28">
        <f t="shared" si="223"/>
        <v>14256.269338697712</v>
      </c>
      <c r="T183" s="28">
        <f t="shared" si="223"/>
        <v>14139.178514870424</v>
      </c>
      <c r="U183" s="28">
        <f t="shared" si="223"/>
        <v>14369.789949135889</v>
      </c>
      <c r="V183" s="28">
        <f t="shared" si="223"/>
        <v>12865.5772108731</v>
      </c>
      <c r="W183" s="28">
        <f t="shared" si="221"/>
        <v>14377.709679965572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10580.37889483853</v>
      </c>
      <c r="C184" s="137">
        <f t="shared" si="223"/>
        <v>10848.562017143939</v>
      </c>
      <c r="D184" s="137">
        <f t="shared" si="223"/>
        <v>10821.494310742723</v>
      </c>
      <c r="E184" s="137">
        <f t="shared" si="223"/>
        <v>10670.186841516956</v>
      </c>
      <c r="F184" s="137">
        <f t="shared" si="223"/>
        <v>10537.294975957928</v>
      </c>
      <c r="G184" s="137">
        <f t="shared" si="223"/>
        <v>10452.273591199457</v>
      </c>
      <c r="H184" s="137">
        <f t="shared" si="223"/>
        <v>10534.545798754481</v>
      </c>
      <c r="I184" s="137">
        <f t="shared" si="223"/>
        <v>10536.466661948416</v>
      </c>
      <c r="J184" s="137">
        <f t="shared" si="223"/>
        <v>10153.077590851635</v>
      </c>
      <c r="K184" s="137">
        <f t="shared" si="223"/>
        <v>10332.42831201747</v>
      </c>
      <c r="L184" s="137">
        <f t="shared" si="223"/>
        <v>10658.17398704611</v>
      </c>
      <c r="M184" s="137">
        <f t="shared" si="222"/>
        <v>11079.631583786562</v>
      </c>
      <c r="N184" s="137">
        <f t="shared" si="223"/>
        <v>11190.01871189474</v>
      </c>
      <c r="O184" s="137">
        <f t="shared" si="223"/>
        <v>11371.993624653203</v>
      </c>
      <c r="P184" s="137">
        <f t="shared" si="223"/>
        <v>11368.24578315384</v>
      </c>
      <c r="Q184" s="137">
        <f t="shared" si="223"/>
        <v>11784.023783542603</v>
      </c>
      <c r="R184" s="137">
        <f t="shared" si="223"/>
        <v>11743.399365213412</v>
      </c>
      <c r="S184" s="137">
        <f t="shared" si="223"/>
        <v>12234.949321222362</v>
      </c>
      <c r="T184" s="137">
        <f t="shared" si="223"/>
        <v>12164.456590029513</v>
      </c>
      <c r="U184" s="137">
        <f t="shared" si="223"/>
        <v>12329.311790895701</v>
      </c>
      <c r="V184" s="137">
        <f t="shared" si="223"/>
        <v>10762.294804454496</v>
      </c>
      <c r="W184" s="137">
        <f t="shared" si="221"/>
        <v>12294.100716818726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11497.247991626367</v>
      </c>
      <c r="C185" s="84">
        <f t="shared" si="223"/>
        <v>12207.697890326852</v>
      </c>
      <c r="D185" s="84">
        <f t="shared" si="223"/>
        <v>12164.973203659416</v>
      </c>
      <c r="E185" s="84">
        <f t="shared" si="223"/>
        <v>11969.1366391298</v>
      </c>
      <c r="F185" s="84">
        <f t="shared" si="223"/>
        <v>11794.166752561126</v>
      </c>
      <c r="G185" s="84">
        <f t="shared" si="223"/>
        <v>11690.703798926392</v>
      </c>
      <c r="H185" s="84">
        <f t="shared" si="223"/>
        <v>11764.794325816571</v>
      </c>
      <c r="I185" s="84">
        <f t="shared" si="223"/>
        <v>11576.917689485968</v>
      </c>
      <c r="J185" s="84">
        <f t="shared" si="223"/>
        <v>10611.977158775064</v>
      </c>
      <c r="K185" s="84">
        <f t="shared" si="223"/>
        <v>10278.656565364967</v>
      </c>
      <c r="L185" s="84">
        <f t="shared" si="223"/>
        <v>10122.637349612578</v>
      </c>
      <c r="M185" s="84">
        <f t="shared" si="222"/>
        <v>10052.446664379004</v>
      </c>
      <c r="N185" s="84">
        <f t="shared" si="223"/>
        <v>9670.8316579548409</v>
      </c>
      <c r="O185" s="84">
        <f t="shared" si="223"/>
        <v>9371.9605960859444</v>
      </c>
      <c r="P185" s="84">
        <f t="shared" si="223"/>
        <v>8921.1206564806398</v>
      </c>
      <c r="Q185" s="84">
        <f t="shared" si="223"/>
        <v>8807.1992478892862</v>
      </c>
      <c r="R185" s="84">
        <f t="shared" si="223"/>
        <v>9233.6836904812644</v>
      </c>
      <c r="S185" s="84">
        <f t="shared" si="223"/>
        <v>10103.248602318807</v>
      </c>
      <c r="T185" s="84">
        <f t="shared" si="223"/>
        <v>10544.70619418999</v>
      </c>
      <c r="U185" s="84">
        <f t="shared" si="223"/>
        <v>11225.436939968762</v>
      </c>
      <c r="V185" s="84">
        <f t="shared" si="223"/>
        <v>10226.196756402474</v>
      </c>
      <c r="W185" s="84">
        <f t="shared" si="221"/>
        <v>12332.11050361665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10446.035323636275</v>
      </c>
      <c r="C186" s="84">
        <f t="shared" si="223"/>
        <v>10687.717633041295</v>
      </c>
      <c r="D186" s="84">
        <f t="shared" si="223"/>
        <v>10693.313307948503</v>
      </c>
      <c r="E186" s="84">
        <f t="shared" si="223"/>
        <v>10574.312949266812</v>
      </c>
      <c r="F186" s="84">
        <f t="shared" si="223"/>
        <v>10465.818334936432</v>
      </c>
      <c r="G186" s="84">
        <f t="shared" si="223"/>
        <v>10394.505707919845</v>
      </c>
      <c r="H186" s="84">
        <f t="shared" si="223"/>
        <v>10487.38781019938</v>
      </c>
      <c r="I186" s="84">
        <f t="shared" si="223"/>
        <v>10503.308029412905</v>
      </c>
      <c r="J186" s="84">
        <f t="shared" si="223"/>
        <v>10142.326020856895</v>
      </c>
      <c r="K186" s="84">
        <f t="shared" si="223"/>
        <v>10340.782164507635</v>
      </c>
      <c r="L186" s="84">
        <f t="shared" si="223"/>
        <v>10684.681702115791</v>
      </c>
      <c r="M186" s="84">
        <f t="shared" si="222"/>
        <v>11132.116724220727</v>
      </c>
      <c r="N186" s="84">
        <f t="shared" si="223"/>
        <v>11272.124288670353</v>
      </c>
      <c r="O186" s="84">
        <f t="shared" si="223"/>
        <v>11490.842329057998</v>
      </c>
      <c r="P186" s="84">
        <f t="shared" si="223"/>
        <v>11505.584361689991</v>
      </c>
      <c r="Q186" s="84">
        <f t="shared" si="223"/>
        <v>11941.583044955874</v>
      </c>
      <c r="R186" s="84">
        <f t="shared" si="223"/>
        <v>11877.844568455339</v>
      </c>
      <c r="S186" s="84">
        <f t="shared" si="223"/>
        <v>12352.364327284182</v>
      </c>
      <c r="T186" s="84">
        <f t="shared" si="223"/>
        <v>12272.325702467975</v>
      </c>
      <c r="U186" s="84">
        <f t="shared" si="223"/>
        <v>12424.375519998324</v>
      </c>
      <c r="V186" s="84">
        <f t="shared" si="223"/>
        <v>10837.005274305529</v>
      </c>
      <c r="W186" s="84">
        <f t="shared" si="221"/>
        <v>12372.992331072564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10483.34599489934</v>
      </c>
      <c r="C187" s="84">
        <f t="shared" si="223"/>
        <v>10742.774143487628</v>
      </c>
      <c r="D187" s="84">
        <f t="shared" si="223"/>
        <v>10705.176419220283</v>
      </c>
      <c r="E187" s="84">
        <f t="shared" si="223"/>
        <v>10532.840242434224</v>
      </c>
      <c r="F187" s="84">
        <f t="shared" si="223"/>
        <v>10378.866742253791</v>
      </c>
      <c r="G187" s="84">
        <f t="shared" si="223"/>
        <v>10287.819343055224</v>
      </c>
      <c r="H187" s="84">
        <f t="shared" si="223"/>
        <v>10293.585832244891</v>
      </c>
      <c r="I187" s="84">
        <f t="shared" si="223"/>
        <v>10181.945996352366</v>
      </c>
      <c r="J187" s="84">
        <f t="shared" si="223"/>
        <v>9702.9116197950189</v>
      </c>
      <c r="K187" s="84">
        <f t="shared" si="223"/>
        <v>9770.3483851228229</v>
      </c>
      <c r="L187" s="84">
        <f t="shared" si="223"/>
        <v>10003.115833268592</v>
      </c>
      <c r="M187" s="84">
        <f t="shared" si="222"/>
        <v>10327.169910575689</v>
      </c>
      <c r="N187" s="84">
        <f t="shared" si="223"/>
        <v>10328.596076991282</v>
      </c>
      <c r="O187" s="84">
        <f t="shared" si="223"/>
        <v>10405.808984018797</v>
      </c>
      <c r="P187" s="84">
        <f t="shared" si="223"/>
        <v>10297.522129194793</v>
      </c>
      <c r="Q187" s="84">
        <f t="shared" si="223"/>
        <v>10568.639097467141</v>
      </c>
      <c r="R187" s="84">
        <f t="shared" si="223"/>
        <v>10658.309174155514</v>
      </c>
      <c r="S187" s="84">
        <f t="shared" si="223"/>
        <v>11217.767509360994</v>
      </c>
      <c r="T187" s="84">
        <f t="shared" si="223"/>
        <v>11261.907443166972</v>
      </c>
      <c r="U187" s="84">
        <f t="shared" si="223"/>
        <v>11532.216829391333</v>
      </c>
      <c r="V187" s="84">
        <f t="shared" si="223"/>
        <v>10105.452477955721</v>
      </c>
      <c r="W187" s="84">
        <f t="shared" si="221"/>
        <v>11722.253309850614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9385.9015622611641</v>
      </c>
      <c r="C188" s="84">
        <f t="shared" si="223"/>
        <v>9715.324838393306</v>
      </c>
      <c r="D188" s="84">
        <f t="shared" si="223"/>
        <v>9681.3229968240103</v>
      </c>
      <c r="E188" s="84">
        <f t="shared" si="223"/>
        <v>9525.4692185987369</v>
      </c>
      <c r="F188" s="84">
        <f t="shared" si="223"/>
        <v>9386.2218928356633</v>
      </c>
      <c r="G188" s="84">
        <f t="shared" si="223"/>
        <v>9303.8823549202025</v>
      </c>
      <c r="H188" s="84">
        <f t="shared" si="223"/>
        <v>9309.0973315087849</v>
      </c>
      <c r="I188" s="84">
        <f t="shared" si="223"/>
        <v>9208.1348374533463</v>
      </c>
      <c r="J188" s="84">
        <f t="shared" si="223"/>
        <v>8774.9157717957914</v>
      </c>
      <c r="K188" s="84">
        <f t="shared" si="223"/>
        <v>8835.9028196904255</v>
      </c>
      <c r="L188" s="84">
        <f t="shared" si="223"/>
        <v>9046.4081640581917</v>
      </c>
      <c r="M188" s="84">
        <f t="shared" si="222"/>
        <v>9339.4693961192588</v>
      </c>
      <c r="N188" s="84">
        <f t="shared" si="223"/>
        <v>9340.7591626000594</v>
      </c>
      <c r="O188" s="84">
        <f t="shared" si="223"/>
        <v>9410.5873525507632</v>
      </c>
      <c r="P188" s="84">
        <f t="shared" si="223"/>
        <v>9312.6571572128214</v>
      </c>
      <c r="Q188" s="84">
        <f t="shared" si="223"/>
        <v>9557.8442365263145</v>
      </c>
      <c r="R188" s="84">
        <f t="shared" si="223"/>
        <v>9638.9381803880406</v>
      </c>
      <c r="S188" s="84">
        <f t="shared" si="223"/>
        <v>10144.889379535507</v>
      </c>
      <c r="T188" s="84">
        <f t="shared" si="223"/>
        <v>9983.1283664596376</v>
      </c>
      <c r="U188" s="84">
        <f t="shared" si="223"/>
        <v>10020.313792555611</v>
      </c>
      <c r="V188" s="84">
        <f t="shared" si="223"/>
        <v>8606.7285815783653</v>
      </c>
      <c r="W188" s="84">
        <f t="shared" si="221"/>
        <v>9786.0462986603925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5796.6333991839474</v>
      </c>
      <c r="C189" s="84">
        <f t="shared" si="223"/>
        <v>5803.3850106091868</v>
      </c>
      <c r="D189" s="84">
        <f t="shared" si="223"/>
        <v>5804.3539676913178</v>
      </c>
      <c r="E189" s="84">
        <f t="shared" si="223"/>
        <v>5808.8414675468903</v>
      </c>
      <c r="F189" s="84">
        <f t="shared" si="223"/>
        <v>5812.9163666059612</v>
      </c>
      <c r="G189" s="84">
        <f t="shared" si="223"/>
        <v>5815.3558361461073</v>
      </c>
      <c r="H189" s="84">
        <f t="shared" si="223"/>
        <v>5817.1055691733964</v>
      </c>
      <c r="I189" s="84">
        <f t="shared" si="223"/>
        <v>5817.3699720589348</v>
      </c>
      <c r="J189" s="84">
        <f t="shared" si="223"/>
        <v>5827.9727246238226</v>
      </c>
      <c r="K189" s="84">
        <f t="shared" si="223"/>
        <v>5832.6582011658966</v>
      </c>
      <c r="L189" s="84">
        <f t="shared" si="223"/>
        <v>5841.9686681338871</v>
      </c>
      <c r="M189" s="84">
        <f t="shared" si="222"/>
        <v>5853.6174626830625</v>
      </c>
      <c r="N189" s="84">
        <f t="shared" si="223"/>
        <v>5856.4302216013539</v>
      </c>
      <c r="O189" s="84">
        <f t="shared" si="223"/>
        <v>5861.2841926430201</v>
      </c>
      <c r="P189" s="84">
        <f t="shared" si="223"/>
        <v>5861.4267015091864</v>
      </c>
      <c r="Q189" s="84">
        <f t="shared" si="223"/>
        <v>5871.4661652595241</v>
      </c>
      <c r="R189" s="84">
        <f t="shared" si="223"/>
        <v>5871.0463483716312</v>
      </c>
      <c r="S189" s="84">
        <f t="shared" si="223"/>
        <v>5859.5367555138328</v>
      </c>
      <c r="T189" s="84">
        <f t="shared" si="223"/>
        <v>5857.8563617656091</v>
      </c>
      <c r="U189" s="84">
        <f t="shared" si="223"/>
        <v>5854.0170305395404</v>
      </c>
      <c r="V189" s="84">
        <f t="shared" si="223"/>
        <v>5289.2972583703722</v>
      </c>
      <c r="W189" s="84">
        <f t="shared" si="221"/>
        <v>5853.0257740116713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37835.585945464401</v>
      </c>
      <c r="C190" s="110">
        <f t="shared" si="223"/>
        <v>37917.659842302492</v>
      </c>
      <c r="D190" s="110">
        <f t="shared" si="223"/>
        <v>37534.101013502623</v>
      </c>
      <c r="E190" s="110">
        <f t="shared" si="223"/>
        <v>37146.040740672324</v>
      </c>
      <c r="F190" s="110">
        <f t="shared" si="223"/>
        <v>39550.210917883269</v>
      </c>
      <c r="G190" s="110">
        <f t="shared" si="223"/>
        <v>39240.069318638336</v>
      </c>
      <c r="H190" s="110">
        <f t="shared" si="223"/>
        <v>39234.000636440789</v>
      </c>
      <c r="I190" s="110">
        <f t="shared" si="223"/>
        <v>39671.870241907243</v>
      </c>
      <c r="J190" s="110">
        <f t="shared" si="223"/>
        <v>36811.872911042483</v>
      </c>
      <c r="K190" s="110">
        <f t="shared" si="223"/>
        <v>32252.802392071972</v>
      </c>
      <c r="L190" s="110">
        <f t="shared" si="223"/>
        <v>32350.01519999998</v>
      </c>
      <c r="M190" s="110">
        <f t="shared" si="222"/>
        <v>32972.738363242475</v>
      </c>
      <c r="N190" s="110">
        <f t="shared" si="223"/>
        <v>31681.666832075116</v>
      </c>
      <c r="O190" s="110">
        <f t="shared" si="223"/>
        <v>32448.189730771752</v>
      </c>
      <c r="P190" s="110">
        <f t="shared" si="223"/>
        <v>32145.46041245688</v>
      </c>
      <c r="Q190" s="110">
        <f t="shared" si="223"/>
        <v>31709.057759610172</v>
      </c>
      <c r="R190" s="110">
        <f t="shared" si="223"/>
        <v>33343.835959551223</v>
      </c>
      <c r="S190" s="110">
        <f t="shared" si="223"/>
        <v>34265.02350313912</v>
      </c>
      <c r="T190" s="110">
        <f t="shared" si="223"/>
        <v>33487.498867295901</v>
      </c>
      <c r="U190" s="110">
        <f t="shared" si="223"/>
        <v>33948.904644015078</v>
      </c>
      <c r="V190" s="110">
        <f t="shared" si="223"/>
        <v>33149.966951523187</v>
      </c>
      <c r="W190" s="110">
        <f t="shared" si="221"/>
        <v>34220.440052907303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30527.556485857171</v>
      </c>
      <c r="C191" s="102">
        <f t="shared" si="223"/>
        <v>30332.579916047787</v>
      </c>
      <c r="D191" s="102">
        <f t="shared" si="223"/>
        <v>29673.983683410206</v>
      </c>
      <c r="E191" s="102">
        <f t="shared" si="223"/>
        <v>29193.79451186398</v>
      </c>
      <c r="F191" s="102">
        <f t="shared" si="223"/>
        <v>30697.139300936371</v>
      </c>
      <c r="G191" s="102">
        <f t="shared" si="223"/>
        <v>30161.361471046181</v>
      </c>
      <c r="H191" s="102">
        <f t="shared" si="223"/>
        <v>30054.904759073161</v>
      </c>
      <c r="I191" s="102">
        <f t="shared" si="223"/>
        <v>30558.58310626703</v>
      </c>
      <c r="J191" s="102">
        <f t="shared" si="223"/>
        <v>27631.911276307805</v>
      </c>
      <c r="K191" s="102">
        <f t="shared" si="223"/>
        <v>23463.512444583434</v>
      </c>
      <c r="L191" s="102">
        <f t="shared" si="223"/>
        <v>23788.0880914521</v>
      </c>
      <c r="M191" s="102">
        <f t="shared" si="222"/>
        <v>24865.02656733002</v>
      </c>
      <c r="N191" s="102">
        <f t="shared" si="223"/>
        <v>23400.30267605506</v>
      </c>
      <c r="O191" s="102">
        <f t="shared" si="223"/>
        <v>23703.640775802527</v>
      </c>
      <c r="P191" s="102">
        <f t="shared" si="223"/>
        <v>23320.392935428397</v>
      </c>
      <c r="Q191" s="102">
        <f t="shared" si="223"/>
        <v>22466.613706831631</v>
      </c>
      <c r="R191" s="102">
        <f t="shared" si="223"/>
        <v>23833.489656013848</v>
      </c>
      <c r="S191" s="102">
        <f t="shared" si="223"/>
        <v>24390.569284806304</v>
      </c>
      <c r="T191" s="102">
        <f t="shared" si="223"/>
        <v>23659.89952774276</v>
      </c>
      <c r="U191" s="102">
        <f t="shared" si="223"/>
        <v>23913.435259450831</v>
      </c>
      <c r="V191" s="102">
        <f t="shared" si="223"/>
        <v>23182.985374567379</v>
      </c>
      <c r="W191" s="102">
        <f t="shared" si="221"/>
        <v>23776.122694429567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84999.836294676701</v>
      </c>
      <c r="C192" s="86">
        <f t="shared" si="223"/>
        <v>84999.458318293153</v>
      </c>
      <c r="D192" s="86">
        <f t="shared" si="223"/>
        <v>84999.985392585033</v>
      </c>
      <c r="E192" s="86">
        <f t="shared" si="223"/>
        <v>85000.329670707782</v>
      </c>
      <c r="F192" s="86">
        <f t="shared" si="223"/>
        <v>84999.718853579776</v>
      </c>
      <c r="G192" s="86">
        <f t="shared" si="223"/>
        <v>85000.270483538246</v>
      </c>
      <c r="H192" s="86">
        <f t="shared" si="223"/>
        <v>84999.760025802578</v>
      </c>
      <c r="I192" s="86">
        <f t="shared" si="223"/>
        <v>85000.107708431329</v>
      </c>
      <c r="J192" s="86">
        <f t="shared" si="223"/>
        <v>84999.700531843147</v>
      </c>
      <c r="K192" s="86">
        <f t="shared" si="223"/>
        <v>84999.991771355286</v>
      </c>
      <c r="L192" s="86">
        <f t="shared" si="223"/>
        <v>84999.906907400335</v>
      </c>
      <c r="M192" s="86">
        <f t="shared" si="222"/>
        <v>85000.094308327563</v>
      </c>
      <c r="N192" s="86">
        <f t="shared" si="223"/>
        <v>85000.389599337155</v>
      </c>
      <c r="O192" s="86">
        <f t="shared" si="223"/>
        <v>84999.530200892579</v>
      </c>
      <c r="P192" s="86">
        <f t="shared" si="223"/>
        <v>85000.292559608875</v>
      </c>
      <c r="Q192" s="86">
        <f t="shared" si="223"/>
        <v>84999.87927319399</v>
      </c>
      <c r="R192" s="86">
        <f t="shared" si="223"/>
        <v>85000.157115112714</v>
      </c>
      <c r="S192" s="86">
        <f t="shared" si="223"/>
        <v>85000.261866246627</v>
      </c>
      <c r="T192" s="86">
        <f t="shared" si="223"/>
        <v>85000.060978768481</v>
      </c>
      <c r="U192" s="86">
        <f t="shared" si="223"/>
        <v>84999.618629764009</v>
      </c>
      <c r="V192" s="86">
        <f t="shared" ref="V192:W192" si="224">IF(V55=0,0,V55*1000000/V82)</f>
        <v>84999.843911338045</v>
      </c>
      <c r="W192" s="86">
        <f t="shared" si="224"/>
        <v>84999.627179826915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23596.420243329379</v>
      </c>
      <c r="C195" s="28">
        <f t="shared" si="225"/>
        <v>23998.064994781522</v>
      </c>
      <c r="D195" s="28">
        <f t="shared" si="225"/>
        <v>23861.139132125467</v>
      </c>
      <c r="E195" s="28">
        <f t="shared" si="225"/>
        <v>23626.813864661079</v>
      </c>
      <c r="F195" s="28">
        <f t="shared" si="225"/>
        <v>23323.202535708828</v>
      </c>
      <c r="G195" s="28">
        <f t="shared" si="225"/>
        <v>22886.00678525741</v>
      </c>
      <c r="H195" s="28">
        <f t="shared" si="225"/>
        <v>22573.523921078857</v>
      </c>
      <c r="I195" s="28">
        <f t="shared" si="225"/>
        <v>22376.645361237082</v>
      </c>
      <c r="J195" s="28">
        <f t="shared" si="225"/>
        <v>21230.219288056145</v>
      </c>
      <c r="K195" s="28">
        <f t="shared" si="225"/>
        <v>20575.634882238825</v>
      </c>
      <c r="L195" s="28">
        <f t="shared" si="225"/>
        <v>20275.281059632249</v>
      </c>
      <c r="M195" s="28">
        <f>IF(M4=0,0,M4*1000000/M58)</f>
        <v>19442.606228115874</v>
      </c>
      <c r="N195" s="28">
        <f t="shared" ref="N195:V195" si="226">IF(N4=0,0,N4*1000000/N58)</f>
        <v>20806.372860631785</v>
      </c>
      <c r="O195" s="28">
        <f t="shared" si="226"/>
        <v>20656.40599154829</v>
      </c>
      <c r="P195" s="28">
        <f t="shared" si="226"/>
        <v>20705.839231249043</v>
      </c>
      <c r="Q195" s="28">
        <f t="shared" si="226"/>
        <v>20716.241872874554</v>
      </c>
      <c r="R195" s="28">
        <f t="shared" si="226"/>
        <v>20762.040314385315</v>
      </c>
      <c r="S195" s="28">
        <f t="shared" si="226"/>
        <v>20732.208234784157</v>
      </c>
      <c r="T195" s="28">
        <f t="shared" si="226"/>
        <v>20620.604107720555</v>
      </c>
      <c r="U195" s="28">
        <f t="shared" si="226"/>
        <v>20444.842628369373</v>
      </c>
      <c r="V195" s="28">
        <f t="shared" si="226"/>
        <v>15954.507957935119</v>
      </c>
      <c r="W195" s="28">
        <f t="shared" ref="W195" si="227">IF(W4=0,0,W4*1000000/W58)</f>
        <v>18159.19580747373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3508.7902936803684</v>
      </c>
      <c r="C196" s="137">
        <f t="shared" si="228"/>
        <v>3803.8288988040867</v>
      </c>
      <c r="D196" s="137">
        <f t="shared" si="228"/>
        <v>4229.7026460459447</v>
      </c>
      <c r="E196" s="137">
        <f t="shared" si="228"/>
        <v>4276.4402244518233</v>
      </c>
      <c r="F196" s="137">
        <f t="shared" si="228"/>
        <v>4502.4925738430429</v>
      </c>
      <c r="G196" s="137">
        <f t="shared" si="228"/>
        <v>4672.6917583971317</v>
      </c>
      <c r="H196" s="137">
        <f t="shared" si="228"/>
        <v>4529.6116050795526</v>
      </c>
      <c r="I196" s="137">
        <f t="shared" si="228"/>
        <v>4396.4056972660437</v>
      </c>
      <c r="J196" s="137">
        <f t="shared" si="228"/>
        <v>4353.0044746531948</v>
      </c>
      <c r="K196" s="137">
        <f t="shared" si="228"/>
        <v>4293.1900687932284</v>
      </c>
      <c r="L196" s="137">
        <f t="shared" si="228"/>
        <v>4154.1122088165685</v>
      </c>
      <c r="M196" s="137">
        <f>IF(M5=0,0,M5*1000000/M59)</f>
        <v>4283.7057455020249</v>
      </c>
      <c r="N196" s="137">
        <f t="shared" ref="N196:V196" si="229">IF(N5=0,0,N5*1000000/N59)</f>
        <v>4200.4331207456507</v>
      </c>
      <c r="O196" s="137">
        <f t="shared" si="229"/>
        <v>4260.1993500913177</v>
      </c>
      <c r="P196" s="137">
        <f t="shared" si="229"/>
        <v>4376.426894096614</v>
      </c>
      <c r="Q196" s="137">
        <f t="shared" si="229"/>
        <v>4401.6030868636535</v>
      </c>
      <c r="R196" s="137">
        <f t="shared" si="229"/>
        <v>4076.4261095012939</v>
      </c>
      <c r="S196" s="137">
        <f t="shared" si="229"/>
        <v>3946.206821588718</v>
      </c>
      <c r="T196" s="137">
        <f t="shared" si="229"/>
        <v>3728.0105362262871</v>
      </c>
      <c r="U196" s="137">
        <f t="shared" si="229"/>
        <v>3921.0652608643582</v>
      </c>
      <c r="V196" s="137">
        <f t="shared" si="229"/>
        <v>3383.9528866383289</v>
      </c>
      <c r="W196" s="137">
        <f t="shared" ref="W196" si="230">IF(W5=0,0,W5*1000000/W59)</f>
        <v>3858.0005483583996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24204.967237599863</v>
      </c>
      <c r="C197" s="110">
        <f t="shared" si="231"/>
        <v>24691.185930246735</v>
      </c>
      <c r="D197" s="110">
        <f t="shared" si="231"/>
        <v>24461.867325279021</v>
      </c>
      <c r="E197" s="110">
        <f t="shared" si="231"/>
        <v>24178.542796103797</v>
      </c>
      <c r="F197" s="110">
        <f t="shared" si="231"/>
        <v>23794.1372720174</v>
      </c>
      <c r="G197" s="110">
        <f t="shared" si="231"/>
        <v>23294.616295740409</v>
      </c>
      <c r="H197" s="110">
        <f t="shared" si="231"/>
        <v>22937.925331958817</v>
      </c>
      <c r="I197" s="110">
        <f t="shared" si="231"/>
        <v>22858.66252390296</v>
      </c>
      <c r="J197" s="110">
        <f t="shared" si="231"/>
        <v>21681.428494878524</v>
      </c>
      <c r="K197" s="110">
        <f t="shared" si="231"/>
        <v>21044.412158621988</v>
      </c>
      <c r="L197" s="110">
        <f t="shared" si="231"/>
        <v>20736.993683130484</v>
      </c>
      <c r="M197" s="110">
        <f>IF(M6=0,0,M6*1000000/M60)</f>
        <v>19740.219841327082</v>
      </c>
      <c r="N197" s="110">
        <f t="shared" ref="N197:V197" si="232">IF(N6=0,0,N6*1000000/N60)</f>
        <v>21259.060499512903</v>
      </c>
      <c r="O197" s="110">
        <f t="shared" si="232"/>
        <v>21054.827549786813</v>
      </c>
      <c r="P197" s="110">
        <f t="shared" si="232"/>
        <v>21056.97304703965</v>
      </c>
      <c r="Q197" s="110">
        <f t="shared" si="232"/>
        <v>21039.728723103282</v>
      </c>
      <c r="R197" s="110">
        <f t="shared" si="232"/>
        <v>21094.990328942928</v>
      </c>
      <c r="S197" s="110">
        <f t="shared" si="232"/>
        <v>21034.773322187222</v>
      </c>
      <c r="T197" s="110">
        <f t="shared" si="232"/>
        <v>20937.762785256764</v>
      </c>
      <c r="U197" s="110">
        <f t="shared" si="232"/>
        <v>20731.023693971114</v>
      </c>
      <c r="V197" s="110">
        <f t="shared" si="232"/>
        <v>16367.916871820598</v>
      </c>
      <c r="W197" s="110">
        <f t="shared" ref="W197:W209" si="233">IF(W6=0,0,W6*1000000/W60)</f>
        <v>18543.98301142074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19444.867390201605</v>
      </c>
      <c r="C198" s="84">
        <f t="shared" si="231"/>
        <v>19315.785985425158</v>
      </c>
      <c r="D198" s="84">
        <f t="shared" si="231"/>
        <v>19077.841667640929</v>
      </c>
      <c r="E198" s="84">
        <f t="shared" si="231"/>
        <v>18440.700262066181</v>
      </c>
      <c r="F198" s="84">
        <f t="shared" si="231"/>
        <v>17972.281858393733</v>
      </c>
      <c r="G198" s="84">
        <f t="shared" si="231"/>
        <v>17365.01674175663</v>
      </c>
      <c r="H198" s="84">
        <f t="shared" si="231"/>
        <v>16478.32532975205</v>
      </c>
      <c r="I198" s="84">
        <f t="shared" si="231"/>
        <v>15792.911829868777</v>
      </c>
      <c r="J198" s="84">
        <f t="shared" si="231"/>
        <v>14556.299484535677</v>
      </c>
      <c r="K198" s="84">
        <f t="shared" si="231"/>
        <v>14141.618775130784</v>
      </c>
      <c r="L198" s="84">
        <f t="shared" si="231"/>
        <v>13428.922421221385</v>
      </c>
      <c r="M198" s="84">
        <f t="shared" ref="M198:M219" si="234">IF(M7=0,0,M7*1000000/M61)</f>
        <v>13340.879796019024</v>
      </c>
      <c r="N198" s="84">
        <f t="shared" si="231"/>
        <v>13815.161130497891</v>
      </c>
      <c r="O198" s="84">
        <f t="shared" si="231"/>
        <v>13660.961463644657</v>
      </c>
      <c r="P198" s="84">
        <f t="shared" si="231"/>
        <v>13875.915263425806</v>
      </c>
      <c r="Q198" s="84">
        <f t="shared" si="231"/>
        <v>14055.005388963986</v>
      </c>
      <c r="R198" s="84">
        <f t="shared" si="231"/>
        <v>14491.452366145993</v>
      </c>
      <c r="S198" s="84">
        <f t="shared" si="231"/>
        <v>14893.603600319244</v>
      </c>
      <c r="T198" s="84">
        <f t="shared" si="231"/>
        <v>15383.857461381524</v>
      </c>
      <c r="U198" s="84">
        <f t="shared" si="231"/>
        <v>15774.061170249652</v>
      </c>
      <c r="V198" s="84">
        <f t="shared" si="231"/>
        <v>12610.551475273556</v>
      </c>
      <c r="W198" s="84">
        <f t="shared" si="233"/>
        <v>14853.881543471185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33031.817834769427</v>
      </c>
      <c r="C199" s="84">
        <f t="shared" si="231"/>
        <v>33675.204530335723</v>
      </c>
      <c r="D199" s="84">
        <f t="shared" si="231"/>
        <v>32535.095733420974</v>
      </c>
      <c r="E199" s="84">
        <f t="shared" si="231"/>
        <v>31921.059675359666</v>
      </c>
      <c r="F199" s="84">
        <f t="shared" si="231"/>
        <v>30917.831289984311</v>
      </c>
      <c r="G199" s="84">
        <f t="shared" si="231"/>
        <v>29914.525755334267</v>
      </c>
      <c r="H199" s="84">
        <f t="shared" si="231"/>
        <v>29537.138702578301</v>
      </c>
      <c r="I199" s="84">
        <f t="shared" si="231"/>
        <v>29497.162865486884</v>
      </c>
      <c r="J199" s="84">
        <f t="shared" si="231"/>
        <v>27711.794119201084</v>
      </c>
      <c r="K199" s="84">
        <f t="shared" si="231"/>
        <v>26337.283759493828</v>
      </c>
      <c r="L199" s="84">
        <f t="shared" si="231"/>
        <v>25911.781960137901</v>
      </c>
      <c r="M199" s="84">
        <f t="shared" si="234"/>
        <v>23765.929139871558</v>
      </c>
      <c r="N199" s="84">
        <f t="shared" si="231"/>
        <v>25706.56490770671</v>
      </c>
      <c r="O199" s="84">
        <f t="shared" si="231"/>
        <v>25282.288469092939</v>
      </c>
      <c r="P199" s="84">
        <f t="shared" si="231"/>
        <v>25086.018612089953</v>
      </c>
      <c r="Q199" s="84">
        <f t="shared" si="231"/>
        <v>24970.809722068327</v>
      </c>
      <c r="R199" s="84">
        <f t="shared" si="231"/>
        <v>24891.846663320597</v>
      </c>
      <c r="S199" s="84">
        <f t="shared" si="231"/>
        <v>24718.316111483859</v>
      </c>
      <c r="T199" s="84">
        <f t="shared" si="231"/>
        <v>24502.393396332853</v>
      </c>
      <c r="U199" s="84">
        <f t="shared" si="231"/>
        <v>24160.713209927722</v>
      </c>
      <c r="V199" s="84">
        <f t="shared" si="231"/>
        <v>19101.122931974096</v>
      </c>
      <c r="W199" s="84">
        <f t="shared" si="233"/>
        <v>21413.861254424963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18286.333117923186</v>
      </c>
      <c r="C200" s="84">
        <f t="shared" si="231"/>
        <v>18270.869653806651</v>
      </c>
      <c r="D200" s="84">
        <f t="shared" si="231"/>
        <v>17370.097722428312</v>
      </c>
      <c r="E200" s="84">
        <f t="shared" si="231"/>
        <v>16514.655985065056</v>
      </c>
      <c r="F200" s="84">
        <f t="shared" si="231"/>
        <v>15912.348749972098</v>
      </c>
      <c r="G200" s="84">
        <f t="shared" si="231"/>
        <v>15816.589704063024</v>
      </c>
      <c r="H200" s="84">
        <f t="shared" si="231"/>
        <v>15776.128947187288</v>
      </c>
      <c r="I200" s="84">
        <f t="shared" si="231"/>
        <v>15430.947742852486</v>
      </c>
      <c r="J200" s="84">
        <f t="shared" si="231"/>
        <v>13911.398947498732</v>
      </c>
      <c r="K200" s="84">
        <f t="shared" si="231"/>
        <v>14210.497415227686</v>
      </c>
      <c r="L200" s="84">
        <f t="shared" si="231"/>
        <v>14729.789598590887</v>
      </c>
      <c r="M200" s="84">
        <f t="shared" si="234"/>
        <v>13662.229349941146</v>
      </c>
      <c r="N200" s="84">
        <f t="shared" si="231"/>
        <v>14023.598054470169</v>
      </c>
      <c r="O200" s="84">
        <f t="shared" si="231"/>
        <v>13219.993586277767</v>
      </c>
      <c r="P200" s="84">
        <f t="shared" si="231"/>
        <v>12602.379705961615</v>
      </c>
      <c r="Q200" s="84">
        <f t="shared" si="231"/>
        <v>12001.250912720472</v>
      </c>
      <c r="R200" s="84">
        <f t="shared" si="231"/>
        <v>11438.027124270218</v>
      </c>
      <c r="S200" s="84">
        <f t="shared" si="231"/>
        <v>10838.447840438101</v>
      </c>
      <c r="T200" s="84">
        <f t="shared" si="231"/>
        <v>10242.724377477927</v>
      </c>
      <c r="U200" s="84">
        <f t="shared" si="231"/>
        <v>9642.7428245408519</v>
      </c>
      <c r="V200" s="84">
        <f t="shared" si="231"/>
        <v>7168.8872457230254</v>
      </c>
      <c r="W200" s="84">
        <f t="shared" si="233"/>
        <v>7827.6923360037108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37555.251058250353</v>
      </c>
      <c r="J201" s="84">
        <f t="shared" si="231"/>
        <v>34852.826293297105</v>
      </c>
      <c r="K201" s="84">
        <f t="shared" si="231"/>
        <v>33158.884338217133</v>
      </c>
      <c r="L201" s="84">
        <f t="shared" si="231"/>
        <v>32011.837735479337</v>
      </c>
      <c r="M201" s="84">
        <f t="shared" si="234"/>
        <v>29844.133611032536</v>
      </c>
      <c r="N201" s="84">
        <f t="shared" si="231"/>
        <v>31534.502718446562</v>
      </c>
      <c r="O201" s="84">
        <f t="shared" si="231"/>
        <v>30601.795110929099</v>
      </c>
      <c r="P201" s="84">
        <f t="shared" si="231"/>
        <v>30030.139287816881</v>
      </c>
      <c r="Q201" s="84">
        <f t="shared" si="231"/>
        <v>29438.822090619869</v>
      </c>
      <c r="R201" s="84">
        <f t="shared" si="231"/>
        <v>30124.621700157611</v>
      </c>
      <c r="S201" s="84">
        <f t="shared" si="231"/>
        <v>29446.931226446715</v>
      </c>
      <c r="T201" s="84">
        <f t="shared" si="231"/>
        <v>28707.204754610437</v>
      </c>
      <c r="U201" s="84">
        <f t="shared" si="231"/>
        <v>27879.082372535664</v>
      </c>
      <c r="V201" s="84">
        <f t="shared" si="231"/>
        <v>21381.201729798802</v>
      </c>
      <c r="W201" s="84">
        <f t="shared" si="233"/>
        <v>24866.830272505867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14334.93894286491</v>
      </c>
      <c r="O202" s="84">
        <f t="shared" si="231"/>
        <v>14169.389670129231</v>
      </c>
      <c r="P202" s="84">
        <f t="shared" si="231"/>
        <v>14367.065052140782</v>
      </c>
      <c r="Q202" s="84">
        <f t="shared" si="231"/>
        <v>14535.85966768973</v>
      </c>
      <c r="R202" s="84">
        <f t="shared" si="231"/>
        <v>14942.982583647583</v>
      </c>
      <c r="S202" s="84">
        <f t="shared" si="231"/>
        <v>15309.933237503939</v>
      </c>
      <c r="T202" s="84">
        <f t="shared" si="231"/>
        <v>15755.285848413068</v>
      </c>
      <c r="U202" s="84">
        <f t="shared" si="231"/>
        <v>16098.10474713162</v>
      </c>
      <c r="V202" s="84">
        <f t="shared" si="231"/>
        <v>12872.516480547312</v>
      </c>
      <c r="W202" s="84">
        <f t="shared" si="233"/>
        <v>15095.993669459836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24949.558424037019</v>
      </c>
      <c r="I203" s="84">
        <f t="shared" si="231"/>
        <v>24501.380538379799</v>
      </c>
      <c r="J203" s="84">
        <f t="shared" si="231"/>
        <v>24270.436777596697</v>
      </c>
      <c r="K203" s="84">
        <f t="shared" si="231"/>
        <v>23653.705406619869</v>
      </c>
      <c r="L203" s="84">
        <f t="shared" si="231"/>
        <v>23690.305162989407</v>
      </c>
      <c r="M203" s="84">
        <f t="shared" si="234"/>
        <v>23056.303676567364</v>
      </c>
      <c r="N203" s="84">
        <f t="shared" si="231"/>
        <v>24478.321208165038</v>
      </c>
      <c r="O203" s="84">
        <f t="shared" si="231"/>
        <v>24535.728242070414</v>
      </c>
      <c r="P203" s="84">
        <f t="shared" si="231"/>
        <v>24167.070932977418</v>
      </c>
      <c r="Q203" s="84">
        <f t="shared" si="231"/>
        <v>23829.173448710582</v>
      </c>
      <c r="R203" s="84">
        <f t="shared" si="231"/>
        <v>23558.51083587042</v>
      </c>
      <c r="S203" s="84">
        <f t="shared" si="231"/>
        <v>23304.922766888205</v>
      </c>
      <c r="T203" s="84">
        <f t="shared" si="231"/>
        <v>23456.853641726171</v>
      </c>
      <c r="U203" s="84">
        <f t="shared" si="231"/>
        <v>22773.182463934434</v>
      </c>
      <c r="V203" s="84">
        <f t="shared" si="231"/>
        <v>18985.360074856319</v>
      </c>
      <c r="W203" s="84">
        <f t="shared" si="233"/>
        <v>21393.734144836224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578368.20987402287</v>
      </c>
      <c r="C204" s="110">
        <f t="shared" si="231"/>
        <v>553296.43696305377</v>
      </c>
      <c r="D204" s="110">
        <f t="shared" si="231"/>
        <v>566494.49202761275</v>
      </c>
      <c r="E204" s="110">
        <f t="shared" si="231"/>
        <v>564098.6487464027</v>
      </c>
      <c r="F204" s="110">
        <f t="shared" si="231"/>
        <v>565431.09978872759</v>
      </c>
      <c r="G204" s="110">
        <f t="shared" si="231"/>
        <v>556378.97872419108</v>
      </c>
      <c r="H204" s="110">
        <f t="shared" si="231"/>
        <v>569025.04204955057</v>
      </c>
      <c r="I204" s="110">
        <f t="shared" si="231"/>
        <v>561958.99956018361</v>
      </c>
      <c r="J204" s="110">
        <f t="shared" si="231"/>
        <v>576320.5898741117</v>
      </c>
      <c r="K204" s="110">
        <f t="shared" si="231"/>
        <v>587750.45306433097</v>
      </c>
      <c r="L204" s="110">
        <f t="shared" si="231"/>
        <v>602564.24845507578</v>
      </c>
      <c r="M204" s="110">
        <f t="shared" si="234"/>
        <v>596538.08362591639</v>
      </c>
      <c r="N204" s="110">
        <f t="shared" si="231"/>
        <v>588298.44410799909</v>
      </c>
      <c r="O204" s="110">
        <f t="shared" si="231"/>
        <v>616789.96926086838</v>
      </c>
      <c r="P204" s="110">
        <f t="shared" si="231"/>
        <v>625945.24528814422</v>
      </c>
      <c r="Q204" s="110">
        <f t="shared" si="231"/>
        <v>632546.17522347975</v>
      </c>
      <c r="R204" s="110">
        <f t="shared" si="231"/>
        <v>634592.99450983899</v>
      </c>
      <c r="S204" s="110">
        <f t="shared" si="231"/>
        <v>630038.21495342162</v>
      </c>
      <c r="T204" s="110">
        <f t="shared" si="231"/>
        <v>618482.83859273349</v>
      </c>
      <c r="U204" s="110">
        <f t="shared" si="231"/>
        <v>601448.12894819176</v>
      </c>
      <c r="V204" s="110">
        <f t="shared" si="231"/>
        <v>367734.20995350374</v>
      </c>
      <c r="W204" s="110">
        <f t="shared" si="233"/>
        <v>387117.95723731664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82653.631210512962</v>
      </c>
      <c r="C205" s="102">
        <f t="shared" si="231"/>
        <v>81632.682230541366</v>
      </c>
      <c r="D205" s="102">
        <f t="shared" si="231"/>
        <v>84201.907893818643</v>
      </c>
      <c r="E205" s="102">
        <f t="shared" si="231"/>
        <v>84690.981580424792</v>
      </c>
      <c r="F205" s="102">
        <f t="shared" si="231"/>
        <v>85791.453513363478</v>
      </c>
      <c r="G205" s="102">
        <f t="shared" si="231"/>
        <v>85489.288275736195</v>
      </c>
      <c r="H205" s="102">
        <f t="shared" si="231"/>
        <v>88320.226642646652</v>
      </c>
      <c r="I205" s="102">
        <f t="shared" si="231"/>
        <v>89360.253635291883</v>
      </c>
      <c r="J205" s="102">
        <f t="shared" si="231"/>
        <v>92170.171940830594</v>
      </c>
      <c r="K205" s="102">
        <f t="shared" si="231"/>
        <v>92536.238415103071</v>
      </c>
      <c r="L205" s="102">
        <f t="shared" si="231"/>
        <v>92419.150314809493</v>
      </c>
      <c r="M205" s="102">
        <f t="shared" si="234"/>
        <v>92332.229811915095</v>
      </c>
      <c r="N205" s="102">
        <f t="shared" si="231"/>
        <v>91888.801831537145</v>
      </c>
      <c r="O205" s="102">
        <f t="shared" si="231"/>
        <v>97205.717075546883</v>
      </c>
      <c r="P205" s="102">
        <f t="shared" si="231"/>
        <v>99645.407166778576</v>
      </c>
      <c r="Q205" s="102">
        <f t="shared" si="231"/>
        <v>101786.67093665714</v>
      </c>
      <c r="R205" s="102">
        <f t="shared" si="231"/>
        <v>101112.75773803596</v>
      </c>
      <c r="S205" s="102">
        <f t="shared" si="231"/>
        <v>101130.99542340552</v>
      </c>
      <c r="T205" s="102">
        <f t="shared" si="231"/>
        <v>100226.39186821513</v>
      </c>
      <c r="U205" s="102">
        <f t="shared" si="231"/>
        <v>96357.674256037848</v>
      </c>
      <c r="V205" s="102">
        <f t="shared" si="231"/>
        <v>63457.395844186642</v>
      </c>
      <c r="W205" s="102">
        <f t="shared" si="233"/>
        <v>66783.635365640672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585967.57851973828</v>
      </c>
      <c r="C206" s="102">
        <f t="shared" si="231"/>
        <v>559650.10597607133</v>
      </c>
      <c r="D206" s="102">
        <f t="shared" si="231"/>
        <v>572562.92987705278</v>
      </c>
      <c r="E206" s="102">
        <f t="shared" si="231"/>
        <v>569355.03734494583</v>
      </c>
      <c r="F206" s="102">
        <f t="shared" si="231"/>
        <v>569946.35752114747</v>
      </c>
      <c r="G206" s="102">
        <f t="shared" si="231"/>
        <v>560099.51541175856</v>
      </c>
      <c r="H206" s="102">
        <f t="shared" si="231"/>
        <v>571956.17522304319</v>
      </c>
      <c r="I206" s="102">
        <f t="shared" si="231"/>
        <v>564182.59772901458</v>
      </c>
      <c r="J206" s="102">
        <f t="shared" si="231"/>
        <v>577810.46159270883</v>
      </c>
      <c r="K206" s="102">
        <f t="shared" si="231"/>
        <v>588785.09377902723</v>
      </c>
      <c r="L206" s="102">
        <f t="shared" si="231"/>
        <v>603127.17470910423</v>
      </c>
      <c r="M206" s="102">
        <f t="shared" si="234"/>
        <v>593236.42702779977</v>
      </c>
      <c r="N206" s="102">
        <f t="shared" si="231"/>
        <v>584147.85385104804</v>
      </c>
      <c r="O206" s="102">
        <f t="shared" si="231"/>
        <v>611154.61936892092</v>
      </c>
      <c r="P206" s="102">
        <f t="shared" si="231"/>
        <v>619716.61366457806</v>
      </c>
      <c r="Q206" s="102">
        <f t="shared" si="231"/>
        <v>626328.26889483642</v>
      </c>
      <c r="R206" s="102">
        <f t="shared" si="231"/>
        <v>627976.25873015076</v>
      </c>
      <c r="S206" s="102">
        <f t="shared" si="231"/>
        <v>622513.32625318284</v>
      </c>
      <c r="T206" s="102">
        <f t="shared" si="231"/>
        <v>609344.32835449779</v>
      </c>
      <c r="U206" s="102">
        <f t="shared" si="231"/>
        <v>589015.74482426152</v>
      </c>
      <c r="V206" s="102">
        <f t="shared" si="231"/>
        <v>356535.02620906261</v>
      </c>
      <c r="W206" s="102">
        <f t="shared" si="233"/>
        <v>367811.13134008693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390708.00845901057</v>
      </c>
      <c r="C207" s="102">
        <f t="shared" si="231"/>
        <v>373329.33398402808</v>
      </c>
      <c r="D207" s="102">
        <f t="shared" si="231"/>
        <v>382570.48731402896</v>
      </c>
      <c r="E207" s="102">
        <f t="shared" si="231"/>
        <v>380796.58926527604</v>
      </c>
      <c r="F207" s="102">
        <f t="shared" si="231"/>
        <v>381667.73791651428</v>
      </c>
      <c r="G207" s="102">
        <f t="shared" si="231"/>
        <v>377060.91758419224</v>
      </c>
      <c r="H207" s="102">
        <f t="shared" si="231"/>
        <v>389853.2318046522</v>
      </c>
      <c r="I207" s="102">
        <f t="shared" si="231"/>
        <v>388863.95075014589</v>
      </c>
      <c r="J207" s="102">
        <f t="shared" si="231"/>
        <v>403163.95389021235</v>
      </c>
      <c r="K207" s="102">
        <f t="shared" si="231"/>
        <v>415092.87118103157</v>
      </c>
      <c r="L207" s="102">
        <f t="shared" si="231"/>
        <v>429359.99187536031</v>
      </c>
      <c r="M207" s="102">
        <f t="shared" si="234"/>
        <v>428868.14946233312</v>
      </c>
      <c r="N207" s="102">
        <f t="shared" si="231"/>
        <v>426733.50844473345</v>
      </c>
      <c r="O207" s="102">
        <f t="shared" si="231"/>
        <v>451373.63542725105</v>
      </c>
      <c r="P207" s="102">
        <f t="shared" si="231"/>
        <v>462631.6203645441</v>
      </c>
      <c r="Q207" s="102">
        <f t="shared" si="231"/>
        <v>472512.33277296688</v>
      </c>
      <c r="R207" s="102">
        <f t="shared" si="231"/>
        <v>469374.64757250337</v>
      </c>
      <c r="S207" s="102">
        <f t="shared" si="231"/>
        <v>460690.26706042484</v>
      </c>
      <c r="T207" s="102">
        <f t="shared" si="231"/>
        <v>447524.44209496473</v>
      </c>
      <c r="U207" s="102">
        <f t="shared" si="231"/>
        <v>430241.4935611838</v>
      </c>
      <c r="V207" s="102">
        <f t="shared" si="231"/>
        <v>256878.36522680277</v>
      </c>
      <c r="W207" s="102">
        <f t="shared" si="233"/>
        <v>268504.21333943045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664905.99981975381</v>
      </c>
      <c r="C208" s="102">
        <f t="shared" si="231"/>
        <v>641748.49610083993</v>
      </c>
      <c r="D208" s="102">
        <f t="shared" si="231"/>
        <v>664276.69100140943</v>
      </c>
      <c r="E208" s="102">
        <f t="shared" si="231"/>
        <v>664980.02719167096</v>
      </c>
      <c r="F208" s="102">
        <f t="shared" si="231"/>
        <v>673233.63890226639</v>
      </c>
      <c r="G208" s="102">
        <f t="shared" si="231"/>
        <v>668570.55542917654</v>
      </c>
      <c r="H208" s="102">
        <f t="shared" si="231"/>
        <v>691252.73813427705</v>
      </c>
      <c r="I208" s="102">
        <f t="shared" si="231"/>
        <v>684040.9930721065</v>
      </c>
      <c r="J208" s="102">
        <f t="shared" si="231"/>
        <v>709195.77620383038</v>
      </c>
      <c r="K208" s="102">
        <f t="shared" si="231"/>
        <v>730179.6406483131</v>
      </c>
      <c r="L208" s="102">
        <f t="shared" si="231"/>
        <v>755276.5810800551</v>
      </c>
      <c r="M208" s="102">
        <f t="shared" si="234"/>
        <v>739472.55374213005</v>
      </c>
      <c r="N208" s="102">
        <f t="shared" si="231"/>
        <v>721221.7787128475</v>
      </c>
      <c r="O208" s="102">
        <f t="shared" si="231"/>
        <v>747759.76911292702</v>
      </c>
      <c r="P208" s="102">
        <f t="shared" si="231"/>
        <v>751233.66359877225</v>
      </c>
      <c r="Q208" s="102">
        <f t="shared" si="231"/>
        <v>752084.60174524493</v>
      </c>
      <c r="R208" s="102">
        <f t="shared" si="231"/>
        <v>762183.17247408407</v>
      </c>
      <c r="S208" s="102">
        <f t="shared" si="231"/>
        <v>763193.99426951585</v>
      </c>
      <c r="T208" s="102">
        <f t="shared" si="231"/>
        <v>756360.51014964166</v>
      </c>
      <c r="U208" s="102">
        <f t="shared" si="231"/>
        <v>741840.53156752244</v>
      </c>
      <c r="V208" s="102">
        <f t="shared" si="231"/>
        <v>451868.40207099234</v>
      </c>
      <c r="W208" s="102">
        <f t="shared" si="233"/>
        <v>481860.9459015294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697815.17416618019</v>
      </c>
      <c r="C209" s="102">
        <f t="shared" si="231"/>
        <v>680937.21913462935</v>
      </c>
      <c r="D209" s="102">
        <f t="shared" si="231"/>
        <v>684263.5165711476</v>
      </c>
      <c r="E209" s="102">
        <f t="shared" si="231"/>
        <v>684122.59890474938</v>
      </c>
      <c r="F209" s="102">
        <f t="shared" si="231"/>
        <v>683797.72643168934</v>
      </c>
      <c r="G209" s="102">
        <f t="shared" si="231"/>
        <v>681663.16448041156</v>
      </c>
      <c r="H209" s="102">
        <f t="shared" si="231"/>
        <v>683000.25941726554</v>
      </c>
      <c r="I209" s="102">
        <f t="shared" si="231"/>
        <v>672456.89480367408</v>
      </c>
      <c r="J209" s="102">
        <f t="shared" si="231"/>
        <v>676958.09299002017</v>
      </c>
      <c r="K209" s="102">
        <f t="shared" si="231"/>
        <v>696374.97434195096</v>
      </c>
      <c r="L209" s="102">
        <f t="shared" si="231"/>
        <v>729152.29672110861</v>
      </c>
      <c r="M209" s="102">
        <f t="shared" si="234"/>
        <v>736101.22765432519</v>
      </c>
      <c r="N209" s="102">
        <f t="shared" si="231"/>
        <v>740520.58232342859</v>
      </c>
      <c r="O209" s="102">
        <f t="shared" si="231"/>
        <v>794339.04448200401</v>
      </c>
      <c r="P209" s="102">
        <f t="shared" si="231"/>
        <v>805949.13701328798</v>
      </c>
      <c r="Q209" s="102">
        <f t="shared" si="231"/>
        <v>803270.96571404359</v>
      </c>
      <c r="R209" s="102">
        <f t="shared" si="231"/>
        <v>802866.82499308186</v>
      </c>
      <c r="S209" s="102">
        <f t="shared" si="231"/>
        <v>818898.7173264632</v>
      </c>
      <c r="T209" s="102">
        <f t="shared" si="231"/>
        <v>810380.78459658392</v>
      </c>
      <c r="U209" s="102">
        <f t="shared" si="231"/>
        <v>809057.892524897</v>
      </c>
      <c r="V209" s="102">
        <f t="shared" si="231"/>
        <v>529588.99641232786</v>
      </c>
      <c r="W209" s="102">
        <f t="shared" si="233"/>
        <v>638229.73966891982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40941.792467998865</v>
      </c>
      <c r="C210" s="28">
        <f t="shared" si="231"/>
        <v>42397.644428989915</v>
      </c>
      <c r="D210" s="28">
        <f t="shared" si="231"/>
        <v>43107.709270119252</v>
      </c>
      <c r="E210" s="28">
        <f t="shared" si="231"/>
        <v>43228.427636257482</v>
      </c>
      <c r="F210" s="28">
        <f t="shared" ref="B210:V219" si="235">IF(F19=0,0,F19*1000000/F73)</f>
        <v>46518.628822173392</v>
      </c>
      <c r="G210" s="28">
        <f t="shared" si="235"/>
        <v>46611.465018546602</v>
      </c>
      <c r="H210" s="28">
        <f t="shared" si="235"/>
        <v>47806.323165461508</v>
      </c>
      <c r="I210" s="28">
        <f t="shared" si="235"/>
        <v>49224.356353307492</v>
      </c>
      <c r="J210" s="28">
        <f t="shared" si="235"/>
        <v>46812.127760158299</v>
      </c>
      <c r="K210" s="28">
        <f t="shared" si="235"/>
        <v>40867.46694098525</v>
      </c>
      <c r="L210" s="28">
        <f t="shared" si="235"/>
        <v>42667.879114575735</v>
      </c>
      <c r="M210" s="28">
        <f t="shared" si="234"/>
        <v>42765.015258329448</v>
      </c>
      <c r="N210" s="28">
        <f t="shared" si="235"/>
        <v>40763.463010065272</v>
      </c>
      <c r="O210" s="28">
        <f t="shared" si="235"/>
        <v>41403.025069560354</v>
      </c>
      <c r="P210" s="28">
        <f t="shared" si="235"/>
        <v>40347.348932604073</v>
      </c>
      <c r="Q210" s="28">
        <f t="shared" si="235"/>
        <v>38996.627632818345</v>
      </c>
      <c r="R210" s="28">
        <f t="shared" si="235"/>
        <v>40154.803463155557</v>
      </c>
      <c r="S210" s="28">
        <f t="shared" si="235"/>
        <v>43313.235319955762</v>
      </c>
      <c r="T210" s="28">
        <f t="shared" si="235"/>
        <v>43840.807999069213</v>
      </c>
      <c r="U210" s="28">
        <f t="shared" si="235"/>
        <v>45053.788647385249</v>
      </c>
      <c r="V210" s="28">
        <f t="shared" si="235"/>
        <v>43451.430021177141</v>
      </c>
      <c r="W210" s="28">
        <f t="shared" ref="W210" si="236">IF(W19=0,0,W19*1000000/W73)</f>
        <v>45736.416056989357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2524.5721733215446</v>
      </c>
      <c r="C211" s="137">
        <f t="shared" si="235"/>
        <v>2589.0647545094694</v>
      </c>
      <c r="D211" s="137">
        <f t="shared" si="235"/>
        <v>2597.2988871319476</v>
      </c>
      <c r="E211" s="137">
        <f t="shared" si="235"/>
        <v>2581.2621958648679</v>
      </c>
      <c r="F211" s="137">
        <f t="shared" si="235"/>
        <v>2565.9252427528722</v>
      </c>
      <c r="G211" s="137">
        <f t="shared" si="235"/>
        <v>2555.8019602833656</v>
      </c>
      <c r="H211" s="137">
        <f t="shared" si="235"/>
        <v>2576.8233257982256</v>
      </c>
      <c r="I211" s="137">
        <f t="shared" si="235"/>
        <v>2581.4769447145086</v>
      </c>
      <c r="J211" s="137">
        <f t="shared" si="235"/>
        <v>2508.4836055606984</v>
      </c>
      <c r="K211" s="137">
        <f t="shared" si="235"/>
        <v>2546.1438910659267</v>
      </c>
      <c r="L211" s="137">
        <f t="shared" si="235"/>
        <v>2608.8734644075253</v>
      </c>
      <c r="M211" s="137">
        <f t="shared" si="234"/>
        <v>2688.8816148423389</v>
      </c>
      <c r="N211" s="137">
        <f t="shared" si="235"/>
        <v>2708.3693284729284</v>
      </c>
      <c r="O211" s="137">
        <f t="shared" si="235"/>
        <v>2741.2953629170293</v>
      </c>
      <c r="P211" s="137">
        <f t="shared" si="235"/>
        <v>2743.0783385606587</v>
      </c>
      <c r="Q211" s="137">
        <f t="shared" si="235"/>
        <v>2825.3997353897685</v>
      </c>
      <c r="R211" s="137">
        <f t="shared" si="235"/>
        <v>2817.9988638190043</v>
      </c>
      <c r="S211" s="137">
        <f t="shared" si="235"/>
        <v>2912.5774654309043</v>
      </c>
      <c r="T211" s="137">
        <f t="shared" si="235"/>
        <v>2898.5009959503691</v>
      </c>
      <c r="U211" s="137">
        <f t="shared" si="235"/>
        <v>2930.4605018713032</v>
      </c>
      <c r="V211" s="137">
        <f t="shared" si="235"/>
        <v>2628.1008695404967</v>
      </c>
      <c r="W211" s="137">
        <f t="shared" ref="W211" si="237">IF(W20=0,0,W20*1000000/W74)</f>
        <v>2921.1191123037624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2102.842278593122</v>
      </c>
      <c r="C212" s="84">
        <f t="shared" si="235"/>
        <v>2206.1680933712373</v>
      </c>
      <c r="D212" s="84">
        <f t="shared" si="235"/>
        <v>2199.9889840161422</v>
      </c>
      <c r="E212" s="84">
        <f t="shared" si="235"/>
        <v>2171.610039705075</v>
      </c>
      <c r="F212" s="84">
        <f t="shared" si="235"/>
        <v>2146.176286282157</v>
      </c>
      <c r="G212" s="84">
        <f t="shared" si="235"/>
        <v>2131.1013618972675</v>
      </c>
      <c r="H212" s="84">
        <f t="shared" si="235"/>
        <v>2141.8993163567584</v>
      </c>
      <c r="I212" s="84">
        <f t="shared" si="235"/>
        <v>2114.4914689736315</v>
      </c>
      <c r="J212" s="84">
        <f t="shared" si="235"/>
        <v>1972.2802513938491</v>
      </c>
      <c r="K212" s="84">
        <f t="shared" si="235"/>
        <v>1922.5633774914593</v>
      </c>
      <c r="L212" s="84">
        <f t="shared" si="235"/>
        <v>1899.1817287966862</v>
      </c>
      <c r="M212" s="84">
        <f t="shared" si="234"/>
        <v>1888.6392147311017</v>
      </c>
      <c r="N212" s="84">
        <f t="shared" si="235"/>
        <v>1831.0602708356575</v>
      </c>
      <c r="O212" s="84">
        <f t="shared" si="235"/>
        <v>1785.6483797969731</v>
      </c>
      <c r="P212" s="84">
        <f t="shared" si="235"/>
        <v>1716.592107535326</v>
      </c>
      <c r="Q212" s="84">
        <f t="shared" si="235"/>
        <v>1699.0330939609646</v>
      </c>
      <c r="R212" s="84">
        <f t="shared" si="235"/>
        <v>1764.5402752735565</v>
      </c>
      <c r="S212" s="84">
        <f t="shared" si="235"/>
        <v>1896.2710396774808</v>
      </c>
      <c r="T212" s="84">
        <f t="shared" si="235"/>
        <v>1962.2718231362828</v>
      </c>
      <c r="U212" s="84">
        <f t="shared" si="235"/>
        <v>2062.9760424946917</v>
      </c>
      <c r="V212" s="84">
        <f t="shared" si="235"/>
        <v>1914.7095193609407</v>
      </c>
      <c r="W212" s="84">
        <f t="shared" ref="W212" si="238">IF(W21=0,0,W21*1000000/W75)</f>
        <v>2224.1368568680869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2591.6046974878645</v>
      </c>
      <c r="C213" s="84">
        <f t="shared" si="235"/>
        <v>2639.462787412614</v>
      </c>
      <c r="D213" s="84">
        <f t="shared" si="235"/>
        <v>2640.5682659126451</v>
      </c>
      <c r="E213" s="84">
        <f t="shared" si="235"/>
        <v>2617.0335715371039</v>
      </c>
      <c r="F213" s="84">
        <f t="shared" si="235"/>
        <v>2595.5304006783472</v>
      </c>
      <c r="G213" s="84">
        <f t="shared" si="235"/>
        <v>2581.3722679058878</v>
      </c>
      <c r="H213" s="84">
        <f t="shared" si="235"/>
        <v>2599.8089156259648</v>
      </c>
      <c r="I213" s="84">
        <f t="shared" si="235"/>
        <v>2602.9657168685085</v>
      </c>
      <c r="J213" s="84">
        <f t="shared" si="235"/>
        <v>2531.1484660980327</v>
      </c>
      <c r="K213" s="84">
        <f t="shared" si="235"/>
        <v>2570.6933731907411</v>
      </c>
      <c r="L213" s="84">
        <f t="shared" si="235"/>
        <v>2638.8629621083851</v>
      </c>
      <c r="M213" s="84">
        <f t="shared" si="234"/>
        <v>2726.9034886165859</v>
      </c>
      <c r="N213" s="84">
        <f t="shared" si="235"/>
        <v>2754.3059569468728</v>
      </c>
      <c r="O213" s="84">
        <f t="shared" si="235"/>
        <v>2796.9780544082896</v>
      </c>
      <c r="P213" s="84">
        <f t="shared" si="235"/>
        <v>2799.8483647529465</v>
      </c>
      <c r="Q213" s="84">
        <f t="shared" si="235"/>
        <v>2884.410640208434</v>
      </c>
      <c r="R213" s="84">
        <f t="shared" si="235"/>
        <v>2872.0875652188161</v>
      </c>
      <c r="S213" s="84">
        <f t="shared" si="235"/>
        <v>2963.5184842636604</v>
      </c>
      <c r="T213" s="84">
        <f t="shared" si="235"/>
        <v>2948.1465258893581</v>
      </c>
      <c r="U213" s="84">
        <f t="shared" si="235"/>
        <v>2977.3317024342678</v>
      </c>
      <c r="V213" s="84">
        <f t="shared" si="235"/>
        <v>2668.9165465209107</v>
      </c>
      <c r="W213" s="84">
        <f t="shared" ref="W213" si="239">IF(W22=0,0,W22*1000000/W76)</f>
        <v>2967.4769988915259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2025.6656598551963</v>
      </c>
      <c r="C214" s="84">
        <f t="shared" si="235"/>
        <v>2065.6702093536828</v>
      </c>
      <c r="D214" s="84">
        <f t="shared" si="235"/>
        <v>2059.8846111694324</v>
      </c>
      <c r="E214" s="84">
        <f t="shared" si="235"/>
        <v>2033.3129550873718</v>
      </c>
      <c r="F214" s="84">
        <f t="shared" si="235"/>
        <v>2009.4989279896054</v>
      </c>
      <c r="G214" s="84">
        <f t="shared" si="235"/>
        <v>1995.384036969429</v>
      </c>
      <c r="H214" s="84">
        <f t="shared" si="235"/>
        <v>1996.2787428571735</v>
      </c>
      <c r="I214" s="84">
        <f t="shared" si="235"/>
        <v>1978.9392462969247</v>
      </c>
      <c r="J214" s="84">
        <f t="shared" si="235"/>
        <v>1904.0988491980679</v>
      </c>
      <c r="K214" s="84">
        <f t="shared" si="235"/>
        <v>1914.6785411555534</v>
      </c>
      <c r="L214" s="84">
        <f t="shared" si="235"/>
        <v>1951.0844532847734</v>
      </c>
      <c r="M214" s="84">
        <f t="shared" si="234"/>
        <v>2001.4875272479517</v>
      </c>
      <c r="N214" s="84">
        <f t="shared" si="235"/>
        <v>2001.7086460946373</v>
      </c>
      <c r="O214" s="84">
        <f t="shared" si="235"/>
        <v>2013.6709724093091</v>
      </c>
      <c r="P214" s="84">
        <f t="shared" si="235"/>
        <v>1996.8894257123457</v>
      </c>
      <c r="Q214" s="84">
        <f t="shared" si="235"/>
        <v>2038.8397127531573</v>
      </c>
      <c r="R214" s="84">
        <f t="shared" si="235"/>
        <v>2052.6669099023593</v>
      </c>
      <c r="S214" s="84">
        <f t="shared" si="235"/>
        <v>2138.419854447</v>
      </c>
      <c r="T214" s="84">
        <f t="shared" si="235"/>
        <v>2145.1486534450196</v>
      </c>
      <c r="U214" s="84">
        <f t="shared" si="235"/>
        <v>2186.2411761117351</v>
      </c>
      <c r="V214" s="84">
        <f t="shared" si="235"/>
        <v>1967.0366027312489</v>
      </c>
      <c r="W214" s="84">
        <f t="shared" ref="W214" si="240">IF(W23=0,0,W23*1000000/W77)</f>
        <v>2215.0152043335715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1817.2588910719353</v>
      </c>
      <c r="C215" s="84">
        <f t="shared" si="235"/>
        <v>1868.1075134609202</v>
      </c>
      <c r="D215" s="84">
        <f t="shared" si="235"/>
        <v>1862.8752554804728</v>
      </c>
      <c r="E215" s="84">
        <f t="shared" si="235"/>
        <v>1838.8449382753226</v>
      </c>
      <c r="F215" s="84">
        <f t="shared" si="235"/>
        <v>1817.3085077523599</v>
      </c>
      <c r="G215" s="84">
        <f t="shared" si="235"/>
        <v>1804.5435785554948</v>
      </c>
      <c r="H215" s="84">
        <f t="shared" si="235"/>
        <v>1805.3527139071423</v>
      </c>
      <c r="I215" s="84">
        <f t="shared" si="235"/>
        <v>1789.6715835615751</v>
      </c>
      <c r="J215" s="84">
        <f t="shared" si="235"/>
        <v>1721.9889943962326</v>
      </c>
      <c r="K215" s="84">
        <f t="shared" si="235"/>
        <v>1731.5568343865586</v>
      </c>
      <c r="L215" s="84">
        <f t="shared" si="235"/>
        <v>1764.4808498828527</v>
      </c>
      <c r="M215" s="84">
        <f t="shared" si="234"/>
        <v>1810.063325122984</v>
      </c>
      <c r="N215" s="84">
        <f t="shared" si="235"/>
        <v>1810.2632959493963</v>
      </c>
      <c r="O215" s="84">
        <f t="shared" si="235"/>
        <v>1821.0815338102705</v>
      </c>
      <c r="P215" s="84">
        <f t="shared" si="235"/>
        <v>1805.9049904636429</v>
      </c>
      <c r="Q215" s="84">
        <f t="shared" si="235"/>
        <v>1843.8431114947359</v>
      </c>
      <c r="R215" s="84">
        <f t="shared" si="235"/>
        <v>1856.3478621405866</v>
      </c>
      <c r="S215" s="84">
        <f t="shared" si="235"/>
        <v>1933.8993121638523</v>
      </c>
      <c r="T215" s="84">
        <f t="shared" si="235"/>
        <v>1909.1907899685059</v>
      </c>
      <c r="U215" s="84">
        <f t="shared" si="235"/>
        <v>1914.8777983429309</v>
      </c>
      <c r="V215" s="84">
        <f t="shared" si="235"/>
        <v>1695.5339580704419</v>
      </c>
      <c r="W215" s="84">
        <f t="shared" ref="W215" si="241">IF(W24=0,0,W24*1000000/W78)</f>
        <v>1878.9785363666815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1121.1248965236666</v>
      </c>
      <c r="C216" s="84">
        <f t="shared" si="235"/>
        <v>1122.1694364013806</v>
      </c>
      <c r="D216" s="84">
        <f t="shared" si="235"/>
        <v>1122.3193235265535</v>
      </c>
      <c r="E216" s="84">
        <f t="shared" si="235"/>
        <v>1123.0134257226077</v>
      </c>
      <c r="F216" s="84">
        <f t="shared" si="235"/>
        <v>1123.6436161589752</v>
      </c>
      <c r="G216" s="84">
        <f t="shared" si="235"/>
        <v>1124.0208422105168</v>
      </c>
      <c r="H216" s="84">
        <f t="shared" si="235"/>
        <v>1124.2913917387723</v>
      </c>
      <c r="I216" s="84">
        <f t="shared" si="235"/>
        <v>1124.3322731748751</v>
      </c>
      <c r="J216" s="84">
        <f t="shared" si="235"/>
        <v>1125.9713431746088</v>
      </c>
      <c r="K216" s="84">
        <f t="shared" si="235"/>
        <v>1126.6954767357151</v>
      </c>
      <c r="L216" s="84">
        <f t="shared" si="235"/>
        <v>1128.1340506735821</v>
      </c>
      <c r="M216" s="84">
        <f t="shared" si="234"/>
        <v>1129.9332775081318</v>
      </c>
      <c r="N216" s="84">
        <f t="shared" si="235"/>
        <v>1130.3676177749969</v>
      </c>
      <c r="O216" s="84">
        <f t="shared" si="235"/>
        <v>1131.1170595840767</v>
      </c>
      <c r="P216" s="84">
        <f t="shared" si="235"/>
        <v>1131.139060744566</v>
      </c>
      <c r="Q216" s="84">
        <f t="shared" si="235"/>
        <v>1132.68872930731</v>
      </c>
      <c r="R216" s="84">
        <f t="shared" si="235"/>
        <v>1132.6239379595895</v>
      </c>
      <c r="S216" s="84">
        <f t="shared" si="235"/>
        <v>1130.8472736713763</v>
      </c>
      <c r="T216" s="84">
        <f t="shared" si="235"/>
        <v>1130.5878233741691</v>
      </c>
      <c r="U216" s="84">
        <f t="shared" si="235"/>
        <v>1129.9949804723294</v>
      </c>
      <c r="V216" s="84">
        <f t="shared" si="235"/>
        <v>1041.9136053699124</v>
      </c>
      <c r="W216" s="84">
        <f t="shared" ref="W216" si="242">IF(W25=0,0,W25*1000000/W79)</f>
        <v>1129.8419048850026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476170.09038166382</v>
      </c>
      <c r="C217" s="110">
        <f t="shared" si="235"/>
        <v>480525.53298713145</v>
      </c>
      <c r="D217" s="110">
        <f t="shared" si="235"/>
        <v>479433.00499968207</v>
      </c>
      <c r="E217" s="110">
        <f t="shared" si="235"/>
        <v>475251.01617409068</v>
      </c>
      <c r="F217" s="110">
        <f t="shared" si="235"/>
        <v>500925.78070791316</v>
      </c>
      <c r="G217" s="110">
        <f t="shared" si="235"/>
        <v>495054.81161739765</v>
      </c>
      <c r="H217" s="110">
        <f t="shared" si="235"/>
        <v>501785.65368533641</v>
      </c>
      <c r="I217" s="110">
        <f t="shared" si="235"/>
        <v>510982.36227535235</v>
      </c>
      <c r="J217" s="110">
        <f t="shared" si="235"/>
        <v>477230.15646228852</v>
      </c>
      <c r="K217" s="110">
        <f t="shared" si="235"/>
        <v>412727.66589573451</v>
      </c>
      <c r="L217" s="110">
        <f t="shared" si="235"/>
        <v>418571.53917944676</v>
      </c>
      <c r="M217" s="110">
        <f t="shared" si="234"/>
        <v>421158.02008946973</v>
      </c>
      <c r="N217" s="110">
        <f t="shared" si="235"/>
        <v>406401.92964315048</v>
      </c>
      <c r="O217" s="110">
        <f t="shared" si="235"/>
        <v>417584.81377325259</v>
      </c>
      <c r="P217" s="110">
        <f t="shared" si="235"/>
        <v>410870.74178174062</v>
      </c>
      <c r="Q217" s="110">
        <f t="shared" si="235"/>
        <v>402001.12279605557</v>
      </c>
      <c r="R217" s="110">
        <f t="shared" si="235"/>
        <v>416278.39773802401</v>
      </c>
      <c r="S217" s="110">
        <f t="shared" si="235"/>
        <v>443233.49737848749</v>
      </c>
      <c r="T217" s="110">
        <f t="shared" si="235"/>
        <v>444993.42695706035</v>
      </c>
      <c r="U217" s="110">
        <f t="shared" si="235"/>
        <v>449242.12546464649</v>
      </c>
      <c r="V217" s="110">
        <f t="shared" si="235"/>
        <v>437158.1032171268</v>
      </c>
      <c r="W217" s="110">
        <f t="shared" ref="W217" si="243">IF(W26=0,0,W26*1000000/W80)</f>
        <v>453477.21969978756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362173.17668159044</v>
      </c>
      <c r="C218" s="163">
        <f t="shared" si="235"/>
        <v>362871.59616833495</v>
      </c>
      <c r="D218" s="163">
        <f t="shared" si="235"/>
        <v>357000.59099790314</v>
      </c>
      <c r="E218" s="163">
        <f t="shared" si="235"/>
        <v>352886.03104396001</v>
      </c>
      <c r="F218" s="163">
        <f t="shared" si="235"/>
        <v>366815.97274822817</v>
      </c>
      <c r="G218" s="163">
        <f t="shared" si="235"/>
        <v>357188.75324042275</v>
      </c>
      <c r="H218" s="163">
        <f t="shared" si="235"/>
        <v>362238.60775802261</v>
      </c>
      <c r="I218" s="163">
        <f t="shared" si="235"/>
        <v>372495.1342934994</v>
      </c>
      <c r="J218" s="163">
        <f t="shared" si="235"/>
        <v>342814.7606428095</v>
      </c>
      <c r="K218" s="163">
        <f t="shared" si="235"/>
        <v>287009.06900167401</v>
      </c>
      <c r="L218" s="163">
        <f t="shared" si="235"/>
        <v>290651.91282830446</v>
      </c>
      <c r="M218" s="163">
        <f t="shared" si="234"/>
        <v>299580.47835439252</v>
      </c>
      <c r="N218" s="163">
        <f t="shared" si="235"/>
        <v>283553.09064875985</v>
      </c>
      <c r="O218" s="163">
        <f t="shared" si="235"/>
        <v>287568.47000247473</v>
      </c>
      <c r="P218" s="163">
        <f t="shared" si="235"/>
        <v>278818.83196917921</v>
      </c>
      <c r="Q218" s="163">
        <f t="shared" si="235"/>
        <v>265253.65319571289</v>
      </c>
      <c r="R218" s="163">
        <f t="shared" si="235"/>
        <v>274908.68467808969</v>
      </c>
      <c r="S218" s="163">
        <f t="shared" si="235"/>
        <v>297070.19673687039</v>
      </c>
      <c r="T218" s="163">
        <f t="shared" si="235"/>
        <v>300331.14451824117</v>
      </c>
      <c r="U218" s="163">
        <f t="shared" si="235"/>
        <v>301921.28687761619</v>
      </c>
      <c r="V218" s="163">
        <f t="shared" si="235"/>
        <v>294291.24334784714</v>
      </c>
      <c r="W218" s="163">
        <f t="shared" ref="W218" si="244">IF(W27=0,0,W27*1000000/W81)</f>
        <v>301276.64621388871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1211878.5336090904</v>
      </c>
      <c r="C219" s="86">
        <f t="shared" si="235"/>
        <v>1210822.2466757772</v>
      </c>
      <c r="D219" s="86">
        <f t="shared" si="235"/>
        <v>1218781.1041701124</v>
      </c>
      <c r="E219" s="86">
        <f t="shared" si="235"/>
        <v>1211607.6611838427</v>
      </c>
      <c r="F219" s="86">
        <f t="shared" si="235"/>
        <v>1189412.787799408</v>
      </c>
      <c r="G219" s="86">
        <f t="shared" si="235"/>
        <v>1189953.1023268416</v>
      </c>
      <c r="H219" s="86">
        <f t="shared" si="235"/>
        <v>1197548.7890451525</v>
      </c>
      <c r="I219" s="86">
        <f t="shared" si="235"/>
        <v>1199798.7972906095</v>
      </c>
      <c r="J219" s="86">
        <f t="shared" si="235"/>
        <v>1182808.9138748134</v>
      </c>
      <c r="K219" s="86">
        <f t="shared" si="235"/>
        <v>1167203.0192504874</v>
      </c>
      <c r="L219" s="86">
        <f t="shared" si="235"/>
        <v>1205188.1955995716</v>
      </c>
      <c r="M219" s="86">
        <f t="shared" si="234"/>
        <v>1201323.6448676302</v>
      </c>
      <c r="N219" s="86">
        <f t="shared" si="235"/>
        <v>1197351.7134248912</v>
      </c>
      <c r="O219" s="86">
        <f t="shared" si="235"/>
        <v>1198932.5063029772</v>
      </c>
      <c r="P219" s="86">
        <f t="shared" si="235"/>
        <v>1201752.119858626</v>
      </c>
      <c r="Q219" s="86">
        <f t="shared" si="235"/>
        <v>1190470.5961617392</v>
      </c>
      <c r="R219" s="86">
        <f t="shared" si="235"/>
        <v>1184141.0040426259</v>
      </c>
      <c r="S219" s="86">
        <f t="shared" si="235"/>
        <v>1194224.8670304124</v>
      </c>
      <c r="T219" s="86">
        <f t="shared" si="235"/>
        <v>1203258.4469121678</v>
      </c>
      <c r="U219" s="86">
        <f t="shared" si="235"/>
        <v>1198667.3597656065</v>
      </c>
      <c r="V219" s="86">
        <f t="shared" si="235"/>
        <v>1180374.9987900143</v>
      </c>
      <c r="W219" s="86">
        <f t="shared" ref="W219" si="245">IF(W28=0,0,W28*1000000/W82)</f>
        <v>1193460.6132139221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1.5133275790431808E-2</v>
      </c>
      <c r="C223" s="154">
        <f t="shared" si="250"/>
        <v>1.6091889600729568E-2</v>
      </c>
      <c r="D223" s="154">
        <f t="shared" si="250"/>
        <v>1.7749333759297891E-2</v>
      </c>
      <c r="E223" s="154">
        <f t="shared" si="250"/>
        <v>1.7948679221010209E-2</v>
      </c>
      <c r="F223" s="154">
        <f t="shared" si="250"/>
        <v>1.9045581329736588E-2</v>
      </c>
      <c r="G223" s="154">
        <f t="shared" si="250"/>
        <v>2.0119905704709954E-2</v>
      </c>
      <c r="H223" s="154">
        <f t="shared" si="250"/>
        <v>2.0078899334545042E-2</v>
      </c>
      <c r="I223" s="154">
        <f t="shared" si="250"/>
        <v>2.0775624387160706E-2</v>
      </c>
      <c r="J223" s="154">
        <f t="shared" si="250"/>
        <v>2.2360996559375085E-2</v>
      </c>
      <c r="K223" s="154">
        <f t="shared" si="250"/>
        <v>2.3105321025585365E-2</v>
      </c>
      <c r="L223" s="154">
        <f t="shared" ref="L223" si="251">IF(L5=0,0,L5/L$4)</f>
        <v>2.2739179695456736E-2</v>
      </c>
      <c r="M223" s="154">
        <f t="shared" ref="M223:V223" si="252">IF(M5=0,0,M5/M$4)</f>
        <v>2.3278590228894478E-2</v>
      </c>
      <c r="N223" s="154">
        <f t="shared" si="252"/>
        <v>2.101326022982505E-2</v>
      </c>
      <c r="O223" s="154">
        <f t="shared" si="252"/>
        <v>2.1025676060435854E-2</v>
      </c>
      <c r="P223" s="154">
        <f t="shared" si="252"/>
        <v>2.1300607385895096E-2</v>
      </c>
      <c r="Q223" s="154">
        <f t="shared" si="252"/>
        <v>2.1125527103969796E-2</v>
      </c>
      <c r="R223" s="154">
        <f t="shared" si="252"/>
        <v>1.9329914964493197E-2</v>
      </c>
      <c r="S223" s="154">
        <f t="shared" si="252"/>
        <v>1.8293862836866064E-2</v>
      </c>
      <c r="T223" s="154">
        <f t="shared" si="252"/>
        <v>1.7379600385385559E-2</v>
      </c>
      <c r="U223" s="154">
        <f t="shared" si="252"/>
        <v>1.8429028744609024E-2</v>
      </c>
      <c r="V223" s="154">
        <f t="shared" si="252"/>
        <v>2.0266878152369577E-2</v>
      </c>
      <c r="W223" s="154">
        <f t="shared" ref="W223" si="253">IF(W5=0,0,W5/W$4)</f>
        <v>1.8577967760448944E-2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0.91862236519964668</v>
      </c>
      <c r="C224" s="156">
        <f t="shared" si="254"/>
        <v>0.92164932354119655</v>
      </c>
      <c r="D224" s="156">
        <f t="shared" si="254"/>
        <v>0.91982993035581584</v>
      </c>
      <c r="E224" s="156">
        <f t="shared" si="254"/>
        <v>0.91917693163630121</v>
      </c>
      <c r="F224" s="156">
        <f t="shared" si="254"/>
        <v>0.91684444594793235</v>
      </c>
      <c r="G224" s="156">
        <f t="shared" si="254"/>
        <v>0.91482737298887162</v>
      </c>
      <c r="H224" s="156">
        <f t="shared" si="254"/>
        <v>0.91171395168133618</v>
      </c>
      <c r="I224" s="156">
        <f t="shared" si="254"/>
        <v>0.91073439534916645</v>
      </c>
      <c r="J224" s="156">
        <f t="shared" si="254"/>
        <v>0.90722872463099757</v>
      </c>
      <c r="K224" s="156">
        <f t="shared" si="254"/>
        <v>0.90702343677432606</v>
      </c>
      <c r="L224" s="156">
        <f t="shared" ref="L224" si="255">IF(L6=0,0,L6/L$4)</f>
        <v>0.90683641309514262</v>
      </c>
      <c r="M224" s="156">
        <f t="shared" ref="M224:V224" si="256">IF(M6=0,0,M6/M$4)</f>
        <v>0.9056839119816773</v>
      </c>
      <c r="N224" s="156">
        <f t="shared" si="256"/>
        <v>0.91302197109546923</v>
      </c>
      <c r="O224" s="156">
        <f t="shared" si="256"/>
        <v>0.9131268157834721</v>
      </c>
      <c r="P224" s="156">
        <f t="shared" si="256"/>
        <v>0.91223546246375575</v>
      </c>
      <c r="Q224" s="156">
        <f t="shared" si="256"/>
        <v>0.91242454044817989</v>
      </c>
      <c r="R224" s="156">
        <f t="shared" si="256"/>
        <v>0.91378317069164994</v>
      </c>
      <c r="S224" s="156">
        <f t="shared" si="256"/>
        <v>0.9148486239969168</v>
      </c>
      <c r="T224" s="156">
        <f t="shared" si="256"/>
        <v>0.91549867909122296</v>
      </c>
      <c r="U224" s="156">
        <f t="shared" si="256"/>
        <v>0.91424102319719214</v>
      </c>
      <c r="V224" s="156">
        <f t="shared" si="256"/>
        <v>0.9254670237287006</v>
      </c>
      <c r="W224" s="156">
        <f t="shared" ref="W224" si="257">IF(W6=0,0,W6/W$4)</f>
        <v>0.92940025300209961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0.46975733921330909</v>
      </c>
      <c r="C225" s="103">
        <f t="shared" si="258"/>
        <v>0.44243986469830221</v>
      </c>
      <c r="D225" s="103">
        <f t="shared" si="258"/>
        <v>0.42226416930547028</v>
      </c>
      <c r="E225" s="103">
        <f t="shared" si="258"/>
        <v>0.3957045184175903</v>
      </c>
      <c r="F225" s="103">
        <f t="shared" si="258"/>
        <v>0.37480364594408461</v>
      </c>
      <c r="G225" s="103">
        <f t="shared" si="258"/>
        <v>0.35443962769960491</v>
      </c>
      <c r="H225" s="103">
        <f t="shared" si="258"/>
        <v>0.3268072701038176</v>
      </c>
      <c r="I225" s="103">
        <f t="shared" si="258"/>
        <v>0.30146456790591636</v>
      </c>
      <c r="J225" s="103">
        <f t="shared" si="258"/>
        <v>0.27548104935200218</v>
      </c>
      <c r="K225" s="103">
        <f t="shared" si="258"/>
        <v>0.26101631053979329</v>
      </c>
      <c r="L225" s="103">
        <f t="shared" ref="L225" si="259">IF(L7=0,0,L7/L$4)</f>
        <v>0.24037892234454628</v>
      </c>
      <c r="M225" s="103">
        <f t="shared" ref="M225:V225" si="260">IF(M7=0,0,M7/M$4)</f>
        <v>0.23261042852831887</v>
      </c>
      <c r="N225" s="103">
        <f t="shared" si="260"/>
        <v>0.21848954748320287</v>
      </c>
      <c r="O225" s="103">
        <f t="shared" si="260"/>
        <v>0.2123599682432662</v>
      </c>
      <c r="P225" s="103">
        <f t="shared" si="260"/>
        <v>0.21288459839101342</v>
      </c>
      <c r="Q225" s="103">
        <f t="shared" si="260"/>
        <v>0.21615470158099903</v>
      </c>
      <c r="R225" s="103">
        <f t="shared" si="260"/>
        <v>0.22549535131107709</v>
      </c>
      <c r="S225" s="103">
        <f t="shared" si="260"/>
        <v>0.23871749059790068</v>
      </c>
      <c r="T225" s="103">
        <f t="shared" si="260"/>
        <v>0.25809895172315062</v>
      </c>
      <c r="U225" s="103">
        <f t="shared" si="260"/>
        <v>0.27847729141255878</v>
      </c>
      <c r="V225" s="103">
        <f t="shared" si="260"/>
        <v>0.2929306862821271</v>
      </c>
      <c r="W225" s="103">
        <f t="shared" ref="W225" si="261">IF(W7=0,0,W7/W$4)</f>
        <v>0.31430717740498554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0.44048710671453389</v>
      </c>
      <c r="C226" s="103">
        <f t="shared" si="262"/>
        <v>0.47157611947761596</v>
      </c>
      <c r="D226" s="103">
        <f t="shared" si="262"/>
        <v>0.49101984319528896</v>
      </c>
      <c r="E226" s="103">
        <f t="shared" si="262"/>
        <v>0.51803040481144502</v>
      </c>
      <c r="F226" s="103">
        <f t="shared" si="262"/>
        <v>0.5372483342547355</v>
      </c>
      <c r="G226" s="103">
        <f t="shared" si="262"/>
        <v>0.55609335438218999</v>
      </c>
      <c r="H226" s="103">
        <f t="shared" si="262"/>
        <v>0.5811123219816996</v>
      </c>
      <c r="I226" s="103">
        <f t="shared" si="262"/>
        <v>0.60606385636655102</v>
      </c>
      <c r="J226" s="103">
        <f t="shared" si="262"/>
        <v>0.62823694157770327</v>
      </c>
      <c r="K226" s="103">
        <f t="shared" si="262"/>
        <v>0.64232182893782952</v>
      </c>
      <c r="L226" s="103">
        <f t="shared" ref="L226" si="263">IF(L8=0,0,L8/L$4)</f>
        <v>0.66255676649207185</v>
      </c>
      <c r="M226" s="103">
        <f t="shared" ref="M226:V226" si="264">IF(M8=0,0,M8/M$4)</f>
        <v>0.66888193930144191</v>
      </c>
      <c r="N226" s="103">
        <f t="shared" si="264"/>
        <v>0.69066075419766182</v>
      </c>
      <c r="O226" s="103">
        <f t="shared" si="264"/>
        <v>0.69724838696576774</v>
      </c>
      <c r="P226" s="103">
        <f t="shared" si="264"/>
        <v>0.69589220870806567</v>
      </c>
      <c r="Q226" s="103">
        <f t="shared" si="264"/>
        <v>0.69246099510978032</v>
      </c>
      <c r="R226" s="103">
        <f t="shared" si="264"/>
        <v>0.68418507664077377</v>
      </c>
      <c r="S226" s="103">
        <f t="shared" si="264"/>
        <v>0.67141577513595707</v>
      </c>
      <c r="T226" s="103">
        <f t="shared" si="264"/>
        <v>0.6516354196194355</v>
      </c>
      <c r="U226" s="103">
        <f t="shared" si="264"/>
        <v>0.6286910649994385</v>
      </c>
      <c r="V226" s="103">
        <f t="shared" si="264"/>
        <v>0.62070808956845647</v>
      </c>
      <c r="W226" s="103">
        <f t="shared" ref="W226" si="265">IF(W8=0,0,W8/W$4)</f>
        <v>0.59581507695912461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8.3779192718035286E-3</v>
      </c>
      <c r="C227" s="103">
        <f t="shared" si="266"/>
        <v>7.633339365278353E-3</v>
      </c>
      <c r="D227" s="103">
        <f t="shared" si="266"/>
        <v>6.5459178550565152E-3</v>
      </c>
      <c r="E227" s="103">
        <f t="shared" si="266"/>
        <v>5.4420084072657974E-3</v>
      </c>
      <c r="F227" s="103">
        <f t="shared" si="266"/>
        <v>4.7924657491123087E-3</v>
      </c>
      <c r="G227" s="103">
        <f t="shared" si="266"/>
        <v>4.2943909070767136E-3</v>
      </c>
      <c r="H227" s="103">
        <f t="shared" si="266"/>
        <v>3.7939052519718915E-3</v>
      </c>
      <c r="I227" s="103">
        <f t="shared" si="266"/>
        <v>3.1823053095071845E-3</v>
      </c>
      <c r="J227" s="103">
        <f t="shared" si="266"/>
        <v>3.3854804601831288E-3</v>
      </c>
      <c r="K227" s="103">
        <f t="shared" si="266"/>
        <v>3.5485440331760472E-3</v>
      </c>
      <c r="L227" s="103">
        <f t="shared" ref="L227" si="267">IF(L9=0,0,L9/L$4)</f>
        <v>3.760719216599445E-3</v>
      </c>
      <c r="M227" s="103">
        <f t="shared" ref="M227:V227" si="268">IF(M9=0,0,M9/M$4)</f>
        <v>3.971852927582919E-3</v>
      </c>
      <c r="N227" s="103">
        <f t="shared" si="268"/>
        <v>3.5203295978365598E-3</v>
      </c>
      <c r="O227" s="103">
        <f t="shared" si="268"/>
        <v>2.9184710332776712E-3</v>
      </c>
      <c r="P227" s="103">
        <f t="shared" si="268"/>
        <v>2.5268171389197735E-3</v>
      </c>
      <c r="Q227" s="103">
        <f t="shared" si="268"/>
        <v>2.2667175438865826E-3</v>
      </c>
      <c r="R227" s="103">
        <f t="shared" si="268"/>
        <v>2.0251522147815581E-3</v>
      </c>
      <c r="S227" s="103">
        <f t="shared" si="268"/>
        <v>1.8185672761553615E-3</v>
      </c>
      <c r="T227" s="103">
        <f t="shared" si="268"/>
        <v>1.6913148142629118E-3</v>
      </c>
      <c r="U227" s="103">
        <f t="shared" si="268"/>
        <v>1.5983723176130683E-3</v>
      </c>
      <c r="V227" s="103">
        <f t="shared" si="268"/>
        <v>1.5146112130967678E-3</v>
      </c>
      <c r="W227" s="103">
        <f t="shared" ref="W227" si="269">IF(W9=0,0,W9/W$4)</f>
        <v>1.6074206559916736E-3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2.3033052712158295E-5</v>
      </c>
      <c r="J228" s="103">
        <f t="shared" si="270"/>
        <v>4.2179711688602274E-5</v>
      </c>
      <c r="K228" s="103">
        <f t="shared" si="270"/>
        <v>5.5956720222363957E-5</v>
      </c>
      <c r="L228" s="103">
        <f t="shared" ref="L228" si="271">IF(L10=0,0,L10/L$4)</f>
        <v>5.9613258705434598E-5</v>
      </c>
      <c r="M228" s="103">
        <f t="shared" ref="M228:V228" si="272">IF(M10=0,0,M10/M$4)</f>
        <v>6.0864086099418595E-5</v>
      </c>
      <c r="N228" s="103">
        <f t="shared" si="272"/>
        <v>6.4072922289867964E-5</v>
      </c>
      <c r="O228" s="103">
        <f t="shared" si="272"/>
        <v>6.3587997425930192E-5</v>
      </c>
      <c r="P228" s="103">
        <f t="shared" si="272"/>
        <v>6.2514220483883204E-5</v>
      </c>
      <c r="Q228" s="103">
        <f t="shared" si="272"/>
        <v>6.3936132463796882E-5</v>
      </c>
      <c r="R228" s="103">
        <f t="shared" si="272"/>
        <v>7.3674504477203365E-5</v>
      </c>
      <c r="S228" s="103">
        <f t="shared" si="272"/>
        <v>7.2973758830940054E-5</v>
      </c>
      <c r="T228" s="103">
        <f t="shared" si="272"/>
        <v>7.2267784740090785E-5</v>
      </c>
      <c r="U228" s="103">
        <f t="shared" si="272"/>
        <v>7.6194378466457971E-5</v>
      </c>
      <c r="V228" s="103">
        <f t="shared" si="272"/>
        <v>8.3819431569143844E-5</v>
      </c>
      <c r="W228" s="103">
        <f t="shared" ref="W228" si="273">IF(W10=0,0,W10/W$4)</f>
        <v>8.6413654531873797E-5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1.1574257544090085E-5</v>
      </c>
      <c r="O229" s="103">
        <f t="shared" si="276"/>
        <v>2.4921000359481644E-5</v>
      </c>
      <c r="P229" s="103">
        <f t="shared" si="276"/>
        <v>5.069609538686198E-5</v>
      </c>
      <c r="Q229" s="103">
        <f t="shared" si="276"/>
        <v>1.3606048634206519E-4</v>
      </c>
      <c r="R229" s="103">
        <f t="shared" si="276"/>
        <v>2.4899678949855776E-4</v>
      </c>
      <c r="S229" s="103">
        <f t="shared" si="276"/>
        <v>4.4164663854875605E-4</v>
      </c>
      <c r="T229" s="103">
        <f t="shared" si="276"/>
        <v>6.9767820469240709E-4</v>
      </c>
      <c r="U229" s="103">
        <f t="shared" si="276"/>
        <v>1.058245891918845E-3</v>
      </c>
      <c r="V229" s="103">
        <f t="shared" si="276"/>
        <v>2.5025318789635344E-3</v>
      </c>
      <c r="W229" s="103">
        <f t="shared" ref="W229" si="277">IF(W11=0,0,W11/W$4)</f>
        <v>5.3435974259298715E-3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4.5434384715099925E-7</v>
      </c>
      <c r="I230" s="103">
        <f t="shared" si="278"/>
        <v>6.3271447975012952E-7</v>
      </c>
      <c r="J230" s="103">
        <f t="shared" si="278"/>
        <v>8.3073529420413429E-5</v>
      </c>
      <c r="K230" s="103">
        <f t="shared" si="278"/>
        <v>8.0796543304995994E-5</v>
      </c>
      <c r="L230" s="103">
        <f t="shared" ref="L230" si="279">IF(L12=0,0,L12/L$4)</f>
        <v>8.0391783219637729E-5</v>
      </c>
      <c r="M230" s="103">
        <f t="shared" ref="M230:V230" si="280">IF(M12=0,0,M12/M$4)</f>
        <v>1.588271382341901E-4</v>
      </c>
      <c r="N230" s="103">
        <f t="shared" si="280"/>
        <v>2.7569263693417832E-4</v>
      </c>
      <c r="O230" s="103">
        <f t="shared" si="280"/>
        <v>5.1148054337513777E-4</v>
      </c>
      <c r="P230" s="103">
        <f t="shared" si="280"/>
        <v>8.1862790988608135E-4</v>
      </c>
      <c r="Q230" s="103">
        <f t="shared" si="280"/>
        <v>1.3421295947080819E-3</v>
      </c>
      <c r="R230" s="103">
        <f t="shared" si="280"/>
        <v>1.7549192310416376E-3</v>
      </c>
      <c r="S230" s="103">
        <f t="shared" si="280"/>
        <v>2.3821705895240072E-3</v>
      </c>
      <c r="T230" s="103">
        <f t="shared" si="280"/>
        <v>3.3030469449414905E-3</v>
      </c>
      <c r="U230" s="103">
        <f t="shared" si="280"/>
        <v>4.3398541971965592E-3</v>
      </c>
      <c r="V230" s="103">
        <f t="shared" si="280"/>
        <v>7.7272853544879038E-3</v>
      </c>
      <c r="W230" s="103">
        <f t="shared" ref="W230" si="281">IF(W12=0,0,W12/W$4)</f>
        <v>1.2240566901535849E-2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6.6244359009921622E-2</v>
      </c>
      <c r="C231" s="156">
        <f t="shared" si="282"/>
        <v>6.2258786858073865E-2</v>
      </c>
      <c r="D231" s="156">
        <f t="shared" si="282"/>
        <v>6.2420735884886232E-2</v>
      </c>
      <c r="E231" s="156">
        <f t="shared" si="282"/>
        <v>6.287438914268853E-2</v>
      </c>
      <c r="F231" s="156">
        <f t="shared" si="282"/>
        <v>6.4109972722331113E-2</v>
      </c>
      <c r="G231" s="156">
        <f t="shared" si="282"/>
        <v>6.5052721306418287E-2</v>
      </c>
      <c r="H231" s="156">
        <f t="shared" si="282"/>
        <v>6.8207148984118726E-2</v>
      </c>
      <c r="I231" s="156">
        <f t="shared" si="282"/>
        <v>6.8489980263672839E-2</v>
      </c>
      <c r="J231" s="156">
        <f t="shared" si="282"/>
        <v>7.0410278809627441E-2</v>
      </c>
      <c r="K231" s="156">
        <f t="shared" si="282"/>
        <v>6.9871242200088501E-2</v>
      </c>
      <c r="L231" s="156">
        <f t="shared" ref="L231" si="283">IF(L13=0,0,L13/L$4)</f>
        <v>7.0424407209400644E-2</v>
      </c>
      <c r="M231" s="156">
        <f t="shared" ref="M231:V231" si="284">IF(M13=0,0,M13/M$4)</f>
        <v>7.1037497789428125E-2</v>
      </c>
      <c r="N231" s="156">
        <f t="shared" si="284"/>
        <v>6.5964768674705715E-2</v>
      </c>
      <c r="O231" s="156">
        <f t="shared" si="284"/>
        <v>6.5847508156091902E-2</v>
      </c>
      <c r="P231" s="156">
        <f t="shared" si="284"/>
        <v>6.6463930150349113E-2</v>
      </c>
      <c r="Q231" s="156">
        <f t="shared" si="284"/>
        <v>6.6449932447850246E-2</v>
      </c>
      <c r="R231" s="156">
        <f t="shared" si="284"/>
        <v>6.6886914343856935E-2</v>
      </c>
      <c r="S231" s="156">
        <f t="shared" si="284"/>
        <v>6.6857513166217186E-2</v>
      </c>
      <c r="T231" s="156">
        <f t="shared" si="284"/>
        <v>6.7121720523391451E-2</v>
      </c>
      <c r="U231" s="156">
        <f t="shared" si="284"/>
        <v>6.7329948058198863E-2</v>
      </c>
      <c r="V231" s="156">
        <f t="shared" si="284"/>
        <v>5.4266098118929733E-2</v>
      </c>
      <c r="W231" s="156">
        <f t="shared" ref="W231" si="285">IF(W13=0,0,W13/W$4)</f>
        <v>5.2021779237451507E-2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1.4054188237516243E-4</v>
      </c>
      <c r="C232" s="103">
        <f t="shared" si="286"/>
        <v>1.2760985533244858E-4</v>
      </c>
      <c r="D232" s="103">
        <f t="shared" si="286"/>
        <v>1.2294916384343707E-4</v>
      </c>
      <c r="E232" s="103">
        <f t="shared" si="286"/>
        <v>1.1509521308907091E-4</v>
      </c>
      <c r="F232" s="103">
        <f t="shared" si="286"/>
        <v>1.0825532032503588E-4</v>
      </c>
      <c r="G232" s="103">
        <f t="shared" si="286"/>
        <v>1.0022737982665589E-4</v>
      </c>
      <c r="H232" s="103">
        <f t="shared" si="286"/>
        <v>9.4318543112256124E-5</v>
      </c>
      <c r="I232" s="103">
        <f t="shared" si="286"/>
        <v>8.5381412411567232E-5</v>
      </c>
      <c r="J232" s="103">
        <f t="shared" si="286"/>
        <v>8.0143745440200935E-5</v>
      </c>
      <c r="K232" s="103">
        <f t="shared" si="286"/>
        <v>7.1025124943680299E-5</v>
      </c>
      <c r="L232" s="103">
        <f t="shared" ref="L232" si="287">IF(L14=0,0,L14/L$4)</f>
        <v>6.1543600272055874E-5</v>
      </c>
      <c r="M232" s="103">
        <f t="shared" ref="M232:V232" si="288">IF(M14=0,0,M14/M$4)</f>
        <v>5.2993798061857009E-5</v>
      </c>
      <c r="N232" s="103">
        <f t="shared" si="288"/>
        <v>4.1983169307042996E-5</v>
      </c>
      <c r="O232" s="103">
        <f t="shared" si="288"/>
        <v>3.7201705346398522E-5</v>
      </c>
      <c r="P232" s="103">
        <f t="shared" si="288"/>
        <v>3.1215139320894724E-5</v>
      </c>
      <c r="Q232" s="103">
        <f t="shared" si="288"/>
        <v>2.5881751341511154E-5</v>
      </c>
      <c r="R232" s="103">
        <f t="shared" si="288"/>
        <v>2.5228638923574766E-5</v>
      </c>
      <c r="S232" s="103">
        <f t="shared" si="288"/>
        <v>2.514245747637047E-5</v>
      </c>
      <c r="T232" s="103">
        <f t="shared" si="288"/>
        <v>2.4864421005945398E-5</v>
      </c>
      <c r="U232" s="103">
        <f t="shared" si="288"/>
        <v>2.4101579289187076E-5</v>
      </c>
      <c r="V232" s="103">
        <f t="shared" si="288"/>
        <v>2.0513119092961988E-5</v>
      </c>
      <c r="W232" s="103">
        <f t="shared" ref="W232" si="289">IF(W14=0,0,W14/W$4)</f>
        <v>1.9958962856894646E-5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6.5874986508550018E-2</v>
      </c>
      <c r="C233" s="103">
        <f t="shared" si="290"/>
        <v>6.1520940238561785E-2</v>
      </c>
      <c r="D233" s="103">
        <f t="shared" si="290"/>
        <v>6.1614946641134268E-2</v>
      </c>
      <c r="E233" s="103">
        <f t="shared" si="290"/>
        <v>6.1885798966411228E-2</v>
      </c>
      <c r="F233" s="103">
        <f t="shared" si="290"/>
        <v>6.2982567378349022E-2</v>
      </c>
      <c r="G233" s="103">
        <f t="shared" si="290"/>
        <v>6.3849357409241539E-2</v>
      </c>
      <c r="H233" s="103">
        <f t="shared" si="290"/>
        <v>6.6857774562520192E-2</v>
      </c>
      <c r="I233" s="103">
        <f t="shared" si="290"/>
        <v>6.7025061174023584E-2</v>
      </c>
      <c r="J233" s="103">
        <f t="shared" si="290"/>
        <v>6.869436283251934E-2</v>
      </c>
      <c r="K233" s="103">
        <f t="shared" si="290"/>
        <v>6.815330387917809E-2</v>
      </c>
      <c r="L233" s="103">
        <f t="shared" ref="L233" si="291">IF(L15=0,0,L15/L$4)</f>
        <v>6.8718610514179088E-2</v>
      </c>
      <c r="M233" s="103">
        <f t="shared" ref="M233:V233" si="292">IF(M15=0,0,M15/M$4)</f>
        <v>6.7303547169110536E-2</v>
      </c>
      <c r="N233" s="103">
        <f t="shared" si="292"/>
        <v>6.2103912756484338E-2</v>
      </c>
      <c r="O233" s="103">
        <f t="shared" si="292"/>
        <v>6.1309988076926926E-2</v>
      </c>
      <c r="P233" s="103">
        <f t="shared" si="292"/>
        <v>6.1630518447407363E-2</v>
      </c>
      <c r="Q233" s="103">
        <f t="shared" si="292"/>
        <v>6.1645762892875253E-2</v>
      </c>
      <c r="R233" s="103">
        <f t="shared" si="292"/>
        <v>6.2076666437018591E-2</v>
      </c>
      <c r="S233" s="103">
        <f t="shared" si="292"/>
        <v>6.1768889854399878E-2</v>
      </c>
      <c r="T233" s="103">
        <f t="shared" si="292"/>
        <v>6.1323932331267053E-2</v>
      </c>
      <c r="U233" s="103">
        <f t="shared" si="292"/>
        <v>6.0041677527501516E-2</v>
      </c>
      <c r="V233" s="103">
        <f t="shared" si="292"/>
        <v>4.6230011927206195E-2</v>
      </c>
      <c r="W233" s="103">
        <f t="shared" ref="W233" si="293">IF(W15=0,0,W15/W$4)</f>
        <v>4.1562717444008197E-2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7.6715844855469167E-5</v>
      </c>
      <c r="C234" s="103">
        <f t="shared" si="294"/>
        <v>8.4544114498874136E-5</v>
      </c>
      <c r="D234" s="103">
        <f t="shared" si="294"/>
        <v>8.4921753413623531E-5</v>
      </c>
      <c r="E234" s="103">
        <f t="shared" si="294"/>
        <v>8.9174301805608659E-5</v>
      </c>
      <c r="F234" s="103">
        <f t="shared" si="294"/>
        <v>9.2503332799544899E-5</v>
      </c>
      <c r="G234" s="103">
        <f t="shared" si="294"/>
        <v>9.3504349361318376E-5</v>
      </c>
      <c r="H234" s="103">
        <f t="shared" si="294"/>
        <v>7.7586528687916402E-5</v>
      </c>
      <c r="I234" s="103">
        <f t="shared" si="294"/>
        <v>9.0376893953525588E-5</v>
      </c>
      <c r="J234" s="103">
        <f t="shared" si="294"/>
        <v>9.0689202723187844E-5</v>
      </c>
      <c r="K234" s="103">
        <f t="shared" si="294"/>
        <v>8.892424714266704E-5</v>
      </c>
      <c r="L234" s="103">
        <f t="shared" ref="L234" si="295">IF(L16=0,0,L16/L$4)</f>
        <v>8.616726771174637E-5</v>
      </c>
      <c r="M234" s="103">
        <f t="shared" ref="M234:V234" si="296">IF(M16=0,0,M16/M$4)</f>
        <v>8.0374710039739271E-5</v>
      </c>
      <c r="N234" s="103">
        <f t="shared" si="296"/>
        <v>6.9632397205440577E-5</v>
      </c>
      <c r="O234" s="103">
        <f t="shared" si="296"/>
        <v>6.8231841230018131E-5</v>
      </c>
      <c r="P234" s="103">
        <f t="shared" si="296"/>
        <v>6.3438867266840549E-5</v>
      </c>
      <c r="Q234" s="103">
        <f t="shared" si="296"/>
        <v>5.8971636829633435E-5</v>
      </c>
      <c r="R234" s="103">
        <f t="shared" si="296"/>
        <v>5.5048809575150223E-5</v>
      </c>
      <c r="S234" s="103">
        <f t="shared" si="296"/>
        <v>5.0962147444114743E-5</v>
      </c>
      <c r="T234" s="103">
        <f t="shared" si="296"/>
        <v>4.7069665053407012E-5</v>
      </c>
      <c r="U234" s="103">
        <f t="shared" si="296"/>
        <v>4.2453494298296631E-5</v>
      </c>
      <c r="V234" s="103">
        <f t="shared" si="296"/>
        <v>3.0573089141466812E-5</v>
      </c>
      <c r="W234" s="103">
        <f t="shared" ref="W234" si="297">IF(W16=0,0,W16/W$4)</f>
        <v>2.6053633662135156E-5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1.5098179957865534E-5</v>
      </c>
      <c r="C235" s="103">
        <f t="shared" si="298"/>
        <v>3.8118057487078477E-4</v>
      </c>
      <c r="D235" s="103">
        <f t="shared" si="298"/>
        <v>4.3724793197483773E-4</v>
      </c>
      <c r="E235" s="103">
        <f t="shared" si="298"/>
        <v>6.1098229259345515E-4</v>
      </c>
      <c r="F235" s="103">
        <f t="shared" si="298"/>
        <v>7.3987227749158682E-4</v>
      </c>
      <c r="G235" s="103">
        <f t="shared" si="298"/>
        <v>8.2289137145968481E-4</v>
      </c>
      <c r="H235" s="103">
        <f t="shared" si="298"/>
        <v>9.9445639164121697E-4</v>
      </c>
      <c r="I235" s="103">
        <f t="shared" si="298"/>
        <v>1.1155080318877076E-3</v>
      </c>
      <c r="J235" s="103">
        <f t="shared" si="298"/>
        <v>1.3723237859915543E-3</v>
      </c>
      <c r="K235" s="103">
        <f t="shared" si="298"/>
        <v>1.3895865412071949E-3</v>
      </c>
      <c r="L235" s="103">
        <f t="shared" ref="L235" si="299">IF(L17=0,0,L17/L$4)</f>
        <v>1.3936999973865639E-3</v>
      </c>
      <c r="M235" s="103">
        <f t="shared" ref="M235:V235" si="300">IF(M17=0,0,M17/M$4)</f>
        <v>3.4444262546810358E-3</v>
      </c>
      <c r="N235" s="103">
        <f t="shared" si="300"/>
        <v>3.5872323218465924E-3</v>
      </c>
      <c r="O235" s="103">
        <f t="shared" si="300"/>
        <v>4.1652506081918082E-3</v>
      </c>
      <c r="P235" s="103">
        <f t="shared" si="300"/>
        <v>4.4491278353744178E-3</v>
      </c>
      <c r="Q235" s="103">
        <f t="shared" si="300"/>
        <v>4.4054437633040634E-3</v>
      </c>
      <c r="R235" s="103">
        <f t="shared" si="300"/>
        <v>4.3800971152899888E-3</v>
      </c>
      <c r="S235" s="103">
        <f t="shared" si="300"/>
        <v>4.6146802711337365E-3</v>
      </c>
      <c r="T235" s="103">
        <f t="shared" si="300"/>
        <v>5.3135803724163573E-3</v>
      </c>
      <c r="U235" s="103">
        <f t="shared" si="300"/>
        <v>6.57098622675064E-3</v>
      </c>
      <c r="V235" s="103">
        <f t="shared" si="300"/>
        <v>7.3406882138203171E-3</v>
      </c>
      <c r="W235" s="103">
        <f t="shared" ref="W235" si="301">IF(W17=0,0,W17/W$4)</f>
        <v>9.1860288045319191E-3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1.3701659418312415E-4</v>
      </c>
      <c r="C236" s="103">
        <f t="shared" si="302"/>
        <v>1.445120748099626E-4</v>
      </c>
      <c r="D236" s="103">
        <f t="shared" si="302"/>
        <v>1.6067039452007545E-4</v>
      </c>
      <c r="E236" s="103">
        <f t="shared" si="302"/>
        <v>1.7333836878915762E-4</v>
      </c>
      <c r="F236" s="103">
        <f t="shared" si="302"/>
        <v>1.8677441336592123E-4</v>
      </c>
      <c r="G236" s="103">
        <f t="shared" si="302"/>
        <v>1.8674079652908696E-4</v>
      </c>
      <c r="H236" s="103">
        <f t="shared" si="302"/>
        <v>1.8301295815714887E-4</v>
      </c>
      <c r="I236" s="103">
        <f t="shared" si="302"/>
        <v>1.7365275139644411E-4</v>
      </c>
      <c r="J236" s="103">
        <f t="shared" si="302"/>
        <v>1.7275924295316451E-4</v>
      </c>
      <c r="K236" s="103">
        <f t="shared" si="302"/>
        <v>1.6840240761688074E-4</v>
      </c>
      <c r="L236" s="103">
        <f t="shared" ref="L236" si="303">IF(L18=0,0,L18/L$4)</f>
        <v>1.6438582985119014E-4</v>
      </c>
      <c r="M236" s="103">
        <f t="shared" ref="M236:V236" si="304">IF(M18=0,0,M18/M$4)</f>
        <v>1.5615585753495784E-4</v>
      </c>
      <c r="N236" s="103">
        <f t="shared" si="304"/>
        <v>1.6200802986231054E-4</v>
      </c>
      <c r="O236" s="103">
        <f t="shared" si="304"/>
        <v>2.6683592439675954E-4</v>
      </c>
      <c r="P236" s="103">
        <f t="shared" si="304"/>
        <v>2.8962986097960457E-4</v>
      </c>
      <c r="Q236" s="103">
        <f t="shared" si="304"/>
        <v>3.1387240349977795E-4</v>
      </c>
      <c r="R236" s="103">
        <f t="shared" si="304"/>
        <v>3.498733430496378E-4</v>
      </c>
      <c r="S236" s="103">
        <f t="shared" si="304"/>
        <v>3.9783843576308509E-4</v>
      </c>
      <c r="T236" s="103">
        <f t="shared" si="304"/>
        <v>4.1227373364869914E-4</v>
      </c>
      <c r="U236" s="103">
        <f t="shared" si="304"/>
        <v>6.5072923035921885E-4</v>
      </c>
      <c r="V236" s="103">
        <f t="shared" si="304"/>
        <v>6.4431176966879371E-4</v>
      </c>
      <c r="W236" s="103">
        <f t="shared" ref="W236" si="305">IF(W18=0,0,W18/W$4)</f>
        <v>1.2270203923923626E-3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5.6661051661188226E-2</v>
      </c>
      <c r="C238" s="154">
        <f t="shared" si="310"/>
        <v>5.5979873526284731E-2</v>
      </c>
      <c r="D238" s="154">
        <f t="shared" si="310"/>
        <v>5.5132616955789623E-2</v>
      </c>
      <c r="E238" s="154">
        <f t="shared" si="310"/>
        <v>5.457720913988913E-2</v>
      </c>
      <c r="F238" s="154">
        <f t="shared" si="310"/>
        <v>5.0294350155467793E-2</v>
      </c>
      <c r="G238" s="154">
        <f t="shared" si="310"/>
        <v>4.9927137724812026E-2</v>
      </c>
      <c r="H238" s="154">
        <f t="shared" si="310"/>
        <v>4.9017721660267036E-2</v>
      </c>
      <c r="I238" s="154">
        <f t="shared" si="310"/>
        <v>4.7631728338094946E-2</v>
      </c>
      <c r="J238" s="154">
        <f t="shared" si="310"/>
        <v>4.8585231912857671E-2</v>
      </c>
      <c r="K238" s="154">
        <f t="shared" si="310"/>
        <v>5.648183900224836E-2</v>
      </c>
      <c r="L238" s="154">
        <f t="shared" ref="L238" si="311">IF(L20=0,0,L20/L$19)</f>
        <v>5.5255327974921206E-2</v>
      </c>
      <c r="M238" s="154">
        <f t="shared" ref="M238:V238" si="312">IF(M20=0,0,M20/M$19)</f>
        <v>5.6854221176464062E-2</v>
      </c>
      <c r="N238" s="154">
        <f t="shared" si="312"/>
        <v>6.0177878395590509E-2</v>
      </c>
      <c r="O238" s="154">
        <f t="shared" si="312"/>
        <v>6.0039520625011465E-2</v>
      </c>
      <c r="P238" s="154">
        <f t="shared" si="312"/>
        <v>6.1722400152169246E-2</v>
      </c>
      <c r="Q238" s="154">
        <f t="shared" si="312"/>
        <v>6.5887151334215965E-2</v>
      </c>
      <c r="R238" s="154">
        <f t="shared" si="312"/>
        <v>6.3841042081105651E-2</v>
      </c>
      <c r="S238" s="154">
        <f t="shared" si="312"/>
        <v>6.1074644663435713E-2</v>
      </c>
      <c r="T238" s="154">
        <f t="shared" si="312"/>
        <v>5.9991401189869065E-2</v>
      </c>
      <c r="U238" s="154">
        <f t="shared" si="312"/>
        <v>5.8904719779813978E-2</v>
      </c>
      <c r="V238" s="154">
        <f t="shared" si="312"/>
        <v>5.4801313004221856E-2</v>
      </c>
      <c r="W238" s="154">
        <f t="shared" ref="W238" si="313">IF(W20=0,0,W20/W$19)</f>
        <v>5.7799281052613609E-2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6.1729465937625074E-3</v>
      </c>
      <c r="C239" s="103">
        <f t="shared" si="314"/>
        <v>5.1667013950455198E-3</v>
      </c>
      <c r="D239" s="103">
        <f t="shared" si="314"/>
        <v>4.2010231484288143E-3</v>
      </c>
      <c r="E239" s="103">
        <f t="shared" si="314"/>
        <v>3.3033466012369482E-3</v>
      </c>
      <c r="F239" s="103">
        <f t="shared" si="314"/>
        <v>2.4132329838177581E-3</v>
      </c>
      <c r="G239" s="103">
        <f t="shared" si="314"/>
        <v>2.0059570233186435E-3</v>
      </c>
      <c r="H239" s="103">
        <f t="shared" si="314"/>
        <v>1.6719800478804008E-3</v>
      </c>
      <c r="I239" s="103">
        <f t="shared" si="314"/>
        <v>1.4142719525104162E-3</v>
      </c>
      <c r="J239" s="103">
        <f t="shared" si="314"/>
        <v>1.3120524496332024E-3</v>
      </c>
      <c r="K239" s="103">
        <f t="shared" si="314"/>
        <v>1.3651896067901207E-3</v>
      </c>
      <c r="L239" s="103">
        <f t="shared" ref="L239" si="315">IF(L21=0,0,L21/L$19)</f>
        <v>1.4262438712903454E-3</v>
      </c>
      <c r="M239" s="103">
        <f t="shared" ref="M239:V239" si="316">IF(M21=0,0,M21/M$19)</f>
        <v>1.5962986594289918E-3</v>
      </c>
      <c r="N239" s="103">
        <f t="shared" si="316"/>
        <v>1.8100690716164501E-3</v>
      </c>
      <c r="O239" s="103">
        <f t="shared" si="316"/>
        <v>1.9283913169023913E-3</v>
      </c>
      <c r="P239" s="103">
        <f t="shared" si="316"/>
        <v>1.7765629142037804E-3</v>
      </c>
      <c r="Q239" s="103">
        <f t="shared" si="316"/>
        <v>1.7006193801532084E-3</v>
      </c>
      <c r="R239" s="103">
        <f t="shared" si="316"/>
        <v>1.59472122022177E-3</v>
      </c>
      <c r="S239" s="103">
        <f t="shared" si="316"/>
        <v>1.4905954957679076E-3</v>
      </c>
      <c r="T239" s="103">
        <f t="shared" si="316"/>
        <v>1.4271766527070675E-3</v>
      </c>
      <c r="U239" s="103">
        <f t="shared" si="316"/>
        <v>1.3304525543302E-3</v>
      </c>
      <c r="V239" s="103">
        <f t="shared" si="316"/>
        <v>1.2164601240341206E-3</v>
      </c>
      <c r="W239" s="103">
        <f t="shared" ref="W239" si="317">IF(W21=0,0,W21/W$19)</f>
        <v>1.3520733435500359E-3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5.0304330731984336E-2</v>
      </c>
      <c r="C240" s="103">
        <f t="shared" si="318"/>
        <v>5.0620322707142645E-2</v>
      </c>
      <c r="D240" s="103">
        <f t="shared" si="318"/>
        <v>5.073667437560337E-2</v>
      </c>
      <c r="E240" s="103">
        <f t="shared" si="318"/>
        <v>5.1077420784138385E-2</v>
      </c>
      <c r="F240" s="103">
        <f t="shared" si="318"/>
        <v>4.7695991161610218E-2</v>
      </c>
      <c r="G240" s="103">
        <f t="shared" si="318"/>
        <v>4.7732710079939941E-2</v>
      </c>
      <c r="H240" s="103">
        <f t="shared" si="318"/>
        <v>4.7148439678682937E-2</v>
      </c>
      <c r="I240" s="103">
        <f t="shared" si="318"/>
        <v>4.6060022028386119E-2</v>
      </c>
      <c r="J240" s="103">
        <f t="shared" si="318"/>
        <v>4.7122948365648336E-2</v>
      </c>
      <c r="K240" s="103">
        <f t="shared" si="318"/>
        <v>5.4934781278095465E-2</v>
      </c>
      <c r="L240" s="103">
        <f t="shared" ref="L240" si="319">IF(L22=0,0,L22/L$19)</f>
        <v>5.3659972494678763E-2</v>
      </c>
      <c r="M240" s="103">
        <f t="shared" ref="M240:V240" si="320">IF(M22=0,0,M22/M$19)</f>
        <v>5.5079917259959921E-2</v>
      </c>
      <c r="N240" s="103">
        <f t="shared" si="320"/>
        <v>5.8180474048702274E-2</v>
      </c>
      <c r="O240" s="103">
        <f t="shared" si="320"/>
        <v>5.7914836507372842E-2</v>
      </c>
      <c r="P240" s="103">
        <f t="shared" si="320"/>
        <v>5.9730879869869836E-2</v>
      </c>
      <c r="Q240" s="103">
        <f t="shared" si="320"/>
        <v>6.3948750356834616E-2</v>
      </c>
      <c r="R240" s="103">
        <f t="shared" si="320"/>
        <v>6.1988134860484358E-2</v>
      </c>
      <c r="S240" s="103">
        <f t="shared" si="320"/>
        <v>5.9335148780409658E-2</v>
      </c>
      <c r="T240" s="103">
        <f t="shared" si="320"/>
        <v>5.8262578388953594E-2</v>
      </c>
      <c r="U240" s="103">
        <f t="shared" si="320"/>
        <v>5.7254747529810718E-2</v>
      </c>
      <c r="V240" s="103">
        <f t="shared" si="320"/>
        <v>5.3254610854143992E-2</v>
      </c>
      <c r="W240" s="103">
        <f t="shared" ref="W240" si="321">IF(W22=0,0,W22/W$19)</f>
        <v>5.6058174033851042E-2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1.6421841682269517E-4</v>
      </c>
      <c r="C241" s="103">
        <f t="shared" si="322"/>
        <v>1.7132599001261348E-4</v>
      </c>
      <c r="D241" s="103">
        <f t="shared" si="322"/>
        <v>1.7255171458060081E-4</v>
      </c>
      <c r="E241" s="103">
        <f t="shared" si="322"/>
        <v>1.7242247493726943E-4</v>
      </c>
      <c r="F241" s="103">
        <f t="shared" si="322"/>
        <v>1.6224072217617768E-4</v>
      </c>
      <c r="G241" s="103">
        <f t="shared" si="322"/>
        <v>1.6608460789312163E-4</v>
      </c>
      <c r="H241" s="103">
        <f t="shared" si="322"/>
        <v>1.7316473436742842E-4</v>
      </c>
      <c r="I241" s="103">
        <f t="shared" si="322"/>
        <v>1.3354185642390482E-4</v>
      </c>
      <c r="J241" s="103">
        <f t="shared" si="322"/>
        <v>1.2713648179756915E-4</v>
      </c>
      <c r="K241" s="103">
        <f t="shared" si="322"/>
        <v>1.5303340807335279E-4</v>
      </c>
      <c r="L241" s="103">
        <f t="shared" ref="L241" si="323">IF(L23=0,0,L23/L$19)</f>
        <v>1.4376793904742678E-4</v>
      </c>
      <c r="M241" s="103">
        <f t="shared" ref="M241:V241" si="324">IF(M23=0,0,M23/M$19)</f>
        <v>1.423416343588803E-4</v>
      </c>
      <c r="N241" s="103">
        <f t="shared" si="324"/>
        <v>1.4284900234435308E-4</v>
      </c>
      <c r="O241" s="103">
        <f t="shared" si="324"/>
        <v>1.3762047720608064E-4</v>
      </c>
      <c r="P241" s="103">
        <f t="shared" si="324"/>
        <v>1.3621416604783142E-4</v>
      </c>
      <c r="Q241" s="103">
        <f t="shared" si="324"/>
        <v>1.4102851408144012E-4</v>
      </c>
      <c r="R241" s="103">
        <f t="shared" si="324"/>
        <v>1.3340295579426006E-4</v>
      </c>
      <c r="S241" s="103">
        <f t="shared" si="324"/>
        <v>1.2114086503592751E-4</v>
      </c>
      <c r="T241" s="103">
        <f t="shared" si="324"/>
        <v>1.017998814148027E-4</v>
      </c>
      <c r="U241" s="103">
        <f t="shared" si="324"/>
        <v>9.2444920071624938E-5</v>
      </c>
      <c r="V241" s="103">
        <f t="shared" si="324"/>
        <v>7.9653568809922738E-5</v>
      </c>
      <c r="W241" s="103">
        <f t="shared" ref="W241" si="325">IF(W23=0,0,W23/W$19)</f>
        <v>8.4884393431388809E-5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2.0757530977684983E-6</v>
      </c>
      <c r="C242" s="103">
        <f t="shared" si="326"/>
        <v>1.8642902087416878E-6</v>
      </c>
      <c r="D242" s="103">
        <f t="shared" si="326"/>
        <v>1.8615081167970587E-6</v>
      </c>
      <c r="E242" s="103">
        <f t="shared" si="326"/>
        <v>2.9471205178089015E-6</v>
      </c>
      <c r="F242" s="103">
        <f t="shared" si="326"/>
        <v>2.5797991462140528E-6</v>
      </c>
      <c r="G242" s="103">
        <f t="shared" si="326"/>
        <v>2.444739128762608E-6</v>
      </c>
      <c r="H242" s="103">
        <f t="shared" si="326"/>
        <v>4.8523628691183959E-6</v>
      </c>
      <c r="I242" s="103">
        <f t="shared" si="326"/>
        <v>4.3566417240226887E-6</v>
      </c>
      <c r="J242" s="103">
        <f t="shared" si="326"/>
        <v>4.4895066314248048E-6</v>
      </c>
      <c r="K242" s="103">
        <f t="shared" si="326"/>
        <v>6.3103555481305082E-6</v>
      </c>
      <c r="L242" s="103">
        <f t="shared" ref="L242" si="327">IF(L24=0,0,L24/L$19)</f>
        <v>5.8468339699307032E-6</v>
      </c>
      <c r="M242" s="103">
        <f t="shared" ref="M242:V242" si="328">IF(M24=0,0,M24/M$19)</f>
        <v>7.2375902660772621E-6</v>
      </c>
      <c r="N242" s="103">
        <f t="shared" si="328"/>
        <v>1.0494661353100324E-5</v>
      </c>
      <c r="O242" s="103">
        <f t="shared" si="328"/>
        <v>1.3408995237021002E-5</v>
      </c>
      <c r="P242" s="103">
        <f t="shared" si="328"/>
        <v>1.5838452068256127E-5</v>
      </c>
      <c r="Q242" s="103">
        <f t="shared" si="328"/>
        <v>1.8829353099140088E-5</v>
      </c>
      <c r="R242" s="103">
        <f t="shared" si="328"/>
        <v>2.0721223974536522E-5</v>
      </c>
      <c r="S242" s="103">
        <f t="shared" si="328"/>
        <v>2.253445523478768E-5</v>
      </c>
      <c r="T242" s="103">
        <f t="shared" si="328"/>
        <v>4.5970247053325689E-5</v>
      </c>
      <c r="U242" s="103">
        <f t="shared" si="328"/>
        <v>4.834553066127321E-5</v>
      </c>
      <c r="V242" s="103">
        <f t="shared" si="328"/>
        <v>4.8410518996840003E-5</v>
      </c>
      <c r="W242" s="103">
        <f t="shared" ref="W242" si="329">IF(W24=0,0,W24/W$19)</f>
        <v>5.551717197105803E-5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1.7480165520914465E-5</v>
      </c>
      <c r="C243" s="103">
        <f t="shared" si="330"/>
        <v>1.965914387520069E-5</v>
      </c>
      <c r="D243" s="103">
        <f t="shared" si="330"/>
        <v>2.0506209060042393E-5</v>
      </c>
      <c r="E243" s="103">
        <f t="shared" si="330"/>
        <v>2.1072159058716045E-5</v>
      </c>
      <c r="F243" s="103">
        <f t="shared" si="330"/>
        <v>2.0305488717426462E-5</v>
      </c>
      <c r="G243" s="103">
        <f t="shared" si="330"/>
        <v>1.9941274531551854E-5</v>
      </c>
      <c r="H243" s="103">
        <f t="shared" si="330"/>
        <v>1.9284836467152891E-5</v>
      </c>
      <c r="I243" s="103">
        <f t="shared" si="330"/>
        <v>1.9535859050481773E-5</v>
      </c>
      <c r="J243" s="103">
        <f t="shared" si="330"/>
        <v>1.8605109147141136E-5</v>
      </c>
      <c r="K243" s="103">
        <f t="shared" si="330"/>
        <v>2.2524353741279968E-5</v>
      </c>
      <c r="L243" s="103">
        <f t="shared" ref="L243" si="331">IF(L25=0,0,L25/L$19)</f>
        <v>1.9496835934735178E-5</v>
      </c>
      <c r="M243" s="103">
        <f t="shared" ref="M243:V243" si="332">IF(M25=0,0,M25/M$19)</f>
        <v>2.842603245019113E-5</v>
      </c>
      <c r="N243" s="103">
        <f t="shared" si="332"/>
        <v>3.3991611574340372E-5</v>
      </c>
      <c r="O243" s="103">
        <f t="shared" si="332"/>
        <v>4.526332829313808E-5</v>
      </c>
      <c r="P243" s="103">
        <f t="shared" si="332"/>
        <v>6.2904749979544782E-5</v>
      </c>
      <c r="Q243" s="103">
        <f t="shared" si="332"/>
        <v>7.7923730047567544E-5</v>
      </c>
      <c r="R243" s="103">
        <f t="shared" si="332"/>
        <v>1.0406182063072871E-4</v>
      </c>
      <c r="S243" s="103">
        <f t="shared" si="332"/>
        <v>1.0522506698743819E-4</v>
      </c>
      <c r="T243" s="103">
        <f t="shared" si="332"/>
        <v>1.5387601974027951E-4</v>
      </c>
      <c r="U243" s="103">
        <f t="shared" si="332"/>
        <v>1.7872924494016491E-4</v>
      </c>
      <c r="V243" s="103">
        <f t="shared" si="332"/>
        <v>2.0217793823697796E-4</v>
      </c>
      <c r="W243" s="103">
        <f t="shared" ref="W243" si="333">IF(W25=0,0,W25/W$19)</f>
        <v>2.486321098100921E-4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0.94333894833881171</v>
      </c>
      <c r="C244" s="156">
        <f t="shared" si="334"/>
        <v>0.94402012647371525</v>
      </c>
      <c r="D244" s="156">
        <f t="shared" si="334"/>
        <v>0.94486738304421036</v>
      </c>
      <c r="E244" s="156">
        <f t="shared" si="334"/>
        <v>0.94542279086011094</v>
      </c>
      <c r="F244" s="156">
        <f t="shared" si="334"/>
        <v>0.94970564984453232</v>
      </c>
      <c r="G244" s="156">
        <f t="shared" si="334"/>
        <v>0.95007286227518795</v>
      </c>
      <c r="H244" s="156">
        <f t="shared" si="334"/>
        <v>0.95098227833973292</v>
      </c>
      <c r="I244" s="156">
        <f t="shared" si="334"/>
        <v>0.95236827166190507</v>
      </c>
      <c r="J244" s="156">
        <f t="shared" si="334"/>
        <v>0.95141476808714232</v>
      </c>
      <c r="K244" s="156">
        <f t="shared" si="334"/>
        <v>0.94351816099775176</v>
      </c>
      <c r="L244" s="156">
        <f t="shared" ref="L244" si="335">IF(L26=0,0,L26/L$19)</f>
        <v>0.94474467202507884</v>
      </c>
      <c r="M244" s="156">
        <f t="shared" ref="M244:V244" si="336">IF(M26=0,0,M26/M$19)</f>
        <v>0.9431457788235359</v>
      </c>
      <c r="N244" s="156">
        <f t="shared" si="336"/>
        <v>0.93982212160440959</v>
      </c>
      <c r="O244" s="156">
        <f t="shared" si="336"/>
        <v>0.93996047937498861</v>
      </c>
      <c r="P244" s="156">
        <f t="shared" si="336"/>
        <v>0.93827759984783088</v>
      </c>
      <c r="Q244" s="156">
        <f t="shared" si="336"/>
        <v>0.93411284866578403</v>
      </c>
      <c r="R244" s="156">
        <f t="shared" si="336"/>
        <v>0.93615895791889436</v>
      </c>
      <c r="S244" s="156">
        <f t="shared" si="336"/>
        <v>0.9389253553365644</v>
      </c>
      <c r="T244" s="156">
        <f t="shared" si="336"/>
        <v>0.94000859881013088</v>
      </c>
      <c r="U244" s="156">
        <f t="shared" si="336"/>
        <v>0.94109528022018596</v>
      </c>
      <c r="V244" s="156">
        <f t="shared" si="336"/>
        <v>0.94519868699577814</v>
      </c>
      <c r="W244" s="156">
        <f t="shared" ref="W244" si="337">IF(W26=0,0,W26/W$19)</f>
        <v>0.94220071894738633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0.6212398691148564</v>
      </c>
      <c r="C245" s="103">
        <f t="shared" si="338"/>
        <v>0.61396911944367116</v>
      </c>
      <c r="D245" s="103">
        <f t="shared" si="338"/>
        <v>0.60362074258601917</v>
      </c>
      <c r="E245" s="103">
        <f t="shared" si="338"/>
        <v>0.60196783811000465</v>
      </c>
      <c r="F245" s="103">
        <f t="shared" si="338"/>
        <v>0.58206649560732227</v>
      </c>
      <c r="G245" s="103">
        <f t="shared" si="338"/>
        <v>0.5720059177745016</v>
      </c>
      <c r="H245" s="103">
        <f t="shared" si="338"/>
        <v>0.57182423638916957</v>
      </c>
      <c r="I245" s="103">
        <f t="shared" si="338"/>
        <v>0.57804036463344488</v>
      </c>
      <c r="J245" s="103">
        <f t="shared" si="338"/>
        <v>0.57407780478319814</v>
      </c>
      <c r="K245" s="103">
        <f t="shared" si="338"/>
        <v>0.56240475042660276</v>
      </c>
      <c r="L245" s="103">
        <f t="shared" ref="L245" si="339">IF(L27=0,0,L27/L$19)</f>
        <v>0.56426113729903549</v>
      </c>
      <c r="M245" s="103">
        <f t="shared" ref="M245:V245" si="340">IF(M27=0,0,M27/M$19)</f>
        <v>0.58043181702577407</v>
      </c>
      <c r="N245" s="103">
        <f t="shared" si="340"/>
        <v>0.56757427063556709</v>
      </c>
      <c r="O245" s="103">
        <f t="shared" si="340"/>
        <v>0.55495607729997187</v>
      </c>
      <c r="P245" s="103">
        <f t="shared" si="340"/>
        <v>0.54561873618937251</v>
      </c>
      <c r="Q245" s="103">
        <f t="shared" si="340"/>
        <v>0.52526052111669053</v>
      </c>
      <c r="R245" s="103">
        <f t="shared" si="340"/>
        <v>0.52211099253725846</v>
      </c>
      <c r="S245" s="103">
        <f t="shared" si="340"/>
        <v>0.52677505379782397</v>
      </c>
      <c r="T245" s="103">
        <f t="shared" si="340"/>
        <v>0.53277868049990773</v>
      </c>
      <c r="U245" s="103">
        <f t="shared" si="340"/>
        <v>0.52857386372227155</v>
      </c>
      <c r="V245" s="103">
        <f t="shared" si="340"/>
        <v>0.53370677488273177</v>
      </c>
      <c r="W245" s="103">
        <f t="shared" ref="W245" si="341">IF(W27=0,0,W27/W$19)</f>
        <v>0.51918362120478045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0.32209907922395531</v>
      </c>
      <c r="C246" s="105">
        <f t="shared" si="342"/>
        <v>0.33005100703004409</v>
      </c>
      <c r="D246" s="105">
        <f t="shared" si="342"/>
        <v>0.34124664045819114</v>
      </c>
      <c r="E246" s="105">
        <f t="shared" si="342"/>
        <v>0.34345495275010623</v>
      </c>
      <c r="F246" s="105">
        <f t="shared" si="342"/>
        <v>0.36763915423720994</v>
      </c>
      <c r="G246" s="105">
        <f t="shared" si="342"/>
        <v>0.37806694450068629</v>
      </c>
      <c r="H246" s="105">
        <f t="shared" si="342"/>
        <v>0.37915804195056335</v>
      </c>
      <c r="I246" s="105">
        <f t="shared" si="342"/>
        <v>0.37432790702846019</v>
      </c>
      <c r="J246" s="105">
        <f t="shared" si="342"/>
        <v>0.37733696330394417</v>
      </c>
      <c r="K246" s="105">
        <f t="shared" si="342"/>
        <v>0.38111341057114895</v>
      </c>
      <c r="L246" s="105">
        <f t="shared" ref="L246" si="343">IF(L28=0,0,L28/L$19)</f>
        <v>0.38048353472604335</v>
      </c>
      <c r="M246" s="105">
        <f t="shared" ref="M246:V246" si="344">IF(M28=0,0,M28/M$19)</f>
        <v>0.36271396179776183</v>
      </c>
      <c r="N246" s="105">
        <f t="shared" si="344"/>
        <v>0.37224785096884244</v>
      </c>
      <c r="O246" s="105">
        <f t="shared" si="344"/>
        <v>0.38500440207501668</v>
      </c>
      <c r="P246" s="105">
        <f t="shared" si="344"/>
        <v>0.39265886365845826</v>
      </c>
      <c r="Q246" s="105">
        <f t="shared" si="344"/>
        <v>0.4088523275490934</v>
      </c>
      <c r="R246" s="105">
        <f t="shared" si="344"/>
        <v>0.41404796538163591</v>
      </c>
      <c r="S246" s="105">
        <f t="shared" si="344"/>
        <v>0.41215030153874033</v>
      </c>
      <c r="T246" s="105">
        <f t="shared" si="344"/>
        <v>0.40722991831022309</v>
      </c>
      <c r="U246" s="105">
        <f t="shared" si="344"/>
        <v>0.41252141649791446</v>
      </c>
      <c r="V246" s="105">
        <f t="shared" si="344"/>
        <v>0.41149191211304642</v>
      </c>
      <c r="W246" s="105">
        <f t="shared" ref="W246" si="345">IF(W28=0,0,W28/W$19)</f>
        <v>0.42301709774260593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3.0901654528811672E-2</v>
      </c>
      <c r="C250" s="154">
        <f t="shared" si="350"/>
        <v>3.1950100453053534E-2</v>
      </c>
      <c r="D250" s="154">
        <f t="shared" si="350"/>
        <v>3.4740043373464813E-2</v>
      </c>
      <c r="E250" s="154">
        <f t="shared" si="350"/>
        <v>3.4720254062089465E-2</v>
      </c>
      <c r="F250" s="154">
        <f t="shared" si="350"/>
        <v>3.6726198396489718E-2</v>
      </c>
      <c r="G250" s="154">
        <f t="shared" si="350"/>
        <v>3.7728390290257471E-2</v>
      </c>
      <c r="H250" s="154">
        <f t="shared" si="350"/>
        <v>3.7155071198097821E-2</v>
      </c>
      <c r="I250" s="154">
        <f t="shared" si="350"/>
        <v>3.762989834129498E-2</v>
      </c>
      <c r="J250" s="154">
        <f t="shared" si="350"/>
        <v>4.0139894073184641E-2</v>
      </c>
      <c r="K250" s="154">
        <f t="shared" si="350"/>
        <v>4.0654109293359247E-2</v>
      </c>
      <c r="L250" s="154">
        <f t="shared" ref="L250" si="351">IF(L32=0,0,L32/L$31)</f>
        <v>4.0306932429690488E-2</v>
      </c>
      <c r="M250" s="154">
        <f t="shared" ref="M250:V250" si="352">IF(M32=0,0,M32/M$31)</f>
        <v>3.9275933486705751E-2</v>
      </c>
      <c r="N250" s="154">
        <f t="shared" si="352"/>
        <v>3.8752951920636061E-2</v>
      </c>
      <c r="O250" s="154">
        <f t="shared" si="352"/>
        <v>3.9228310046223694E-2</v>
      </c>
      <c r="P250" s="154">
        <f t="shared" si="352"/>
        <v>3.9078585080217589E-2</v>
      </c>
      <c r="Q250" s="154">
        <f t="shared" si="352"/>
        <v>3.8321001771707164E-2</v>
      </c>
      <c r="R250" s="154">
        <f t="shared" si="352"/>
        <v>3.4809596799075408E-2</v>
      </c>
      <c r="S250" s="154">
        <f t="shared" si="352"/>
        <v>3.2726912482162168E-2</v>
      </c>
      <c r="T250" s="154">
        <f t="shared" si="352"/>
        <v>3.138514032879007E-2</v>
      </c>
      <c r="U250" s="154">
        <f t="shared" si="352"/>
        <v>3.2383214486401961E-2</v>
      </c>
      <c r="V250" s="154">
        <f t="shared" si="352"/>
        <v>3.3198112329459961E-2</v>
      </c>
      <c r="W250" s="154">
        <f t="shared" ref="W250" si="353">IF(W32=0,0,W32/W$31)</f>
        <v>3.0305175659963112E-2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0.95977273880061498</v>
      </c>
      <c r="C251" s="156">
        <f t="shared" si="354"/>
        <v>0.95931181022503942</v>
      </c>
      <c r="D251" s="156">
        <f t="shared" si="354"/>
        <v>0.95666111472935966</v>
      </c>
      <c r="E251" s="156">
        <f t="shared" si="354"/>
        <v>0.95662322772452268</v>
      </c>
      <c r="F251" s="156">
        <f t="shared" si="354"/>
        <v>0.95454451063691192</v>
      </c>
      <c r="G251" s="156">
        <f t="shared" si="354"/>
        <v>0.95349938880844098</v>
      </c>
      <c r="H251" s="156">
        <f t="shared" si="354"/>
        <v>0.95385850655649618</v>
      </c>
      <c r="I251" s="156">
        <f t="shared" si="354"/>
        <v>0.95337543516294587</v>
      </c>
      <c r="J251" s="156">
        <f t="shared" si="354"/>
        <v>0.9507740937376109</v>
      </c>
      <c r="K251" s="156">
        <f t="shared" si="354"/>
        <v>0.95079952112294663</v>
      </c>
      <c r="L251" s="156">
        <f t="shared" ref="L251" si="355">IF(L33=0,0,L33/L$31)</f>
        <v>0.95145977562763562</v>
      </c>
      <c r="M251" s="156">
        <f t="shared" ref="M251:V251" si="356">IF(M33=0,0,M33/M$31)</f>
        <v>0.95269962454997759</v>
      </c>
      <c r="N251" s="156">
        <f t="shared" si="356"/>
        <v>0.95344330832512358</v>
      </c>
      <c r="O251" s="156">
        <f t="shared" si="356"/>
        <v>0.9534905955849623</v>
      </c>
      <c r="P251" s="156">
        <f t="shared" si="356"/>
        <v>0.95379034755318104</v>
      </c>
      <c r="Q251" s="156">
        <f t="shared" si="356"/>
        <v>0.95462688128595108</v>
      </c>
      <c r="R251" s="156">
        <f t="shared" si="356"/>
        <v>0.95814100666363677</v>
      </c>
      <c r="S251" s="156">
        <f t="shared" si="356"/>
        <v>0.96042817934797997</v>
      </c>
      <c r="T251" s="156">
        <f t="shared" si="356"/>
        <v>0.96161632378445072</v>
      </c>
      <c r="U251" s="156">
        <f t="shared" si="356"/>
        <v>0.96077860849937879</v>
      </c>
      <c r="V251" s="156">
        <f t="shared" si="356"/>
        <v>0.96041722183127576</v>
      </c>
      <c r="W251" s="156">
        <f t="shared" ref="W251" si="357">IF(W33=0,0,W33/W$31)</f>
        <v>0.96355342868867455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0.49992571758516835</v>
      </c>
      <c r="C252" s="103">
        <f t="shared" si="358"/>
        <v>0.46968122392762046</v>
      </c>
      <c r="D252" s="103">
        <f t="shared" si="358"/>
        <v>0.44830542502328058</v>
      </c>
      <c r="E252" s="103">
        <f t="shared" si="358"/>
        <v>0.42088751364983673</v>
      </c>
      <c r="F252" s="103">
        <f t="shared" si="358"/>
        <v>0.399156460383845</v>
      </c>
      <c r="G252" s="103">
        <f t="shared" si="358"/>
        <v>0.37821491633781673</v>
      </c>
      <c r="H252" s="103">
        <f t="shared" si="358"/>
        <v>0.35046035796161207</v>
      </c>
      <c r="I252" s="103">
        <f t="shared" si="358"/>
        <v>0.32382676548722372</v>
      </c>
      <c r="J252" s="103">
        <f t="shared" si="358"/>
        <v>0.2965621454201845</v>
      </c>
      <c r="K252" s="103">
        <f t="shared" si="358"/>
        <v>0.28123573321115442</v>
      </c>
      <c r="L252" s="103">
        <f t="shared" ref="L252" si="359">IF(L34=0,0,L34/L$31)</f>
        <v>0.25946322623893625</v>
      </c>
      <c r="M252" s="103">
        <f t="shared" ref="M252:V252" si="360">IF(M34=0,0,M34/M$31)</f>
        <v>0.25180201781049899</v>
      </c>
      <c r="N252" s="103">
        <f t="shared" si="360"/>
        <v>0.23496275112952461</v>
      </c>
      <c r="O252" s="103">
        <f t="shared" si="360"/>
        <v>0.22841594865915868</v>
      </c>
      <c r="P252" s="103">
        <f t="shared" si="360"/>
        <v>0.22926310234071162</v>
      </c>
      <c r="Q252" s="103">
        <f t="shared" si="360"/>
        <v>0.2328936802753854</v>
      </c>
      <c r="R252" s="103">
        <f t="shared" si="360"/>
        <v>0.24338233342426596</v>
      </c>
      <c r="S252" s="103">
        <f t="shared" si="360"/>
        <v>0.25780152515626342</v>
      </c>
      <c r="T252" s="103">
        <f t="shared" si="360"/>
        <v>0.27861125004703852</v>
      </c>
      <c r="U252" s="103">
        <f t="shared" si="360"/>
        <v>0.30044377397869626</v>
      </c>
      <c r="V252" s="103">
        <f t="shared" si="360"/>
        <v>0.31177716955161811</v>
      </c>
      <c r="W252" s="103">
        <f t="shared" ref="W252" si="361">IF(W34=0,0,W34/W$31)</f>
        <v>0.3336574986845306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0.45082308883340239</v>
      </c>
      <c r="C253" s="103">
        <f t="shared" si="362"/>
        <v>0.48143958642749157</v>
      </c>
      <c r="D253" s="103">
        <f t="shared" si="362"/>
        <v>0.50133710733212344</v>
      </c>
      <c r="E253" s="103">
        <f t="shared" si="362"/>
        <v>0.52989683770932727</v>
      </c>
      <c r="F253" s="103">
        <f t="shared" si="362"/>
        <v>0.55024420601123047</v>
      </c>
      <c r="G253" s="103">
        <f t="shared" si="362"/>
        <v>0.57067011635453879</v>
      </c>
      <c r="H253" s="103">
        <f t="shared" si="362"/>
        <v>0.59930557824151742</v>
      </c>
      <c r="I253" s="103">
        <f t="shared" si="362"/>
        <v>0.62608874414901106</v>
      </c>
      <c r="J253" s="103">
        <f t="shared" si="362"/>
        <v>0.65041193378736384</v>
      </c>
      <c r="K253" s="103">
        <f t="shared" si="362"/>
        <v>0.66557435497712925</v>
      </c>
      <c r="L253" s="103">
        <f t="shared" ref="L253" si="363">IF(L35=0,0,L35/L$31)</f>
        <v>0.68777053864149007</v>
      </c>
      <c r="M253" s="103">
        <f t="shared" ref="M253:V253" si="364">IF(M35=0,0,M35/M$31)</f>
        <v>0.69633871045609486</v>
      </c>
      <c r="N253" s="103">
        <f t="shared" si="364"/>
        <v>0.714289352907857</v>
      </c>
      <c r="O253" s="103">
        <f t="shared" si="364"/>
        <v>0.72124420296963998</v>
      </c>
      <c r="P253" s="103">
        <f t="shared" si="364"/>
        <v>0.72073056657662282</v>
      </c>
      <c r="Q253" s="103">
        <f t="shared" si="364"/>
        <v>0.71751234515299867</v>
      </c>
      <c r="R253" s="103">
        <f t="shared" si="364"/>
        <v>0.71017617634323582</v>
      </c>
      <c r="S253" s="103">
        <f t="shared" si="364"/>
        <v>0.69732273912117848</v>
      </c>
      <c r="T253" s="103">
        <f t="shared" si="364"/>
        <v>0.67648494387177338</v>
      </c>
      <c r="U253" s="103">
        <f t="shared" si="364"/>
        <v>0.65230657393883307</v>
      </c>
      <c r="V253" s="103">
        <f t="shared" si="364"/>
        <v>0.63534247592323778</v>
      </c>
      <c r="W253" s="103">
        <f t="shared" ref="W253" si="365">IF(W35=0,0,W35/W$31)</f>
        <v>0.60827381959813698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9.0239323820442627E-3</v>
      </c>
      <c r="C254" s="103">
        <f t="shared" si="366"/>
        <v>8.1909998699273446E-3</v>
      </c>
      <c r="D254" s="103">
        <f t="shared" si="366"/>
        <v>7.0185823739556136E-3</v>
      </c>
      <c r="E254" s="103">
        <f t="shared" si="366"/>
        <v>5.8388763653585782E-3</v>
      </c>
      <c r="F254" s="103">
        <f t="shared" si="366"/>
        <v>5.1438442418364908E-3</v>
      </c>
      <c r="G254" s="103">
        <f t="shared" si="366"/>
        <v>4.6143561160854434E-3</v>
      </c>
      <c r="H254" s="103">
        <f t="shared" si="366"/>
        <v>4.09204219094515E-3</v>
      </c>
      <c r="I254" s="103">
        <f t="shared" si="366"/>
        <v>3.4343324076781521E-3</v>
      </c>
      <c r="J254" s="103">
        <f t="shared" si="366"/>
        <v>3.6577087788551652E-3</v>
      </c>
      <c r="K254" s="103">
        <f t="shared" si="366"/>
        <v>3.8348546665713215E-3</v>
      </c>
      <c r="L254" s="103">
        <f t="shared" ref="L254" si="367">IF(L36=0,0,L36/L$31)</f>
        <v>4.0678099765336572E-3</v>
      </c>
      <c r="M254" s="103">
        <f t="shared" ref="M254:V254" si="368">IF(M36=0,0,M36/M$31)</f>
        <v>4.307256799998071E-3</v>
      </c>
      <c r="N254" s="103">
        <f t="shared" si="368"/>
        <v>3.7898780822440727E-3</v>
      </c>
      <c r="O254" s="103">
        <f t="shared" si="368"/>
        <v>3.1417308017026714E-3</v>
      </c>
      <c r="P254" s="103">
        <f t="shared" si="368"/>
        <v>2.7236296391354576E-3</v>
      </c>
      <c r="Q254" s="103">
        <f t="shared" si="368"/>
        <v>2.4449071673805604E-3</v>
      </c>
      <c r="R254" s="103">
        <f t="shared" si="368"/>
        <v>2.1891333099455582E-3</v>
      </c>
      <c r="S254" s="103">
        <f t="shared" si="368"/>
        <v>1.9682184224737286E-3</v>
      </c>
      <c r="T254" s="103">
        <f t="shared" si="368"/>
        <v>1.8314574095235033E-3</v>
      </c>
      <c r="U254" s="103">
        <f t="shared" si="368"/>
        <v>1.7316847619710432E-3</v>
      </c>
      <c r="V254" s="103">
        <f t="shared" si="368"/>
        <v>1.6204230935444215E-3</v>
      </c>
      <c r="W254" s="103">
        <f t="shared" ref="W254" si="369">IF(W36=0,0,W36/W$31)</f>
        <v>1.7180303252962829E-3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2.4857187379476921E-5</v>
      </c>
      <c r="J255" s="103">
        <f t="shared" si="370"/>
        <v>4.5571405166117821E-5</v>
      </c>
      <c r="K255" s="103">
        <f t="shared" si="370"/>
        <v>6.0471530764322471E-5</v>
      </c>
      <c r="L255" s="103">
        <f t="shared" ref="L255" si="371">IF(L37=0,0,L37/L$31)</f>
        <v>6.4481125691409722E-5</v>
      </c>
      <c r="M255" s="103">
        <f t="shared" ref="M255:V255" si="372">IF(M37=0,0,M37/M$31)</f>
        <v>6.6003765372784137E-5</v>
      </c>
      <c r="N255" s="103">
        <f t="shared" si="372"/>
        <v>6.8978928564225947E-5</v>
      </c>
      <c r="O255" s="103">
        <f t="shared" si="372"/>
        <v>6.8452408077276887E-5</v>
      </c>
      <c r="P255" s="103">
        <f t="shared" si="372"/>
        <v>6.7383421283165201E-5</v>
      </c>
      <c r="Q255" s="103">
        <f t="shared" si="372"/>
        <v>6.8962235253759285E-5</v>
      </c>
      <c r="R255" s="103">
        <f t="shared" si="372"/>
        <v>7.964009355325213E-5</v>
      </c>
      <c r="S255" s="103">
        <f t="shared" si="372"/>
        <v>7.8978819409890718E-5</v>
      </c>
      <c r="T255" s="103">
        <f t="shared" si="372"/>
        <v>7.8255904055195264E-5</v>
      </c>
      <c r="U255" s="103">
        <f t="shared" si="372"/>
        <v>8.2549380194008612E-5</v>
      </c>
      <c r="V255" s="103">
        <f t="shared" si="372"/>
        <v>8.9675120207715876E-5</v>
      </c>
      <c r="W255" s="103">
        <f t="shared" ref="W255" si="373">IF(W37=0,0,W37/W$31)</f>
        <v>9.2359942278982883E-5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1.2460488078034693E-5</v>
      </c>
      <c r="O256" s="103">
        <f t="shared" si="376"/>
        <v>2.6827429001649315E-5</v>
      </c>
      <c r="P256" s="103">
        <f t="shared" si="376"/>
        <v>5.4644788440498064E-5</v>
      </c>
      <c r="Q256" s="103">
        <f t="shared" si="376"/>
        <v>1.4675637869049146E-4</v>
      </c>
      <c r="R256" s="103">
        <f t="shared" si="376"/>
        <v>2.6915861532886829E-4</v>
      </c>
      <c r="S256" s="103">
        <f t="shared" si="376"/>
        <v>4.7799004282808642E-4</v>
      </c>
      <c r="T256" s="103">
        <f t="shared" si="376"/>
        <v>7.554879237570124E-4</v>
      </c>
      <c r="U256" s="103">
        <f t="shared" si="376"/>
        <v>1.146509023749209E-3</v>
      </c>
      <c r="V256" s="103">
        <f t="shared" si="376"/>
        <v>2.6773606414232606E-3</v>
      </c>
      <c r="W256" s="103">
        <f t="shared" ref="W256" si="377">IF(W38=0,0,W38/W$31)</f>
        <v>5.7113005171996701E-3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5.281624213961313E-7</v>
      </c>
      <c r="I257" s="103">
        <f t="shared" si="378"/>
        <v>7.3593165343156325E-7</v>
      </c>
      <c r="J257" s="103">
        <f t="shared" si="378"/>
        <v>9.6734346041204913E-5</v>
      </c>
      <c r="K257" s="103">
        <f t="shared" si="378"/>
        <v>9.4106737327270389E-5</v>
      </c>
      <c r="L257" s="103">
        <f t="shared" ref="L257" si="379">IF(L39=0,0,L39/L$31)</f>
        <v>9.3719644984006581E-5</v>
      </c>
      <c r="M257" s="103">
        <f t="shared" ref="M257:V257" si="380">IF(M39=0,0,M39/M$31)</f>
        <v>1.8563571801284422E-4</v>
      </c>
      <c r="N257" s="103">
        <f t="shared" si="380"/>
        <v>3.1988678885547087E-4</v>
      </c>
      <c r="O257" s="103">
        <f t="shared" si="380"/>
        <v>5.9343331738214214E-4</v>
      </c>
      <c r="P257" s="103">
        <f t="shared" si="380"/>
        <v>9.5102078698726985E-4</v>
      </c>
      <c r="Q257" s="103">
        <f t="shared" si="380"/>
        <v>1.560230076242087E-3</v>
      </c>
      <c r="R257" s="103">
        <f t="shared" si="380"/>
        <v>2.0445648773073314E-3</v>
      </c>
      <c r="S257" s="103">
        <f t="shared" si="380"/>
        <v>2.7787277858265132E-3</v>
      </c>
      <c r="T257" s="103">
        <f t="shared" si="380"/>
        <v>3.8549286283029922E-3</v>
      </c>
      <c r="U257" s="103">
        <f t="shared" si="380"/>
        <v>5.0675174159351142E-3</v>
      </c>
      <c r="V257" s="103">
        <f t="shared" si="380"/>
        <v>8.9101175012444942E-3</v>
      </c>
      <c r="W257" s="103">
        <f t="shared" ref="W257" si="381">IF(W39=0,0,W39/W$31)</f>
        <v>1.4100419621232074E-2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9.3256066705733887E-3</v>
      </c>
      <c r="C258" s="156">
        <f t="shared" si="382"/>
        <v>8.7380893219070731E-3</v>
      </c>
      <c r="D258" s="156">
        <f t="shared" si="382"/>
        <v>8.5988418971755225E-3</v>
      </c>
      <c r="E258" s="156">
        <f t="shared" si="382"/>
        <v>8.6565182133877469E-3</v>
      </c>
      <c r="F258" s="156">
        <f t="shared" si="382"/>
        <v>8.7292909665984686E-3</v>
      </c>
      <c r="G258" s="156">
        <f t="shared" si="382"/>
        <v>8.7722209013015116E-3</v>
      </c>
      <c r="H258" s="156">
        <f t="shared" si="382"/>
        <v>8.986422245405969E-3</v>
      </c>
      <c r="I258" s="156">
        <f t="shared" si="382"/>
        <v>8.9946664957591387E-3</v>
      </c>
      <c r="J258" s="156">
        <f t="shared" si="382"/>
        <v>9.0860121892045471E-3</v>
      </c>
      <c r="K258" s="156">
        <f t="shared" si="382"/>
        <v>8.5463695836941536E-3</v>
      </c>
      <c r="L258" s="156">
        <f t="shared" ref="L258" si="383">IF(L40=0,0,L40/L$31)</f>
        <v>8.2332919426739426E-3</v>
      </c>
      <c r="M258" s="156">
        <f t="shared" ref="M258:V258" si="384">IF(M40=0,0,M40/M$31)</f>
        <v>8.0244419633166333E-3</v>
      </c>
      <c r="N258" s="156">
        <f t="shared" si="384"/>
        <v>7.8037397542403695E-3</v>
      </c>
      <c r="O258" s="156">
        <f t="shared" si="384"/>
        <v>7.2810943688138971E-3</v>
      </c>
      <c r="P258" s="156">
        <f t="shared" si="384"/>
        <v>7.1310673666013843E-3</v>
      </c>
      <c r="Q258" s="156">
        <f t="shared" si="384"/>
        <v>7.052116942341655E-3</v>
      </c>
      <c r="R258" s="156">
        <f t="shared" si="384"/>
        <v>7.0493965372877884E-3</v>
      </c>
      <c r="S258" s="156">
        <f t="shared" si="384"/>
        <v>6.844908169857904E-3</v>
      </c>
      <c r="T258" s="156">
        <f t="shared" si="384"/>
        <v>6.9985358867591455E-3</v>
      </c>
      <c r="U258" s="156">
        <f t="shared" si="384"/>
        <v>6.8381770142192386E-3</v>
      </c>
      <c r="V258" s="156">
        <f t="shared" si="384"/>
        <v>6.3846658392642825E-3</v>
      </c>
      <c r="W258" s="156">
        <f t="shared" ref="W258" si="385">IF(W40=0,0,W40/W$31)</f>
        <v>6.1413956513622888E-3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4.9925539891590568E-5</v>
      </c>
      <c r="C259" s="103">
        <f t="shared" si="386"/>
        <v>4.4176380858574589E-5</v>
      </c>
      <c r="D259" s="103">
        <f t="shared" si="386"/>
        <v>4.1927277233614009E-5</v>
      </c>
      <c r="E259" s="103">
        <f t="shared" si="386"/>
        <v>3.9220036129410858E-5</v>
      </c>
      <c r="F259" s="103">
        <f t="shared" si="386"/>
        <v>3.6469213667747408E-5</v>
      </c>
      <c r="G259" s="103">
        <f t="shared" si="386"/>
        <v>3.3332547201189036E-5</v>
      </c>
      <c r="H259" s="103">
        <f t="shared" si="386"/>
        <v>3.0678401736025306E-5</v>
      </c>
      <c r="I259" s="103">
        <f t="shared" si="386"/>
        <v>2.7297214195296939E-5</v>
      </c>
      <c r="J259" s="103">
        <f t="shared" si="386"/>
        <v>2.5310647399163602E-5</v>
      </c>
      <c r="K259" s="103">
        <f t="shared" si="386"/>
        <v>2.1806338574095241E-5</v>
      </c>
      <c r="L259" s="103">
        <f t="shared" ref="L259" si="387">IF(L41=0,0,L41/L$31)</f>
        <v>1.8707104051507108E-5</v>
      </c>
      <c r="M259" s="103">
        <f t="shared" ref="M259:V259" si="388">IF(M41=0,0,M41/M$31)</f>
        <v>1.5564156150057757E-5</v>
      </c>
      <c r="N259" s="103">
        <f t="shared" si="388"/>
        <v>1.2913361301388304E-5</v>
      </c>
      <c r="O259" s="103">
        <f t="shared" si="388"/>
        <v>1.0695313318936564E-5</v>
      </c>
      <c r="P259" s="103">
        <f t="shared" si="388"/>
        <v>8.7077739491808374E-6</v>
      </c>
      <c r="Q259" s="103">
        <f t="shared" si="388"/>
        <v>7.1415415947651376E-6</v>
      </c>
      <c r="R259" s="103">
        <f t="shared" si="388"/>
        <v>6.9131813329064258E-6</v>
      </c>
      <c r="S259" s="103">
        <f t="shared" si="388"/>
        <v>6.6926556424912166E-6</v>
      </c>
      <c r="T259" s="103">
        <f t="shared" si="388"/>
        <v>6.7405574161002048E-6</v>
      </c>
      <c r="U259" s="103">
        <f t="shared" si="388"/>
        <v>6.364303889467266E-6</v>
      </c>
      <c r="V259" s="103">
        <f t="shared" si="388"/>
        <v>5.6893133487713993E-6</v>
      </c>
      <c r="W259" s="103">
        <f t="shared" ref="W259" si="389">IF(W41=0,0,W41/W$31)</f>
        <v>5.5166257706288846E-6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9.2435716406858975E-3</v>
      </c>
      <c r="C260" s="103">
        <f t="shared" si="390"/>
        <v>8.6085235189074932E-3</v>
      </c>
      <c r="D260" s="103">
        <f t="shared" si="390"/>
        <v>8.463123097475541E-3</v>
      </c>
      <c r="E260" s="103">
        <f t="shared" si="390"/>
        <v>8.4973610957071993E-3</v>
      </c>
      <c r="F260" s="103">
        <f t="shared" si="390"/>
        <v>8.5543990690596129E-3</v>
      </c>
      <c r="G260" s="103">
        <f t="shared" si="390"/>
        <v>8.5904693130185641E-3</v>
      </c>
      <c r="H260" s="103">
        <f t="shared" si="390"/>
        <v>8.7907241420301721E-3</v>
      </c>
      <c r="I260" s="103">
        <f t="shared" si="390"/>
        <v>8.7865214438838032E-3</v>
      </c>
      <c r="J260" s="103">
        <f t="shared" si="390"/>
        <v>8.8499633714892167E-3</v>
      </c>
      <c r="K260" s="103">
        <f t="shared" si="390"/>
        <v>8.323428975249134E-3</v>
      </c>
      <c r="L260" s="103">
        <f t="shared" ref="L260" si="391">IF(L42=0,0,L42/L$31)</f>
        <v>8.0226248209110795E-3</v>
      </c>
      <c r="M260" s="103">
        <f t="shared" ref="M260:V260" si="392">IF(M42=0,0,M42/M$31)</f>
        <v>7.5935712015658945E-3</v>
      </c>
      <c r="N260" s="103">
        <f t="shared" si="392"/>
        <v>7.339507863610744E-3</v>
      </c>
      <c r="O260" s="103">
        <f t="shared" si="392"/>
        <v>6.7732260104351374E-3</v>
      </c>
      <c r="P260" s="103">
        <f t="shared" si="392"/>
        <v>6.6075082764741923E-3</v>
      </c>
      <c r="Q260" s="103">
        <f t="shared" si="392"/>
        <v>6.5381872768474226E-3</v>
      </c>
      <c r="R260" s="103">
        <f t="shared" si="392"/>
        <v>6.5384814272430123E-3</v>
      </c>
      <c r="S260" s="103">
        <f t="shared" si="392"/>
        <v>6.3201256579542113E-3</v>
      </c>
      <c r="T260" s="103">
        <f t="shared" si="392"/>
        <v>6.3902306092618539E-3</v>
      </c>
      <c r="U260" s="103">
        <f t="shared" si="392"/>
        <v>6.0944704976029183E-3</v>
      </c>
      <c r="V260" s="103">
        <f t="shared" si="392"/>
        <v>5.436390092895667E-3</v>
      </c>
      <c r="W260" s="103">
        <f t="shared" ref="W260" si="393">IF(W42=0,0,W42/W$31)</f>
        <v>4.9041322950741754E-3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1.0764759819802542E-5</v>
      </c>
      <c r="C261" s="103">
        <f t="shared" si="394"/>
        <v>1.183011825285101E-5</v>
      </c>
      <c r="D261" s="103">
        <f t="shared" si="394"/>
        <v>1.1664430336666909E-5</v>
      </c>
      <c r="E261" s="103">
        <f t="shared" si="394"/>
        <v>1.224426694904757E-5</v>
      </c>
      <c r="F261" s="103">
        <f t="shared" si="394"/>
        <v>1.2563959472019879E-5</v>
      </c>
      <c r="G261" s="103">
        <f t="shared" si="394"/>
        <v>1.2580334030204517E-5</v>
      </c>
      <c r="H261" s="103">
        <f t="shared" si="394"/>
        <v>1.0201383089641889E-5</v>
      </c>
      <c r="I261" s="103">
        <f t="shared" si="394"/>
        <v>1.1847785035100091E-5</v>
      </c>
      <c r="J261" s="103">
        <f t="shared" si="394"/>
        <v>1.1683580561720126E-5</v>
      </c>
      <c r="K261" s="103">
        <f t="shared" si="394"/>
        <v>1.0860143428726994E-5</v>
      </c>
      <c r="L261" s="103">
        <f t="shared" ref="L261" si="395">IF(L43=0,0,L43/L$31)</f>
        <v>1.0059686241061423E-5</v>
      </c>
      <c r="M261" s="103">
        <f t="shared" ref="M261:V261" si="396">IF(M43=0,0,M43/M$31)</f>
        <v>9.0683345702184539E-6</v>
      </c>
      <c r="N261" s="103">
        <f t="shared" si="396"/>
        <v>8.2292323328377866E-6</v>
      </c>
      <c r="O261" s="103">
        <f t="shared" si="396"/>
        <v>7.5379183107843788E-6</v>
      </c>
      <c r="P261" s="103">
        <f t="shared" si="396"/>
        <v>6.8013842991358155E-6</v>
      </c>
      <c r="Q261" s="103">
        <f t="shared" si="396"/>
        <v>6.2545678327380778E-6</v>
      </c>
      <c r="R261" s="103">
        <f t="shared" si="396"/>
        <v>5.7982433603154041E-6</v>
      </c>
      <c r="S261" s="103">
        <f t="shared" si="396"/>
        <v>5.2143915230662433E-6</v>
      </c>
      <c r="T261" s="103">
        <f t="shared" si="396"/>
        <v>4.9048716048925569E-6</v>
      </c>
      <c r="U261" s="103">
        <f t="shared" si="396"/>
        <v>4.3091995289873941E-6</v>
      </c>
      <c r="V261" s="103">
        <f t="shared" si="396"/>
        <v>3.5952237948715279E-6</v>
      </c>
      <c r="W261" s="103">
        <f t="shared" ref="W261" si="397">IF(W43=0,0,W43/W$31)</f>
        <v>3.0741605482999638E-6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2.1185751296720823E-6</v>
      </c>
      <c r="C262" s="103">
        <f t="shared" si="398"/>
        <v>5.3337968031721041E-5</v>
      </c>
      <c r="D262" s="103">
        <f t="shared" si="398"/>
        <v>6.0058204610197817E-5</v>
      </c>
      <c r="E262" s="103">
        <f t="shared" si="398"/>
        <v>8.3892221639854015E-5</v>
      </c>
      <c r="F262" s="103">
        <f t="shared" si="398"/>
        <v>1.0049070695668033E-4</v>
      </c>
      <c r="G262" s="103">
        <f t="shared" si="398"/>
        <v>1.107140832939536E-4</v>
      </c>
      <c r="H262" s="103">
        <f t="shared" si="398"/>
        <v>1.3075505230916452E-4</v>
      </c>
      <c r="I262" s="103">
        <f t="shared" si="398"/>
        <v>1.4623537929428447E-4</v>
      </c>
      <c r="J262" s="103">
        <f t="shared" si="398"/>
        <v>1.76797843943307E-4</v>
      </c>
      <c r="K262" s="103">
        <f t="shared" si="398"/>
        <v>1.6970747157327208E-4</v>
      </c>
      <c r="L262" s="103">
        <f t="shared" ref="L262" si="399">IF(L44=0,0,L44/L$31)</f>
        <v>1.6270893879075291E-4</v>
      </c>
      <c r="M262" s="103">
        <f t="shared" ref="M262:V262" si="400">IF(M44=0,0,M44/M$31)</f>
        <v>3.8861987389377379E-4</v>
      </c>
      <c r="N262" s="103">
        <f t="shared" si="400"/>
        <v>4.2394301206155014E-4</v>
      </c>
      <c r="O262" s="103">
        <f t="shared" si="400"/>
        <v>4.6015640590220164E-4</v>
      </c>
      <c r="P262" s="103">
        <f t="shared" si="400"/>
        <v>4.7699824268742394E-4</v>
      </c>
      <c r="Q262" s="103">
        <f t="shared" si="400"/>
        <v>4.6724405718126739E-4</v>
      </c>
      <c r="R262" s="103">
        <f t="shared" si="400"/>
        <v>4.6135182962669041E-4</v>
      </c>
      <c r="S262" s="103">
        <f t="shared" si="400"/>
        <v>4.7216906850026442E-4</v>
      </c>
      <c r="T262" s="103">
        <f t="shared" si="400"/>
        <v>5.5369906412990196E-4</v>
      </c>
      <c r="U262" s="103">
        <f t="shared" si="400"/>
        <v>6.6698139272914042E-4</v>
      </c>
      <c r="V262" s="103">
        <f t="shared" si="400"/>
        <v>8.6322375913478247E-4</v>
      </c>
      <c r="W262" s="103">
        <f t="shared" ref="W262" si="401">IF(W44=0,0,W44/W$31)</f>
        <v>1.0838920863265422E-3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1.9226155046424344E-5</v>
      </c>
      <c r="C263" s="103">
        <f t="shared" si="402"/>
        <v>2.0221335856435943E-5</v>
      </c>
      <c r="D263" s="103">
        <f t="shared" si="402"/>
        <v>2.2068887519502782E-5</v>
      </c>
      <c r="E263" s="103">
        <f t="shared" si="402"/>
        <v>2.3800592962236264E-5</v>
      </c>
      <c r="F263" s="103">
        <f t="shared" si="402"/>
        <v>2.5368017442407953E-5</v>
      </c>
      <c r="G263" s="103">
        <f t="shared" si="402"/>
        <v>2.5124623757600647E-5</v>
      </c>
      <c r="H263" s="103">
        <f t="shared" si="402"/>
        <v>2.4063266240965977E-5</v>
      </c>
      <c r="I263" s="103">
        <f t="shared" si="402"/>
        <v>2.2764673350654451E-5</v>
      </c>
      <c r="J263" s="103">
        <f t="shared" si="402"/>
        <v>2.2256745811141545E-5</v>
      </c>
      <c r="K263" s="103">
        <f t="shared" si="402"/>
        <v>2.0566654868925549E-5</v>
      </c>
      <c r="L263" s="103">
        <f t="shared" ref="L263" si="403">IF(L45=0,0,L45/L$31)</f>
        <v>1.9191392679543585E-5</v>
      </c>
      <c r="M263" s="103">
        <f t="shared" ref="M263:V263" si="404">IF(M45=0,0,M45/M$31)</f>
        <v>1.7618397136689189E-5</v>
      </c>
      <c r="N263" s="103">
        <f t="shared" si="404"/>
        <v>1.9146284933848416E-5</v>
      </c>
      <c r="O263" s="103">
        <f t="shared" si="404"/>
        <v>2.9478720846837029E-5</v>
      </c>
      <c r="P263" s="103">
        <f t="shared" si="404"/>
        <v>3.1051689191449812E-5</v>
      </c>
      <c r="Q263" s="103">
        <f t="shared" si="404"/>
        <v>3.3289498885461079E-5</v>
      </c>
      <c r="R263" s="103">
        <f t="shared" si="404"/>
        <v>3.6851855724863416E-5</v>
      </c>
      <c r="S263" s="103">
        <f t="shared" si="404"/>
        <v>4.07063962378715E-5</v>
      </c>
      <c r="T263" s="103">
        <f t="shared" si="404"/>
        <v>4.2960784346396658E-5</v>
      </c>
      <c r="U263" s="103">
        <f t="shared" si="404"/>
        <v>6.6051620468725127E-5</v>
      </c>
      <c r="V263" s="103">
        <f t="shared" si="404"/>
        <v>7.5767450090190455E-5</v>
      </c>
      <c r="W263" s="103">
        <f t="shared" ref="W263" si="405">IF(W45=0,0,W45/W$31)</f>
        <v>1.4478048364264187E-4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0.76007961828162951</v>
      </c>
      <c r="C265" s="154">
        <f t="shared" si="410"/>
        <v>0.75897057146958025</v>
      </c>
      <c r="D265" s="154">
        <f t="shared" si="410"/>
        <v>0.75641303754204858</v>
      </c>
      <c r="E265" s="154">
        <f t="shared" si="410"/>
        <v>0.75327298296205958</v>
      </c>
      <c r="F265" s="154">
        <f t="shared" si="410"/>
        <v>0.73365165440286506</v>
      </c>
      <c r="G265" s="154">
        <f t="shared" si="410"/>
        <v>0.73055683907557001</v>
      </c>
      <c r="H265" s="154">
        <f t="shared" si="410"/>
        <v>0.7293679806017016</v>
      </c>
      <c r="I265" s="154">
        <f t="shared" si="410"/>
        <v>0.72446535295153025</v>
      </c>
      <c r="J265" s="154">
        <f t="shared" si="410"/>
        <v>0.72822714879788775</v>
      </c>
      <c r="K265" s="154">
        <f t="shared" si="410"/>
        <v>0.75661203585780823</v>
      </c>
      <c r="L265" s="154">
        <f t="shared" ref="L265" si="411">IF(L47=0,0,L47/L$46)</f>
        <v>0.7555974308926201</v>
      </c>
      <c r="M265" s="154">
        <f t="shared" ref="M265:V265" si="412">IF(M47=0,0,M47/M$46)</f>
        <v>0.7603464206884466</v>
      </c>
      <c r="N265" s="154">
        <f t="shared" si="412"/>
        <v>0.77239670757640311</v>
      </c>
      <c r="O265" s="154">
        <f t="shared" si="412"/>
        <v>0.77324595821480357</v>
      </c>
      <c r="P265" s="154">
        <f t="shared" si="412"/>
        <v>0.77701440707411995</v>
      </c>
      <c r="Q265" s="154">
        <f t="shared" si="412"/>
        <v>0.78856438851520061</v>
      </c>
      <c r="R265" s="154">
        <f t="shared" si="412"/>
        <v>0.78011842669957454</v>
      </c>
      <c r="S265" s="154">
        <f t="shared" si="412"/>
        <v>0.77947173552027649</v>
      </c>
      <c r="T265" s="154">
        <f t="shared" si="412"/>
        <v>0.78066127517301354</v>
      </c>
      <c r="U265" s="154">
        <f t="shared" si="412"/>
        <v>0.77702314482781676</v>
      </c>
      <c r="V265" s="154">
        <f t="shared" si="412"/>
        <v>0.75792916122908616</v>
      </c>
      <c r="W265" s="154">
        <f t="shared" ref="W265" si="413">IF(W47=0,0,W47/W$46)</f>
        <v>0.77382428807636239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0.10802909676015826</v>
      </c>
      <c r="C266" s="103">
        <f t="shared" si="414"/>
        <v>9.2506510028677991E-2</v>
      </c>
      <c r="D266" s="103">
        <f t="shared" si="414"/>
        <v>7.6494606926579667E-2</v>
      </c>
      <c r="E266" s="103">
        <f t="shared" si="414"/>
        <v>6.0790580743558364E-2</v>
      </c>
      <c r="F266" s="103">
        <f t="shared" si="414"/>
        <v>4.7107134391936652E-2</v>
      </c>
      <c r="G266" s="103">
        <f t="shared" si="414"/>
        <v>3.9372405233333803E-2</v>
      </c>
      <c r="H266" s="103">
        <f t="shared" si="414"/>
        <v>3.3425566578195176E-2</v>
      </c>
      <c r="I266" s="103">
        <f t="shared" si="414"/>
        <v>2.8854560938156946E-2</v>
      </c>
      <c r="J266" s="103">
        <f t="shared" si="414"/>
        <v>2.614297600623839E-2</v>
      </c>
      <c r="K266" s="103">
        <f t="shared" si="414"/>
        <v>2.4093152150707918E-2</v>
      </c>
      <c r="L266" s="103">
        <f t="shared" ref="L266" si="415">IF(L48=0,0,L48/L$46)</f>
        <v>2.5445293666812255E-2</v>
      </c>
      <c r="M266" s="103">
        <f t="shared" ref="M266:V266" si="416">IF(M48=0,0,M48/M$46)</f>
        <v>2.7576051201690224E-2</v>
      </c>
      <c r="N266" s="103">
        <f t="shared" si="416"/>
        <v>2.9698666340742311E-2</v>
      </c>
      <c r="O266" s="103">
        <f t="shared" si="416"/>
        <v>3.1421675820474185E-2</v>
      </c>
      <c r="P266" s="103">
        <f t="shared" si="416"/>
        <v>2.8045547031571565E-2</v>
      </c>
      <c r="Q266" s="103">
        <f t="shared" si="416"/>
        <v>2.5296813950256861E-2</v>
      </c>
      <c r="R266" s="103">
        <f t="shared" si="416"/>
        <v>2.447009993568721E-2</v>
      </c>
      <c r="S266" s="103">
        <f t="shared" si="416"/>
        <v>2.4128768949993568E-2</v>
      </c>
      <c r="T266" s="103">
        <f t="shared" si="416"/>
        <v>2.3779757433419774E-2</v>
      </c>
      <c r="U266" s="103">
        <f t="shared" si="416"/>
        <v>2.2698092378054001E-2</v>
      </c>
      <c r="V266" s="103">
        <f t="shared" si="416"/>
        <v>2.1942389688460524E-2</v>
      </c>
      <c r="W266" s="103">
        <f t="shared" ref="W266" si="417">IF(W48=0,0,W48/W$46)</f>
        <v>2.3847813754059959E-2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0.64900662994841352</v>
      </c>
      <c r="C267" s="103">
        <f t="shared" si="418"/>
        <v>0.66322073832617989</v>
      </c>
      <c r="D267" s="103">
        <f t="shared" si="418"/>
        <v>0.67658440216260363</v>
      </c>
      <c r="E267" s="103">
        <f t="shared" si="418"/>
        <v>0.68908530492904529</v>
      </c>
      <c r="F267" s="103">
        <f t="shared" si="418"/>
        <v>0.68314754493920249</v>
      </c>
      <c r="G267" s="103">
        <f t="shared" si="418"/>
        <v>0.68770640031057095</v>
      </c>
      <c r="H267" s="103">
        <f t="shared" si="418"/>
        <v>0.69223829970500461</v>
      </c>
      <c r="I267" s="103">
        <f t="shared" si="418"/>
        <v>0.69259017884473917</v>
      </c>
      <c r="J267" s="103">
        <f t="shared" si="418"/>
        <v>0.69924367999565629</v>
      </c>
      <c r="K267" s="103">
        <f t="shared" si="418"/>
        <v>0.72944990310633762</v>
      </c>
      <c r="L267" s="103">
        <f t="shared" ref="L267" si="419">IF(L49=0,0,L49/L$46)</f>
        <v>0.72724663197585659</v>
      </c>
      <c r="M267" s="103">
        <f t="shared" ref="M267:V267" si="420">IF(M49=0,0,M49/M$46)</f>
        <v>0.72978749316956504</v>
      </c>
      <c r="N267" s="103">
        <f t="shared" si="420"/>
        <v>0.73969291428951811</v>
      </c>
      <c r="O267" s="103">
        <f t="shared" si="420"/>
        <v>0.73867314098410441</v>
      </c>
      <c r="P267" s="103">
        <f t="shared" si="420"/>
        <v>0.74559691724770749</v>
      </c>
      <c r="Q267" s="103">
        <f t="shared" si="420"/>
        <v>0.75973055923036992</v>
      </c>
      <c r="R267" s="103">
        <f t="shared" si="420"/>
        <v>0.75171996074891689</v>
      </c>
      <c r="S267" s="103">
        <f t="shared" si="420"/>
        <v>0.75139659202817066</v>
      </c>
      <c r="T267" s="103">
        <f t="shared" si="420"/>
        <v>0.75200699516967484</v>
      </c>
      <c r="U267" s="103">
        <f t="shared" si="420"/>
        <v>0.7490999169417345</v>
      </c>
      <c r="V267" s="103">
        <f t="shared" si="420"/>
        <v>0.73030841455332118</v>
      </c>
      <c r="W267" s="103">
        <f t="shared" ref="W267" si="421">IF(W49=0,0,W49/W$46)</f>
        <v>0.74353043436049349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2.7202889734994251E-3</v>
      </c>
      <c r="C268" s="103">
        <f t="shared" si="422"/>
        <v>2.8829855752192653E-3</v>
      </c>
      <c r="D268" s="103">
        <f t="shared" si="422"/>
        <v>2.9529446526531779E-3</v>
      </c>
      <c r="E268" s="103">
        <f t="shared" si="422"/>
        <v>2.9821968561206101E-3</v>
      </c>
      <c r="F268" s="103">
        <f t="shared" si="422"/>
        <v>2.9765116699531418E-3</v>
      </c>
      <c r="G268" s="103">
        <f t="shared" si="422"/>
        <v>3.0637970442650617E-3</v>
      </c>
      <c r="H268" s="103">
        <f t="shared" si="422"/>
        <v>3.2498802522505227E-3</v>
      </c>
      <c r="I268" s="103">
        <f t="shared" si="422"/>
        <v>2.5604144555578085E-3</v>
      </c>
      <c r="J268" s="103">
        <f t="shared" si="422"/>
        <v>2.3991583959678186E-3</v>
      </c>
      <c r="K268" s="103">
        <f t="shared" si="422"/>
        <v>2.5777772689557863E-3</v>
      </c>
      <c r="L268" s="103">
        <f t="shared" ref="L268" si="423">IF(L50=0,0,L50/L$46)</f>
        <v>2.467219551864702E-3</v>
      </c>
      <c r="M268" s="103">
        <f t="shared" ref="M268:V268" si="424">IF(M50=0,0,M50/M$46)</f>
        <v>2.3837216211172688E-3</v>
      </c>
      <c r="N268" s="103">
        <f t="shared" si="424"/>
        <v>2.2898037163915394E-3</v>
      </c>
      <c r="O268" s="103">
        <f t="shared" si="424"/>
        <v>2.2078525487841784E-3</v>
      </c>
      <c r="P268" s="103">
        <f t="shared" si="424"/>
        <v>2.1336934017829965E-3</v>
      </c>
      <c r="Q268" s="103">
        <f t="shared" si="424"/>
        <v>2.0978074953361806E-3</v>
      </c>
      <c r="R268" s="103">
        <f t="shared" si="424"/>
        <v>2.0311539280619749E-3</v>
      </c>
      <c r="S268" s="103">
        <f t="shared" si="424"/>
        <v>1.9307180671514995E-3</v>
      </c>
      <c r="T268" s="103">
        <f t="shared" si="424"/>
        <v>1.6571285694317232E-3</v>
      </c>
      <c r="U268" s="103">
        <f t="shared" si="424"/>
        <v>1.528898584598418E-3</v>
      </c>
      <c r="V268" s="103">
        <f t="shared" si="424"/>
        <v>1.3820487420412773E-3</v>
      </c>
      <c r="W268" s="103">
        <f t="shared" ref="W268" si="425">IF(W50=0,0,W50/W$46)</f>
        <v>1.4290079993608455E-3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3.4315941110229629E-5</v>
      </c>
      <c r="C269" s="103">
        <f t="shared" si="426"/>
        <v>3.1371316047431547E-5</v>
      </c>
      <c r="D269" s="103">
        <f t="shared" si="426"/>
        <v>3.1856712943867525E-5</v>
      </c>
      <c r="E269" s="103">
        <f t="shared" si="426"/>
        <v>5.0973015820680095E-5</v>
      </c>
      <c r="F269" s="103">
        <f t="shared" si="426"/>
        <v>4.7329684938796341E-5</v>
      </c>
      <c r="G269" s="103">
        <f t="shared" si="426"/>
        <v>4.5098607340675934E-5</v>
      </c>
      <c r="H269" s="103">
        <f t="shared" si="426"/>
        <v>9.1067031186852106E-5</v>
      </c>
      <c r="I269" s="103">
        <f t="shared" si="426"/>
        <v>8.3530428186238739E-5</v>
      </c>
      <c r="J269" s="103">
        <f t="shared" si="426"/>
        <v>8.472027364801564E-5</v>
      </c>
      <c r="K269" s="103">
        <f t="shared" si="426"/>
        <v>1.0629503254088688E-4</v>
      </c>
      <c r="L269" s="103">
        <f t="shared" ref="L269" si="427">IF(L51=0,0,L51/L$46)</f>
        <v>1.0033824775328403E-4</v>
      </c>
      <c r="M269" s="103">
        <f t="shared" ref="M269:V269" si="428">IF(M51=0,0,M51/M$46)</f>
        <v>1.2120417529096555E-4</v>
      </c>
      <c r="N269" s="103">
        <f t="shared" si="428"/>
        <v>1.6822458802107088E-4</v>
      </c>
      <c r="O269" s="103">
        <f t="shared" si="428"/>
        <v>2.1512121532872913E-4</v>
      </c>
      <c r="P269" s="103">
        <f t="shared" si="428"/>
        <v>2.4809754853711397E-4</v>
      </c>
      <c r="Q269" s="103">
        <f t="shared" si="428"/>
        <v>2.8008774197888268E-4</v>
      </c>
      <c r="R269" s="103">
        <f t="shared" si="428"/>
        <v>3.1549522437150347E-4</v>
      </c>
      <c r="S269" s="103">
        <f t="shared" si="428"/>
        <v>3.5914948966492781E-4</v>
      </c>
      <c r="T269" s="103">
        <f t="shared" si="428"/>
        <v>7.4532988390922704E-4</v>
      </c>
      <c r="U269" s="103">
        <f t="shared" si="428"/>
        <v>7.9319046929950099E-4</v>
      </c>
      <c r="V269" s="103">
        <f t="shared" si="428"/>
        <v>8.2993896018265822E-4</v>
      </c>
      <c r="W269" s="103">
        <f t="shared" ref="W269" si="429">IF(W51=0,0,W51/W$46)</f>
        <v>9.1978262664026177E-4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2.8928665844800227E-4</v>
      </c>
      <c r="C270" s="103">
        <f t="shared" si="430"/>
        <v>3.2896622345564611E-4</v>
      </c>
      <c r="D270" s="103">
        <f t="shared" si="430"/>
        <v>3.4922708726826046E-4</v>
      </c>
      <c r="E270" s="103">
        <f t="shared" si="430"/>
        <v>3.6392741751464715E-4</v>
      </c>
      <c r="F270" s="103">
        <f t="shared" si="430"/>
        <v>3.7313371683408785E-4</v>
      </c>
      <c r="G270" s="103">
        <f t="shared" si="430"/>
        <v>3.6913788005949507E-4</v>
      </c>
      <c r="H270" s="103">
        <f t="shared" si="430"/>
        <v>3.6316703506433687E-4</v>
      </c>
      <c r="I270" s="103">
        <f t="shared" si="430"/>
        <v>3.7666828489014916E-4</v>
      </c>
      <c r="J270" s="103">
        <f t="shared" si="430"/>
        <v>3.5661412637732467E-4</v>
      </c>
      <c r="K270" s="103">
        <f t="shared" si="430"/>
        <v>3.8490829926603334E-4</v>
      </c>
      <c r="L270" s="103">
        <f t="shared" ref="L270" si="431">IF(L52=0,0,L52/L$46)</f>
        <v>3.3794745033324119E-4</v>
      </c>
      <c r="M270" s="103">
        <f t="shared" ref="M270:V270" si="432">IF(M52=0,0,M52/M$46)</f>
        <v>4.7795052078322849E-4</v>
      </c>
      <c r="N270" s="103">
        <f t="shared" si="432"/>
        <v>5.4709864173034626E-4</v>
      </c>
      <c r="O270" s="103">
        <f t="shared" si="432"/>
        <v>7.2816764611194319E-4</v>
      </c>
      <c r="P270" s="103">
        <f t="shared" si="432"/>
        <v>9.9015184452083118E-4</v>
      </c>
      <c r="Q270" s="103">
        <f t="shared" si="432"/>
        <v>1.1591200972587818E-3</v>
      </c>
      <c r="R270" s="103">
        <f t="shared" si="432"/>
        <v>1.5817168625366952E-3</v>
      </c>
      <c r="S270" s="103">
        <f t="shared" si="432"/>
        <v>1.6565069852959263E-3</v>
      </c>
      <c r="T270" s="103">
        <f t="shared" si="432"/>
        <v>2.472064116577907E-3</v>
      </c>
      <c r="U270" s="103">
        <f t="shared" si="432"/>
        <v>2.9030464541304674E-3</v>
      </c>
      <c r="V270" s="103">
        <f t="shared" si="432"/>
        <v>3.4663692850805546E-3</v>
      </c>
      <c r="W270" s="103">
        <f t="shared" ref="W270" si="433">IF(W52=0,0,W52/W$46)</f>
        <v>4.0972493358078631E-3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0.23992038171837049</v>
      </c>
      <c r="C271" s="156">
        <f t="shared" si="434"/>
        <v>0.24102942853041981</v>
      </c>
      <c r="D271" s="156">
        <f t="shared" si="434"/>
        <v>0.2435869624579515</v>
      </c>
      <c r="E271" s="156">
        <f t="shared" si="434"/>
        <v>0.24672701703794045</v>
      </c>
      <c r="F271" s="156">
        <f t="shared" si="434"/>
        <v>0.26634834559713488</v>
      </c>
      <c r="G271" s="156">
        <f t="shared" si="434"/>
        <v>0.26944316092442988</v>
      </c>
      <c r="H271" s="156">
        <f t="shared" si="434"/>
        <v>0.27063201939829845</v>
      </c>
      <c r="I271" s="156">
        <f t="shared" si="434"/>
        <v>0.27553464704846986</v>
      </c>
      <c r="J271" s="156">
        <f t="shared" si="434"/>
        <v>0.2717728512021122</v>
      </c>
      <c r="K271" s="156">
        <f t="shared" si="434"/>
        <v>0.24338796414219185</v>
      </c>
      <c r="L271" s="156">
        <f t="shared" ref="L271" si="435">IF(L53=0,0,L53/L$46)</f>
        <v>0.2444025691073799</v>
      </c>
      <c r="M271" s="156">
        <f t="shared" ref="M271:V271" si="436">IF(M53=0,0,M53/M$46)</f>
        <v>0.23965357931155334</v>
      </c>
      <c r="N271" s="156">
        <f t="shared" si="436"/>
        <v>0.22760329242359695</v>
      </c>
      <c r="O271" s="156">
        <f t="shared" si="436"/>
        <v>0.22675404178519645</v>
      </c>
      <c r="P271" s="156">
        <f t="shared" si="436"/>
        <v>0.22298559292588008</v>
      </c>
      <c r="Q271" s="156">
        <f t="shared" si="436"/>
        <v>0.21143561148479936</v>
      </c>
      <c r="R271" s="156">
        <f t="shared" si="436"/>
        <v>0.21988157330042551</v>
      </c>
      <c r="S271" s="156">
        <f t="shared" si="436"/>
        <v>0.22052826447972348</v>
      </c>
      <c r="T271" s="156">
        <f t="shared" si="436"/>
        <v>0.21933872482698646</v>
      </c>
      <c r="U271" s="156">
        <f t="shared" si="436"/>
        <v>0.2229768551721833</v>
      </c>
      <c r="V271" s="156">
        <f t="shared" si="436"/>
        <v>0.24207083877091384</v>
      </c>
      <c r="W271" s="156">
        <f t="shared" ref="W271" si="437">IF(W53=0,0,W53/W$46)</f>
        <v>0.22617571192363753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0.16760852609925553</v>
      </c>
      <c r="C272" s="104">
        <f t="shared" si="438"/>
        <v>0.1660606234166617</v>
      </c>
      <c r="D272" s="104">
        <f t="shared" si="438"/>
        <v>0.16521754555089893</v>
      </c>
      <c r="E272" s="104">
        <f t="shared" si="438"/>
        <v>0.16627636897436288</v>
      </c>
      <c r="F272" s="104">
        <f t="shared" si="438"/>
        <v>0.17302459038816803</v>
      </c>
      <c r="G272" s="104">
        <f t="shared" si="438"/>
        <v>0.17281739686673123</v>
      </c>
      <c r="H272" s="104">
        <f t="shared" si="438"/>
        <v>0.17268140704016055</v>
      </c>
      <c r="I272" s="104">
        <f t="shared" si="438"/>
        <v>0.17671170178150777</v>
      </c>
      <c r="J272" s="104">
        <f t="shared" si="438"/>
        <v>0.17135560568106564</v>
      </c>
      <c r="K272" s="104">
        <f t="shared" si="438"/>
        <v>0.15177189121788198</v>
      </c>
      <c r="L272" s="104">
        <f t="shared" ref="L272" si="439">IF(L54=0,0,L54/L$46)</f>
        <v>0.15457989714794698</v>
      </c>
      <c r="M272" s="104">
        <f t="shared" ref="M272:V272" si="440">IF(M54=0,0,M54/M$46)</f>
        <v>0.15635860305598132</v>
      </c>
      <c r="N272" s="104">
        <f t="shared" si="440"/>
        <v>0.14550918390102821</v>
      </c>
      <c r="O272" s="104">
        <f t="shared" si="440"/>
        <v>0.14201429698806262</v>
      </c>
      <c r="P272" s="104">
        <f t="shared" si="440"/>
        <v>0.13862260543613997</v>
      </c>
      <c r="Q272" s="104">
        <f t="shared" si="440"/>
        <v>0.12766555089784457</v>
      </c>
      <c r="R272" s="104">
        <f t="shared" si="440"/>
        <v>0.13273014372571981</v>
      </c>
      <c r="S272" s="104">
        <f t="shared" si="440"/>
        <v>0.13140224540257611</v>
      </c>
      <c r="T272" s="104">
        <f t="shared" si="440"/>
        <v>0.13014087873791627</v>
      </c>
      <c r="U272" s="104">
        <f t="shared" si="440"/>
        <v>0.13126073058893037</v>
      </c>
      <c r="V272" s="104">
        <f t="shared" si="440"/>
        <v>0.14199385030551656</v>
      </c>
      <c r="W272" s="104">
        <f t="shared" ref="W272" si="441">IF(W54=0,0,W54/W$46)</f>
        <v>0.13033737447327934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7.2311855619114976E-2</v>
      </c>
      <c r="C273" s="105">
        <f t="shared" si="442"/>
        <v>7.4968805113758114E-2</v>
      </c>
      <c r="D273" s="105">
        <f t="shared" si="442"/>
        <v>7.8369416907052597E-2</v>
      </c>
      <c r="E273" s="105">
        <f t="shared" si="442"/>
        <v>8.0450648063577559E-2</v>
      </c>
      <c r="F273" s="105">
        <f t="shared" si="442"/>
        <v>9.332375520896688E-2</v>
      </c>
      <c r="G273" s="105">
        <f t="shared" si="442"/>
        <v>9.6625764057698654E-2</v>
      </c>
      <c r="H273" s="105">
        <f t="shared" si="442"/>
        <v>9.7950612358137859E-2</v>
      </c>
      <c r="I273" s="105">
        <f t="shared" si="442"/>
        <v>9.8822945266962059E-2</v>
      </c>
      <c r="J273" s="105">
        <f t="shared" si="442"/>
        <v>0.10041724552104657</v>
      </c>
      <c r="K273" s="105">
        <f t="shared" si="442"/>
        <v>9.1616072924309858E-2</v>
      </c>
      <c r="L273" s="105">
        <f t="shared" ref="L273" si="443">IF(L55=0,0,L55/L$46)</f>
        <v>8.9822671959432929E-2</v>
      </c>
      <c r="M273" s="105">
        <f t="shared" ref="M273:V273" si="444">IF(M55=0,0,M55/M$46)</f>
        <v>8.3294976255572029E-2</v>
      </c>
      <c r="N273" s="105">
        <f t="shared" si="444"/>
        <v>8.2094108522568765E-2</v>
      </c>
      <c r="O273" s="105">
        <f t="shared" si="444"/>
        <v>8.4739744797133865E-2</v>
      </c>
      <c r="P273" s="105">
        <f t="shared" si="444"/>
        <v>8.436298748974011E-2</v>
      </c>
      <c r="Q273" s="105">
        <f t="shared" si="444"/>
        <v>8.3770060586954798E-2</v>
      </c>
      <c r="R273" s="105">
        <f t="shared" si="444"/>
        <v>8.7151429574705702E-2</v>
      </c>
      <c r="S273" s="105">
        <f t="shared" si="444"/>
        <v>8.9126019077147331E-2</v>
      </c>
      <c r="T273" s="105">
        <f t="shared" si="444"/>
        <v>8.9197846089070165E-2</v>
      </c>
      <c r="U273" s="105">
        <f t="shared" si="444"/>
        <v>9.1716124583252942E-2</v>
      </c>
      <c r="V273" s="105">
        <f t="shared" si="444"/>
        <v>0.1000769884653973</v>
      </c>
      <c r="W273" s="105">
        <f t="shared" ref="W273" si="445">IF(W55=0,0,W55/W$46)</f>
        <v>9.5838337450358205E-2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42509.458561952968</v>
      </c>
      <c r="C4" s="145">
        <f t="shared" si="0"/>
        <v>43205.68072934854</v>
      </c>
      <c r="D4" s="145">
        <f t="shared" si="0"/>
        <v>43218.241098993632</v>
      </c>
      <c r="E4" s="145">
        <f t="shared" si="0"/>
        <v>42378.853666019058</v>
      </c>
      <c r="F4" s="145">
        <f t="shared" si="0"/>
        <v>42416.221434349936</v>
      </c>
      <c r="G4" s="145">
        <f t="shared" si="0"/>
        <v>41956.613206079252</v>
      </c>
      <c r="H4" s="145">
        <f t="shared" si="0"/>
        <v>42132.684794233166</v>
      </c>
      <c r="I4" s="145">
        <f t="shared" si="0"/>
        <v>42531.575810508577</v>
      </c>
      <c r="J4" s="145">
        <f t="shared" si="0"/>
        <v>41419.725140744966</v>
      </c>
      <c r="K4" s="145">
        <f t="shared" si="0"/>
        <v>41170.774245667213</v>
      </c>
      <c r="L4" s="145">
        <f t="shared" ref="L4" si="1">L5+L9+L10+L15</f>
        <v>41231.81464601629</v>
      </c>
      <c r="M4" s="145">
        <f t="shared" ref="M4:V4" si="2">M5+M9+M10+M15</f>
        <v>42079.927078746412</v>
      </c>
      <c r="N4" s="145">
        <f t="shared" si="2"/>
        <v>41947.361791802228</v>
      </c>
      <c r="O4" s="145">
        <f t="shared" si="2"/>
        <v>41651.459986719492</v>
      </c>
      <c r="P4" s="145">
        <f t="shared" si="2"/>
        <v>42025.779972229408</v>
      </c>
      <c r="Q4" s="145">
        <f t="shared" si="2"/>
        <v>42492.714666279207</v>
      </c>
      <c r="R4" s="145">
        <f t="shared" si="2"/>
        <v>42650.065032572624</v>
      </c>
      <c r="S4" s="145">
        <f t="shared" si="2"/>
        <v>42959.903357712625</v>
      </c>
      <c r="T4" s="145">
        <f t="shared" si="2"/>
        <v>42058.140415931492</v>
      </c>
      <c r="U4" s="145">
        <f t="shared" si="2"/>
        <v>42012.486476697108</v>
      </c>
      <c r="V4" s="145">
        <f t="shared" si="2"/>
        <v>35855.192678991363</v>
      </c>
      <c r="W4" s="145">
        <f t="shared" ref="W4" si="3">W5+W9+W10+W15</f>
        <v>40160.170042252372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42179.922613929491</v>
      </c>
      <c r="C5" s="97">
        <f t="shared" si="4"/>
        <v>42867.562338779018</v>
      </c>
      <c r="D5" s="97">
        <f t="shared" si="4"/>
        <v>42863.843422184</v>
      </c>
      <c r="E5" s="97">
        <f t="shared" si="4"/>
        <v>42046.340670679274</v>
      </c>
      <c r="F5" s="97">
        <f t="shared" si="4"/>
        <v>42053.327429062774</v>
      </c>
      <c r="G5" s="97">
        <f t="shared" si="4"/>
        <v>41352.386500429922</v>
      </c>
      <c r="H5" s="97">
        <f t="shared" si="4"/>
        <v>41400.325107480647</v>
      </c>
      <c r="I5" s="97">
        <f t="shared" si="4"/>
        <v>41077.780997420465</v>
      </c>
      <c r="J5" s="97">
        <f t="shared" si="4"/>
        <v>39091.875494411004</v>
      </c>
      <c r="K5" s="97">
        <f t="shared" si="4"/>
        <v>38675.715907136706</v>
      </c>
      <c r="L5" s="97">
        <f t="shared" ref="L5" si="5">SUM(L6:L8)</f>
        <v>38778.446775580385</v>
      </c>
      <c r="M5" s="97">
        <f t="shared" ref="M5:V5" si="6">SUM(M6:M8)</f>
        <v>39572.613241616513</v>
      </c>
      <c r="N5" s="97">
        <f t="shared" si="6"/>
        <v>39185.193207222706</v>
      </c>
      <c r="O5" s="97">
        <f t="shared" si="6"/>
        <v>38866.817454858116</v>
      </c>
      <c r="P5" s="97">
        <f t="shared" si="6"/>
        <v>38964.41478933792</v>
      </c>
      <c r="Q5" s="97">
        <f t="shared" si="6"/>
        <v>39383.193207222706</v>
      </c>
      <c r="R5" s="97">
        <f t="shared" si="6"/>
        <v>39539.834823731726</v>
      </c>
      <c r="S5" s="97">
        <f t="shared" si="6"/>
        <v>39697.221668099744</v>
      </c>
      <c r="T5" s="97">
        <f t="shared" si="6"/>
        <v>38766.766895958717</v>
      </c>
      <c r="U5" s="97">
        <f t="shared" si="6"/>
        <v>38651.469131556325</v>
      </c>
      <c r="V5" s="97">
        <f t="shared" si="6"/>
        <v>32963.981427343075</v>
      </c>
      <c r="W5" s="97">
        <f t="shared" ref="W5" si="7">SUM(W6:W8)</f>
        <v>36861.158899398099</v>
      </c>
      <c r="DA5" s="175"/>
    </row>
    <row r="6" spans="1:105" ht="11.45" customHeight="1" x14ac:dyDescent="0.25">
      <c r="A6" s="128" t="s">
        <v>52</v>
      </c>
      <c r="B6" s="97">
        <v>245.153826311264</v>
      </c>
      <c r="C6" s="97">
        <v>237.24565778159931</v>
      </c>
      <c r="D6" s="97">
        <v>212.39131556319859</v>
      </c>
      <c r="E6" s="97">
        <v>182.38271711092</v>
      </c>
      <c r="F6" s="97">
        <v>165.90232158211521</v>
      </c>
      <c r="G6" s="97">
        <v>152.71805674978501</v>
      </c>
      <c r="H6" s="97">
        <v>142.82983662940671</v>
      </c>
      <c r="I6" s="97">
        <v>129.64557179707651</v>
      </c>
      <c r="J6" s="97">
        <v>121.9546861564918</v>
      </c>
      <c r="K6" s="97">
        <v>108.7704213241616</v>
      </c>
      <c r="L6" s="97">
        <v>126.34944110060189</v>
      </c>
      <c r="M6" s="97">
        <v>139.53379191745489</v>
      </c>
      <c r="N6" s="97">
        <v>126.34944110060189</v>
      </c>
      <c r="O6" s="97">
        <v>112.0664660361135</v>
      </c>
      <c r="P6" s="97">
        <v>99.980911435941522</v>
      </c>
      <c r="Q6" s="97">
        <v>88.993981083404975</v>
      </c>
      <c r="R6" s="97">
        <v>79.105760963026654</v>
      </c>
      <c r="S6" s="97">
        <v>70.31625107480653</v>
      </c>
      <c r="T6" s="97">
        <v>63.686758383490968</v>
      </c>
      <c r="U6" s="97">
        <v>57.814187446259673</v>
      </c>
      <c r="V6" s="97">
        <v>39.040928632846082</v>
      </c>
      <c r="W6" s="97">
        <v>54.713757523645739</v>
      </c>
      <c r="DA6" s="175" t="s">
        <v>629</v>
      </c>
    </row>
    <row r="7" spans="1:105" ht="11.45" customHeight="1" x14ac:dyDescent="0.25">
      <c r="A7" s="128" t="s">
        <v>53</v>
      </c>
      <c r="B7" s="97">
        <v>14202.706104901121</v>
      </c>
      <c r="C7" s="97">
        <v>13826.026999140149</v>
      </c>
      <c r="D7" s="97">
        <v>13321.319346517619</v>
      </c>
      <c r="E7" s="97">
        <v>12381.68091143594</v>
      </c>
      <c r="F7" s="97">
        <v>11711.207996560621</v>
      </c>
      <c r="G7" s="97">
        <v>10945.103267411871</v>
      </c>
      <c r="H7" s="97">
        <v>10203.169303525359</v>
      </c>
      <c r="I7" s="97">
        <v>9465.4388650042983</v>
      </c>
      <c r="J7" s="97">
        <v>8402.9809114359414</v>
      </c>
      <c r="K7" s="97">
        <v>8081.406104901117</v>
      </c>
      <c r="L7" s="97">
        <v>7430.9001719690459</v>
      </c>
      <c r="M7" s="97">
        <v>7291.2008598452276</v>
      </c>
      <c r="N7" s="97">
        <v>6860.8944110060193</v>
      </c>
      <c r="O7" s="97">
        <v>6631.8448839208941</v>
      </c>
      <c r="P7" s="97">
        <v>6668.6680997420463</v>
      </c>
      <c r="Q7" s="97">
        <v>6747.6925193465177</v>
      </c>
      <c r="R7" s="97">
        <v>6904.155116079105</v>
      </c>
      <c r="S7" s="97">
        <v>7135.4601031814263</v>
      </c>
      <c r="T7" s="97">
        <v>7358.568185726569</v>
      </c>
      <c r="U7" s="97">
        <v>7858.7377472055023</v>
      </c>
      <c r="V7" s="97">
        <v>6717.5659501289774</v>
      </c>
      <c r="W7" s="97">
        <v>7913.2316423043849</v>
      </c>
      <c r="DA7" s="175" t="s">
        <v>630</v>
      </c>
    </row>
    <row r="8" spans="1:105" ht="11.45" customHeight="1" x14ac:dyDescent="0.25">
      <c r="A8" s="128" t="s">
        <v>54</v>
      </c>
      <c r="B8" s="97">
        <v>27732.062682717111</v>
      </c>
      <c r="C8" s="97">
        <v>28804.28968185727</v>
      </c>
      <c r="D8" s="97">
        <v>29330.132760103181</v>
      </c>
      <c r="E8" s="97">
        <v>29482.277042132409</v>
      </c>
      <c r="F8" s="97">
        <v>30176.217110920039</v>
      </c>
      <c r="G8" s="97">
        <v>30254.565176268268</v>
      </c>
      <c r="H8" s="97">
        <v>31054.32596732588</v>
      </c>
      <c r="I8" s="97">
        <v>31482.69656061909</v>
      </c>
      <c r="J8" s="97">
        <v>30566.939896818571</v>
      </c>
      <c r="K8" s="97">
        <v>30485.539380911428</v>
      </c>
      <c r="L8" s="97">
        <v>31221.19716251074</v>
      </c>
      <c r="M8" s="97">
        <v>32141.87858985383</v>
      </c>
      <c r="N8" s="97">
        <v>32197.949355116081</v>
      </c>
      <c r="O8" s="97">
        <v>32122.906104901111</v>
      </c>
      <c r="P8" s="97">
        <v>32195.76577815993</v>
      </c>
      <c r="Q8" s="97">
        <v>32546.506706792781</v>
      </c>
      <c r="R8" s="97">
        <v>32556.57394668959</v>
      </c>
      <c r="S8" s="97">
        <v>32491.445313843509</v>
      </c>
      <c r="T8" s="97">
        <v>31344.511951848661</v>
      </c>
      <c r="U8" s="97">
        <v>30734.91719690456</v>
      </c>
      <c r="V8" s="97">
        <v>26207.374548581251</v>
      </c>
      <c r="W8" s="97">
        <v>28893.213499570069</v>
      </c>
      <c r="DA8" s="175" t="s">
        <v>631</v>
      </c>
    </row>
    <row r="9" spans="1:105" ht="11.45" customHeight="1" x14ac:dyDescent="0.25">
      <c r="A9" s="92" t="s">
        <v>55</v>
      </c>
      <c r="B9" s="97">
        <v>0.64488392089423896</v>
      </c>
      <c r="C9" s="97">
        <v>8.0395528804815122</v>
      </c>
      <c r="D9" s="97">
        <v>9.3723129836629404</v>
      </c>
      <c r="E9" s="97">
        <v>13.13404987102321</v>
      </c>
      <c r="F9" s="97">
        <v>14.72493551160791</v>
      </c>
      <c r="G9" s="97">
        <v>16.2079105760963</v>
      </c>
      <c r="H9" s="97">
        <v>21.43155631986242</v>
      </c>
      <c r="I9" s="97">
        <v>24.096904557179709</v>
      </c>
      <c r="J9" s="97">
        <v>29.471023215821148</v>
      </c>
      <c r="K9" s="97">
        <v>29.470851246775581</v>
      </c>
      <c r="L9" s="97">
        <v>30.80438521066208</v>
      </c>
      <c r="M9" s="97">
        <v>70.946861564918308</v>
      </c>
      <c r="N9" s="97">
        <v>79.062166809974201</v>
      </c>
      <c r="O9" s="97">
        <v>88.651590713671538</v>
      </c>
      <c r="P9" s="97">
        <v>96.216509028374887</v>
      </c>
      <c r="Q9" s="97">
        <v>99.248237317282886</v>
      </c>
      <c r="R9" s="97">
        <v>103.963026655202</v>
      </c>
      <c r="S9" s="97">
        <v>112.69329320722269</v>
      </c>
      <c r="T9" s="97">
        <v>132.28847807394669</v>
      </c>
      <c r="U9" s="97">
        <v>162.21263972484951</v>
      </c>
      <c r="V9" s="97">
        <v>192.4687876182287</v>
      </c>
      <c r="W9" s="97">
        <v>271.05554600171968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326.45460017196905</v>
      </c>
      <c r="C10" s="97">
        <f t="shared" ref="C10:W10" si="8">SUM(C11:C13)</f>
        <v>327.48159931212376</v>
      </c>
      <c r="D10" s="97">
        <f t="shared" si="8"/>
        <v>342.19449699054172</v>
      </c>
      <c r="E10" s="97">
        <f t="shared" si="8"/>
        <v>316.37523645743772</v>
      </c>
      <c r="F10" s="97">
        <f t="shared" si="8"/>
        <v>344.98899398108341</v>
      </c>
      <c r="G10" s="97">
        <f t="shared" si="8"/>
        <v>584.88581255374027</v>
      </c>
      <c r="H10" s="97">
        <f t="shared" si="8"/>
        <v>707.86758383490974</v>
      </c>
      <c r="I10" s="97">
        <f t="shared" si="8"/>
        <v>1426.6981943250212</v>
      </c>
      <c r="J10" s="97">
        <f t="shared" si="8"/>
        <v>2295.0702493551157</v>
      </c>
      <c r="K10" s="97">
        <f t="shared" si="8"/>
        <v>2462.3817712811688</v>
      </c>
      <c r="L10" s="97">
        <f t="shared" si="8"/>
        <v>2419.5561478933787</v>
      </c>
      <c r="M10" s="97">
        <f t="shared" si="8"/>
        <v>2432.8017196904557</v>
      </c>
      <c r="N10" s="97">
        <f t="shared" si="8"/>
        <v>2678.5363714531386</v>
      </c>
      <c r="O10" s="97">
        <f t="shared" si="8"/>
        <v>2688.3471195184866</v>
      </c>
      <c r="P10" s="97">
        <f t="shared" si="8"/>
        <v>2954.5320722269989</v>
      </c>
      <c r="Q10" s="97">
        <f t="shared" si="8"/>
        <v>2994.4331900257953</v>
      </c>
      <c r="R10" s="97">
        <f t="shared" si="8"/>
        <v>2984.9025795356829</v>
      </c>
      <c r="S10" s="97">
        <f t="shared" si="8"/>
        <v>3122.0719690455717</v>
      </c>
      <c r="T10" s="97">
        <f t="shared" si="8"/>
        <v>3121.1401547721402</v>
      </c>
      <c r="U10" s="97">
        <f t="shared" si="8"/>
        <v>3144.9294067067926</v>
      </c>
      <c r="V10" s="97">
        <f t="shared" si="8"/>
        <v>2618.4716251074797</v>
      </c>
      <c r="W10" s="97">
        <f t="shared" si="8"/>
        <v>2871.4527085124669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58.684436801375753</v>
      </c>
      <c r="C12" s="97">
        <v>53.52536543422184</v>
      </c>
      <c r="D12" s="97">
        <v>56.749785038693027</v>
      </c>
      <c r="E12" s="97">
        <v>47.721410146173689</v>
      </c>
      <c r="F12" s="97">
        <v>51.59071367153912</v>
      </c>
      <c r="G12" s="97">
        <v>100.60189165950131</v>
      </c>
      <c r="H12" s="97">
        <v>143.16423043852109</v>
      </c>
      <c r="I12" s="97">
        <v>273.43078245915729</v>
      </c>
      <c r="J12" s="97">
        <v>436.58641444539978</v>
      </c>
      <c r="K12" s="97">
        <v>402.40756663800511</v>
      </c>
      <c r="L12" s="97">
        <v>398.5382631126397</v>
      </c>
      <c r="M12" s="97">
        <v>393.3791917454858</v>
      </c>
      <c r="N12" s="97">
        <v>403.05245055889941</v>
      </c>
      <c r="O12" s="97">
        <v>394.66895958727429</v>
      </c>
      <c r="P12" s="97">
        <v>413.30816852966473</v>
      </c>
      <c r="Q12" s="97">
        <v>432.00309544282032</v>
      </c>
      <c r="R12" s="97">
        <v>476.23422184006881</v>
      </c>
      <c r="S12" s="97">
        <v>537.95881341358552</v>
      </c>
      <c r="T12" s="97">
        <v>585.98211521926044</v>
      </c>
      <c r="U12" s="97">
        <v>653.43877901977646</v>
      </c>
      <c r="V12" s="97">
        <v>565.20490111779873</v>
      </c>
      <c r="W12" s="97">
        <v>716.38314703353387</v>
      </c>
      <c r="DA12" s="175" t="s">
        <v>634</v>
      </c>
    </row>
    <row r="13" spans="1:105" ht="11.45" customHeight="1" x14ac:dyDescent="0.25">
      <c r="A13" s="128" t="s">
        <v>184</v>
      </c>
      <c r="B13" s="97">
        <v>267.77016337059331</v>
      </c>
      <c r="C13" s="97">
        <v>273.95623387790192</v>
      </c>
      <c r="D13" s="97">
        <v>285.44471195184872</v>
      </c>
      <c r="E13" s="97">
        <v>268.65382631126403</v>
      </c>
      <c r="F13" s="97">
        <v>293.3982803095443</v>
      </c>
      <c r="G13" s="97">
        <v>484.28392089423897</v>
      </c>
      <c r="H13" s="97">
        <v>564.70335339638859</v>
      </c>
      <c r="I13" s="97">
        <v>1153.267411865864</v>
      </c>
      <c r="J13" s="97">
        <v>1858.4838349097161</v>
      </c>
      <c r="K13" s="97">
        <v>2059.9742046431638</v>
      </c>
      <c r="L13" s="97">
        <v>2021.017884780739</v>
      </c>
      <c r="M13" s="97">
        <v>2039.4225279449699</v>
      </c>
      <c r="N13" s="97">
        <v>2275.483920894239</v>
      </c>
      <c r="O13" s="97">
        <v>2293.6781599312121</v>
      </c>
      <c r="P13" s="97">
        <v>2541.2239036973342</v>
      </c>
      <c r="Q13" s="97">
        <v>2562.430094582975</v>
      </c>
      <c r="R13" s="97">
        <v>2508.6683576956138</v>
      </c>
      <c r="S13" s="97">
        <v>2584.113155631986</v>
      </c>
      <c r="T13" s="97">
        <v>2535.1580395528799</v>
      </c>
      <c r="U13" s="97">
        <v>2491.4906276870161</v>
      </c>
      <c r="V13" s="97">
        <v>2053.2667239896809</v>
      </c>
      <c r="W13" s="97">
        <v>2155.0695614789329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2.4364639306093618</v>
      </c>
      <c r="C15" s="98">
        <v>2.5972383769188871</v>
      </c>
      <c r="D15" s="98">
        <v>2.8308668354214692</v>
      </c>
      <c r="E15" s="98">
        <v>3.0037090113243337</v>
      </c>
      <c r="F15" s="98">
        <v>3.1800757944758216</v>
      </c>
      <c r="G15" s="98">
        <v>3.1329825195018106</v>
      </c>
      <c r="H15" s="98">
        <v>3.0605465977525226</v>
      </c>
      <c r="I15" s="98">
        <v>2.9997142059153141</v>
      </c>
      <c r="J15" s="98">
        <v>3.3083737630302243</v>
      </c>
      <c r="K15" s="98">
        <v>3.2057160025586353</v>
      </c>
      <c r="L15" s="98">
        <v>3.0073373318557439</v>
      </c>
      <c r="M15" s="98">
        <v>3.5652558745268061</v>
      </c>
      <c r="N15" s="98">
        <v>4.5700463164020944</v>
      </c>
      <c r="O15" s="98">
        <v>7.6438216292147541</v>
      </c>
      <c r="P15" s="98">
        <v>10.616601636115314</v>
      </c>
      <c r="Q15" s="98">
        <v>15.840031713420808</v>
      </c>
      <c r="R15" s="98">
        <v>21.364602650016693</v>
      </c>
      <c r="S15" s="98">
        <v>27.916427360084313</v>
      </c>
      <c r="T15" s="98">
        <v>37.944887126687846</v>
      </c>
      <c r="U15" s="98">
        <v>53.87529870914031</v>
      </c>
      <c r="V15" s="98">
        <v>80.270838922583295</v>
      </c>
      <c r="W15" s="98">
        <v>156.5028883400914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42509.458561952968</v>
      </c>
      <c r="C17" s="79">
        <f t="shared" si="9"/>
        <v>43205.680729348547</v>
      </c>
      <c r="D17" s="79">
        <f t="shared" si="9"/>
        <v>43218.241098993632</v>
      </c>
      <c r="E17" s="79">
        <f t="shared" si="9"/>
        <v>42378.853666019058</v>
      </c>
      <c r="F17" s="79">
        <f t="shared" si="9"/>
        <v>42416.221434349936</v>
      </c>
      <c r="G17" s="79">
        <f t="shared" si="9"/>
        <v>41956.613206079266</v>
      </c>
      <c r="H17" s="79">
        <f t="shared" si="9"/>
        <v>42132.684794233173</v>
      </c>
      <c r="I17" s="79">
        <f t="shared" si="9"/>
        <v>42531.575810508584</v>
      </c>
      <c r="J17" s="79">
        <f t="shared" si="9"/>
        <v>41419.725140744966</v>
      </c>
      <c r="K17" s="79">
        <f t="shared" si="9"/>
        <v>41170.774245667213</v>
      </c>
      <c r="L17" s="79">
        <f t="shared" ref="L17" si="10">L18+L42</f>
        <v>41231.814646016282</v>
      </c>
      <c r="M17" s="79">
        <f t="shared" ref="M17:V17" si="11">M18+M42</f>
        <v>42079.927078746419</v>
      </c>
      <c r="N17" s="79">
        <f t="shared" si="11"/>
        <v>41947.361791802214</v>
      </c>
      <c r="O17" s="79">
        <f t="shared" si="11"/>
        <v>41651.459986719492</v>
      </c>
      <c r="P17" s="79">
        <f t="shared" si="11"/>
        <v>42025.779972229408</v>
      </c>
      <c r="Q17" s="79">
        <f t="shared" si="11"/>
        <v>42492.714666279207</v>
      </c>
      <c r="R17" s="79">
        <f t="shared" si="11"/>
        <v>42650.065032572616</v>
      </c>
      <c r="S17" s="79">
        <f t="shared" si="11"/>
        <v>42959.903357712625</v>
      </c>
      <c r="T17" s="79">
        <f t="shared" si="11"/>
        <v>42058.140415931499</v>
      </c>
      <c r="U17" s="79">
        <f t="shared" si="11"/>
        <v>42012.4864766971</v>
      </c>
      <c r="V17" s="79">
        <f t="shared" si="11"/>
        <v>35855.192678991363</v>
      </c>
      <c r="W17" s="79">
        <f t="shared" ref="W17" si="12">W18+W42</f>
        <v>40160.170042252379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27226.437648987972</v>
      </c>
      <c r="C18" s="32">
        <f t="shared" si="13"/>
        <v>27802.470172256824</v>
      </c>
      <c r="D18" s="32">
        <f t="shared" si="13"/>
        <v>27900.12514338809</v>
      </c>
      <c r="E18" s="32">
        <f t="shared" si="13"/>
        <v>27398.629894510523</v>
      </c>
      <c r="F18" s="32">
        <f t="shared" si="13"/>
        <v>27038.434688939513</v>
      </c>
      <c r="G18" s="32">
        <f t="shared" si="13"/>
        <v>26679.132267066139</v>
      </c>
      <c r="H18" s="32">
        <f t="shared" si="13"/>
        <v>26841.562918797481</v>
      </c>
      <c r="I18" s="32">
        <f t="shared" si="13"/>
        <v>27139.136996165005</v>
      </c>
      <c r="J18" s="32">
        <f t="shared" si="13"/>
        <v>26704.09571868409</v>
      </c>
      <c r="K18" s="32">
        <f t="shared" si="13"/>
        <v>27269.809724438208</v>
      </c>
      <c r="L18" s="32">
        <f t="shared" ref="L18" si="14">L19+L21+L33</f>
        <v>26938.927549817054</v>
      </c>
      <c r="M18" s="32">
        <f t="shared" ref="M18:V18" si="15">M19+M21+M33</f>
        <v>27478.294907321426</v>
      </c>
      <c r="N18" s="32">
        <f t="shared" si="15"/>
        <v>27776.857218146171</v>
      </c>
      <c r="O18" s="32">
        <f t="shared" si="15"/>
        <v>27404.27515871248</v>
      </c>
      <c r="P18" s="32">
        <f t="shared" si="15"/>
        <v>27852.749429330263</v>
      </c>
      <c r="Q18" s="32">
        <f t="shared" si="15"/>
        <v>28304.695010721513</v>
      </c>
      <c r="R18" s="32">
        <f t="shared" si="15"/>
        <v>28322.956436158493</v>
      </c>
      <c r="S18" s="32">
        <f t="shared" si="15"/>
        <v>28290.737276040178</v>
      </c>
      <c r="T18" s="32">
        <f t="shared" si="15"/>
        <v>27650.719899319181</v>
      </c>
      <c r="U18" s="32">
        <f t="shared" si="15"/>
        <v>27587.823801639686</v>
      </c>
      <c r="V18" s="32">
        <f t="shared" si="15"/>
        <v>22646.693765954471</v>
      </c>
      <c r="W18" s="32">
        <f t="shared" ref="W18" si="16">W19+W21+W33</f>
        <v>25640.362768509178</v>
      </c>
      <c r="DA18" s="173" t="s">
        <v>390</v>
      </c>
    </row>
    <row r="19" spans="1:105" ht="11.45" customHeight="1" x14ac:dyDescent="0.25">
      <c r="A19" s="107" t="s">
        <v>181</v>
      </c>
      <c r="B19" s="129">
        <v>358.97725679812822</v>
      </c>
      <c r="C19" s="129">
        <v>392.00871788119127</v>
      </c>
      <c r="D19" s="129">
        <v>434.14121124401288</v>
      </c>
      <c r="E19" s="129">
        <v>433.02885472353006</v>
      </c>
      <c r="F19" s="129">
        <v>459.6303710097103</v>
      </c>
      <c r="G19" s="129">
        <v>469.4507527335179</v>
      </c>
      <c r="H19" s="129">
        <v>468.39895879834773</v>
      </c>
      <c r="I19" s="129">
        <v>484.47412747292486</v>
      </c>
      <c r="J19" s="129">
        <v>510.08420474635346</v>
      </c>
      <c r="K19" s="129">
        <v>526.26213745468272</v>
      </c>
      <c r="L19" s="129">
        <v>522.92111077271841</v>
      </c>
      <c r="M19" s="129">
        <v>519.17559005590567</v>
      </c>
      <c r="N19" s="129">
        <v>519.92957494592974</v>
      </c>
      <c r="O19" s="129">
        <v>525.48627605471677</v>
      </c>
      <c r="P19" s="129">
        <v>538.15950946264149</v>
      </c>
      <c r="Q19" s="129">
        <v>540.42215888382566</v>
      </c>
      <c r="R19" s="129">
        <v>500.11350172710848</v>
      </c>
      <c r="S19" s="129">
        <v>474.54440466607184</v>
      </c>
      <c r="T19" s="129">
        <v>471.37726522245015</v>
      </c>
      <c r="U19" s="129">
        <v>473.26405758631728</v>
      </c>
      <c r="V19" s="129">
        <v>406.18760936953964</v>
      </c>
      <c r="W19" s="129">
        <v>407.23669805681482</v>
      </c>
      <c r="DA19" s="203" t="s">
        <v>391</v>
      </c>
    </row>
    <row r="20" spans="1:105" ht="11.45" customHeight="1" x14ac:dyDescent="0.25">
      <c r="A20" s="159" t="s">
        <v>131</v>
      </c>
      <c r="B20" s="97">
        <v>1.4771615767831101</v>
      </c>
      <c r="C20" s="97">
        <v>1.5117497543758127</v>
      </c>
      <c r="D20" s="97">
        <v>1.8416275302704617</v>
      </c>
      <c r="E20" s="97">
        <v>1.6625696913445041</v>
      </c>
      <c r="F20" s="97">
        <v>2.0159028008256419</v>
      </c>
      <c r="G20" s="97">
        <v>4.275655839607726</v>
      </c>
      <c r="H20" s="97">
        <v>6.4813275402768493</v>
      </c>
      <c r="I20" s="97">
        <v>13.602208937116432</v>
      </c>
      <c r="J20" s="97">
        <v>25.193069502781345</v>
      </c>
      <c r="K20" s="97">
        <v>24.961871434929201</v>
      </c>
      <c r="L20" s="97">
        <v>26.618010085945219</v>
      </c>
      <c r="M20" s="97">
        <v>26.57697266721836</v>
      </c>
      <c r="N20" s="97">
        <v>28.849177078762018</v>
      </c>
      <c r="O20" s="97">
        <v>29.515792107848451</v>
      </c>
      <c r="P20" s="97">
        <v>31.407295478993184</v>
      </c>
      <c r="Q20" s="97">
        <v>32.517262292122183</v>
      </c>
      <c r="R20" s="97">
        <v>32.270813018364606</v>
      </c>
      <c r="S20" s="97">
        <v>33.268787696983466</v>
      </c>
      <c r="T20" s="97">
        <v>34.76831746013827</v>
      </c>
      <c r="U20" s="97">
        <v>36.330201446172865</v>
      </c>
      <c r="V20" s="97">
        <v>31.523609938885116</v>
      </c>
      <c r="W20" s="97">
        <v>33.806550403841221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25177.194907731839</v>
      </c>
      <c r="C21" s="130">
        <f t="shared" si="17"/>
        <v>25756.380237928508</v>
      </c>
      <c r="D21" s="130">
        <f t="shared" si="17"/>
        <v>25811.906511903657</v>
      </c>
      <c r="E21" s="130">
        <f t="shared" si="17"/>
        <v>25304.326929140854</v>
      </c>
      <c r="F21" s="130">
        <f t="shared" si="17"/>
        <v>24896.738211816646</v>
      </c>
      <c r="G21" s="130">
        <f t="shared" si="17"/>
        <v>24525.258068833344</v>
      </c>
      <c r="H21" s="130">
        <f t="shared" si="17"/>
        <v>24617.770799246326</v>
      </c>
      <c r="I21" s="130">
        <f t="shared" si="17"/>
        <v>24857.811154283703</v>
      </c>
      <c r="J21" s="130">
        <f t="shared" si="17"/>
        <v>24400.953299006822</v>
      </c>
      <c r="K21" s="130">
        <f t="shared" si="17"/>
        <v>25022.135904555587</v>
      </c>
      <c r="L21" s="130">
        <f t="shared" ref="L21" si="18">L22+L24+L26+L27+L29+L32</f>
        <v>24745.777707597263</v>
      </c>
      <c r="M21" s="130">
        <f t="shared" ref="M21:V21" si="19">M22+M24+M26+M27+M29+M32</f>
        <v>25296.512256823709</v>
      </c>
      <c r="N21" s="130">
        <f t="shared" si="19"/>
        <v>25604.764776605163</v>
      </c>
      <c r="O21" s="130">
        <f t="shared" si="19"/>
        <v>25330.063117229503</v>
      </c>
      <c r="P21" s="130">
        <f t="shared" si="19"/>
        <v>25747.920482514095</v>
      </c>
      <c r="Q21" s="130">
        <f t="shared" si="19"/>
        <v>26163.419795974351</v>
      </c>
      <c r="R21" s="130">
        <f t="shared" si="19"/>
        <v>26177.89430942501</v>
      </c>
      <c r="S21" s="130">
        <f t="shared" si="19"/>
        <v>26183.025125824428</v>
      </c>
      <c r="T21" s="130">
        <f t="shared" si="19"/>
        <v>25522.584086904018</v>
      </c>
      <c r="U21" s="130">
        <f t="shared" si="19"/>
        <v>25455.727350039244</v>
      </c>
      <c r="V21" s="130">
        <f t="shared" si="19"/>
        <v>20922.413508408175</v>
      </c>
      <c r="W21" s="130">
        <f t="shared" ref="W21" si="20">W22+W24+W26+W27+W29+W32</f>
        <v>23791.066608363464</v>
      </c>
      <c r="DA21" s="176" t="s">
        <v>392</v>
      </c>
    </row>
    <row r="22" spans="1:105" ht="11.45" customHeight="1" x14ac:dyDescent="0.25">
      <c r="A22" s="111" t="s">
        <v>110</v>
      </c>
      <c r="B22" s="96">
        <v>12889.165479174819</v>
      </c>
      <c r="C22" s="96">
        <v>12596.846936877519</v>
      </c>
      <c r="D22" s="96">
        <v>12205.353626233957</v>
      </c>
      <c r="E22" s="96">
        <v>11414.662762265345</v>
      </c>
      <c r="F22" s="96">
        <v>10846.584744622409</v>
      </c>
      <c r="G22" s="96">
        <v>10197.400088130795</v>
      </c>
      <c r="H22" s="96">
        <v>9554.4444340022947</v>
      </c>
      <c r="I22" s="96">
        <v>8973.9293876069823</v>
      </c>
      <c r="J22" s="96">
        <v>8086.0476271679645</v>
      </c>
      <c r="K22" s="96">
        <v>7738.8810159099321</v>
      </c>
      <c r="L22" s="96">
        <v>7070.6187385478779</v>
      </c>
      <c r="M22" s="96">
        <v>6906.7910243630095</v>
      </c>
      <c r="N22" s="96">
        <v>6471.4753026706912</v>
      </c>
      <c r="O22" s="96">
        <v>6213.3777884371539</v>
      </c>
      <c r="P22" s="96">
        <v>6286.9416329958785</v>
      </c>
      <c r="Q22" s="96">
        <v>6402.6138642826509</v>
      </c>
      <c r="R22" s="96">
        <v>6650.9401043584339</v>
      </c>
      <c r="S22" s="96">
        <v>6965.4482145152497</v>
      </c>
      <c r="T22" s="96">
        <v>7245.0901946521908</v>
      </c>
      <c r="U22" s="96">
        <v>7817.4281895383765</v>
      </c>
      <c r="V22" s="96">
        <v>6678.4421588085252</v>
      </c>
      <c r="W22" s="96">
        <v>7964.395187951648</v>
      </c>
      <c r="DA22" s="171" t="s">
        <v>640</v>
      </c>
    </row>
    <row r="23" spans="1:105" ht="11.45" customHeight="1" x14ac:dyDescent="0.25">
      <c r="A23" s="160" t="s">
        <v>131</v>
      </c>
      <c r="B23" s="96">
        <v>53.037844716004244</v>
      </c>
      <c r="C23" s="96">
        <v>48.578716222596547</v>
      </c>
      <c r="D23" s="96">
        <v>51.775124481617262</v>
      </c>
      <c r="E23" s="96">
        <v>43.825422113215794</v>
      </c>
      <c r="F23" s="96">
        <v>47.572270992542947</v>
      </c>
      <c r="G23" s="96">
        <v>92.875712695645618</v>
      </c>
      <c r="H23" s="96">
        <v>132.20670686589571</v>
      </c>
      <c r="I23" s="96">
        <v>251.95414077912997</v>
      </c>
      <c r="J23" s="96">
        <v>399.37006082229408</v>
      </c>
      <c r="K23" s="96">
        <v>367.07362970035592</v>
      </c>
      <c r="L23" s="96">
        <v>359.91241703443512</v>
      </c>
      <c r="M23" s="96">
        <v>353.56361082561409</v>
      </c>
      <c r="N23" s="96">
        <v>359.08081779536656</v>
      </c>
      <c r="O23" s="96">
        <v>348.99630199274367</v>
      </c>
      <c r="P23" s="96">
        <v>366.90949440593818</v>
      </c>
      <c r="Q23" s="96">
        <v>385.24599881333262</v>
      </c>
      <c r="R23" s="96">
        <v>429.16506705553587</v>
      </c>
      <c r="S23" s="96">
        <v>488.32525593912743</v>
      </c>
      <c r="T23" s="96">
        <v>534.39063463556545</v>
      </c>
      <c r="U23" s="96">
        <v>600.10629661036558</v>
      </c>
      <c r="V23" s="96">
        <v>518.30385949107551</v>
      </c>
      <c r="W23" s="96">
        <v>661.16027519708985</v>
      </c>
      <c r="DA23" s="171" t="s">
        <v>641</v>
      </c>
    </row>
    <row r="24" spans="1:105" ht="11.45" customHeight="1" x14ac:dyDescent="0.25">
      <c r="A24" s="111" t="s">
        <v>111</v>
      </c>
      <c r="B24" s="96">
        <v>12071.981303136385</v>
      </c>
      <c r="C24" s="96">
        <v>12953.322787773444</v>
      </c>
      <c r="D24" s="96">
        <v>13425.848884208182</v>
      </c>
      <c r="E24" s="96">
        <v>13738.980258082982</v>
      </c>
      <c r="F24" s="96">
        <v>13916.269461107378</v>
      </c>
      <c r="G24" s="96">
        <v>14207.819201536582</v>
      </c>
      <c r="H24" s="96">
        <v>14954.866586363543</v>
      </c>
      <c r="I24" s="96">
        <v>15781.246296171403</v>
      </c>
      <c r="J24" s="96">
        <v>16216.322980221499</v>
      </c>
      <c r="K24" s="96">
        <v>17198.4511679979</v>
      </c>
      <c r="L24" s="96">
        <v>17572.298512257621</v>
      </c>
      <c r="M24" s="96">
        <v>18272.786340805989</v>
      </c>
      <c r="N24" s="96">
        <v>19027.389484951796</v>
      </c>
      <c r="O24" s="96">
        <v>19022.808874865415</v>
      </c>
      <c r="P24" s="96">
        <v>19375.983789815389</v>
      </c>
      <c r="Q24" s="96">
        <v>19681.508451090922</v>
      </c>
      <c r="R24" s="96">
        <v>19451.274178600015</v>
      </c>
      <c r="S24" s="96">
        <v>19142.273117141824</v>
      </c>
      <c r="T24" s="96">
        <v>18194.469341161053</v>
      </c>
      <c r="U24" s="96">
        <v>17544.006459189404</v>
      </c>
      <c r="V24" s="96">
        <v>14130.054980979421</v>
      </c>
      <c r="W24" s="96">
        <v>15613.26157410734</v>
      </c>
      <c r="DA24" s="171" t="s">
        <v>642</v>
      </c>
    </row>
    <row r="25" spans="1:105" ht="11.45" customHeight="1" x14ac:dyDescent="0.25">
      <c r="A25" s="160" t="s">
        <v>131</v>
      </c>
      <c r="B25" s="96">
        <v>115.44770368867552</v>
      </c>
      <c r="C25" s="96">
        <v>122.03774386621215</v>
      </c>
      <c r="D25" s="96">
        <v>129.40276349762252</v>
      </c>
      <c r="E25" s="96">
        <v>124.06434044939164</v>
      </c>
      <c r="F25" s="96">
        <v>134.00266054518011</v>
      </c>
      <c r="G25" s="96">
        <v>223.84111937722938</v>
      </c>
      <c r="H25" s="96">
        <v>267.08800024358834</v>
      </c>
      <c r="I25" s="96">
        <v>557.66690658647553</v>
      </c>
      <c r="J25" s="96">
        <v>929.4488907766156</v>
      </c>
      <c r="K25" s="96">
        <v>1088.579096248023</v>
      </c>
      <c r="L25" s="96">
        <v>1068.3382415839417</v>
      </c>
      <c r="M25" s="96">
        <v>1090.2432292830379</v>
      </c>
      <c r="N25" s="96">
        <v>1255.9386958342061</v>
      </c>
      <c r="O25" s="96">
        <v>1267.766752245918</v>
      </c>
      <c r="P25" s="96">
        <v>1417.4720842332445</v>
      </c>
      <c r="Q25" s="96">
        <v>1436.4573284340618</v>
      </c>
      <c r="R25" s="96">
        <v>1391.6001385398424</v>
      </c>
      <c r="S25" s="96">
        <v>1410.2640684610712</v>
      </c>
      <c r="T25" s="96">
        <v>1361.4611723593914</v>
      </c>
      <c r="U25" s="96">
        <v>1315.5417791748055</v>
      </c>
      <c r="V25" s="96">
        <v>1026.6140609041577</v>
      </c>
      <c r="W25" s="96">
        <v>1083.7206265997806</v>
      </c>
      <c r="DA25" s="171" t="s">
        <v>643</v>
      </c>
    </row>
    <row r="26" spans="1:105" ht="11.45" customHeight="1" x14ac:dyDescent="0.25">
      <c r="A26" s="111" t="s">
        <v>112</v>
      </c>
      <c r="B26" s="96">
        <v>216.04812542063442</v>
      </c>
      <c r="C26" s="96">
        <v>206.21051327754355</v>
      </c>
      <c r="D26" s="96">
        <v>180.70400146151445</v>
      </c>
      <c r="E26" s="96">
        <v>150.68390879252928</v>
      </c>
      <c r="F26" s="96">
        <v>133.88400608685828</v>
      </c>
      <c r="G26" s="96">
        <v>120.03877916596566</v>
      </c>
      <c r="H26" s="96">
        <v>108.45734876647215</v>
      </c>
      <c r="I26" s="96">
        <v>101.94355499516942</v>
      </c>
      <c r="J26" s="96">
        <v>96.930643781263683</v>
      </c>
      <c r="K26" s="96">
        <v>82.770095871391064</v>
      </c>
      <c r="L26" s="96">
        <v>100.72465009624761</v>
      </c>
      <c r="M26" s="96">
        <v>114.27616021455881</v>
      </c>
      <c r="N26" s="96">
        <v>102.33608980710753</v>
      </c>
      <c r="O26" s="96">
        <v>88.614924832879154</v>
      </c>
      <c r="P26" s="96">
        <v>77.226924276874925</v>
      </c>
      <c r="Q26" s="96">
        <v>66.122320591586757</v>
      </c>
      <c r="R26" s="96">
        <v>56.905017440830591</v>
      </c>
      <c r="S26" s="96">
        <v>48.61207264525715</v>
      </c>
      <c r="T26" s="96">
        <v>45.208545515249611</v>
      </c>
      <c r="U26" s="96">
        <v>40.593349286020626</v>
      </c>
      <c r="V26" s="96">
        <v>26.84699693210149</v>
      </c>
      <c r="W26" s="96">
        <v>40.696148032804132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0.68844731541254656</v>
      </c>
      <c r="J27" s="96">
        <v>1.2043475445833323</v>
      </c>
      <c r="K27" s="96">
        <v>1.5864251746170874</v>
      </c>
      <c r="L27" s="96">
        <v>1.6869682109579234</v>
      </c>
      <c r="M27" s="96">
        <v>1.7487019858738626</v>
      </c>
      <c r="N27" s="96">
        <v>1.8398276316374436</v>
      </c>
      <c r="O27" s="96">
        <v>1.8088545116590418</v>
      </c>
      <c r="P27" s="96">
        <v>1.8014248125491985</v>
      </c>
      <c r="Q27" s="96">
        <v>1.839602972246416</v>
      </c>
      <c r="R27" s="96">
        <v>1.9195270341348174</v>
      </c>
      <c r="S27" s="96">
        <v>1.9116489343716805</v>
      </c>
      <c r="T27" s="96">
        <v>1.848482407911435</v>
      </c>
      <c r="U27" s="96">
        <v>1.9787439622258516</v>
      </c>
      <c r="V27" s="96">
        <v>1.7921141938744818</v>
      </c>
      <c r="W27" s="96">
        <v>2.0708206735725172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0.14137186821057557</v>
      </c>
      <c r="O29" s="96">
        <v>0.32036501116574079</v>
      </c>
      <c r="P29" s="96">
        <v>0.65439953774074222</v>
      </c>
      <c r="Q29" s="96">
        <v>2.0324579414767818</v>
      </c>
      <c r="R29" s="96">
        <v>4.0347113856592678</v>
      </c>
      <c r="S29" s="96">
        <v>7.4755332229529809</v>
      </c>
      <c r="T29" s="96">
        <v>12.069159187885411</v>
      </c>
      <c r="U29" s="96">
        <v>18.477473850907817</v>
      </c>
      <c r="V29" s="96">
        <v>34.423963670243808</v>
      </c>
      <c r="W29" s="96">
        <v>78.904752552147443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5.8189921787495874E-3</v>
      </c>
      <c r="O30" s="96">
        <v>1.3372437248481629E-2</v>
      </c>
      <c r="P30" s="96">
        <v>2.7431762564982819E-2</v>
      </c>
      <c r="Q30" s="96">
        <v>8.0931723446409198E-2</v>
      </c>
      <c r="R30" s="96">
        <v>0.16917208947168866</v>
      </c>
      <c r="S30" s="96">
        <v>0.34072919841271176</v>
      </c>
      <c r="T30" s="96">
        <v>0.57536350184182872</v>
      </c>
      <c r="U30" s="96">
        <v>0.90002899378408718</v>
      </c>
      <c r="V30" s="96">
        <v>1.4935510052869769</v>
      </c>
      <c r="W30" s="96">
        <v>3.3656347875652042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3.6500033501008416E-2</v>
      </c>
      <c r="O31" s="96">
        <v>8.2287976817356917E-2</v>
      </c>
      <c r="P31" s="96">
        <v>0.18436021533105451</v>
      </c>
      <c r="Q31" s="96">
        <v>0.68740938498458171</v>
      </c>
      <c r="R31" s="96">
        <v>1.4129848734691053</v>
      </c>
      <c r="S31" s="96">
        <v>2.6153881498648821</v>
      </c>
      <c r="T31" s="96">
        <v>4.268572509569494</v>
      </c>
      <c r="U31" s="96">
        <v>6.7530309194619083</v>
      </c>
      <c r="V31" s="96">
        <v>15.179279654513175</v>
      </c>
      <c r="W31" s="96">
        <v>38.362018041220523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2.4301140177673286E-3</v>
      </c>
      <c r="I32" s="96">
        <v>3.4681947377898773E-3</v>
      </c>
      <c r="J32" s="96">
        <v>0.44770029151202517</v>
      </c>
      <c r="K32" s="96">
        <v>0.44719960174422829</v>
      </c>
      <c r="L32" s="96">
        <v>0.44883848456089687</v>
      </c>
      <c r="M32" s="96">
        <v>0.91002945427529713</v>
      </c>
      <c r="N32" s="96">
        <v>1.5826996757241525</v>
      </c>
      <c r="O32" s="96">
        <v>3.1323095712284634</v>
      </c>
      <c r="P32" s="96">
        <v>5.3123110756609382</v>
      </c>
      <c r="Q32" s="96">
        <v>9.3030990954638639</v>
      </c>
      <c r="R32" s="96">
        <v>12.820770605941641</v>
      </c>
      <c r="S32" s="96">
        <v>17.304539364768097</v>
      </c>
      <c r="T32" s="96">
        <v>23.898363979726604</v>
      </c>
      <c r="U32" s="96">
        <v>33.243134212310061</v>
      </c>
      <c r="V32" s="96">
        <v>50.853293824010933</v>
      </c>
      <c r="W32" s="96">
        <v>91.738125045949417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1690.2654844580065</v>
      </c>
      <c r="C33" s="130">
        <f t="shared" si="21"/>
        <v>1654.0812164471251</v>
      </c>
      <c r="D33" s="130">
        <f t="shared" si="21"/>
        <v>1654.07742024042</v>
      </c>
      <c r="E33" s="130">
        <f t="shared" si="21"/>
        <v>1661.2741106461385</v>
      </c>
      <c r="F33" s="130">
        <f t="shared" si="21"/>
        <v>1682.0661061131591</v>
      </c>
      <c r="G33" s="130">
        <f t="shared" si="21"/>
        <v>1684.4234454992777</v>
      </c>
      <c r="H33" s="130">
        <f t="shared" si="21"/>
        <v>1755.3931607528057</v>
      </c>
      <c r="I33" s="130">
        <f t="shared" si="21"/>
        <v>1796.8517144083778</v>
      </c>
      <c r="J33" s="130">
        <f t="shared" si="21"/>
        <v>1793.0582149309173</v>
      </c>
      <c r="K33" s="130">
        <f t="shared" si="21"/>
        <v>1721.4116824279379</v>
      </c>
      <c r="L33" s="130">
        <f t="shared" ref="L33" si="22">L34+L36+L38+L39+L41</f>
        <v>1670.2287314470734</v>
      </c>
      <c r="M33" s="130">
        <f t="shared" ref="M33:V33" si="23">M34+M36+M38+M39+M41</f>
        <v>1662.6070604418076</v>
      </c>
      <c r="N33" s="130">
        <f t="shared" si="23"/>
        <v>1652.1628665950791</v>
      </c>
      <c r="O33" s="130">
        <f t="shared" si="23"/>
        <v>1548.7257654282594</v>
      </c>
      <c r="P33" s="130">
        <f t="shared" si="23"/>
        <v>1566.6694373535258</v>
      </c>
      <c r="Q33" s="130">
        <f t="shared" si="23"/>
        <v>1600.8530558633367</v>
      </c>
      <c r="R33" s="130">
        <f t="shared" si="23"/>
        <v>1644.9486250063749</v>
      </c>
      <c r="S33" s="130">
        <f t="shared" si="23"/>
        <v>1633.1677455496799</v>
      </c>
      <c r="T33" s="130">
        <f t="shared" si="23"/>
        <v>1656.7585471927121</v>
      </c>
      <c r="U33" s="130">
        <f t="shared" si="23"/>
        <v>1658.8323940141224</v>
      </c>
      <c r="V33" s="130">
        <f t="shared" si="23"/>
        <v>1318.0926481767581</v>
      </c>
      <c r="W33" s="130">
        <f t="shared" ref="W33" si="24">W34+W36+W38+W39+W41</f>
        <v>1442.059462088899</v>
      </c>
      <c r="DA33" s="176" t="s">
        <v>393</v>
      </c>
    </row>
    <row r="34" spans="1:105" ht="11.45" customHeight="1" x14ac:dyDescent="0.25">
      <c r="A34" s="111" t="s">
        <v>110</v>
      </c>
      <c r="B34" s="97">
        <v>2.8539071591409519</v>
      </c>
      <c r="C34" s="97">
        <v>2.6788463297965888</v>
      </c>
      <c r="D34" s="97">
        <v>2.600752836535825</v>
      </c>
      <c r="E34" s="97">
        <v>2.4407086705874259</v>
      </c>
      <c r="F34" s="97">
        <v>2.290378605074729</v>
      </c>
      <c r="G34" s="97">
        <v>2.094868328896375</v>
      </c>
      <c r="H34" s="97">
        <v>1.9672003337824939</v>
      </c>
      <c r="I34" s="97">
        <v>1.7962953266631043</v>
      </c>
      <c r="J34" s="97">
        <v>1.6537379968292272</v>
      </c>
      <c r="K34" s="97">
        <v>1.4626399013750448</v>
      </c>
      <c r="L34" s="97">
        <v>1.2651394497721484</v>
      </c>
      <c r="M34" s="97">
        <v>1.0808051692376368</v>
      </c>
      <c r="N34" s="97">
        <v>0.91573754606195568</v>
      </c>
      <c r="O34" s="97">
        <v>0.76221411651341453</v>
      </c>
      <c r="P34" s="97">
        <v>0.63892278682100556</v>
      </c>
      <c r="Q34" s="97">
        <v>0.53825716678615476</v>
      </c>
      <c r="R34" s="97">
        <v>0.53238342301939257</v>
      </c>
      <c r="S34" s="97">
        <v>0.52272427106724495</v>
      </c>
      <c r="T34" s="97">
        <v>0.52084204196771222</v>
      </c>
      <c r="U34" s="97">
        <v>0.50085361524369743</v>
      </c>
      <c r="V34" s="97">
        <v>0.37294295970985758</v>
      </c>
      <c r="W34" s="97">
        <v>0.40209480565324618</v>
      </c>
      <c r="DA34" s="175" t="s">
        <v>651</v>
      </c>
    </row>
    <row r="35" spans="1:105" ht="11.45" customHeight="1" x14ac:dyDescent="0.25">
      <c r="A35" s="160" t="s">
        <v>131</v>
      </c>
      <c r="B35" s="97">
        <v>1.1743590768927052E-2</v>
      </c>
      <c r="C35" s="97">
        <v>1.0330753109189588E-2</v>
      </c>
      <c r="D35" s="97">
        <v>1.1032396600794763E-2</v>
      </c>
      <c r="E35" s="97">
        <v>9.3708495793222608E-3</v>
      </c>
      <c r="F35" s="97">
        <v>1.004542113868217E-2</v>
      </c>
      <c r="G35" s="97">
        <v>1.9079607288944828E-2</v>
      </c>
      <c r="H35" s="97">
        <v>2.7220533822910082E-2</v>
      </c>
      <c r="I35" s="97">
        <v>5.0433207803037609E-2</v>
      </c>
      <c r="J35" s="97">
        <v>8.1678154127957148E-2</v>
      </c>
      <c r="K35" s="97">
        <v>6.93765075905073E-2</v>
      </c>
      <c r="L35" s="97">
        <v>6.439880498303098E-2</v>
      </c>
      <c r="M35" s="97">
        <v>5.5327195637845536E-2</v>
      </c>
      <c r="N35" s="97">
        <v>5.0811255787401068E-2</v>
      </c>
      <c r="O35" s="97">
        <v>4.2812447117714564E-2</v>
      </c>
      <c r="P35" s="97">
        <v>3.7287897734978363E-2</v>
      </c>
      <c r="Q35" s="97">
        <v>3.2386994473264166E-2</v>
      </c>
      <c r="R35" s="97">
        <v>3.4353093525778061E-2</v>
      </c>
      <c r="S35" s="97">
        <v>3.6646523754576603E-2</v>
      </c>
      <c r="T35" s="97">
        <v>3.8416790112213536E-2</v>
      </c>
      <c r="U35" s="97">
        <v>3.8448118857047887E-2</v>
      </c>
      <c r="V35" s="97">
        <v>2.8943542639310576E-2</v>
      </c>
      <c r="W35" s="97">
        <v>3.3379698782801608E-2</v>
      </c>
      <c r="DA35" s="175" t="s">
        <v>652</v>
      </c>
    </row>
    <row r="36" spans="1:105" ht="11.45" customHeight="1" x14ac:dyDescent="0.25">
      <c r="A36" s="111" t="s">
        <v>111</v>
      </c>
      <c r="B36" s="97">
        <v>1683.4943012545896</v>
      </c>
      <c r="C36" s="97">
        <v>1639.7654693125949</v>
      </c>
      <c r="D36" s="97">
        <v>1638.2945845956267</v>
      </c>
      <c r="E36" s="97">
        <v>1641.8177611738054</v>
      </c>
      <c r="F36" s="97">
        <v>1660.9200842787095</v>
      </c>
      <c r="G36" s="97">
        <v>1662.0047096591113</v>
      </c>
      <c r="H36" s="97">
        <v>1728.7422894744734</v>
      </c>
      <c r="I36" s="97">
        <v>1768.1094808302303</v>
      </c>
      <c r="J36" s="97">
        <v>1759.6959848034157</v>
      </c>
      <c r="K36" s="97">
        <v>1688.9928543315668</v>
      </c>
      <c r="L36" s="97">
        <v>1636.9734589654427</v>
      </c>
      <c r="M36" s="97">
        <v>1589.8806183267179</v>
      </c>
      <c r="N36" s="97">
        <v>1571.8486385384497</v>
      </c>
      <c r="O36" s="97">
        <v>1458.2367157115939</v>
      </c>
      <c r="P36" s="97">
        <v>1468.7938953331332</v>
      </c>
      <c r="Q36" s="97">
        <v>1500.0883316555735</v>
      </c>
      <c r="R36" s="97">
        <v>1539.4342338374584</v>
      </c>
      <c r="S36" s="97">
        <v>1519.0009459800599</v>
      </c>
      <c r="T36" s="97">
        <v>1526.6992873801441</v>
      </c>
      <c r="U36" s="97">
        <v>1496.6248288388756</v>
      </c>
      <c r="V36" s="97">
        <v>1125.5925527819222</v>
      </c>
      <c r="W36" s="97">
        <v>1163.7092858827905</v>
      </c>
      <c r="DA36" s="175" t="s">
        <v>653</v>
      </c>
    </row>
    <row r="37" spans="1:105" ht="11.45" customHeight="1" x14ac:dyDescent="0.25">
      <c r="A37" s="160" t="s">
        <v>131</v>
      </c>
      <c r="B37" s="97">
        <v>16.099722686144215</v>
      </c>
      <c r="C37" s="97">
        <v>15.4487988621356</v>
      </c>
      <c r="D37" s="97">
        <v>15.79042401700373</v>
      </c>
      <c r="E37" s="97">
        <v>14.825775556252694</v>
      </c>
      <c r="F37" s="97">
        <v>15.993345836561661</v>
      </c>
      <c r="G37" s="97">
        <v>26.184524827011305</v>
      </c>
      <c r="H37" s="97">
        <v>30.874653302041505</v>
      </c>
      <c r="I37" s="97">
        <v>62.480245614063158</v>
      </c>
      <c r="J37" s="97">
        <v>100.85809731185184</v>
      </c>
      <c r="K37" s="97">
        <v>106.90511005774829</v>
      </c>
      <c r="L37" s="97">
        <v>99.522629065902407</v>
      </c>
      <c r="M37" s="97">
        <v>94.860003678157014</v>
      </c>
      <c r="N37" s="97">
        <v>103.75283118559418</v>
      </c>
      <c r="O37" s="97">
        <v>97.183546196803221</v>
      </c>
      <c r="P37" s="97">
        <v>107.45128436891406</v>
      </c>
      <c r="Q37" s="97">
        <v>109.48413241087907</v>
      </c>
      <c r="R37" s="97">
        <v>110.13555582071238</v>
      </c>
      <c r="S37" s="97">
        <v>111.90899016876585</v>
      </c>
      <c r="T37" s="97">
        <v>114.24030911055848</v>
      </c>
      <c r="U37" s="97">
        <v>112.22479281843881</v>
      </c>
      <c r="V37" s="97">
        <v>81.77952195447368</v>
      </c>
      <c r="W37" s="97">
        <v>80.773370156580114</v>
      </c>
      <c r="DA37" s="175" t="s">
        <v>654</v>
      </c>
    </row>
    <row r="38" spans="1:105" ht="11.45" customHeight="1" x14ac:dyDescent="0.25">
      <c r="A38" s="111" t="s">
        <v>112</v>
      </c>
      <c r="B38" s="97">
        <v>1.6092783474947479</v>
      </c>
      <c r="C38" s="97">
        <v>1.8073121261511247</v>
      </c>
      <c r="D38" s="97">
        <v>1.8223784805987193</v>
      </c>
      <c r="E38" s="97">
        <v>1.9140477741230528</v>
      </c>
      <c r="F38" s="97">
        <v>1.979452302104548</v>
      </c>
      <c r="G38" s="97">
        <v>1.9788912351459143</v>
      </c>
      <c r="H38" s="97">
        <v>1.6240513170491362</v>
      </c>
      <c r="I38" s="97">
        <v>1.9281522412902847</v>
      </c>
      <c r="J38" s="97">
        <v>1.8847762546570517</v>
      </c>
      <c r="K38" s="97">
        <v>1.7948926559649017</v>
      </c>
      <c r="L38" s="97">
        <v>1.6765412658867336</v>
      </c>
      <c r="M38" s="97">
        <v>1.5483116849149536</v>
      </c>
      <c r="N38" s="97">
        <v>1.4331216888071241</v>
      </c>
      <c r="O38" s="97">
        <v>1.3189295136599946</v>
      </c>
      <c r="P38" s="97">
        <v>1.2236013784592439</v>
      </c>
      <c r="Q38" s="97">
        <v>1.1538269662001994</v>
      </c>
      <c r="R38" s="97">
        <v>1.0927148238121172</v>
      </c>
      <c r="S38" s="97">
        <v>0.99904471639419068</v>
      </c>
      <c r="T38" s="97">
        <v>0.92861806707868655</v>
      </c>
      <c r="U38" s="97">
        <v>0.83505627536722504</v>
      </c>
      <c r="V38" s="97">
        <v>0.58433500831603868</v>
      </c>
      <c r="W38" s="97">
        <v>0.57030570335952502</v>
      </c>
      <c r="DA38" s="175" t="s">
        <v>655</v>
      </c>
    </row>
    <row r="39" spans="1:105" ht="11.45" customHeight="1" x14ac:dyDescent="0.25">
      <c r="A39" s="111" t="s">
        <v>113</v>
      </c>
      <c r="B39" s="97">
        <v>0.31971338997044602</v>
      </c>
      <c r="C39" s="97">
        <v>7.7322796953392876</v>
      </c>
      <c r="D39" s="97">
        <v>9.0587182275593605</v>
      </c>
      <c r="E39" s="97">
        <v>12.644690204453903</v>
      </c>
      <c r="F39" s="97">
        <v>14.262443626578326</v>
      </c>
      <c r="G39" s="97">
        <v>15.767755724849588</v>
      </c>
      <c r="H39" s="97">
        <v>20.551713255910425</v>
      </c>
      <c r="I39" s="97">
        <v>22.59415569536819</v>
      </c>
      <c r="J39" s="97">
        <v>27.476924916386785</v>
      </c>
      <c r="K39" s="97">
        <v>26.943367465475479</v>
      </c>
      <c r="L39" s="97">
        <v>28.236190992069965</v>
      </c>
      <c r="M39" s="97">
        <v>68.140207215858439</v>
      </c>
      <c r="N39" s="97">
        <v>75.808047964124214</v>
      </c>
      <c r="O39" s="97">
        <v>85.067893642285682</v>
      </c>
      <c r="P39" s="97">
        <v>92.391276299341783</v>
      </c>
      <c r="Q39" s="97">
        <v>95.075513564821847</v>
      </c>
      <c r="R39" s="97">
        <v>99.344849850097688</v>
      </c>
      <c r="S39" s="97">
        <v>107.51378276179793</v>
      </c>
      <c r="T39" s="97">
        <v>123.22716914355388</v>
      </c>
      <c r="U39" s="97">
        <v>152.38443164086834</v>
      </c>
      <c r="V39" s="97">
        <v>183.36863064868251</v>
      </c>
      <c r="W39" s="97">
        <v>259.58804093818196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1.9882843068108682</v>
      </c>
      <c r="C41" s="97">
        <v>2.0973089832431682</v>
      </c>
      <c r="D41" s="97">
        <v>2.3009861000994967</v>
      </c>
      <c r="E41" s="97">
        <v>2.4569028231689209</v>
      </c>
      <c r="F41" s="97">
        <v>2.6137473006919021</v>
      </c>
      <c r="G41" s="97">
        <v>2.5772205512744542</v>
      </c>
      <c r="H41" s="97">
        <v>2.5079063715900363</v>
      </c>
      <c r="I41" s="97">
        <v>2.4236303148258362</v>
      </c>
      <c r="J41" s="97">
        <v>2.3467909596285303</v>
      </c>
      <c r="K41" s="97">
        <v>2.2179280735556901</v>
      </c>
      <c r="L41" s="97">
        <v>2.077400773902129</v>
      </c>
      <c r="M41" s="97">
        <v>1.9571180450784706</v>
      </c>
      <c r="N41" s="97">
        <v>2.1573208576360581</v>
      </c>
      <c r="O41" s="97">
        <v>3.3400124442063959</v>
      </c>
      <c r="P41" s="97">
        <v>3.6217415557705577</v>
      </c>
      <c r="Q41" s="97">
        <v>3.9971265099549735</v>
      </c>
      <c r="R41" s="97">
        <v>4.5444430719872431</v>
      </c>
      <c r="S41" s="97">
        <v>5.1312478203605369</v>
      </c>
      <c r="T41" s="97">
        <v>5.3826305599676321</v>
      </c>
      <c r="U41" s="97">
        <v>8.4872236437676971</v>
      </c>
      <c r="V41" s="97">
        <v>8.17418677812746</v>
      </c>
      <c r="W41" s="97">
        <v>17.789734758913955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15283.020912964997</v>
      </c>
      <c r="C42" s="32">
        <f t="shared" si="25"/>
        <v>15403.210557091719</v>
      </c>
      <c r="D42" s="32">
        <f t="shared" si="25"/>
        <v>15318.115955605539</v>
      </c>
      <c r="E42" s="32">
        <f t="shared" si="25"/>
        <v>14980.223771508532</v>
      </c>
      <c r="F42" s="32">
        <f t="shared" si="25"/>
        <v>15377.786745410427</v>
      </c>
      <c r="G42" s="32">
        <f t="shared" si="25"/>
        <v>15277.480939013125</v>
      </c>
      <c r="H42" s="32">
        <f t="shared" si="25"/>
        <v>15291.121875435692</v>
      </c>
      <c r="I42" s="32">
        <f t="shared" si="25"/>
        <v>15392.438814343575</v>
      </c>
      <c r="J42" s="32">
        <f t="shared" si="25"/>
        <v>14715.629422060876</v>
      </c>
      <c r="K42" s="32">
        <f t="shared" si="25"/>
        <v>13900.964521229003</v>
      </c>
      <c r="L42" s="32">
        <f t="shared" ref="L42" si="26">L43+L52</f>
        <v>14292.887096199225</v>
      </c>
      <c r="M42" s="32">
        <f t="shared" ref="M42:V42" si="27">M43+M52</f>
        <v>14601.632171424993</v>
      </c>
      <c r="N42" s="32">
        <f t="shared" si="27"/>
        <v>14170.504573656041</v>
      </c>
      <c r="O42" s="32">
        <f t="shared" si="27"/>
        <v>14247.184828007015</v>
      </c>
      <c r="P42" s="32">
        <f t="shared" si="27"/>
        <v>14173.030542899143</v>
      </c>
      <c r="Q42" s="32">
        <f t="shared" si="27"/>
        <v>14188.019655557691</v>
      </c>
      <c r="R42" s="32">
        <f t="shared" si="27"/>
        <v>14327.108596414122</v>
      </c>
      <c r="S42" s="32">
        <f t="shared" si="27"/>
        <v>14669.166081672447</v>
      </c>
      <c r="T42" s="32">
        <f t="shared" si="27"/>
        <v>14407.420516612317</v>
      </c>
      <c r="U42" s="32">
        <f t="shared" si="27"/>
        <v>14424.662675057418</v>
      </c>
      <c r="V42" s="32">
        <f t="shared" si="27"/>
        <v>13208.498913036892</v>
      </c>
      <c r="W42" s="32">
        <f t="shared" ref="W42" si="28">W43+W52</f>
        <v>14519.807273743201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7067.5622235425599</v>
      </c>
      <c r="C43" s="141">
        <f t="shared" si="29"/>
        <v>7054.169936228599</v>
      </c>
      <c r="D43" s="141">
        <f t="shared" si="29"/>
        <v>6948.6652737711001</v>
      </c>
      <c r="E43" s="141">
        <f t="shared" si="29"/>
        <v>6717.0145028337311</v>
      </c>
      <c r="F43" s="141">
        <f t="shared" si="29"/>
        <v>6491.6846474350232</v>
      </c>
      <c r="G43" s="141">
        <f t="shared" si="29"/>
        <v>6377.1343518205795</v>
      </c>
      <c r="H43" s="141">
        <f t="shared" si="29"/>
        <v>6332.029480769741</v>
      </c>
      <c r="I43" s="141">
        <f t="shared" si="29"/>
        <v>6263.3797707806325</v>
      </c>
      <c r="J43" s="141">
        <f t="shared" si="29"/>
        <v>6046.3000236228836</v>
      </c>
      <c r="K43" s="141">
        <f t="shared" si="29"/>
        <v>6173.7507965286241</v>
      </c>
      <c r="L43" s="141">
        <f t="shared" ref="L43" si="30">L44+L46+L48+L49+L51</f>
        <v>6325.7100609859863</v>
      </c>
      <c r="M43" s="141">
        <f t="shared" ref="M43:V43" si="31">M44+M46+M48+M49+M51</f>
        <v>6554.775660935119</v>
      </c>
      <c r="N43" s="141">
        <f t="shared" si="31"/>
        <v>6570.6307187647099</v>
      </c>
      <c r="O43" s="141">
        <f t="shared" si="31"/>
        <v>6582.8479971510587</v>
      </c>
      <c r="P43" s="141">
        <f t="shared" si="31"/>
        <v>6580.8874630128794</v>
      </c>
      <c r="Q43" s="141">
        <f t="shared" si="31"/>
        <v>6781.0775743757395</v>
      </c>
      <c r="R43" s="141">
        <f t="shared" si="31"/>
        <v>6688.7155402068693</v>
      </c>
      <c r="S43" s="141">
        <f t="shared" si="31"/>
        <v>6811.8316962831377</v>
      </c>
      <c r="T43" s="141">
        <f t="shared" si="31"/>
        <v>6711.8190825691818</v>
      </c>
      <c r="U43" s="141">
        <f t="shared" si="31"/>
        <v>6649.2023995511399</v>
      </c>
      <c r="V43" s="141">
        <f t="shared" si="31"/>
        <v>5754.9994877584113</v>
      </c>
      <c r="W43" s="141">
        <f t="shared" ref="W43" si="32">W44+W46+W48+W49+W51</f>
        <v>6649.1330287578976</v>
      </c>
      <c r="DA43" s="174" t="s">
        <v>399</v>
      </c>
    </row>
    <row r="44" spans="1:105" ht="11.45" customHeight="1" x14ac:dyDescent="0.25">
      <c r="A44" s="111" t="s">
        <v>110</v>
      </c>
      <c r="B44" s="96">
        <v>1010.3938985704084</v>
      </c>
      <c r="C44" s="96">
        <v>888.01786348586438</v>
      </c>
      <c r="D44" s="96">
        <v>735.97354124180629</v>
      </c>
      <c r="E44" s="96">
        <v>579.26999592265156</v>
      </c>
      <c r="F44" s="96">
        <v>454.29321599496478</v>
      </c>
      <c r="G44" s="96">
        <v>376.75944987816263</v>
      </c>
      <c r="H44" s="96">
        <v>321.52294082945645</v>
      </c>
      <c r="I44" s="96">
        <v>278.66983705688637</v>
      </c>
      <c r="J44" s="96">
        <v>241.78175597019367</v>
      </c>
      <c r="K44" s="96">
        <v>217.20787827313205</v>
      </c>
      <c r="L44" s="96">
        <v>234.63344631131673</v>
      </c>
      <c r="M44" s="96">
        <v>257.53263200256066</v>
      </c>
      <c r="N44" s="96">
        <v>271.52137456752644</v>
      </c>
      <c r="O44" s="96">
        <v>286.64948786543596</v>
      </c>
      <c r="P44" s="96">
        <v>255.76616370395968</v>
      </c>
      <c r="Q44" s="96">
        <v>234.77628589958297</v>
      </c>
      <c r="R44" s="96">
        <v>226.18162189842215</v>
      </c>
      <c r="S44" s="96">
        <v>228.04342806953582</v>
      </c>
      <c r="T44" s="96">
        <v>219.76141235090464</v>
      </c>
      <c r="U44" s="96">
        <v>209.2589825538943</v>
      </c>
      <c r="V44" s="96">
        <v>178.52345609327188</v>
      </c>
      <c r="W44" s="96">
        <v>217.0380740128752</v>
      </c>
      <c r="DA44" s="171" t="s">
        <v>659</v>
      </c>
    </row>
    <row r="45" spans="1:105" ht="11.45" customHeight="1" x14ac:dyDescent="0.25">
      <c r="A45" s="160" t="s">
        <v>131</v>
      </c>
      <c r="B45" s="96">
        <v>4.1576869178194702</v>
      </c>
      <c r="C45" s="96">
        <v>3.4245687041402944</v>
      </c>
      <c r="D45" s="96">
        <v>3.1220006302045005</v>
      </c>
      <c r="E45" s="96">
        <v>2.2240474920340754</v>
      </c>
      <c r="F45" s="96">
        <v>1.9924944570318441</v>
      </c>
      <c r="G45" s="96">
        <v>3.4314435169590172</v>
      </c>
      <c r="H45" s="96">
        <v>4.4489754985256189</v>
      </c>
      <c r="I45" s="96">
        <v>7.8239995351078777</v>
      </c>
      <c r="J45" s="96">
        <v>11.941605966196413</v>
      </c>
      <c r="K45" s="96">
        <v>10.302688995129474</v>
      </c>
      <c r="L45" s="96">
        <v>11.943437187276301</v>
      </c>
      <c r="M45" s="96">
        <v>13.183281057015487</v>
      </c>
      <c r="N45" s="96">
        <v>15.065825436804692</v>
      </c>
      <c r="O45" s="96">
        <v>16.100680602315972</v>
      </c>
      <c r="P45" s="96">
        <v>14.92665898443339</v>
      </c>
      <c r="Q45" s="96">
        <v>14.126515619445845</v>
      </c>
      <c r="R45" s="96">
        <v>14.594816583170802</v>
      </c>
      <c r="S45" s="96">
        <v>15.987394055307323</v>
      </c>
      <c r="T45" s="96">
        <v>16.209382831602674</v>
      </c>
      <c r="U45" s="96">
        <v>16.063803850596805</v>
      </c>
      <c r="V45" s="96">
        <v>13.854937139911716</v>
      </c>
      <c r="W45" s="96">
        <v>18.017306946254724</v>
      </c>
      <c r="DA45" s="171" t="s">
        <v>660</v>
      </c>
    </row>
    <row r="46" spans="1:105" ht="11.45" customHeight="1" x14ac:dyDescent="0.25">
      <c r="A46" s="111" t="s">
        <v>111</v>
      </c>
      <c r="B46" s="96">
        <v>6028.8985522742942</v>
      </c>
      <c r="C46" s="96">
        <v>6136.1170377860126</v>
      </c>
      <c r="D46" s="96">
        <v>6181.9833214167838</v>
      </c>
      <c r="E46" s="96">
        <v>6106.9235805120861</v>
      </c>
      <c r="F46" s="96">
        <v>6006.3237478680921</v>
      </c>
      <c r="G46" s="96">
        <v>5968.6785987742687</v>
      </c>
      <c r="H46" s="96">
        <v>5976.3280502183025</v>
      </c>
      <c r="I46" s="96">
        <v>5957.5491519203779</v>
      </c>
      <c r="J46" s="96">
        <v>5780.0753682653785</v>
      </c>
      <c r="K46" s="96">
        <v>5930.8558385247443</v>
      </c>
      <c r="L46" s="96">
        <v>6065.7660408551747</v>
      </c>
      <c r="M46" s="96">
        <v>6271.7776481762176</v>
      </c>
      <c r="N46" s="96">
        <v>6274.3212976287423</v>
      </c>
      <c r="O46" s="96">
        <v>6271.2018433993599</v>
      </c>
      <c r="P46" s="96">
        <v>6300.0689168224753</v>
      </c>
      <c r="Q46" s="96">
        <v>6520.3979374473065</v>
      </c>
      <c r="R46" s="96">
        <v>6436.1408357404744</v>
      </c>
      <c r="S46" s="96">
        <v>6556.950020964302</v>
      </c>
      <c r="T46" s="96">
        <v>6462.899928817209</v>
      </c>
      <c r="U46" s="96">
        <v>6410.3162610570171</v>
      </c>
      <c r="V46" s="96">
        <v>5551.4943135311078</v>
      </c>
      <c r="W46" s="96">
        <v>6400.6379560735677</v>
      </c>
      <c r="DA46" s="171" t="s">
        <v>661</v>
      </c>
    </row>
    <row r="47" spans="1:105" ht="11.45" customHeight="1" x14ac:dyDescent="0.25">
      <c r="A47" s="160" t="s">
        <v>131</v>
      </c>
      <c r="B47" s="96">
        <v>57.65602813278182</v>
      </c>
      <c r="C47" s="96">
        <v>57.810485514747832</v>
      </c>
      <c r="D47" s="96">
        <v>59.583995960842572</v>
      </c>
      <c r="E47" s="96">
        <v>55.1461194323592</v>
      </c>
      <c r="F47" s="96">
        <v>57.836143842961746</v>
      </c>
      <c r="G47" s="96">
        <v>94.035240722098436</v>
      </c>
      <c r="H47" s="96">
        <v>106.73485440438198</v>
      </c>
      <c r="I47" s="96">
        <v>210.52380426977612</v>
      </c>
      <c r="J47" s="96">
        <v>331.28870497904416</v>
      </c>
      <c r="K47" s="96">
        <v>375.39459952603119</v>
      </c>
      <c r="L47" s="96">
        <v>368.77872416214956</v>
      </c>
      <c r="M47" s="96">
        <v>374.20473205134675</v>
      </c>
      <c r="N47" s="96">
        <v>414.14839981179847</v>
      </c>
      <c r="O47" s="96">
        <v>417.94149570570539</v>
      </c>
      <c r="P47" s="96">
        <v>460.88869165112567</v>
      </c>
      <c r="Q47" s="96">
        <v>475.89204988164221</v>
      </c>
      <c r="R47" s="96">
        <v>460.4600396066711</v>
      </c>
      <c r="S47" s="96">
        <v>483.06859674780975</v>
      </c>
      <c r="T47" s="96">
        <v>483.60780130163499</v>
      </c>
      <c r="U47" s="96">
        <v>480.67919256419219</v>
      </c>
      <c r="V47" s="96">
        <v>403.34182202208734</v>
      </c>
      <c r="W47" s="96">
        <v>444.26997802289543</v>
      </c>
      <c r="DA47" s="171" t="s">
        <v>662</v>
      </c>
    </row>
    <row r="48" spans="1:105" ht="11.45" customHeight="1" x14ac:dyDescent="0.25">
      <c r="A48" s="111" t="s">
        <v>112</v>
      </c>
      <c r="B48" s="96">
        <v>27.496422543134823</v>
      </c>
      <c r="C48" s="96">
        <v>29.227832377904644</v>
      </c>
      <c r="D48" s="96">
        <v>29.864935621085412</v>
      </c>
      <c r="E48" s="96">
        <v>29.784760544267673</v>
      </c>
      <c r="F48" s="96">
        <v>30.038863193152356</v>
      </c>
      <c r="G48" s="96">
        <v>30.70038634867343</v>
      </c>
      <c r="H48" s="96">
        <v>32.748436545885426</v>
      </c>
      <c r="I48" s="96">
        <v>25.773864560616794</v>
      </c>
      <c r="J48" s="96">
        <v>23.139266120571062</v>
      </c>
      <c r="K48" s="96">
        <v>24.205432796805638</v>
      </c>
      <c r="L48" s="96">
        <v>23.948249738467535</v>
      </c>
      <c r="M48" s="96">
        <v>23.709320017981131</v>
      </c>
      <c r="N48" s="96">
        <v>22.580229604687251</v>
      </c>
      <c r="O48" s="96">
        <v>22.132611689574343</v>
      </c>
      <c r="P48" s="96">
        <v>21.530385780607347</v>
      </c>
      <c r="Q48" s="96">
        <v>21.717833525618015</v>
      </c>
      <c r="R48" s="96">
        <v>21.108028698383947</v>
      </c>
      <c r="S48" s="96">
        <v>20.705133713155188</v>
      </c>
      <c r="T48" s="96">
        <v>17.549594801162666</v>
      </c>
      <c r="U48" s="96">
        <v>16.385781884871825</v>
      </c>
      <c r="V48" s="96">
        <v>11.609596692428552</v>
      </c>
      <c r="W48" s="96">
        <v>13.447303787482081</v>
      </c>
      <c r="DA48" s="171" t="s">
        <v>663</v>
      </c>
    </row>
    <row r="49" spans="1:105" ht="11.45" customHeight="1" x14ac:dyDescent="0.25">
      <c r="A49" s="111" t="s">
        <v>113</v>
      </c>
      <c r="B49" s="96">
        <v>0.32517053092379294</v>
      </c>
      <c r="C49" s="96">
        <v>0.3072731851422244</v>
      </c>
      <c r="D49" s="96">
        <v>0.31359475610357923</v>
      </c>
      <c r="E49" s="96">
        <v>0.48935966656930641</v>
      </c>
      <c r="F49" s="96">
        <v>0.46249188502958388</v>
      </c>
      <c r="G49" s="96">
        <v>0.44015485124671239</v>
      </c>
      <c r="H49" s="96">
        <v>0.87984306395199496</v>
      </c>
      <c r="I49" s="96">
        <v>0.81430154639897256</v>
      </c>
      <c r="J49" s="96">
        <v>0.78975075485103163</v>
      </c>
      <c r="K49" s="96">
        <v>0.94105860668301644</v>
      </c>
      <c r="L49" s="96">
        <v>0.88122600763419356</v>
      </c>
      <c r="M49" s="96">
        <v>1.0579523631860055</v>
      </c>
      <c r="N49" s="96">
        <v>1.4142912142125441</v>
      </c>
      <c r="O49" s="96">
        <v>1.7748425597268198</v>
      </c>
      <c r="P49" s="96">
        <v>2.0238079164839067</v>
      </c>
      <c r="Q49" s="96">
        <v>2.3331207802146214</v>
      </c>
      <c r="R49" s="96">
        <v>2.6986497709694897</v>
      </c>
      <c r="S49" s="96">
        <v>3.2678615110530882</v>
      </c>
      <c r="T49" s="96">
        <v>7.2128265224813735</v>
      </c>
      <c r="U49" s="96">
        <v>7.8494641217553305</v>
      </c>
      <c r="V49" s="96">
        <v>7.3080427756716997</v>
      </c>
      <c r="W49" s="96">
        <v>9.3966843899651629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0.44817962379849369</v>
      </c>
      <c r="C51" s="96">
        <v>0.49992939367571887</v>
      </c>
      <c r="D51" s="96">
        <v>0.52988073532197244</v>
      </c>
      <c r="E51" s="96">
        <v>0.54680618815541271</v>
      </c>
      <c r="F51" s="96">
        <v>0.5663284937839197</v>
      </c>
      <c r="G51" s="96">
        <v>0.55576196822735635</v>
      </c>
      <c r="H51" s="96">
        <v>0.55021011214471893</v>
      </c>
      <c r="I51" s="96">
        <v>0.5726156963516883</v>
      </c>
      <c r="J51" s="96">
        <v>0.51388251188966838</v>
      </c>
      <c r="K51" s="96">
        <v>0.54058832725871697</v>
      </c>
      <c r="L51" s="96">
        <v>0.48109807339271771</v>
      </c>
      <c r="M51" s="96">
        <v>0.69810837517303848</v>
      </c>
      <c r="N51" s="96">
        <v>0.79352574954087529</v>
      </c>
      <c r="O51" s="96">
        <v>1.0892116369625384</v>
      </c>
      <c r="P51" s="96">
        <v>1.4981887893527648</v>
      </c>
      <c r="Q51" s="96">
        <v>1.8523967230173897</v>
      </c>
      <c r="R51" s="96">
        <v>2.5864040986187047</v>
      </c>
      <c r="S51" s="96">
        <v>2.8652520250907987</v>
      </c>
      <c r="T51" s="96">
        <v>4.3953200774241106</v>
      </c>
      <c r="U51" s="96">
        <v>5.3919099336006449</v>
      </c>
      <c r="V51" s="96">
        <v>6.0640786659317261</v>
      </c>
      <c r="W51" s="96">
        <v>8.6130104940075078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8215.4586894224376</v>
      </c>
      <c r="C52" s="130">
        <f t="shared" si="33"/>
        <v>8349.0406208631211</v>
      </c>
      <c r="D52" s="130">
        <f t="shared" si="33"/>
        <v>8369.450681834438</v>
      </c>
      <c r="E52" s="130">
        <f t="shared" si="33"/>
        <v>8263.2092686748001</v>
      </c>
      <c r="F52" s="130">
        <f t="shared" si="33"/>
        <v>8886.1020979754048</v>
      </c>
      <c r="G52" s="130">
        <f t="shared" si="33"/>
        <v>8900.3465871925455</v>
      </c>
      <c r="H52" s="130">
        <f t="shared" si="33"/>
        <v>8959.0923946659514</v>
      </c>
      <c r="I52" s="130">
        <f t="shared" si="33"/>
        <v>9129.059043562942</v>
      </c>
      <c r="J52" s="130">
        <f t="shared" si="33"/>
        <v>8669.3293984379925</v>
      </c>
      <c r="K52" s="130">
        <f t="shared" si="33"/>
        <v>7727.2137247003793</v>
      </c>
      <c r="L52" s="130">
        <f t="shared" ref="L52" si="34">L53+L55</f>
        <v>7967.1770352132389</v>
      </c>
      <c r="M52" s="130">
        <f t="shared" ref="M52:V52" si="35">M53+M55</f>
        <v>8046.8565104898753</v>
      </c>
      <c r="N52" s="130">
        <f t="shared" si="35"/>
        <v>7599.8738548913307</v>
      </c>
      <c r="O52" s="130">
        <f t="shared" si="35"/>
        <v>7664.3368308559566</v>
      </c>
      <c r="P52" s="130">
        <f t="shared" si="35"/>
        <v>7592.1430798862639</v>
      </c>
      <c r="Q52" s="130">
        <f t="shared" si="35"/>
        <v>7406.9420811819527</v>
      </c>
      <c r="R52" s="130">
        <f t="shared" si="35"/>
        <v>7638.3930562072528</v>
      </c>
      <c r="S52" s="130">
        <f t="shared" si="35"/>
        <v>7857.3343853893093</v>
      </c>
      <c r="T52" s="130">
        <f t="shared" si="35"/>
        <v>7695.6014340431357</v>
      </c>
      <c r="U52" s="130">
        <f t="shared" si="35"/>
        <v>7775.4602755062788</v>
      </c>
      <c r="V52" s="130">
        <f t="shared" si="35"/>
        <v>7453.4994252784818</v>
      </c>
      <c r="W52" s="130">
        <f t="shared" ref="W52" si="36">W53+W55</f>
        <v>7870.6742449853027</v>
      </c>
      <c r="DA52" s="176" t="s">
        <v>400</v>
      </c>
    </row>
    <row r="53" spans="1:105" ht="11.45" customHeight="1" x14ac:dyDescent="0.25">
      <c r="A53" s="128" t="s">
        <v>27</v>
      </c>
      <c r="B53" s="97">
        <v>5553.8044161219359</v>
      </c>
      <c r="C53" s="97">
        <v>5592.8678751145571</v>
      </c>
      <c r="D53" s="97">
        <v>5535.3359972694989</v>
      </c>
      <c r="E53" s="97">
        <v>5456.6266868173634</v>
      </c>
      <c r="F53" s="97">
        <v>5693.3058610167354</v>
      </c>
      <c r="G53" s="97">
        <v>5634.6460595609997</v>
      </c>
      <c r="H53" s="97">
        <v>5650.1351999402823</v>
      </c>
      <c r="I53" s="97">
        <v>5794.9689500006925</v>
      </c>
      <c r="J53" s="97">
        <v>5398.2815764133029</v>
      </c>
      <c r="K53" s="97">
        <v>4737.2799788558805</v>
      </c>
      <c r="L53" s="97">
        <v>4967.7464200360282</v>
      </c>
      <c r="M53" s="97">
        <v>5157.7508920827549</v>
      </c>
      <c r="N53" s="97">
        <v>4752.230204561446</v>
      </c>
      <c r="O53" s="97">
        <v>4682.5916817765119</v>
      </c>
      <c r="P53" s="97">
        <v>4590.5842024828817</v>
      </c>
      <c r="Q53" s="97">
        <v>4327.4719102077843</v>
      </c>
      <c r="R53" s="97">
        <v>4450.9569244502018</v>
      </c>
      <c r="S53" s="97">
        <v>4496.4308950397517</v>
      </c>
      <c r="T53" s="97">
        <v>4356.7721602331612</v>
      </c>
      <c r="U53" s="97">
        <v>4345.5827851170343</v>
      </c>
      <c r="V53" s="97">
        <v>4126.7066082492756</v>
      </c>
      <c r="W53" s="97">
        <v>4226.6318170234363</v>
      </c>
      <c r="DA53" s="175" t="s">
        <v>667</v>
      </c>
    </row>
    <row r="54" spans="1:105" ht="11.45" customHeight="1" x14ac:dyDescent="0.25">
      <c r="A54" s="160" t="s">
        <v>131</v>
      </c>
      <c r="B54" s="97">
        <v>53.112571207405821</v>
      </c>
      <c r="C54" s="97">
        <v>52.692346852117538</v>
      </c>
      <c r="D54" s="97">
        <v>53.351395588628783</v>
      </c>
      <c r="E54" s="97">
        <v>49.273874644391114</v>
      </c>
      <c r="F54" s="97">
        <v>54.822029338098297</v>
      </c>
      <c r="G54" s="97">
        <v>88.772630294325666</v>
      </c>
      <c r="H54" s="97">
        <v>100.90917915870946</v>
      </c>
      <c r="I54" s="97">
        <v>204.77865609990374</v>
      </c>
      <c r="J54" s="97">
        <v>309.40595037585115</v>
      </c>
      <c r="K54" s="97">
        <v>299.84699829555115</v>
      </c>
      <c r="L54" s="97">
        <v>302.02272464892013</v>
      </c>
      <c r="M54" s="97">
        <v>307.73648219507049</v>
      </c>
      <c r="N54" s="97">
        <v>313.67990917204622</v>
      </c>
      <c r="O54" s="97">
        <v>312.06926840038255</v>
      </c>
      <c r="P54" s="97">
        <v>335.82939725424012</v>
      </c>
      <c r="Q54" s="97">
        <v>315.84107257114044</v>
      </c>
      <c r="R54" s="97">
        <v>318.43426892384582</v>
      </c>
      <c r="S54" s="97">
        <v>331.26446837258516</v>
      </c>
      <c r="T54" s="97">
        <v>326.00984517613222</v>
      </c>
      <c r="U54" s="97">
        <v>325.85462858683894</v>
      </c>
      <c r="V54" s="97">
        <v>299.82438390775144</v>
      </c>
      <c r="W54" s="97">
        <v>293.37163535051388</v>
      </c>
      <c r="DA54" s="175" t="s">
        <v>668</v>
      </c>
    </row>
    <row r="55" spans="1:105" ht="11.45" customHeight="1" x14ac:dyDescent="0.25">
      <c r="A55" s="128" t="s">
        <v>116</v>
      </c>
      <c r="B55" s="97">
        <v>2661.6542733005008</v>
      </c>
      <c r="C55" s="97">
        <v>2756.1727457485645</v>
      </c>
      <c r="D55" s="97">
        <v>2834.1146845649391</v>
      </c>
      <c r="E55" s="97">
        <v>2806.5825818574367</v>
      </c>
      <c r="F55" s="97">
        <v>3192.7962369586689</v>
      </c>
      <c r="G55" s="97">
        <v>3265.7005276315463</v>
      </c>
      <c r="H55" s="97">
        <v>3308.9571947256686</v>
      </c>
      <c r="I55" s="97">
        <v>3334.0900935622499</v>
      </c>
      <c r="J55" s="97">
        <v>3271.0478220246891</v>
      </c>
      <c r="K55" s="97">
        <v>2989.9337458444988</v>
      </c>
      <c r="L55" s="97">
        <v>2999.4306151772112</v>
      </c>
      <c r="M55" s="97">
        <v>2889.1056184071199</v>
      </c>
      <c r="N55" s="97">
        <v>2847.6436503298846</v>
      </c>
      <c r="O55" s="97">
        <v>2981.7451490794442</v>
      </c>
      <c r="P55" s="97">
        <v>3001.5588774033818</v>
      </c>
      <c r="Q55" s="97">
        <v>3079.4701709741685</v>
      </c>
      <c r="R55" s="97">
        <v>3187.4361317570515</v>
      </c>
      <c r="S55" s="97">
        <v>3360.9034903495576</v>
      </c>
      <c r="T55" s="97">
        <v>3338.8292738099744</v>
      </c>
      <c r="U55" s="97">
        <v>3429.877490389244</v>
      </c>
      <c r="V55" s="97">
        <v>3326.7928170292062</v>
      </c>
      <c r="W55" s="97">
        <v>3644.0424279618669</v>
      </c>
      <c r="DA55" s="175" t="s">
        <v>669</v>
      </c>
    </row>
    <row r="56" spans="1:105" ht="11.45" customHeight="1" x14ac:dyDescent="0.25">
      <c r="A56" s="161" t="s">
        <v>131</v>
      </c>
      <c r="B56" s="98">
        <v>25.454137655585935</v>
      </c>
      <c r="C56" s="98">
        <v>25.966858782688814</v>
      </c>
      <c r="D56" s="98">
        <v>27.316132887751131</v>
      </c>
      <c r="E56" s="98">
        <v>25.343716228869386</v>
      </c>
      <c r="F56" s="98">
        <v>30.744100746742482</v>
      </c>
      <c r="G56" s="98">
        <v>51.450405673574181</v>
      </c>
      <c r="H56" s="98">
        <v>59.096666287667325</v>
      </c>
      <c r="I56" s="98">
        <v>117.81779929564551</v>
      </c>
      <c r="J56" s="98">
        <v>187.48219146635333</v>
      </c>
      <c r="K56" s="98">
        <v>189.24840051581015</v>
      </c>
      <c r="L56" s="98">
        <v>182.35556531982519</v>
      </c>
      <c r="M56" s="98">
        <v>172.37808073735781</v>
      </c>
      <c r="N56" s="98">
        <v>187.96408489059388</v>
      </c>
      <c r="O56" s="98">
        <v>198.71709738240287</v>
      </c>
      <c r="P56" s="98">
        <v>219.58244618981007</v>
      </c>
      <c r="Q56" s="98">
        <v>224.75551128525137</v>
      </c>
      <c r="R56" s="98">
        <v>228.03835480454197</v>
      </c>
      <c r="S56" s="98">
        <v>247.60703188175407</v>
      </c>
      <c r="T56" s="98">
        <v>249.83891160516293</v>
      </c>
      <c r="U56" s="98">
        <v>257.19023454274071</v>
      </c>
      <c r="V56" s="98">
        <v>241.70693520121071</v>
      </c>
      <c r="W56" s="98">
        <v>252.93395134916284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10.648290835802058</v>
      </c>
      <c r="C60" s="79">
        <f>IF(C17=0,0,C17/TrRoad_act!C30*100)</f>
        <v>10.248024507216364</v>
      </c>
      <c r="D60" s="79">
        <f>IF(D17=0,0,D17/TrRoad_act!D30*100)</f>
        <v>10.049938450827185</v>
      </c>
      <c r="E60" s="79">
        <f>IF(E17=0,0,E17/TrRoad_act!E30*100)</f>
        <v>9.836024621613852</v>
      </c>
      <c r="F60" s="79">
        <f>IF(F17=0,0,F17/TrRoad_act!F30*100)</f>
        <v>9.7340504777257397</v>
      </c>
      <c r="G60" s="79">
        <f>IF(G17=0,0,G17/TrRoad_act!G30*100)</f>
        <v>9.6225060357990149</v>
      </c>
      <c r="H60" s="79">
        <f>IF(H17=0,0,H17/TrRoad_act!H30*100)</f>
        <v>9.4821933595962538</v>
      </c>
      <c r="I60" s="79">
        <f>IF(I17=0,0,I17/TrRoad_act!I30*100)</f>
        <v>9.3518738477059635</v>
      </c>
      <c r="J60" s="79">
        <f>IF(J17=0,0,J17/TrRoad_act!J30*100)</f>
        <v>9.2255233815867079</v>
      </c>
      <c r="K60" s="79">
        <f>IF(K17=0,0,K17/TrRoad_act!K30*100)</f>
        <v>9.0049053007085451</v>
      </c>
      <c r="L60" s="79">
        <f>IF(L17=0,0,L17/TrRoad_act!L30*100)</f>
        <v>8.8980375802566485</v>
      </c>
      <c r="M60" s="79">
        <f>IF(M17=0,0,M17/TrRoad_act!M30*100)</f>
        <v>8.8411852396583139</v>
      </c>
      <c r="N60" s="79">
        <f>IF(N17=0,0,N17/TrRoad_act!N30*100)</f>
        <v>8.6634325985977565</v>
      </c>
      <c r="O60" s="79">
        <f>IF(O17=0,0,O17/TrRoad_act!O30*100)</f>
        <v>8.5325457587251616</v>
      </c>
      <c r="P60" s="79">
        <f>IF(P17=0,0,P17/TrRoad_act!P30*100)</f>
        <v>8.385619831124977</v>
      </c>
      <c r="Q60" s="79">
        <f>IF(Q17=0,0,Q17/TrRoad_act!Q30*100)</f>
        <v>8.2440350268038483</v>
      </c>
      <c r="R60" s="79">
        <f>IF(R17=0,0,R17/TrRoad_act!R30*100)</f>
        <v>8.1220501582069229</v>
      </c>
      <c r="S60" s="79">
        <f>IF(S17=0,0,S17/TrRoad_act!S30*100)</f>
        <v>8.0258229090729909</v>
      </c>
      <c r="T60" s="79">
        <f>IF(T17=0,0,T17/TrRoad_act!T30*100)</f>
        <v>7.9378245907392495</v>
      </c>
      <c r="U60" s="79">
        <f>IF(U17=0,0,U17/TrRoad_act!U30*100)</f>
        <v>7.7612560113012545</v>
      </c>
      <c r="V60" s="79">
        <f>IF(V17=0,0,V17/TrRoad_act!V30*100)</f>
        <v>7.8007879295307072</v>
      </c>
      <c r="W60" s="79">
        <f>IF(W17=0,0,W17/TrRoad_act!W30*100)</f>
        <v>7.6855165323139891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8.5844591646369697</v>
      </c>
      <c r="C61" s="32">
        <f>IF(C18=0,0,C18/TrRoad_act!C31*100)</f>
        <v>8.2562252454486824</v>
      </c>
      <c r="D61" s="32">
        <f>IF(D18=0,0,D18/TrRoad_act!D31*100)</f>
        <v>8.0954781661125637</v>
      </c>
      <c r="E61" s="32">
        <f>IF(E18=0,0,E18/TrRoad_act!E31*100)</f>
        <v>7.9226552006076272</v>
      </c>
      <c r="F61" s="32">
        <f>IF(F18=0,0,F18/TrRoad_act!F31*100)</f>
        <v>7.7454714690511075</v>
      </c>
      <c r="G61" s="32">
        <f>IF(G18=0,0,G18/TrRoad_act!G31*100)</f>
        <v>7.6361475598746704</v>
      </c>
      <c r="H61" s="32">
        <f>IF(H18=0,0,H18/TrRoad_act!H31*100)</f>
        <v>7.5286475744566799</v>
      </c>
      <c r="I61" s="32">
        <f>IF(I18=0,0,I18/TrRoad_act!I31*100)</f>
        <v>7.4162585926516824</v>
      </c>
      <c r="J61" s="32">
        <f>IF(J18=0,0,J18/TrRoad_act!J31*100)</f>
        <v>7.3480841672213391</v>
      </c>
      <c r="K61" s="32">
        <f>IF(K18=0,0,K18/TrRoad_act!K31*100)</f>
        <v>7.3077423661420671</v>
      </c>
      <c r="L61" s="32">
        <f>IF(L18=0,0,L18/TrRoad_act!L31*100)</f>
        <v>7.1574235758248745</v>
      </c>
      <c r="M61" s="32">
        <f>IF(M18=0,0,M18/TrRoad_act!M31*100)</f>
        <v>7.1068366344791452</v>
      </c>
      <c r="N61" s="32">
        <f>IF(N18=0,0,N18/TrRoad_act!N31*100)</f>
        <v>7.0239553955654177</v>
      </c>
      <c r="O61" s="32">
        <f>IF(O18=0,0,O18/TrRoad_act!O31*100)</f>
        <v>6.8894797852195291</v>
      </c>
      <c r="P61" s="32">
        <f>IF(P18=0,0,P18/TrRoad_act!P31*100)</f>
        <v>6.7935315525850068</v>
      </c>
      <c r="Q61" s="32">
        <f>IF(Q18=0,0,Q18/TrRoad_act!Q31*100)</f>
        <v>6.7115662011883455</v>
      </c>
      <c r="R61" s="32">
        <f>IF(R18=0,0,R18/TrRoad_act!R31*100)</f>
        <v>6.572619571288242</v>
      </c>
      <c r="S61" s="32">
        <f>IF(S18=0,0,S18/TrRoad_act!S31*100)</f>
        <v>6.4609101947597045</v>
      </c>
      <c r="T61" s="32">
        <f>IF(T18=0,0,T18/TrRoad_act!T31*100)</f>
        <v>6.3826251134640009</v>
      </c>
      <c r="U61" s="32">
        <f>IF(U18=0,0,U18/TrRoad_act!U31*100)</f>
        <v>6.2239359070546545</v>
      </c>
      <c r="V61" s="32">
        <f>IF(V18=0,0,V18/TrRoad_act!V31*100)</f>
        <v>6.0895841009535383</v>
      </c>
      <c r="W61" s="32">
        <f>IF(W18=0,0,W18/TrRoad_act!W31*100)</f>
        <v>6.0457340553056103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3.6627503570207951</v>
      </c>
      <c r="C62" s="141">
        <f>IF(C19=0,0,C19/TrRoad_act!C32*100)</f>
        <v>3.6435241024008294</v>
      </c>
      <c r="D62" s="141">
        <f>IF(D19=0,0,D19/TrRoad_act!D32*100)</f>
        <v>3.6260769137322333</v>
      </c>
      <c r="E62" s="141">
        <f>IF(E19=0,0,E19/TrRoad_act!E32*100)</f>
        <v>3.606416253112315</v>
      </c>
      <c r="F62" s="141">
        <f>IF(F19=0,0,F19/TrRoad_act!F32*100)</f>
        <v>3.5850816787424571</v>
      </c>
      <c r="G62" s="141">
        <f>IF(G19=0,0,G19/TrRoad_act!G32*100)</f>
        <v>3.561429695535661</v>
      </c>
      <c r="H62" s="141">
        <f>IF(H19=0,0,H19/TrRoad_act!H32*100)</f>
        <v>3.5359571281551267</v>
      </c>
      <c r="I62" s="141">
        <f>IF(I19=0,0,I19/TrRoad_act!I32*100)</f>
        <v>3.5182474000585793</v>
      </c>
      <c r="J62" s="141">
        <f>IF(J19=0,0,J19/TrRoad_act!J32*100)</f>
        <v>3.4967283891336431</v>
      </c>
      <c r="K62" s="141">
        <f>IF(K19=0,0,K19/TrRoad_act!K32*100)</f>
        <v>3.4689560311620933</v>
      </c>
      <c r="L62" s="141">
        <f>IF(L19=0,0,L19/TrRoad_act!L32*100)</f>
        <v>3.4469330243109266</v>
      </c>
      <c r="M62" s="141">
        <f>IF(M19=0,0,M19/TrRoad_act!M32*100)</f>
        <v>3.4188047716425105</v>
      </c>
      <c r="N62" s="141">
        <f>IF(N19=0,0,N19/TrRoad_act!N32*100)</f>
        <v>3.3926446307123541</v>
      </c>
      <c r="O62" s="141">
        <f>IF(O19=0,0,O19/TrRoad_act!O32*100)</f>
        <v>3.3676728039682331</v>
      </c>
      <c r="P62" s="141">
        <f>IF(P19=0,0,P19/TrRoad_act!P32*100)</f>
        <v>3.3589204050895751</v>
      </c>
      <c r="Q62" s="141">
        <f>IF(Q19=0,0,Q19/TrRoad_act!Q32*100)</f>
        <v>3.343964767812043</v>
      </c>
      <c r="R62" s="141">
        <f>IF(R19=0,0,R19/TrRoad_act!R32*100)</f>
        <v>3.3340299586158877</v>
      </c>
      <c r="S62" s="141">
        <f>IF(S19=0,0,S19/TrRoad_act!S32*100)</f>
        <v>3.311473323302875</v>
      </c>
      <c r="T62" s="141">
        <f>IF(T19=0,0,T19/TrRoad_act!T32*100)</f>
        <v>3.4668691586243146</v>
      </c>
      <c r="U62" s="141">
        <f>IF(U19=0,0,U19/TrRoad_act!U32*100)</f>
        <v>3.2970932836995823</v>
      </c>
      <c r="V62" s="141">
        <f>IF(V19=0,0,V19/TrRoad_act!V32*100)</f>
        <v>3.2900015790821815</v>
      </c>
      <c r="W62" s="141">
        <f>IF(W19=0,0,W19/TrRoad_act!W32*100)</f>
        <v>3.1685092220960649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8.2710576828448925</v>
      </c>
      <c r="C63" s="130">
        <f>IF(C21=0,0,C21/TrRoad_act!C33*100)</f>
        <v>7.9730261052778859</v>
      </c>
      <c r="D63" s="130">
        <f>IF(D21=0,0,D21/TrRoad_act!D33*100)</f>
        <v>7.8288562064384362</v>
      </c>
      <c r="E63" s="130">
        <f>IF(E21=0,0,E21/TrRoad_act!E33*100)</f>
        <v>7.6488435495277747</v>
      </c>
      <c r="F63" s="130">
        <f>IF(F21=0,0,F21/TrRoad_act!F33*100)</f>
        <v>7.4715822385259143</v>
      </c>
      <c r="G63" s="130">
        <f>IF(G21=0,0,G21/TrRoad_act!G33*100)</f>
        <v>7.3619994197416121</v>
      </c>
      <c r="H63" s="130">
        <f>IF(H21=0,0,H21/TrRoad_act!H33*100)</f>
        <v>7.2389226219307625</v>
      </c>
      <c r="I63" s="130">
        <f>IF(I21=0,0,I21/TrRoad_act!I33*100)</f>
        <v>7.1250474010191658</v>
      </c>
      <c r="J63" s="130">
        <f>IF(J21=0,0,J21/TrRoad_act!J33*100)</f>
        <v>7.0619672656928767</v>
      </c>
      <c r="K63" s="130">
        <f>IF(K21=0,0,K21/TrRoad_act!K33*100)</f>
        <v>7.0523936307418253</v>
      </c>
      <c r="L63" s="130">
        <f>IF(L21=0,0,L21/TrRoad_act!L33*100)</f>
        <v>6.9101439086909995</v>
      </c>
      <c r="M63" s="130">
        <f>IF(M21=0,0,M21/TrRoad_act!M33*100)</f>
        <v>6.8673819914325733</v>
      </c>
      <c r="N63" s="130">
        <f>IF(N21=0,0,N21/TrRoad_act!N33*100)</f>
        <v>6.7908565105417571</v>
      </c>
      <c r="O63" s="130">
        <f>IF(O21=0,0,O21/TrRoad_act!O33*100)</f>
        <v>6.6786389930586703</v>
      </c>
      <c r="P63" s="130">
        <f>IF(P21=0,0,P21/TrRoad_act!P33*100)</f>
        <v>6.5844084089211776</v>
      </c>
      <c r="Q63" s="130">
        <f>IF(Q21=0,0,Q21/TrRoad_act!Q33*100)</f>
        <v>6.498696404748193</v>
      </c>
      <c r="R63" s="130">
        <f>IF(R21=0,0,R21/TrRoad_act!R33*100)</f>
        <v>6.3402326416984272</v>
      </c>
      <c r="S63" s="130">
        <f>IF(S21=0,0,S21/TrRoad_act!S33*100)</f>
        <v>6.2259319200977208</v>
      </c>
      <c r="T63" s="130">
        <f>IF(T21=0,0,T21/TrRoad_act!T33*100)</f>
        <v>6.1265461615902845</v>
      </c>
      <c r="U63" s="130">
        <f>IF(U21=0,0,U21/TrRoad_act!U33*100)</f>
        <v>5.9773660673355336</v>
      </c>
      <c r="V63" s="130">
        <f>IF(V21=0,0,V21/TrRoad_act!V33*100)</f>
        <v>5.8578017220941767</v>
      </c>
      <c r="W63" s="130">
        <f>IF(W21=0,0,W21/TrRoad_act!W33*100)</f>
        <v>5.8218764600482631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8.1290807686292421</v>
      </c>
      <c r="C64" s="96">
        <f>IF(C22=0,0,C22/TrRoad_act!C34*100)</f>
        <v>7.9644685663735375</v>
      </c>
      <c r="D64" s="96">
        <f>IF(D22=0,0,D22/TrRoad_act!D34*100)</f>
        <v>7.8997387107370542</v>
      </c>
      <c r="E64" s="96">
        <f>IF(E22=0,0,E22/TrRoad_act!E34*100)</f>
        <v>7.8422187613008845</v>
      </c>
      <c r="F64" s="96">
        <f>IF(F22=0,0,F22/TrRoad_act!F34*100)</f>
        <v>7.7842390376114414</v>
      </c>
      <c r="G64" s="96">
        <f>IF(G22=0,0,G22/TrRoad_act!G34*100)</f>
        <v>7.7170873825108952</v>
      </c>
      <c r="H64" s="96">
        <f>IF(H22=0,0,H22/TrRoad_act!H34*100)</f>
        <v>7.646729129415311</v>
      </c>
      <c r="I64" s="96">
        <f>IF(I22=0,0,I22/TrRoad_act!I34*100)</f>
        <v>7.5728392343281614</v>
      </c>
      <c r="J64" s="96">
        <f>IF(J22=0,0,J22/TrRoad_act!J34*100)</f>
        <v>7.5026869581701234</v>
      </c>
      <c r="K64" s="96">
        <f>IF(K22=0,0,K22/TrRoad_act!K34*100)</f>
        <v>7.3740960375012428</v>
      </c>
      <c r="L64" s="96">
        <f>IF(L22=0,0,L22/TrRoad_act!L34*100)</f>
        <v>7.2403243687567533</v>
      </c>
      <c r="M64" s="96">
        <f>IF(M22=0,0,M22/TrRoad_act!M34*100)</f>
        <v>7.0942038249656489</v>
      </c>
      <c r="N64" s="96">
        <f>IF(N22=0,0,N22/TrRoad_act!N34*100)</f>
        <v>6.9647080804365311</v>
      </c>
      <c r="O64" s="96">
        <f>IF(O22=0,0,O22/TrRoad_act!O34*100)</f>
        <v>6.8386353509154949</v>
      </c>
      <c r="P64" s="96">
        <f>IF(P22=0,0,P22/TrRoad_act!P34*100)</f>
        <v>6.6885624787390494</v>
      </c>
      <c r="Q64" s="96">
        <f>IF(Q22=0,0,Q22/TrRoad_act!Q34*100)</f>
        <v>6.5187602038981458</v>
      </c>
      <c r="R64" s="96">
        <f>IF(R22=0,0,R22/TrRoad_act!R34*100)</f>
        <v>6.3415277541593404</v>
      </c>
      <c r="S64" s="96">
        <f>IF(S22=0,0,S22/TrRoad_act!S34*100)</f>
        <v>6.1703958222215398</v>
      </c>
      <c r="T64" s="96">
        <f>IF(T22=0,0,T22/TrRoad_act!T34*100)</f>
        <v>6.0025811685632302</v>
      </c>
      <c r="U64" s="96">
        <f>IF(U22=0,0,U22/TrRoad_act!U34*100)</f>
        <v>5.8701386609310777</v>
      </c>
      <c r="V64" s="96">
        <f>IF(V22=0,0,V22/TrRoad_act!V34*100)</f>
        <v>5.7598832976019754</v>
      </c>
      <c r="W64" s="96">
        <f>IF(W22=0,0,W22/TrRoad_act!W34*100)</f>
        <v>5.6282941309606036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8.4429559165172723</v>
      </c>
      <c r="C65" s="96">
        <f>IF(C24=0,0,C24/TrRoad_act!C35*100)</f>
        <v>7.9898300197814489</v>
      </c>
      <c r="D65" s="96">
        <f>IF(D24=0,0,D24/TrRoad_act!D35*100)</f>
        <v>7.7704873599250446</v>
      </c>
      <c r="E65" s="96">
        <f>IF(E24=0,0,E24/TrRoad_act!E35*100)</f>
        <v>7.4973033171963719</v>
      </c>
      <c r="F65" s="96">
        <f>IF(F24=0,0,F24/TrRoad_act!F35*100)</f>
        <v>7.2449211627381258</v>
      </c>
      <c r="G65" s="96">
        <f>IF(G24=0,0,G24/TrRoad_act!G35*100)</f>
        <v>7.1259849851042709</v>
      </c>
      <c r="H65" s="96">
        <f>IF(H24=0,0,H24/TrRoad_act!H35*100)</f>
        <v>6.9991192100505115</v>
      </c>
      <c r="I65" s="96">
        <f>IF(I24=0,0,I24/TrRoad_act!I35*100)</f>
        <v>6.8880173598790746</v>
      </c>
      <c r="J65" s="96">
        <f>IF(J24=0,0,J24/TrRoad_act!J35*100)</f>
        <v>6.8605689063028112</v>
      </c>
      <c r="K65" s="96">
        <f>IF(K24=0,0,K24/TrRoad_act!K35*100)</f>
        <v>6.9245870300501018</v>
      </c>
      <c r="L65" s="96">
        <f>IF(L24=0,0,L24/TrRoad_act!L35*100)</f>
        <v>6.7883061574565629</v>
      </c>
      <c r="M65" s="96">
        <f>IF(M24=0,0,M24/TrRoad_act!M35*100)</f>
        <v>6.7868896732457911</v>
      </c>
      <c r="N65" s="96">
        <f>IF(N24=0,0,N24/TrRoad_act!N35*100)</f>
        <v>6.7360246860278155</v>
      </c>
      <c r="O65" s="96">
        <f>IF(O24=0,0,O24/TrRoad_act!O35*100)</f>
        <v>6.6307158873222392</v>
      </c>
      <c r="P65" s="96">
        <f>IF(P24=0,0,P24/TrRoad_act!P35*100)</f>
        <v>6.5571987289218443</v>
      </c>
      <c r="Q65" s="96">
        <f>IF(Q24=0,0,Q24/TrRoad_act!Q35*100)</f>
        <v>6.5042077118074211</v>
      </c>
      <c r="R65" s="96">
        <f>IF(R24=0,0,R24/TrRoad_act!R35*100)</f>
        <v>6.3559704227839671</v>
      </c>
      <c r="S65" s="96">
        <f>IF(S24=0,0,S24/TrRoad_act!S35*100)</f>
        <v>6.2691566199406106</v>
      </c>
      <c r="T65" s="96">
        <f>IF(T24=0,0,T24/TrRoad_act!T35*100)</f>
        <v>6.208320831228634</v>
      </c>
      <c r="U65" s="96">
        <f>IF(U24=0,0,U24/TrRoad_act!U35*100)</f>
        <v>6.0677082592722238</v>
      </c>
      <c r="V65" s="96">
        <f>IF(V24=0,0,V24/TrRoad_act!V35*100)</f>
        <v>5.9802423725746072</v>
      </c>
      <c r="W65" s="96">
        <f>IF(W24=0,0,W24/TrRoad_act!W35*100)</f>
        <v>6.0522851971505425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7.5487803348484528</v>
      </c>
      <c r="C66" s="96">
        <f>IF(C26=0,0,C26/TrRoad_act!C36*100)</f>
        <v>7.47604718119059</v>
      </c>
      <c r="D66" s="96">
        <f>IF(D26=0,0,D26/TrRoad_act!D36*100)</f>
        <v>7.4705869131546461</v>
      </c>
      <c r="E66" s="96">
        <f>IF(E26=0,0,E26/TrRoad_act!E36*100)</f>
        <v>7.4624168950769887</v>
      </c>
      <c r="F66" s="96">
        <f>IF(F26=0,0,F26/TrRoad_act!F36*100)</f>
        <v>7.456022366637197</v>
      </c>
      <c r="G66" s="96">
        <f>IF(G26=0,0,G26/TrRoad_act!G36*100)</f>
        <v>7.4458292618173259</v>
      </c>
      <c r="H66" s="96">
        <f>IF(H26=0,0,H26/TrRoad_act!H36*100)</f>
        <v>7.4340940079821269</v>
      </c>
      <c r="I66" s="96">
        <f>IF(I26=0,0,I26/TrRoad_act!I36*100)</f>
        <v>8.1115953481377829</v>
      </c>
      <c r="J66" s="96">
        <f>IF(J26=0,0,J26/TrRoad_act!J36*100)</f>
        <v>7.2920261716458583</v>
      </c>
      <c r="K66" s="96">
        <f>IF(K26=0,0,K26/TrRoad_act!K36*100)</f>
        <v>5.7839651669580725</v>
      </c>
      <c r="L66" s="96">
        <f>IF(L26=0,0,L26/TrRoad_act!L36*100)</f>
        <v>6.5788733743870269</v>
      </c>
      <c r="M66" s="96">
        <f>IF(M26=0,0,M26/TrRoad_act!M36*100)</f>
        <v>6.8618532541263919</v>
      </c>
      <c r="N66" s="96">
        <f>IF(N26=0,0,N26/TrRoad_act!N36*100)</f>
        <v>6.8281368736789911</v>
      </c>
      <c r="O66" s="96">
        <f>IF(O26=0,0,O26/TrRoad_act!O36*100)</f>
        <v>7.0909759795578493</v>
      </c>
      <c r="P66" s="96">
        <f>IF(P26=0,0,P26/TrRoad_act!P36*100)</f>
        <v>6.9158921422575768</v>
      </c>
      <c r="Q66" s="96">
        <f>IF(Q26=0,0,Q26/TrRoad_act!Q36*100)</f>
        <v>6.4128504467039482</v>
      </c>
      <c r="R66" s="96">
        <f>IF(R26=0,0,R26/TrRoad_act!R36*100)</f>
        <v>6.0322351483180539</v>
      </c>
      <c r="S66" s="96">
        <f>IF(S26=0,0,S26/TrRoad_act!S36*100)</f>
        <v>5.6405348210829809</v>
      </c>
      <c r="T66" s="96">
        <f>IF(T26=0,0,T26/TrRoad_act!T36*100)</f>
        <v>5.6979233804869978</v>
      </c>
      <c r="U66" s="96">
        <f>IF(U26=0,0,U26/TrRoad_act!U36*100)</f>
        <v>5.2885147315568899</v>
      </c>
      <c r="V66" s="96">
        <f>IF(V26=0,0,V26/TrRoad_act!V36*100)</f>
        <v>4.455024681927032</v>
      </c>
      <c r="W66" s="96">
        <f>IF(W26=0,0,W26/TrRoad_act!W36*100)</f>
        <v>5.585310901135216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7.5684606245971144</v>
      </c>
      <c r="J67" s="96">
        <f>IF(J27=0,0,J27/TrRoad_act!J37*100)</f>
        <v>7.2720299307382286</v>
      </c>
      <c r="K67" s="96">
        <f>IF(K27=0,0,K27/TrRoad_act!K37*100)</f>
        <v>7.0302335174683979</v>
      </c>
      <c r="L67" s="96">
        <f>IF(L27=0,0,L27/TrRoad_act!L37*100)</f>
        <v>6.9510546890533185</v>
      </c>
      <c r="M67" s="96">
        <f>IF(M27=0,0,M27/TrRoad_act!M37*100)</f>
        <v>6.8522570059784629</v>
      </c>
      <c r="N67" s="96">
        <f>IF(N27=0,0,N27/TrRoad_act!N37*100)</f>
        <v>6.7446486584516308</v>
      </c>
      <c r="O67" s="96">
        <f>IF(O27=0,0,O27/TrRoad_act!O37*100)</f>
        <v>6.6432870364744181</v>
      </c>
      <c r="P67" s="96">
        <f>IF(P27=0,0,P27/TrRoad_act!P37*100)</f>
        <v>6.5206457573785297</v>
      </c>
      <c r="Q67" s="96">
        <f>IF(Q27=0,0,Q27/TrRoad_act!Q37*100)</f>
        <v>6.3252569366077704</v>
      </c>
      <c r="R67" s="96">
        <f>IF(R27=0,0,R27/TrRoad_act!R37*100)</f>
        <v>5.5932261931191904</v>
      </c>
      <c r="S67" s="96">
        <f>IF(S27=0,0,S27/TrRoad_act!S37*100)</f>
        <v>5.5277315078259708</v>
      </c>
      <c r="T67" s="96">
        <f>IF(T27=0,0,T27/TrRoad_act!T37*100)</f>
        <v>5.4524426033364826</v>
      </c>
      <c r="U67" s="96">
        <f>IF(U27=0,0,U27/TrRoad_act!U37*100)</f>
        <v>5.4078352715532212</v>
      </c>
      <c r="V67" s="96">
        <f>IF(V27=0,0,V27/TrRoad_act!V37*100)</f>
        <v>5.3737386056460688</v>
      </c>
      <c r="W67" s="96">
        <f>IF(W27=0,0,W27/TrRoad_act!W37*100)</f>
        <v>5.2866883912188962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2.8689737970947404</v>
      </c>
      <c r="O68" s="96">
        <f>IF(O29=0,0,O29/TrRoad_act!O38*100)</f>
        <v>3.0021620777595266</v>
      </c>
      <c r="P68" s="96">
        <f>IF(P29=0,0,P29/TrRoad_act!P38*100)</f>
        <v>2.9209341053796427</v>
      </c>
      <c r="Q68" s="96">
        <f>IF(Q29=0,0,Q29/TrRoad_act!Q38*100)</f>
        <v>3.283900420422603</v>
      </c>
      <c r="R68" s="96">
        <f>IF(R29=0,0,R29/TrRoad_act!R38*100)</f>
        <v>3.4785968531132507</v>
      </c>
      <c r="S68" s="96">
        <f>IF(S29=0,0,S29/TrRoad_act!S38*100)</f>
        <v>3.5716818348958839</v>
      </c>
      <c r="T68" s="96">
        <f>IF(T29=0,0,T29/TrRoad_act!T38*100)</f>
        <v>3.6875879120932895</v>
      </c>
      <c r="U68" s="96">
        <f>IF(U29=0,0,U29/TrRoad_act!U38*100)</f>
        <v>3.6359071760595789</v>
      </c>
      <c r="V68" s="96">
        <f>IF(V29=0,0,V29/TrRoad_act!V38*100)</f>
        <v>3.4572980818156949</v>
      </c>
      <c r="W68" s="96">
        <f>IF(W29=0,0,W29/TrRoad_act!W38*100)</f>
        <v>3.2575644994882054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1.2905306401888079</v>
      </c>
      <c r="I69" s="96">
        <f>IF(I32=0,0,I32/TrRoad_act!I39*100)</f>
        <v>1.2878189852413826</v>
      </c>
      <c r="J69" s="96">
        <f>IF(J32=0,0,J32/TrRoad_act!J39*100)</f>
        <v>1.2735116532502753</v>
      </c>
      <c r="K69" s="96">
        <f>IF(K32=0,0,K32/TrRoad_act!K39*100)</f>
        <v>1.2734497475968862</v>
      </c>
      <c r="L69" s="96">
        <f>IF(L32=0,0,L32/TrRoad_act!L39*100)</f>
        <v>1.2724357715579493</v>
      </c>
      <c r="M69" s="96">
        <f>IF(M32=0,0,M32/TrRoad_act!M39*100)</f>
        <v>1.2678867376154368</v>
      </c>
      <c r="N69" s="96">
        <f>IF(N32=0,0,N32/TrRoad_act!N39*100)</f>
        <v>1.2511254187725798</v>
      </c>
      <c r="O69" s="96">
        <f>IF(O32=0,0,O32/TrRoad_act!O39*100)</f>
        <v>1.326969261452408</v>
      </c>
      <c r="P69" s="96">
        <f>IF(P32=0,0,P32/TrRoad_act!P39*100)</f>
        <v>1.3624513805988427</v>
      </c>
      <c r="Q69" s="96">
        <f>IF(Q32=0,0,Q32/TrRoad_act!Q39*100)</f>
        <v>1.4138534641698699</v>
      </c>
      <c r="R69" s="96">
        <f>IF(R32=0,0,R32/TrRoad_act!R39*100)</f>
        <v>1.4551680310940451</v>
      </c>
      <c r="S69" s="96">
        <f>IF(S32=0,0,S32/TrRoad_act!S39*100)</f>
        <v>1.4222091820891607</v>
      </c>
      <c r="T69" s="96">
        <f>IF(T32=0,0,T32/TrRoad_act!T39*100)</f>
        <v>1.4310167703504673</v>
      </c>
      <c r="U69" s="96">
        <f>IF(U32=0,0,U32/TrRoad_act!U39*100)</f>
        <v>1.4799750065041148</v>
      </c>
      <c r="V69" s="96">
        <f>IF(V32=0,0,V32/TrRoad_act!V39*100)</f>
        <v>1.534682291383537</v>
      </c>
      <c r="W69" s="96">
        <f>IF(W32=0,0,W32/TrRoad_act!W39*100)</f>
        <v>1.5340612370071995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57.147856677119776</v>
      </c>
      <c r="C70" s="130">
        <f>IF(C33=0,0,C33/TrRoad_act!C40*100)</f>
        <v>56.213224682513065</v>
      </c>
      <c r="D70" s="130">
        <f>IF(D33=0,0,D33/TrRoad_act!D40*100)</f>
        <v>55.815166400998237</v>
      </c>
      <c r="E70" s="130">
        <f>IF(E33=0,0,E33/TrRoad_act!E40*100)</f>
        <v>55.493224353624591</v>
      </c>
      <c r="F70" s="130">
        <f>IF(F33=0,0,F33/TrRoad_act!F40*100)</f>
        <v>55.198897406050193</v>
      </c>
      <c r="G70" s="130">
        <f>IF(G33=0,0,G33/TrRoad_act!G40*100)</f>
        <v>54.959697050827025</v>
      </c>
      <c r="H70" s="130">
        <f>IF(H33=0,0,H33/TrRoad_act!H40*100)</f>
        <v>54.789425750102758</v>
      </c>
      <c r="I70" s="130">
        <f>IF(I33=0,0,I33/TrRoad_act!I40*100)</f>
        <v>54.590365788014452</v>
      </c>
      <c r="J70" s="130">
        <f>IF(J33=0,0,J33/TrRoad_act!J40*100)</f>
        <v>54.302187005781875</v>
      </c>
      <c r="K70" s="130">
        <f>IF(K33=0,0,K33/TrRoad_act!K40*100)</f>
        <v>53.976434920112837</v>
      </c>
      <c r="L70" s="130">
        <f>IF(L33=0,0,L33/TrRoad_act!L40*100)</f>
        <v>53.898769714021789</v>
      </c>
      <c r="M70" s="130">
        <f>IF(M33=0,0,M33/TrRoad_act!M40*100)</f>
        <v>53.587232950372268</v>
      </c>
      <c r="N70" s="130">
        <f>IF(N33=0,0,N33/TrRoad_act!N40*100)</f>
        <v>53.536344969534113</v>
      </c>
      <c r="O70" s="130">
        <f>IF(O33=0,0,O33/TrRoad_act!O40*100)</f>
        <v>53.474406651068975</v>
      </c>
      <c r="P70" s="130">
        <f>IF(P33=0,0,P33/TrRoad_act!P40*100)</f>
        <v>53.58587871006678</v>
      </c>
      <c r="Q70" s="130">
        <f>IF(Q33=0,0,Q33/TrRoad_act!Q40*100)</f>
        <v>53.826651374482168</v>
      </c>
      <c r="R70" s="130">
        <f>IF(R33=0,0,R33/TrRoad_act!R40*100)</f>
        <v>54.150230433919013</v>
      </c>
      <c r="S70" s="130">
        <f>IF(S33=0,0,S33/TrRoad_act!S40*100)</f>
        <v>54.489472919367529</v>
      </c>
      <c r="T70" s="130">
        <f>IF(T33=0,0,T33/TrRoad_act!T40*100)</f>
        <v>54.644306638245901</v>
      </c>
      <c r="U70" s="130">
        <f>IF(U33=0,0,U33/TrRoad_act!U40*100)</f>
        <v>54.728032723152175</v>
      </c>
      <c r="V70" s="130">
        <f>IF(V33=0,0,V33/TrRoad_act!V40*100)</f>
        <v>55.512475032797994</v>
      </c>
      <c r="W70" s="130">
        <f>IF(W33=0,0,W33/TrRoad_act!W40*100)</f>
        <v>55.365721665068811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18.023502400603316</v>
      </c>
      <c r="C71" s="97">
        <f>IF(C34=0,0,C34/TrRoad_act!C41*100)</f>
        <v>18.007599251889641</v>
      </c>
      <c r="D71" s="97">
        <f>IF(D34=0,0,D34/TrRoad_act!D41*100)</f>
        <v>17.998602068016879</v>
      </c>
      <c r="E71" s="97">
        <f>IF(E34=0,0,E34/TrRoad_act!E41*100)</f>
        <v>17.994917679107804</v>
      </c>
      <c r="F71" s="97">
        <f>IF(F34=0,0,F34/TrRoad_act!F41*100)</f>
        <v>17.990663957658004</v>
      </c>
      <c r="G71" s="97">
        <f>IF(G34=0,0,G34/TrRoad_act!G41*100)</f>
        <v>17.988329747253285</v>
      </c>
      <c r="H71" s="97">
        <f>IF(H34=0,0,H34/TrRoad_act!H41*100)</f>
        <v>17.98560398732333</v>
      </c>
      <c r="I71" s="97">
        <f>IF(I34=0,0,I34/TrRoad_act!I41*100)</f>
        <v>17.982424420597241</v>
      </c>
      <c r="J71" s="97">
        <f>IF(J34=0,0,J34/TrRoad_act!J41*100)</f>
        <v>17.978758444180695</v>
      </c>
      <c r="K71" s="97">
        <f>IF(K34=0,0,K34/TrRoad_act!K41*100)</f>
        <v>17.974457289486246</v>
      </c>
      <c r="L71" s="97">
        <f>IF(L34=0,0,L34/TrRoad_act!L41*100)</f>
        <v>17.968352277446996</v>
      </c>
      <c r="M71" s="97">
        <f>IF(M34=0,0,M34/TrRoad_act!M41*100)</f>
        <v>17.960084929225268</v>
      </c>
      <c r="N71" s="97">
        <f>IF(N34=0,0,N34/TrRoad_act!N41*100)</f>
        <v>17.932067184445188</v>
      </c>
      <c r="O71" s="97">
        <f>IF(O34=0,0,O34/TrRoad_act!O41*100)</f>
        <v>17.916434524216371</v>
      </c>
      <c r="P71" s="97">
        <f>IF(P34=0,0,P34/TrRoad_act!P41*100)</f>
        <v>17.896526818743649</v>
      </c>
      <c r="Q71" s="97">
        <f>IF(Q34=0,0,Q34/TrRoad_act!Q41*100)</f>
        <v>17.871592353999006</v>
      </c>
      <c r="R71" s="97">
        <f>IF(R34=0,0,R34/TrRoad_act!R41*100)</f>
        <v>17.870902565359074</v>
      </c>
      <c r="S71" s="97">
        <f>IF(S34=0,0,S34/TrRoad_act!S41*100)</f>
        <v>17.837074438378682</v>
      </c>
      <c r="T71" s="97">
        <f>IF(T34=0,0,T34/TrRoad_act!T41*100)</f>
        <v>17.836232068830338</v>
      </c>
      <c r="U71" s="97">
        <f>IF(U34=0,0,U34/TrRoad_act!U41*100)</f>
        <v>17.754464278073378</v>
      </c>
      <c r="V71" s="97">
        <f>IF(V34=0,0,V34/TrRoad_act!V41*100)</f>
        <v>17.626471551435554</v>
      </c>
      <c r="W71" s="97">
        <f>IF(W34=0,0,W34/TrRoad_act!W41*100)</f>
        <v>17.186198068929741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57.424068218998656</v>
      </c>
      <c r="C72" s="97">
        <f>IF(C36=0,0,C36/TrRoad_act!C42*100)</f>
        <v>56.565445991161191</v>
      </c>
      <c r="D72" s="97">
        <f>IF(D36=0,0,D36/TrRoad_act!D42*100)</f>
        <v>56.169129387391934</v>
      </c>
      <c r="E72" s="97">
        <f>IF(E36=0,0,E36/TrRoad_act!E42*100)</f>
        <v>55.870529229950449</v>
      </c>
      <c r="F72" s="97">
        <f>IF(F36=0,0,F36/TrRoad_act!F42*100)</f>
        <v>55.619303098446736</v>
      </c>
      <c r="G72" s="97">
        <f>IF(G36=0,0,G36/TrRoad_act!G42*100)</f>
        <v>55.375539608787129</v>
      </c>
      <c r="H72" s="97">
        <f>IF(H36=0,0,H36/TrRoad_act!H42*100)</f>
        <v>55.158795231381021</v>
      </c>
      <c r="I72" s="97">
        <f>IF(I36=0,0,I36/TrRoad_act!I42*100)</f>
        <v>54.989657009054739</v>
      </c>
      <c r="J72" s="97">
        <f>IF(J36=0,0,J36/TrRoad_act!J42*100)</f>
        <v>54.713237796046585</v>
      </c>
      <c r="K72" s="97">
        <f>IF(K36=0,0,K36/TrRoad_act!K42*100)</f>
        <v>54.37842873233668</v>
      </c>
      <c r="L72" s="97">
        <f>IF(L36=0,0,L36/TrRoad_act!L42*100)</f>
        <v>54.212766792061629</v>
      </c>
      <c r="M72" s="97">
        <f>IF(M36=0,0,M36/TrRoad_act!M42*100)</f>
        <v>54.150815040881483</v>
      </c>
      <c r="N72" s="97">
        <f>IF(N36=0,0,N36/TrRoad_act!N42*100)</f>
        <v>54.155481522261283</v>
      </c>
      <c r="O72" s="97">
        <f>IF(O36=0,0,O36/TrRoad_act!O42*100)</f>
        <v>54.125331836689782</v>
      </c>
      <c r="P72" s="97">
        <f>IF(P36=0,0,P36/TrRoad_act!P42*100)</f>
        <v>54.218895679766774</v>
      </c>
      <c r="Q72" s="97">
        <f>IF(Q36=0,0,Q36/TrRoad_act!Q42*100)</f>
        <v>54.403253838701339</v>
      </c>
      <c r="R72" s="97">
        <f>IF(R36=0,0,R36/TrRoad_act!R42*100)</f>
        <v>54.636661816184272</v>
      </c>
      <c r="S72" s="97">
        <f>IF(S36=0,0,S36/TrRoad_act!S42*100)</f>
        <v>54.888551515997527</v>
      </c>
      <c r="T72" s="97">
        <f>IF(T36=0,0,T36/TrRoad_act!T42*100)</f>
        <v>55.148012524509127</v>
      </c>
      <c r="U72" s="97">
        <f>IF(U36=0,0,U36/TrRoad_act!U42*100)</f>
        <v>55.401896927384712</v>
      </c>
      <c r="V72" s="97">
        <f>IF(V36=0,0,V36/TrRoad_act!V42*100)</f>
        <v>55.674128039968764</v>
      </c>
      <c r="W72" s="97">
        <f>IF(W36=0,0,W36/TrRoad_act!W42*100)</f>
        <v>55.950915389622345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47.135589329761387</v>
      </c>
      <c r="C73" s="97">
        <f>IF(C38=0,0,C38/TrRoad_act!C43*100)</f>
        <v>45.367226111529121</v>
      </c>
      <c r="D73" s="97">
        <f>IF(D38=0,0,D38/TrRoad_act!D43*100)</f>
        <v>45.332680479946916</v>
      </c>
      <c r="E73" s="97">
        <f>IF(E38=0,0,E38/TrRoad_act!E43*100)</f>
        <v>45.202441584022957</v>
      </c>
      <c r="F73" s="97">
        <f>IF(F38=0,0,F38/TrRoad_act!F43*100)</f>
        <v>45.132025740121549</v>
      </c>
      <c r="G73" s="97">
        <f>IF(G38=0,0,G38/TrRoad_act!G43*100)</f>
        <v>45.022785871124576</v>
      </c>
      <c r="H73" s="97">
        <f>IF(H38=0,0,H38/TrRoad_act!H43*100)</f>
        <v>44.652919458883758</v>
      </c>
      <c r="I73" s="97">
        <f>IF(I38=0,0,I38/TrRoad_act!I43*100)</f>
        <v>44.472647784980865</v>
      </c>
      <c r="J73" s="97">
        <f>IF(J38=0,0,J38/TrRoad_act!J43*100)</f>
        <v>44.389483357300975</v>
      </c>
      <c r="K73" s="97">
        <f>IF(K38=0,0,K38/TrRoad_act!K43*100)</f>
        <v>44.289832711623511</v>
      </c>
      <c r="L73" s="97">
        <f>IF(L38=0,0,L38/TrRoad_act!L43*100)</f>
        <v>44.279859000992914</v>
      </c>
      <c r="M73" s="97">
        <f>IF(M38=0,0,M38/TrRoad_act!M43*100)</f>
        <v>44.158814813350418</v>
      </c>
      <c r="N73" s="97">
        <f>IF(N38=0,0,N38/TrRoad_act!N43*100)</f>
        <v>44.037472345189386</v>
      </c>
      <c r="O73" s="97">
        <f>IF(O38=0,0,O38/TrRoad_act!O43*100)</f>
        <v>43.988410638992349</v>
      </c>
      <c r="P73" s="97">
        <f>IF(P38=0,0,P38/TrRoad_act!P43*100)</f>
        <v>43.880358566148523</v>
      </c>
      <c r="Q73" s="97">
        <f>IF(Q38=0,0,Q38/TrRoad_act!Q43*100)</f>
        <v>43.74302132728576</v>
      </c>
      <c r="R73" s="97">
        <f>IF(R38=0,0,R38/TrRoad_act!R43*100)</f>
        <v>43.733104386034952</v>
      </c>
      <c r="S73" s="97">
        <f>IF(S38=0,0,S38/TrRoad_act!S43*100)</f>
        <v>43.755306371112496</v>
      </c>
      <c r="T73" s="97">
        <f>IF(T38=0,0,T38/TrRoad_act!T43*100)</f>
        <v>43.702107352120201</v>
      </c>
      <c r="U73" s="97">
        <f>IF(U38=0,0,U38/TrRoad_act!U43*100)</f>
        <v>43.718656615523379</v>
      </c>
      <c r="V73" s="97">
        <f>IF(V38=0,0,V38/TrRoad_act!V43*100)</f>
        <v>43.703759947260615</v>
      </c>
      <c r="W73" s="97">
        <f>IF(W38=0,0,W38/TrRoad_act!W43*100)</f>
        <v>43.742746080969283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47.581603481813382</v>
      </c>
      <c r="C74" s="97">
        <f>IF(C39=0,0,C39/TrRoad_act!C44*100)</f>
        <v>43.049611617153325</v>
      </c>
      <c r="D74" s="97">
        <f>IF(D39=0,0,D39/TrRoad_act!D44*100)</f>
        <v>43.765385723499541</v>
      </c>
      <c r="E74" s="97">
        <f>IF(E39=0,0,E39/TrRoad_act!E44*100)</f>
        <v>43.584132647926012</v>
      </c>
      <c r="F74" s="97">
        <f>IF(F39=0,0,F39/TrRoad_act!F44*100)</f>
        <v>40.656908473378117</v>
      </c>
      <c r="G74" s="97">
        <f>IF(G39=0,0,G39/TrRoad_act!G44*100)</f>
        <v>40.763327360928479</v>
      </c>
      <c r="H74" s="97">
        <f>IF(H39=0,0,H39/TrRoad_act!H44*100)</f>
        <v>44.085799452329738</v>
      </c>
      <c r="I74" s="97">
        <f>IF(I39=0,0,I39/TrRoad_act!I44*100)</f>
        <v>42.22138665042629</v>
      </c>
      <c r="J74" s="97">
        <f>IF(J39=0,0,J39/TrRoad_act!J44*100)</f>
        <v>42.764894865748218</v>
      </c>
      <c r="K74" s="97">
        <f>IF(K39=0,0,K39/TrRoad_act!K44*100)</f>
        <v>42.545343212976469</v>
      </c>
      <c r="L74" s="97">
        <f>IF(L39=0,0,L39/TrRoad_act!L44*100)</f>
        <v>46.107451222895293</v>
      </c>
      <c r="M74" s="97">
        <f>IF(M39=0,0,M39/TrRoad_act!M44*100)</f>
        <v>45.348716061597273</v>
      </c>
      <c r="N74" s="97">
        <f>IF(N39=0,0,N39/TrRoad_act!N44*100)</f>
        <v>45.217492092519059</v>
      </c>
      <c r="O74" s="97">
        <f>IF(O39=0,0,O39/TrRoad_act!O44*100)</f>
        <v>46.475954496431996</v>
      </c>
      <c r="P74" s="97">
        <f>IF(P39=0,0,P39/TrRoad_act!P44*100)</f>
        <v>47.24346166761184</v>
      </c>
      <c r="Q74" s="97">
        <f>IF(Q39=0,0,Q39/TrRoad_act!Q44*100)</f>
        <v>48.249219492556506</v>
      </c>
      <c r="R74" s="97">
        <f>IF(R39=0,0,R39/TrRoad_act!R44*100)</f>
        <v>49.97042253891447</v>
      </c>
      <c r="S74" s="97">
        <f>IF(S39=0,0,S39/TrRoad_act!S44*100)</f>
        <v>52.001521158237672</v>
      </c>
      <c r="T74" s="97">
        <f>IF(T39=0,0,T39/TrRoad_act!T44*100)</f>
        <v>51.371893799505287</v>
      </c>
      <c r="U74" s="97">
        <f>IF(U39=0,0,U39/TrRoad_act!U44*100)</f>
        <v>51.543576431918382</v>
      </c>
      <c r="V74" s="97">
        <f>IF(V39=0,0,V39/TrRoad_act!V44*100)</f>
        <v>57.119511130681687</v>
      </c>
      <c r="W74" s="97">
        <f>IF(W39=0,0,W39/TrRoad_act!W44*100)</f>
        <v>56.470743948236191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32.606798691908594</v>
      </c>
      <c r="C75" s="97">
        <f>IF(C41=0,0,C41/TrRoad_act!C45*100)</f>
        <v>30.800000525811281</v>
      </c>
      <c r="D75" s="97">
        <f>IF(D41=0,0,D41/TrRoad_act!D45*100)</f>
        <v>30.253101785317369</v>
      </c>
      <c r="E75" s="97">
        <f>IF(E41=0,0,E41/TrRoad_act!E45*100)</f>
        <v>29.849847171190024</v>
      </c>
      <c r="F75" s="97">
        <f>IF(F41=0,0,F41/TrRoad_act!F45*100)</f>
        <v>29.515040427732352</v>
      </c>
      <c r="G75" s="97">
        <f>IF(G41=0,0,G41/TrRoad_act!G45*100)</f>
        <v>29.359903976050877</v>
      </c>
      <c r="H75" s="97">
        <f>IF(H41=0,0,H41/TrRoad_act!H45*100)</f>
        <v>29.232496759096659</v>
      </c>
      <c r="I75" s="97">
        <f>IF(I41=0,0,I41/TrRoad_act!I45*100)</f>
        <v>29.093353521896148</v>
      </c>
      <c r="J75" s="97">
        <f>IF(J41=0,0,J41/TrRoad_act!J45*100)</f>
        <v>29.014092204078178</v>
      </c>
      <c r="K75" s="97">
        <f>IF(K41=0,0,K41/TrRoad_act!K45*100)</f>
        <v>28.899139948722517</v>
      </c>
      <c r="L75" s="97">
        <f>IF(L41=0,0,L41/TrRoad_act!L45*100)</f>
        <v>28.760088264171358</v>
      </c>
      <c r="M75" s="97">
        <f>IF(M41=0,0,M41/TrRoad_act!M45*100)</f>
        <v>28.730102684370152</v>
      </c>
      <c r="N75" s="97">
        <f>IF(N41=0,0,N41/TrRoad_act!N45*100)</f>
        <v>28.492388879446668</v>
      </c>
      <c r="O75" s="97">
        <f>IF(O41=0,0,O41/TrRoad_act!O45*100)</f>
        <v>28.484431826608052</v>
      </c>
      <c r="P75" s="97">
        <f>IF(P41=0,0,P41/TrRoad_act!P45*100)</f>
        <v>28.448524764433103</v>
      </c>
      <c r="Q75" s="97">
        <f>IF(Q41=0,0,Q41/TrRoad_act!Q45*100)</f>
        <v>28.471217235017239</v>
      </c>
      <c r="R75" s="97">
        <f>IF(R41=0,0,R41/TrRoad_act!R45*100)</f>
        <v>28.616809766741941</v>
      </c>
      <c r="S75" s="97">
        <f>IF(S41=0,0,S41/TrRoad_act!S45*100)</f>
        <v>28.787885927960389</v>
      </c>
      <c r="T75" s="97">
        <f>IF(T41=0,0,T41/TrRoad_act!T45*100)</f>
        <v>28.921130480380391</v>
      </c>
      <c r="U75" s="97">
        <f>IF(U41=0,0,U41/TrRoad_act!U45*100)</f>
        <v>28.988773277145619</v>
      </c>
      <c r="V75" s="97">
        <f>IF(V41=0,0,V41/TrRoad_act!V45*100)</f>
        <v>29.009798395803454</v>
      </c>
      <c r="W75" s="97">
        <f>IF(W41=0,0,W41/TrRoad_act!W45*100)</f>
        <v>28.972390060694231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18.62549705203346</v>
      </c>
      <c r="C76" s="32">
        <f>IF(C42=0,0,C42/TrRoad_act!C46*100)</f>
        <v>18.152485613006569</v>
      </c>
      <c r="D76" s="32">
        <f>IF(D42=0,0,D42/TrRoad_act!D46*100)</f>
        <v>17.937639241967609</v>
      </c>
      <c r="E76" s="32">
        <f>IF(E42=0,0,E42/TrRoad_act!E46*100)</f>
        <v>17.618172408755655</v>
      </c>
      <c r="F76" s="32">
        <f>IF(F42=0,0,F42/TrRoad_act!F46*100)</f>
        <v>17.744149734586454</v>
      </c>
      <c r="G76" s="32">
        <f>IF(G42=0,0,G42/TrRoad_act!G46*100)</f>
        <v>17.631992029927559</v>
      </c>
      <c r="H76" s="32">
        <f>IF(H42=0,0,H42/TrRoad_act!H46*100)</f>
        <v>17.414050258344748</v>
      </c>
      <c r="I76" s="32">
        <f>IF(I42=0,0,I42/TrRoad_act!I46*100)</f>
        <v>17.32389056397928</v>
      </c>
      <c r="J76" s="32">
        <f>IF(J42=0,0,J42/TrRoad_act!J46*100)</f>
        <v>17.200583851264334</v>
      </c>
      <c r="K76" s="32">
        <f>IF(K42=0,0,K42/TrRoad_act!K46*100)</f>
        <v>16.54077361928346</v>
      </c>
      <c r="L76" s="32">
        <f>IF(L42=0,0,L42/TrRoad_act!L46*100)</f>
        <v>16.427935290933863</v>
      </c>
      <c r="M76" s="32">
        <f>IF(M42=0,0,M42/TrRoad_act!M46*100)</f>
        <v>16.349833920519099</v>
      </c>
      <c r="N76" s="32">
        <f>IF(N42=0,0,N42/TrRoad_act!N46*100)</f>
        <v>15.970401641843992</v>
      </c>
      <c r="O76" s="32">
        <f>IF(O42=0,0,O42/TrRoad_act!O46*100)</f>
        <v>15.763957439878521</v>
      </c>
      <c r="P76" s="32">
        <f>IF(P42=0,0,P42/TrRoad_act!P46*100)</f>
        <v>15.544761617079425</v>
      </c>
      <c r="Q76" s="32">
        <f>IF(Q42=0,0,Q42/TrRoad_act!Q46*100)</f>
        <v>15.141029386242744</v>
      </c>
      <c r="R76" s="32">
        <f>IF(R42=0,0,R42/TrRoad_act!R46*100)</f>
        <v>15.210679756647275</v>
      </c>
      <c r="S76" s="32">
        <f>IF(S42=0,0,S42/TrRoad_act!S46*100)</f>
        <v>15.061426483161968</v>
      </c>
      <c r="T76" s="32">
        <f>IF(T42=0,0,T42/TrRoad_act!T46*100)</f>
        <v>14.910491979153962</v>
      </c>
      <c r="U76" s="32">
        <f>IF(U42=0,0,U42/TrRoad_act!U46*100)</f>
        <v>14.710525687412876</v>
      </c>
      <c r="V76" s="32">
        <f>IF(V42=0,0,V42/TrRoad_act!V46*100)</f>
        <v>15.053580683990198</v>
      </c>
      <c r="W76" s="32">
        <f>IF(W42=0,0,W42/TrRoad_act!W46*100)</f>
        <v>14.75037847168911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11.332069197844719</v>
      </c>
      <c r="C77" s="141">
        <f>IF(C43=0,0,C43/TrRoad_act!C47*100)</f>
        <v>10.953321369388897</v>
      </c>
      <c r="D77" s="141">
        <f>IF(D43=0,0,D43/TrRoad_act!D47*100)</f>
        <v>10.757276173831572</v>
      </c>
      <c r="E77" s="141">
        <f>IF(E43=0,0,E43/TrRoad_act!E47*100)</f>
        <v>10.487366598862696</v>
      </c>
      <c r="F77" s="141">
        <f>IF(F43=0,0,F43/TrRoad_act!F47*100)</f>
        <v>10.210073606260844</v>
      </c>
      <c r="G77" s="141">
        <f>IF(G43=0,0,G43/TrRoad_act!G47*100)</f>
        <v>10.074446299669916</v>
      </c>
      <c r="H77" s="141">
        <f>IF(H43=0,0,H43/TrRoad_act!H47*100)</f>
        <v>9.8868211543505655</v>
      </c>
      <c r="I77" s="141">
        <f>IF(I43=0,0,I43/TrRoad_act!I47*100)</f>
        <v>9.730364751785638</v>
      </c>
      <c r="J77" s="141">
        <f>IF(J43=0,0,J43/TrRoad_act!J47*100)</f>
        <v>9.7048130544071327</v>
      </c>
      <c r="K77" s="141">
        <f>IF(K43=0,0,K43/TrRoad_act!K47*100)</f>
        <v>9.7092734478977931</v>
      </c>
      <c r="L77" s="141">
        <f>IF(L43=0,0,L43/TrRoad_act!L47*100)</f>
        <v>9.6223650710905204</v>
      </c>
      <c r="M77" s="141">
        <f>IF(M43=0,0,M43/TrRoad_act!M47*100)</f>
        <v>9.6529102468728016</v>
      </c>
      <c r="N77" s="141">
        <f>IF(N43=0,0,N43/TrRoad_act!N47*100)</f>
        <v>9.5873188177196056</v>
      </c>
      <c r="O77" s="141">
        <f>IF(O43=0,0,O43/TrRoad_act!O47*100)</f>
        <v>9.4195978884903493</v>
      </c>
      <c r="P77" s="141">
        <f>IF(P43=0,0,P43/TrRoad_act!P47*100)</f>
        <v>9.2891662623414035</v>
      </c>
      <c r="Q77" s="141">
        <f>IF(Q43=0,0,Q43/TrRoad_act!Q47*100)</f>
        <v>9.1768825421453251</v>
      </c>
      <c r="R77" s="141">
        <f>IF(R43=0,0,R43/TrRoad_act!R47*100)</f>
        <v>9.1027425608019552</v>
      </c>
      <c r="S77" s="141">
        <f>IF(S43=0,0,S43/TrRoad_act!S47*100)</f>
        <v>8.9727221160890682</v>
      </c>
      <c r="T77" s="141">
        <f>IF(T43=0,0,T43/TrRoad_act!T47*100)</f>
        <v>8.8978144714493457</v>
      </c>
      <c r="U77" s="141">
        <f>IF(U43=0,0,U43/TrRoad_act!U47*100)</f>
        <v>8.7268623269675807</v>
      </c>
      <c r="V77" s="141">
        <f>IF(V43=0,0,V43/TrRoad_act!V47*100)</f>
        <v>8.6537236524048211</v>
      </c>
      <c r="W77" s="141">
        <f>IF(W43=0,0,W43/TrRoad_act!W47*100)</f>
        <v>8.7290097185073581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11.398524423035635</v>
      </c>
      <c r="C78" s="96">
        <f>IF(C44=0,0,C44/TrRoad_act!C48*100)</f>
        <v>11.312907979733897</v>
      </c>
      <c r="D78" s="96">
        <f>IF(D44=0,0,D44/TrRoad_act!D48*100)</f>
        <v>11.266559554568282</v>
      </c>
      <c r="E78" s="96">
        <f>IF(E44=0,0,E44/TrRoad_act!E48*100)</f>
        <v>11.20694644873744</v>
      </c>
      <c r="F78" s="96">
        <f>IF(F44=0,0,F44/TrRoad_act!F48*100)</f>
        <v>11.127841343567223</v>
      </c>
      <c r="G78" s="96">
        <f>IF(G44=0,0,G44/TrRoad_act!G48*100)</f>
        <v>11.043884043253694</v>
      </c>
      <c r="H78" s="96">
        <f>IF(H44=0,0,H44/TrRoad_act!H48*100)</f>
        <v>10.954527041392302</v>
      </c>
      <c r="I78" s="96">
        <f>IF(I44=0,0,I44/TrRoad_act!I48*100)</f>
        <v>10.869598163786879</v>
      </c>
      <c r="J78" s="96">
        <f>IF(J44=0,0,J44/TrRoad_act!J48*100)</f>
        <v>10.810178101026876</v>
      </c>
      <c r="K78" s="96">
        <f>IF(K44=0,0,K44/TrRoad_act!K48*100)</f>
        <v>10.727359447960689</v>
      </c>
      <c r="L78" s="96">
        <f>IF(L44=0,0,L44/TrRoad_act!L48*100)</f>
        <v>10.598526072869026</v>
      </c>
      <c r="M78" s="96">
        <f>IF(M44=0,0,M44/TrRoad_act!M48*100)</f>
        <v>10.457120948626555</v>
      </c>
      <c r="N78" s="96">
        <f>IF(N44=0,0,N44/TrRoad_act!N48*100)</f>
        <v>10.303804268943558</v>
      </c>
      <c r="O78" s="96">
        <f>IF(O44=0,0,O44/TrRoad_act!O48*100)</f>
        <v>10.093877313560384</v>
      </c>
      <c r="P78" s="96">
        <f>IF(P44=0,0,P44/TrRoad_act!P48*100)</f>
        <v>10.002314767344116</v>
      </c>
      <c r="Q78" s="96">
        <f>IF(Q44=0,0,Q44/TrRoad_act!Q48*100)</f>
        <v>9.9042597605166183</v>
      </c>
      <c r="R78" s="96">
        <f>IF(R44=0,0,R44/TrRoad_act!R48*100)</f>
        <v>9.8132223900783178</v>
      </c>
      <c r="S78" s="96">
        <f>IF(S44=0,0,S44/TrRoad_act!S48*100)</f>
        <v>9.7038277043638139</v>
      </c>
      <c r="T78" s="96">
        <f>IF(T44=0,0,T44/TrRoad_act!T48*100)</f>
        <v>9.5642244267463905</v>
      </c>
      <c r="U78" s="96">
        <f>IF(U44=0,0,U44/TrRoad_act!U48*100)</f>
        <v>9.401935707595575</v>
      </c>
      <c r="V78" s="96">
        <f>IF(V44=0,0,V44/TrRoad_act!V48*100)</f>
        <v>9.2725185762108726</v>
      </c>
      <c r="W78" s="96">
        <f>IF(W44=0,0,W44/TrRoad_act!W48*100)</f>
        <v>9.2454843430639109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11.321070809439441</v>
      </c>
      <c r="C79" s="96">
        <f>IF(C46=0,0,C46/TrRoad_act!C49*100)</f>
        <v>10.903360862068229</v>
      </c>
      <c r="D79" s="96">
        <f>IF(D46=0,0,D46/TrRoad_act!D49*100)</f>
        <v>10.699556592978389</v>
      </c>
      <c r="E79" s="96">
        <f>IF(E46=0,0,E46/TrRoad_act!E49*100)</f>
        <v>10.422983536197966</v>
      </c>
      <c r="F79" s="96">
        <f>IF(F46=0,0,F46/TrRoad_act!F49*100)</f>
        <v>10.145082550388119</v>
      </c>
      <c r="G79" s="96">
        <f>IF(G46=0,0,G46/TrRoad_act!G49*100)</f>
        <v>10.016702095976514</v>
      </c>
      <c r="H79" s="96">
        <f>IF(H46=0,0,H46/TrRoad_act!H49*100)</f>
        <v>9.8319406510487113</v>
      </c>
      <c r="I79" s="96">
        <f>IF(I46=0,0,I46/TrRoad_act!I49*100)</f>
        <v>9.6812024263653012</v>
      </c>
      <c r="J79" s="96">
        <f>IF(J46=0,0,J46/TrRoad_act!J49*100)</f>
        <v>9.6620503806514346</v>
      </c>
      <c r="K79" s="96">
        <f>IF(K46=0,0,K46/TrRoad_act!K49*100)</f>
        <v>9.6745946926421009</v>
      </c>
      <c r="L79" s="96">
        <f>IF(L46=0,0,L46/TrRoad_act!L49*100)</f>
        <v>9.5866518809633199</v>
      </c>
      <c r="M79" s="96">
        <f>IF(M46=0,0,M46/TrRoad_act!M49*100)</f>
        <v>9.6229045547966088</v>
      </c>
      <c r="N79" s="96">
        <f>IF(N46=0,0,N46/TrRoad_act!N49*100)</f>
        <v>9.559734254757652</v>
      </c>
      <c r="O79" s="96">
        <f>IF(O46=0,0,O46/TrRoad_act!O49*100)</f>
        <v>9.393656311918134</v>
      </c>
      <c r="P79" s="96">
        <f>IF(P46=0,0,P46/TrRoad_act!P49*100)</f>
        <v>9.2674988310677406</v>
      </c>
      <c r="Q79" s="96">
        <f>IF(Q46=0,0,Q46/TrRoad_act!Q49*100)</f>
        <v>9.1590014240773545</v>
      </c>
      <c r="R79" s="96">
        <f>IF(R46=0,0,R46/TrRoad_act!R49*100)</f>
        <v>9.0899088112329878</v>
      </c>
      <c r="S79" s="96">
        <f>IF(S46=0,0,S46/TrRoad_act!S49*100)</f>
        <v>8.9596972096753262</v>
      </c>
      <c r="T79" s="96">
        <f>IF(T46=0,0,T46/TrRoad_act!T49*100)</f>
        <v>8.8942901329798811</v>
      </c>
      <c r="U79" s="96">
        <f>IF(U46=0,0,U46/TrRoad_act!U49*100)</f>
        <v>8.7269449107684061</v>
      </c>
      <c r="V79" s="96">
        <f>IF(V46=0,0,V46/TrRoad_act!V49*100)</f>
        <v>8.6634314741342813</v>
      </c>
      <c r="W79" s="96">
        <f>IF(W46=0,0,W46/TrRoad_act!W49*100)</f>
        <v>8.7451411714946286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12.318556392287555</v>
      </c>
      <c r="C80" s="96">
        <f>IF(C48=0,0,C48/TrRoad_act!C50*100)</f>
        <v>11.947553602491698</v>
      </c>
      <c r="D80" s="96">
        <f>IF(D48=0,0,D48/TrRoad_act!D50*100)</f>
        <v>11.843122145797564</v>
      </c>
      <c r="E80" s="96">
        <f>IF(E48=0,0,E48/TrRoad_act!E50*100)</f>
        <v>11.746280287602309</v>
      </c>
      <c r="F80" s="96">
        <f>IF(F48=0,0,F48/TrRoad_act!F50*100)</f>
        <v>11.644940210217808</v>
      </c>
      <c r="G80" s="96">
        <f>IF(G48=0,0,G48/TrRoad_act!G50*100)</f>
        <v>11.564676224111606</v>
      </c>
      <c r="H80" s="96">
        <f>IF(H48=0,0,H48/TrRoad_act!H50*100)</f>
        <v>11.475818102910676</v>
      </c>
      <c r="I80" s="96">
        <f>IF(I48=0,0,I48/TrRoad_act!I50*100)</f>
        <v>11.329409307584431</v>
      </c>
      <c r="J80" s="96">
        <f>IF(J48=0,0,J48/TrRoad_act!J50*100)</f>
        <v>11.27340229624641</v>
      </c>
      <c r="K80" s="96">
        <f>IF(K48=0,0,K48/TrRoad_act!K50*100)</f>
        <v>11.173219882050724</v>
      </c>
      <c r="L80" s="96">
        <f>IF(L48=0,0,L48/TrRoad_act!L50*100)</f>
        <v>11.156526486515356</v>
      </c>
      <c r="M80" s="96">
        <f>IF(M48=0,0,M48/TrRoad_act!M50*100)</f>
        <v>11.13718681258108</v>
      </c>
      <c r="N80" s="96">
        <f>IF(N48=0,0,N48/TrRoad_act!N50*100)</f>
        <v>11.113749957945149</v>
      </c>
      <c r="O80" s="96">
        <f>IF(O48=0,0,O48/TrRoad_act!O50*100)</f>
        <v>11.091717353152847</v>
      </c>
      <c r="P80" s="96">
        <f>IF(P48=0,0,P48/TrRoad_act!P50*100)</f>
        <v>11.067286194729249</v>
      </c>
      <c r="Q80" s="96">
        <f>IF(Q48=0,0,Q48/TrRoad_act!Q50*100)</f>
        <v>11.048020919234443</v>
      </c>
      <c r="R80" s="96">
        <f>IF(R48=0,0,R48/TrRoad_act!R50*100)</f>
        <v>11.033032793602063</v>
      </c>
      <c r="S80" s="96">
        <f>IF(S48=0,0,S48/TrRoad_act!S50*100)</f>
        <v>11.010824982764602</v>
      </c>
      <c r="T80" s="96">
        <f>IF(T48=0,0,T48/TrRoad_act!T50*100)</f>
        <v>10.960153332156599</v>
      </c>
      <c r="U80" s="96">
        <f>IF(U48=0,0,U48/TrRoad_act!U50*100)</f>
        <v>10.929769870111624</v>
      </c>
      <c r="V80" s="96">
        <f>IF(V48=0,0,V48/TrRoad_act!V50*100)</f>
        <v>9.5737067998307577</v>
      </c>
      <c r="W80" s="96">
        <f>IF(W48=0,0,W48/TrRoad_act!W50*100)</f>
        <v>9.5596692831672065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11.548190257014085</v>
      </c>
      <c r="C81" s="96">
        <f>IF(C49=0,0,C49/TrRoad_act!C51*100)</f>
        <v>11.542948907268363</v>
      </c>
      <c r="D81" s="96">
        <f>IF(D49=0,0,D49/TrRoad_act!D51*100)</f>
        <v>11.527304415816433</v>
      </c>
      <c r="E81" s="96">
        <f>IF(E49=0,0,E49/TrRoad_act!E51*100)</f>
        <v>11.290947732021419</v>
      </c>
      <c r="F81" s="96">
        <f>IF(F49=0,0,F49/TrRoad_act!F51*100)</f>
        <v>11.275397546561839</v>
      </c>
      <c r="G81" s="96">
        <f>IF(G49=0,0,G49/TrRoad_act!G51*100)</f>
        <v>11.263983153327278</v>
      </c>
      <c r="H81" s="96">
        <f>IF(H49=0,0,H49/TrRoad_act!H51*100)</f>
        <v>11.002831947527614</v>
      </c>
      <c r="I81" s="96">
        <f>IF(I49=0,0,I49/TrRoad_act!I51*100)</f>
        <v>10.97181680321637</v>
      </c>
      <c r="J81" s="96">
        <f>IF(J49=0,0,J49/TrRoad_act!J51*100)</f>
        <v>10.895998778576873</v>
      </c>
      <c r="K81" s="96">
        <f>IF(K49=0,0,K49/TrRoad_act!K51*100)</f>
        <v>10.534515942227715</v>
      </c>
      <c r="L81" s="96">
        <f>IF(L49=0,0,L49/TrRoad_act!L51*100)</f>
        <v>10.094476792524777</v>
      </c>
      <c r="M81" s="96">
        <f>IF(M49=0,0,M49/TrRoad_act!M51*100)</f>
        <v>9.7737330666273845</v>
      </c>
      <c r="N81" s="96">
        <f>IF(N49=0,0,N49/TrRoad_act!N51*100)</f>
        <v>9.4750147323137046</v>
      </c>
      <c r="O81" s="96">
        <f>IF(O49=0,0,O49/TrRoad_act!O51*100)</f>
        <v>9.1287809650023135</v>
      </c>
      <c r="P81" s="96">
        <f>IF(P49=0,0,P49/TrRoad_act!P51*100)</f>
        <v>8.9468088931876917</v>
      </c>
      <c r="Q81" s="96">
        <f>IF(Q49=0,0,Q49/TrRoad_act!Q51*100)</f>
        <v>8.8894878422704711</v>
      </c>
      <c r="R81" s="96">
        <f>IF(R49=0,0,R49/TrRoad_act!R51*100)</f>
        <v>9.0812118275409865</v>
      </c>
      <c r="S81" s="96">
        <f>IF(S49=0,0,S49/TrRoad_act!S51*100)</f>
        <v>9.3421980585606157</v>
      </c>
      <c r="T81" s="96">
        <f>IF(T49=0,0,T49/TrRoad_act!T51*100)</f>
        <v>10.015270730834295</v>
      </c>
      <c r="U81" s="96">
        <f>IF(U49=0,0,U49/TrRoad_act!U51*100)</f>
        <v>10.092181407283364</v>
      </c>
      <c r="V81" s="96">
        <f>IF(V49=0,0,V49/TrRoad_act!V51*100)</f>
        <v>10.035552291486139</v>
      </c>
      <c r="W81" s="96">
        <f>IF(W49=0,0,W49/TrRoad_act!W51*100)</f>
        <v>10.378432141528215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1.888088585912187</v>
      </c>
      <c r="C82" s="96">
        <f>IF(C51=0,0,C51/TrRoad_act!C52*100)</f>
        <v>1.7909448484048902</v>
      </c>
      <c r="D82" s="96">
        <f>IF(D51=0,0,D51/TrRoad_act!D52*100)</f>
        <v>1.7767656161161289</v>
      </c>
      <c r="E82" s="96">
        <f>IF(E51=0,0,E51/TrRoad_act!E52*100)</f>
        <v>1.7671002973268672</v>
      </c>
      <c r="F82" s="96">
        <f>IF(F51=0,0,F51/TrRoad_act!F52*100)</f>
        <v>1.7513190767751787</v>
      </c>
      <c r="G82" s="96">
        <f>IF(G51=0,0,G51/TrRoad_act!G52*100)</f>
        <v>1.7376001303087467</v>
      </c>
      <c r="H82" s="96">
        <f>IF(H51=0,0,H51/TrRoad_act!H52*100)</f>
        <v>1.7253713856325219</v>
      </c>
      <c r="I82" s="96">
        <f>IF(I51=0,0,I51/TrRoad_act!I52*100)</f>
        <v>1.7109691922682948</v>
      </c>
      <c r="J82" s="96">
        <f>IF(J51=0,0,J51/TrRoad_act!J52*100)</f>
        <v>1.6843395317166672</v>
      </c>
      <c r="K82" s="96">
        <f>IF(K51=0,0,K51/TrRoad_act!K52*100)</f>
        <v>1.6711686174061202</v>
      </c>
      <c r="L82" s="96">
        <f>IF(L51=0,0,L51/TrRoad_act!L52*100)</f>
        <v>1.6362417276920695</v>
      </c>
      <c r="M82" s="96">
        <f>IF(M51=0,0,M51/TrRoad_act!M52*100)</f>
        <v>1.6355049038458451</v>
      </c>
      <c r="N82" s="96">
        <f>IF(N51=0,0,N51/TrRoad_act!N52*100)</f>
        <v>1.6346542623626386</v>
      </c>
      <c r="O82" s="96">
        <f>IF(O51=0,0,O51/TrRoad_act!O52*100)</f>
        <v>1.6550727542263726</v>
      </c>
      <c r="P82" s="96">
        <f>IF(P51=0,0,P51/TrRoad_act!P52*100)</f>
        <v>1.6595337364429474</v>
      </c>
      <c r="Q82" s="96">
        <f>IF(Q51=0,0,Q51/TrRoad_act!Q52*100)</f>
        <v>1.7054507763127909</v>
      </c>
      <c r="R82" s="96">
        <f>IF(R51=0,0,R51/TrRoad_act!R52*100)</f>
        <v>1.7360319164726092</v>
      </c>
      <c r="S82" s="96">
        <f>IF(S51=0,0,S51/TrRoad_act!S52*100)</f>
        <v>1.7759479665268567</v>
      </c>
      <c r="T82" s="96">
        <f>IF(T51=0,0,T51/TrRoad_act!T52*100)</f>
        <v>1.8400792052795802</v>
      </c>
      <c r="U82" s="96">
        <f>IF(U51=0,0,U51/TrRoad_act!U52*100)</f>
        <v>1.8941360533835099</v>
      </c>
      <c r="V82" s="96">
        <f>IF(V51=0,0,V51/TrRoad_act!V52*100)</f>
        <v>1.9937759295138782</v>
      </c>
      <c r="W82" s="96">
        <f>IF(W51=0,0,W51/TrRoad_act!W52*100)</f>
        <v>2.1355261545841704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41.731436696142971</v>
      </c>
      <c r="C83" s="130">
        <f>IF(C52=0,0,C52/TrRoad_act!C53*100)</f>
        <v>40.821724939491041</v>
      </c>
      <c r="D83" s="130">
        <f>IF(D52=0,0,D52/TrRoad_act!D53*100)</f>
        <v>40.234892691897578</v>
      </c>
      <c r="E83" s="130">
        <f>IF(E52=0,0,E52/TrRoad_act!E53*100)</f>
        <v>39.388967629431711</v>
      </c>
      <c r="F83" s="130">
        <f>IF(F52=0,0,F52/TrRoad_act!F53*100)</f>
        <v>38.496624857160207</v>
      </c>
      <c r="G83" s="130">
        <f>IF(G52=0,0,G52/TrRoad_act!G53*100)</f>
        <v>38.123203240942935</v>
      </c>
      <c r="H83" s="130">
        <f>IF(H52=0,0,H52/TrRoad_act!H53*100)</f>
        <v>37.700341227583664</v>
      </c>
      <c r="I83" s="130">
        <f>IF(I52=0,0,I52/TrRoad_act!I53*100)</f>
        <v>37.289606007052711</v>
      </c>
      <c r="J83" s="130">
        <f>IF(J52=0,0,J52/TrRoad_act!J53*100)</f>
        <v>37.285826991972009</v>
      </c>
      <c r="K83" s="130">
        <f>IF(K52=0,0,K52/TrRoad_act!K53*100)</f>
        <v>37.777630054860396</v>
      </c>
      <c r="L83" s="130">
        <f>IF(L52=0,0,L52/TrRoad_act!L53*100)</f>
        <v>37.468104355661083</v>
      </c>
      <c r="M83" s="130">
        <f>IF(M52=0,0,M52/TrRoad_act!M53*100)</f>
        <v>37.59709406788803</v>
      </c>
      <c r="N83" s="130">
        <f>IF(N52=0,0,N52/TrRoad_act!N53*100)</f>
        <v>37.632092494563913</v>
      </c>
      <c r="O83" s="130">
        <f>IF(O52=0,0,O52/TrRoad_act!O53*100)</f>
        <v>37.398634122817612</v>
      </c>
      <c r="P83" s="130">
        <f>IF(P52=0,0,P52/TrRoad_act!P53*100)</f>
        <v>37.342975805173026</v>
      </c>
      <c r="Q83" s="130">
        <f>IF(Q52=0,0,Q52/TrRoad_act!Q53*100)</f>
        <v>37.384745930031613</v>
      </c>
      <c r="R83" s="130">
        <f>IF(R52=0,0,R52/TrRoad_act!R53*100)</f>
        <v>36.881046600404254</v>
      </c>
      <c r="S83" s="130">
        <f>IF(S52=0,0,S52/TrRoad_act!S53*100)</f>
        <v>36.582354747251088</v>
      </c>
      <c r="T83" s="130">
        <f>IF(T52=0,0,T52/TrRoad_act!T53*100)</f>
        <v>36.310563918440039</v>
      </c>
      <c r="U83" s="130">
        <f>IF(U52=0,0,U52/TrRoad_act!U53*100)</f>
        <v>35.562218650495851</v>
      </c>
      <c r="V83" s="130">
        <f>IF(V52=0,0,V52/TrRoad_act!V53*100)</f>
        <v>35.091674890479993</v>
      </c>
      <c r="W83" s="130">
        <f>IF(W52=0,0,W52/TrRoad_act!W53*100)</f>
        <v>35.351535638596921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40.382494118533671</v>
      </c>
      <c r="C84" s="97">
        <f>IF(C53=0,0,C53/TrRoad_act!C54*100)</f>
        <v>39.691064332655998</v>
      </c>
      <c r="D84" s="97">
        <f>IF(D53=0,0,D53/TrRoad_act!D54*100)</f>
        <v>39.232659984899705</v>
      </c>
      <c r="E84" s="97">
        <f>IF(E53=0,0,E53/TrRoad_act!E54*100)</f>
        <v>38.595463904494011</v>
      </c>
      <c r="F84" s="97">
        <f>IF(F53=0,0,F53/TrRoad_act!F54*100)</f>
        <v>37.96802841625032</v>
      </c>
      <c r="G84" s="97">
        <f>IF(G53=0,0,G53/TrRoad_act!G54*100)</f>
        <v>37.629531585154261</v>
      </c>
      <c r="H84" s="97">
        <f>IF(H53=0,0,H53/TrRoad_act!H54*100)</f>
        <v>37.26264723300325</v>
      </c>
      <c r="I84" s="97">
        <f>IF(I53=0,0,I53/TrRoad_act!I54*100)</f>
        <v>36.908279408959253</v>
      </c>
      <c r="J84" s="97">
        <f>IF(J53=0,0,J53/TrRoad_act!J54*100)</f>
        <v>36.823203113324034</v>
      </c>
      <c r="K84" s="97">
        <f>IF(K53=0,0,K53/TrRoad_act!K54*100)</f>
        <v>37.140572158807373</v>
      </c>
      <c r="L84" s="97">
        <f>IF(L53=0,0,L53/TrRoad_act!L54*100)</f>
        <v>36.937663915800641</v>
      </c>
      <c r="M84" s="97">
        <f>IF(M53=0,0,M53/TrRoad_act!M54*100)</f>
        <v>36.936056230899133</v>
      </c>
      <c r="N84" s="97">
        <f>IF(N53=0,0,N53/TrRoad_act!N54*100)</f>
        <v>36.807607501831349</v>
      </c>
      <c r="O84" s="97">
        <f>IF(O53=0,0,O53/TrRoad_act!O54*100)</f>
        <v>36.482989339902701</v>
      </c>
      <c r="P84" s="97">
        <f>IF(P53=0,0,P53/TrRoad_act!P54*100)</f>
        <v>36.320786474269177</v>
      </c>
      <c r="Q84" s="97">
        <f>IF(Q53=0,0,Q53/TrRoad_act!Q54*100)</f>
        <v>36.173801807304059</v>
      </c>
      <c r="R84" s="97">
        <f>IF(R53=0,0,R53/TrRoad_act!R54*100)</f>
        <v>35.601959082148468</v>
      </c>
      <c r="S84" s="97">
        <f>IF(S53=0,0,S53/TrRoad_act!S54*100)</f>
        <v>35.133856032503139</v>
      </c>
      <c r="T84" s="97">
        <f>IF(T53=0,0,T53/TrRoad_act!T54*100)</f>
        <v>34.646299484955556</v>
      </c>
      <c r="U84" s="97">
        <f>IF(U53=0,0,U53/TrRoad_act!U54*100)</f>
        <v>33.762588649809913</v>
      </c>
      <c r="V84" s="97">
        <f>IF(V53=0,0,V53/TrRoad_act!V54*100)</f>
        <v>33.12229399028233</v>
      </c>
      <c r="W84" s="97">
        <f>IF(W53=0,0,W53/TrRoad_act!W54*100)</f>
        <v>32.943350093713455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44.858092419327846</v>
      </c>
      <c r="C85" s="98">
        <f>IF(C55=0,0,C55/TrRoad_act!C55*100)</f>
        <v>43.326209370832636</v>
      </c>
      <c r="D85" s="98">
        <f>IF(D55=0,0,D55/TrRoad_act!D55*100)</f>
        <v>42.34778869720293</v>
      </c>
      <c r="E85" s="98">
        <f>IF(E55=0,0,E55/TrRoad_act!E55*100)</f>
        <v>41.02899069109808</v>
      </c>
      <c r="F85" s="98">
        <f>IF(F55=0,0,F55/TrRoad_act!F55*100)</f>
        <v>39.476655959255062</v>
      </c>
      <c r="G85" s="98">
        <f>IF(G55=0,0,G55/TrRoad_act!G55*100)</f>
        <v>39.006146328558181</v>
      </c>
      <c r="H85" s="98">
        <f>IF(H55=0,0,H55/TrRoad_act!H55*100)</f>
        <v>38.471971062431706</v>
      </c>
      <c r="I85" s="98">
        <f>IF(I55=0,0,I55/TrRoad_act!I55*100)</f>
        <v>37.971480767024843</v>
      </c>
      <c r="J85" s="98">
        <f>IF(J55=0,0,J55/TrRoad_act!J55*100)</f>
        <v>38.075265046331232</v>
      </c>
      <c r="K85" s="98">
        <f>IF(K55=0,0,K55/TrRoad_act!K55*100)</f>
        <v>38.832985066410956</v>
      </c>
      <c r="L85" s="98">
        <f>IF(L55=0,0,L55/TrRoad_act!L55*100)</f>
        <v>38.380963290360455</v>
      </c>
      <c r="M85" s="98">
        <f>IF(M55=0,0,M55/TrRoad_act!M55*100)</f>
        <v>38.837972658712019</v>
      </c>
      <c r="N85" s="98">
        <f>IF(N55=0,0,N55/TrRoad_act!N55*100)</f>
        <v>39.093465796378588</v>
      </c>
      <c r="O85" s="98">
        <f>IF(O55=0,0,O55/TrRoad_act!O55*100)</f>
        <v>38.93315196267833</v>
      </c>
      <c r="P85" s="98">
        <f>IF(P55=0,0,P55/TrRoad_act!P55*100)</f>
        <v>39.022605136888536</v>
      </c>
      <c r="Q85" s="98">
        <f>IF(Q55=0,0,Q55/TrRoad_act!Q55*100)</f>
        <v>39.230224463189025</v>
      </c>
      <c r="R85" s="98">
        <f>IF(R55=0,0,R55/TrRoad_act!R55*100)</f>
        <v>38.829075117714304</v>
      </c>
      <c r="S85" s="98">
        <f>IF(S55=0,0,S55/TrRoad_act!S55*100)</f>
        <v>38.717937437372946</v>
      </c>
      <c r="T85" s="98">
        <f>IF(T55=0,0,T55/TrRoad_act!T55*100)</f>
        <v>38.738748513947556</v>
      </c>
      <c r="U85" s="98">
        <f>IF(U55=0,0,U55/TrRoad_act!U55*100)</f>
        <v>38.137782650317583</v>
      </c>
      <c r="V85" s="98">
        <f>IF(V55=0,0,V55/TrRoad_act!V55*100)</f>
        <v>37.885923408798448</v>
      </c>
      <c r="W85" s="98">
        <f>IF(W55=0,0,W55/TrRoad_act!W55*100)</f>
        <v>38.626598515466995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36.366896917181279</v>
      </c>
      <c r="C88" s="29">
        <f>IF(TrRoad_act!C4=0,0,C18/TrRoad_act!C4*1000)</f>
        <v>35.977965337862486</v>
      </c>
      <c r="D88" s="29">
        <f>IF(TrRoad_act!D4=0,0,D18/TrRoad_act!D4*1000)</f>
        <v>35.798723141421853</v>
      </c>
      <c r="E88" s="29">
        <f>IF(TrRoad_act!E4=0,0,E18/TrRoad_act!E4*1000)</f>
        <v>35.061010112582998</v>
      </c>
      <c r="F88" s="29">
        <f>IF(TrRoad_act!F4=0,0,F18/TrRoad_act!F4*1000)</f>
        <v>34.673020063691425</v>
      </c>
      <c r="G88" s="29">
        <f>IF(TrRoad_act!G4=0,0,G18/TrRoad_act!G4*1000)</f>
        <v>34.638463991989504</v>
      </c>
      <c r="H88" s="29">
        <f>IF(TrRoad_act!H4=0,0,H18/TrRoad_act!H4*1000)</f>
        <v>34.914156317213894</v>
      </c>
      <c r="I88" s="29">
        <f>IF(TrRoad_act!I4=0,0,I18/TrRoad_act!I4*1000)</f>
        <v>35.041545757999799</v>
      </c>
      <c r="J88" s="29">
        <f>IF(TrRoad_act!J4=0,0,J18/TrRoad_act!J4*1000)</f>
        <v>35.128180349994501</v>
      </c>
      <c r="K88" s="29">
        <f>IF(TrRoad_act!K4=0,0,K18/TrRoad_act!K4*1000)</f>
        <v>35.840117550152733</v>
      </c>
      <c r="L88" s="29">
        <f>IF(TrRoad_act!L4=0,0,L18/TrRoad_act!L4*1000)</f>
        <v>35.105917626366832</v>
      </c>
      <c r="M88" s="29">
        <f>IF(TrRoad_act!M4=0,0,M18/TrRoad_act!M4*1000)</f>
        <v>35.762091778532003</v>
      </c>
      <c r="N88" s="29">
        <f>IF(TrRoad_act!N4=0,0,N18/TrRoad_act!N4*1000)</f>
        <v>33.574065879298999</v>
      </c>
      <c r="O88" s="29">
        <f>IF(TrRoad_act!O4=0,0,O18/TrRoad_act!O4*1000)</f>
        <v>32.87749169394894</v>
      </c>
      <c r="P88" s="29">
        <f>IF(TrRoad_act!P4=0,0,P18/TrRoad_act!P4*1000)</f>
        <v>32.925334041107568</v>
      </c>
      <c r="Q88" s="29">
        <f>IF(TrRoad_act!Q4=0,0,Q18/TrRoad_act!Q4*1000)</f>
        <v>33.014500886891021</v>
      </c>
      <c r="R88" s="29">
        <f>IF(TrRoad_act!R4=0,0,R18/TrRoad_act!R4*1000)</f>
        <v>32.566172290754835</v>
      </c>
      <c r="S88" s="29">
        <f>IF(TrRoad_act!S4=0,0,S18/TrRoad_act!S4*1000)</f>
        <v>32.263480364019003</v>
      </c>
      <c r="T88" s="29">
        <f>IF(TrRoad_act!T4=0,0,T18/TrRoad_act!T4*1000)</f>
        <v>31.611344196712714</v>
      </c>
      <c r="U88" s="29">
        <f>IF(TrRoad_act!U4=0,0,U18/TrRoad_act!U4*1000)</f>
        <v>31.653383690296</v>
      </c>
      <c r="V88" s="29">
        <f>IF(TrRoad_act!V4=0,0,V18/TrRoad_act!V4*1000)</f>
        <v>33.276035770485578</v>
      </c>
      <c r="W88" s="29">
        <f>IF(TrRoad_act!W4=0,0,W18/TrRoad_act!W4*1000)</f>
        <v>33.172644864756847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31.684686322323422</v>
      </c>
      <c r="C89" s="152">
        <f>IF(TrRoad_act!C5=0,0,C19/TrRoad_act!C5*1000)</f>
        <v>31.524041934350905</v>
      </c>
      <c r="D89" s="152">
        <f>IF(TrRoad_act!D5=0,0,D19/TrRoad_act!D5*1000)</f>
        <v>31.384147987152744</v>
      </c>
      <c r="E89" s="152">
        <f>IF(TrRoad_act!E5=0,0,E19/TrRoad_act!E5*1000)</f>
        <v>30.873077178681189</v>
      </c>
      <c r="F89" s="152">
        <f>IF(TrRoad_act!F5=0,0,F19/TrRoad_act!F5*1000)</f>
        <v>30.94743145951767</v>
      </c>
      <c r="G89" s="152">
        <f>IF(TrRoad_act!G5=0,0,G19/TrRoad_act!G5*1000)</f>
        <v>30.293609583824306</v>
      </c>
      <c r="H89" s="152">
        <f>IF(TrRoad_act!H5=0,0,H19/TrRoad_act!H5*1000)</f>
        <v>30.343786253915571</v>
      </c>
      <c r="I89" s="152">
        <f>IF(TrRoad_act!I5=0,0,I19/TrRoad_act!I5*1000)</f>
        <v>30.109512686640549</v>
      </c>
      <c r="J89" s="152">
        <f>IF(TrRoad_act!J5=0,0,J19/TrRoad_act!J5*1000)</f>
        <v>30.007409043233043</v>
      </c>
      <c r="K89" s="152">
        <f>IF(TrRoad_act!K5=0,0,K19/TrRoad_act!K5*1000)</f>
        <v>29.934874110601871</v>
      </c>
      <c r="L89" s="152">
        <f>IF(TrRoad_act!L5=0,0,L19/TrRoad_act!L5*1000)</f>
        <v>29.968251760635244</v>
      </c>
      <c r="M89" s="152">
        <f>IF(TrRoad_act!M5=0,0,M19/TrRoad_act!M5*1000)</f>
        <v>29.026236053219893</v>
      </c>
      <c r="N89" s="152">
        <f>IF(TrRoad_act!N5=0,0,N19/TrRoad_act!N5*1000)</f>
        <v>29.906935556877382</v>
      </c>
      <c r="O89" s="152">
        <f>IF(TrRoad_act!O5=0,0,O19/TrRoad_act!O5*1000)</f>
        <v>29.984151695805014</v>
      </c>
      <c r="P89" s="152">
        <f>IF(TrRoad_act!P5=0,0,P19/TrRoad_act!P5*1000)</f>
        <v>29.866281139281821</v>
      </c>
      <c r="Q89" s="152">
        <f>IF(TrRoad_act!Q5=0,0,Q19/TrRoad_act!Q5*1000)</f>
        <v>29.838147093292697</v>
      </c>
      <c r="R89" s="152">
        <f>IF(TrRoad_act!R5=0,0,R19/TrRoad_act!R5*1000)</f>
        <v>29.74861613920384</v>
      </c>
      <c r="S89" s="152">
        <f>IF(TrRoad_act!S5=0,0,S19/TrRoad_act!S5*1000)</f>
        <v>29.582739360811644</v>
      </c>
      <c r="T89" s="152">
        <f>IF(TrRoad_act!T5=0,0,T19/TrRoad_act!T5*1000)</f>
        <v>31.007401073878341</v>
      </c>
      <c r="U89" s="152">
        <f>IF(TrRoad_act!U5=0,0,U19/TrRoad_act!U5*1000)</f>
        <v>29.464818757370175</v>
      </c>
      <c r="V89" s="152">
        <f>IF(TrRoad_act!V5=0,0,V19/TrRoad_act!V5*1000)</f>
        <v>29.448731324997269</v>
      </c>
      <c r="W89" s="152">
        <f>IF(TrRoad_act!W5=0,0,W19/TrRoad_act!W5*1000)</f>
        <v>28.359896168022246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36.608821758952416</v>
      </c>
      <c r="C90" s="116">
        <f>IF(TrRoad_act!C6=0,0,C21/TrRoad_act!C6*1000)</f>
        <v>36.163656444584277</v>
      </c>
      <c r="D90" s="116">
        <f>IF(TrRoad_act!D6=0,0,D21/TrRoad_act!D6*1000)</f>
        <v>36.005921628324998</v>
      </c>
      <c r="E90" s="116">
        <f>IF(TrRoad_act!E6=0,0,E21/TrRoad_act!E6*1000)</f>
        <v>35.228264763423908</v>
      </c>
      <c r="F90" s="116">
        <f>IF(TrRoad_act!F6=0,0,F21/TrRoad_act!F6*1000)</f>
        <v>34.82225723693422</v>
      </c>
      <c r="G90" s="116">
        <f>IF(TrRoad_act!G6=0,0,G21/TrRoad_act!G6*1000)</f>
        <v>34.806580609209036</v>
      </c>
      <c r="H90" s="116">
        <f>IF(TrRoad_act!H6=0,0,H21/TrRoad_act!H6*1000)</f>
        <v>35.122374961522986</v>
      </c>
      <c r="I90" s="116">
        <f>IF(TrRoad_act!I6=0,0,I21/TrRoad_act!I6*1000)</f>
        <v>35.241823183324335</v>
      </c>
      <c r="J90" s="116">
        <f>IF(TrRoad_act!J6=0,0,J21/TrRoad_act!J6*1000)</f>
        <v>35.380810634936211</v>
      </c>
      <c r="K90" s="116">
        <f>IF(TrRoad_act!K6=0,0,K21/TrRoad_act!K6*1000)</f>
        <v>36.257110260939768</v>
      </c>
      <c r="L90" s="116">
        <f>IF(TrRoad_act!L6=0,0,L21/TrRoad_act!L6*1000)</f>
        <v>35.560854159953962</v>
      </c>
      <c r="M90" s="116">
        <f>IF(TrRoad_act!M6=0,0,M21/TrRoad_act!M6*1000)</f>
        <v>36.351063987781934</v>
      </c>
      <c r="N90" s="116">
        <f>IF(TrRoad_act!N6=0,0,N21/TrRoad_act!N6*1000)</f>
        <v>33.896932124290835</v>
      </c>
      <c r="O90" s="116">
        <f>IF(TrRoad_act!O6=0,0,O21/TrRoad_act!O6*1000)</f>
        <v>33.280169711153832</v>
      </c>
      <c r="P90" s="116">
        <f>IF(TrRoad_act!P6=0,0,P21/TrRoad_act!P6*1000)</f>
        <v>33.365476057020338</v>
      </c>
      <c r="Q90" s="116">
        <f>IF(TrRoad_act!Q6=0,0,Q21/TrRoad_act!Q6*1000)</f>
        <v>33.445970969301662</v>
      </c>
      <c r="R90" s="116">
        <f>IF(TrRoad_act!R6=0,0,R21/TrRoad_act!R6*1000)</f>
        <v>32.939703561823784</v>
      </c>
      <c r="S90" s="116">
        <f>IF(TrRoad_act!S6=0,0,S21/TrRoad_act!S6*1000)</f>
        <v>32.639051682481856</v>
      </c>
      <c r="T90" s="116">
        <f>IF(TrRoad_act!T6=0,0,T21/TrRoad_act!T6*1000)</f>
        <v>31.871568868274213</v>
      </c>
      <c r="U90" s="116">
        <f>IF(TrRoad_act!U6=0,0,U21/TrRoad_act!U6*1000)</f>
        <v>31.946810417841164</v>
      </c>
      <c r="V90" s="116">
        <f>IF(TrRoad_act!V6=0,0,V21/TrRoad_act!V6*1000)</f>
        <v>33.218315652590825</v>
      </c>
      <c r="W90" s="116">
        <f>IF(TrRoad_act!W6=0,0,W21/TrRoad_act!W6*1000)</f>
        <v>33.118225615740528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36.649381493645919</v>
      </c>
      <c r="C91" s="87">
        <f>IF(TrRoad_act!C7=0,0,C22/TrRoad_act!C7*1000)</f>
        <v>36.843494666427944</v>
      </c>
      <c r="D91" s="87">
        <f>IF(TrRoad_act!D7=0,0,D22/TrRoad_act!D7*1000)</f>
        <v>37.087496697752584</v>
      </c>
      <c r="E91" s="87">
        <f>IF(TrRoad_act!E7=0,0,E22/TrRoad_act!E7*1000)</f>
        <v>36.913706420033336</v>
      </c>
      <c r="F91" s="87">
        <f>IF(TrRoad_act!F7=0,0,F22/TrRoad_act!F7*1000)</f>
        <v>37.110715866775529</v>
      </c>
      <c r="G91" s="87">
        <f>IF(TrRoad_act!G7=0,0,G22/TrRoad_act!G7*1000)</f>
        <v>37.35374179751696</v>
      </c>
      <c r="H91" s="87">
        <f>IF(TrRoad_act!H7=0,0,H22/TrRoad_act!H7*1000)</f>
        <v>38.028349940548139</v>
      </c>
      <c r="I91" s="87">
        <f>IF(TrRoad_act!I7=0,0,I22/TrRoad_act!I7*1000)</f>
        <v>38.435593778855022</v>
      </c>
      <c r="J91" s="87">
        <f>IF(TrRoad_act!J7=0,0,J22/TrRoad_act!J7*1000)</f>
        <v>38.612004147328797</v>
      </c>
      <c r="K91" s="87">
        <f>IF(TrRoad_act!K7=0,0,K22/TrRoad_act!K7*1000)</f>
        <v>38.967077980337258</v>
      </c>
      <c r="L91" s="87">
        <f>IF(TrRoad_act!L7=0,0,L22/TrRoad_act!L7*1000)</f>
        <v>38.331963259379897</v>
      </c>
      <c r="M91" s="87">
        <f>IF(TrRoad_act!M7=0,0,M22/TrRoad_act!M7*1000)</f>
        <v>38.64383932832186</v>
      </c>
      <c r="N91" s="87">
        <f>IF(TrRoad_act!N7=0,0,N22/TrRoad_act!N7*1000)</f>
        <v>35.800860450465535</v>
      </c>
      <c r="O91" s="87">
        <f>IF(TrRoad_act!O7=0,0,O22/TrRoad_act!O7*1000)</f>
        <v>35.102291310695158</v>
      </c>
      <c r="P91" s="87">
        <f>IF(TrRoad_act!P7=0,0,P22/TrRoad_act!P7*1000)</f>
        <v>34.910599234694907</v>
      </c>
      <c r="Q91" s="87">
        <f>IF(TrRoad_act!Q7=0,0,Q22/TrRoad_act!Q7*1000)</f>
        <v>34.549270420008483</v>
      </c>
      <c r="R91" s="87">
        <f>IF(TrRoad_act!R7=0,0,R22/TrRoad_act!R7*1000)</f>
        <v>33.913575164601724</v>
      </c>
      <c r="S91" s="87">
        <f>IF(TrRoad_act!S7=0,0,S22/TrRoad_act!S7*1000)</f>
        <v>33.276050593664522</v>
      </c>
      <c r="T91" s="87">
        <f>IF(TrRoad_act!T7=0,0,T22/TrRoad_act!T7*1000)</f>
        <v>32.091799964032546</v>
      </c>
      <c r="U91" s="87">
        <f>IF(TrRoad_act!U7=0,0,U22/TrRoad_act!U7*1000)</f>
        <v>32.208968224120937</v>
      </c>
      <c r="V91" s="87">
        <f>IF(TrRoad_act!V7=0,0,V22/TrRoad_act!V7*1000)</f>
        <v>33.499403571649282</v>
      </c>
      <c r="W91" s="87">
        <f>IF(TrRoad_act!W7=0,0,W22/TrRoad_act!W7*1000)</f>
        <v>32.783433513381887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36.606716637646592</v>
      </c>
      <c r="C92" s="87">
        <f>IF(TrRoad_act!C8=0,0,C24/TrRoad_act!C8*1000)</f>
        <v>35.545333977725406</v>
      </c>
      <c r="D92" s="87">
        <f>IF(TrRoad_act!D8=0,0,D24/TrRoad_act!D8*1000)</f>
        <v>35.083595629625805</v>
      </c>
      <c r="E92" s="87">
        <f>IF(TrRoad_act!E8=0,0,E24/TrRoad_act!E8*1000)</f>
        <v>33.93867062545587</v>
      </c>
      <c r="F92" s="87">
        <f>IF(TrRoad_act!F8=0,0,F24/TrRoad_act!F8*1000)</f>
        <v>33.216806524207378</v>
      </c>
      <c r="G92" s="87">
        <f>IF(TrRoad_act!G8=0,0,G24/TrRoad_act!G8*1000)</f>
        <v>33.171616985249734</v>
      </c>
      <c r="H92" s="87">
        <f>IF(TrRoad_act!H8=0,0,H24/TrRoad_act!H8*1000)</f>
        <v>33.474662765940934</v>
      </c>
      <c r="I92" s="87">
        <f>IF(TrRoad_act!I8=0,0,I24/TrRoad_act!I8*1000)</f>
        <v>33.62096195715872</v>
      </c>
      <c r="J92" s="87">
        <f>IF(TrRoad_act!J8=0,0,J24/TrRoad_act!J8*1000)</f>
        <v>33.955231299278942</v>
      </c>
      <c r="K92" s="87">
        <f>IF(TrRoad_act!K8=0,0,K24/TrRoad_act!K8*1000)</f>
        <v>35.1903814043431</v>
      </c>
      <c r="L92" s="87">
        <f>IF(TrRoad_act!L8=0,0,L24/TrRoad_act!L8*1000)</f>
        <v>34.56252842472793</v>
      </c>
      <c r="M92" s="87">
        <f>IF(TrRoad_act!M8=0,0,M24/TrRoad_act!M8*1000)</f>
        <v>35.553997679807871</v>
      </c>
      <c r="N92" s="87">
        <f>IF(TrRoad_act!N8=0,0,N24/TrRoad_act!N8*1000)</f>
        <v>33.299312065513547</v>
      </c>
      <c r="O92" s="87">
        <f>IF(TrRoad_act!O8=0,0,O24/TrRoad_act!O8*1000)</f>
        <v>32.731618713689429</v>
      </c>
      <c r="P92" s="87">
        <f>IF(TrRoad_act!P8=0,0,P24/TrRoad_act!P8*1000)</f>
        <v>32.914245639078167</v>
      </c>
      <c r="Q92" s="87">
        <f>IF(TrRoad_act!Q8=0,0,Q24/TrRoad_act!Q8*1000)</f>
        <v>33.151968561367703</v>
      </c>
      <c r="R92" s="87">
        <f>IF(TrRoad_act!R8=0,0,R24/TrRoad_act!R8*1000)</f>
        <v>32.689071887039781</v>
      </c>
      <c r="S92" s="87">
        <f>IF(TrRoad_act!S8=0,0,S24/TrRoad_act!S8*1000)</f>
        <v>32.513888802013327</v>
      </c>
      <c r="T92" s="87">
        <f>IF(TrRoad_act!T8=0,0,T24/TrRoad_act!T8*1000)</f>
        <v>31.920613659760303</v>
      </c>
      <c r="U92" s="87">
        <f>IF(TrRoad_act!U8=0,0,U24/TrRoad_act!U8*1000)</f>
        <v>32.017999165603172</v>
      </c>
      <c r="V92" s="87">
        <f>IF(TrRoad_act!V8=0,0,V24/TrRoad_act!V8*1000)</f>
        <v>33.449006368303031</v>
      </c>
      <c r="W92" s="87">
        <f>IF(TrRoad_act!W8=0,0,W24/TrRoad_act!W8*1000)</f>
        <v>33.902996187436656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34.445282857767985</v>
      </c>
      <c r="C93" s="87">
        <f>IF(TrRoad_act!C9=0,0,C26/TrRoad_act!C9*1000)</f>
        <v>34.958231015188389</v>
      </c>
      <c r="D93" s="87">
        <f>IF(TrRoad_act!D9=0,0,D26/TrRoad_act!D9*1000)</f>
        <v>35.420819422348757</v>
      </c>
      <c r="E93" s="87">
        <f>IF(TrRoad_act!E9=0,0,E26/TrRoad_act!E9*1000)</f>
        <v>35.432618413997453</v>
      </c>
      <c r="F93" s="87">
        <f>IF(TrRoad_act!F9=0,0,F26/TrRoad_act!F9*1000)</f>
        <v>35.824472659074516</v>
      </c>
      <c r="G93" s="87">
        <f>IF(TrRoad_act!G9=0,0,G26/TrRoad_act!G9*1000)</f>
        <v>36.291667273102064</v>
      </c>
      <c r="H93" s="87">
        <f>IF(TrRoad_act!H9=0,0,H26/TrRoad_act!H9*1000)</f>
        <v>37.184868933329554</v>
      </c>
      <c r="I93" s="87">
        <f>IF(TrRoad_act!I9=0,0,I26/TrRoad_act!I9*1000)</f>
        <v>41.362345045390768</v>
      </c>
      <c r="J93" s="87">
        <f>IF(TrRoad_act!J9=0,0,J26/TrRoad_act!J9*1000)</f>
        <v>37.663316811058358</v>
      </c>
      <c r="K93" s="87">
        <f>IF(TrRoad_act!K9=0,0,K26/TrRoad_act!K9*1000)</f>
        <v>30.655653409205964</v>
      </c>
      <c r="L93" s="87">
        <f>IF(TrRoad_act!L9=0,0,L26/TrRoad_act!L9*1000)</f>
        <v>34.903171023590069</v>
      </c>
      <c r="M93" s="87">
        <f>IF(TrRoad_act!M9=0,0,M26/TrRoad_act!M9*1000)</f>
        <v>37.445153363024914</v>
      </c>
      <c r="N93" s="87">
        <f>IF(TrRoad_act!N9=0,0,N26/TrRoad_act!N9*1000)</f>
        <v>35.137133091008835</v>
      </c>
      <c r="O93" s="87">
        <f>IF(TrRoad_act!O9=0,0,O26/TrRoad_act!O9*1000)</f>
        <v>36.427707733438787</v>
      </c>
      <c r="P93" s="87">
        <f>IF(TrRoad_act!P9=0,0,P26/TrRoad_act!P9*1000)</f>
        <v>36.129091597469561</v>
      </c>
      <c r="Q93" s="87">
        <f>IF(TrRoad_act!Q9=0,0,Q26/TrRoad_act!Q9*1000)</f>
        <v>34.024906254715802</v>
      </c>
      <c r="R93" s="87">
        <f>IF(TrRoad_act!R9=0,0,R26/TrRoad_act!R9*1000)</f>
        <v>32.308814386594904</v>
      </c>
      <c r="S93" s="87">
        <f>IF(TrRoad_act!S9=0,0,S26/TrRoad_act!S9*1000)</f>
        <v>30.484685220065678</v>
      </c>
      <c r="T93" s="87">
        <f>IF(TrRoad_act!T9=0,0,T26/TrRoad_act!T9*1000)</f>
        <v>30.558540111861024</v>
      </c>
      <c r="U93" s="87">
        <f>IF(TrRoad_act!U9=0,0,U26/TrRoad_act!U9*1000)</f>
        <v>29.139334902535619</v>
      </c>
      <c r="V93" s="87">
        <f>IF(TrRoad_act!V9=0,0,V26/TrRoad_act!V9*1000)</f>
        <v>26.044817610048042</v>
      </c>
      <c r="W93" s="87">
        <f>IF(TrRoad_act!W9=0,0,W26/TrRoad_act!W9*1000)</f>
        <v>32.755157601866138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38.592812681281949</v>
      </c>
      <c r="J94" s="87">
        <f>IF(TrRoad_act!J10=0,0,J27/TrRoad_act!J10*1000)</f>
        <v>37.560036222288296</v>
      </c>
      <c r="K94" s="87">
        <f>IF(TrRoad_act!K10=0,0,K27/TrRoad_act!K10*1000)</f>
        <v>37.26101314172324</v>
      </c>
      <c r="L94" s="87">
        <f>IF(TrRoad_act!L10=0,0,L27/TrRoad_act!L10*1000)</f>
        <v>36.877720059319529</v>
      </c>
      <c r="M94" s="87">
        <f>IF(TrRoad_act!M10=0,0,M27/TrRoad_act!M10*1000)</f>
        <v>37.392786608694699</v>
      </c>
      <c r="N94" s="87">
        <f>IF(TrRoad_act!N10=0,0,N27/TrRoad_act!N10*1000)</f>
        <v>34.707508350871784</v>
      </c>
      <c r="O94" s="87">
        <f>IF(TrRoad_act!O10=0,0,O27/TrRoad_act!O10*1000)</f>
        <v>34.127843508662181</v>
      </c>
      <c r="P94" s="87">
        <f>IF(TrRoad_act!P10=0,0,P27/TrRoad_act!P10*1000)</f>
        <v>34.064297562349985</v>
      </c>
      <c r="Q94" s="87">
        <f>IF(TrRoad_act!Q10=0,0,Q27/TrRoad_act!Q10*1000)</f>
        <v>33.560158012991913</v>
      </c>
      <c r="R94" s="87">
        <f>IF(TrRoad_act!R10=0,0,R27/TrRoad_act!R10*1000)</f>
        <v>29.957470564806414</v>
      </c>
      <c r="S94" s="87">
        <f>IF(TrRoad_act!S10=0,0,S27/TrRoad_act!S10*1000)</f>
        <v>29.875031418520638</v>
      </c>
      <c r="T94" s="87">
        <f>IF(TrRoad_act!T10=0,0,T27/TrRoad_act!T10*1000)</f>
        <v>29.242001844439869</v>
      </c>
      <c r="U94" s="87">
        <f>IF(TrRoad_act!U10=0,0,U27/TrRoad_act!U10*1000)</f>
        <v>29.796782475661871</v>
      </c>
      <c r="V94" s="87">
        <f>IF(TrRoad_act!V10=0,0,V27/TrRoad_act!V10*1000)</f>
        <v>31.415772495246095</v>
      </c>
      <c r="W94" s="87">
        <f>IF(TrRoad_act!W10=0,0,W27/TrRoad_act!W10*1000)</f>
        <v>31.003880448469754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14.763546192479868</v>
      </c>
      <c r="O95" s="87">
        <f>IF(TrRoad_act!O11=0,0,O29/TrRoad_act!O11*1000)</f>
        <v>15.422684134357555</v>
      </c>
      <c r="P95" s="87">
        <f>IF(TrRoad_act!P11=0,0,P29/TrRoad_act!P11*1000)</f>
        <v>15.259158713395609</v>
      </c>
      <c r="Q95" s="87">
        <f>IF(TrRoad_act!Q11=0,0,Q29/TrRoad_act!Q11*1000)</f>
        <v>17.423516248087413</v>
      </c>
      <c r="R95" s="87">
        <f>IF(TrRoad_act!R11=0,0,R29/TrRoad_act!R11*1000)</f>
        <v>18.63145870305906</v>
      </c>
      <c r="S95" s="87">
        <f>IF(TrRoad_act!S11=0,0,S29/TrRoad_act!S11*1000)</f>
        <v>19.303417122088142</v>
      </c>
      <c r="T95" s="87">
        <f>IF(TrRoad_act!T11=0,0,T29/TrRoad_act!T11*1000)</f>
        <v>19.77690741044772</v>
      </c>
      <c r="U95" s="87">
        <f>IF(TrRoad_act!U11=0,0,U29/TrRoad_act!U11*1000)</f>
        <v>20.033586414260117</v>
      </c>
      <c r="V95" s="87">
        <f>IF(TrRoad_act!V11=0,0,V29/TrRoad_act!V11*1000)</f>
        <v>20.211941435419764</v>
      </c>
      <c r="W95" s="87">
        <f>IF(TrRoad_act!W11=0,0,W29/TrRoad_act!W11*1000)</f>
        <v>19.104046393781434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6.95722023402368</v>
      </c>
      <c r="I96" s="87">
        <f>IF(TrRoad_act!I12=0,0,I32/TrRoad_act!I12*1000)</f>
        <v>7.0775496351260259</v>
      </c>
      <c r="J96" s="87">
        <f>IF(TrRoad_act!J12=0,0,J32/TrRoad_act!J12*1000)</f>
        <v>7.0892859280671354</v>
      </c>
      <c r="K96" s="87">
        <f>IF(TrRoad_act!K12=0,0,K32/TrRoad_act!K12*1000)</f>
        <v>7.2743793459667492</v>
      </c>
      <c r="L96" s="87">
        <f>IF(TrRoad_act!L12=0,0,L32/TrRoad_act!L12*1000)</f>
        <v>7.2757614663937842</v>
      </c>
      <c r="M96" s="87">
        <f>IF(TrRoad_act!M12=0,0,M32/TrRoad_act!M12*1000)</f>
        <v>7.456995335310757</v>
      </c>
      <c r="N96" s="87">
        <f>IF(TrRoad_act!N12=0,0,N32/TrRoad_act!N12*1000)</f>
        <v>6.9389567073305995</v>
      </c>
      <c r="O96" s="87">
        <f>IF(TrRoad_act!O12=0,0,O32/TrRoad_act!O12*1000)</f>
        <v>7.3470994229212403</v>
      </c>
      <c r="P96" s="87">
        <f>IF(TrRoad_act!P12=0,0,P32/TrRoad_act!P12*1000)</f>
        <v>7.6711251616492246</v>
      </c>
      <c r="Q96" s="87">
        <f>IF(TrRoad_act!Q12=0,0,Q32/TrRoad_act!Q12*1000)</f>
        <v>8.0849893189385327</v>
      </c>
      <c r="R96" s="87">
        <f>IF(TrRoad_act!R12=0,0,R32/TrRoad_act!R12*1000)</f>
        <v>8.4001130006976332</v>
      </c>
      <c r="S96" s="87">
        <f>IF(TrRoad_act!S12=0,0,S32/TrRoad_act!S12*1000)</f>
        <v>8.2842678713710942</v>
      </c>
      <c r="T96" s="87">
        <f>IF(TrRoad_act!T12=0,0,T32/TrRoad_act!T12*1000)</f>
        <v>8.2716080234967819</v>
      </c>
      <c r="U96" s="87">
        <f>IF(TrRoad_act!U12=0,0,U32/TrRoad_act!U12*1000)</f>
        <v>8.7887988015143925</v>
      </c>
      <c r="V96" s="87">
        <f>IF(TrRoad_act!V12=0,0,V32/TrRoad_act!V12*1000)</f>
        <v>9.6698316384412433</v>
      </c>
      <c r="W96" s="87">
        <f>IF(TrRoad_act!W12=0,0,W32/TrRoad_act!W12*1000)</f>
        <v>9.6962602090791368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34.081715380670204</v>
      </c>
      <c r="C97" s="116">
        <f>IF(TrRoad_act!C13=0,0,C33/TrRoad_act!C13*1000)</f>
        <v>34.380278582013993</v>
      </c>
      <c r="D97" s="116">
        <f>IF(TrRoad_act!D13=0,0,D33/TrRoad_act!D13*1000)</f>
        <v>34.000737257911958</v>
      </c>
      <c r="E97" s="116">
        <f>IF(TrRoad_act!E13=0,0,E33/TrRoad_act!E13*1000)</f>
        <v>33.811395555631414</v>
      </c>
      <c r="F97" s="116">
        <f>IF(TrRoad_act!F13=0,0,F33/TrRoad_act!F13*1000)</f>
        <v>33.645546959935984</v>
      </c>
      <c r="G97" s="116">
        <f>IF(TrRoad_act!G13=0,0,G33/TrRoad_act!G13*1000)</f>
        <v>33.618066674849345</v>
      </c>
      <c r="H97" s="116">
        <f>IF(TrRoad_act!H13=0,0,H33/TrRoad_act!H13*1000)</f>
        <v>33.476362126211733</v>
      </c>
      <c r="I97" s="116">
        <f>IF(TrRoad_act!I13=0,0,I33/TrRoad_act!I13*1000)</f>
        <v>33.874463025727493</v>
      </c>
      <c r="J97" s="116">
        <f>IF(TrRoad_act!J13=0,0,J33/TrRoad_act!J13*1000)</f>
        <v>33.499328659901316</v>
      </c>
      <c r="K97" s="116">
        <f>IF(TrRoad_act!K13=0,0,K33/TrRoad_act!K13*1000)</f>
        <v>32.379758057037328</v>
      </c>
      <c r="L97" s="116">
        <f>IF(TrRoad_act!L13=0,0,L33/TrRoad_act!L13*1000)</f>
        <v>30.906710012326329</v>
      </c>
      <c r="M97" s="116">
        <f>IF(TrRoad_act!M13=0,0,M33/TrRoad_act!M13*1000)</f>
        <v>30.460364648898754</v>
      </c>
      <c r="N97" s="116">
        <f>IF(TrRoad_act!N13=0,0,N33/TrRoad_act!N13*1000)</f>
        <v>30.273431070518217</v>
      </c>
      <c r="O97" s="116">
        <f>IF(TrRoad_act!O13=0,0,O33/TrRoad_act!O13*1000)</f>
        <v>28.217305231384515</v>
      </c>
      <c r="P97" s="116">
        <f>IF(TrRoad_act!P13=0,0,P33/TrRoad_act!P13*1000)</f>
        <v>27.864642176504205</v>
      </c>
      <c r="Q97" s="116">
        <f>IF(TrRoad_act!Q13=0,0,Q33/TrRoad_act!Q13*1000)</f>
        <v>28.099796966634859</v>
      </c>
      <c r="R97" s="116">
        <f>IF(TrRoad_act!R13=0,0,R33/TrRoad_act!R13*1000)</f>
        <v>28.277389182328328</v>
      </c>
      <c r="S97" s="116">
        <f>IF(TrRoad_act!S13=0,0,S33/TrRoad_act!S13*1000)</f>
        <v>27.857845428685319</v>
      </c>
      <c r="T97" s="116">
        <f>IF(TrRoad_act!T13=0,0,T33/TrRoad_act!T13*1000)</f>
        <v>28.218417865633786</v>
      </c>
      <c r="U97" s="116">
        <f>IF(TrRoad_act!U13=0,0,U33/TrRoad_act!U13*1000)</f>
        <v>28.268120042551274</v>
      </c>
      <c r="V97" s="116">
        <f>IF(TrRoad_act!V13=0,0,V33/TrRoad_act!V13*1000)</f>
        <v>35.68980022207743</v>
      </c>
      <c r="W97" s="116">
        <f>IF(TrRoad_act!W13=0,0,W33/TrRoad_act!W13*1000)</f>
        <v>35.863601536808723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27.123735404871415</v>
      </c>
      <c r="C98" s="101">
        <f>IF(TrRoad_act!C14=0,0,C34/TrRoad_act!C14*1000)</f>
        <v>27.16544355472767</v>
      </c>
      <c r="D98" s="101">
        <f>IF(TrRoad_act!D14=0,0,D34/TrRoad_act!D14*1000)</f>
        <v>27.141565057949343</v>
      </c>
      <c r="E98" s="101">
        <f>IF(TrRoad_act!E14=0,0,E34/TrRoad_act!E14*1000)</f>
        <v>27.136526750486222</v>
      </c>
      <c r="F98" s="101">
        <f>IF(TrRoad_act!F14=0,0,F34/TrRoad_act!F14*1000)</f>
        <v>27.131146965005819</v>
      </c>
      <c r="G98" s="101">
        <f>IF(TrRoad_act!G14=0,0,G34/TrRoad_act!G14*1000)</f>
        <v>27.136715352340328</v>
      </c>
      <c r="H98" s="101">
        <f>IF(TrRoad_act!H14=0,0,H34/TrRoad_act!H14*1000)</f>
        <v>27.129716622012651</v>
      </c>
      <c r="I98" s="101">
        <f>IF(TrRoad_act!I14=0,0,I34/TrRoad_act!I14*1000)</f>
        <v>27.164494485651467</v>
      </c>
      <c r="J98" s="101">
        <f>IF(TrRoad_act!J14=0,0,J34/TrRoad_act!J14*1000)</f>
        <v>27.144062578375376</v>
      </c>
      <c r="K98" s="101">
        <f>IF(TrRoad_act!K14=0,0,K34/TrRoad_act!K14*1000)</f>
        <v>27.065292710861783</v>
      </c>
      <c r="L98" s="101">
        <f>IF(TrRoad_act!L14=0,0,L34/TrRoad_act!L14*1000)</f>
        <v>26.788939823317584</v>
      </c>
      <c r="M98" s="101">
        <f>IF(TrRoad_act!M14=0,0,M34/TrRoad_act!M14*1000)</f>
        <v>26.543335706430423</v>
      </c>
      <c r="N98" s="101">
        <f>IF(TrRoad_act!N14=0,0,N34/TrRoad_act!N14*1000)</f>
        <v>26.364323534595805</v>
      </c>
      <c r="O98" s="101">
        <f>IF(TrRoad_act!O14=0,0,O34/TrRoad_act!O14*1000)</f>
        <v>24.580714150034215</v>
      </c>
      <c r="P98" s="101">
        <f>IF(TrRoad_act!P14=0,0,P34/TrRoad_act!P14*1000)</f>
        <v>24.196091448498173</v>
      </c>
      <c r="Q98" s="101">
        <f>IF(TrRoad_act!Q14=0,0,Q34/TrRoad_act!Q14*1000)</f>
        <v>24.257297637232686</v>
      </c>
      <c r="R98" s="101">
        <f>IF(TrRoad_act!R14=0,0,R34/TrRoad_act!R14*1000)</f>
        <v>24.263800972956325</v>
      </c>
      <c r="S98" s="101">
        <f>IF(TrRoad_act!S14=0,0,S34/TrRoad_act!S14*1000)</f>
        <v>23.710018349470843</v>
      </c>
      <c r="T98" s="101">
        <f>IF(TrRoad_act!T14=0,0,T34/TrRoad_act!T14*1000)</f>
        <v>23.947721723262667</v>
      </c>
      <c r="U98" s="101">
        <f>IF(TrRoad_act!U14=0,0,U34/TrRoad_act!U14*1000)</f>
        <v>23.84339042681809</v>
      </c>
      <c r="V98" s="101">
        <f>IF(TrRoad_act!V14=0,0,V34/TrRoad_act!V14*1000)</f>
        <v>26.713911733327787</v>
      </c>
      <c r="W98" s="101">
        <f>IF(TrRoad_act!W14=0,0,W34/TrRoad_act!W14*1000)</f>
        <v>26.06432166821828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34.135520989064567</v>
      </c>
      <c r="C99" s="101">
        <f>IF(TrRoad_act!C15=0,0,C36/TrRoad_act!C15*1000)</f>
        <v>34.491492546754991</v>
      </c>
      <c r="D99" s="101">
        <f>IF(TrRoad_act!D15=0,0,D36/TrRoad_act!D15*1000)</f>
        <v>34.116722603736008</v>
      </c>
      <c r="E99" s="101">
        <f>IF(TrRoad_act!E15=0,0,E36/TrRoad_act!E15*1000)</f>
        <v>33.949198494245842</v>
      </c>
      <c r="F99" s="101">
        <f>IF(TrRoad_act!F15=0,0,F36/TrRoad_act!F15*1000)</f>
        <v>33.817266646856915</v>
      </c>
      <c r="G99" s="101">
        <f>IF(TrRoad_act!G15=0,0,G36/TrRoad_act!G15*1000)</f>
        <v>33.795793249349224</v>
      </c>
      <c r="H99" s="101">
        <f>IF(TrRoad_act!H15=0,0,H36/TrRoad_act!H15*1000)</f>
        <v>33.633502154232509</v>
      </c>
      <c r="I99" s="101">
        <f>IF(TrRoad_act!I15=0,0,I36/TrRoad_act!I15*1000)</f>
        <v>34.061138177640395</v>
      </c>
      <c r="J99" s="101">
        <f>IF(TrRoad_act!J15=0,0,J36/TrRoad_act!J15*1000)</f>
        <v>33.697239234045128</v>
      </c>
      <c r="K99" s="101">
        <f>IF(TrRoad_act!K15=0,0,K36/TrRoad_act!K15*1000)</f>
        <v>32.570784259574474</v>
      </c>
      <c r="L99" s="101">
        <f>IF(TrRoad_act!L15=0,0,L36/TrRoad_act!L15*1000)</f>
        <v>31.043258098954798</v>
      </c>
      <c r="M99" s="101">
        <f>IF(TrRoad_act!M15=0,0,M36/TrRoad_act!M15*1000)</f>
        <v>30.743952064703031</v>
      </c>
      <c r="N99" s="101">
        <f>IF(TrRoad_act!N15=0,0,N36/TrRoad_act!N15*1000)</f>
        <v>30.592332584019655</v>
      </c>
      <c r="O99" s="101">
        <f>IF(TrRoad_act!O15=0,0,O36/TrRoad_act!O15*1000)</f>
        <v>28.53495252460327</v>
      </c>
      <c r="P99" s="101">
        <f>IF(TrRoad_act!P15=0,0,P36/TrRoad_act!P15*1000)</f>
        <v>28.172614673756499</v>
      </c>
      <c r="Q99" s="101">
        <f>IF(TrRoad_act!Q15=0,0,Q36/TrRoad_act!Q15*1000)</f>
        <v>28.383101990089607</v>
      </c>
      <c r="R99" s="101">
        <f>IF(TrRoad_act!R15=0,0,R36/TrRoad_act!R15*1000)</f>
        <v>28.514179881234117</v>
      </c>
      <c r="S99" s="101">
        <f>IF(TrRoad_act!S15=0,0,S36/TrRoad_act!S15*1000)</f>
        <v>28.044984026949269</v>
      </c>
      <c r="T99" s="101">
        <f>IF(TrRoad_act!T15=0,0,T36/TrRoad_act!T15*1000)</f>
        <v>28.46164699399792</v>
      </c>
      <c r="U99" s="101">
        <f>IF(TrRoad_act!U15=0,0,U36/TrRoad_act!U15*1000)</f>
        <v>28.599788848556209</v>
      </c>
      <c r="V99" s="101">
        <f>IF(TrRoad_act!V15=0,0,V36/TrRoad_act!V15*1000)</f>
        <v>35.775357352039414</v>
      </c>
      <c r="W99" s="101">
        <f>IF(TrRoad_act!W15=0,0,W36/TrRoad_act!W15*1000)</f>
        <v>36.224007821667207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28.019573478523821</v>
      </c>
      <c r="C100" s="101">
        <f>IF(TrRoad_act!C16=0,0,C38/TrRoad_act!C16*1000)</f>
        <v>27.663237050005151</v>
      </c>
      <c r="D100" s="101">
        <f>IF(TrRoad_act!D16=0,0,D38/TrRoad_act!D16*1000)</f>
        <v>27.534741978131965</v>
      </c>
      <c r="E100" s="101">
        <f>IF(TrRoad_act!E16=0,0,E38/TrRoad_act!E16*1000)</f>
        <v>27.466835967215136</v>
      </c>
      <c r="F100" s="101">
        <f>IF(TrRoad_act!F16=0,0,F38/TrRoad_act!F16*1000)</f>
        <v>27.440864299666554</v>
      </c>
      <c r="G100" s="101">
        <f>IF(TrRoad_act!G16=0,0,G38/TrRoad_act!G16*1000)</f>
        <v>27.477488681099906</v>
      </c>
      <c r="H100" s="101">
        <f>IF(TrRoad_act!H16=0,0,H38/TrRoad_act!H16*1000)</f>
        <v>27.227463118315391</v>
      </c>
      <c r="I100" s="101">
        <f>IF(TrRoad_act!I16=0,0,I38/TrRoad_act!I16*1000)</f>
        <v>27.546798502131708</v>
      </c>
      <c r="J100" s="101">
        <f>IF(TrRoad_act!J16=0,0,J38/TrRoad_act!J16*1000)</f>
        <v>27.338960376326288</v>
      </c>
      <c r="K100" s="101">
        <f>IF(TrRoad_act!K16=0,0,K38/TrRoad_act!K16*1000)</f>
        <v>26.528066731084191</v>
      </c>
      <c r="L100" s="101">
        <f>IF(TrRoad_act!L16=0,0,L38/TrRoad_act!L16*1000)</f>
        <v>25.355486777229586</v>
      </c>
      <c r="M100" s="101">
        <f>IF(TrRoad_act!M16=0,0,M38/TrRoad_act!M16*1000)</f>
        <v>25.071025890022209</v>
      </c>
      <c r="N100" s="101">
        <f>IF(TrRoad_act!N16=0,0,N38/TrRoad_act!N16*1000)</f>
        <v>24.876687682849148</v>
      </c>
      <c r="O100" s="101">
        <f>IF(TrRoad_act!O16=0,0,O38/TrRoad_act!O16*1000)</f>
        <v>23.190753139466878</v>
      </c>
      <c r="P100" s="101">
        <f>IF(TrRoad_act!P16=0,0,P38/TrRoad_act!P16*1000)</f>
        <v>22.800619933904386</v>
      </c>
      <c r="Q100" s="101">
        <f>IF(TrRoad_act!Q16=0,0,Q38/TrRoad_act!Q16*1000)</f>
        <v>22.821477541914874</v>
      </c>
      <c r="R100" s="101">
        <f>IF(TrRoad_act!R16=0,0,R38/TrRoad_act!R16*1000)</f>
        <v>22.823751740608788</v>
      </c>
      <c r="S100" s="101">
        <f>IF(TrRoad_act!S16=0,0,S38/TrRoad_act!S16*1000)</f>
        <v>22.356517604850119</v>
      </c>
      <c r="T100" s="101">
        <f>IF(TrRoad_act!T16=0,0,T38/TrRoad_act!T16*1000)</f>
        <v>22.554465617361203</v>
      </c>
      <c r="U100" s="101">
        <f>IF(TrRoad_act!U16=0,0,U38/TrRoad_act!U16*1000)</f>
        <v>22.568619799883933</v>
      </c>
      <c r="V100" s="101">
        <f>IF(TrRoad_act!V16=0,0,V38/TrRoad_act!V16*1000)</f>
        <v>28.083378847326316</v>
      </c>
      <c r="W100" s="101">
        <f>IF(TrRoad_act!W16=0,0,W38/TrRoad_act!W16*1000)</f>
        <v>28.320136768881721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28.284704910708793</v>
      </c>
      <c r="C101" s="101">
        <f>IF(TrRoad_act!C17=0,0,C39/TrRoad_act!C17*1000)</f>
        <v>26.250042445802698</v>
      </c>
      <c r="D101" s="101">
        <f>IF(TrRoad_act!D17=0,0,D39/TrRoad_act!D17*1000)</f>
        <v>26.582778488094196</v>
      </c>
      <c r="E101" s="101">
        <f>IF(TrRoad_act!E17=0,0,E39/TrRoad_act!E17*1000)</f>
        <v>26.483485853053065</v>
      </c>
      <c r="F101" s="101">
        <f>IF(TrRoad_act!F17=0,0,F39/TrRoad_act!F17*1000)</f>
        <v>24.719934236635211</v>
      </c>
      <c r="G101" s="101">
        <f>IF(TrRoad_act!G17=0,0,G39/TrRoad_act!G17*1000)</f>
        <v>24.877933350682397</v>
      </c>
      <c r="H101" s="101">
        <f>IF(TrRoad_act!H17=0,0,H39/TrRoad_act!H17*1000)</f>
        <v>26.881657306529078</v>
      </c>
      <c r="I101" s="101">
        <f>IF(TrRoad_act!I17=0,0,I39/TrRoad_act!I17*1000)</f>
        <v>26.152345058543432</v>
      </c>
      <c r="J101" s="101">
        <f>IF(TrRoad_act!J17=0,0,J39/TrRoad_act!J17*1000)</f>
        <v>26.338395444292868</v>
      </c>
      <c r="K101" s="101">
        <f>IF(TrRoad_act!K17=0,0,K39/TrRoad_act!K17*1000)</f>
        <v>25.483178299621706</v>
      </c>
      <c r="L101" s="101">
        <f>IF(TrRoad_act!L17=0,0,L39/TrRoad_act!L17*1000)</f>
        <v>26.402000733282929</v>
      </c>
      <c r="M101" s="101">
        <f>IF(TrRoad_act!M17=0,0,M39/TrRoad_act!M17*1000)</f>
        <v>25.746588518400262</v>
      </c>
      <c r="N101" s="101">
        <f>IF(TrRoad_act!N17=0,0,N39/TrRoad_act!N17*1000)</f>
        <v>25.543278682528118</v>
      </c>
      <c r="O101" s="101">
        <f>IF(TrRoad_act!O17=0,0,O39/TrRoad_act!O17*1000)</f>
        <v>24.502189826618832</v>
      </c>
      <c r="P101" s="101">
        <f>IF(TrRoad_act!P17=0,0,P39/TrRoad_act!P17*1000)</f>
        <v>24.548117860554324</v>
      </c>
      <c r="Q101" s="101">
        <f>IF(TrRoad_act!Q17=0,0,Q39/TrRoad_act!Q17*1000)</f>
        <v>25.172437697563669</v>
      </c>
      <c r="R101" s="101">
        <f>IF(TrRoad_act!R17=0,0,R39/TrRoad_act!R17*1000)</f>
        <v>26.078928866657343</v>
      </c>
      <c r="S101" s="101">
        <f>IF(TrRoad_act!S17=0,0,S39/TrRoad_act!S17*1000)</f>
        <v>26.569872769092619</v>
      </c>
      <c r="T101" s="101">
        <f>IF(TrRoad_act!T17=0,0,T39/TrRoad_act!T17*1000)</f>
        <v>26.5128087088336</v>
      </c>
      <c r="U101" s="101">
        <f>IF(TrRoad_act!U17=0,0,U39/TrRoad_act!U17*1000)</f>
        <v>26.608031208469878</v>
      </c>
      <c r="V101" s="101">
        <f>IF(TrRoad_act!V17=0,0,V39/TrRoad_act!V17*1000)</f>
        <v>36.704138787892852</v>
      </c>
      <c r="W101" s="101">
        <f>IF(TrRoad_act!W17=0,0,W39/TrRoad_act!W17*1000)</f>
        <v>36.560557700110252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19.382988625762291</v>
      </c>
      <c r="C102" s="101">
        <f>IF(TrRoad_act!C18=0,0,C41/TrRoad_act!C18*1000)</f>
        <v>18.78068792637238</v>
      </c>
      <c r="D102" s="101">
        <f>IF(TrRoad_act!D18=0,0,D41/TrRoad_act!D18*1000)</f>
        <v>18.375515034134441</v>
      </c>
      <c r="E102" s="101">
        <f>IF(TrRoad_act!E18=0,0,E41/TrRoad_act!E18*1000)</f>
        <v>18.137977223498218</v>
      </c>
      <c r="F102" s="101">
        <f>IF(TrRoad_act!F18=0,0,F41/TrRoad_act!F18*1000)</f>
        <v>17.94553215581842</v>
      </c>
      <c r="G102" s="101">
        <f>IF(TrRoad_act!G18=0,0,G41/TrRoad_act!G18*1000)</f>
        <v>17.918403172326119</v>
      </c>
      <c r="H102" s="101">
        <f>IF(TrRoad_act!H18=0,0,H41/TrRoad_act!H18*1000)</f>
        <v>17.824741069785254</v>
      </c>
      <c r="I102" s="101">
        <f>IF(TrRoad_act!I18=0,0,I41/TrRoad_act!I18*1000)</f>
        <v>18.020711316622183</v>
      </c>
      <c r="J102" s="101">
        <f>IF(TrRoad_act!J18=0,0,J41/TrRoad_act!J18*1000)</f>
        <v>17.86943791928379</v>
      </c>
      <c r="K102" s="101">
        <f>IF(TrRoad_act!K18=0,0,K41/TrRoad_act!K18*1000)</f>
        <v>17.309577979721151</v>
      </c>
      <c r="L102" s="101">
        <f>IF(TrRoad_act!L18=0,0,L41/TrRoad_act!L18*1000)</f>
        <v>16.468571809991552</v>
      </c>
      <c r="M102" s="101">
        <f>IF(TrRoad_act!M18=0,0,M41/TrRoad_act!M18*1000)</f>
        <v>16.311423919943525</v>
      </c>
      <c r="N102" s="101">
        <f>IF(TrRoad_act!N18=0,0,N41/TrRoad_act!N18*1000)</f>
        <v>16.095298429854299</v>
      </c>
      <c r="O102" s="101">
        <f>IF(TrRoad_act!O18=0,0,O41/TrRoad_act!O18*1000)</f>
        <v>15.017033287019729</v>
      </c>
      <c r="P102" s="101">
        <f>IF(TrRoad_act!P18=0,0,P41/TrRoad_act!P18*1000)</f>
        <v>14.782103474753784</v>
      </c>
      <c r="Q102" s="101">
        <f>IF(TrRoad_act!Q18=0,0,Q41/TrRoad_act!Q18*1000)</f>
        <v>14.853917836595004</v>
      </c>
      <c r="R102" s="101">
        <f>IF(TrRoad_act!R18=0,0,R41/TrRoad_act!R18*1000)</f>
        <v>14.934749565432437</v>
      </c>
      <c r="S102" s="101">
        <f>IF(TrRoad_act!S18=0,0,S41/TrRoad_act!S18*1000)</f>
        <v>14.709001763035758</v>
      </c>
      <c r="T102" s="101">
        <f>IF(TrRoad_act!T18=0,0,T41/TrRoad_act!T18*1000)</f>
        <v>14.926068387942632</v>
      </c>
      <c r="U102" s="101">
        <f>IF(TrRoad_act!U18=0,0,U41/TrRoad_act!U18*1000)</f>
        <v>14.964700500990057</v>
      </c>
      <c r="V102" s="101">
        <f>IF(TrRoad_act!V18=0,0,V41/TrRoad_act!V18*1000)</f>
        <v>18.641260148258098</v>
      </c>
      <c r="W102" s="101">
        <f>IF(TrRoad_act!W18=0,0,W41/TrRoad_act!W18*1000)</f>
        <v>18.757442605945986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58.189797390646092</v>
      </c>
      <c r="C103" s="29">
        <f>IF(TrRoad_act!C19=0,0,C42/TrRoad_act!C19*1000)</f>
        <v>56.101224535172285</v>
      </c>
      <c r="D103" s="29">
        <f>IF(TrRoad_act!D19=0,0,D42/TrRoad_act!D19*1000)</f>
        <v>54.472861920687656</v>
      </c>
      <c r="E103" s="29">
        <f>IF(TrRoad_act!E19=0,0,E42/TrRoad_act!E19*1000)</f>
        <v>52.766670478765398</v>
      </c>
      <c r="F103" s="29">
        <f>IF(TrRoad_act!F19=0,0,F42/TrRoad_act!F19*1000)</f>
        <v>49.953926662115144</v>
      </c>
      <c r="G103" s="29">
        <f>IF(TrRoad_act!G19=0,0,G42/TrRoad_act!G19*1000)</f>
        <v>49.2796493890107</v>
      </c>
      <c r="H103" s="29">
        <f>IF(TrRoad_act!H19=0,0,H42/TrRoad_act!H19*1000)</f>
        <v>47.845091954467186</v>
      </c>
      <c r="I103" s="29">
        <f>IF(TrRoad_act!I19=0,0,I42/TrRoad_act!I19*1000)</f>
        <v>46.489074261924202</v>
      </c>
      <c r="J103" s="29">
        <f>IF(TrRoad_act!J19=0,0,J42/TrRoad_act!J19*1000)</f>
        <v>46.448002433594596</v>
      </c>
      <c r="K103" s="29">
        <f>IF(TrRoad_act!K19=0,0,K42/TrRoad_act!K19*1000)</f>
        <v>50.108437211983365</v>
      </c>
      <c r="L103" s="29">
        <f>IF(TrRoad_act!L19=0,0,L42/TrRoad_act!L19*1000)</f>
        <v>49.079085520694257</v>
      </c>
      <c r="M103" s="29">
        <f>IF(TrRoad_act!M19=0,0,M42/TrRoad_act!M19*1000)</f>
        <v>50.375363421750855</v>
      </c>
      <c r="N103" s="29">
        <f>IF(TrRoad_act!N19=0,0,N42/TrRoad_act!N19*1000)</f>
        <v>51.408534397348625</v>
      </c>
      <c r="O103" s="29">
        <f>IF(TrRoad_act!O19=0,0,O42/TrRoad_act!O19*1000)</f>
        <v>50.776830332398582</v>
      </c>
      <c r="P103" s="29">
        <f>IF(TrRoad_act!P19=0,0,P42/TrRoad_act!P19*1000)</f>
        <v>51.174433617383187</v>
      </c>
      <c r="Q103" s="29">
        <f>IF(TrRoad_act!Q19=0,0,Q42/TrRoad_act!Q19*1000)</f>
        <v>52.763389061979311</v>
      </c>
      <c r="R103" s="29">
        <f>IF(TrRoad_act!R19=0,0,R42/TrRoad_act!R19*1000)</f>
        <v>51.87296480332072</v>
      </c>
      <c r="S103" s="29">
        <f>IF(TrRoad_act!S19=0,0,S42/TrRoad_act!S19*1000)</f>
        <v>49.573704430715559</v>
      </c>
      <c r="T103" s="29">
        <f>IF(TrRoad_act!T19=0,0,T42/TrRoad_act!T19*1000)</f>
        <v>48.088098157834459</v>
      </c>
      <c r="U103" s="29">
        <f>IF(TrRoad_act!U19=0,0,U42/TrRoad_act!U19*1000)</f>
        <v>46.91884312414178</v>
      </c>
      <c r="V103" s="29">
        <f>IF(TrRoad_act!V19=0,0,V42/TrRoad_act!V19*1000)</f>
        <v>44.572297044215198</v>
      </c>
      <c r="W103" s="29">
        <f>IF(TrRoad_act!W19=0,0,W42/TrRoad_act!W19*1000)</f>
        <v>46.369321783172623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474.92239296125359</v>
      </c>
      <c r="C104" s="152">
        <f>IF(TrRoad_act!C20=0,0,C43/TrRoad_act!C20*1000)</f>
        <v>458.96027112708055</v>
      </c>
      <c r="D104" s="152">
        <f>IF(TrRoad_act!D20=0,0,D43/TrRoad_act!D20*1000)</f>
        <v>448.19563697865914</v>
      </c>
      <c r="E104" s="152">
        <f>IF(TrRoad_act!E20=0,0,E43/TrRoad_act!E20*1000)</f>
        <v>433.51721984932124</v>
      </c>
      <c r="F104" s="152">
        <f>IF(TrRoad_act!F20=0,0,F43/TrRoad_act!F20*1000)</f>
        <v>419.28952380540903</v>
      </c>
      <c r="G104" s="152">
        <f>IF(TrRoad_act!G20=0,0,G43/TrRoad_act!G20*1000)</f>
        <v>412.00715329415459</v>
      </c>
      <c r="H104" s="152">
        <f>IF(TrRoad_act!H20=0,0,H43/TrRoad_act!H20*1000)</f>
        <v>404.19212761642109</v>
      </c>
      <c r="I104" s="152">
        <f>IF(TrRoad_act!I20=0,0,I43/TrRoad_act!I20*1000)</f>
        <v>397.15118907298887</v>
      </c>
      <c r="J104" s="152">
        <f>IF(TrRoad_act!J20=0,0,J43/TrRoad_act!J20*1000)</f>
        <v>392.80192913232588</v>
      </c>
      <c r="K104" s="152">
        <f>IF(TrRoad_act!K20=0,0,K43/TrRoad_act!K20*1000)</f>
        <v>394.00904329951334</v>
      </c>
      <c r="L104" s="152">
        <f>IF(TrRoad_act!L20=0,0,L43/TrRoad_act!L20*1000)</f>
        <v>393.10776277088905</v>
      </c>
      <c r="M104" s="152">
        <f>IF(TrRoad_act!M20=0,0,M43/TrRoad_act!M20*1000)</f>
        <v>397.75157320557537</v>
      </c>
      <c r="N104" s="152">
        <f>IF(TrRoad_act!N20=0,0,N43/TrRoad_act!N20*1000)</f>
        <v>396.11391193708562</v>
      </c>
      <c r="O104" s="152">
        <f>IF(TrRoad_act!O20=0,0,O43/TrRoad_act!O20*1000)</f>
        <v>390.76273423058802</v>
      </c>
      <c r="P104" s="152">
        <f>IF(TrRoad_act!P20=0,0,P43/TrRoad_act!P20*1000)</f>
        <v>384.97451460423309</v>
      </c>
      <c r="Q104" s="152">
        <f>IF(TrRoad_act!Q20=0,0,Q43/TrRoad_act!Q20*1000)</f>
        <v>382.744433578349</v>
      </c>
      <c r="R104" s="152">
        <f>IF(TrRoad_act!R20=0,0,R43/TrRoad_act!R20*1000)</f>
        <v>379.33706284520588</v>
      </c>
      <c r="S104" s="152">
        <f>IF(TrRoad_act!S20=0,0,S43/TrRoad_act!S20*1000)</f>
        <v>376.91976150587703</v>
      </c>
      <c r="T104" s="152">
        <f>IF(TrRoad_act!T20=0,0,T43/TrRoad_act!T20*1000)</f>
        <v>373.42432531610314</v>
      </c>
      <c r="U104" s="152">
        <f>IF(TrRoad_act!U20=0,0,U43/TrRoad_act!U20*1000)</f>
        <v>367.16484155543895</v>
      </c>
      <c r="V104" s="152">
        <f>IF(TrRoad_act!V20=0,0,V43/TrRoad_act!V20*1000)</f>
        <v>354.37728506876198</v>
      </c>
      <c r="W104" s="152">
        <f>IF(TrRoad_act!W20=0,0,W43/TrRoad_act!W20*1000)</f>
        <v>367.37743485161712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623.21203717631579</v>
      </c>
      <c r="C105" s="87">
        <f>IF(TrRoad_act!C21=0,0,C44/TrRoad_act!C21*1000)</f>
        <v>625.99292997036423</v>
      </c>
      <c r="D105" s="87">
        <f>IF(TrRoad_act!D21=0,0,D44/TrRoad_act!D21*1000)</f>
        <v>622.99127893156071</v>
      </c>
      <c r="E105" s="87">
        <f>IF(TrRoad_act!E21=0,0,E44/TrRoad_act!E21*1000)</f>
        <v>617.68674347520516</v>
      </c>
      <c r="F105" s="87">
        <f>IF(TrRoad_act!F21=0,0,F44/TrRoad_act!F21*1000)</f>
        <v>611.52300135339908</v>
      </c>
      <c r="G105" s="87">
        <f>IF(TrRoad_act!G21=0,0,G44/TrRoad_act!G21*1000)</f>
        <v>605.84062047815667</v>
      </c>
      <c r="H105" s="87">
        <f>IF(TrRoad_act!H21=0,0,H44/TrRoad_act!H21*1000)</f>
        <v>601.6984859857447</v>
      </c>
      <c r="I105" s="87">
        <f>IF(TrRoad_act!I21=0,0,I44/TrRoad_act!I21*1000)</f>
        <v>595.11445237009718</v>
      </c>
      <c r="J105" s="87">
        <f>IF(TrRoad_act!J21=0,0,J44/TrRoad_act!J21*1000)</f>
        <v>581.64838901223402</v>
      </c>
      <c r="K105" s="87">
        <f>IF(TrRoad_act!K21=0,0,K44/TrRoad_act!K21*1000)</f>
        <v>573.51994170762191</v>
      </c>
      <c r="L105" s="87">
        <f>IF(TrRoad_act!L21=0,0,L44/TrRoad_act!L21*1000)</f>
        <v>564.90136909669047</v>
      </c>
      <c r="M105" s="87">
        <f>IF(TrRoad_act!M21=0,0,M44/TrRoad_act!M21*1000)</f>
        <v>556.58936751451176</v>
      </c>
      <c r="N105" s="87">
        <f>IF(TrRoad_act!N21=0,0,N44/TrRoad_act!N21*1000)</f>
        <v>544.20030901545954</v>
      </c>
      <c r="O105" s="87">
        <f>IF(TrRoad_act!O21=0,0,O44/TrRoad_act!O21*1000)</f>
        <v>529.77630710907181</v>
      </c>
      <c r="P105" s="87">
        <f>IF(TrRoad_act!P21=0,0,P44/TrRoad_act!P21*1000)</f>
        <v>519.81980163996889</v>
      </c>
      <c r="Q105" s="87">
        <f>IF(TrRoad_act!Q21=0,0,Q44/TrRoad_act!Q21*1000)</f>
        <v>513.40253126185519</v>
      </c>
      <c r="R105" s="87">
        <f>IF(TrRoad_act!R21=0,0,R44/TrRoad_act!R21*1000)</f>
        <v>513.51727588243421</v>
      </c>
      <c r="S105" s="87">
        <f>IF(TrRoad_act!S21=0,0,S44/TrRoad_act!S21*1000)</f>
        <v>517.01566727471084</v>
      </c>
      <c r="T105" s="87">
        <f>IF(TrRoad_act!T21=0,0,T44/TrRoad_act!T21*1000)</f>
        <v>513.95497487267119</v>
      </c>
      <c r="U105" s="87">
        <f>IF(TrRoad_act!U21=0,0,U44/TrRoad_act!U21*1000)</f>
        <v>511.59506569755177</v>
      </c>
      <c r="V105" s="87">
        <f>IF(TrRoad_act!V21=0,0,V44/TrRoad_act!V21*1000)</f>
        <v>495.23229726970601</v>
      </c>
      <c r="W105" s="87">
        <f>IF(TrRoad_act!W21=0,0,W44/TrRoad_act!W21*1000)</f>
        <v>512.63182940403044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456.32077180376268</v>
      </c>
      <c r="C106" s="87">
        <f>IF(TrRoad_act!C22=0,0,C46/TrRoad_act!C22*1000)</f>
        <v>441.49909102970082</v>
      </c>
      <c r="D106" s="87">
        <f>IF(TrRoad_act!D22=0,0,D46/TrRoad_act!D22*1000)</f>
        <v>433.29200150521308</v>
      </c>
      <c r="E106" s="87">
        <f>IF(TrRoad_act!E22=0,0,E46/TrRoad_act!E22*1000)</f>
        <v>421.14816934533286</v>
      </c>
      <c r="F106" s="87">
        <f>IF(TrRoad_act!F22=0,0,F46/TrRoad_act!F22*1000)</f>
        <v>409.0747345419116</v>
      </c>
      <c r="G106" s="87">
        <f>IF(TrRoad_act!G22=0,0,G46/TrRoad_act!G22*1000)</f>
        <v>403.34619072833601</v>
      </c>
      <c r="H106" s="87">
        <f>IF(TrRoad_act!H22=0,0,H46/TrRoad_act!H22*1000)</f>
        <v>396.61135829894448</v>
      </c>
      <c r="I106" s="87">
        <f>IF(TrRoad_act!I22=0,0,I46/TrRoad_act!I22*1000)</f>
        <v>390.64921416462539</v>
      </c>
      <c r="J106" s="87">
        <f>IF(TrRoad_act!J22=0,0,J46/TrRoad_act!J22*1000)</f>
        <v>387.15889764293223</v>
      </c>
      <c r="K106" s="87">
        <f>IF(TrRoad_act!K22=0,0,K46/TrRoad_act!K22*1000)</f>
        <v>389.16689672071072</v>
      </c>
      <c r="L106" s="87">
        <f>IF(TrRoad_act!L22=0,0,L46/TrRoad_act!L22*1000)</f>
        <v>388.16083066035173</v>
      </c>
      <c r="M106" s="87">
        <f>IF(TrRoad_act!M22=0,0,M46/TrRoad_act!M22*1000)</f>
        <v>392.83860678317217</v>
      </c>
      <c r="N106" s="87">
        <f>IF(TrRoad_act!N22=0,0,N46/TrRoad_act!N22*1000)</f>
        <v>391.23653788171441</v>
      </c>
      <c r="O106" s="87">
        <f>IF(TrRoad_act!O22=0,0,O46/TrRoad_act!O22*1000)</f>
        <v>385.92016624330307</v>
      </c>
      <c r="P106" s="87">
        <f>IF(TrRoad_act!P22=0,0,P46/TrRoad_act!P22*1000)</f>
        <v>380.83487293470597</v>
      </c>
      <c r="Q106" s="87">
        <f>IF(TrRoad_act!Q22=0,0,Q46/TrRoad_act!Q22*1000)</f>
        <v>379.18656445735934</v>
      </c>
      <c r="R106" s="87">
        <f>IF(TrRoad_act!R22=0,0,R46/TrRoad_act!R22*1000)</f>
        <v>375.92351051118544</v>
      </c>
      <c r="S106" s="87">
        <f>IF(TrRoad_act!S22=0,0,S46/TrRoad_act!S22*1000)</f>
        <v>373.45285606868737</v>
      </c>
      <c r="T106" s="87">
        <f>IF(TrRoad_act!T22=0,0,T46/TrRoad_act!T22*1000)</f>
        <v>370.24491301784349</v>
      </c>
      <c r="U106" s="87">
        <f>IF(TrRoad_act!U22=0,0,U46/TrRoad_act!U22*1000)</f>
        <v>364.17454133536785</v>
      </c>
      <c r="V106" s="87">
        <f>IF(TrRoad_act!V22=0,0,V46/TrRoad_act!V22*1000)</f>
        <v>351.77440336665148</v>
      </c>
      <c r="W106" s="87">
        <f>IF(TrRoad_act!W22=0,0,W46/TrRoad_act!W22*1000)</f>
        <v>364.63151926524938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637.51729309199482</v>
      </c>
      <c r="C107" s="87">
        <f>IF(TrRoad_act!C23=0,0,C48/TrRoad_act!C23*1000)</f>
        <v>621.34734449667565</v>
      </c>
      <c r="D107" s="87">
        <f>IF(TrRoad_act!D23=0,0,D48/TrRoad_act!D23*1000)</f>
        <v>615.48453363686633</v>
      </c>
      <c r="E107" s="87">
        <f>IF(TrRoad_act!E23=0,0,E48/TrRoad_act!E23*1000)</f>
        <v>608.47344429993609</v>
      </c>
      <c r="F107" s="87">
        <f>IF(TrRoad_act!F23=0,0,F48/TrRoad_act!F23*1000)</f>
        <v>601.44984891471734</v>
      </c>
      <c r="G107" s="87">
        <f>IF(TrRoad_act!G23=0,0,G48/TrRoad_act!G23*1000)</f>
        <v>596.25263884181823</v>
      </c>
      <c r="H107" s="87">
        <f>IF(TrRoad_act!H23=0,0,H48/TrRoad_act!H23*1000)</f>
        <v>591.73759706758722</v>
      </c>
      <c r="I107" s="87">
        <f>IF(TrRoad_act!I23=0,0,I48/TrRoad_act!I23*1000)</f>
        <v>582.91548846815033</v>
      </c>
      <c r="J107" s="87">
        <f>IF(TrRoad_act!J23=0,0,J48/TrRoad_act!J23*1000)</f>
        <v>574.47031272006575</v>
      </c>
      <c r="K107" s="87">
        <f>IF(TrRoad_act!K23=0,0,K48/TrRoad_act!K23*1000)</f>
        <v>570.15445927195765</v>
      </c>
      <c r="L107" s="87">
        <f>IF(TrRoad_act!L23=0,0,L48/TrRoad_act!L23*1000)</f>
        <v>571.98972885902765</v>
      </c>
      <c r="M107" s="87">
        <f>IF(TrRoad_act!M23=0,0,M48/TrRoad_act!M23*1000)</f>
        <v>574.65069841076809</v>
      </c>
      <c r="N107" s="87">
        <f>IF(TrRoad_act!N23=0,0,N48/TrRoad_act!N23*1000)</f>
        <v>573.45725333329676</v>
      </c>
      <c r="O107" s="87">
        <f>IF(TrRoad_act!O23=0,0,O48/TrRoad_act!O23*1000)</f>
        <v>573.17354057867681</v>
      </c>
      <c r="P107" s="87">
        <f>IF(TrRoad_act!P23=0,0,P48/TrRoad_act!P23*1000)</f>
        <v>570.71574936955665</v>
      </c>
      <c r="Q107" s="87">
        <f>IF(TrRoad_act!Q23=0,0,Q48/TrRoad_act!Q23*1000)</f>
        <v>572.69114931543652</v>
      </c>
      <c r="R107" s="87">
        <f>IF(TrRoad_act!R23=0,0,R48/TrRoad_act!R23*1000)</f>
        <v>572.88142599035291</v>
      </c>
      <c r="S107" s="87">
        <f>IF(TrRoad_act!S23=0,0,S48/TrRoad_act!S23*1000)</f>
        <v>577.6081553211111</v>
      </c>
      <c r="T107" s="87">
        <f>IF(TrRoad_act!T23=0,0,T48/TrRoad_act!T23*1000)</f>
        <v>575.4017661733543</v>
      </c>
      <c r="U107" s="87">
        <f>IF(TrRoad_act!U23=0,0,U48/TrRoad_act!U23*1000)</f>
        <v>576.53509326746689</v>
      </c>
      <c r="V107" s="87">
        <f>IF(TrRoad_act!V23=0,0,V48/TrRoad_act!V23*1000)</f>
        <v>491.83954670308447</v>
      </c>
      <c r="W107" s="87">
        <f>IF(TrRoad_act!W23=0,0,W48/TrRoad_act!W23*1000)</f>
        <v>505.91465321069705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596.44873665007742</v>
      </c>
      <c r="C108" s="87">
        <f>IF(TrRoad_act!C24=0,0,C49/TrRoad_act!C24*1000)</f>
        <v>600.3053754616526</v>
      </c>
      <c r="D108" s="87">
        <f>IF(TrRoad_act!D24=0,0,D49/TrRoad_act!D24*1000)</f>
        <v>599.07155352412917</v>
      </c>
      <c r="E108" s="87">
        <f>IF(TrRoad_act!E24=0,0,E49/TrRoad_act!E24*1000)</f>
        <v>584.88659283610559</v>
      </c>
      <c r="F108" s="87">
        <f>IF(TrRoad_act!F24=0,0,F49/TrRoad_act!F24*1000)</f>
        <v>582.363329343891</v>
      </c>
      <c r="G108" s="87">
        <f>IF(TrRoad_act!G24=0,0,G49/TrRoad_act!G24*1000)</f>
        <v>580.7494778832089</v>
      </c>
      <c r="H108" s="87">
        <f>IF(TrRoad_act!H24=0,0,H49/TrRoad_act!H24*1000)</f>
        <v>567.34860026381068</v>
      </c>
      <c r="I108" s="87">
        <f>IF(TrRoad_act!I24=0,0,I49/TrRoad_act!I24*1000)</f>
        <v>564.51680556270423</v>
      </c>
      <c r="J108" s="87">
        <f>IF(TrRoad_act!J24=0,0,J49/TrRoad_act!J24*1000)</f>
        <v>555.23857494295657</v>
      </c>
      <c r="K108" s="87">
        <f>IF(TrRoad_act!K24=0,0,K49/TrRoad_act!K24*1000)</f>
        <v>537.5622518967441</v>
      </c>
      <c r="L108" s="87">
        <f>IF(TrRoad_act!L24=0,0,L49/TrRoad_act!L24*1000)</f>
        <v>517.53895358997465</v>
      </c>
      <c r="M108" s="87">
        <f>IF(TrRoad_act!M24=0,0,M49/TrRoad_act!M24*1000)</f>
        <v>504.29993025466791</v>
      </c>
      <c r="N108" s="87">
        <f>IF(TrRoad_act!N24=0,0,N49/TrRoad_act!N24*1000)</f>
        <v>488.90032115584484</v>
      </c>
      <c r="O108" s="87">
        <f>IF(TrRoad_act!O24=0,0,O49/TrRoad_act!O24*1000)</f>
        <v>471.73720175895846</v>
      </c>
      <c r="P108" s="87">
        <f>IF(TrRoad_act!P24=0,0,P49/TrRoad_act!P24*1000)</f>
        <v>461.36737155795061</v>
      </c>
      <c r="Q108" s="87">
        <f>IF(TrRoad_act!Q24=0,0,Q49/TrRoad_act!Q24*1000)</f>
        <v>460.80026879314102</v>
      </c>
      <c r="R108" s="87">
        <f>IF(TrRoad_act!R24=0,0,R49/TrRoad_act!R24*1000)</f>
        <v>471.53467943093483</v>
      </c>
      <c r="S108" s="87">
        <f>IF(TrRoad_act!S24=0,0,S49/TrRoad_act!S24*1000)</f>
        <v>490.07497582572614</v>
      </c>
      <c r="T108" s="87">
        <f>IF(TrRoad_act!T24=0,0,T49/TrRoad_act!T24*1000)</f>
        <v>523.69691838087147</v>
      </c>
      <c r="U108" s="87">
        <f>IF(TrRoad_act!U24=0,0,U49/TrRoad_act!U24*1000)</f>
        <v>528.11111309497892</v>
      </c>
      <c r="V108" s="87">
        <f>IF(TrRoad_act!V24=0,0,V49/TrRoad_act!V24*1000)</f>
        <v>509.41636602402741</v>
      </c>
      <c r="W108" s="87">
        <f>IF(TrRoad_act!W24=0,0,W49/TrRoad_act!W24*1000)</f>
        <v>540.52675684572125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97.621214118542554</v>
      </c>
      <c r="C109" s="87">
        <f>IF(TrRoad_act!C25=0,0,C51/TrRoad_act!C25*1000)</f>
        <v>92.620081699882363</v>
      </c>
      <c r="D109" s="87">
        <f>IF(TrRoad_act!D25=0,0,D51/TrRoad_act!D25*1000)</f>
        <v>91.889860019122821</v>
      </c>
      <c r="E109" s="87">
        <f>IF(TrRoad_act!E25=0,0,E51/TrRoad_act!E25*1000)</f>
        <v>91.404120817360777</v>
      </c>
      <c r="F109" s="87">
        <f>IF(TrRoad_act!F25=0,0,F51/TrRoad_act!F25*1000)</f>
        <v>90.600535420078899</v>
      </c>
      <c r="G109" s="87">
        <f>IF(TrRoad_act!G25=0,0,G51/TrRoad_act!G25*1000)</f>
        <v>89.898360236870914</v>
      </c>
      <c r="H109" s="87">
        <f>IF(TrRoad_act!H25=0,0,H51/TrRoad_act!H25*1000)</f>
        <v>89.271051704248649</v>
      </c>
      <c r="I109" s="87">
        <f>IF(TrRoad_act!I25=0,0,I51/TrRoad_act!I25*1000)</f>
        <v>88.526684145723138</v>
      </c>
      <c r="J109" s="87">
        <f>IF(TrRoad_act!J25=0,0,J51/TrRoad_act!J25*1000)</f>
        <v>87.180592200277246</v>
      </c>
      <c r="K109" s="87">
        <f>IF(TrRoad_act!K25=0,0,K51/TrRoad_act!K25*1000)</f>
        <v>86.512776017217291</v>
      </c>
      <c r="L109" s="87">
        <f>IF(TrRoad_act!L25=0,0,L51/TrRoad_act!L25*1000)</f>
        <v>84.731711634472447</v>
      </c>
      <c r="M109" s="87">
        <f>IF(TrRoad_act!M25=0,0,M51/TrRoad_act!M25*1000)</f>
        <v>84.727304311000992</v>
      </c>
      <c r="N109" s="87">
        <f>IF(TrRoad_act!N25=0,0,N51/TrRoad_act!N25*1000)</f>
        <v>84.691373615371958</v>
      </c>
      <c r="O109" s="87">
        <f>IF(TrRoad_act!O25=0,0,O51/TrRoad_act!O25*1000)</f>
        <v>85.763464442736662</v>
      </c>
      <c r="P109" s="87">
        <f>IF(TrRoad_act!P25=0,0,P51/TrRoad_act!P25*1000)</f>
        <v>85.995044220638079</v>
      </c>
      <c r="Q109" s="87">
        <f>IF(TrRoad_act!Q25=0,0,Q51/TrRoad_act!Q25*1000)</f>
        <v>88.40466290999332</v>
      </c>
      <c r="R109" s="87">
        <f>IF(TrRoad_act!R25=0,0,R51/TrRoad_act!R25*1000)</f>
        <v>89.988596411130814</v>
      </c>
      <c r="S109" s="87">
        <f>IF(TrRoad_act!S25=0,0,S51/TrRoad_act!S25*1000)</f>
        <v>92.021554351540232</v>
      </c>
      <c r="T109" s="87">
        <f>IF(TrRoad_act!T25=0,0,T51/TrRoad_act!T25*1000)</f>
        <v>95.339074558848324</v>
      </c>
      <c r="U109" s="87">
        <f>IF(TrRoad_act!U25=0,0,U51/TrRoad_act!U25*1000)</f>
        <v>98.127026281401626</v>
      </c>
      <c r="V109" s="87">
        <f>IF(TrRoad_act!V25=0,0,V51/TrRoad_act!V25*1000)</f>
        <v>101.21447213503414</v>
      </c>
      <c r="W109" s="87">
        <f>IF(TrRoad_act!W25=0,0,W51/TrRoad_act!W25*1000)</f>
        <v>110.62866025605048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33.15902009886981</v>
      </c>
      <c r="C110" s="116">
        <f>IF(TrRoad_act!C26=0,0,C52/TrRoad_act!C26*1000)</f>
        <v>32.211904970159189</v>
      </c>
      <c r="D110" s="116">
        <f>IF(TrRoad_act!D26=0,0,D52/TrRoad_act!D26*1000)</f>
        <v>31.499302526452549</v>
      </c>
      <c r="E110" s="116">
        <f>IF(TrRoad_act!E26=0,0,E52/TrRoad_act!E26*1000)</f>
        <v>30.786766287732139</v>
      </c>
      <c r="F110" s="116">
        <f>IF(TrRoad_act!F26=0,0,F52/TrRoad_act!F26*1000)</f>
        <v>30.39471497305713</v>
      </c>
      <c r="G110" s="116">
        <f>IF(TrRoad_act!G26=0,0,G52/TrRoad_act!G26*1000)</f>
        <v>30.218010263059252</v>
      </c>
      <c r="H110" s="116">
        <f>IF(TrRoad_act!H26=0,0,H52/TrRoad_act!H26*1000)</f>
        <v>29.477431266789459</v>
      </c>
      <c r="I110" s="116">
        <f>IF(TrRoad_act!I26=0,0,I52/TrRoad_act!I26*1000)</f>
        <v>28.951066026941756</v>
      </c>
      <c r="J110" s="116">
        <f>IF(TrRoad_act!J26=0,0,J52/TrRoad_act!J26*1000)</f>
        <v>28.760988927992294</v>
      </c>
      <c r="K110" s="116">
        <f>IF(TrRoad_act!K26=0,0,K52/TrRoad_act!K26*1000)</f>
        <v>29.521511099961462</v>
      </c>
      <c r="L110" s="116">
        <f>IF(TrRoad_act!L26=0,0,L52/TrRoad_act!L26*1000)</f>
        <v>28.957863398858134</v>
      </c>
      <c r="M110" s="116">
        <f>IF(TrRoad_act!M26=0,0,M52/TrRoad_act!M26*1000)</f>
        <v>29.435012199348201</v>
      </c>
      <c r="N110" s="116">
        <f>IF(TrRoad_act!N26=0,0,N52/TrRoad_act!N26*1000)</f>
        <v>29.336657373981605</v>
      </c>
      <c r="O110" s="116">
        <f>IF(TrRoad_act!O26=0,0,O52/TrRoad_act!O26*1000)</f>
        <v>29.060395293681282</v>
      </c>
      <c r="P110" s="116">
        <f>IF(TrRoad_act!P26=0,0,P52/TrRoad_act!P26*1000)</f>
        <v>29.216175024363135</v>
      </c>
      <c r="Q110" s="116">
        <f>IF(TrRoad_act!Q26=0,0,Q52/TrRoad_act!Q26*1000)</f>
        <v>29.488352166248109</v>
      </c>
      <c r="R110" s="116">
        <f>IF(TrRoad_act!R26=0,0,R52/TrRoad_act!R26*1000)</f>
        <v>29.541661891241457</v>
      </c>
      <c r="S110" s="116">
        <f>IF(TrRoad_act!S26=0,0,S52/TrRoad_act!S26*1000)</f>
        <v>28.280697479512526</v>
      </c>
      <c r="T110" s="116">
        <f>IF(TrRoad_act!T26=0,0,T52/TrRoad_act!T26*1000)</f>
        <v>27.325122000217078</v>
      </c>
      <c r="U110" s="116">
        <f>IF(TrRoad_act!U26=0,0,U52/TrRoad_act!U26*1000)</f>
        <v>26.87411312210763</v>
      </c>
      <c r="V110" s="116">
        <f>IF(TrRoad_act!V26=0,0,V52/TrRoad_act!V26*1000)</f>
        <v>26.610232186757116</v>
      </c>
      <c r="W110" s="116">
        <f>IF(TrRoad_act!W26=0,0,W52/TrRoad_act!W26*1000)</f>
        <v>26.677086599845115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34.038381349459961</v>
      </c>
      <c r="C111" s="101">
        <f>IF(TrRoad_act!C27=0,0,C53/TrRoad_act!C27*1000)</f>
        <v>33.177917300112455</v>
      </c>
      <c r="D111" s="101">
        <f>IF(TrRoad_act!D27=0,0,D53/TrRoad_act!D27*1000)</f>
        <v>32.610290896003931</v>
      </c>
      <c r="E111" s="101">
        <f>IF(TrRoad_act!E27=0,0,E53/TrRoad_act!E27*1000)</f>
        <v>31.929516704998147</v>
      </c>
      <c r="F111" s="101">
        <f>IF(TrRoad_act!F27=0,0,F53/TrRoad_act!F27*1000)</f>
        <v>31.773694273545676</v>
      </c>
      <c r="G111" s="101">
        <f>IF(TrRoad_act!G27=0,0,G53/TrRoad_act!G27*1000)</f>
        <v>31.774737973400025</v>
      </c>
      <c r="H111" s="101">
        <f>IF(TrRoad_act!H27=0,0,H53/TrRoad_act!H27*1000)</f>
        <v>30.916784949851891</v>
      </c>
      <c r="I111" s="101">
        <f>IF(TrRoad_act!I27=0,0,I53/TrRoad_act!I27*1000)</f>
        <v>30.278643122874438</v>
      </c>
      <c r="J111" s="101">
        <f>IF(TrRoad_act!J27=0,0,J53/TrRoad_act!J27*1000)</f>
        <v>29.680620502715005</v>
      </c>
      <c r="K111" s="101">
        <f>IF(TrRoad_act!K27=0,0,K53/TrRoad_act!K27*1000)</f>
        <v>30.36309201233091</v>
      </c>
      <c r="L111" s="101">
        <f>IF(TrRoad_act!L27=0,0,L53/TrRoad_act!L27*1000)</f>
        <v>30.231227263265044</v>
      </c>
      <c r="M111" s="101">
        <f>IF(TrRoad_act!M27=0,0,M53/TrRoad_act!M27*1000)</f>
        <v>30.656737866185345</v>
      </c>
      <c r="N111" s="101">
        <f>IF(TrRoad_act!N27=0,0,N53/TrRoad_act!N27*1000)</f>
        <v>30.375586961638909</v>
      </c>
      <c r="O111" s="101">
        <f>IF(TrRoad_act!O27=0,0,O53/TrRoad_act!O27*1000)</f>
        <v>30.072131125260171</v>
      </c>
      <c r="P111" s="101">
        <f>IF(TrRoad_act!P27=0,0,P53/TrRoad_act!P27*1000)</f>
        <v>30.378687347681733</v>
      </c>
      <c r="Q111" s="101">
        <f>IF(TrRoad_act!Q27=0,0,Q53/TrRoad_act!Q27*1000)</f>
        <v>30.638704565269428</v>
      </c>
      <c r="R111" s="101">
        <f>IF(TrRoad_act!R27=0,0,R53/TrRoad_act!R27*1000)</f>
        <v>30.865482642420179</v>
      </c>
      <c r="S111" s="101">
        <f>IF(TrRoad_act!S27=0,0,S53/TrRoad_act!S27*1000)</f>
        <v>28.846204002153968</v>
      </c>
      <c r="T111" s="101">
        <f>IF(TrRoad_act!T27=0,0,T53/TrRoad_act!T27*1000)</f>
        <v>27.294137813680745</v>
      </c>
      <c r="U111" s="101">
        <f>IF(TrRoad_act!U27=0,0,U53/TrRoad_act!U27*1000)</f>
        <v>26.741389658820914</v>
      </c>
      <c r="V111" s="101">
        <f>IF(TrRoad_act!V27=0,0,V53/TrRoad_act!V27*1000)</f>
        <v>26.092303950791461</v>
      </c>
      <c r="W111" s="101">
        <f>IF(TrRoad_act!W27=0,0,W53/TrRoad_act!W27*1000)</f>
        <v>25.998202769344644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31.462975920359543</v>
      </c>
      <c r="C112" s="88">
        <f>IF(TrRoad_act!C28=0,0,C55/TrRoad_act!C28*1000)</f>
        <v>30.414904727893163</v>
      </c>
      <c r="D112" s="88">
        <f>IF(TrRoad_act!D28=0,0,D55/TrRoad_act!D28*1000)</f>
        <v>29.53410918789659</v>
      </c>
      <c r="E112" s="88">
        <f>IF(TrRoad_act!E28=0,0,E55/TrRoad_act!E28*1000)</f>
        <v>28.783886455390832</v>
      </c>
      <c r="F112" s="88">
        <f>IF(TrRoad_act!F28=0,0,F55/TrRoad_act!F28*1000)</f>
        <v>28.211439226446874</v>
      </c>
      <c r="G112" s="88">
        <f>IF(TrRoad_act!G28=0,0,G55/TrRoad_act!G28*1000)</f>
        <v>27.862719816139855</v>
      </c>
      <c r="H112" s="88">
        <f>IF(TrRoad_act!H28=0,0,H55/TrRoad_act!H28*1000)</f>
        <v>27.306681263764528</v>
      </c>
      <c r="I112" s="88">
        <f>IF(TrRoad_act!I28=0,0,I55/TrRoad_act!I28*1000)</f>
        <v>26.901010088810516</v>
      </c>
      <c r="J112" s="88">
        <f>IF(TrRoad_act!J28=0,0,J55/TrRoad_act!J28*1000)</f>
        <v>27.36186791158427</v>
      </c>
      <c r="K112" s="88">
        <f>IF(TrRoad_act!K28=0,0,K55/TrRoad_act!K28*1000)</f>
        <v>28.279599664004344</v>
      </c>
      <c r="L112" s="88">
        <f>IF(TrRoad_act!L28=0,0,L55/TrRoad_act!L28*1000)</f>
        <v>27.069451216073197</v>
      </c>
      <c r="M112" s="88">
        <f>IF(TrRoad_act!M28=0,0,M55/TrRoad_act!M28*1000)</f>
        <v>27.47994974408849</v>
      </c>
      <c r="N112" s="88">
        <f>IF(TrRoad_act!N28=0,0,N55/TrRoad_act!N28*1000)</f>
        <v>27.75257918139679</v>
      </c>
      <c r="O112" s="88">
        <f>IF(TrRoad_act!O28=0,0,O55/TrRoad_act!O28*1000)</f>
        <v>27.602051063509471</v>
      </c>
      <c r="P112" s="88">
        <f>IF(TrRoad_act!P28=0,0,P55/TrRoad_act!P28*1000)</f>
        <v>27.600807173644306</v>
      </c>
      <c r="Q112" s="88">
        <f>IF(TrRoad_act!Q28=0,0,Q55/TrRoad_act!Q28*1000)</f>
        <v>28.010472110630179</v>
      </c>
      <c r="R112" s="88">
        <f>IF(TrRoad_act!R28=0,0,R55/TrRoad_act!R28*1000)</f>
        <v>27.872335088241069</v>
      </c>
      <c r="S112" s="88">
        <f>IF(TrRoad_act!S28=0,0,S55/TrRoad_act!S28*1000)</f>
        <v>27.557915698751263</v>
      </c>
      <c r="T112" s="88">
        <f>IF(TrRoad_act!T28=0,0,T55/TrRoad_act!T28*1000)</f>
        <v>27.365658594600145</v>
      </c>
      <c r="U112" s="88">
        <f>IF(TrRoad_act!U28=0,0,U55/TrRoad_act!U28*1000)</f>
        <v>27.04417496857279</v>
      </c>
      <c r="V112" s="88">
        <f>IF(TrRoad_act!V28=0,0,V55/TrRoad_act!V28*1000)</f>
        <v>27.28198733017776</v>
      </c>
      <c r="W112" s="88">
        <f>IF(TrRoad_act!W28=0,0,W55/TrRoad_act!W28*1000)</f>
        <v>27.510304376094599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111.17491982607557</v>
      </c>
      <c r="C116" s="152">
        <f>IF(C19=0,0,1000000*C19/TrRoad_act!C59)</f>
        <v>119.91206171699586</v>
      </c>
      <c r="D116" s="152">
        <f>IF(D19=0,0,1000000*D19/TrRoad_act!D59)</f>
        <v>132.74561378515747</v>
      </c>
      <c r="E116" s="152">
        <f>IF(E19=0,0,1000000*E19/TrRoad_act!E59)</f>
        <v>132.02686909951785</v>
      </c>
      <c r="F116" s="152">
        <f>IF(F19=0,0,1000000*F19/TrRoad_act!F59)</f>
        <v>139.34058032599489</v>
      </c>
      <c r="G116" s="152">
        <f>IF(G19=0,0,1000000*G19/TrRoad_act!G59)</f>
        <v>141.5526998344362</v>
      </c>
      <c r="H116" s="152">
        <f>IF(H19=0,0,1000000*H19/TrRoad_act!H59)</f>
        <v>137.44556635778937</v>
      </c>
      <c r="I116" s="152">
        <f>IF(I19=0,0,1000000*I19/TrRoad_act!I59)</f>
        <v>132.37363311745077</v>
      </c>
      <c r="J116" s="152">
        <f>IF(J19=0,0,1000000*J19/TrRoad_act!J59)</f>
        <v>130.62238583794218</v>
      </c>
      <c r="K116" s="152">
        <f>IF(K19=0,0,1000000*K19/TrRoad_act!K59)</f>
        <v>128.51610424221147</v>
      </c>
      <c r="L116" s="152">
        <f>IF(L19=0,0,1000000*L19/TrRoad_act!L59)</f>
        <v>124.4914805157435</v>
      </c>
      <c r="M116" s="152">
        <f>IF(M19=0,0,1000000*M19/TrRoad_act!M59)</f>
        <v>124.33985415147608</v>
      </c>
      <c r="N116" s="152">
        <f>IF(N19=0,0,1000000*N19/TrRoad_act!N59)</f>
        <v>125.62208265311354</v>
      </c>
      <c r="O116" s="152">
        <f>IF(O19=0,0,1000000*O19/TrRoad_act!O59)</f>
        <v>127.73846356750802</v>
      </c>
      <c r="P116" s="152">
        <f>IF(P19=0,0,1000000*P19/TrRoad_act!P59)</f>
        <v>130.7075960046034</v>
      </c>
      <c r="Q116" s="152">
        <f>IF(Q19=0,0,1000000*Q19/TrRoad_act!Q59)</f>
        <v>131.33568035212892</v>
      </c>
      <c r="R116" s="152">
        <f>IF(R19=0,0,1000000*R19/TrRoad_act!R59)</f>
        <v>121.26803555138208</v>
      </c>
      <c r="S116" s="152">
        <f>IF(S19=0,0,1000000*S19/TrRoad_act!S59)</f>
        <v>116.73960786691597</v>
      </c>
      <c r="T116" s="152">
        <f>IF(T19=0,0,1000000*T19/TrRoad_act!T59)</f>
        <v>115.59591790441276</v>
      </c>
      <c r="U116" s="152">
        <f>IF(U19=0,0,1000000*U19/TrRoad_act!U59)</f>
        <v>115.53347724718871</v>
      </c>
      <c r="V116" s="152">
        <f>IF(V19=0,0,1000000*V19/TrRoad_act!V59)</f>
        <v>99.653119375061081</v>
      </c>
      <c r="W116" s="152">
        <f>IF(W19=0,0,1000000*W19/TrRoad_act!W59)</f>
        <v>109.41249496761709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886.11533128257622</v>
      </c>
      <c r="C117" s="116">
        <f>IF(C21=0,0,1000000*C21/TrRoad_act!C60)</f>
        <v>892.9235651907959</v>
      </c>
      <c r="D117" s="116">
        <f>IF(D21=0,0,1000000*D21/TrRoad_act!D60)</f>
        <v>880.7720777964804</v>
      </c>
      <c r="E117" s="116">
        <f>IF(E21=0,0,1000000*E21/TrRoad_act!E60)</f>
        <v>851.76810721492041</v>
      </c>
      <c r="F117" s="116">
        <f>IF(F21=0,0,1000000*F21/TrRoad_act!F60)</f>
        <v>828.56556881711413</v>
      </c>
      <c r="G117" s="116">
        <f>IF(G21=0,0,1000000*G21/TrRoad_act!G60)</f>
        <v>810.80593985828295</v>
      </c>
      <c r="H117" s="116">
        <f>IF(H21=0,0,1000000*H21/TrRoad_act!H60)</f>
        <v>805.63441434847425</v>
      </c>
      <c r="I117" s="116">
        <f>IF(I21=0,0,1000000*I21/TrRoad_act!I60)</f>
        <v>805.58094287467031</v>
      </c>
      <c r="J117" s="116">
        <f>IF(J21=0,0,1000000*J21/TrRoad_act!J60)</f>
        <v>767.10651587220707</v>
      </c>
      <c r="K117" s="116">
        <f>IF(K21=0,0,1000000*K21/TrRoad_act!K60)</f>
        <v>763.00957201181882</v>
      </c>
      <c r="L117" s="116">
        <f>IF(L21=0,0,1000000*L21/TrRoad_act!L60)</f>
        <v>737.42520808168979</v>
      </c>
      <c r="M117" s="116">
        <f>IF(M21=0,0,1000000*M21/TrRoad_act!M60)</f>
        <v>717.57799458496322</v>
      </c>
      <c r="N117" s="116">
        <f>IF(N21=0,0,1000000*N21/TrRoad_act!N60)</f>
        <v>720.6169307781812</v>
      </c>
      <c r="O117" s="116">
        <f>IF(O21=0,0,1000000*O21/TrRoad_act!O60)</f>
        <v>700.70823409598222</v>
      </c>
      <c r="P117" s="116">
        <f>IF(P21=0,0,1000000*P21/TrRoad_act!P60)</f>
        <v>702.57593003432407</v>
      </c>
      <c r="Q117" s="116">
        <f>IF(Q21=0,0,1000000*Q21/TrRoad_act!Q60)</f>
        <v>703.69415607489475</v>
      </c>
      <c r="R117" s="116">
        <f>IF(R21=0,0,1000000*R21/TrRoad_act!R60)</f>
        <v>694.86272807491957</v>
      </c>
      <c r="S117" s="116">
        <f>IF(S21=0,0,1000000*S21/TrRoad_act!S60)</f>
        <v>686.55505359215942</v>
      </c>
      <c r="T117" s="116">
        <f>IF(T21=0,0,1000000*T21/TrRoad_act!T60)</f>
        <v>667.31934855789996</v>
      </c>
      <c r="U117" s="116">
        <f>IF(U21=0,0,1000000*U21/TrRoad_act!U60)</f>
        <v>662.29008371906832</v>
      </c>
      <c r="V117" s="116">
        <f>IF(V21=0,0,1000000*V21/TrRoad_act!V60)</f>
        <v>543.71462922350361</v>
      </c>
      <c r="W117" s="116">
        <f>IF(W21=0,0,1000000*W21/TrRoad_act!W60)</f>
        <v>614.14381318669155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712.6423630768536</v>
      </c>
      <c r="C118" s="87">
        <f>IF(C22=0,0,1000000*C22/TrRoad_act!C61)</f>
        <v>711.66105793187535</v>
      </c>
      <c r="D118" s="87">
        <f>IF(D22=0,0,1000000*D22/TrRoad_act!D61)</f>
        <v>707.54938984887963</v>
      </c>
      <c r="E118" s="87">
        <f>IF(E22=0,0,1000000*E22/TrRoad_act!E61)</f>
        <v>680.71459565374266</v>
      </c>
      <c r="F118" s="87">
        <f>IF(F22=0,0,1000000*F22/TrRoad_act!F61)</f>
        <v>666.96424552445421</v>
      </c>
      <c r="G118" s="87">
        <f>IF(G22=0,0,1000000*G22/TrRoad_act!G61)</f>
        <v>648.64835168113643</v>
      </c>
      <c r="H118" s="87">
        <f>IF(H22=0,0,1000000*H22/TrRoad_act!H61)</f>
        <v>626.6435220740093</v>
      </c>
      <c r="I118" s="87">
        <f>IF(I22=0,0,1000000*I22/TrRoad_act!I61)</f>
        <v>607.00994367811029</v>
      </c>
      <c r="J118" s="87">
        <f>IF(J22=0,0,1000000*J22/TrRoad_act!J61)</f>
        <v>562.04789606665167</v>
      </c>
      <c r="K118" s="87">
        <f>IF(K22=0,0,1000000*K22/TrRoad_act!K61)</f>
        <v>551.05756157872281</v>
      </c>
      <c r="L118" s="87">
        <f>IF(L22=0,0,1000000*L22/TrRoad_act!L61)</f>
        <v>514.75696086332096</v>
      </c>
      <c r="M118" s="87">
        <f>IF(M22=0,0,1000000*M22/TrRoad_act!M61)</f>
        <v>515.54281533581457</v>
      </c>
      <c r="N118" s="87">
        <f>IF(N22=0,0,1000000*N22/TrRoad_act!N61)</f>
        <v>494.59465573365077</v>
      </c>
      <c r="O118" s="87">
        <f>IF(O22=0,0,1000000*O22/TrRoad_act!O61)</f>
        <v>479.53104888103519</v>
      </c>
      <c r="P118" s="87">
        <f>IF(P22=0,0,1000000*P22/TrRoad_act!P61)</f>
        <v>484.41651677604432</v>
      </c>
      <c r="Q118" s="87">
        <f>IF(Q22=0,0,1000000*Q22/TrRoad_act!Q61)</f>
        <v>485.59018193799335</v>
      </c>
      <c r="R118" s="87">
        <f>IF(R22=0,0,1000000*R22/TrRoad_act!R61)</f>
        <v>491.45695906353762</v>
      </c>
      <c r="S118" s="87">
        <f>IF(S22=0,0,1000000*S22/TrRoad_act!S61)</f>
        <v>495.60030692620717</v>
      </c>
      <c r="T118" s="87">
        <f>IF(T22=0,0,1000000*T22/TrRoad_act!T61)</f>
        <v>493.6956763258454</v>
      </c>
      <c r="U118" s="87">
        <f>IF(U22=0,0,1000000*U22/TrRoad_act!U61)</f>
        <v>508.06623499791095</v>
      </c>
      <c r="V118" s="87">
        <f>IF(V22=0,0,1000000*V22/TrRoad_act!V61)</f>
        <v>422.44595313124609</v>
      </c>
      <c r="W118" s="87">
        <f>IF(W22=0,0,1000000*W22/TrRoad_act!W61)</f>
        <v>486.96123799603799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1209.1863955037654</v>
      </c>
      <c r="C119" s="87">
        <f>IF(C24=0,0,1000000*C24/TrRoad_act!C62)</f>
        <v>1196.9963917989951</v>
      </c>
      <c r="D119" s="87">
        <f>IF(D24=0,0,1000000*D24/TrRoad_act!D62)</f>
        <v>1141.4481424825053</v>
      </c>
      <c r="E119" s="87">
        <f>IF(E24=0,0,1000000*E24/TrRoad_act!E62)</f>
        <v>1083.3583303375528</v>
      </c>
      <c r="F119" s="87">
        <f>IF(F24=0,0,1000000*F24/TrRoad_act!F62)</f>
        <v>1026.9916201074939</v>
      </c>
      <c r="G119" s="87">
        <f>IF(G24=0,0,1000000*G24/TrRoad_act!G62)</f>
        <v>992.31319065133698</v>
      </c>
      <c r="H119" s="87">
        <f>IF(H24=0,0,1000000*H24/TrRoad_act!H62)</f>
        <v>988.74575713963065</v>
      </c>
      <c r="I119" s="87">
        <f>IF(I24=0,0,1000000*I24/TrRoad_act!I62)</f>
        <v>991.72299054464929</v>
      </c>
      <c r="J119" s="87">
        <f>IF(J24=0,0,1000000*J24/TrRoad_act!J62)</f>
        <v>940.96037903547085</v>
      </c>
      <c r="K119" s="87">
        <f>IF(K24=0,0,1000000*K24/TrRoad_act!K62)</f>
        <v>926.81906065099929</v>
      </c>
      <c r="L119" s="87">
        <f>IF(L24=0,0,1000000*L24/TrRoad_act!L62)</f>
        <v>895.57670053261859</v>
      </c>
      <c r="M119" s="87">
        <f>IF(M24=0,0,1000000*M24/TrRoad_act!M62)</f>
        <v>844.97378949747167</v>
      </c>
      <c r="N119" s="87">
        <f>IF(N24=0,0,1000000*N24/TrRoad_act!N62)</f>
        <v>856.01092699410526</v>
      </c>
      <c r="O119" s="87">
        <f>IF(O24=0,0,1000000*O24/TrRoad_act!O62)</f>
        <v>827.5302263798568</v>
      </c>
      <c r="P119" s="87">
        <f>IF(P24=0,0,1000000*P24/TrRoad_act!P62)</f>
        <v>825.6873787048155</v>
      </c>
      <c r="Q119" s="87">
        <f>IF(Q24=0,0,1000000*Q24/TrRoad_act!Q62)</f>
        <v>827.83149885790397</v>
      </c>
      <c r="R119" s="87">
        <f>IF(R24=0,0,1000000*R24/TrRoad_act!R62)</f>
        <v>813.69136497845818</v>
      </c>
      <c r="S119" s="87">
        <f>IF(S24=0,0,1000000*S24/TrRoad_act!S62)</f>
        <v>803.68858142180079</v>
      </c>
      <c r="T119" s="87">
        <f>IF(T24=0,0,1000000*T24/TrRoad_act!T62)</f>
        <v>782.131433343803</v>
      </c>
      <c r="U119" s="87">
        <f>IF(U24=0,0,1000000*U24/TrRoad_act!U62)</f>
        <v>773.57769539584331</v>
      </c>
      <c r="V119" s="87">
        <f>IF(V24=0,0,1000000*V24/TrRoad_act!V62)</f>
        <v>638.91358259334072</v>
      </c>
      <c r="W119" s="87">
        <f>IF(W24=0,0,1000000*W24/TrRoad_act!W62)</f>
        <v>725.99405646706703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629.87791667823444</v>
      </c>
      <c r="C120" s="87">
        <f>IF(C26=0,0,1000000*C26/TrRoad_act!C63)</f>
        <v>638.71728220616797</v>
      </c>
      <c r="D120" s="87">
        <f>IF(D26=0,0,1000000*D26/TrRoad_act!D63)</f>
        <v>615.26309477468465</v>
      </c>
      <c r="E120" s="87">
        <f>IF(E26=0,0,1000000*E26/TrRoad_act!E63)</f>
        <v>585.1575037572494</v>
      </c>
      <c r="F120" s="87">
        <f>IF(F26=0,0,1000000*F26/TrRoad_act!F63)</f>
        <v>570.05150273503398</v>
      </c>
      <c r="G120" s="87">
        <f>IF(G26=0,0,1000000*G26/TrRoad_act!G63)</f>
        <v>574.01041093502704</v>
      </c>
      <c r="H120" s="87">
        <f>IF(H26=0,0,1000000*H26/TrRoad_act!H63)</f>
        <v>586.63328717646561</v>
      </c>
      <c r="I120" s="87">
        <f>IF(I26=0,0,1000000*I26/TrRoad_act!I63)</f>
        <v>638.26018491725836</v>
      </c>
      <c r="J120" s="87">
        <f>IF(J26=0,0,1000000*J26/TrRoad_act!J63)</f>
        <v>523.94942584466855</v>
      </c>
      <c r="K120" s="87">
        <f>IF(K26=0,0,1000000*K26/TrRoad_act!K63)</f>
        <v>435.63208353363717</v>
      </c>
      <c r="L120" s="87">
        <f>IF(L26=0,0,1000000*L26/TrRoad_act!L63)</f>
        <v>514.11636550111587</v>
      </c>
      <c r="M120" s="87">
        <f>IF(M26=0,0,1000000*M26/TrRoad_act!M63)</f>
        <v>511.58427328936648</v>
      </c>
      <c r="N120" s="87">
        <f>IF(N26=0,0,1000000*N26/TrRoad_act!N63)</f>
        <v>492.74903125473088</v>
      </c>
      <c r="O120" s="87">
        <f>IF(O26=0,0,1000000*O26/TrRoad_act!O63)</f>
        <v>481.57406259886176</v>
      </c>
      <c r="P120" s="87">
        <f>IF(P26=0,0,1000000*P26/TrRoad_act!P63)</f>
        <v>455.31253074277873</v>
      </c>
      <c r="Q120" s="87">
        <f>IF(Q26=0,0,1000000*Q26/TrRoad_act!Q63)</f>
        <v>408.34143724463655</v>
      </c>
      <c r="R120" s="87">
        <f>IF(R26=0,0,1000000*R26/TrRoad_act!R63)</f>
        <v>369.54909530688434</v>
      </c>
      <c r="S120" s="87">
        <f>IF(S26=0,0,1000000*S26/TrRoad_act!S63)</f>
        <v>330.40667068985613</v>
      </c>
      <c r="T120" s="87">
        <f>IF(T26=0,0,1000000*T26/TrRoad_act!T63)</f>
        <v>313.00270374389595</v>
      </c>
      <c r="U120" s="87">
        <f>IF(U26=0,0,1000000*U26/TrRoad_act!U63)</f>
        <v>280.98311254331816</v>
      </c>
      <c r="V120" s="87">
        <f>IF(V26=0,0,1000000*V26/TrRoad_act!V63)</f>
        <v>186.71236078185586</v>
      </c>
      <c r="W120" s="87">
        <f>IF(W26=0,0,1000000*W26/TrRoad_act!W63)</f>
        <v>256.39729612472127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1449.3627692895716</v>
      </c>
      <c r="J121" s="87">
        <f>IF(J27=0,0,1000000*J27/TrRoad_act!J64)</f>
        <v>1309.0734180253612</v>
      </c>
      <c r="K121" s="87">
        <f>IF(K27=0,0,1000000*K27/TrRoad_act!K64)</f>
        <v>1235.5336250911896</v>
      </c>
      <c r="L121" s="87">
        <f>IF(L27=0,0,1000000*L27/TrRoad_act!L64)</f>
        <v>1180.5235905933685</v>
      </c>
      <c r="M121" s="87">
        <f>IF(M27=0,0,1000000*M27/TrRoad_act!M64)</f>
        <v>1115.9553196387126</v>
      </c>
      <c r="N121" s="87">
        <f>IF(N27=0,0,1000000*N27/TrRoad_act!N64)</f>
        <v>1094.484016441073</v>
      </c>
      <c r="O121" s="87">
        <f>IF(O27=0,0,1000000*O27/TrRoad_act!O64)</f>
        <v>1044.3732746299318</v>
      </c>
      <c r="P121" s="87">
        <f>IF(P27=0,0,1000000*P27/TrRoad_act!P64)</f>
        <v>1022.9556005390111</v>
      </c>
      <c r="Q121" s="87">
        <f>IF(Q27=0,0,1000000*Q27/TrRoad_act!Q64)</f>
        <v>987.9715210775596</v>
      </c>
      <c r="R121" s="87">
        <f>IF(R27=0,0,1000000*R27/TrRoad_act!R64)</f>
        <v>902.45746785840026</v>
      </c>
      <c r="S121" s="87">
        <f>IF(S27=0,0,1000000*S27/TrRoad_act!S64)</f>
        <v>879.72799556911207</v>
      </c>
      <c r="T121" s="87">
        <f>IF(T27=0,0,1000000*T27/TrRoad_act!T64)</f>
        <v>839.45613438303133</v>
      </c>
      <c r="U121" s="87">
        <f>IF(U27=0,0,1000000*U27/TrRoad_act!U64)</f>
        <v>830.70695307550443</v>
      </c>
      <c r="V121" s="87">
        <f>IF(V27=0,0,1000000*V27/TrRoad_act!V64)</f>
        <v>671.70696921832155</v>
      </c>
      <c r="W121" s="87">
        <f>IF(W27=0,0,1000000*W27/TrRoad_act!W64)</f>
        <v>770.9682329011606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211.63453324936464</v>
      </c>
      <c r="O122" s="87">
        <f>IF(O29=0,0,1000000*O29/TrRoad_act!O65)</f>
        <v>218.53002125903191</v>
      </c>
      <c r="P122" s="87">
        <f>IF(P29=0,0,1000000*P29/TrRoad_act!P65)</f>
        <v>219.22932587629555</v>
      </c>
      <c r="Q122" s="87">
        <f>IF(Q29=0,0,1000000*Q29/TrRoad_act!Q65)</f>
        <v>253.26578709991051</v>
      </c>
      <c r="R122" s="87">
        <f>IF(R29=0,0,1000000*R29/TrRoad_act!R65)</f>
        <v>278.40956290776069</v>
      </c>
      <c r="S122" s="87">
        <f>IF(S29=0,0,1000000*S29/TrRoad_act!S65)</f>
        <v>295.53402739485989</v>
      </c>
      <c r="T122" s="87">
        <f>IF(T29=0,0,1000000*T29/TrRoad_act!T65)</f>
        <v>311.59082944920254</v>
      </c>
      <c r="U122" s="87">
        <f>IF(U29=0,0,1000000*U29/TrRoad_act!U65)</f>
        <v>322.50277255747227</v>
      </c>
      <c r="V122" s="87">
        <f>IF(V29=0,0,1000000*V29/TrRoad_act!V65)</f>
        <v>260.17854923129801</v>
      </c>
      <c r="W122" s="87">
        <f>IF(W29=0,0,1000000*W29/TrRoad_act!W65)</f>
        <v>288.39456342159156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173.57957269766635</v>
      </c>
      <c r="I123" s="87">
        <f>IF(I32=0,0,1000000*I32/TrRoad_act!I66)</f>
        <v>173.40973688949387</v>
      </c>
      <c r="J123" s="87">
        <f>IF(J32=0,0,1000000*J32/TrRoad_act!J66)</f>
        <v>172.06006591545932</v>
      </c>
      <c r="K123" s="87">
        <f>IF(K32=0,0,1000000*K32/TrRoad_act!K66)</f>
        <v>172.0660260654976</v>
      </c>
      <c r="L123" s="87">
        <f>IF(L32=0,0,1000000*L32/TrRoad_act!L66)</f>
        <v>172.36500943198806</v>
      </c>
      <c r="M123" s="87">
        <f>IF(M32=0,0,1000000*M32/TrRoad_act!M66)</f>
        <v>171.93074896567109</v>
      </c>
      <c r="N123" s="87">
        <f>IF(N32=0,0,1000000*N32/TrRoad_act!N66)</f>
        <v>169.85401113158966</v>
      </c>
      <c r="O123" s="87">
        <f>IF(O32=0,0,1000000*O32/TrRoad_act!O66)</f>
        <v>180.26643480826792</v>
      </c>
      <c r="P123" s="87">
        <f>IF(P32=0,0,1000000*P32/TrRoad_act!P66)</f>
        <v>185.38862591732467</v>
      </c>
      <c r="Q123" s="87">
        <f>IF(Q32=0,0,1000000*Q32/TrRoad_act!Q66)</f>
        <v>192.65861281195876</v>
      </c>
      <c r="R123" s="87">
        <f>IF(R32=0,0,1000000*R32/TrRoad_act!R66)</f>
        <v>197.89415314947121</v>
      </c>
      <c r="S123" s="87">
        <f>IF(S32=0,0,1000000*S32/TrRoad_act!S66)</f>
        <v>193.06422292251671</v>
      </c>
      <c r="T123" s="87">
        <f>IF(T32=0,0,1000000*T32/TrRoad_act!T66)</f>
        <v>194.02589878889191</v>
      </c>
      <c r="U123" s="87">
        <f>IF(U32=0,0,1000000*U32/TrRoad_act!U66)</f>
        <v>200.14891874569551</v>
      </c>
      <c r="V123" s="87">
        <f>IF(V32=0,0,1000000*V32/TrRoad_act!V66)</f>
        <v>183.5852355190448</v>
      </c>
      <c r="W123" s="87">
        <f>IF(W32=0,0,1000000*W32/TrRoad_act!W66)</f>
        <v>207.43921311219316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19711.780714154178</v>
      </c>
      <c r="C124" s="116">
        <f>IF(C33=0,0,1000000*C33/TrRoad_act!C67)</f>
        <v>19022.485641225536</v>
      </c>
      <c r="D124" s="116">
        <f>IF(D33=0,0,1000000*D33/TrRoad_act!D67)</f>
        <v>19261.230381485166</v>
      </c>
      <c r="E124" s="116">
        <f>IF(E33=0,0,1000000*E33/TrRoad_act!E67)</f>
        <v>19072.962545161805</v>
      </c>
      <c r="F124" s="116">
        <f>IF(F33=0,0,1000000*F33/TrRoad_act!F67)</f>
        <v>19024.238620549884</v>
      </c>
      <c r="G124" s="116">
        <f>IF(G33=0,0,1000000*G33/TrRoad_act!G67)</f>
        <v>18704.385603234441</v>
      </c>
      <c r="H124" s="116">
        <f>IF(H33=0,0,1000000*H33/TrRoad_act!H67)</f>
        <v>19048.888366533614</v>
      </c>
      <c r="I124" s="116">
        <f>IF(I33=0,0,1000000*I33/TrRoad_act!I67)</f>
        <v>19036.059352576256</v>
      </c>
      <c r="J124" s="116">
        <f>IF(J33=0,0,1000000*J33/TrRoad_act!J67)</f>
        <v>19306.352853661061</v>
      </c>
      <c r="K124" s="116">
        <f>IF(K33=0,0,1000000*K33/TrRoad_act!K67)</f>
        <v>19031.217468137111</v>
      </c>
      <c r="L124" s="116">
        <f>IF(L33=0,0,1000000*L33/TrRoad_act!L67)</f>
        <v>18623.27849079638</v>
      </c>
      <c r="M124" s="116">
        <f>IF(M33=0,0,1000000*M33/TrRoad_act!M67)</f>
        <v>18170.767554200673</v>
      </c>
      <c r="N124" s="116">
        <f>IF(N33=0,0,1000000*N33/TrRoad_act!N67)</f>
        <v>17809.812396596626</v>
      </c>
      <c r="O124" s="116">
        <f>IF(O33=0,0,1000000*O33/TrRoad_act!O67)</f>
        <v>17404.150826290195</v>
      </c>
      <c r="P124" s="116">
        <f>IF(P33=0,0,1000000*P33/TrRoad_act!P67)</f>
        <v>17441.740282038296</v>
      </c>
      <c r="Q124" s="116">
        <f>IF(Q33=0,0,1000000*Q33/TrRoad_act!Q67)</f>
        <v>17774.419095801219</v>
      </c>
      <c r="R124" s="116">
        <f>IF(R33=0,0,1000000*R33/TrRoad_act!R67)</f>
        <v>17944.633078133862</v>
      </c>
      <c r="S124" s="116">
        <f>IF(S33=0,0,1000000*S33/TrRoad_act!S67)</f>
        <v>17551.507206337239</v>
      </c>
      <c r="T124" s="116">
        <f>IF(T33=0,0,1000000*T33/TrRoad_act!T67)</f>
        <v>17452.607182133088</v>
      </c>
      <c r="U124" s="116">
        <f>IF(U33=0,0,1000000*U33/TrRoad_act!U67)</f>
        <v>17001.807908475344</v>
      </c>
      <c r="V124" s="116">
        <f>IF(V33=0,0,1000000*V33/TrRoad_act!V67)</f>
        <v>13124.360488064025</v>
      </c>
      <c r="W124" s="116">
        <f>IF(W33=0,0,1000000*W33/TrRoad_act!W67)</f>
        <v>13883.444166102483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2241.8752232057755</v>
      </c>
      <c r="C125" s="101">
        <f>IF(C34=0,0,1000000*C34/TrRoad_act!C68)</f>
        <v>2217.5880213547921</v>
      </c>
      <c r="D125" s="101">
        <f>IF(D34=0,0,1000000*D34/TrRoad_act!D68)</f>
        <v>2285.3715611035368</v>
      </c>
      <c r="E125" s="101">
        <f>IF(E34=0,0,1000000*E34/TrRoad_act!E68)</f>
        <v>2298.2190871821335</v>
      </c>
      <c r="F125" s="101">
        <f>IF(F34=0,0,1000000*F34/TrRoad_act!F68)</f>
        <v>2327.6205336125295</v>
      </c>
      <c r="G125" s="101">
        <f>IF(G34=0,0,1000000*G34/TrRoad_act!G68)</f>
        <v>2319.8984816128182</v>
      </c>
      <c r="H125" s="101">
        <f>IF(H34=0,0,1000000*H34/TrRoad_act!H68)</f>
        <v>2396.1027208069354</v>
      </c>
      <c r="I125" s="101">
        <f>IF(I34=0,0,1000000*I34/TrRoad_act!I68)</f>
        <v>2427.426117112303</v>
      </c>
      <c r="J125" s="101">
        <f>IF(J34=0,0,1000000*J34/TrRoad_act!J68)</f>
        <v>2501.8729150215236</v>
      </c>
      <c r="K125" s="101">
        <f>IF(K34=0,0,1000000*K34/TrRoad_act!K68)</f>
        <v>2504.5203790668575</v>
      </c>
      <c r="L125" s="101">
        <f>IF(L34=0,0,1000000*L34/TrRoad_act!L68)</f>
        <v>2475.8110563055743</v>
      </c>
      <c r="M125" s="101">
        <f>IF(M34=0,0,1000000*M34/TrRoad_act!M68)</f>
        <v>2450.8053724209449</v>
      </c>
      <c r="N125" s="101">
        <f>IF(N34=0,0,1000000*N34/TrRoad_act!N68)</f>
        <v>2422.5861006930045</v>
      </c>
      <c r="O125" s="101">
        <f>IF(O34=0,0,1000000*O34/TrRoad_act!O68)</f>
        <v>2389.3859451831177</v>
      </c>
      <c r="P125" s="101">
        <f>IF(P34=0,0,1000000*P34/TrRoad_act!P68)</f>
        <v>2411.0293842302094</v>
      </c>
      <c r="Q125" s="101">
        <f>IF(Q34=0,0,1000000*Q34/TrRoad_act!Q68)</f>
        <v>2469.0695724135539</v>
      </c>
      <c r="R125" s="101">
        <f>IF(R34=0,0,1000000*R34/TrRoad_act!R68)</f>
        <v>2453.379829582454</v>
      </c>
      <c r="S125" s="101">
        <f>IF(S34=0,0,1000000*S34/TrRoad_act!S68)</f>
        <v>2397.817757189197</v>
      </c>
      <c r="T125" s="101">
        <f>IF(T34=0,0,1000000*T34/TrRoad_act!T68)</f>
        <v>2400.1937417866925</v>
      </c>
      <c r="U125" s="101">
        <f>IF(U34=0,0,1000000*U34/TrRoad_act!U68)</f>
        <v>2297.4936479068688</v>
      </c>
      <c r="V125" s="101">
        <f>IF(V34=0,0,1000000*V34/TrRoad_act!V68)</f>
        <v>1695.1952714084437</v>
      </c>
      <c r="W125" s="101">
        <f>IF(W34=0,0,1000000*W34/TrRoad_act!W68)</f>
        <v>1740.670154343057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20002.308575471867</v>
      </c>
      <c r="C126" s="101">
        <f>IF(C36=0,0,1000000*C36/TrRoad_act!C69)</f>
        <v>19303.167459064309</v>
      </c>
      <c r="D126" s="101">
        <f>IF(D36=0,0,1000000*D36/TrRoad_act!D69)</f>
        <v>19533.970651797765</v>
      </c>
      <c r="E126" s="101">
        <f>IF(E36=0,0,1000000*E36/TrRoad_act!E69)</f>
        <v>19329.147176522314</v>
      </c>
      <c r="F126" s="101">
        <f>IF(F36=0,0,1000000*F36/TrRoad_act!F69)</f>
        <v>19274.02794669749</v>
      </c>
      <c r="G126" s="101">
        <f>IF(G36=0,0,1000000*G36/TrRoad_act!G69)</f>
        <v>18929.007421916485</v>
      </c>
      <c r="H126" s="101">
        <f>IF(H36=0,0,1000000*H36/TrRoad_act!H69)</f>
        <v>19236.889251490815</v>
      </c>
      <c r="I126" s="101">
        <f>IF(I36=0,0,1000000*I36/TrRoad_act!I69)</f>
        <v>19216.701418668068</v>
      </c>
      <c r="J126" s="101">
        <f>IF(J36=0,0,1000000*J36/TrRoad_act!J69)</f>
        <v>19470.617356223549</v>
      </c>
      <c r="K126" s="101">
        <f>IF(K36=0,0,1000000*K36/TrRoad_act!K69)</f>
        <v>19177.192264730016</v>
      </c>
      <c r="L126" s="101">
        <f>IF(L36=0,0,1000000*L36/TrRoad_act!L69)</f>
        <v>18723.032550988122</v>
      </c>
      <c r="M126" s="101">
        <f>IF(M36=0,0,1000000*M36/TrRoad_act!M69)</f>
        <v>18238.432275578372</v>
      </c>
      <c r="N126" s="101">
        <f>IF(N36=0,0,1000000*N36/TrRoad_act!N69)</f>
        <v>17870.445423252571</v>
      </c>
      <c r="O126" s="101">
        <f>IF(O36=0,0,1000000*O36/TrRoad_act!O69)</f>
        <v>17439.26804888414</v>
      </c>
      <c r="P126" s="101">
        <f>IF(P36=0,0,1000000*P36/TrRoad_act!P69)</f>
        <v>17459.037363697382</v>
      </c>
      <c r="Q126" s="101">
        <f>IF(Q36=0,0,1000000*Q36/TrRoad_act!Q69)</f>
        <v>17777.139135318408</v>
      </c>
      <c r="R126" s="101">
        <f>IF(R36=0,0,1000000*R36/TrRoad_act!R69)</f>
        <v>17906.228002575936</v>
      </c>
      <c r="S126" s="101">
        <f>IF(S36=0,0,1000000*S36/TrRoad_act!S69)</f>
        <v>17458.37629133357</v>
      </c>
      <c r="T126" s="101">
        <f>IF(T36=0,0,1000000*T36/TrRoad_act!T69)</f>
        <v>17342.943171420473</v>
      </c>
      <c r="U126" s="101">
        <f>IF(U36=0,0,1000000*U36/TrRoad_act!U69)</f>
        <v>16845.725930448945</v>
      </c>
      <c r="V126" s="101">
        <f>IF(V36=0,0,1000000*V36/TrRoad_act!V69)</f>
        <v>12755.167971147954</v>
      </c>
      <c r="W126" s="101">
        <f>IF(W36=0,0,1000000*W36/TrRoad_act!W69)</f>
        <v>13323.593298559577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10947.471751664953</v>
      </c>
      <c r="C127" s="101">
        <f>IF(C38=0,0,1000000*C38/TrRoad_act!C70)</f>
        <v>10327.497863720713</v>
      </c>
      <c r="D127" s="101">
        <f>IF(D38=0,0,1000000*D38/TrRoad_act!D70)</f>
        <v>10533.979656639996</v>
      </c>
      <c r="E127" s="101">
        <f>IF(E38=0,0,1000000*E38/TrRoad_act!E70)</f>
        <v>10459.277454224333</v>
      </c>
      <c r="F127" s="101">
        <f>IF(F38=0,0,1000000*F38/TrRoad_act!F70)</f>
        <v>10473.292603727768</v>
      </c>
      <c r="G127" s="101">
        <f>IF(G38=0,0,1000000*G38/TrRoad_act!G70)</f>
        <v>10360.687095004787</v>
      </c>
      <c r="H127" s="101">
        <f>IF(H38=0,0,1000000*H38/TrRoad_act!H70)</f>
        <v>10614.71449051723</v>
      </c>
      <c r="I127" s="101">
        <f>IF(I38=0,0,1000000*I38/TrRoad_act!I70)</f>
        <v>10711.956896057138</v>
      </c>
      <c r="J127" s="101">
        <f>IF(J38=0,0,1000000*J38/TrRoad_act!J70)</f>
        <v>11022.083360567554</v>
      </c>
      <c r="K127" s="101">
        <f>IF(K38=0,0,1000000*K38/TrRoad_act!K70)</f>
        <v>11011.611386287741</v>
      </c>
      <c r="L127" s="101">
        <f>IF(L38=0,0,1000000*L38/TrRoad_act!L70)</f>
        <v>10886.631596667101</v>
      </c>
      <c r="M127" s="101">
        <f>IF(M38=0,0,1000000*M38/TrRoad_act!M70)</f>
        <v>10752.164478576065</v>
      </c>
      <c r="N127" s="101">
        <f>IF(N38=0,0,1000000*N38/TrRoad_act!N70)</f>
        <v>10615.716213386104</v>
      </c>
      <c r="O127" s="101">
        <f>IF(O38=0,0,1000000*O38/TrRoad_act!O70)</f>
        <v>10467.6945528571</v>
      </c>
      <c r="P127" s="101">
        <f>IF(P38=0,0,1000000*P38/TrRoad_act!P70)</f>
        <v>10548.287745338308</v>
      </c>
      <c r="Q127" s="101">
        <f>IF(Q38=0,0,1000000*Q38/TrRoad_act!Q70)</f>
        <v>10783.429590656069</v>
      </c>
      <c r="R127" s="101">
        <f>IF(R38=0,0,1000000*R38/TrRoad_act!R70)</f>
        <v>10712.89042953056</v>
      </c>
      <c r="S127" s="101">
        <f>IF(S38=0,0,1000000*S38/TrRoad_act!S70)</f>
        <v>10299.430065919492</v>
      </c>
      <c r="T127" s="101">
        <f>IF(T38=0,0,1000000*T38/TrRoad_act!T70)</f>
        <v>10093.674642159636</v>
      </c>
      <c r="U127" s="101">
        <f>IF(U38=0,0,1000000*U38/TrRoad_act!U70)</f>
        <v>9709.9566903165705</v>
      </c>
      <c r="V127" s="101">
        <f>IF(V38=0,0,1000000*V38/TrRoad_act!V70)</f>
        <v>7214.0124483461559</v>
      </c>
      <c r="W127" s="101">
        <f>IF(W38=0,0,1000000*W38/TrRoad_act!W70)</f>
        <v>7604.0760447936673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18806.669998261528</v>
      </c>
      <c r="C128" s="101">
        <f>IF(C39=0,0,1000000*C39/TrRoad_act!C71)</f>
        <v>16845.925262177097</v>
      </c>
      <c r="D128" s="101">
        <f>IF(D39=0,0,1000000*D39/TrRoad_act!D71)</f>
        <v>17658.320131694658</v>
      </c>
      <c r="E128" s="101">
        <f>IF(E39=0,0,1000000*E39/TrRoad_act!E71)</f>
        <v>17610.989142693459</v>
      </c>
      <c r="F128" s="101">
        <f>IF(F39=0,0,1000000*F39/TrRoad_act!F71)</f>
        <v>16642.29127955464</v>
      </c>
      <c r="G128" s="101">
        <f>IF(G39=0,0,1000000*G39/TrRoad_act!G71)</f>
        <v>16632.653718195768</v>
      </c>
      <c r="H128" s="101">
        <f>IF(H39=0,0,1000000*H39/TrRoad_act!H71)</f>
        <v>18582.01921872552</v>
      </c>
      <c r="I128" s="101">
        <f>IF(I39=0,0,1000000*I39/TrRoad_act!I71)</f>
        <v>17889.276085010442</v>
      </c>
      <c r="J128" s="101">
        <f>IF(J39=0,0,1000000*J39/TrRoad_act!J71)</f>
        <v>18679.078801078715</v>
      </c>
      <c r="K128" s="101">
        <f>IF(K39=0,0,1000000*K39/TrRoad_act!K71)</f>
        <v>18607.297973394667</v>
      </c>
      <c r="L128" s="101">
        <f>IF(L39=0,0,1000000*L39/TrRoad_act!L71)</f>
        <v>19940.812847507037</v>
      </c>
      <c r="M128" s="101">
        <f>IF(M39=0,0,1000000*M39/TrRoad_act!M71)</f>
        <v>19038.895561849244</v>
      </c>
      <c r="N128" s="101">
        <f>IF(N39=0,0,1000000*N39/TrRoad_act!N71)</f>
        <v>18422.36888557089</v>
      </c>
      <c r="O128" s="101">
        <f>IF(O39=0,0,1000000*O39/TrRoad_act!O71)</f>
        <v>18321.751807513607</v>
      </c>
      <c r="P128" s="101">
        <f>IF(P39=0,0,1000000*P39/TrRoad_act!P71)</f>
        <v>18441.37251483868</v>
      </c>
      <c r="Q128" s="101">
        <f>IF(Q39=0,0,1000000*Q39/TrRoad_act!Q71)</f>
        <v>18931.802780729162</v>
      </c>
      <c r="R128" s="101">
        <f>IF(R39=0,0,1000000*R39/TrRoad_act!R71)</f>
        <v>19876.920738314864</v>
      </c>
      <c r="S128" s="101">
        <f>IF(S39=0,0,1000000*S39/TrRoad_act!S71)</f>
        <v>20277.967325876634</v>
      </c>
      <c r="T128" s="101">
        <f>IF(T39=0,0,1000000*T39/TrRoad_act!T71)</f>
        <v>20053.241520513242</v>
      </c>
      <c r="U128" s="101">
        <f>IF(U39=0,0,1000000*U39/TrRoad_act!U71)</f>
        <v>19738.916015656519</v>
      </c>
      <c r="V128" s="101">
        <f>IF(V39=0,0,1000000*V39/TrRoad_act!V71)</f>
        <v>16585.440543477071</v>
      </c>
      <c r="W128" s="101">
        <f>IF(W39=0,0,1000000*W39/TrRoad_act!W71)</f>
        <v>17617.10491606257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13525.743583747402</v>
      </c>
      <c r="C129" s="101">
        <f>IF(C41=0,0,1000000*C41/TrRoad_act!C72)</f>
        <v>12788.469410019319</v>
      </c>
      <c r="D129" s="101">
        <f>IF(D41=0,0,1000000*D41/TrRoad_act!D72)</f>
        <v>12573.694536062823</v>
      </c>
      <c r="E129" s="101">
        <f>IF(E41=0,0,1000000*E41/TrRoad_act!E72)</f>
        <v>12408.600117014752</v>
      </c>
      <c r="F129" s="101">
        <f>IF(F41=0,0,1000000*F41/TrRoad_act!F72)</f>
        <v>12271.11408775541</v>
      </c>
      <c r="G129" s="101">
        <f>IF(G41=0,0,1000000*G41/TrRoad_act!G72)</f>
        <v>12214.315408883669</v>
      </c>
      <c r="H129" s="101">
        <f>IF(H41=0,0,1000000*H41/TrRoad_act!H72)</f>
        <v>12174.302774708915</v>
      </c>
      <c r="I129" s="101">
        <f>IF(I41=0,0,1000000*I41/TrRoad_act!I72)</f>
        <v>12118.151574129181</v>
      </c>
      <c r="J129" s="101">
        <f>IF(J41=0,0,1000000*J41/TrRoad_act!J72)</f>
        <v>12096.860616641909</v>
      </c>
      <c r="K129" s="101">
        <f>IF(K41=0,0,1000000*K41/TrRoad_act!K72)</f>
        <v>12053.956921498317</v>
      </c>
      <c r="L129" s="101">
        <f>IF(L41=0,0,1000000*L41/TrRoad_act!L72)</f>
        <v>12008.096958971844</v>
      </c>
      <c r="M129" s="101">
        <f>IF(M41=0,0,1000000*M41/TrRoad_act!M72)</f>
        <v>12006.859172260556</v>
      </c>
      <c r="N129" s="101">
        <f>IF(N41=0,0,1000000*N41/TrRoad_act!N72)</f>
        <v>11918.899765945072</v>
      </c>
      <c r="O129" s="101">
        <f>IF(O41=0,0,1000000*O41/TrRoad_act!O72)</f>
        <v>11928.615872165699</v>
      </c>
      <c r="P129" s="101">
        <f>IF(P41=0,0,1000000*P41/TrRoad_act!P72)</f>
        <v>11913.623538718941</v>
      </c>
      <c r="Q129" s="101">
        <f>IF(Q41=0,0,1000000*Q41/TrRoad_act!Q72)</f>
        <v>11931.720925238727</v>
      </c>
      <c r="R129" s="101">
        <f>IF(R41=0,0,1000000*R41/TrRoad_act!R72)</f>
        <v>11990.614965665549</v>
      </c>
      <c r="S129" s="101">
        <f>IF(S41=0,0,1000000*S41/TrRoad_act!S72)</f>
        <v>12045.182676902668</v>
      </c>
      <c r="T129" s="101">
        <f>IF(T41=0,0,1000000*T41/TrRoad_act!T72)</f>
        <v>12095.799011163219</v>
      </c>
      <c r="U129" s="101">
        <f>IF(U41=0,0,1000000*U41/TrRoad_act!U72)</f>
        <v>12107.309049597287</v>
      </c>
      <c r="V129" s="101">
        <f>IF(V41=0,0,1000000*V41/TrRoad_act!V72)</f>
        <v>9872.2062537771253</v>
      </c>
      <c r="W129" s="101">
        <f>IF(W41=0,0,1000000*W41/TrRoad_act!W72)</f>
        <v>11971.557711247615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1198.9758577572604</v>
      </c>
      <c r="C131" s="152">
        <f>IF(C43=0,0,1000000*C43/TrRoad_act!C74)</f>
        <v>1188.2778616952342</v>
      </c>
      <c r="D131" s="152">
        <f>IF(D43=0,0,1000000*D43/TrRoad_act!D74)</f>
        <v>1164.0980291420658</v>
      </c>
      <c r="E131" s="152">
        <f>IF(E43=0,0,1000000*E43/TrRoad_act!E74)</f>
        <v>1119.0216108534917</v>
      </c>
      <c r="F131" s="152">
        <f>IF(F43=0,0,1000000*F43/TrRoad_act!F74)</f>
        <v>1075.8655731541303</v>
      </c>
      <c r="G131" s="152">
        <f>IF(G43=0,0,1000000*G43/TrRoad_act!G74)</f>
        <v>1053.0086900399695</v>
      </c>
      <c r="H131" s="152">
        <f>IF(H43=0,0,1000000*H43/TrRoad_act!H74)</f>
        <v>1041.531702546007</v>
      </c>
      <c r="I131" s="152">
        <f>IF(I43=0,0,1000000*I43/TrRoad_act!I74)</f>
        <v>1025.2366381578734</v>
      </c>
      <c r="J131" s="152">
        <f>IF(J43=0,0,1000000*J43/TrRoad_act!J74)</f>
        <v>985.33719946105475</v>
      </c>
      <c r="K131" s="152">
        <f>IF(K43=0,0,1000000*K43/TrRoad_act!K74)</f>
        <v>1003.2037186217862</v>
      </c>
      <c r="L131" s="152">
        <f>IF(L43=0,0,1000000*L43/TrRoad_act!L74)</f>
        <v>1025.5684109455808</v>
      </c>
      <c r="M131" s="152">
        <f>IF(M43=0,0,1000000*M43/TrRoad_act!M74)</f>
        <v>1069.5068924670882</v>
      </c>
      <c r="N131" s="152">
        <f>IF(N43=0,0,1000000*N43/TrRoad_act!N74)</f>
        <v>1072.8227696718293</v>
      </c>
      <c r="O131" s="152">
        <f>IF(O43=0,0,1000000*O43/TrRoad_act!O74)</f>
        <v>1071.1960713470905</v>
      </c>
      <c r="P131" s="152">
        <f>IF(P43=0,0,1000000*P43/TrRoad_act!P74)</f>
        <v>1056.0152519087758</v>
      </c>
      <c r="Q131" s="152">
        <f>IF(Q43=0,0,1000000*Q43/TrRoad_act!Q74)</f>
        <v>1081.4060213541738</v>
      </c>
      <c r="R131" s="152">
        <f>IF(R43=0,0,1000000*R43/TrRoad_act!R74)</f>
        <v>1068.9714121022282</v>
      </c>
      <c r="S131" s="152">
        <f>IF(S43=0,0,1000000*S43/TrRoad_act!S74)</f>
        <v>1097.8080036376082</v>
      </c>
      <c r="T131" s="152">
        <f>IF(T43=0,0,1000000*T43/TrRoad_act!T74)</f>
        <v>1082.3707788408196</v>
      </c>
      <c r="U131" s="152">
        <f>IF(U43=0,0,1000000*U43/TrRoad_act!U74)</f>
        <v>1075.9620658540491</v>
      </c>
      <c r="V131" s="152">
        <f>IF(V43=0,0,1000000*V43/TrRoad_act!V74)</f>
        <v>931.33925103461388</v>
      </c>
      <c r="W131" s="152">
        <f>IF(W43=0,0,1000000*W43/TrRoad_act!W74)</f>
        <v>1073.1532463741894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1310.5166203025053</v>
      </c>
      <c r="C132" s="87">
        <f>IF(C44=0,0,1000000*C44/TrRoad_act!C75)</f>
        <v>1381.045628776593</v>
      </c>
      <c r="D132" s="87">
        <f>IF(D44=0,0,1000000*D44/TrRoad_act!D75)</f>
        <v>1370.5739507875614</v>
      </c>
      <c r="E132" s="87">
        <f>IF(E44=0,0,1000000*E44/TrRoad_act!E75)</f>
        <v>1341.3747335234887</v>
      </c>
      <c r="F132" s="87">
        <f>IF(F44=0,0,1000000*F44/TrRoad_act!F75)</f>
        <v>1312.4361640207565</v>
      </c>
      <c r="G132" s="87">
        <f>IF(G44=0,0,1000000*G44/TrRoad_act!G75)</f>
        <v>1291.107771393685</v>
      </c>
      <c r="H132" s="87">
        <f>IF(H44=0,0,1000000*H44/TrRoad_act!H75)</f>
        <v>1288.7775757857632</v>
      </c>
      <c r="I132" s="87">
        <f>IF(I44=0,0,1000000*I44/TrRoad_act!I75)</f>
        <v>1258.3644325994851</v>
      </c>
      <c r="J132" s="87">
        <f>IF(J44=0,0,1000000*J44/TrRoad_act!J75)</f>
        <v>1147.1736309038763</v>
      </c>
      <c r="K132" s="87">
        <f>IF(K44=0,0,1000000*K44/TrRoad_act!K75)</f>
        <v>1102.6284361881103</v>
      </c>
      <c r="L132" s="87">
        <f>IF(L44=0,0,1000000*L44/TrRoad_act!L75)</f>
        <v>1072.8503587606674</v>
      </c>
      <c r="M132" s="87">
        <f>IF(M44=0,0,1000000*M44/TrRoad_act!M75)</f>
        <v>1051.196505990288</v>
      </c>
      <c r="N132" s="87">
        <f>IF(N44=0,0,1000000*N44/TrRoad_act!N75)</f>
        <v>996.46356521469602</v>
      </c>
      <c r="O132" s="87">
        <f>IF(O44=0,0,1000000*O44/TrRoad_act!O75)</f>
        <v>945.99420444413772</v>
      </c>
      <c r="P132" s="87">
        <f>IF(P44=0,0,1000000*P44/TrRoad_act!P75)</f>
        <v>892.31856883574937</v>
      </c>
      <c r="Q132" s="87">
        <f>IF(Q44=0,0,1000000*Q44/TrRoad_act!Q75)</f>
        <v>872.28789113722087</v>
      </c>
      <c r="R132" s="87">
        <f>IF(R44=0,0,1000000*R44/TrRoad_act!R75)</f>
        <v>906.12191534331737</v>
      </c>
      <c r="S132" s="87">
        <f>IF(S44=0,0,1000000*S44/TrRoad_act!S75)</f>
        <v>980.40183691256232</v>
      </c>
      <c r="T132" s="87">
        <f>IF(T44=0,0,1000000*T44/TrRoad_act!T75)</f>
        <v>1008.5193655533587</v>
      </c>
      <c r="U132" s="87">
        <f>IF(U44=0,0,1000000*U44/TrRoad_act!U75)</f>
        <v>1055.4083639925473</v>
      </c>
      <c r="V132" s="87">
        <f>IF(V44=0,0,1000000*V44/TrRoad_act!V75)</f>
        <v>948.22599387729326</v>
      </c>
      <c r="W132" s="87">
        <f>IF(W44=0,0,1000000*W44/TrRoad_act!W75)</f>
        <v>1140.1633457812175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1182.6030557679192</v>
      </c>
      <c r="C133" s="87">
        <f>IF(C46=0,0,1000000*C46/TrRoad_act!C76)</f>
        <v>1165.3204214493894</v>
      </c>
      <c r="D133" s="87">
        <f>IF(D46=0,0,1000000*D46/TrRoad_act!D76)</f>
        <v>1144.1371090484397</v>
      </c>
      <c r="E133" s="87">
        <f>IF(E46=0,0,1000000*E46/TrRoad_act!E76)</f>
        <v>1102.1588977681292</v>
      </c>
      <c r="F133" s="87">
        <f>IF(F46=0,0,1000000*F46/TrRoad_act!F76)</f>
        <v>1061.7659096529565</v>
      </c>
      <c r="G133" s="87">
        <f>IF(G46=0,0,1000000*G46/TrRoad_act!G76)</f>
        <v>1041.1866711116054</v>
      </c>
      <c r="H133" s="87">
        <f>IF(H46=0,0,1000000*H46/TrRoad_act!H76)</f>
        <v>1031.1137453441202</v>
      </c>
      <c r="I133" s="87">
        <f>IF(I46=0,0,1000000*I46/TrRoad_act!I76)</f>
        <v>1016.8465117921437</v>
      </c>
      <c r="J133" s="87">
        <f>IF(J46=0,0,1000000*J46/TrRoad_act!J76)</f>
        <v>979.95664990511307</v>
      </c>
      <c r="K133" s="87">
        <f>IF(K46=0,0,1000000*K46/TrRoad_act!K76)</f>
        <v>1000.4287624651366</v>
      </c>
      <c r="L133" s="87">
        <f>IF(L46=0,0,1000000*L46/TrRoad_act!L76)</f>
        <v>1024.3032393708272</v>
      </c>
      <c r="M133" s="87">
        <f>IF(M46=0,0,1000000*M46/TrRoad_act!M76)</f>
        <v>1071.2329673003114</v>
      </c>
      <c r="N133" s="87">
        <f>IF(N46=0,0,1000000*N46/TrRoad_act!N76)</f>
        <v>1077.5851268628769</v>
      </c>
      <c r="O133" s="87">
        <f>IF(O46=0,0,1000000*O46/TrRoad_act!O76)</f>
        <v>1079.4102357361173</v>
      </c>
      <c r="P133" s="87">
        <f>IF(P46=0,0,1000000*P46/TrRoad_act!P76)</f>
        <v>1066.2798962271327</v>
      </c>
      <c r="Q133" s="87">
        <f>IF(Q46=0,0,1000000*Q46/TrRoad_act!Q76)</f>
        <v>1093.7297611448885</v>
      </c>
      <c r="R133" s="87">
        <f>IF(R46=0,0,1000000*R46/TrRoad_act!R76)</f>
        <v>1079.6852400125806</v>
      </c>
      <c r="S133" s="87">
        <f>IF(S46=0,0,1000000*S46/TrRoad_act!S76)</f>
        <v>1106.7344419606113</v>
      </c>
      <c r="T133" s="87">
        <f>IF(T46=0,0,1000000*T46/TrRoad_act!T76)</f>
        <v>1091.536254041763</v>
      </c>
      <c r="U133" s="87">
        <f>IF(U46=0,0,1000000*U46/TrRoad_act!U76)</f>
        <v>1084.2684071372494</v>
      </c>
      <c r="V133" s="87">
        <f>IF(V46=0,0,1000000*V46/TrRoad_act!V76)</f>
        <v>938.8565257877774</v>
      </c>
      <c r="W133" s="87">
        <f>IF(W46=0,0,1000000*W46/TrRoad_act!W76)</f>
        <v>1082.0356464904996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1291.3968881802941</v>
      </c>
      <c r="C134" s="87">
        <f>IF(C48=0,0,1000000*C48/TrRoad_act!C77)</f>
        <v>1283.4986991878027</v>
      </c>
      <c r="D134" s="87">
        <f>IF(D48=0,0,1000000*D48/TrRoad_act!D77)</f>
        <v>1267.827119251376</v>
      </c>
      <c r="E134" s="87">
        <f>IF(E48=0,0,1000000*E48/TrRoad_act!E77)</f>
        <v>1237.2169371216944</v>
      </c>
      <c r="F134" s="87">
        <f>IF(F48=0,0,1000000*F48/TrRoad_act!F77)</f>
        <v>1208.6128266336348</v>
      </c>
      <c r="G134" s="87">
        <f>IF(G48=0,0,1000000*G48/TrRoad_act!G77)</f>
        <v>1189.7529975458622</v>
      </c>
      <c r="H134" s="87">
        <f>IF(H48=0,0,1000000*H48/TrRoad_act!H77)</f>
        <v>1181.2731863754077</v>
      </c>
      <c r="I134" s="87">
        <f>IF(I48=0,0,1000000*I48/TrRoad_act!I77)</f>
        <v>1153.5543374039653</v>
      </c>
      <c r="J134" s="87">
        <f>IF(J48=0,0,1000000*J48/TrRoad_act!J77)</f>
        <v>1093.8482613487313</v>
      </c>
      <c r="K134" s="87">
        <f>IF(K48=0,0,1000000*K48/TrRoad_act!K77)</f>
        <v>1091.6625083121653</v>
      </c>
      <c r="L134" s="87">
        <f>IF(L48=0,0,1000000*L48/TrRoad_act!L77)</f>
        <v>1116.0002674154216</v>
      </c>
      <c r="M134" s="87">
        <f>IF(M48=0,0,1000000*M48/TrRoad_act!M77)</f>
        <v>1150.1562053934767</v>
      </c>
      <c r="N134" s="87">
        <f>IF(N48=0,0,1000000*N48/TrRoad_act!N77)</f>
        <v>1147.8943421629431</v>
      </c>
      <c r="O134" s="87">
        <f>IF(O48=0,0,1000000*O48/TrRoad_act!O77)</f>
        <v>1154.1829208163508</v>
      </c>
      <c r="P134" s="87">
        <f>IF(P48=0,0,1000000*P48/TrRoad_act!P77)</f>
        <v>1139.6562450035649</v>
      </c>
      <c r="Q134" s="87">
        <f>IF(Q48=0,0,1000000*Q48/TrRoad_act!Q77)</f>
        <v>1167.62545836656</v>
      </c>
      <c r="R134" s="87">
        <f>IF(R48=0,0,1000000*R48/TrRoad_act!R77)</f>
        <v>1175.934746428075</v>
      </c>
      <c r="S134" s="87">
        <f>IF(S48=0,0,1000000*S48/TrRoad_act!S77)</f>
        <v>1235.1687474291707</v>
      </c>
      <c r="T134" s="87">
        <f>IF(T48=0,0,1000000*T48/TrRoad_act!T77)</f>
        <v>1234.3223238966568</v>
      </c>
      <c r="U134" s="87">
        <f>IF(U48=0,0,1000000*U48/TrRoad_act!U77)</f>
        <v>1260.4447603747558</v>
      </c>
      <c r="V134" s="87">
        <f>IF(V48=0,0,1000000*V48/TrRoad_act!V77)</f>
        <v>967.4663910357126</v>
      </c>
      <c r="W134" s="87">
        <f>IF(W48=0,0,1000000*W48/TrRoad_act!W77)</f>
        <v>1120.6086489568402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1083.9017697459765</v>
      </c>
      <c r="C135" s="87">
        <f>IF(C49=0,0,1000000*C49/TrRoad_act!C78)</f>
        <v>1121.4349822708921</v>
      </c>
      <c r="D135" s="87">
        <f>IF(D49=0,0,1000000*D49/TrRoad_act!D78)</f>
        <v>1115.995573322346</v>
      </c>
      <c r="E135" s="87">
        <f>IF(E49=0,0,1000000*E49/TrRoad_act!E78)</f>
        <v>1075.5157507017723</v>
      </c>
      <c r="F135" s="87">
        <f>IF(F49=0,0,1000000*F49/TrRoad_act!F78)</f>
        <v>1058.3338330196427</v>
      </c>
      <c r="G135" s="87">
        <f>IF(G49=0,0,1000000*G49/TrRoad_act!G78)</f>
        <v>1047.9877410636009</v>
      </c>
      <c r="H135" s="87">
        <f>IF(H49=0,0,1000000*H49/TrRoad_act!H78)</f>
        <v>1024.2643352176892</v>
      </c>
      <c r="I135" s="87">
        <f>IF(I49=0,0,1000000*I49/TrRoad_act!I78)</f>
        <v>1010.2996853585267</v>
      </c>
      <c r="J135" s="87">
        <f>IF(J49=0,0,1000000*J49/TrRoad_act!J78)</f>
        <v>956.11471531601887</v>
      </c>
      <c r="K135" s="87">
        <f>IF(K49=0,0,1000000*K49/TrRoad_act!K78)</f>
        <v>930.81959118003601</v>
      </c>
      <c r="L135" s="87">
        <f>IF(L49=0,0,1000000*L49/TrRoad_act!L78)</f>
        <v>913.1875726779208</v>
      </c>
      <c r="M135" s="87">
        <f>IF(M49=0,0,1000000*M49/TrRoad_act!M78)</f>
        <v>912.81480861605303</v>
      </c>
      <c r="N135" s="87">
        <f>IF(N49=0,0,1000000*N49/TrRoad_act!N78)</f>
        <v>885.03830676629786</v>
      </c>
      <c r="O135" s="87">
        <f>IF(O49=0,0,1000000*O49/TrRoad_act!O78)</f>
        <v>859.07190693456914</v>
      </c>
      <c r="P135" s="87">
        <f>IF(P49=0,0,1000000*P49/TrRoad_act!P78)</f>
        <v>833.18563873359676</v>
      </c>
      <c r="Q135" s="87">
        <f>IF(Q49=0,0,1000000*Q49/TrRoad_act!Q78)</f>
        <v>849.64340138915554</v>
      </c>
      <c r="R135" s="87">
        <f>IF(R49=0,0,1000000*R49/TrRoad_act!R78)</f>
        <v>875.33239408676275</v>
      </c>
      <c r="S135" s="87">
        <f>IF(S49=0,0,1000000*S49/TrRoad_act!S78)</f>
        <v>947.75565865808824</v>
      </c>
      <c r="T135" s="87">
        <f>IF(T49=0,0,1000000*T49/TrRoad_act!T78)</f>
        <v>999.83733330764812</v>
      </c>
      <c r="U135" s="87">
        <f>IF(U49=0,0,1000000*U49/TrRoad_act!U78)</f>
        <v>1011.2682455237479</v>
      </c>
      <c r="V135" s="87">
        <f>IF(V49=0,0,1000000*V49/TrRoad_act!V78)</f>
        <v>863.73274739058036</v>
      </c>
      <c r="W135" s="87">
        <f>IF(W49=0,0,1000000*W49/TrRoad_act!W78)</f>
        <v>1015.6381744450025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109.44557357716575</v>
      </c>
      <c r="C136" s="87">
        <f>IF(C51=0,0,1000000*C51/TrRoad_act!C79)</f>
        <v>103.93542488060683</v>
      </c>
      <c r="D136" s="87">
        <f>IF(D51=0,0,1000000*D51/TrRoad_act!D79)</f>
        <v>103.1297655356116</v>
      </c>
      <c r="E136" s="87">
        <f>IF(E51=0,0,1000000*E51/TrRoad_act!E79)</f>
        <v>102.64805484426745</v>
      </c>
      <c r="F136" s="87">
        <f>IF(F51=0,0,1000000*F51/TrRoad_act!F79)</f>
        <v>101.80271324535677</v>
      </c>
      <c r="G136" s="87">
        <f>IF(G51=0,0,1000000*G51/TrRoad_act!G79)</f>
        <v>101.04763058679205</v>
      </c>
      <c r="H136" s="87">
        <f>IF(H51=0,0,1000000*H51/TrRoad_act!H79)</f>
        <v>100.3666749625536</v>
      </c>
      <c r="I136" s="87">
        <f>IF(I51=0,0,1000000*I51/TrRoad_act!I79)</f>
        <v>99.533408022195076</v>
      </c>
      <c r="J136" s="87">
        <f>IF(J51=0,0,1000000*J51/TrRoad_act!J79)</f>
        <v>98.16284849850399</v>
      </c>
      <c r="K136" s="87">
        <f>IF(K51=0,0,1000000*K51/TrRoad_act!K79)</f>
        <v>97.473553418448773</v>
      </c>
      <c r="L136" s="87">
        <f>IF(L51=0,0,1000000*L51/TrRoad_act!L79)</f>
        <v>95.588729066703294</v>
      </c>
      <c r="M136" s="87">
        <f>IF(M51=0,0,1000000*M51/TrRoad_act!M79)</f>
        <v>95.736200654558203</v>
      </c>
      <c r="N136" s="87">
        <f>IF(N51=0,0,1000000*N51/TrRoad_act!N79)</f>
        <v>95.732386239700247</v>
      </c>
      <c r="O136" s="87">
        <f>IF(O51=0,0,1000000*O51/TrRoad_act!O79)</f>
        <v>97.008517720211827</v>
      </c>
      <c r="P136" s="87">
        <f>IF(P51=0,0,1000000*P51/TrRoad_act!P79)</f>
        <v>97.27235354842</v>
      </c>
      <c r="Q136" s="87">
        <f>IF(Q51=0,0,1000000*Q51/TrRoad_act!Q79)</f>
        <v>100.1349652963614</v>
      </c>
      <c r="R136" s="87">
        <f>IF(R51=0,0,1000000*R51/TrRoad_act!R79)</f>
        <v>101.92323843863117</v>
      </c>
      <c r="S136" s="87">
        <f>IF(S51=0,0,1000000*S51/TrRoad_act!S79)</f>
        <v>104.06232385744167</v>
      </c>
      <c r="T136" s="87">
        <f>IF(T51=0,0,1000000*T51/TrRoad_act!T79)</f>
        <v>107.78919678799595</v>
      </c>
      <c r="U136" s="87">
        <f>IF(U51=0,0,1000000*U51/TrRoad_act!U79)</f>
        <v>110.88304714666018</v>
      </c>
      <c r="V136" s="87">
        <f>IF(V51=0,0,1000000*V51/TrRoad_act!V79)</f>
        <v>105.45673557782595</v>
      </c>
      <c r="W136" s="87">
        <f>IF(W51=0,0,1000000*W51/TrRoad_act!W79)</f>
        <v>124.99289623857183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15789.333597446244</v>
      </c>
      <c r="C137" s="116">
        <f>IF(C52=0,0,1000000*C52/TrRoad_act!C80)</f>
        <v>15478.642804316574</v>
      </c>
      <c r="D137" s="116">
        <f>IF(D52=0,0,1000000*D52/TrRoad_act!D80)</f>
        <v>15101.805265651221</v>
      </c>
      <c r="E137" s="116">
        <f>IF(E52=0,0,1000000*E52/TrRoad_act!E80)</f>
        <v>14631.441962958936</v>
      </c>
      <c r="F137" s="116">
        <f>IF(F52=0,0,1000000*F52/TrRoad_act!F80)</f>
        <v>15225.49632727314</v>
      </c>
      <c r="G137" s="116">
        <f>IF(G52=0,0,1000000*G52/TrRoad_act!G80)</f>
        <v>14959.571378231385</v>
      </c>
      <c r="H137" s="116">
        <f>IF(H52=0,0,1000000*H52/TrRoad_act!H80)</f>
        <v>14791.352117170522</v>
      </c>
      <c r="I137" s="116">
        <f>IF(I52=0,0,1000000*I52/TrRoad_act!I80)</f>
        <v>14793.484108836401</v>
      </c>
      <c r="J137" s="116">
        <f>IF(J52=0,0,1000000*J52/TrRoad_act!J80)</f>
        <v>13725.611246115908</v>
      </c>
      <c r="K137" s="116">
        <f>IF(K52=0,0,1000000*K52/TrRoad_act!K80)</f>
        <v>12184.344370002113</v>
      </c>
      <c r="L137" s="116">
        <f>IF(L52=0,0,1000000*L52/TrRoad_act!L80)</f>
        <v>12120.937454208215</v>
      </c>
      <c r="M137" s="116">
        <f>IF(M52=0,0,1000000*M52/TrRoad_act!M80)</f>
        <v>12396.791459186876</v>
      </c>
      <c r="N137" s="116">
        <f>IF(N52=0,0,1000000*N52/TrRoad_act!N80)</f>
        <v>11922.474166066084</v>
      </c>
      <c r="O137" s="116">
        <f>IF(O52=0,0,1000000*O52/TrRoad_act!O80)</f>
        <v>12135.179756889003</v>
      </c>
      <c r="P137" s="116">
        <f>IF(P52=0,0,1000000*P52/TrRoad_act!P80)</f>
        <v>12004.071504285246</v>
      </c>
      <c r="Q137" s="116">
        <f>IF(Q52=0,0,1000000*Q52/TrRoad_act!Q80)</f>
        <v>11854.350680237238</v>
      </c>
      <c r="R137" s="116">
        <f>IF(R52=0,0,1000000*R52/TrRoad_act!R80)</f>
        <v>12297.555678604436</v>
      </c>
      <c r="S137" s="116">
        <f>IF(S52=0,0,1000000*S52/TrRoad_act!S80)</f>
        <v>12534.952452147314</v>
      </c>
      <c r="T137" s="116">
        <f>IF(T52=0,0,1000000*T52/TrRoad_act!T80)</f>
        <v>12159.499680896361</v>
      </c>
      <c r="U137" s="116">
        <f>IF(U52=0,0,1000000*U52/TrRoad_act!U80)</f>
        <v>12072.983698952979</v>
      </c>
      <c r="V137" s="116">
        <f>IF(V52=0,0,1000000*V52/TrRoad_act!V80)</f>
        <v>11632.878628930077</v>
      </c>
      <c r="W137" s="116">
        <f>IF(W52=0,0,1000000*W52/TrRoad_act!W80)</f>
        <v>12097.451060988222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12327.788702433316</v>
      </c>
      <c r="C138" s="101">
        <f>IF(C53=0,0,1000000*C53/TrRoad_act!C81)</f>
        <v>12039.323808232821</v>
      </c>
      <c r="D138" s="101">
        <f>IF(D53=0,0,1000000*D53/TrRoad_act!D81)</f>
        <v>11641.893122486941</v>
      </c>
      <c r="E138" s="101">
        <f>IF(E53=0,0,1000000*E53/TrRoad_act!E81)</f>
        <v>11267.480423178617</v>
      </c>
      <c r="F138" s="101">
        <f>IF(F53=0,0,1000000*F53/TrRoad_act!F81)</f>
        <v>11655.098572755465</v>
      </c>
      <c r="G138" s="101">
        <f>IF(G53=0,0,1000000*G53/TrRoad_act!G81)</f>
        <v>11349.579041259873</v>
      </c>
      <c r="H138" s="101">
        <f>IF(H53=0,0,1000000*H53/TrRoad_act!H81)</f>
        <v>11199.253136588535</v>
      </c>
      <c r="I138" s="101">
        <f>IF(I53=0,0,1000000*I53/TrRoad_act!I81)</f>
        <v>11278.647236280056</v>
      </c>
      <c r="J138" s="101">
        <f>IF(J53=0,0,1000000*J53/TrRoad_act!J81)</f>
        <v>10174.954813368309</v>
      </c>
      <c r="K138" s="101">
        <f>IF(K53=0,0,1000000*K53/TrRoad_act!K81)</f>
        <v>8714.4827704712588</v>
      </c>
      <c r="L138" s="101">
        <f>IF(L53=0,0,1000000*L53/TrRoad_act!L81)</f>
        <v>8786.7640312151707</v>
      </c>
      <c r="M138" s="101">
        <f>IF(M53=0,0,1000000*M53/TrRoad_act!M81)</f>
        <v>9184.1601947370254</v>
      </c>
      <c r="N138" s="101">
        <f>IF(N53=0,0,1000000*N53/TrRoad_act!N81)</f>
        <v>8613.091563242886</v>
      </c>
      <c r="O138" s="101">
        <f>IF(O53=0,0,1000000*O53/TrRoad_act!O81)</f>
        <v>8647.7967374048658</v>
      </c>
      <c r="P138" s="101">
        <f>IF(P53=0,0,1000000*P53/TrRoad_act!P81)</f>
        <v>8470.1501230375034</v>
      </c>
      <c r="Q138" s="101">
        <f>IF(Q53=0,0,1000000*Q53/TrRoad_act!Q81)</f>
        <v>8127.0283151218819</v>
      </c>
      <c r="R138" s="101">
        <f>IF(R53=0,0,1000000*R53/TrRoad_act!R81)</f>
        <v>8485.1892351821389</v>
      </c>
      <c r="S138" s="101">
        <f>IF(S53=0,0,1000000*S53/TrRoad_act!S81)</f>
        <v>8569.3474980317769</v>
      </c>
      <c r="T138" s="101">
        <f>IF(T53=0,0,1000000*T53/TrRoad_act!T81)</f>
        <v>8197.2796482213416</v>
      </c>
      <c r="U138" s="101">
        <f>IF(U53=0,0,1000000*U53/TrRoad_act!U81)</f>
        <v>8073.794778686989</v>
      </c>
      <c r="V138" s="101">
        <f>IF(V53=0,0,1000000*V53/TrRoad_act!V81)</f>
        <v>7678.7365714883626</v>
      </c>
      <c r="W138" s="101">
        <f>IF(W53=0,0,1000000*W53/TrRoad_act!W81)</f>
        <v>7832.6513379367889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38129.305121343452</v>
      </c>
      <c r="C139" s="88">
        <f>IF(C55=0,0,1000000*C55/TrRoad_act!C82)</f>
        <v>36827.043275057309</v>
      </c>
      <c r="D139" s="88">
        <f>IF(D55=0,0,1000000*D55/TrRoad_act!D82)</f>
        <v>35995.614206705264</v>
      </c>
      <c r="E139" s="88">
        <f>IF(E55=0,0,1000000*E55/TrRoad_act!E82)</f>
        <v>34874.777347997377</v>
      </c>
      <c r="F139" s="88">
        <f>IF(F55=0,0,1000000*F55/TrRoad_act!F82)</f>
        <v>33555.046578161753</v>
      </c>
      <c r="G139" s="88">
        <f>IF(G55=0,0,1000000*G55/TrRoad_act!G82)</f>
        <v>33155.329884479186</v>
      </c>
      <c r="H139" s="88">
        <f>IF(H55=0,0,1000000*H55/TrRoad_act!H82)</f>
        <v>32701.083080263157</v>
      </c>
      <c r="I139" s="88">
        <f>IF(I55=0,0,1000000*I55/TrRoad_act!I82)</f>
        <v>32275.799550457403</v>
      </c>
      <c r="J139" s="88">
        <f>IF(J55=0,0,1000000*J55/TrRoad_act!J82)</f>
        <v>32363.8612660871</v>
      </c>
      <c r="K139" s="88">
        <f>IF(K55=0,0,1000000*K55/TrRoad_act!K82)</f>
        <v>33008.034111020941</v>
      </c>
      <c r="L139" s="88">
        <f>IF(L55=0,0,1000000*L55/TrRoad_act!L82)</f>
        <v>32623.783066969885</v>
      </c>
      <c r="M139" s="88">
        <f>IF(M55=0,0,1000000*M55/TrRoad_act!M82)</f>
        <v>33012.313387347684</v>
      </c>
      <c r="N139" s="88">
        <f>IF(N55=0,0,1000000*N55/TrRoad_act!N82)</f>
        <v>33229.598234805409</v>
      </c>
      <c r="O139" s="88">
        <f>IF(O55=0,0,1000000*O55/TrRoad_act!O82)</f>
        <v>33092.996260676169</v>
      </c>
      <c r="P139" s="88">
        <f>IF(P55=0,0,1000000*P55/TrRoad_act!P82)</f>
        <v>33169.328530736217</v>
      </c>
      <c r="Q139" s="88">
        <f>IF(Q55=0,0,1000000*Q55/TrRoad_act!Q82)</f>
        <v>33345.643432313678</v>
      </c>
      <c r="R139" s="88">
        <f>IF(R55=0,0,1000000*R55/TrRoad_act!R82)</f>
        <v>33004.774856402291</v>
      </c>
      <c r="S139" s="88">
        <f>IF(S55=0,0,1000000*S55/TrRoad_act!S82)</f>
        <v>32910.348210976539</v>
      </c>
      <c r="T139" s="88">
        <f>IF(T55=0,0,1000000*T55/TrRoad_act!T82)</f>
        <v>32927.95985926719</v>
      </c>
      <c r="U139" s="88">
        <f>IF(U55=0,0,1000000*U55/TrRoad_act!U82)</f>
        <v>32416.96980661825</v>
      </c>
      <c r="V139" s="88">
        <f>IF(V55=0,0,1000000*V55/TrRoad_act!V82)</f>
        <v>32202.975761847756</v>
      </c>
      <c r="W139" s="88">
        <f>IF(W55=0,0,1000000*W55/TrRoad_act!W82)</f>
        <v>32832.464730395506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0.64047952079437487</v>
      </c>
      <c r="C142" s="46">
        <f t="shared" si="41"/>
        <v>0.64349108040719505</v>
      </c>
      <c r="D142" s="46">
        <f t="shared" si="41"/>
        <v>0.64556364243240261</v>
      </c>
      <c r="E142" s="46">
        <f t="shared" si="41"/>
        <v>0.64651654125509683</v>
      </c>
      <c r="F142" s="46">
        <f t="shared" si="41"/>
        <v>0.63745505315197581</v>
      </c>
      <c r="G142" s="46">
        <f t="shared" si="41"/>
        <v>0.63587430510717413</v>
      </c>
      <c r="H142" s="46">
        <f t="shared" si="41"/>
        <v>0.63707221720822704</v>
      </c>
      <c r="I142" s="46">
        <f t="shared" si="41"/>
        <v>0.63809385095624749</v>
      </c>
      <c r="J142" s="46">
        <f t="shared" si="41"/>
        <v>0.64471928840529713</v>
      </c>
      <c r="K142" s="46">
        <f t="shared" si="41"/>
        <v>0.66235843809296513</v>
      </c>
      <c r="L142" s="46">
        <f t="shared" ref="L142" si="42">IF(L18=0,0,L18/L$17)</f>
        <v>0.65335294556141554</v>
      </c>
      <c r="M142" s="46">
        <f t="shared" ref="M142:V142" si="43">IF(M18=0,0,M18/M$17)</f>
        <v>0.65300243643245437</v>
      </c>
      <c r="N142" s="46">
        <f t="shared" si="43"/>
        <v>0.6621836518828369</v>
      </c>
      <c r="O142" s="46">
        <f t="shared" si="43"/>
        <v>0.65794272679637866</v>
      </c>
      <c r="P142" s="46">
        <f t="shared" si="43"/>
        <v>0.66275389648295235</v>
      </c>
      <c r="Q142" s="46">
        <f t="shared" si="43"/>
        <v>0.66610700758977792</v>
      </c>
      <c r="R142" s="46">
        <f t="shared" si="43"/>
        <v>0.664077684630205</v>
      </c>
      <c r="S142" s="46">
        <f t="shared" si="43"/>
        <v>0.65853819643104761</v>
      </c>
      <c r="T142" s="46">
        <f t="shared" si="43"/>
        <v>0.65744038195386234</v>
      </c>
      <c r="U142" s="46">
        <f t="shared" si="43"/>
        <v>0.65665772524417743</v>
      </c>
      <c r="V142" s="46">
        <f t="shared" si="43"/>
        <v>0.63161545298915245</v>
      </c>
      <c r="W142" s="46">
        <f t="shared" ref="W142" si="44">IF(W18=0,0,W18/W$17)</f>
        <v>0.63845254493526893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8.4446442966324177E-3</v>
      </c>
      <c r="C143" s="154">
        <f t="shared" si="45"/>
        <v>9.073082781332259E-3</v>
      </c>
      <c r="D143" s="154">
        <f t="shared" si="45"/>
        <v>1.0045323460748665E-2</v>
      </c>
      <c r="E143" s="154">
        <f t="shared" si="45"/>
        <v>1.0218040774206894E-2</v>
      </c>
      <c r="F143" s="154">
        <f t="shared" si="45"/>
        <v>1.0836193217283794E-2</v>
      </c>
      <c r="G143" s="154">
        <f t="shared" si="45"/>
        <v>1.1188957278980212E-2</v>
      </c>
      <c r="H143" s="154">
        <f t="shared" si="45"/>
        <v>1.1117235018036612E-2</v>
      </c>
      <c r="I143" s="154">
        <f t="shared" si="45"/>
        <v>1.1390928227804397E-2</v>
      </c>
      <c r="J143" s="154">
        <f t="shared" si="45"/>
        <v>1.2315006992757152E-2</v>
      </c>
      <c r="K143" s="154">
        <f t="shared" si="45"/>
        <v>1.2782420226407722E-2</v>
      </c>
      <c r="L143" s="154">
        <f t="shared" ref="L143" si="46">IF(L19=0,0,L19/L$17)</f>
        <v>1.268246656767608E-2</v>
      </c>
      <c r="M143" s="154">
        <f t="shared" ref="M143:V143" si="47">IF(M19=0,0,M19/M$17)</f>
        <v>1.2337844338093661E-2</v>
      </c>
      <c r="N143" s="154">
        <f t="shared" si="47"/>
        <v>1.2394809893563789E-2</v>
      </c>
      <c r="O143" s="154">
        <f t="shared" si="47"/>
        <v>1.2616275065082169E-2</v>
      </c>
      <c r="P143" s="154">
        <f t="shared" si="47"/>
        <v>1.2805461548084455E-2</v>
      </c>
      <c r="Q143" s="154">
        <f t="shared" si="47"/>
        <v>1.2717995617086017E-2</v>
      </c>
      <c r="R143" s="154">
        <f t="shared" si="47"/>
        <v>1.1725972782108606E-2</v>
      </c>
      <c r="S143" s="154">
        <f t="shared" si="47"/>
        <v>1.1046216764379115E-2</v>
      </c>
      <c r="T143" s="154">
        <f t="shared" si="47"/>
        <v>1.1207753375703074E-2</v>
      </c>
      <c r="U143" s="154">
        <f t="shared" si="47"/>
        <v>1.1264842842587304E-2</v>
      </c>
      <c r="V143" s="154">
        <f t="shared" si="47"/>
        <v>1.1328557428378768E-2</v>
      </c>
      <c r="W143" s="154">
        <f t="shared" ref="W143" si="48">IF(W19=0,0,W19/W$17)</f>
        <v>1.0140313092010378E-2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0.59227277315326854</v>
      </c>
      <c r="C144" s="156">
        <f t="shared" si="49"/>
        <v>0.59613411484644974</v>
      </c>
      <c r="D144" s="156">
        <f t="shared" si="49"/>
        <v>0.59724565034426413</v>
      </c>
      <c r="E144" s="156">
        <f t="shared" si="49"/>
        <v>0.5970979566497997</v>
      </c>
      <c r="F144" s="156">
        <f t="shared" si="49"/>
        <v>0.58696266121561025</v>
      </c>
      <c r="G144" s="156">
        <f t="shared" si="49"/>
        <v>0.58453855530168908</v>
      </c>
      <c r="H144" s="156">
        <f t="shared" si="49"/>
        <v>0.58429152852409338</v>
      </c>
      <c r="I144" s="156">
        <f t="shared" si="49"/>
        <v>0.5844554470549832</v>
      </c>
      <c r="J144" s="156">
        <f t="shared" si="49"/>
        <v>0.58911432212772896</v>
      </c>
      <c r="K144" s="156">
        <f t="shared" si="49"/>
        <v>0.60776452138713188</v>
      </c>
      <c r="L144" s="156">
        <f t="shared" ref="L144" si="50">IF(L21=0,0,L21/L$17)</f>
        <v>0.60016222715504808</v>
      </c>
      <c r="M144" s="156">
        <f t="shared" ref="M144:V144" si="51">IF(M21=0,0,M21/M$17)</f>
        <v>0.6011538995655813</v>
      </c>
      <c r="N144" s="156">
        <f t="shared" si="51"/>
        <v>0.61040226805417619</v>
      </c>
      <c r="O144" s="156">
        <f t="shared" si="51"/>
        <v>0.60814346304561606</v>
      </c>
      <c r="P144" s="156">
        <f t="shared" si="51"/>
        <v>0.61266966370471398</v>
      </c>
      <c r="Q144" s="156">
        <f t="shared" si="51"/>
        <v>0.61571542325434814</v>
      </c>
      <c r="R144" s="156">
        <f t="shared" si="51"/>
        <v>0.61378322141906427</v>
      </c>
      <c r="S144" s="156">
        <f t="shared" si="51"/>
        <v>0.60947588517151008</v>
      </c>
      <c r="T144" s="156">
        <f t="shared" si="51"/>
        <v>0.60684052681597256</v>
      </c>
      <c r="U144" s="156">
        <f t="shared" si="51"/>
        <v>0.60590861157810005</v>
      </c>
      <c r="V144" s="156">
        <f t="shared" si="51"/>
        <v>0.58352534026869829</v>
      </c>
      <c r="W144" s="156">
        <f t="shared" ref="W144" si="52">IF(W21=0,0,W21/W$17)</f>
        <v>0.59240452874908056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0.30320700181090865</v>
      </c>
      <c r="C145" s="103">
        <f t="shared" si="53"/>
        <v>0.29155534004399547</v>
      </c>
      <c r="D145" s="103">
        <f t="shared" si="53"/>
        <v>0.2824120860975568</v>
      </c>
      <c r="E145" s="103">
        <f t="shared" si="53"/>
        <v>0.26934807751579287</v>
      </c>
      <c r="F145" s="103">
        <f t="shared" si="53"/>
        <v>0.25571784515059415</v>
      </c>
      <c r="G145" s="103">
        <f t="shared" si="53"/>
        <v>0.24304631162777579</v>
      </c>
      <c r="H145" s="103">
        <f t="shared" si="53"/>
        <v>0.22677036796169325</v>
      </c>
      <c r="I145" s="103">
        <f t="shared" si="53"/>
        <v>0.21099451916826764</v>
      </c>
      <c r="J145" s="103">
        <f t="shared" si="53"/>
        <v>0.19522214596285781</v>
      </c>
      <c r="K145" s="103">
        <f t="shared" si="53"/>
        <v>0.18797025700152742</v>
      </c>
      <c r="L145" s="103">
        <f t="shared" ref="L145" si="54">IF(L22=0,0,L22/L$17)</f>
        <v>0.17148453928721336</v>
      </c>
      <c r="M145" s="103">
        <f t="shared" ref="M145:V145" si="55">IF(M22=0,0,M22/M$17)</f>
        <v>0.16413505212207144</v>
      </c>
      <c r="N145" s="103">
        <f t="shared" si="55"/>
        <v>0.1542760980962434</v>
      </c>
      <c r="O145" s="103">
        <f t="shared" si="55"/>
        <v>0.14917551006419175</v>
      </c>
      <c r="P145" s="103">
        <f t="shared" si="55"/>
        <v>0.14959726237443499</v>
      </c>
      <c r="Q145" s="103">
        <f t="shared" si="55"/>
        <v>0.15067556673105545</v>
      </c>
      <c r="R145" s="103">
        <f t="shared" si="55"/>
        <v>0.15594208588612918</v>
      </c>
      <c r="S145" s="103">
        <f t="shared" si="55"/>
        <v>0.16213835856464368</v>
      </c>
      <c r="T145" s="103">
        <f t="shared" si="55"/>
        <v>0.17226368362943056</v>
      </c>
      <c r="U145" s="103">
        <f t="shared" si="55"/>
        <v>0.18607392337690934</v>
      </c>
      <c r="V145" s="103">
        <f t="shared" si="55"/>
        <v>0.18626150523300983</v>
      </c>
      <c r="W145" s="103">
        <f t="shared" ref="W145" si="56">IF(W22=0,0,W22/W$17)</f>
        <v>0.19831577355305854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0.28398341713862973</v>
      </c>
      <c r="C146" s="103">
        <f t="shared" si="57"/>
        <v>0.29980601090204728</v>
      </c>
      <c r="D146" s="103">
        <f t="shared" si="57"/>
        <v>0.31065236675077951</v>
      </c>
      <c r="E146" s="103">
        <f t="shared" si="57"/>
        <v>0.32419424004145275</v>
      </c>
      <c r="F146" s="103">
        <f t="shared" si="57"/>
        <v>0.32808838200371998</v>
      </c>
      <c r="G146" s="103">
        <f t="shared" si="57"/>
        <v>0.33863122201383866</v>
      </c>
      <c r="H146" s="103">
        <f t="shared" si="57"/>
        <v>0.35494691732558331</v>
      </c>
      <c r="I146" s="103">
        <f t="shared" si="57"/>
        <v>0.37104776852101057</v>
      </c>
      <c r="J146" s="103">
        <f t="shared" si="57"/>
        <v>0.39151208573012358</v>
      </c>
      <c r="K146" s="103">
        <f t="shared" si="57"/>
        <v>0.41773446050283725</v>
      </c>
      <c r="L146" s="103">
        <f t="shared" ref="L146" si="58">IF(L24=0,0,L24/L$17)</f>
        <v>0.4261830012362896</v>
      </c>
      <c r="M146" s="103">
        <f t="shared" ref="M146:V146" si="59">IF(M24=0,0,M24/M$17)</f>
        <v>0.43423997162854266</v>
      </c>
      <c r="N146" s="103">
        <f t="shared" si="59"/>
        <v>0.45360157760077119</v>
      </c>
      <c r="O146" s="103">
        <f t="shared" si="59"/>
        <v>0.45671409551863995</v>
      </c>
      <c r="P146" s="103">
        <f t="shared" si="59"/>
        <v>0.46104995083063349</v>
      </c>
      <c r="Q146" s="103">
        <f t="shared" si="59"/>
        <v>0.46317371355682074</v>
      </c>
      <c r="R146" s="103">
        <f t="shared" si="59"/>
        <v>0.45606669447619197</v>
      </c>
      <c r="S146" s="103">
        <f t="shared" si="59"/>
        <v>0.44558464104890022</v>
      </c>
      <c r="T146" s="103">
        <f t="shared" si="59"/>
        <v>0.43260280081876951</v>
      </c>
      <c r="U146" s="103">
        <f t="shared" si="59"/>
        <v>0.41759029113690921</v>
      </c>
      <c r="V146" s="103">
        <f t="shared" si="59"/>
        <v>0.39408671172080034</v>
      </c>
      <c r="W146" s="103">
        <f t="shared" ref="W146" si="60">IF(W24=0,0,W24/W$17)</f>
        <v>0.38877478749917344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5.0823542037301533E-3</v>
      </c>
      <c r="C147" s="103">
        <f t="shared" si="61"/>
        <v>4.7727639004069636E-3</v>
      </c>
      <c r="D147" s="103">
        <f t="shared" si="61"/>
        <v>4.1811974959277617E-3</v>
      </c>
      <c r="E147" s="103">
        <f t="shared" si="61"/>
        <v>3.5556390925541538E-3</v>
      </c>
      <c r="F147" s="103">
        <f t="shared" si="61"/>
        <v>3.1564340612960629E-3</v>
      </c>
      <c r="G147" s="103">
        <f t="shared" si="61"/>
        <v>2.8610216600746209E-3</v>
      </c>
      <c r="H147" s="103">
        <f t="shared" si="61"/>
        <v>2.5741855591722707E-3</v>
      </c>
      <c r="I147" s="103">
        <f t="shared" si="61"/>
        <v>2.3968910874442957E-3</v>
      </c>
      <c r="J147" s="103">
        <f t="shared" si="61"/>
        <v>2.3402049012129274E-3</v>
      </c>
      <c r="K147" s="103">
        <f t="shared" si="61"/>
        <v>2.0104090192110424E-3</v>
      </c>
      <c r="L147" s="103">
        <f t="shared" ref="L147" si="62">IF(L26=0,0,L26/L$17)</f>
        <v>2.4428866631505237E-3</v>
      </c>
      <c r="M147" s="103">
        <f t="shared" ref="M147:V147" si="63">IF(M26=0,0,M26/M$17)</f>
        <v>2.7156929241038776E-3</v>
      </c>
      <c r="N147" s="103">
        <f t="shared" si="63"/>
        <v>2.4396311337774551E-3</v>
      </c>
      <c r="O147" s="103">
        <f t="shared" si="63"/>
        <v>2.127534661717354E-3</v>
      </c>
      <c r="P147" s="103">
        <f t="shared" si="63"/>
        <v>1.8376083520140827E-3</v>
      </c>
      <c r="Q147" s="103">
        <f t="shared" si="63"/>
        <v>1.5560860517122765E-3</v>
      </c>
      <c r="R147" s="103">
        <f t="shared" si="63"/>
        <v>1.3342304964217807E-3</v>
      </c>
      <c r="S147" s="103">
        <f t="shared" si="63"/>
        <v>1.1315684823701958E-3</v>
      </c>
      <c r="T147" s="103">
        <f t="shared" si="63"/>
        <v>1.0749059532390724E-3</v>
      </c>
      <c r="U147" s="103">
        <f t="shared" si="63"/>
        <v>9.6622106164881189E-4</v>
      </c>
      <c r="V147" s="103">
        <f t="shared" si="63"/>
        <v>7.4876175321272095E-4</v>
      </c>
      <c r="W147" s="103">
        <f t="shared" ref="W147" si="64">IF(W26=0,0,W26/W$17)</f>
        <v>1.0133460089931854E-3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1.6186734262558098E-5</v>
      </c>
      <c r="J148" s="103">
        <f t="shared" si="65"/>
        <v>2.907666674491291E-5</v>
      </c>
      <c r="K148" s="103">
        <f t="shared" si="65"/>
        <v>3.8532799144141476E-5</v>
      </c>
      <c r="L148" s="103">
        <f t="shared" ref="L148" si="66">IF(L27=0,0,L27/L$17)</f>
        <v>4.0914236383746312E-5</v>
      </c>
      <c r="M148" s="103">
        <f t="shared" ref="M148:V148" si="67">IF(M27=0,0,M27/M$17)</f>
        <v>4.1556678142560064E-5</v>
      </c>
      <c r="N148" s="103">
        <f t="shared" si="67"/>
        <v>4.3860389618042714E-5</v>
      </c>
      <c r="O148" s="103">
        <f t="shared" si="67"/>
        <v>4.3428357907160816E-5</v>
      </c>
      <c r="P148" s="103">
        <f t="shared" si="67"/>
        <v>4.2864756198209243E-5</v>
      </c>
      <c r="Q148" s="103">
        <f t="shared" si="67"/>
        <v>4.3292196949381139E-5</v>
      </c>
      <c r="R148" s="103">
        <f t="shared" si="67"/>
        <v>4.5006426899204967E-5</v>
      </c>
      <c r="S148" s="103">
        <f t="shared" si="67"/>
        <v>4.4498445875308998E-5</v>
      </c>
      <c r="T148" s="103">
        <f t="shared" si="67"/>
        <v>4.3950645217096552E-5</v>
      </c>
      <c r="U148" s="103">
        <f t="shared" si="67"/>
        <v>4.7098949102272098E-5</v>
      </c>
      <c r="V148" s="103">
        <f t="shared" si="67"/>
        <v>4.998199870013627E-5</v>
      </c>
      <c r="W148" s="103">
        <f t="shared" ref="W148" si="68">IF(W27=0,0,W27/W$17)</f>
        <v>5.1564041471781965E-5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3.370220728355887E-6</v>
      </c>
      <c r="O149" s="103">
        <f t="shared" si="71"/>
        <v>7.6915673848621089E-6</v>
      </c>
      <c r="P149" s="103">
        <f t="shared" si="71"/>
        <v>1.5571383521571015E-5</v>
      </c>
      <c r="Q149" s="103">
        <f t="shared" si="71"/>
        <v>4.7830738926399358E-5</v>
      </c>
      <c r="R149" s="103">
        <f t="shared" si="71"/>
        <v>9.4600357175959445E-5</v>
      </c>
      <c r="S149" s="103">
        <f t="shared" si="71"/>
        <v>1.7401187243618166E-4</v>
      </c>
      <c r="T149" s="103">
        <f t="shared" si="71"/>
        <v>2.8696369046582118E-4</v>
      </c>
      <c r="U149" s="103">
        <f t="shared" si="71"/>
        <v>4.3980909963890481E-4</v>
      </c>
      <c r="V149" s="103">
        <f t="shared" si="71"/>
        <v>9.6008307578873632E-4</v>
      </c>
      <c r="W149" s="103">
        <f t="shared" ref="W149" si="72">IF(W29=0,0,W29/W$17)</f>
        <v>1.9647514557117668E-3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5.7677644556369344E-8</v>
      </c>
      <c r="I150" s="103">
        <f t="shared" si="73"/>
        <v>8.1543998116640803E-8</v>
      </c>
      <c r="J150" s="103">
        <f t="shared" si="73"/>
        <v>1.0808866789693355E-5</v>
      </c>
      <c r="K150" s="103">
        <f t="shared" si="73"/>
        <v>1.0862064411899937E-5</v>
      </c>
      <c r="L150" s="103">
        <f t="shared" ref="L150" si="74">IF(L32=0,0,L32/L$17)</f>
        <v>1.0885732010930607E-5</v>
      </c>
      <c r="M150" s="103">
        <f t="shared" ref="M150:V150" si="75">IF(M32=0,0,M32/M$17)</f>
        <v>2.1626212720671077E-5</v>
      </c>
      <c r="N150" s="103">
        <f t="shared" si="75"/>
        <v>3.7730613037825418E-5</v>
      </c>
      <c r="O150" s="103">
        <f t="shared" si="75"/>
        <v>7.5202875774995536E-5</v>
      </c>
      <c r="P150" s="103">
        <f t="shared" si="75"/>
        <v>1.264060079116035E-4</v>
      </c>
      <c r="Q150" s="103">
        <f t="shared" si="75"/>
        <v>2.1893397888383186E-4</v>
      </c>
      <c r="R150" s="103">
        <f t="shared" si="75"/>
        <v>3.0060377624630089E-4</v>
      </c>
      <c r="S150" s="103">
        <f t="shared" si="75"/>
        <v>4.028067572843224E-4</v>
      </c>
      <c r="T150" s="103">
        <f t="shared" si="75"/>
        <v>5.6822207885049466E-4</v>
      </c>
      <c r="U150" s="103">
        <f t="shared" si="75"/>
        <v>7.912679538914912E-4</v>
      </c>
      <c r="V150" s="103">
        <f t="shared" si="75"/>
        <v>1.4182964871865661E-3</v>
      </c>
      <c r="W150" s="103">
        <f t="shared" ref="W150" si="76">IF(W32=0,0,W32/W$17)</f>
        <v>2.2843061906718037E-3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3.9762103344473942E-2</v>
      </c>
      <c r="C151" s="156">
        <f t="shared" si="77"/>
        <v>3.8283882779413053E-2</v>
      </c>
      <c r="D151" s="156">
        <f t="shared" si="77"/>
        <v>3.8272668627389754E-2</v>
      </c>
      <c r="E151" s="156">
        <f t="shared" si="77"/>
        <v>3.9200543831090222E-2</v>
      </c>
      <c r="F151" s="156">
        <f t="shared" si="77"/>
        <v>3.9656198719081825E-2</v>
      </c>
      <c r="G151" s="156">
        <f t="shared" si="77"/>
        <v>4.0146792526504847E-2</v>
      </c>
      <c r="H151" s="156">
        <f t="shared" si="77"/>
        <v>4.1663453666097056E-2</v>
      </c>
      <c r="I151" s="156">
        <f t="shared" si="77"/>
        <v>4.2247475673459919E-2</v>
      </c>
      <c r="J151" s="156">
        <f t="shared" si="77"/>
        <v>4.3289959284811122E-2</v>
      </c>
      <c r="K151" s="156">
        <f t="shared" si="77"/>
        <v>4.1811496479425531E-2</v>
      </c>
      <c r="L151" s="156">
        <f t="shared" ref="L151" si="78">IF(L33=0,0,L33/L$17)</f>
        <v>4.0508251838691431E-2</v>
      </c>
      <c r="M151" s="156">
        <f t="shared" ref="M151:V151" si="79">IF(M33=0,0,M33/M$17)</f>
        <v>3.9510692528779388E-2</v>
      </c>
      <c r="N151" s="156">
        <f t="shared" si="79"/>
        <v>3.9386573935096959E-2</v>
      </c>
      <c r="O151" s="156">
        <f t="shared" si="79"/>
        <v>3.7182988685680367E-2</v>
      </c>
      <c r="P151" s="156">
        <f t="shared" si="79"/>
        <v>3.7278771230153954E-2</v>
      </c>
      <c r="Q151" s="156">
        <f t="shared" si="79"/>
        <v>3.767358871834376E-2</v>
      </c>
      <c r="R151" s="156">
        <f t="shared" si="79"/>
        <v>3.8568490429032133E-2</v>
      </c>
      <c r="S151" s="156">
        <f t="shared" si="79"/>
        <v>3.8016094495158498E-2</v>
      </c>
      <c r="T151" s="156">
        <f t="shared" si="79"/>
        <v>3.9392101762186729E-2</v>
      </c>
      <c r="U151" s="156">
        <f t="shared" si="79"/>
        <v>3.948427082349007E-2</v>
      </c>
      <c r="V151" s="156">
        <f t="shared" si="79"/>
        <v>3.67615552920754E-2</v>
      </c>
      <c r="W151" s="156">
        <f t="shared" ref="W151" si="80">IF(W33=0,0,W33/W$17)</f>
        <v>3.5907703094177963E-2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6.7135815314647894E-5</v>
      </c>
      <c r="C152" s="103">
        <f t="shared" si="81"/>
        <v>6.2002178523180051E-5</v>
      </c>
      <c r="D152" s="103">
        <f t="shared" si="81"/>
        <v>6.0177202273888594E-5</v>
      </c>
      <c r="E152" s="103">
        <f t="shared" si="81"/>
        <v>5.7592607148420271E-5</v>
      </c>
      <c r="F152" s="103">
        <f t="shared" si="81"/>
        <v>5.3997704831385834E-5</v>
      </c>
      <c r="G152" s="103">
        <f t="shared" si="81"/>
        <v>4.9929395363895596E-5</v>
      </c>
      <c r="H152" s="103">
        <f t="shared" si="81"/>
        <v>4.6690600026793227E-5</v>
      </c>
      <c r="I152" s="103">
        <f t="shared" si="81"/>
        <v>4.2234393916326061E-5</v>
      </c>
      <c r="J152" s="103">
        <f t="shared" si="81"/>
        <v>3.9926339231122268E-5</v>
      </c>
      <c r="K152" s="103">
        <f t="shared" si="81"/>
        <v>3.5526169429008785E-5</v>
      </c>
      <c r="L152" s="103">
        <f t="shared" ref="L152" si="82">IF(L34=0,0,L34/L$17)</f>
        <v>3.0683574337768883E-5</v>
      </c>
      <c r="M152" s="103">
        <f t="shared" ref="M152:V152" si="83">IF(M34=0,0,M34/M$17)</f>
        <v>2.5684577998794253E-5</v>
      </c>
      <c r="N152" s="103">
        <f t="shared" si="83"/>
        <v>2.1830635037479724E-5</v>
      </c>
      <c r="O152" s="103">
        <f t="shared" si="83"/>
        <v>1.8299817503550784E-5</v>
      </c>
      <c r="P152" s="103">
        <f t="shared" si="83"/>
        <v>1.5203115498230017E-5</v>
      </c>
      <c r="Q152" s="103">
        <f t="shared" si="83"/>
        <v>1.2667045892770357E-5</v>
      </c>
      <c r="R152" s="103">
        <f t="shared" si="83"/>
        <v>1.248259346410848E-5</v>
      </c>
      <c r="S152" s="103">
        <f t="shared" si="83"/>
        <v>1.2167724557355175E-5</v>
      </c>
      <c r="T152" s="103">
        <f t="shared" si="83"/>
        <v>1.2383858078766097E-5</v>
      </c>
      <c r="U152" s="103">
        <f t="shared" si="83"/>
        <v>1.1921541837841564E-5</v>
      </c>
      <c r="V152" s="103">
        <f t="shared" si="83"/>
        <v>1.0401365376802901E-5</v>
      </c>
      <c r="W152" s="103">
        <f t="shared" ref="W152" si="84">IF(W34=0,0,W34/W$17)</f>
        <v>1.0012278464712763E-5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3.9602816836659484E-2</v>
      </c>
      <c r="C153" s="103">
        <f t="shared" si="85"/>
        <v>3.7952543314489266E-2</v>
      </c>
      <c r="D153" s="103">
        <f t="shared" si="85"/>
        <v>3.7907479409979405E-2</v>
      </c>
      <c r="E153" s="103">
        <f t="shared" si="85"/>
        <v>3.8741438692813816E-2</v>
      </c>
      <c r="F153" s="103">
        <f t="shared" si="85"/>
        <v>3.9157662519501236E-2</v>
      </c>
      <c r="G153" s="103">
        <f t="shared" si="85"/>
        <v>3.9612461127303204E-2</v>
      </c>
      <c r="H153" s="103">
        <f t="shared" si="85"/>
        <v>4.1030907427743402E-2</v>
      </c>
      <c r="I153" s="103">
        <f t="shared" si="85"/>
        <v>4.1571689906522831E-2</v>
      </c>
      <c r="J153" s="103">
        <f t="shared" si="85"/>
        <v>4.2484492082550944E-2</v>
      </c>
      <c r="K153" s="103">
        <f t="shared" si="85"/>
        <v>4.1024073150854469E-2</v>
      </c>
      <c r="L153" s="103">
        <f t="shared" ref="L153" si="86">IF(L36=0,0,L36/L$17)</f>
        <v>3.9701707844275125E-2</v>
      </c>
      <c r="M153" s="103">
        <f t="shared" ref="M153:V153" si="87">IF(M36=0,0,M36/M$17)</f>
        <v>3.7782399559568844E-2</v>
      </c>
      <c r="N153" s="103">
        <f t="shared" si="87"/>
        <v>3.7471930805565858E-2</v>
      </c>
      <c r="O153" s="103">
        <f t="shared" si="87"/>
        <v>3.5010458605209772E-2</v>
      </c>
      <c r="P153" s="103">
        <f t="shared" si="87"/>
        <v>3.4949830706383335E-2</v>
      </c>
      <c r="Q153" s="103">
        <f t="shared" si="87"/>
        <v>3.5302247536705231E-2</v>
      </c>
      <c r="R153" s="103">
        <f t="shared" si="87"/>
        <v>3.6094534267691387E-2</v>
      </c>
      <c r="S153" s="103">
        <f t="shared" si="87"/>
        <v>3.5358574560372058E-2</v>
      </c>
      <c r="T153" s="103">
        <f t="shared" si="87"/>
        <v>3.6299733470903414E-2</v>
      </c>
      <c r="U153" s="103">
        <f t="shared" si="87"/>
        <v>3.5623333783612224E-2</v>
      </c>
      <c r="V153" s="103">
        <f t="shared" si="87"/>
        <v>3.1392734738849716E-2</v>
      </c>
      <c r="W153" s="103">
        <f t="shared" ref="W153" si="88">IF(W36=0,0,W36/W$17)</f>
        <v>2.8976702156849832E-2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3.7856947652000733E-5</v>
      </c>
      <c r="C154" s="103">
        <f t="shared" si="89"/>
        <v>4.1830428213192401E-5</v>
      </c>
      <c r="D154" s="103">
        <f t="shared" si="89"/>
        <v>4.2166882183485126E-5</v>
      </c>
      <c r="E154" s="103">
        <f t="shared" si="89"/>
        <v>4.5165161597039791E-5</v>
      </c>
      <c r="F154" s="103">
        <f t="shared" si="89"/>
        <v>4.6667341766127421E-5</v>
      </c>
      <c r="G154" s="103">
        <f t="shared" si="89"/>
        <v>4.7165180502681392E-5</v>
      </c>
      <c r="H154" s="103">
        <f t="shared" si="89"/>
        <v>3.8546115088099607E-5</v>
      </c>
      <c r="I154" s="103">
        <f t="shared" si="89"/>
        <v>4.5334606220112876E-5</v>
      </c>
      <c r="J154" s="103">
        <f t="shared" si="89"/>
        <v>4.5504315836296552E-5</v>
      </c>
      <c r="K154" s="103">
        <f t="shared" si="89"/>
        <v>4.3596281314864877E-5</v>
      </c>
      <c r="L154" s="103">
        <f t="shared" ref="L154" si="90">IF(L38=0,0,L38/L$17)</f>
        <v>4.0661350471236582E-5</v>
      </c>
      <c r="M154" s="103">
        <f t="shared" ref="M154:V154" si="91">IF(M38=0,0,M38/M$17)</f>
        <v>3.6794542966234596E-5</v>
      </c>
      <c r="N154" s="103">
        <f t="shared" si="91"/>
        <v>3.4164763350795511E-5</v>
      </c>
      <c r="O154" s="103">
        <f t="shared" si="91"/>
        <v>3.1665865112064101E-5</v>
      </c>
      <c r="P154" s="103">
        <f t="shared" si="91"/>
        <v>2.9115494805041058E-5</v>
      </c>
      <c r="Q154" s="103">
        <f t="shared" si="91"/>
        <v>2.7153524439704431E-5</v>
      </c>
      <c r="R154" s="103">
        <f t="shared" si="91"/>
        <v>2.5620472629469411E-5</v>
      </c>
      <c r="S154" s="103">
        <f t="shared" si="91"/>
        <v>2.3255283143341415E-5</v>
      </c>
      <c r="T154" s="103">
        <f t="shared" si="91"/>
        <v>2.2079389575838897E-5</v>
      </c>
      <c r="U154" s="103">
        <f t="shared" si="91"/>
        <v>1.9876383080311194E-5</v>
      </c>
      <c r="V154" s="103">
        <f t="shared" si="91"/>
        <v>1.6297081807579245E-5</v>
      </c>
      <c r="W154" s="103">
        <f t="shared" ref="W154" si="92">IF(W38=0,0,W38/W$17)</f>
        <v>1.4200779099279418E-5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7.5209941689682566E-6</v>
      </c>
      <c r="C155" s="103">
        <f t="shared" si="93"/>
        <v>1.7896442238177587E-4</v>
      </c>
      <c r="D155" s="103">
        <f t="shared" si="93"/>
        <v>2.0960404674521331E-4</v>
      </c>
      <c r="E155" s="103">
        <f t="shared" si="93"/>
        <v>2.9837263424123449E-4</v>
      </c>
      <c r="F155" s="103">
        <f t="shared" si="93"/>
        <v>3.3624974465613688E-4</v>
      </c>
      <c r="G155" s="103">
        <f t="shared" si="93"/>
        <v>3.7581097519484563E-4</v>
      </c>
      <c r="H155" s="103">
        <f t="shared" si="93"/>
        <v>4.8778551275050478E-4</v>
      </c>
      <c r="I155" s="103">
        <f t="shared" si="93"/>
        <v>5.3123250819655003E-4</v>
      </c>
      <c r="J155" s="103">
        <f t="shared" si="93"/>
        <v>6.6337777044680297E-4</v>
      </c>
      <c r="K155" s="103">
        <f t="shared" si="93"/>
        <v>6.5442945776787232E-4</v>
      </c>
      <c r="L155" s="103">
        <f t="shared" ref="L155" si="94">IF(L39=0,0,L39/L$17)</f>
        <v>6.848156268280585E-4</v>
      </c>
      <c r="M155" s="103">
        <f t="shared" ref="M155:V155" si="95">IF(M39=0,0,M39/M$17)</f>
        <v>1.6193043084020565E-3</v>
      </c>
      <c r="N155" s="103">
        <f t="shared" si="95"/>
        <v>1.8072184930337956E-3</v>
      </c>
      <c r="O155" s="103">
        <f t="shared" si="95"/>
        <v>2.042374833184946E-3</v>
      </c>
      <c r="P155" s="103">
        <f t="shared" si="95"/>
        <v>2.1984428691244717E-3</v>
      </c>
      <c r="Q155" s="103">
        <f t="shared" si="95"/>
        <v>2.237454450992527E-3</v>
      </c>
      <c r="R155" s="103">
        <f t="shared" si="95"/>
        <v>2.3293012513398571E-3</v>
      </c>
      <c r="S155" s="103">
        <f t="shared" si="95"/>
        <v>2.5026542044698499E-3</v>
      </c>
      <c r="T155" s="103">
        <f t="shared" si="95"/>
        <v>2.9299243362855814E-3</v>
      </c>
      <c r="U155" s="103">
        <f t="shared" si="95"/>
        <v>3.6271224205068368E-3</v>
      </c>
      <c r="V155" s="103">
        <f t="shared" si="95"/>
        <v>5.1141443386001862E-3</v>
      </c>
      <c r="W155" s="103">
        <f t="shared" ref="W155" si="96">IF(W39=0,0,W39/W$17)</f>
        <v>6.4638182723098601E-3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4.6772750678843805E-5</v>
      </c>
      <c r="C156" s="103">
        <f t="shared" si="97"/>
        <v>4.854243580563512E-5</v>
      </c>
      <c r="D156" s="103">
        <f t="shared" si="97"/>
        <v>5.3241086207765103E-5</v>
      </c>
      <c r="E156" s="103">
        <f t="shared" si="97"/>
        <v>5.7974735289712591E-5</v>
      </c>
      <c r="F156" s="103">
        <f t="shared" si="97"/>
        <v>6.162140832693811E-5</v>
      </c>
      <c r="G156" s="103">
        <f t="shared" si="97"/>
        <v>6.1425848140217145E-5</v>
      </c>
      <c r="H156" s="103">
        <f t="shared" si="97"/>
        <v>5.9524010488249275E-5</v>
      </c>
      <c r="I156" s="103">
        <f t="shared" si="97"/>
        <v>5.6984258604098376E-5</v>
      </c>
      <c r="J156" s="103">
        <f t="shared" si="97"/>
        <v>5.6658776745960837E-5</v>
      </c>
      <c r="K156" s="103">
        <f t="shared" si="97"/>
        <v>5.3871420059318011E-5</v>
      </c>
      <c r="L156" s="103">
        <f t="shared" ref="L156" si="98">IF(L41=0,0,L41/L$17)</f>
        <v>5.0383442779248191E-5</v>
      </c>
      <c r="M156" s="103">
        <f t="shared" ref="M156:V156" si="99">IF(M41=0,0,M41/M$17)</f>
        <v>4.6509539843451034E-5</v>
      </c>
      <c r="N156" s="103">
        <f t="shared" si="99"/>
        <v>5.1429238109026059E-5</v>
      </c>
      <c r="O156" s="103">
        <f t="shared" si="99"/>
        <v>8.0189564670034473E-5</v>
      </c>
      <c r="P156" s="103">
        <f t="shared" si="99"/>
        <v>8.6179044342872421E-5</v>
      </c>
      <c r="Q156" s="103">
        <f t="shared" si="99"/>
        <v>9.4066160313522145E-5</v>
      </c>
      <c r="R156" s="103">
        <f t="shared" si="99"/>
        <v>1.0655184390730872E-4</v>
      </c>
      <c r="S156" s="103">
        <f t="shared" si="99"/>
        <v>1.1944272261588596E-4</v>
      </c>
      <c r="T156" s="103">
        <f t="shared" si="99"/>
        <v>1.2798070734313082E-4</v>
      </c>
      <c r="U156" s="103">
        <f t="shared" si="99"/>
        <v>2.020166944528568E-4</v>
      </c>
      <c r="V156" s="103">
        <f t="shared" si="99"/>
        <v>2.2797776744111495E-4</v>
      </c>
      <c r="W156" s="103">
        <f t="shared" ref="W156" si="100">IF(W41=0,0,W41/W$17)</f>
        <v>4.4296960745428705E-4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0.35952047920562519</v>
      </c>
      <c r="C157" s="46">
        <f t="shared" si="101"/>
        <v>0.35650891959280484</v>
      </c>
      <c r="D157" s="46">
        <f t="shared" si="101"/>
        <v>0.35443635756759734</v>
      </c>
      <c r="E157" s="46">
        <f t="shared" si="101"/>
        <v>0.35348345874490306</v>
      </c>
      <c r="F157" s="46">
        <f t="shared" si="101"/>
        <v>0.3625449468480243</v>
      </c>
      <c r="G157" s="46">
        <f t="shared" si="101"/>
        <v>0.36412569489282581</v>
      </c>
      <c r="H157" s="46">
        <f t="shared" si="101"/>
        <v>0.36292778279177296</v>
      </c>
      <c r="I157" s="46">
        <f t="shared" si="101"/>
        <v>0.36190614904375246</v>
      </c>
      <c r="J157" s="46">
        <f t="shared" si="101"/>
        <v>0.35528071159470287</v>
      </c>
      <c r="K157" s="46">
        <f t="shared" si="101"/>
        <v>0.33764156190703487</v>
      </c>
      <c r="L157" s="46">
        <f t="shared" ref="L157" si="102">IF(L42=0,0,L42/L$17)</f>
        <v>0.34664705443858435</v>
      </c>
      <c r="M157" s="46">
        <f t="shared" ref="M157:V157" si="103">IF(M42=0,0,M42/M$17)</f>
        <v>0.34699756356754557</v>
      </c>
      <c r="N157" s="46">
        <f t="shared" si="103"/>
        <v>0.33781634811716305</v>
      </c>
      <c r="O157" s="46">
        <f t="shared" si="103"/>
        <v>0.34205727320362145</v>
      </c>
      <c r="P157" s="46">
        <f t="shared" si="103"/>
        <v>0.33724610351704759</v>
      </c>
      <c r="Q157" s="46">
        <f t="shared" si="103"/>
        <v>0.33389299241022197</v>
      </c>
      <c r="R157" s="46">
        <f t="shared" si="103"/>
        <v>0.33592231536979494</v>
      </c>
      <c r="S157" s="46">
        <f t="shared" si="103"/>
        <v>0.34146180356895239</v>
      </c>
      <c r="T157" s="46">
        <f t="shared" si="103"/>
        <v>0.3425596180461376</v>
      </c>
      <c r="U157" s="46">
        <f t="shared" si="103"/>
        <v>0.34334227475582263</v>
      </c>
      <c r="V157" s="46">
        <f t="shared" si="103"/>
        <v>0.36838454701084761</v>
      </c>
      <c r="W157" s="46">
        <f t="shared" ref="W157" si="104">IF(W42=0,0,W42/W$17)</f>
        <v>0.36154745506473107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0.16625858015204656</v>
      </c>
      <c r="C158" s="154">
        <f t="shared" si="105"/>
        <v>0.16326950107366034</v>
      </c>
      <c r="D158" s="154">
        <f t="shared" si="105"/>
        <v>0.16078084385375194</v>
      </c>
      <c r="E158" s="154">
        <f t="shared" si="105"/>
        <v>0.15849920235619028</v>
      </c>
      <c r="F158" s="154">
        <f t="shared" si="105"/>
        <v>0.1530472170295174</v>
      </c>
      <c r="G158" s="154">
        <f t="shared" si="105"/>
        <v>0.15199354439067475</v>
      </c>
      <c r="H158" s="154">
        <f t="shared" si="105"/>
        <v>0.15028782314001563</v>
      </c>
      <c r="I158" s="154">
        <f t="shared" si="105"/>
        <v>0.14726423019654714</v>
      </c>
      <c r="J158" s="154">
        <f t="shared" si="105"/>
        <v>0.14597634347107444</v>
      </c>
      <c r="K158" s="154">
        <f t="shared" si="105"/>
        <v>0.14995469261009453</v>
      </c>
      <c r="L158" s="154">
        <f t="shared" ref="L158" si="106">IF(L43=0,0,L43/L$17)</f>
        <v>0.1534181824228093</v>
      </c>
      <c r="M158" s="154">
        <f t="shared" ref="M158:V158" si="107">IF(M43=0,0,M43/M$17)</f>
        <v>0.15576965351362934</v>
      </c>
      <c r="N158" s="154">
        <f t="shared" si="107"/>
        <v>0.15663990387230528</v>
      </c>
      <c r="O158" s="154">
        <f t="shared" si="107"/>
        <v>0.1580460324620071</v>
      </c>
      <c r="P158" s="154">
        <f t="shared" si="107"/>
        <v>0.15659167937778962</v>
      </c>
      <c r="Q158" s="154">
        <f t="shared" si="107"/>
        <v>0.15958212196212013</v>
      </c>
      <c r="R158" s="154">
        <f t="shared" si="107"/>
        <v>0.15682779229289751</v>
      </c>
      <c r="S158" s="154">
        <f t="shared" si="107"/>
        <v>0.15856254702351896</v>
      </c>
      <c r="T158" s="154">
        <f t="shared" si="107"/>
        <v>0.15958430439845991</v>
      </c>
      <c r="U158" s="154">
        <f t="shared" si="107"/>
        <v>0.15826729044564469</v>
      </c>
      <c r="V158" s="154">
        <f t="shared" si="107"/>
        <v>0.16050672323204218</v>
      </c>
      <c r="W158" s="154">
        <f t="shared" ref="W158" si="108">IF(W43=0,0,W43/W$17)</f>
        <v>0.16556536044947937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2.3768684258771912E-2</v>
      </c>
      <c r="C159" s="103">
        <f t="shared" si="109"/>
        <v>2.0553266341262755E-2</v>
      </c>
      <c r="D159" s="103">
        <f t="shared" si="109"/>
        <v>1.7029234011537411E-2</v>
      </c>
      <c r="E159" s="103">
        <f t="shared" si="109"/>
        <v>1.3668845327619888E-2</v>
      </c>
      <c r="F159" s="103">
        <f t="shared" si="109"/>
        <v>1.0710365059228601E-2</v>
      </c>
      <c r="G159" s="103">
        <f t="shared" si="109"/>
        <v>8.9797393328108852E-3</v>
      </c>
      <c r="H159" s="103">
        <f t="shared" si="109"/>
        <v>7.6311999199601029E-3</v>
      </c>
      <c r="I159" s="103">
        <f t="shared" si="109"/>
        <v>6.5520694154020363E-3</v>
      </c>
      <c r="J159" s="103">
        <f t="shared" si="109"/>
        <v>5.8373578083537481E-3</v>
      </c>
      <c r="K159" s="103">
        <f t="shared" si="109"/>
        <v>5.2757783221915209E-3</v>
      </c>
      <c r="L159" s="103">
        <f t="shared" ref="L159" si="110">IF(L44=0,0,L44/L$17)</f>
        <v>5.6905922847610216E-3</v>
      </c>
      <c r="M159" s="103">
        <f t="shared" ref="M159:V159" si="111">IF(M44=0,0,M44/M$17)</f>
        <v>6.1200826589035209E-3</v>
      </c>
      <c r="N159" s="103">
        <f t="shared" si="111"/>
        <v>6.4729070666034103E-3</v>
      </c>
      <c r="O159" s="103">
        <f t="shared" si="111"/>
        <v>6.8820994019617495E-3</v>
      </c>
      <c r="P159" s="103">
        <f t="shared" si="111"/>
        <v>6.0859349635621202E-3</v>
      </c>
      <c r="Q159" s="103">
        <f t="shared" si="111"/>
        <v>5.5250950131904269E-3</v>
      </c>
      <c r="R159" s="103">
        <f t="shared" si="111"/>
        <v>5.3031952407501188E-3</v>
      </c>
      <c r="S159" s="103">
        <f t="shared" si="111"/>
        <v>5.308285406759301E-3</v>
      </c>
      <c r="T159" s="103">
        <f t="shared" si="111"/>
        <v>5.2251813840932361E-3</v>
      </c>
      <c r="U159" s="103">
        <f t="shared" si="111"/>
        <v>4.9808759276831456E-3</v>
      </c>
      <c r="V159" s="103">
        <f t="shared" si="111"/>
        <v>4.9790125991394868E-3</v>
      </c>
      <c r="W159" s="103">
        <f t="shared" ref="W159" si="112">IF(W44=0,0,W44/W$17)</f>
        <v>5.4043116297697487E-3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0.14182487277479253</v>
      </c>
      <c r="C160" s="103">
        <f t="shared" si="113"/>
        <v>0.14202107070651709</v>
      </c>
      <c r="D160" s="103">
        <f t="shared" si="113"/>
        <v>0.14304106701743435</v>
      </c>
      <c r="E160" s="103">
        <f t="shared" si="113"/>
        <v>0.14410308567191954</v>
      </c>
      <c r="F160" s="103">
        <f t="shared" si="113"/>
        <v>0.14160440380490824</v>
      </c>
      <c r="G160" s="103">
        <f t="shared" si="113"/>
        <v>0.14225835077435284</v>
      </c>
      <c r="H160" s="103">
        <f t="shared" si="113"/>
        <v>0.14184541240144991</v>
      </c>
      <c r="I160" s="103">
        <f t="shared" si="113"/>
        <v>0.1400735580187086</v>
      </c>
      <c r="J160" s="103">
        <f t="shared" si="113"/>
        <v>0.13954885863256164</v>
      </c>
      <c r="K160" s="103">
        <f t="shared" si="113"/>
        <v>0.14405499889642964</v>
      </c>
      <c r="L160" s="103">
        <f t="shared" ref="L160" si="114">IF(L46=0,0,L46/L$17)</f>
        <v>0.147113729845049</v>
      </c>
      <c r="M160" s="103">
        <f t="shared" ref="M160:V160" si="115">IF(M46=0,0,M46/M$17)</f>
        <v>0.14904440391352164</v>
      </c>
      <c r="N160" s="103">
        <f t="shared" si="115"/>
        <v>0.14957606461093187</v>
      </c>
      <c r="O160" s="103">
        <f t="shared" si="115"/>
        <v>0.15056379405185133</v>
      </c>
      <c r="P160" s="103">
        <f t="shared" si="115"/>
        <v>0.14990962502029836</v>
      </c>
      <c r="Q160" s="103">
        <f t="shared" si="115"/>
        <v>0.1534474318399261</v>
      </c>
      <c r="R160" s="103">
        <f t="shared" si="115"/>
        <v>0.15090576839273465</v>
      </c>
      <c r="S160" s="103">
        <f t="shared" si="115"/>
        <v>0.15262953378565103</v>
      </c>
      <c r="T160" s="103">
        <f t="shared" si="115"/>
        <v>0.1536658507699756</v>
      </c>
      <c r="U160" s="103">
        <f t="shared" si="115"/>
        <v>0.15258121569673344</v>
      </c>
      <c r="V160" s="103">
        <f t="shared" si="115"/>
        <v>0.15483097143649979</v>
      </c>
      <c r="W160" s="103">
        <f t="shared" ref="W160" si="116">IF(W46=0,0,W46/W$17)</f>
        <v>0.15937776033665887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6.4683069305768127E-4</v>
      </c>
      <c r="C161" s="103">
        <f t="shared" si="117"/>
        <v>6.7648123775656437E-4</v>
      </c>
      <c r="D161" s="103">
        <f t="shared" si="117"/>
        <v>6.9102617000720186E-4</v>
      </c>
      <c r="E161" s="103">
        <f t="shared" si="117"/>
        <v>7.0282128863127325E-4</v>
      </c>
      <c r="F161" s="103">
        <f t="shared" si="117"/>
        <v>7.0819281344155702E-4</v>
      </c>
      <c r="G161" s="103">
        <f t="shared" si="117"/>
        <v>7.3171745769568279E-4</v>
      </c>
      <c r="H161" s="103">
        <f t="shared" si="117"/>
        <v>7.7726916064859461E-4</v>
      </c>
      <c r="I161" s="103">
        <f t="shared" si="117"/>
        <v>6.05993642827799E-4</v>
      </c>
      <c r="J161" s="103">
        <f t="shared" si="117"/>
        <v>5.5865329965236184E-4</v>
      </c>
      <c r="K161" s="103">
        <f t="shared" si="117"/>
        <v>5.8792755881565675E-4</v>
      </c>
      <c r="L161" s="103">
        <f t="shared" ref="L161" si="118">IF(L48=0,0,L48/L$17)</f>
        <v>5.8081968848735491E-4</v>
      </c>
      <c r="M161" s="103">
        <f t="shared" ref="M161:V161" si="119">IF(M48=0,0,M48/M$17)</f>
        <v>5.6343538746187968E-4</v>
      </c>
      <c r="N161" s="103">
        <f t="shared" si="119"/>
        <v>5.3829915971259276E-4</v>
      </c>
      <c r="O161" s="103">
        <f t="shared" si="119"/>
        <v>5.3137661192744011E-4</v>
      </c>
      <c r="P161" s="103">
        <f t="shared" si="119"/>
        <v>5.1231377013905759E-4</v>
      </c>
      <c r="Q161" s="103">
        <f t="shared" si="119"/>
        <v>5.1109545944948913E-4</v>
      </c>
      <c r="R161" s="103">
        <f t="shared" si="119"/>
        <v>4.9491199327042924E-4</v>
      </c>
      <c r="S161" s="103">
        <f t="shared" si="119"/>
        <v>4.8196415948030709E-4</v>
      </c>
      <c r="T161" s="103">
        <f t="shared" si="119"/>
        <v>4.1726987041288522E-4</v>
      </c>
      <c r="U161" s="103">
        <f t="shared" si="119"/>
        <v>3.9002171161567556E-4</v>
      </c>
      <c r="V161" s="103">
        <f t="shared" si="119"/>
        <v>3.2379122311148434E-4</v>
      </c>
      <c r="W161" s="103">
        <f t="shared" ref="W161" si="120">IF(W48=0,0,W48/W$17)</f>
        <v>3.3484180403953016E-4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7.6493689151531266E-6</v>
      </c>
      <c r="C162" s="103">
        <f t="shared" si="121"/>
        <v>7.1118700123500504E-6</v>
      </c>
      <c r="D162" s="103">
        <f t="shared" si="121"/>
        <v>7.2560740124817695E-6</v>
      </c>
      <c r="E162" s="103">
        <f t="shared" si="121"/>
        <v>1.1547260584863181E-5</v>
      </c>
      <c r="F162" s="103">
        <f t="shared" si="121"/>
        <v>1.0903655945530404E-5</v>
      </c>
      <c r="G162" s="103">
        <f t="shared" si="121"/>
        <v>1.0490714517036769E-5</v>
      </c>
      <c r="H162" s="103">
        <f t="shared" si="121"/>
        <v>2.0882672638806576E-5</v>
      </c>
      <c r="I162" s="103">
        <f t="shared" si="121"/>
        <v>1.9145811808782717E-5</v>
      </c>
      <c r="J162" s="103">
        <f t="shared" si="121"/>
        <v>1.9067020656642323E-5</v>
      </c>
      <c r="K162" s="103">
        <f t="shared" si="121"/>
        <v>2.2857442540859015E-5</v>
      </c>
      <c r="L162" s="103">
        <f t="shared" ref="L162" si="122">IF(L49=0,0,L49/L$17)</f>
        <v>2.1372476938007759E-5</v>
      </c>
      <c r="M162" s="103">
        <f t="shared" ref="M162:V162" si="123">IF(M49=0,0,M49/M$17)</f>
        <v>2.5141497065957424E-5</v>
      </c>
      <c r="N162" s="103">
        <f t="shared" si="123"/>
        <v>3.3715856106329421E-5</v>
      </c>
      <c r="O162" s="103">
        <f t="shared" si="123"/>
        <v>4.261177303971399E-5</v>
      </c>
      <c r="P162" s="103">
        <f t="shared" si="123"/>
        <v>4.8156343982699114E-5</v>
      </c>
      <c r="Q162" s="103">
        <f t="shared" si="123"/>
        <v>5.4906371563643778E-5</v>
      </c>
      <c r="R162" s="103">
        <f t="shared" si="123"/>
        <v>6.3274224058239604E-5</v>
      </c>
      <c r="S162" s="103">
        <f t="shared" si="123"/>
        <v>7.6067710949969037E-5</v>
      </c>
      <c r="T162" s="103">
        <f t="shared" si="123"/>
        <v>1.7149656288058748E-4</v>
      </c>
      <c r="U162" s="103">
        <f t="shared" si="123"/>
        <v>1.8683645696879097E-4</v>
      </c>
      <c r="V162" s="103">
        <f t="shared" si="123"/>
        <v>2.0382104319170767E-4</v>
      </c>
      <c r="W162" s="103">
        <f t="shared" ref="W162" si="124">IF(W49=0,0,W49/W$17)</f>
        <v>2.3398019430891212E-4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1.0543056509301808E-5</v>
      </c>
      <c r="C163" s="103">
        <f t="shared" si="125"/>
        <v>1.1570918111611403E-5</v>
      </c>
      <c r="D163" s="103">
        <f t="shared" si="125"/>
        <v>1.2260580760523156E-5</v>
      </c>
      <c r="E163" s="103">
        <f t="shared" si="125"/>
        <v>1.2902807434686755E-5</v>
      </c>
      <c r="F163" s="103">
        <f t="shared" si="125"/>
        <v>1.3351695993488231E-5</v>
      </c>
      <c r="G163" s="103">
        <f t="shared" si="125"/>
        <v>1.3246111298297779E-5</v>
      </c>
      <c r="H163" s="103">
        <f t="shared" si="125"/>
        <v>1.3058985318211381E-5</v>
      </c>
      <c r="I163" s="103">
        <f t="shared" si="125"/>
        <v>1.3463307799900703E-5</v>
      </c>
      <c r="J163" s="103">
        <f t="shared" si="125"/>
        <v>1.2406709850040926E-5</v>
      </c>
      <c r="K163" s="103">
        <f t="shared" si="125"/>
        <v>1.3130390116858397E-5</v>
      </c>
      <c r="L163" s="103">
        <f t="shared" ref="L163" si="126">IF(L51=0,0,L51/L$17)</f>
        <v>1.1668127573890329E-5</v>
      </c>
      <c r="M163" s="103">
        <f t="shared" ref="M163:V163" si="127">IF(M51=0,0,M51/M$17)</f>
        <v>1.6590056676349058E-5</v>
      </c>
      <c r="N163" s="103">
        <f t="shared" si="127"/>
        <v>1.8917178951071824E-5</v>
      </c>
      <c r="O163" s="103">
        <f t="shared" si="127"/>
        <v>2.6150623226888854E-5</v>
      </c>
      <c r="P163" s="103">
        <f t="shared" si="127"/>
        <v>3.564927980736506E-5</v>
      </c>
      <c r="Q163" s="103">
        <f t="shared" si="127"/>
        <v>4.3593277990483146E-5</v>
      </c>
      <c r="R163" s="103">
        <f t="shared" si="127"/>
        <v>6.0642442084048913E-5</v>
      </c>
      <c r="S163" s="103">
        <f t="shared" si="127"/>
        <v>6.669596067832862E-5</v>
      </c>
      <c r="T163" s="103">
        <f t="shared" si="127"/>
        <v>1.045058110976104E-4</v>
      </c>
      <c r="U163" s="103">
        <f t="shared" si="127"/>
        <v>1.2834065264362191E-4</v>
      </c>
      <c r="V163" s="103">
        <f t="shared" si="127"/>
        <v>1.6912693009971892E-4</v>
      </c>
      <c r="W163" s="103">
        <f t="shared" ref="W163" si="128">IF(W51=0,0,W51/W$17)</f>
        <v>2.1446648470227562E-4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0.1932618990535786</v>
      </c>
      <c r="C164" s="156">
        <f t="shared" si="129"/>
        <v>0.19323941851914453</v>
      </c>
      <c r="D164" s="156">
        <f t="shared" si="129"/>
        <v>0.1936555137138454</v>
      </c>
      <c r="E164" s="156">
        <f t="shared" si="129"/>
        <v>0.19498425638871278</v>
      </c>
      <c r="F164" s="156">
        <f t="shared" si="129"/>
        <v>0.20949772981850692</v>
      </c>
      <c r="G164" s="156">
        <f t="shared" si="129"/>
        <v>0.21213215050215106</v>
      </c>
      <c r="H164" s="156">
        <f t="shared" si="129"/>
        <v>0.21263995965175733</v>
      </c>
      <c r="I164" s="156">
        <f t="shared" si="129"/>
        <v>0.21464191884720527</v>
      </c>
      <c r="J164" s="156">
        <f t="shared" si="129"/>
        <v>0.20930436812362846</v>
      </c>
      <c r="K164" s="156">
        <f t="shared" si="129"/>
        <v>0.18768686929694034</v>
      </c>
      <c r="L164" s="156">
        <f t="shared" ref="L164" si="130">IF(L52=0,0,L52/L$17)</f>
        <v>0.19322887201577504</v>
      </c>
      <c r="M164" s="156">
        <f t="shared" ref="M164:V164" si="131">IF(M52=0,0,M52/M$17)</f>
        <v>0.19122791005391626</v>
      </c>
      <c r="N164" s="156">
        <f t="shared" si="131"/>
        <v>0.18117644424485776</v>
      </c>
      <c r="O164" s="156">
        <f t="shared" si="131"/>
        <v>0.18401124074161432</v>
      </c>
      <c r="P164" s="156">
        <f t="shared" si="131"/>
        <v>0.18065442413925795</v>
      </c>
      <c r="Q164" s="156">
        <f t="shared" si="131"/>
        <v>0.17431087044810187</v>
      </c>
      <c r="R164" s="156">
        <f t="shared" si="131"/>
        <v>0.17909452307689744</v>
      </c>
      <c r="S164" s="156">
        <f t="shared" si="131"/>
        <v>0.18289925654543346</v>
      </c>
      <c r="T164" s="156">
        <f t="shared" si="131"/>
        <v>0.18297531364767769</v>
      </c>
      <c r="U164" s="156">
        <f t="shared" si="131"/>
        <v>0.18507498431017794</v>
      </c>
      <c r="V164" s="156">
        <f t="shared" si="131"/>
        <v>0.20787782377880545</v>
      </c>
      <c r="W164" s="156">
        <f t="shared" ref="W164" si="132">IF(W52=0,0,W52/W$17)</f>
        <v>0.19598209461525171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0.13064867453034865</v>
      </c>
      <c r="C165" s="104">
        <f t="shared" si="133"/>
        <v>0.12944751201004595</v>
      </c>
      <c r="D165" s="104">
        <f t="shared" si="133"/>
        <v>0.12807869678431669</v>
      </c>
      <c r="E165" s="104">
        <f t="shared" si="133"/>
        <v>0.12875824178304024</v>
      </c>
      <c r="F165" s="104">
        <f t="shared" si="133"/>
        <v>0.13422472979656139</v>
      </c>
      <c r="G165" s="104">
        <f t="shared" si="133"/>
        <v>0.13429697082281591</v>
      </c>
      <c r="H165" s="104">
        <f t="shared" si="133"/>
        <v>0.13410337431697761</v>
      </c>
      <c r="I165" s="104">
        <f t="shared" si="133"/>
        <v>0.136250981525328</v>
      </c>
      <c r="J165" s="104">
        <f t="shared" si="133"/>
        <v>0.13033117815412454</v>
      </c>
      <c r="K165" s="104">
        <f t="shared" si="133"/>
        <v>0.11506414600289984</v>
      </c>
      <c r="L165" s="104">
        <f t="shared" ref="L165" si="134">IF(L53=0,0,L53/L$17)</f>
        <v>0.12048333217165352</v>
      </c>
      <c r="M165" s="104">
        <f t="shared" ref="M165:V165" si="135">IF(M53=0,0,M53/M$17)</f>
        <v>0.12257033816695499</v>
      </c>
      <c r="N165" s="104">
        <f t="shared" si="135"/>
        <v>0.11329032390995745</v>
      </c>
      <c r="O165" s="104">
        <f t="shared" si="135"/>
        <v>0.1124232303806289</v>
      </c>
      <c r="P165" s="104">
        <f t="shared" si="135"/>
        <v>0.10923257594543956</v>
      </c>
      <c r="Q165" s="104">
        <f t="shared" si="135"/>
        <v>0.101840325905135</v>
      </c>
      <c r="R165" s="104">
        <f t="shared" si="135"/>
        <v>0.10435990944095692</v>
      </c>
      <c r="S165" s="104">
        <f t="shared" si="135"/>
        <v>0.10466575908235845</v>
      </c>
      <c r="T165" s="104">
        <f t="shared" si="135"/>
        <v>0.10358927230607726</v>
      </c>
      <c r="U165" s="104">
        <f t="shared" si="135"/>
        <v>0.10343550571631559</v>
      </c>
      <c r="V165" s="104">
        <f t="shared" si="135"/>
        <v>0.11509369494107438</v>
      </c>
      <c r="W165" s="104">
        <f t="shared" ref="W165" si="136">IF(W53=0,0,W53/W$17)</f>
        <v>0.10524437054366581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6.2613224523229941E-2</v>
      </c>
      <c r="C166" s="105">
        <f t="shared" si="137"/>
        <v>6.3791906509098578E-2</v>
      </c>
      <c r="D166" s="105">
        <f t="shared" si="137"/>
        <v>6.5576816929528714E-2</v>
      </c>
      <c r="E166" s="105">
        <f t="shared" si="137"/>
        <v>6.6226014605672526E-2</v>
      </c>
      <c r="F166" s="105">
        <f t="shared" si="137"/>
        <v>7.5273000021945521E-2</v>
      </c>
      <c r="G166" s="105">
        <f t="shared" si="137"/>
        <v>7.7835179679335162E-2</v>
      </c>
      <c r="H166" s="105">
        <f t="shared" si="137"/>
        <v>7.8536585334779696E-2</v>
      </c>
      <c r="I166" s="105">
        <f t="shared" si="137"/>
        <v>7.8390937321877269E-2</v>
      </c>
      <c r="J166" s="105">
        <f t="shared" si="137"/>
        <v>7.8973189969503907E-2</v>
      </c>
      <c r="K166" s="105">
        <f t="shared" si="137"/>
        <v>7.26227232940405E-2</v>
      </c>
      <c r="L166" s="105">
        <f t="shared" ref="L166" si="138">IF(L55=0,0,L55/L$17)</f>
        <v>7.2745539844121535E-2</v>
      </c>
      <c r="M166" s="105">
        <f t="shared" ref="M166:V166" si="139">IF(M55=0,0,M55/M$17)</f>
        <v>6.8657571886961255E-2</v>
      </c>
      <c r="N166" s="105">
        <f t="shared" si="139"/>
        <v>6.788612033490031E-2</v>
      </c>
      <c r="O166" s="105">
        <f t="shared" si="139"/>
        <v>7.1588010360985416E-2</v>
      </c>
      <c r="P166" s="105">
        <f t="shared" si="139"/>
        <v>7.1421848193818388E-2</v>
      </c>
      <c r="Q166" s="105">
        <f t="shared" si="139"/>
        <v>7.2470544542966864E-2</v>
      </c>
      <c r="R166" s="105">
        <f t="shared" si="139"/>
        <v>7.4734613635940528E-2</v>
      </c>
      <c r="S166" s="105">
        <f t="shared" si="139"/>
        <v>7.8233497463074994E-2</v>
      </c>
      <c r="T166" s="105">
        <f t="shared" si="139"/>
        <v>7.9386041341600447E-2</v>
      </c>
      <c r="U166" s="105">
        <f t="shared" si="139"/>
        <v>8.1639478593862336E-2</v>
      </c>
      <c r="V166" s="105">
        <f t="shared" si="139"/>
        <v>9.2784128837731059E-2</v>
      </c>
      <c r="W166" s="105">
        <f t="shared" ref="W166" si="140">IF(W55=0,0,W55/W$17)</f>
        <v>9.073772407158591E-2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127894.12777944002</v>
      </c>
      <c r="C4" s="146">
        <f t="shared" si="0"/>
        <v>130124.18468448</v>
      </c>
      <c r="D4" s="146">
        <f t="shared" si="0"/>
        <v>130228.65332531999</v>
      </c>
      <c r="E4" s="146">
        <f t="shared" si="0"/>
        <v>127903.90912163997</v>
      </c>
      <c r="F4" s="146">
        <f t="shared" si="0"/>
        <v>128071.65417732002</v>
      </c>
      <c r="G4" s="146">
        <f t="shared" si="0"/>
        <v>126060.558363</v>
      </c>
      <c r="H4" s="146">
        <f t="shared" si="0"/>
        <v>126375.21106847998</v>
      </c>
      <c r="I4" s="146">
        <f t="shared" si="0"/>
        <v>125535.13553088001</v>
      </c>
      <c r="J4" s="146">
        <f t="shared" si="0"/>
        <v>119603.70803735999</v>
      </c>
      <c r="K4" s="146">
        <f t="shared" si="0"/>
        <v>118383.30402407999</v>
      </c>
      <c r="L4" s="146">
        <f t="shared" ref="L4" si="1">L5+L9+L10+L15</f>
        <v>118827.78425243999</v>
      </c>
      <c r="M4" s="146">
        <f t="shared" ref="M4:V4" si="2">M5+M9+M10+M15</f>
        <v>121407.91050816003</v>
      </c>
      <c r="N4" s="146">
        <f t="shared" si="2"/>
        <v>120317.58166104001</v>
      </c>
      <c r="O4" s="146">
        <f t="shared" si="2"/>
        <v>119404.97958491999</v>
      </c>
      <c r="P4" s="146">
        <f t="shared" si="2"/>
        <v>119723.70157992</v>
      </c>
      <c r="Q4" s="146">
        <f t="shared" si="2"/>
        <v>121019.22727992</v>
      </c>
      <c r="R4" s="146">
        <f t="shared" si="2"/>
        <v>121489.37952371998</v>
      </c>
      <c r="S4" s="146">
        <f t="shared" si="2"/>
        <v>121955.72849388</v>
      </c>
      <c r="T4" s="146">
        <f t="shared" si="2"/>
        <v>119073.30915599997</v>
      </c>
      <c r="U4" s="146">
        <f t="shared" si="2"/>
        <v>118688.08024404001</v>
      </c>
      <c r="V4" s="146">
        <f t="shared" si="2"/>
        <v>101352.16012319998</v>
      </c>
      <c r="W4" s="146">
        <f t="shared" ref="W4" si="3">W5+W9+W10+W15</f>
        <v>113379.91422911997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127892.61307944002</v>
      </c>
      <c r="C5" s="101">
        <f t="shared" si="4"/>
        <v>130105.30142448</v>
      </c>
      <c r="D5" s="101">
        <f t="shared" si="4"/>
        <v>130206.63968531998</v>
      </c>
      <c r="E5" s="101">
        <f t="shared" si="4"/>
        <v>127873.05993359997</v>
      </c>
      <c r="F5" s="101">
        <f t="shared" si="4"/>
        <v>128037.06832536001</v>
      </c>
      <c r="G5" s="101">
        <f t="shared" si="4"/>
        <v>126022.48930692</v>
      </c>
      <c r="H5" s="101">
        <f t="shared" si="4"/>
        <v>126324.87274043998</v>
      </c>
      <c r="I5" s="101">
        <f t="shared" si="4"/>
        <v>125478.53684676001</v>
      </c>
      <c r="J5" s="101">
        <f t="shared" si="4"/>
        <v>119534.48665127999</v>
      </c>
      <c r="K5" s="101">
        <f t="shared" si="4"/>
        <v>118314.08304191999</v>
      </c>
      <c r="L5" s="101">
        <f t="shared" ref="L5" si="5">SUM(L6:L8)</f>
        <v>118755.43107263999</v>
      </c>
      <c r="M5" s="101">
        <f t="shared" ref="M5:V5" si="6">SUM(M6:M8)</f>
        <v>121241.27088864002</v>
      </c>
      <c r="N5" s="101">
        <f t="shared" si="6"/>
        <v>120131.88085476001</v>
      </c>
      <c r="O5" s="101">
        <f t="shared" si="6"/>
        <v>119196.75518963998</v>
      </c>
      <c r="P5" s="101">
        <f t="shared" si="6"/>
        <v>119497.70874384</v>
      </c>
      <c r="Q5" s="101">
        <f t="shared" si="6"/>
        <v>120786.11353620001</v>
      </c>
      <c r="R5" s="101">
        <f t="shared" si="6"/>
        <v>121245.19170731999</v>
      </c>
      <c r="S5" s="101">
        <f t="shared" si="6"/>
        <v>121691.0350728</v>
      </c>
      <c r="T5" s="101">
        <f t="shared" si="6"/>
        <v>118762.59066659998</v>
      </c>
      <c r="U5" s="101">
        <f t="shared" si="6"/>
        <v>118307.07603936002</v>
      </c>
      <c r="V5" s="101">
        <f t="shared" si="6"/>
        <v>100900.09043567999</v>
      </c>
      <c r="W5" s="101">
        <f t="shared" ref="W5" si="7">SUM(W6:W8)</f>
        <v>112743.26037215997</v>
      </c>
      <c r="DA5" s="175"/>
    </row>
    <row r="6" spans="1:105" ht="11.45" customHeight="1" x14ac:dyDescent="0.25">
      <c r="A6" s="128" t="s">
        <v>52</v>
      </c>
      <c r="B6" s="101">
        <v>647.66473524000014</v>
      </c>
      <c r="C6" s="101">
        <v>626.77237572000013</v>
      </c>
      <c r="D6" s="101">
        <v>561.11041476000003</v>
      </c>
      <c r="E6" s="101">
        <v>481.83157475999997</v>
      </c>
      <c r="F6" s="101">
        <v>438.29249904000005</v>
      </c>
      <c r="G6" s="101">
        <v>403.46137475999996</v>
      </c>
      <c r="H6" s="101">
        <v>377.33797476000007</v>
      </c>
      <c r="I6" s="101">
        <v>342.50685048000003</v>
      </c>
      <c r="J6" s="101">
        <v>322.18852427999997</v>
      </c>
      <c r="K6" s="101">
        <v>287.35739999999993</v>
      </c>
      <c r="L6" s="101">
        <v>333.79889904000004</v>
      </c>
      <c r="M6" s="101">
        <v>368.63025048000014</v>
      </c>
      <c r="N6" s="101">
        <v>333.79889904000004</v>
      </c>
      <c r="O6" s="101">
        <v>296.06512428000002</v>
      </c>
      <c r="P6" s="101">
        <v>264.13665048000001</v>
      </c>
      <c r="Q6" s="101">
        <v>235.11060000000001</v>
      </c>
      <c r="R6" s="101">
        <v>208.98720000000003</v>
      </c>
      <c r="S6" s="101">
        <v>185.76645048</v>
      </c>
      <c r="T6" s="101">
        <v>168.25218732000002</v>
      </c>
      <c r="U6" s="101">
        <v>152.73761364000003</v>
      </c>
      <c r="V6" s="101">
        <v>103.14108936</v>
      </c>
      <c r="W6" s="101">
        <v>144.54667836000002</v>
      </c>
      <c r="DA6" s="175" t="s">
        <v>740</v>
      </c>
    </row>
    <row r="7" spans="1:105" ht="11.45" customHeight="1" x14ac:dyDescent="0.25">
      <c r="A7" s="128" t="s">
        <v>53</v>
      </c>
      <c r="B7" s="101">
        <v>41208.475714560009</v>
      </c>
      <c r="C7" s="101">
        <v>40115.559219119983</v>
      </c>
      <c r="D7" s="101">
        <v>38651.173989119983</v>
      </c>
      <c r="E7" s="101">
        <v>35924.857796519995</v>
      </c>
      <c r="F7" s="101">
        <v>33979.512548520004</v>
      </c>
      <c r="G7" s="101">
        <v>31756.696143480014</v>
      </c>
      <c r="H7" s="101">
        <v>29604.010063319984</v>
      </c>
      <c r="I7" s="101">
        <v>27463.520311919998</v>
      </c>
      <c r="J7" s="101">
        <v>24380.84913264</v>
      </c>
      <c r="K7" s="101">
        <v>23447.815138440001</v>
      </c>
      <c r="L7" s="101">
        <v>21560.403138120004</v>
      </c>
      <c r="M7" s="101">
        <v>21155.072233679999</v>
      </c>
      <c r="N7" s="101">
        <v>19906.558554960004</v>
      </c>
      <c r="O7" s="101">
        <v>19241.98225488</v>
      </c>
      <c r="P7" s="101">
        <v>19348.823062800002</v>
      </c>
      <c r="Q7" s="101">
        <v>19578.108654719999</v>
      </c>
      <c r="R7" s="101">
        <v>20032.07743152</v>
      </c>
      <c r="S7" s="101">
        <v>20703.19784148</v>
      </c>
      <c r="T7" s="101">
        <v>21350.53532304</v>
      </c>
      <c r="U7" s="101">
        <v>22801.753497599999</v>
      </c>
      <c r="V7" s="101">
        <v>19490.697848160002</v>
      </c>
      <c r="W7" s="101">
        <v>22959.86494032</v>
      </c>
      <c r="DA7" s="175" t="s">
        <v>741</v>
      </c>
    </row>
    <row r="8" spans="1:105" ht="11.45" customHeight="1" x14ac:dyDescent="0.25">
      <c r="A8" s="128" t="s">
        <v>54</v>
      </c>
      <c r="B8" s="101">
        <v>86036.472629640004</v>
      </c>
      <c r="C8" s="101">
        <v>89362.969829640017</v>
      </c>
      <c r="D8" s="101">
        <v>90994.355281440003</v>
      </c>
      <c r="E8" s="101">
        <v>91466.370562319978</v>
      </c>
      <c r="F8" s="101">
        <v>93619.263277800012</v>
      </c>
      <c r="G8" s="101">
        <v>93862.331788679992</v>
      </c>
      <c r="H8" s="101">
        <v>96343.524702359995</v>
      </c>
      <c r="I8" s="101">
        <v>97672.509684360004</v>
      </c>
      <c r="J8" s="101">
        <v>94831.448994359991</v>
      </c>
      <c r="K8" s="101">
        <v>94578.910503479987</v>
      </c>
      <c r="L8" s="101">
        <v>96861.229035479977</v>
      </c>
      <c r="M8" s="101">
        <v>99717.568404480015</v>
      </c>
      <c r="N8" s="101">
        <v>99891.523400760008</v>
      </c>
      <c r="O8" s="101">
        <v>99658.707810479988</v>
      </c>
      <c r="P8" s="101">
        <v>99884.749030560008</v>
      </c>
      <c r="Q8" s="101">
        <v>100972.89428148001</v>
      </c>
      <c r="R8" s="101">
        <v>101004.12707579999</v>
      </c>
      <c r="S8" s="101">
        <v>100802.07078084</v>
      </c>
      <c r="T8" s="101">
        <v>97243.803156239985</v>
      </c>
      <c r="U8" s="101">
        <v>95352.584928120021</v>
      </c>
      <c r="V8" s="101">
        <v>81306.251498159982</v>
      </c>
      <c r="W8" s="101">
        <v>89638.848753479979</v>
      </c>
      <c r="DA8" s="175" t="s">
        <v>742</v>
      </c>
    </row>
    <row r="9" spans="1:105" ht="11.45" customHeight="1" x14ac:dyDescent="0.25">
      <c r="A9" s="92" t="s">
        <v>55</v>
      </c>
      <c r="B9" s="101">
        <v>1.5146999999999999</v>
      </c>
      <c r="C9" s="101">
        <v>18.88326</v>
      </c>
      <c r="D9" s="101">
        <v>22.013640000000002</v>
      </c>
      <c r="E9" s="101">
        <v>30.849188039999991</v>
      </c>
      <c r="F9" s="101">
        <v>34.585851960000006</v>
      </c>
      <c r="G9" s="101">
        <v>38.069056079999996</v>
      </c>
      <c r="H9" s="101">
        <v>50.338328039999993</v>
      </c>
      <c r="I9" s="101">
        <v>56.598684120000009</v>
      </c>
      <c r="J9" s="101">
        <v>69.221386080000002</v>
      </c>
      <c r="K9" s="101">
        <v>69.220982160000005</v>
      </c>
      <c r="L9" s="101">
        <v>72.353179800000007</v>
      </c>
      <c r="M9" s="101">
        <v>166.63961952</v>
      </c>
      <c r="N9" s="101">
        <v>185.70080628000002</v>
      </c>
      <c r="O9" s="101">
        <v>208.22439528000001</v>
      </c>
      <c r="P9" s="101">
        <v>225.99283608000002</v>
      </c>
      <c r="Q9" s="101">
        <v>233.11374372000003</v>
      </c>
      <c r="R9" s="101">
        <v>244.18781639999989</v>
      </c>
      <c r="S9" s="101">
        <v>264.69342108000001</v>
      </c>
      <c r="T9" s="101">
        <v>310.71848940000007</v>
      </c>
      <c r="U9" s="101">
        <v>381.00420467999999</v>
      </c>
      <c r="V9" s="101">
        <v>452.06968752</v>
      </c>
      <c r="W9" s="101">
        <v>636.6538569600001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127894.12777944002</v>
      </c>
      <c r="C17" s="79">
        <f t="shared" si="12"/>
        <v>130124.18468448002</v>
      </c>
      <c r="D17" s="79">
        <f t="shared" si="12"/>
        <v>130228.65332531997</v>
      </c>
      <c r="E17" s="79">
        <f t="shared" si="12"/>
        <v>127903.90912163998</v>
      </c>
      <c r="F17" s="79">
        <f t="shared" si="12"/>
        <v>128071.65417732002</v>
      </c>
      <c r="G17" s="79">
        <f t="shared" si="12"/>
        <v>126060.55836300002</v>
      </c>
      <c r="H17" s="79">
        <f t="shared" si="12"/>
        <v>126375.21106848</v>
      </c>
      <c r="I17" s="79">
        <f t="shared" si="12"/>
        <v>125535.13553088001</v>
      </c>
      <c r="J17" s="79">
        <f t="shared" si="12"/>
        <v>119603.70803735999</v>
      </c>
      <c r="K17" s="79">
        <f t="shared" si="12"/>
        <v>118383.30402407999</v>
      </c>
      <c r="L17" s="79">
        <f t="shared" ref="L17" si="13">SUM(L18,L33)</f>
        <v>118827.78425243997</v>
      </c>
      <c r="M17" s="79">
        <f t="shared" ref="M17:V17" si="14">SUM(M18,M33)</f>
        <v>121407.91050816</v>
      </c>
      <c r="N17" s="79">
        <f t="shared" si="14"/>
        <v>120317.58166104001</v>
      </c>
      <c r="O17" s="79">
        <f t="shared" si="14"/>
        <v>119404.97958491999</v>
      </c>
      <c r="P17" s="79">
        <f t="shared" si="14"/>
        <v>119723.70157991999</v>
      </c>
      <c r="Q17" s="79">
        <f t="shared" si="14"/>
        <v>121019.22727992</v>
      </c>
      <c r="R17" s="79">
        <f t="shared" si="14"/>
        <v>121489.37952372001</v>
      </c>
      <c r="S17" s="79">
        <f t="shared" si="14"/>
        <v>121955.72849388001</v>
      </c>
      <c r="T17" s="79">
        <f t="shared" si="14"/>
        <v>119073.30915599997</v>
      </c>
      <c r="U17" s="79">
        <f t="shared" si="14"/>
        <v>118688.08024404</v>
      </c>
      <c r="V17" s="79">
        <f t="shared" si="14"/>
        <v>101352.1601232</v>
      </c>
      <c r="W17" s="79">
        <f t="shared" ref="W17" si="15">SUM(W18,W33)</f>
        <v>113379.91422911995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81131.833833187455</v>
      </c>
      <c r="C18" s="32">
        <f t="shared" si="16"/>
        <v>82964.002162041259</v>
      </c>
      <c r="D18" s="32">
        <f t="shared" si="16"/>
        <v>83313.160140371925</v>
      </c>
      <c r="E18" s="32">
        <f t="shared" si="16"/>
        <v>81970.211939643574</v>
      </c>
      <c r="F18" s="32">
        <f t="shared" si="16"/>
        <v>80921.232058067864</v>
      </c>
      <c r="G18" s="32">
        <f t="shared" si="16"/>
        <v>79492.048642328708</v>
      </c>
      <c r="H18" s="32">
        <f t="shared" si="16"/>
        <v>79858.264529552282</v>
      </c>
      <c r="I18" s="32">
        <f t="shared" si="16"/>
        <v>79528.270800493832</v>
      </c>
      <c r="J18" s="32">
        <f t="shared" si="16"/>
        <v>76615.098290823691</v>
      </c>
      <c r="K18" s="32">
        <f t="shared" si="16"/>
        <v>78025.778725004246</v>
      </c>
      <c r="L18" s="32">
        <f t="shared" ref="L18" si="17">SUM(L19,L20,L27)</f>
        <v>77227.105731718562</v>
      </c>
      <c r="M18" s="32">
        <f t="shared" ref="M18:V18" si="18">SUM(M19,M20,M27)</f>
        <v>78861.877061960491</v>
      </c>
      <c r="N18" s="32">
        <f t="shared" si="18"/>
        <v>79308.119827027724</v>
      </c>
      <c r="O18" s="32">
        <f t="shared" si="18"/>
        <v>78204.780463672665</v>
      </c>
      <c r="P18" s="32">
        <f t="shared" si="18"/>
        <v>79016.813428274341</v>
      </c>
      <c r="Q18" s="32">
        <f t="shared" si="18"/>
        <v>80261.298681701737</v>
      </c>
      <c r="R18" s="32">
        <f t="shared" si="18"/>
        <v>80272.195497865789</v>
      </c>
      <c r="S18" s="32">
        <f t="shared" si="18"/>
        <v>79853.518171358795</v>
      </c>
      <c r="T18" s="32">
        <f t="shared" si="18"/>
        <v>77780.684555556218</v>
      </c>
      <c r="U18" s="32">
        <f t="shared" si="18"/>
        <v>77355.705418677855</v>
      </c>
      <c r="V18" s="32">
        <f t="shared" si="18"/>
        <v>63411.001233802002</v>
      </c>
      <c r="W18" s="32">
        <f t="shared" ref="W18" si="19">SUM(W19,W20,W27)</f>
        <v>71542.461005798905</v>
      </c>
      <c r="DA18" s="173" t="s">
        <v>402</v>
      </c>
    </row>
    <row r="19" spans="1:105" ht="11.45" customHeight="1" x14ac:dyDescent="0.25">
      <c r="A19" s="136" t="s">
        <v>180</v>
      </c>
      <c r="B19" s="141">
        <v>1037.2695092802005</v>
      </c>
      <c r="C19" s="141">
        <v>1133.0083653642723</v>
      </c>
      <c r="D19" s="141">
        <v>1254.2966646852392</v>
      </c>
      <c r="E19" s="141">
        <v>1251.5887429857187</v>
      </c>
      <c r="F19" s="141">
        <v>1327.7465970593919</v>
      </c>
      <c r="G19" s="141">
        <v>1349.6834013030682</v>
      </c>
      <c r="H19" s="141">
        <v>1340.2320198160448</v>
      </c>
      <c r="I19" s="141">
        <v>1366.212458128326</v>
      </c>
      <c r="J19" s="141">
        <v>1406.888548091187</v>
      </c>
      <c r="K19" s="141">
        <v>1454.4988599636524</v>
      </c>
      <c r="L19" s="141">
        <v>1439.9998226150799</v>
      </c>
      <c r="M19" s="141">
        <v>1429.2514406590888</v>
      </c>
      <c r="N19" s="141">
        <v>1424.8463989846489</v>
      </c>
      <c r="O19" s="141">
        <v>1439.0347509768028</v>
      </c>
      <c r="P19" s="141">
        <v>1470.3174274681701</v>
      </c>
      <c r="Q19" s="141">
        <v>1473.6618811877497</v>
      </c>
      <c r="R19" s="141">
        <v>1357.4232919764379</v>
      </c>
      <c r="S19" s="141">
        <v>1280.3401979164423</v>
      </c>
      <c r="T19" s="141">
        <v>1266.8000793464344</v>
      </c>
      <c r="U19" s="141">
        <v>1267.7427855390767</v>
      </c>
      <c r="V19" s="141">
        <v>1087.0697603416713</v>
      </c>
      <c r="W19" s="141">
        <v>1083.4897981400745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74908.359187408612</v>
      </c>
      <c r="C20" s="130">
        <f t="shared" si="20"/>
        <v>76761.004426720538</v>
      </c>
      <c r="D20" s="130">
        <f t="shared" si="20"/>
        <v>76991.570555481565</v>
      </c>
      <c r="E20" s="130">
        <f t="shared" si="20"/>
        <v>75629.201812548563</v>
      </c>
      <c r="F20" s="130">
        <f t="shared" si="20"/>
        <v>74444.88853419121</v>
      </c>
      <c r="G20" s="130">
        <f t="shared" si="20"/>
        <v>73019.079946390149</v>
      </c>
      <c r="H20" s="130">
        <f t="shared" si="20"/>
        <v>73192.344985337986</v>
      </c>
      <c r="I20" s="130">
        <f t="shared" si="20"/>
        <v>72807.253636854512</v>
      </c>
      <c r="J20" s="130">
        <f t="shared" si="20"/>
        <v>69987.721643907527</v>
      </c>
      <c r="K20" s="130">
        <f t="shared" si="20"/>
        <v>71590.912300643846</v>
      </c>
      <c r="L20" s="130">
        <f t="shared" ref="L20" si="21">SUM(L21:L26)</f>
        <v>70943.055434532624</v>
      </c>
      <c r="M20" s="130">
        <f t="shared" ref="M20:V20" si="22">SUM(M21:M26)</f>
        <v>72627.332380691296</v>
      </c>
      <c r="N20" s="130">
        <f t="shared" si="22"/>
        <v>73144.27218145087</v>
      </c>
      <c r="O20" s="130">
        <f t="shared" si="22"/>
        <v>72337.809994490002</v>
      </c>
      <c r="P20" s="130">
        <f t="shared" si="22"/>
        <v>73101.054730226984</v>
      </c>
      <c r="Q20" s="130">
        <f t="shared" si="22"/>
        <v>74245.57129755411</v>
      </c>
      <c r="R20" s="130">
        <f t="shared" si="22"/>
        <v>74242.816626979824</v>
      </c>
      <c r="S20" s="130">
        <f t="shared" si="22"/>
        <v>73951.211944014707</v>
      </c>
      <c r="T20" s="130">
        <f t="shared" si="22"/>
        <v>71838.556830833753</v>
      </c>
      <c r="U20" s="130">
        <f t="shared" si="22"/>
        <v>71431.506415701762</v>
      </c>
      <c r="V20" s="130">
        <f t="shared" si="22"/>
        <v>58652.349181255384</v>
      </c>
      <c r="W20" s="130">
        <f t="shared" ref="W20" si="23">SUM(W21:W26)</f>
        <v>66486.954939500312</v>
      </c>
      <c r="DA20" s="176" t="s">
        <v>404</v>
      </c>
    </row>
    <row r="21" spans="1:105" ht="11.45" customHeight="1" x14ac:dyDescent="0.25">
      <c r="A21" s="111" t="s">
        <v>110</v>
      </c>
      <c r="B21" s="96">
        <v>37243.413331706855</v>
      </c>
      <c r="C21" s="96">
        <v>36408.202944662953</v>
      </c>
      <c r="D21" s="96">
        <v>35263.029512497735</v>
      </c>
      <c r="E21" s="96">
        <v>32991.943290594012</v>
      </c>
      <c r="F21" s="96">
        <v>31332.820659243309</v>
      </c>
      <c r="G21" s="96">
        <v>29317.796499964814</v>
      </c>
      <c r="H21" s="96">
        <v>27338.174266770449</v>
      </c>
      <c r="I21" s="96">
        <v>25306.396012649268</v>
      </c>
      <c r="J21" s="96">
        <v>22302.529072899804</v>
      </c>
      <c r="K21" s="96">
        <v>21388.948233055504</v>
      </c>
      <c r="L21" s="96">
        <v>19470.794962250355</v>
      </c>
      <c r="M21" s="96">
        <v>19013.877406753869</v>
      </c>
      <c r="N21" s="96">
        <v>17734.821647888279</v>
      </c>
      <c r="O21" s="96">
        <v>17015.223738359702</v>
      </c>
      <c r="P21" s="96">
        <v>17176.691456588916</v>
      </c>
      <c r="Q21" s="96">
        <v>17459.10643494883</v>
      </c>
      <c r="R21" s="96">
        <v>18052.184114242584</v>
      </c>
      <c r="S21" s="96">
        <v>18793.063953255791</v>
      </c>
      <c r="T21" s="96">
        <v>19470.775344089183</v>
      </c>
      <c r="U21" s="96">
        <v>20940.71592780852</v>
      </c>
      <c r="V21" s="96">
        <v>17873.348052886533</v>
      </c>
      <c r="W21" s="96">
        <v>21189.988465375507</v>
      </c>
      <c r="DA21" s="171" t="s">
        <v>750</v>
      </c>
    </row>
    <row r="22" spans="1:105" ht="11.45" customHeight="1" x14ac:dyDescent="0.25">
      <c r="A22" s="111" t="s">
        <v>111</v>
      </c>
      <c r="B22" s="96">
        <v>37094.174621758248</v>
      </c>
      <c r="C22" s="96">
        <v>39808.019948376626</v>
      </c>
      <c r="D22" s="96">
        <v>41251.144418079508</v>
      </c>
      <c r="E22" s="96">
        <v>42239.171103285706</v>
      </c>
      <c r="F22" s="96">
        <v>42758.36362868001</v>
      </c>
      <c r="G22" s="96">
        <v>43384.156500879122</v>
      </c>
      <c r="H22" s="96">
        <v>45567.640415815971</v>
      </c>
      <c r="I22" s="96">
        <v>47229.918901540805</v>
      </c>
      <c r="J22" s="96">
        <v>47426.285568326683</v>
      </c>
      <c r="K22" s="96">
        <v>49979.569980991771</v>
      </c>
      <c r="L22" s="96">
        <v>51202.196618191119</v>
      </c>
      <c r="M22" s="96">
        <v>53307.4447809993</v>
      </c>
      <c r="N22" s="96">
        <v>55134.483031433243</v>
      </c>
      <c r="O22" s="96">
        <v>55083.57647600663</v>
      </c>
      <c r="P22" s="96">
        <v>55714.824335418118</v>
      </c>
      <c r="Q22" s="96">
        <v>56603.789609891748</v>
      </c>
      <c r="R22" s="96">
        <v>56028.672263754641</v>
      </c>
      <c r="S22" s="96">
        <v>55012.118234397283</v>
      </c>
      <c r="T22" s="96">
        <v>52223.041003443854</v>
      </c>
      <c r="U22" s="96">
        <v>50347.493918413282</v>
      </c>
      <c r="V22" s="96">
        <v>40652.361455130791</v>
      </c>
      <c r="W22" s="96">
        <v>45076.720990917267</v>
      </c>
      <c r="DA22" s="171" t="s">
        <v>751</v>
      </c>
    </row>
    <row r="23" spans="1:105" ht="11.45" customHeight="1" x14ac:dyDescent="0.25">
      <c r="A23" s="111" t="s">
        <v>112</v>
      </c>
      <c r="B23" s="96">
        <v>570.7712339435119</v>
      </c>
      <c r="C23" s="96">
        <v>544.78153368095468</v>
      </c>
      <c r="D23" s="96">
        <v>477.39662490433244</v>
      </c>
      <c r="E23" s="96">
        <v>398.0874186688464</v>
      </c>
      <c r="F23" s="96">
        <v>353.70424626789321</v>
      </c>
      <c r="G23" s="96">
        <v>317.12694554621311</v>
      </c>
      <c r="H23" s="96">
        <v>286.53030275155885</v>
      </c>
      <c r="I23" s="96">
        <v>269.3217011899323</v>
      </c>
      <c r="J23" s="96">
        <v>256.07823743092217</v>
      </c>
      <c r="K23" s="96">
        <v>218.66789939582864</v>
      </c>
      <c r="L23" s="96">
        <v>266.10151192949382</v>
      </c>
      <c r="M23" s="96">
        <v>301.90285080696469</v>
      </c>
      <c r="N23" s="96">
        <v>270.35872744757506</v>
      </c>
      <c r="O23" s="96">
        <v>234.10918236017835</v>
      </c>
      <c r="P23" s="96">
        <v>204.023556220887</v>
      </c>
      <c r="Q23" s="96">
        <v>174.6866279991518</v>
      </c>
      <c r="R23" s="96">
        <v>150.33570395042108</v>
      </c>
      <c r="S23" s="96">
        <v>128.42681524898364</v>
      </c>
      <c r="T23" s="96">
        <v>119.43513630720892</v>
      </c>
      <c r="U23" s="96">
        <v>107.24238415293875</v>
      </c>
      <c r="V23" s="96">
        <v>70.926297262608514</v>
      </c>
      <c r="W23" s="96">
        <v>107.51396516034269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1.6170214745149494</v>
      </c>
      <c r="J24" s="96">
        <v>2.8287652501100995</v>
      </c>
      <c r="K24" s="96">
        <v>3.7261872007297074</v>
      </c>
      <c r="L24" s="96">
        <v>3.9623421616632739</v>
      </c>
      <c r="M24" s="96">
        <v>4.1073421311702027</v>
      </c>
      <c r="N24" s="96">
        <v>4.3213775740863438</v>
      </c>
      <c r="O24" s="96">
        <v>4.2486280709412974</v>
      </c>
      <c r="P24" s="96">
        <v>4.2311772323065329</v>
      </c>
      <c r="Q24" s="96">
        <v>4.3208498952769272</v>
      </c>
      <c r="R24" s="96">
        <v>4.5085751162352823</v>
      </c>
      <c r="S24" s="96">
        <v>4.4900710764777454</v>
      </c>
      <c r="T24" s="96">
        <v>4.3417058675938582</v>
      </c>
      <c r="U24" s="96">
        <v>4.6476635290074775</v>
      </c>
      <c r="V24" s="96">
        <v>4.209308499578575</v>
      </c>
      <c r="W24" s="96">
        <v>4.8639328298196265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0.28739710768786275</v>
      </c>
      <c r="O25" s="96">
        <v>0.65196969254654435</v>
      </c>
      <c r="P25" s="96">
        <v>1.2842047667695626</v>
      </c>
      <c r="Q25" s="96">
        <v>3.6677748191211093</v>
      </c>
      <c r="R25" s="96">
        <v>7.1159699159271304</v>
      </c>
      <c r="S25" s="96">
        <v>13.112870036175</v>
      </c>
      <c r="T25" s="96">
        <v>20.963641125916372</v>
      </c>
      <c r="U25" s="96">
        <v>31.406521798022347</v>
      </c>
      <c r="V25" s="96">
        <v>51.504067475870983</v>
      </c>
      <c r="W25" s="96">
        <v>107.8675852173872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5186.2051364986401</v>
      </c>
      <c r="C27" s="130">
        <f t="shared" si="24"/>
        <v>5069.98936995645</v>
      </c>
      <c r="D27" s="130">
        <f t="shared" si="24"/>
        <v>5067.2929202051173</v>
      </c>
      <c r="E27" s="130">
        <f t="shared" si="24"/>
        <v>5089.4213841092933</v>
      </c>
      <c r="F27" s="130">
        <f t="shared" si="24"/>
        <v>5148.5969268172557</v>
      </c>
      <c r="G27" s="130">
        <f t="shared" si="24"/>
        <v>5123.2852946354878</v>
      </c>
      <c r="H27" s="130">
        <f t="shared" si="24"/>
        <v>5325.6875243982449</v>
      </c>
      <c r="I27" s="130">
        <f t="shared" si="24"/>
        <v>5354.8047055109864</v>
      </c>
      <c r="J27" s="130">
        <f t="shared" si="24"/>
        <v>5220.4880988249724</v>
      </c>
      <c r="K27" s="130">
        <f t="shared" si="24"/>
        <v>4980.3675643967417</v>
      </c>
      <c r="L27" s="130">
        <f t="shared" ref="L27" si="25">SUM(L28:L32)</f>
        <v>4844.0504745708586</v>
      </c>
      <c r="M27" s="130">
        <f t="shared" ref="M27:V27" si="26">SUM(M28:M32)</f>
        <v>4805.2932406101063</v>
      </c>
      <c r="N27" s="130">
        <f t="shared" si="26"/>
        <v>4739.0012465922082</v>
      </c>
      <c r="O27" s="130">
        <f t="shared" si="26"/>
        <v>4427.9357182058557</v>
      </c>
      <c r="P27" s="130">
        <f t="shared" si="26"/>
        <v>4445.4412705791901</v>
      </c>
      <c r="Q27" s="130">
        <f t="shared" si="26"/>
        <v>4542.065502959872</v>
      </c>
      <c r="R27" s="130">
        <f t="shared" si="26"/>
        <v>4671.9555789095284</v>
      </c>
      <c r="S27" s="130">
        <f t="shared" si="26"/>
        <v>4621.9660294276327</v>
      </c>
      <c r="T27" s="130">
        <f t="shared" si="26"/>
        <v>4675.3276453760391</v>
      </c>
      <c r="U27" s="130">
        <f t="shared" si="26"/>
        <v>4656.4562174370212</v>
      </c>
      <c r="V27" s="130">
        <f t="shared" si="26"/>
        <v>3671.5822922049474</v>
      </c>
      <c r="W27" s="130">
        <f t="shared" ref="W27" si="27">SUM(W28:W32)</f>
        <v>3972.0162681585243</v>
      </c>
      <c r="DA27" s="176" t="s">
        <v>405</v>
      </c>
    </row>
    <row r="28" spans="1:105" ht="11.45" customHeight="1" x14ac:dyDescent="0.25">
      <c r="A28" s="111" t="s">
        <v>110</v>
      </c>
      <c r="B28" s="97">
        <v>8.2464023066455763</v>
      </c>
      <c r="C28" s="97">
        <v>7.7425709244170395</v>
      </c>
      <c r="D28" s="97">
        <v>7.5139505857785513</v>
      </c>
      <c r="E28" s="97">
        <v>7.0544109559747321</v>
      </c>
      <c r="F28" s="97">
        <v>6.6162781893308846</v>
      </c>
      <c r="G28" s="97">
        <v>6.0228021682008102</v>
      </c>
      <c r="H28" s="97">
        <v>5.6287590465442543</v>
      </c>
      <c r="I28" s="97">
        <v>5.0655358348356261</v>
      </c>
      <c r="J28" s="97">
        <v>4.5612568035492229</v>
      </c>
      <c r="K28" s="97">
        <v>4.0424874177282915</v>
      </c>
      <c r="L28" s="97">
        <v>3.4838918256009328</v>
      </c>
      <c r="M28" s="97">
        <v>2.975375527648251</v>
      </c>
      <c r="N28" s="97">
        <v>2.5095424607402035</v>
      </c>
      <c r="O28" s="97">
        <v>2.0873097002321601</v>
      </c>
      <c r="P28" s="97">
        <v>1.7456149928623876</v>
      </c>
      <c r="Q28" s="97">
        <v>1.4677582255456496</v>
      </c>
      <c r="R28" s="97">
        <v>1.4450112947820386</v>
      </c>
      <c r="S28" s="97">
        <v>1.4103314465269352</v>
      </c>
      <c r="T28" s="97">
        <v>1.3997339048167412</v>
      </c>
      <c r="U28" s="97">
        <v>1.3416475372642356</v>
      </c>
      <c r="V28" s="97">
        <v>0.99809793425793958</v>
      </c>
      <c r="W28" s="97">
        <v>1.069809331745508</v>
      </c>
      <c r="DA28" s="175" t="s">
        <v>756</v>
      </c>
    </row>
    <row r="29" spans="1:105" ht="11.45" customHeight="1" x14ac:dyDescent="0.25">
      <c r="A29" s="111" t="s">
        <v>111</v>
      </c>
      <c r="B29" s="97">
        <v>5172.9562875688225</v>
      </c>
      <c r="C29" s="97">
        <v>5039.3105755589095</v>
      </c>
      <c r="D29" s="97">
        <v>5033.6874108573393</v>
      </c>
      <c r="E29" s="97">
        <v>5047.6105236292251</v>
      </c>
      <c r="F29" s="97">
        <v>5103.2516379656017</v>
      </c>
      <c r="G29" s="97">
        <v>5074.9992948425825</v>
      </c>
      <c r="H29" s="97">
        <v>5267.4964743729133</v>
      </c>
      <c r="I29" s="97">
        <v>5291.5762051642596</v>
      </c>
      <c r="J29" s="97">
        <v>5146.4098483061116</v>
      </c>
      <c r="K29" s="97">
        <v>4908.2987610846876</v>
      </c>
      <c r="L29" s="97">
        <v>4769.8163587559357</v>
      </c>
      <c r="M29" s="97">
        <v>4638.1800612732513</v>
      </c>
      <c r="N29" s="97">
        <v>4554.6480329326769</v>
      </c>
      <c r="O29" s="97">
        <v>4222.5569409022737</v>
      </c>
      <c r="P29" s="97">
        <v>4223.4549094964796</v>
      </c>
      <c r="Q29" s="97">
        <v>4314.2366110956864</v>
      </c>
      <c r="R29" s="97">
        <v>4434.2830894942999</v>
      </c>
      <c r="S29" s="97">
        <v>4365.3885370377284</v>
      </c>
      <c r="T29" s="97">
        <v>4382.0392884123548</v>
      </c>
      <c r="U29" s="97">
        <v>4294.9886984704808</v>
      </c>
      <c r="V29" s="97">
        <v>3238.3451705240554</v>
      </c>
      <c r="W29" s="97">
        <v>3359.720744144211</v>
      </c>
      <c r="DA29" s="175" t="s">
        <v>757</v>
      </c>
    </row>
    <row r="30" spans="1:105" ht="11.45" customHeight="1" x14ac:dyDescent="0.25">
      <c r="A30" s="111" t="s">
        <v>112</v>
      </c>
      <c r="B30" s="97">
        <v>4.2515054753186279</v>
      </c>
      <c r="C30" s="97">
        <v>4.7746851325645734</v>
      </c>
      <c r="D30" s="97">
        <v>4.8144884944421236</v>
      </c>
      <c r="E30" s="97">
        <v>5.0566669242606901</v>
      </c>
      <c r="F30" s="97">
        <v>5.2294572369227845</v>
      </c>
      <c r="G30" s="97">
        <v>5.2279749705079253</v>
      </c>
      <c r="H30" s="97">
        <v>4.2905337522136557</v>
      </c>
      <c r="I30" s="97">
        <v>5.0939291042193586</v>
      </c>
      <c r="J30" s="97">
        <v>4.9793353517118293</v>
      </c>
      <c r="K30" s="97">
        <v>4.7418744969281201</v>
      </c>
      <c r="L30" s="97">
        <v>4.4292054153411984</v>
      </c>
      <c r="M30" s="97">
        <v>4.0904394296756168</v>
      </c>
      <c r="N30" s="97">
        <v>3.7861223425062285</v>
      </c>
      <c r="O30" s="97">
        <v>3.4844413693965413</v>
      </c>
      <c r="P30" s="97">
        <v>3.2325967525912258</v>
      </c>
      <c r="Q30" s="97">
        <v>3.0482617702568944</v>
      </c>
      <c r="R30" s="97">
        <v>2.8868113857563773</v>
      </c>
      <c r="S30" s="97">
        <v>2.6393470641360941</v>
      </c>
      <c r="T30" s="97">
        <v>2.4532889557676238</v>
      </c>
      <c r="U30" s="97">
        <v>2.2061107902494315</v>
      </c>
      <c r="V30" s="97">
        <v>1.5437375958879</v>
      </c>
      <c r="W30" s="97">
        <v>1.5066739847789912</v>
      </c>
      <c r="DA30" s="175" t="s">
        <v>758</v>
      </c>
    </row>
    <row r="31" spans="1:105" ht="11.45" customHeight="1" x14ac:dyDescent="0.25">
      <c r="A31" s="111" t="s">
        <v>113</v>
      </c>
      <c r="B31" s="97">
        <v>0.75094114785295585</v>
      </c>
      <c r="C31" s="97">
        <v>18.161538340558504</v>
      </c>
      <c r="D31" s="97">
        <v>21.277070267556645</v>
      </c>
      <c r="E31" s="97">
        <v>29.699782599832268</v>
      </c>
      <c r="F31" s="97">
        <v>33.499553425400322</v>
      </c>
      <c r="G31" s="97">
        <v>37.03522265419695</v>
      </c>
      <c r="H31" s="97">
        <v>48.271757226573484</v>
      </c>
      <c r="I31" s="97">
        <v>53.069035407671194</v>
      </c>
      <c r="J31" s="97">
        <v>64.537658363599718</v>
      </c>
      <c r="K31" s="97">
        <v>63.284441397397991</v>
      </c>
      <c r="L31" s="97">
        <v>66.32101857398078</v>
      </c>
      <c r="M31" s="97">
        <v>160.04736437953079</v>
      </c>
      <c r="N31" s="97">
        <v>178.05754885628556</v>
      </c>
      <c r="O31" s="97">
        <v>199.80702623395371</v>
      </c>
      <c r="P31" s="97">
        <v>217.00814933725724</v>
      </c>
      <c r="Q31" s="97">
        <v>223.31287186838304</v>
      </c>
      <c r="R31" s="97">
        <v>233.34066673469025</v>
      </c>
      <c r="S31" s="97">
        <v>252.52781387924065</v>
      </c>
      <c r="T31" s="97">
        <v>289.43533410309982</v>
      </c>
      <c r="U31" s="97">
        <v>357.91976063902706</v>
      </c>
      <c r="V31" s="97">
        <v>430.69528615074614</v>
      </c>
      <c r="W31" s="97">
        <v>609.71904069778896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46762.293946252568</v>
      </c>
      <c r="C33" s="32">
        <f t="shared" si="28"/>
        <v>47160.18252243875</v>
      </c>
      <c r="D33" s="32">
        <f t="shared" si="28"/>
        <v>46915.493184948049</v>
      </c>
      <c r="E33" s="32">
        <f t="shared" si="28"/>
        <v>45933.697181996409</v>
      </c>
      <c r="F33" s="32">
        <f t="shared" si="28"/>
        <v>47150.422119252144</v>
      </c>
      <c r="G33" s="32">
        <f t="shared" si="28"/>
        <v>46568.509720671304</v>
      </c>
      <c r="H33" s="32">
        <f t="shared" si="28"/>
        <v>46516.946538927717</v>
      </c>
      <c r="I33" s="32">
        <f t="shared" si="28"/>
        <v>46006.86473038618</v>
      </c>
      <c r="J33" s="32">
        <f t="shared" si="28"/>
        <v>42988.609746536298</v>
      </c>
      <c r="K33" s="32">
        <f t="shared" si="28"/>
        <v>40357.525299075744</v>
      </c>
      <c r="L33" s="32">
        <f t="shared" ref="L33" si="29">L34+L40</f>
        <v>41600.678520721412</v>
      </c>
      <c r="M33" s="32">
        <f t="shared" ref="M33:V33" si="30">M34+M40</f>
        <v>42546.033446199508</v>
      </c>
      <c r="N33" s="32">
        <f t="shared" si="30"/>
        <v>41009.461834012283</v>
      </c>
      <c r="O33" s="32">
        <f t="shared" si="30"/>
        <v>41200.199121247322</v>
      </c>
      <c r="P33" s="32">
        <f t="shared" si="30"/>
        <v>40706.888151645639</v>
      </c>
      <c r="Q33" s="32">
        <f t="shared" si="30"/>
        <v>40757.928598218263</v>
      </c>
      <c r="R33" s="32">
        <f t="shared" si="30"/>
        <v>41217.184025854214</v>
      </c>
      <c r="S33" s="32">
        <f t="shared" si="30"/>
        <v>42102.210322521227</v>
      </c>
      <c r="T33" s="32">
        <f t="shared" si="30"/>
        <v>41292.624600443756</v>
      </c>
      <c r="U33" s="32">
        <f t="shared" si="30"/>
        <v>41332.374825362145</v>
      </c>
      <c r="V33" s="32">
        <f t="shared" si="30"/>
        <v>37941.158889397993</v>
      </c>
      <c r="W33" s="32">
        <f t="shared" ref="W33" si="31">W34+W40</f>
        <v>41837.453223321048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21518.247292195712</v>
      </c>
      <c r="C34" s="141">
        <f t="shared" si="32"/>
        <v>21501.995736663819</v>
      </c>
      <c r="D34" s="141">
        <f t="shared" si="32"/>
        <v>21200.216500846727</v>
      </c>
      <c r="E34" s="141">
        <f t="shared" si="32"/>
        <v>20529.256415261363</v>
      </c>
      <c r="F34" s="141">
        <f t="shared" si="32"/>
        <v>19847.473882392267</v>
      </c>
      <c r="G34" s="141">
        <f t="shared" si="32"/>
        <v>19390.937725029198</v>
      </c>
      <c r="H34" s="141">
        <f t="shared" si="32"/>
        <v>19218.495005801789</v>
      </c>
      <c r="I34" s="141">
        <f t="shared" si="32"/>
        <v>18685.529635358998</v>
      </c>
      <c r="J34" s="141">
        <f t="shared" si="32"/>
        <v>17634.274350177904</v>
      </c>
      <c r="K34" s="141">
        <f t="shared" si="32"/>
        <v>17901.850928213131</v>
      </c>
      <c r="L34" s="141">
        <f t="shared" ref="L34" si="33">SUM(L35:L39)</f>
        <v>18385.903016858483</v>
      </c>
      <c r="M34" s="141">
        <f t="shared" ref="M34:V34" si="34">SUM(M35:M39)</f>
        <v>19070.830973348675</v>
      </c>
      <c r="N34" s="141">
        <f t="shared" si="34"/>
        <v>18987.780067055966</v>
      </c>
      <c r="O34" s="141">
        <f t="shared" si="34"/>
        <v>19006.889671655579</v>
      </c>
      <c r="P34" s="141">
        <f t="shared" si="34"/>
        <v>18876.000873160068</v>
      </c>
      <c r="Q34" s="141">
        <f t="shared" si="34"/>
        <v>19455.649240020088</v>
      </c>
      <c r="R34" s="141">
        <f t="shared" si="34"/>
        <v>19215.076748027648</v>
      </c>
      <c r="S34" s="141">
        <f t="shared" si="34"/>
        <v>19521.370232576253</v>
      </c>
      <c r="T34" s="141">
        <f t="shared" si="34"/>
        <v>19204.170043156289</v>
      </c>
      <c r="U34" s="141">
        <f t="shared" si="34"/>
        <v>19018.49003259492</v>
      </c>
      <c r="V34" s="141">
        <f t="shared" si="34"/>
        <v>16497.339091817277</v>
      </c>
      <c r="W34" s="141">
        <f t="shared" ref="W34" si="35">SUM(W35:W39)</f>
        <v>19114.194199724949</v>
      </c>
      <c r="DA34" s="174" t="s">
        <v>411</v>
      </c>
    </row>
    <row r="35" spans="1:105" ht="11.45" customHeight="1" x14ac:dyDescent="0.25">
      <c r="A35" s="111" t="s">
        <v>110</v>
      </c>
      <c r="B35" s="96">
        <v>2919.5464712663124</v>
      </c>
      <c r="C35" s="96">
        <v>2566.6053381683409</v>
      </c>
      <c r="D35" s="96">
        <v>2126.3338613512296</v>
      </c>
      <c r="E35" s="96">
        <v>1674.2713519842912</v>
      </c>
      <c r="F35" s="96">
        <v>1312.3290140279671</v>
      </c>
      <c r="G35" s="96">
        <v>1083.1934400439295</v>
      </c>
      <c r="H35" s="96">
        <v>919.9750176869461</v>
      </c>
      <c r="I35" s="96">
        <v>785.84630530757431</v>
      </c>
      <c r="J35" s="96">
        <v>666.87025484545791</v>
      </c>
      <c r="K35" s="96">
        <v>600.32555800311491</v>
      </c>
      <c r="L35" s="96">
        <v>646.1244614289692</v>
      </c>
      <c r="M35" s="96">
        <v>708.96801073939434</v>
      </c>
      <c r="N35" s="96">
        <v>744.09356851865073</v>
      </c>
      <c r="O35" s="96">
        <v>784.98448615071698</v>
      </c>
      <c r="P35" s="96">
        <v>698.78435898328087</v>
      </c>
      <c r="Q35" s="96">
        <v>640.20480553875245</v>
      </c>
      <c r="R35" s="96">
        <v>613.90904409026882</v>
      </c>
      <c r="S35" s="96">
        <v>615.27048882506494</v>
      </c>
      <c r="T35" s="96">
        <v>590.5965245736495</v>
      </c>
      <c r="U35" s="96">
        <v>560.54661491711147</v>
      </c>
      <c r="V35" s="96">
        <v>477.7778695216723</v>
      </c>
      <c r="W35" s="96">
        <v>577.4492822552869</v>
      </c>
      <c r="DA35" s="171" t="s">
        <v>761</v>
      </c>
    </row>
    <row r="36" spans="1:105" ht="11.45" customHeight="1" x14ac:dyDescent="0.25">
      <c r="A36" s="111" t="s">
        <v>111</v>
      </c>
      <c r="B36" s="96">
        <v>18525.295066256083</v>
      </c>
      <c r="C36" s="96">
        <v>18857.452519929557</v>
      </c>
      <c r="D36" s="96">
        <v>18994.24676840183</v>
      </c>
      <c r="E36" s="96">
        <v>18775.148168670014</v>
      </c>
      <c r="F36" s="96">
        <v>18454.699774294517</v>
      </c>
      <c r="G36" s="96">
        <v>18225.603997316186</v>
      </c>
      <c r="H36" s="96">
        <v>18209.936279045189</v>
      </c>
      <c r="I36" s="96">
        <v>17829.679482627762</v>
      </c>
      <c r="J36" s="96">
        <v>16904.41818136879</v>
      </c>
      <c r="K36" s="96">
        <v>17235.367390540901</v>
      </c>
      <c r="L36" s="96">
        <v>17674.440554669993</v>
      </c>
      <c r="M36" s="96">
        <v>18296.741089356623</v>
      </c>
      <c r="N36" s="96">
        <v>18180.710569437768</v>
      </c>
      <c r="O36" s="96">
        <v>18159.264943979331</v>
      </c>
      <c r="P36" s="96">
        <v>18115.58250715983</v>
      </c>
      <c r="Q36" s="96">
        <v>18752.588702294404</v>
      </c>
      <c r="R36" s="96">
        <v>18539.064444724481</v>
      </c>
      <c r="S36" s="96">
        <v>18843.723919460022</v>
      </c>
      <c r="T36" s="96">
        <v>18550.268307096314</v>
      </c>
      <c r="U36" s="96">
        <v>18396.217518469031</v>
      </c>
      <c r="V36" s="96">
        <v>15971.725074924423</v>
      </c>
      <c r="W36" s="96">
        <v>18479.147994822393</v>
      </c>
      <c r="DA36" s="171" t="s">
        <v>762</v>
      </c>
    </row>
    <row r="37" spans="1:105" ht="11.45" customHeight="1" x14ac:dyDescent="0.25">
      <c r="A37" s="111" t="s">
        <v>112</v>
      </c>
      <c r="B37" s="96">
        <v>72.641995821169644</v>
      </c>
      <c r="C37" s="96">
        <v>77.216156906480862</v>
      </c>
      <c r="D37" s="96">
        <v>78.899301361225426</v>
      </c>
      <c r="E37" s="96">
        <v>78.687489166892888</v>
      </c>
      <c r="F37" s="96">
        <v>79.358795535183987</v>
      </c>
      <c r="G37" s="96">
        <v>81.106454243278961</v>
      </c>
      <c r="H37" s="96">
        <v>86.517138256227582</v>
      </c>
      <c r="I37" s="96">
        <v>68.091220185848343</v>
      </c>
      <c r="J37" s="96">
        <v>61.130951497365977</v>
      </c>
      <c r="K37" s="96">
        <v>63.94762610724316</v>
      </c>
      <c r="L37" s="96">
        <v>63.268181695165026</v>
      </c>
      <c r="M37" s="96">
        <v>62.636960243359837</v>
      </c>
      <c r="N37" s="96">
        <v>59.654049249918799</v>
      </c>
      <c r="O37" s="96">
        <v>58.471500550425134</v>
      </c>
      <c r="P37" s="96">
        <v>56.880497506521763</v>
      </c>
      <c r="Q37" s="96">
        <v>57.375710230591295</v>
      </c>
      <c r="R37" s="96">
        <v>55.764684663822564</v>
      </c>
      <c r="S37" s="96">
        <v>54.700288166880277</v>
      </c>
      <c r="T37" s="96">
        <v>46.363762057023457</v>
      </c>
      <c r="U37" s="96">
        <v>43.28911869681184</v>
      </c>
      <c r="V37" s="96">
        <v>30.671054501503576</v>
      </c>
      <c r="W37" s="96">
        <v>35.526039214878324</v>
      </c>
      <c r="DA37" s="171" t="s">
        <v>763</v>
      </c>
    </row>
    <row r="38" spans="1:105" ht="11.45" customHeight="1" x14ac:dyDescent="0.25">
      <c r="A38" s="111" t="s">
        <v>113</v>
      </c>
      <c r="B38" s="96">
        <v>0.7637588521470442</v>
      </c>
      <c r="C38" s="96">
        <v>0.72172165944149402</v>
      </c>
      <c r="D38" s="96">
        <v>0.73656973244335522</v>
      </c>
      <c r="E38" s="96">
        <v>1.1494054401677209</v>
      </c>
      <c r="F38" s="96">
        <v>1.0862985345996845</v>
      </c>
      <c r="G38" s="96">
        <v>1.0338334258030517</v>
      </c>
      <c r="H38" s="96">
        <v>2.0665708134265133</v>
      </c>
      <c r="I38" s="96">
        <v>1.9126272378138658</v>
      </c>
      <c r="J38" s="96">
        <v>1.854962466290178</v>
      </c>
      <c r="K38" s="96">
        <v>2.2103535618723145</v>
      </c>
      <c r="L38" s="96">
        <v>2.0698190643559542</v>
      </c>
      <c r="M38" s="96">
        <v>2.4849130092990013</v>
      </c>
      <c r="N38" s="96">
        <v>3.3218798496281101</v>
      </c>
      <c r="O38" s="96">
        <v>4.1687409751050444</v>
      </c>
      <c r="P38" s="96">
        <v>4.7535095104362348</v>
      </c>
      <c r="Q38" s="96">
        <v>5.4800219563400461</v>
      </c>
      <c r="R38" s="96">
        <v>6.3385745490743295</v>
      </c>
      <c r="S38" s="96">
        <v>7.6755361242816367</v>
      </c>
      <c r="T38" s="96">
        <v>16.941449429306335</v>
      </c>
      <c r="U38" s="96">
        <v>18.436780511965491</v>
      </c>
      <c r="V38" s="96">
        <v>17.165092869675256</v>
      </c>
      <c r="W38" s="96">
        <v>22.070883432391348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25244.04665405686</v>
      </c>
      <c r="C40" s="130">
        <f t="shared" si="36"/>
        <v>25658.186785774931</v>
      </c>
      <c r="D40" s="130">
        <f t="shared" si="36"/>
        <v>25715.276684101322</v>
      </c>
      <c r="E40" s="130">
        <f t="shared" si="36"/>
        <v>25404.440766735042</v>
      </c>
      <c r="F40" s="130">
        <f t="shared" si="36"/>
        <v>27302.948236859876</v>
      </c>
      <c r="G40" s="130">
        <f t="shared" si="36"/>
        <v>27177.571995642105</v>
      </c>
      <c r="H40" s="130">
        <f t="shared" si="36"/>
        <v>27298.451533125932</v>
      </c>
      <c r="I40" s="130">
        <f t="shared" si="36"/>
        <v>27321.335095027178</v>
      </c>
      <c r="J40" s="130">
        <f t="shared" si="36"/>
        <v>25354.335396358394</v>
      </c>
      <c r="K40" s="130">
        <f t="shared" si="36"/>
        <v>22455.674370862616</v>
      </c>
      <c r="L40" s="130">
        <f t="shared" ref="L40" si="37">SUM(L41:L42)</f>
        <v>23214.775503862929</v>
      </c>
      <c r="M40" s="130">
        <f t="shared" ref="M40:V40" si="38">SUM(M41:M42)</f>
        <v>23475.202472850837</v>
      </c>
      <c r="N40" s="130">
        <f t="shared" si="38"/>
        <v>22021.681766956317</v>
      </c>
      <c r="O40" s="130">
        <f t="shared" si="38"/>
        <v>22193.309449591747</v>
      </c>
      <c r="P40" s="130">
        <f t="shared" si="38"/>
        <v>21830.88727848557</v>
      </c>
      <c r="Q40" s="130">
        <f t="shared" si="38"/>
        <v>21302.279358198171</v>
      </c>
      <c r="R40" s="130">
        <f t="shared" si="38"/>
        <v>22002.107277826566</v>
      </c>
      <c r="S40" s="130">
        <f t="shared" si="38"/>
        <v>22580.840089944973</v>
      </c>
      <c r="T40" s="130">
        <f t="shared" si="38"/>
        <v>22088.454557287467</v>
      </c>
      <c r="U40" s="130">
        <f t="shared" si="38"/>
        <v>22313.884792767229</v>
      </c>
      <c r="V40" s="130">
        <f t="shared" si="38"/>
        <v>21443.819797580712</v>
      </c>
      <c r="W40" s="130">
        <f t="shared" ref="W40" si="39">SUM(W41:W42)</f>
        <v>22723.259023596103</v>
      </c>
      <c r="DA40" s="176" t="s">
        <v>412</v>
      </c>
    </row>
    <row r="41" spans="1:105" ht="11.45" customHeight="1" x14ac:dyDescent="0.25">
      <c r="A41" s="128" t="s">
        <v>27</v>
      </c>
      <c r="B41" s="97">
        <v>17065.449792669526</v>
      </c>
      <c r="C41" s="97">
        <v>17187.944714181325</v>
      </c>
      <c r="D41" s="97">
        <v>17007.412089565241</v>
      </c>
      <c r="E41" s="97">
        <v>16775.8730227183</v>
      </c>
      <c r="F41" s="97">
        <v>17492.938242895838</v>
      </c>
      <c r="G41" s="97">
        <v>17205.6219893774</v>
      </c>
      <c r="H41" s="97">
        <v>17216.023132321941</v>
      </c>
      <c r="I41" s="97">
        <v>17343.111463375331</v>
      </c>
      <c r="J41" s="97">
        <v>15787.823413080359</v>
      </c>
      <c r="K41" s="97">
        <v>13766.7755026304</v>
      </c>
      <c r="L41" s="97">
        <v>14475.028908174438</v>
      </c>
      <c r="M41" s="97">
        <v>15046.775885506459</v>
      </c>
      <c r="N41" s="97">
        <v>13770.24188116163</v>
      </c>
      <c r="O41" s="97">
        <v>13559.190901079475</v>
      </c>
      <c r="P41" s="97">
        <v>13200.031297131678</v>
      </c>
      <c r="Q41" s="97">
        <v>12445.758929343672</v>
      </c>
      <c r="R41" s="97">
        <v>12820.815977930892</v>
      </c>
      <c r="S41" s="97">
        <v>12922.090627221041</v>
      </c>
      <c r="T41" s="97">
        <v>12505.11278456445</v>
      </c>
      <c r="U41" s="97">
        <v>12470.880203708624</v>
      </c>
      <c r="V41" s="97">
        <v>11872.591358182961</v>
      </c>
      <c r="W41" s="97">
        <v>12202.620332913491</v>
      </c>
      <c r="DA41" s="175" t="s">
        <v>766</v>
      </c>
    </row>
    <row r="42" spans="1:105" ht="11.45" customHeight="1" x14ac:dyDescent="0.25">
      <c r="A42" s="138" t="s">
        <v>116</v>
      </c>
      <c r="B42" s="98">
        <v>8178.5968613873347</v>
      </c>
      <c r="C42" s="98">
        <v>8470.2420715936078</v>
      </c>
      <c r="D42" s="98">
        <v>8707.8645945360786</v>
      </c>
      <c r="E42" s="98">
        <v>8628.5677440167419</v>
      </c>
      <c r="F42" s="98">
        <v>9810.0099939640404</v>
      </c>
      <c r="G42" s="98">
        <v>9971.9500062647057</v>
      </c>
      <c r="H42" s="98">
        <v>10082.42840080399</v>
      </c>
      <c r="I42" s="98">
        <v>9978.2236316518447</v>
      </c>
      <c r="J42" s="98">
        <v>9566.5119832780347</v>
      </c>
      <c r="K42" s="98">
        <v>8688.898868232216</v>
      </c>
      <c r="L42" s="98">
        <v>8739.7465956884917</v>
      </c>
      <c r="M42" s="98">
        <v>8428.4265873443783</v>
      </c>
      <c r="N42" s="98">
        <v>8251.4398857946871</v>
      </c>
      <c r="O42" s="98">
        <v>8634.1185485122733</v>
      </c>
      <c r="P42" s="98">
        <v>8630.8559813538923</v>
      </c>
      <c r="Q42" s="98">
        <v>8856.5204288544992</v>
      </c>
      <c r="R42" s="98">
        <v>9181.2912998956726</v>
      </c>
      <c r="S42" s="98">
        <v>9658.7494627239321</v>
      </c>
      <c r="T42" s="98">
        <v>9583.3417727230171</v>
      </c>
      <c r="U42" s="98">
        <v>9843.0045890586043</v>
      </c>
      <c r="V42" s="98">
        <v>9571.2284393977498</v>
      </c>
      <c r="W42" s="98">
        <v>10520.638690682614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3.0086040167518973</v>
      </c>
      <c r="C47" s="145">
        <f>IF(C4=0,0,C4/TrRoad_ene!C4)</f>
        <v>3.0117378661294856</v>
      </c>
      <c r="D47" s="145">
        <f>IF(D4=0,0,D4/TrRoad_ene!D4)</f>
        <v>3.0132798099539606</v>
      </c>
      <c r="E47" s="145">
        <f>IF(E4=0,0,E4/TrRoad_ene!E4)</f>
        <v>3.0181068636171742</v>
      </c>
      <c r="F47" s="145">
        <f>IF(F4=0,0,F4/TrRoad_ene!F4)</f>
        <v>3.0194027154338583</v>
      </c>
      <c r="G47" s="145">
        <f>IF(G4=0,0,G4/TrRoad_ene!G4)</f>
        <v>3.0045456182038692</v>
      </c>
      <c r="H47" s="145">
        <f>IF(H4=0,0,H4/TrRoad_ene!H4)</f>
        <v>2.999457824386671</v>
      </c>
      <c r="I47" s="145">
        <f>IF(I4=0,0,I4/TrRoad_ene!I4)</f>
        <v>2.951574991958402</v>
      </c>
      <c r="J47" s="145">
        <f>IF(J4=0,0,J4/TrRoad_ene!J4)</f>
        <v>2.8876026490022437</v>
      </c>
      <c r="K47" s="145">
        <f>IF(K4=0,0,K4/TrRoad_ene!K4)</f>
        <v>2.8754208827282031</v>
      </c>
      <c r="L47" s="145">
        <f>IF(L4=0,0,L4/TrRoad_ene!L4)</f>
        <v>2.8819440830485208</v>
      </c>
      <c r="M47" s="145">
        <f>IF(M4=0,0,M4/TrRoad_ene!M4)</f>
        <v>2.8851739757286872</v>
      </c>
      <c r="N47" s="145">
        <f>IF(N4=0,0,N4/TrRoad_ene!N4)</f>
        <v>2.8682991378149953</v>
      </c>
      <c r="O47" s="145">
        <f>IF(O4=0,0,O4/TrRoad_ene!O4)</f>
        <v>2.8667657657856913</v>
      </c>
      <c r="P47" s="145">
        <f>IF(P4=0,0,P4/TrRoad_ene!P4)</f>
        <v>2.8488156950099035</v>
      </c>
      <c r="Q47" s="145">
        <f>IF(Q4=0,0,Q4/TrRoad_ene!Q4)</f>
        <v>2.8479994330876863</v>
      </c>
      <c r="R47" s="145">
        <f>IF(R4=0,0,R4/TrRoad_ene!R4)</f>
        <v>2.8485156923192578</v>
      </c>
      <c r="S47" s="145">
        <f>IF(S4=0,0,S4/TrRoad_ene!S4)</f>
        <v>2.8388268818576194</v>
      </c>
      <c r="T47" s="145">
        <f>IF(T4=0,0,T4/TrRoad_ene!T4)</f>
        <v>2.8311596275639275</v>
      </c>
      <c r="U47" s="145">
        <f>IF(U4=0,0,U4/TrRoad_ene!U4)</f>
        <v>2.8250667884147309</v>
      </c>
      <c r="V47" s="145">
        <f>IF(V4=0,0,V4/TrRoad_ene!V4)</f>
        <v>2.8267080037917425</v>
      </c>
      <c r="W47" s="145">
        <f>IF(W4=0,0,W4/TrRoad_ene!W4)</f>
        <v>2.8231930818478448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2.8895131645164684</v>
      </c>
      <c r="C48" s="97">
        <f>IF(C7=0,0,(C7+C12)/(TrRoad_ene!C7+TrRoad_ene!C12))</f>
        <v>2.8902631846765732</v>
      </c>
      <c r="D48" s="97">
        <f>IF(D7=0,0,(D7+D12)/(TrRoad_ene!D7+TrRoad_ene!D12))</f>
        <v>2.8891444354962434</v>
      </c>
      <c r="E48" s="97">
        <f>IF(E7=0,0,(E7+E12)/(TrRoad_ene!E7+TrRoad_ene!E12))</f>
        <v>2.8903125723222378</v>
      </c>
      <c r="F48" s="97">
        <f>IF(F7=0,0,(F7+F12)/(TrRoad_ene!F7+TrRoad_ene!F12))</f>
        <v>2.8887268570669402</v>
      </c>
      <c r="G48" s="97">
        <f>IF(G7=0,0,(G7+G12)/(TrRoad_ene!G7+TrRoad_ene!G12))</f>
        <v>2.8750265995828772</v>
      </c>
      <c r="H48" s="97">
        <f>IF(H7=0,0,(H7+H12)/(TrRoad_ene!H7+TrRoad_ene!H12))</f>
        <v>2.8613044385374766</v>
      </c>
      <c r="I48" s="97">
        <f>IF(I7=0,0,(I7+I12)/(TrRoad_ene!I7+TrRoad_ene!I12))</f>
        <v>2.8199905436739292</v>
      </c>
      <c r="J48" s="97">
        <f>IF(J7=0,0,(J7+J12)/(TrRoad_ene!J7+TrRoad_ene!J12))</f>
        <v>2.7581496054965711</v>
      </c>
      <c r="K48" s="97">
        <f>IF(K7=0,0,(K7+K12)/(TrRoad_ene!K7+TrRoad_ene!K12))</f>
        <v>2.7638295755010525</v>
      </c>
      <c r="L48" s="97">
        <f>IF(L7=0,0,(L7+L12)/(TrRoad_ene!L7+TrRoad_ene!L12))</f>
        <v>2.7537611179766639</v>
      </c>
      <c r="M48" s="97">
        <f>IF(M7=0,0,(M7+M12)/(TrRoad_ene!M7+TrRoad_ene!M12))</f>
        <v>2.7529249603302506</v>
      </c>
      <c r="N48" s="97">
        <f>IF(N7=0,0,(N7+N12)/(TrRoad_ene!N7+TrRoad_ene!N12))</f>
        <v>2.7404603770286124</v>
      </c>
      <c r="O48" s="97">
        <f>IF(O7=0,0,(O7+O12)/(TrRoad_ene!O7+TrRoad_ene!O12))</f>
        <v>2.7384820813606972</v>
      </c>
      <c r="P48" s="97">
        <f>IF(P7=0,0,(P7+P12)/(TrRoad_ene!P7+TrRoad_ene!P12))</f>
        <v>2.7321219854245427</v>
      </c>
      <c r="Q48" s="97">
        <f>IF(Q7=0,0,(Q7+Q12)/(TrRoad_ene!Q7+TrRoad_ene!Q12))</f>
        <v>2.7268716816338805</v>
      </c>
      <c r="R48" s="97">
        <f>IF(R7=0,0,(R7+R12)/(TrRoad_ene!R7+TrRoad_ene!R12))</f>
        <v>2.7142304442664864</v>
      </c>
      <c r="S48" s="97">
        <f>IF(S7=0,0,(S7+S12)/(TrRoad_ene!S7+TrRoad_ene!S12))</f>
        <v>2.6980408689412196</v>
      </c>
      <c r="T48" s="97">
        <f>IF(T7=0,0,(T7+T12)/(TrRoad_ene!T7+TrRoad_ene!T12))</f>
        <v>2.6874441616283975</v>
      </c>
      <c r="U48" s="97">
        <f>IF(U7=0,0,(U7+U12)/(TrRoad_ene!U7+TrRoad_ene!U12))</f>
        <v>2.6787218788696134</v>
      </c>
      <c r="V48" s="97">
        <f>IF(V7=0,0,(V7+V12)/(TrRoad_ene!V7+TrRoad_ene!V12))</f>
        <v>2.6762750395782788</v>
      </c>
      <c r="W48" s="97">
        <f>IF(W7=0,0,(W7+W12)/(TrRoad_ene!W7+TrRoad_ene!W12))</f>
        <v>2.6605897830674232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3.0727495089907833</v>
      </c>
      <c r="C49" s="97">
        <f>IF(C8=0,0,(C8+C13+C14)/(TrRoad_ene!C8+TrRoad_ene!C13+TrRoad_ene!C14))</f>
        <v>3.0731898371243513</v>
      </c>
      <c r="D49" s="97">
        <f>IF(D8=0,0,(D8+D13+D14)/(TrRoad_ene!D8+TrRoad_ene!D13+TrRoad_ene!D14))</f>
        <v>3.0725166634789205</v>
      </c>
      <c r="E49" s="97">
        <f>IF(E8=0,0,(E8+E13+E14)/(TrRoad_ene!E8+TrRoad_ene!E13+TrRoad_ene!E14))</f>
        <v>3.074403653679854</v>
      </c>
      <c r="F49" s="97">
        <f>IF(F8=0,0,(F8+F13+F14)/(TrRoad_ene!F8+TrRoad_ene!F13+TrRoad_ene!F14))</f>
        <v>3.0725449624397787</v>
      </c>
      <c r="G49" s="97">
        <f>IF(G8=0,0,(G8+G13+G14)/(TrRoad_ene!G8+TrRoad_ene!G13+TrRoad_ene!G14))</f>
        <v>3.0535408626390113</v>
      </c>
      <c r="H49" s="97">
        <f>IF(H8=0,0,(H8+H13+H14)/(TrRoad_ene!H8+TrRoad_ene!H13+TrRoad_ene!H14))</f>
        <v>3.0470108277238928</v>
      </c>
      <c r="I49" s="97">
        <f>IF(I8=0,0,(I8+I13+I14)/(TrRoad_ene!I8+TrRoad_ene!I13+TrRoad_ene!I14))</f>
        <v>2.9927876426970776</v>
      </c>
      <c r="J49" s="97">
        <f>IF(J8=0,0,(J8+J13+J14)/(TrRoad_ene!J8+TrRoad_ene!J13+TrRoad_ene!J14))</f>
        <v>2.9246016884450885</v>
      </c>
      <c r="K49" s="97">
        <f>IF(K8=0,0,(K8+K13+K14)/(TrRoad_ene!K8+TrRoad_ene!K13+TrRoad_ene!K14))</f>
        <v>2.9060506375127253</v>
      </c>
      <c r="L49" s="97">
        <f>IF(L8=0,0,(L8+L13+L14)/(TrRoad_ene!L8+TrRoad_ene!L13+TrRoad_ene!L14))</f>
        <v>2.913801890087107</v>
      </c>
      <c r="M49" s="97">
        <f>IF(M8=0,0,(M8+M13+M14)/(TrRoad_ene!M8+TrRoad_ene!M13+TrRoad_ene!M14))</f>
        <v>2.9173134182582459</v>
      </c>
      <c r="N49" s="97">
        <f>IF(N8=0,0,(N8+N13+N14)/(TrRoad_ene!N8+TrRoad_ene!N13+TrRoad_ene!N14))</f>
        <v>2.8976378012883739</v>
      </c>
      <c r="O49" s="97">
        <f>IF(O8=0,0,(O8+O13+O14)/(TrRoad_ene!O8+TrRoad_ene!O13+TrRoad_ene!O14))</f>
        <v>2.8956594600909771</v>
      </c>
      <c r="P49" s="97">
        <f>IF(P8=0,0,(P8+P13+P14)/(TrRoad_ene!P8+TrRoad_ene!P13+TrRoad_ene!P14))</f>
        <v>2.8754578317052233</v>
      </c>
      <c r="Q49" s="97">
        <f>IF(Q8=0,0,(Q8+Q13+Q14)/(TrRoad_ene!Q8+TrRoad_ene!Q13+TrRoad_ene!Q14))</f>
        <v>2.8759883801871027</v>
      </c>
      <c r="R49" s="97">
        <f>IF(R8=0,0,(R8+R13+R14)/(TrRoad_ene!R8+TrRoad_ene!R13+TrRoad_ene!R14))</f>
        <v>2.8804628298025072</v>
      </c>
      <c r="S49" s="97">
        <f>IF(S8=0,0,(S8+S13+S14)/(TrRoad_ene!S8+TrRoad_ene!S13+TrRoad_ene!S14))</f>
        <v>2.8738550483398009</v>
      </c>
      <c r="T49" s="97">
        <f>IF(T8=0,0,(T8+T13+T14)/(TrRoad_ene!T8+TrRoad_ene!T13+TrRoad_ene!T14))</f>
        <v>2.8702700817605331</v>
      </c>
      <c r="U49" s="97">
        <f>IF(U8=0,0,(U8+U13+U14)/(TrRoad_ene!U8+TrRoad_ene!U13+TrRoad_ene!U14))</f>
        <v>2.8697831385054973</v>
      </c>
      <c r="V49" s="97">
        <f>IF(V8=0,0,(V8+V13+V14)/(TrRoad_ene!V8+TrRoad_ene!V13+TrRoad_ene!V14))</f>
        <v>2.8770136782803224</v>
      </c>
      <c r="W49" s="97">
        <f>IF(W8=0,0,(W8+W13+W14)/(TrRoad_ene!W8+TrRoad_ene!W13+TrRoad_ene!W14))</f>
        <v>2.8870790883098651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320.3649058013649</v>
      </c>
      <c r="C54" s="62">
        <f>IF(TrRoad_act!C30=0,0,C17/TrRoad_act!C30*1000
)</f>
        <v>308.64363461406481</v>
      </c>
      <c r="D54" s="62">
        <f>IF(TrRoad_act!D30=0,0,D17/TrRoad_act!D30*1000
)</f>
        <v>302.83276625157532</v>
      </c>
      <c r="E54" s="62">
        <f>IF(TrRoad_act!E30=0,0,E17/TrRoad_act!E30*1000
)</f>
        <v>296.86173421200289</v>
      </c>
      <c r="F54" s="62">
        <f>IF(TrRoad_act!F30=0,0,F17/TrRoad_act!F30*1000
)</f>
        <v>293.91018444615349</v>
      </c>
      <c r="G54" s="62">
        <f>IF(TrRoad_act!G30=0,0,G17/TrRoad_act!G30*1000
)</f>
        <v>289.11258346000204</v>
      </c>
      <c r="H54" s="62">
        <f>IF(TrRoad_act!H30=0,0,H17/TrRoad_act!H30*1000
)</f>
        <v>284.41439064788318</v>
      </c>
      <c r="I54" s="62">
        <f>IF(TrRoad_act!I30=0,0,I17/TrRoad_act!I30*1000
)</f>
        <v>276.02756976838708</v>
      </c>
      <c r="J54" s="62">
        <f>IF(TrRoad_act!J30=0,0,J17/TrRoad_act!J30*1000
)</f>
        <v>266.39645755101913</v>
      </c>
      <c r="K54" s="62">
        <f>IF(TrRoad_act!K30=0,0,K17/TrRoad_act!K30*1000
)</f>
        <v>258.92892748647239</v>
      </c>
      <c r="L54" s="62">
        <f>IF(TrRoad_act!L30=0,0,L17/TrRoad_act!L30*1000
)</f>
        <v>256.43646755164031</v>
      </c>
      <c r="M54" s="62">
        <f>IF(TrRoad_act!M30=0,0,M17/TrRoad_act!M30*1000
)</f>
        <v>255.08357568058753</v>
      </c>
      <c r="N54" s="62">
        <f>IF(TrRoad_act!N30=0,0,N17/TrRoad_act!N30*1000
)</f>
        <v>248.49316253076279</v>
      </c>
      <c r="O54" s="62">
        <f>IF(TrRoad_act!O30=0,0,O17/TrRoad_act!O30*1000
)</f>
        <v>244.60810076113191</v>
      </c>
      <c r="P54" s="62">
        <f>IF(TrRoad_act!P30=0,0,P17/TrRoad_act!P30*1000
)</f>
        <v>238.89085387295128</v>
      </c>
      <c r="Q54" s="62">
        <f>IF(TrRoad_act!Q30=0,0,Q17/TrRoad_act!Q30*1000
)</f>
        <v>234.79007082692388</v>
      </c>
      <c r="R54" s="62">
        <f>IF(TrRoad_act!R30=0,0,R17/TrRoad_act!R30*1000
)</f>
        <v>231.35787329456539</v>
      </c>
      <c r="S54" s="62">
        <f>IF(TrRoad_act!S30=0,0,S17/TrRoad_act!S30*1000
)</f>
        <v>227.8392182330513</v>
      </c>
      <c r="T54" s="62">
        <f>IF(TrRoad_act!T30=0,0,T17/TrRoad_act!T30*1000
)</f>
        <v>224.73248511985113</v>
      </c>
      <c r="U54" s="62">
        <f>IF(TrRoad_act!U30=0,0,U17/TrRoad_act!U30*1000
)</f>
        <v>219.26066593911358</v>
      </c>
      <c r="V54" s="62">
        <f>IF(TrRoad_act!V30=0,0,V17/TrRoad_act!V30*1000
)</f>
        <v>220.50549676286468</v>
      </c>
      <c r="W54" s="62">
        <f>IF(TrRoad_act!W30=0,0,W17/TrRoad_act!W30*1000
)</f>
        <v>216.97697104456088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255.80758065827908</v>
      </c>
      <c r="C55" s="29">
        <f>IF(TrRoad_act!C31=0,0,C18/TrRoad_act!C31*1000
)</f>
        <v>246.37001132266758</v>
      </c>
      <c r="D55" s="29">
        <f>IF(TrRoad_act!D31=0,0,D18/TrRoad_act!D31*1000
)</f>
        <v>241.74080417200472</v>
      </c>
      <c r="E55" s="29">
        <f>IF(TrRoad_act!E31=0,0,E18/TrRoad_act!E31*1000
)</f>
        <v>237.02708070400342</v>
      </c>
      <c r="F55" s="29">
        <f>IF(TrRoad_act!F31=0,0,F18/TrRoad_act!F31*1000
)</f>
        <v>231.80820241884032</v>
      </c>
      <c r="G55" s="29">
        <f>IF(TrRoad_act!G31=0,0,G18/TrRoad_act!G31*1000
)</f>
        <v>227.5235218271622</v>
      </c>
      <c r="H55" s="29">
        <f>IF(TrRoad_act!H31=0,0,H18/TrRoad_act!H31*1000
)</f>
        <v>223.99020927715378</v>
      </c>
      <c r="I55" s="29">
        <f>IF(TrRoad_act!I31=0,0,I18/TrRoad_act!I31*1000
)</f>
        <v>217.32534154134541</v>
      </c>
      <c r="J55" s="29">
        <f>IF(TrRoad_act!J31=0,0,J18/TrRoad_act!J31*1000
)</f>
        <v>210.81941760979061</v>
      </c>
      <c r="K55" s="29">
        <f>IF(TrRoad_act!K31=0,0,K18/TrRoad_act!K31*1000
)</f>
        <v>209.09287398839251</v>
      </c>
      <c r="L55" s="29">
        <f>IF(TrRoad_act!L31=0,0,L18/TrRoad_act!L31*1000
)</f>
        <v>205.18526813465391</v>
      </c>
      <c r="M55" s="29">
        <f>IF(TrRoad_act!M31=0,0,M18/TrRoad_act!M31*1000
)</f>
        <v>203.96406649613496</v>
      </c>
      <c r="N55" s="29">
        <f>IF(TrRoad_act!N31=0,0,N18/TrRoad_act!N31*1000
)</f>
        <v>200.54705678052153</v>
      </c>
      <c r="O55" s="29">
        <f>IF(TrRoad_act!O31=0,0,O18/TrRoad_act!O31*1000
)</f>
        <v>196.6081025648692</v>
      </c>
      <c r="P55" s="29">
        <f>IF(TrRoad_act!P31=0,0,P18/TrRoad_act!P31*1000
)</f>
        <v>192.72898590198969</v>
      </c>
      <c r="Q55" s="29">
        <f>IF(TrRoad_act!Q31=0,0,Q18/TrRoad_act!Q31*1000
)</f>
        <v>190.3143698568546</v>
      </c>
      <c r="R55" s="29">
        <f>IF(TrRoad_act!R31=0,0,R18/TrRoad_act!R31*1000
)</f>
        <v>186.27949534462792</v>
      </c>
      <c r="S55" s="29">
        <f>IF(TrRoad_act!S31=0,0,S18/TrRoad_act!S31*1000
)</f>
        <v>182.36584101952926</v>
      </c>
      <c r="T55" s="29">
        <f>IF(TrRoad_act!T31=0,0,T18/TrRoad_act!T31*1000
)</f>
        <v>179.54141967889169</v>
      </c>
      <c r="U55" s="29">
        <f>IF(TrRoad_act!U31=0,0,U18/TrRoad_act!U31*1000
)</f>
        <v>174.51791632156068</v>
      </c>
      <c r="V55" s="29">
        <f>IF(TrRoad_act!V31=0,0,V18/TrRoad_act!V31*1000
)</f>
        <v>170.50905042899154</v>
      </c>
      <c r="W55" s="29">
        <f>IF(TrRoad_act!W31=0,0,W18/TrRoad_act!W31*1000
)</f>
        <v>168.689771204934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105.83565374948982</v>
      </c>
      <c r="C56" s="152">
        <f>IF(TrRoad_act!C32=0,0,C19/TrRoad_act!C32*1000
)</f>
        <v>105.30743575650877</v>
      </c>
      <c r="D56" s="152">
        <f>IF(TrRoad_act!D32=0,0,D19/TrRoad_act!D32*1000
)</f>
        <v>104.76259937990875</v>
      </c>
      <c r="E56" s="152">
        <f>IF(TrRoad_act!E32=0,0,E19/TrRoad_act!E32*1000
)</f>
        <v>104.23670237397779</v>
      </c>
      <c r="F56" s="152">
        <f>IF(TrRoad_act!F32=0,0,F19/TrRoad_act!F32*1000
)</f>
        <v>103.56321730161967</v>
      </c>
      <c r="G56" s="152">
        <f>IF(TrRoad_act!G32=0,0,G19/TrRoad_act!G32*1000
)</f>
        <v>102.39205107209374</v>
      </c>
      <c r="H56" s="152">
        <f>IF(TrRoad_act!H32=0,0,H19/TrRoad_act!H32*1000
)</f>
        <v>101.17449825268493</v>
      </c>
      <c r="I56" s="152">
        <f>IF(TrRoad_act!I32=0,0,I19/TrRoad_act!I32*1000
)</f>
        <v>99.214243984705831</v>
      </c>
      <c r="J56" s="152">
        <f>IF(TrRoad_act!J32=0,0,J19/TrRoad_act!J32*1000
)</f>
        <v>96.44500027017618</v>
      </c>
      <c r="K56" s="152">
        <f>IF(TrRoad_act!K32=0,0,K19/TrRoad_act!K32*1000
)</f>
        <v>95.876032750385434</v>
      </c>
      <c r="L56" s="152">
        <f>IF(TrRoad_act!L32=0,0,L19/TrRoad_act!L32*1000
)</f>
        <v>94.920301386171417</v>
      </c>
      <c r="M56" s="152">
        <f>IF(TrRoad_act!M32=0,0,M19/TrRoad_act!M32*1000
)</f>
        <v>94.1171299035083</v>
      </c>
      <c r="N56" s="152">
        <f>IF(TrRoad_act!N32=0,0,N19/TrRoad_act!N32*1000
)</f>
        <v>92.974081838060755</v>
      </c>
      <c r="O56" s="152">
        <f>IF(TrRoad_act!O32=0,0,O19/TrRoad_act!O32*1000
)</f>
        <v>92.223116295527419</v>
      </c>
      <c r="P56" s="152">
        <f>IF(TrRoad_act!P32=0,0,P19/TrRoad_act!P32*1000
)</f>
        <v>91.769802860363384</v>
      </c>
      <c r="Q56" s="152">
        <f>IF(TrRoad_act!Q32=0,0,Q19/TrRoad_act!Q32*1000
)</f>
        <v>91.185628297280743</v>
      </c>
      <c r="R56" s="152">
        <f>IF(TrRoad_act!R32=0,0,R19/TrRoad_act!R32*1000
)</f>
        <v>90.493256157717767</v>
      </c>
      <c r="S56" s="152">
        <f>IF(TrRoad_act!S32=0,0,S19/TrRoad_act!S32*1000
)</f>
        <v>89.344903626797574</v>
      </c>
      <c r="T56" s="152">
        <f>IF(TrRoad_act!T32=0,0,T19/TrRoad_act!T32*1000
)</f>
        <v>93.170172794744701</v>
      </c>
      <c r="U56" s="152">
        <f>IF(TrRoad_act!U32=0,0,U19/TrRoad_act!U32*1000
)</f>
        <v>88.319959157201282</v>
      </c>
      <c r="V56" s="152">
        <f>IF(TrRoad_act!V32=0,0,V19/TrRoad_act!V32*1000
)</f>
        <v>88.049491062707673</v>
      </c>
      <c r="W56" s="152">
        <f>IF(TrRoad_act!W32=0,0,W19/TrRoad_act!W32*1000
)</f>
        <v>84.301032638636983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246.08434817178633</v>
      </c>
      <c r="C57" s="116">
        <f>IF(TrRoad_act!C33=0,0,C20/TrRoad_act!C33*1000
)</f>
        <v>237.6178199374248</v>
      </c>
      <c r="D57" s="116">
        <f>IF(TrRoad_act!D33=0,0,D20/TrRoad_act!D33*1000
)</f>
        <v>233.51856427527045</v>
      </c>
      <c r="E57" s="116">
        <f>IF(TrRoad_act!E33=0,0,E20/TrRoad_act!E33*1000
)</f>
        <v>228.60751604250913</v>
      </c>
      <c r="F57" s="116">
        <f>IF(TrRoad_act!F33=0,0,F20/TrRoad_act!F33*1000
)</f>
        <v>223.41123651977327</v>
      </c>
      <c r="G57" s="116">
        <f>IF(TrRoad_act!G33=0,0,G20/TrRoad_act!G33*1000
)</f>
        <v>219.18889607058986</v>
      </c>
      <c r="H57" s="116">
        <f>IF(TrRoad_act!H33=0,0,H20/TrRoad_act!H33*1000
)</f>
        <v>215.22408596100206</v>
      </c>
      <c r="I57" s="116">
        <f>IF(TrRoad_act!I33=0,0,I20/TrRoad_act!I33*1000
)</f>
        <v>208.68898314533106</v>
      </c>
      <c r="J57" s="116">
        <f>IF(TrRoad_act!J33=0,0,J20/TrRoad_act!J33*1000
)</f>
        <v>202.55397122940155</v>
      </c>
      <c r="K57" s="116">
        <f>IF(TrRoad_act!K33=0,0,K20/TrRoad_act!K33*1000
)</f>
        <v>201.77625757205496</v>
      </c>
      <c r="L57" s="116">
        <f>IF(TrRoad_act!L33=0,0,L20/TrRoad_act!L33*1000
)</f>
        <v>198.10519926571465</v>
      </c>
      <c r="M57" s="116">
        <f>IF(TrRoad_act!M33=0,0,M20/TrRoad_act!M33*1000
)</f>
        <v>197.16537576930483</v>
      </c>
      <c r="N57" s="116">
        <f>IF(TrRoad_act!N33=0,0,N20/TrRoad_act!N33*1000
)</f>
        <v>193.99211876614675</v>
      </c>
      <c r="O57" s="116">
        <f>IF(TrRoad_act!O33=0,0,O20/TrRoad_act!O33*1000
)</f>
        <v>190.72914120496341</v>
      </c>
      <c r="P57" s="116">
        <f>IF(TrRoad_act!P33=0,0,P20/TrRoad_act!P33*1000
)</f>
        <v>186.93828101325397</v>
      </c>
      <c r="Q57" s="116">
        <f>IF(TrRoad_act!Q33=0,0,Q20/TrRoad_act!Q33*1000
)</f>
        <v>184.41756888911388</v>
      </c>
      <c r="R57" s="116">
        <f>IF(TrRoad_act!R33=0,0,R20/TrRoad_act!R33*1000
)</f>
        <v>179.81458853263564</v>
      </c>
      <c r="S57" s="116">
        <f>IF(TrRoad_act!S33=0,0,S20/TrRoad_act!S33*1000
)</f>
        <v>175.84492577140887</v>
      </c>
      <c r="T57" s="116">
        <f>IF(TrRoad_act!T33=0,0,T20/TrRoad_act!T33*1000
)</f>
        <v>172.44422943520155</v>
      </c>
      <c r="U57" s="116">
        <f>IF(TrRoad_act!U33=0,0,U20/TrRoad_act!U33*1000
)</f>
        <v>167.73131512473475</v>
      </c>
      <c r="V57" s="116">
        <f>IF(TrRoad_act!V33=0,0,V20/TrRoad_act!V33*1000
)</f>
        <v>164.21328825221497</v>
      </c>
      <c r="W57" s="116">
        <f>IF(TrRoad_act!W33=0,0,W20/TrRoad_act!W33*1000
)</f>
        <v>162.69923674901298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234.89085896371847</v>
      </c>
      <c r="C58" s="87">
        <f>IF(TrRoad_act!C34=0,0,C21/TrRoad_act!C34*1000
)</f>
        <v>230.1941028290324</v>
      </c>
      <c r="D58" s="87">
        <f>IF(TrRoad_act!D34=0,0,D21/TrRoad_act!D34*1000
)</f>
        <v>228.23486138000229</v>
      </c>
      <c r="E58" s="87">
        <f>IF(TrRoad_act!E34=0,0,E21/TrRoad_act!E34*1000
)</f>
        <v>226.66463480689276</v>
      </c>
      <c r="F58" s="87">
        <f>IF(TrRoad_act!F34=0,0,F21/TrRoad_act!F34*1000
)</f>
        <v>224.86540369777083</v>
      </c>
      <c r="G58" s="87">
        <f>IF(TrRoad_act!G34=0,0,G21/TrRoad_act!G34*1000
)</f>
        <v>221.86831496024226</v>
      </c>
      <c r="H58" s="87">
        <f>IF(TrRoad_act!H34=0,0,H21/TrRoad_act!H34*1000
)</f>
        <v>218.7961999828984</v>
      </c>
      <c r="I58" s="87">
        <f>IF(TrRoad_act!I34=0,0,I21/TrRoad_act!I34*1000
)</f>
        <v>213.55335029568337</v>
      </c>
      <c r="J58" s="87">
        <f>IF(TrRoad_act!J34=0,0,J21/TrRoad_act!J34*1000
)</f>
        <v>206.93533073841195</v>
      </c>
      <c r="K58" s="87">
        <f>IF(TrRoad_act!K34=0,0,K21/TrRoad_act!K34*1000
)</f>
        <v>203.80744721031056</v>
      </c>
      <c r="L58" s="87">
        <f>IF(TrRoad_act!L34=0,0,L21/TrRoad_act!L34*1000
)</f>
        <v>199.38123728221282</v>
      </c>
      <c r="M58" s="87">
        <f>IF(TrRoad_act!M34=0,0,M21/TrRoad_act!M34*1000
)</f>
        <v>195.29810783418273</v>
      </c>
      <c r="N58" s="87">
        <f>IF(TrRoad_act!N34=0,0,N21/TrRoad_act!N34*1000
)</f>
        <v>190.86506532007326</v>
      </c>
      <c r="O58" s="87">
        <f>IF(TrRoad_act!O34=0,0,O21/TrRoad_act!O34*1000
)</f>
        <v>187.27480369441906</v>
      </c>
      <c r="P58" s="87">
        <f>IF(TrRoad_act!P34=0,0,P21/TrRoad_act!P34*1000
)</f>
        <v>182.73968599048632</v>
      </c>
      <c r="Q58" s="87">
        <f>IF(TrRoad_act!Q34=0,0,Q21/TrRoad_act!Q34*1000
)</f>
        <v>177.75822599371753</v>
      </c>
      <c r="R58" s="87">
        <f>IF(TrRoad_act!R34=0,0,R21/TrRoad_act!R34*1000
)</f>
        <v>172.12367693500161</v>
      </c>
      <c r="S58" s="87">
        <f>IF(TrRoad_act!S34=0,0,S21/TrRoad_act!S34*1000
)</f>
        <v>166.47980105897875</v>
      </c>
      <c r="T58" s="87">
        <f>IF(TrRoad_act!T34=0,0,T21/TrRoad_act!T34*1000
)</f>
        <v>161.31601716155819</v>
      </c>
      <c r="U58" s="87">
        <f>IF(TrRoad_act!U34=0,0,U21/TrRoad_act!U34*1000
)</f>
        <v>157.24468863034451</v>
      </c>
      <c r="V58" s="87">
        <f>IF(TrRoad_act!V34=0,0,V21/TrRoad_act!V34*1000
)</f>
        <v>154.15031900255994</v>
      </c>
      <c r="W58" s="87">
        <f>IF(TrRoad_act!W34=0,0,W21/TrRoad_act!W34*1000
)</f>
        <v>149.74581860932128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259.43088646909285</v>
      </c>
      <c r="C59" s="87">
        <f>IF(TrRoad_act!C35=0,0,C22/TrRoad_act!C35*1000
)</f>
        <v>245.54264417143406</v>
      </c>
      <c r="D59" s="87">
        <f>IF(TrRoad_act!D35=0,0,D22/TrRoad_act!D35*1000
)</f>
        <v>238.74951896722024</v>
      </c>
      <c r="E59" s="87">
        <f>IF(TrRoad_act!E35=0,0,E22/TrRoad_act!E35*1000
)</f>
        <v>230.49736711134614</v>
      </c>
      <c r="F59" s="87">
        <f>IF(TrRoad_act!F35=0,0,F22/TrRoad_act!F35*1000
)</f>
        <v>222.6034602184437</v>
      </c>
      <c r="G59" s="87">
        <f>IF(TrRoad_act!G35=0,0,G22/TrRoad_act!G35*1000
)</f>
        <v>217.59486338567936</v>
      </c>
      <c r="H59" s="87">
        <f>IF(TrRoad_act!H35=0,0,H22/TrRoad_act!H35*1000
)</f>
        <v>213.26392017554207</v>
      </c>
      <c r="I59" s="87">
        <f>IF(TrRoad_act!I35=0,0,I22/TrRoad_act!I35*1000
)</f>
        <v>206.14373237329045</v>
      </c>
      <c r="J59" s="87">
        <f>IF(TrRoad_act!J35=0,0,J22/TrRoad_act!J35*1000
)</f>
        <v>200.64431407067076</v>
      </c>
      <c r="K59" s="87">
        <f>IF(TrRoad_act!K35=0,0,K22/TrRoad_act!K35*1000
)</f>
        <v>201.23200553189446</v>
      </c>
      <c r="L59" s="87">
        <f>IF(TrRoad_act!L35=0,0,L22/TrRoad_act!L35*1000
)</f>
        <v>197.79779312086882</v>
      </c>
      <c r="M59" s="87">
        <f>IF(TrRoad_act!M35=0,0,M22/TrRoad_act!M35*1000
)</f>
        <v>197.99484311998265</v>
      </c>
      <c r="N59" s="87">
        <f>IF(TrRoad_act!N35=0,0,N22/TrRoad_act!N35*1000
)</f>
        <v>195.18559760645843</v>
      </c>
      <c r="O59" s="87">
        <f>IF(TrRoad_act!O35=0,0,O22/TrRoad_act!O35*1000
)</f>
        <v>192.00295186300175</v>
      </c>
      <c r="P59" s="87">
        <f>IF(TrRoad_act!P35=0,0,P22/TrRoad_act!P35*1000
)</f>
        <v>188.54948439125855</v>
      </c>
      <c r="Q59" s="87">
        <f>IF(TrRoad_act!Q35=0,0,Q22/TrRoad_act!Q35*1000
)</f>
        <v>187.06025801481482</v>
      </c>
      <c r="R59" s="87">
        <f>IF(TrRoad_act!R35=0,0,R22/TrRoad_act!R35*1000
)</f>
        <v>183.08136550153344</v>
      </c>
      <c r="S59" s="87">
        <f>IF(TrRoad_act!S35=0,0,S22/TrRoad_act!S35*1000
)</f>
        <v>180.16647401049204</v>
      </c>
      <c r="T59" s="87">
        <f>IF(TrRoad_act!T35=0,0,T22/TrRoad_act!T35*1000
)</f>
        <v>178.19557539846232</v>
      </c>
      <c r="U59" s="87">
        <f>IF(TrRoad_act!U35=0,0,U22/TrRoad_act!U35*1000
)</f>
        <v>174.13006851829971</v>
      </c>
      <c r="V59" s="87">
        <f>IF(TrRoad_act!V35=0,0,V22/TrRoad_act!V35*1000
)</f>
        <v>172.05239105328712</v>
      </c>
      <c r="W59" s="87">
        <f>IF(TrRoad_act!W35=0,0,W22/TrRoad_act!W35*1000
)</f>
        <v>174.73426029180681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199.42902342250352</v>
      </c>
      <c r="C60" s="87">
        <f>IF(TrRoad_act!C36=0,0,C23/TrRoad_act!C36*1000
)</f>
        <v>197.50750747409731</v>
      </c>
      <c r="D60" s="87">
        <f>IF(TrRoad_act!D36=0,0,D23/TrRoad_act!D36*1000
)</f>
        <v>197.36325424725399</v>
      </c>
      <c r="E60" s="87">
        <f>IF(TrRoad_act!E36=0,0,E23/TrRoad_act!E36*1000
)</f>
        <v>197.14741292530562</v>
      </c>
      <c r="F60" s="87">
        <f>IF(TrRoad_act!F36=0,0,F23/TrRoad_act!F36*1000
)</f>
        <v>196.97847774565707</v>
      </c>
      <c r="G60" s="87">
        <f>IF(TrRoad_act!G36=0,0,G23/TrRoad_act!G36*1000
)</f>
        <v>196.70918908580751</v>
      </c>
      <c r="H60" s="87">
        <f>IF(TrRoad_act!H36=0,0,H23/TrRoad_act!H36*1000
)</f>
        <v>196.39915884142954</v>
      </c>
      <c r="I60" s="87">
        <f>IF(TrRoad_act!I36=0,0,I23/TrRoad_act!I36*1000
)</f>
        <v>214.29786891661053</v>
      </c>
      <c r="J60" s="87">
        <f>IF(TrRoad_act!J36=0,0,J23/TrRoad_act!J36*1000
)</f>
        <v>192.64591015706986</v>
      </c>
      <c r="K60" s="87">
        <f>IF(TrRoad_act!K36=0,0,K23/TrRoad_act!K36*1000
)</f>
        <v>152.80488682803659</v>
      </c>
      <c r="L60" s="87">
        <f>IF(TrRoad_act!L36=0,0,L23/TrRoad_act!L36*1000
)</f>
        <v>173.80533464690558</v>
      </c>
      <c r="M60" s="87">
        <f>IF(TrRoad_act!M36=0,0,M23/TrRoad_act!M36*1000
)</f>
        <v>181.28129745961496</v>
      </c>
      <c r="N60" s="87">
        <f>IF(TrRoad_act!N36=0,0,N23/TrRoad_act!N36*1000
)</f>
        <v>180.39055424975822</v>
      </c>
      <c r="O60" s="87">
        <f>IF(TrRoad_act!O36=0,0,O23/TrRoad_act!O36*1000
)</f>
        <v>187.33442383895283</v>
      </c>
      <c r="P60" s="87">
        <f>IF(TrRoad_act!P36=0,0,P23/TrRoad_act!P36*1000
)</f>
        <v>182.70893506579739</v>
      </c>
      <c r="Q60" s="87">
        <f>IF(TrRoad_act!Q36=0,0,Q23/TrRoad_act!Q36*1000
)</f>
        <v>169.41922339914117</v>
      </c>
      <c r="R60" s="87">
        <f>IF(TrRoad_act!R36=0,0,R23/TrRoad_act!R36*1000
)</f>
        <v>159.36385897075135</v>
      </c>
      <c r="S60" s="87">
        <f>IF(TrRoad_act!S36=0,0,S23/TrRoad_act!S36*1000
)</f>
        <v>149.01564240202356</v>
      </c>
      <c r="T60" s="87">
        <f>IF(TrRoad_act!T36=0,0,T23/TrRoad_act!T36*1000
)</f>
        <v>150.53177399545891</v>
      </c>
      <c r="U60" s="87">
        <f>IF(TrRoad_act!U36=0,0,U23/TrRoad_act!U36*1000
)</f>
        <v>139.71572644669988</v>
      </c>
      <c r="V60" s="87">
        <f>IF(TrRoad_act!V36=0,0,V23/TrRoad_act!V36*1000
)</f>
        <v>117.69599620462314</v>
      </c>
      <c r="W60" s="87">
        <f>IF(TrRoad_act!W36=0,0,W23/TrRoad_act!W36*1000
)</f>
        <v>147.55669778630818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177.76760959058458</v>
      </c>
      <c r="J61" s="87">
        <f>IF(TrRoad_act!J37=0,0,J24/TrRoad_act!J37*1000
)</f>
        <v>170.80506086762315</v>
      </c>
      <c r="K61" s="87">
        <f>IF(TrRoad_act!K37=0,0,K24/TrRoad_act!K37*1000
)</f>
        <v>165.12575928615487</v>
      </c>
      <c r="L61" s="87">
        <f>IF(TrRoad_act!L37=0,0,L24/TrRoad_act!L37*1000
)</f>
        <v>163.26601108164053</v>
      </c>
      <c r="M61" s="87">
        <f>IF(TrRoad_act!M37=0,0,M24/TrRoad_act!M37*1000
)</f>
        <v>160.94545623905785</v>
      </c>
      <c r="N61" s="87">
        <f>IF(TrRoad_act!N37=0,0,N24/TrRoad_act!N37*1000
)</f>
        <v>158.4179569679817</v>
      </c>
      <c r="O61" s="87">
        <f>IF(TrRoad_act!O37=0,0,O24/TrRoad_act!O37*1000
)</f>
        <v>156.03718046178528</v>
      </c>
      <c r="P61" s="87">
        <f>IF(TrRoad_act!P37=0,0,P24/TrRoad_act!P37*1000
)</f>
        <v>153.15658847572752</v>
      </c>
      <c r="Q61" s="87">
        <f>IF(TrRoad_act!Q37=0,0,Q24/TrRoad_act!Q37*1000
)</f>
        <v>148.56730601368264</v>
      </c>
      <c r="R61" s="87">
        <f>IF(TrRoad_act!R37=0,0,R24/TrRoad_act!R37*1000
)</f>
        <v>131.37340597622151</v>
      </c>
      <c r="S61" s="87">
        <f>IF(TrRoad_act!S37=0,0,S24/TrRoad_act!S37*1000
)</f>
        <v>129.83507021377804</v>
      </c>
      <c r="T61" s="87">
        <f>IF(TrRoad_act!T37=0,0,T24/TrRoad_act!T37*1000
)</f>
        <v>128.06668834015196</v>
      </c>
      <c r="U61" s="87">
        <f>IF(TrRoad_act!U37=0,0,U24/TrRoad_act!U37*1000
)</f>
        <v>127.01895365080799</v>
      </c>
      <c r="V61" s="87">
        <f>IF(TrRoad_act!V37=0,0,V24/TrRoad_act!V37*1000
)</f>
        <v>126.21809293500738</v>
      </c>
      <c r="W61" s="87">
        <f>IF(TrRoad_act!W37=0,0,W24/TrRoad_act!W37*1000
)</f>
        <v>124.1734620251531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58.323822253599729</v>
      </c>
      <c r="O62" s="87">
        <f>IF(TrRoad_act!O38=0,0,O25/TrRoad_act!O38*1000
)</f>
        <v>61.096518614486108</v>
      </c>
      <c r="P62" s="87">
        <f>IF(TrRoad_act!P38=0,0,P25/TrRoad_act!P38*1000
)</f>
        <v>57.320906956911905</v>
      </c>
      <c r="Q62" s="87">
        <f>IF(TrRoad_act!Q38=0,0,Q25/TrRoad_act!Q38*1000
)</f>
        <v>59.261286665423675</v>
      </c>
      <c r="R62" s="87">
        <f>IF(TrRoad_act!R38=0,0,R25/TrRoad_act!R38*1000
)</f>
        <v>61.351576829944591</v>
      </c>
      <c r="S62" s="87">
        <f>IF(TrRoad_act!S38=0,0,S25/TrRoad_act!S38*1000
)</f>
        <v>62.651048847932266</v>
      </c>
      <c r="T62" s="87">
        <f>IF(TrRoad_act!T38=0,0,T25/TrRoad_act!T38*1000
)</f>
        <v>64.051909835597513</v>
      </c>
      <c r="U62" s="87">
        <f>IF(TrRoad_act!U38=0,0,U25/TrRoad_act!U38*1000
)</f>
        <v>61.800221665523125</v>
      </c>
      <c r="V62" s="87">
        <f>IF(TrRoad_act!V38=0,0,V25/TrRoad_act!V38*1000
)</f>
        <v>51.727022313806003</v>
      </c>
      <c r="W62" s="87">
        <f>IF(TrRoad_act!W38=0,0,W25/TrRoad_act!W38*1000
)</f>
        <v>44.532883620343611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1753.4553628645081</v>
      </c>
      <c r="C64" s="116">
        <f>IF(TrRoad_act!C40=0,0,C27/TrRoad_act!C40*1000
)</f>
        <v>1723.0136510677507</v>
      </c>
      <c r="D64" s="116">
        <f>IF(TrRoad_act!D40=0,0,D27/TrRoad_act!D40*1000
)</f>
        <v>1709.9066469496895</v>
      </c>
      <c r="E64" s="116">
        <f>IF(TrRoad_act!E40=0,0,E27/TrRoad_act!E40*1000
)</f>
        <v>1700.0710532271128</v>
      </c>
      <c r="F64" s="116">
        <f>IF(TrRoad_act!F40=0,0,F27/TrRoad_act!F40*1000
)</f>
        <v>1689.5701810745124</v>
      </c>
      <c r="G64" s="116">
        <f>IF(TrRoad_act!G40=0,0,G27/TrRoad_act!G40*1000
)</f>
        <v>1671.635528764933</v>
      </c>
      <c r="H64" s="116">
        <f>IF(TrRoad_act!H40=0,0,H27/TrRoad_act!H40*1000
)</f>
        <v>1662.2564546231376</v>
      </c>
      <c r="I64" s="116">
        <f>IF(TrRoad_act!I40=0,0,I27/TrRoad_act!I40*1000
)</f>
        <v>1626.8495906100623</v>
      </c>
      <c r="J64" s="116">
        <f>IF(TrRoad_act!J40=0,0,J27/TrRoad_act!J40*1000
)</f>
        <v>1581.0079039445711</v>
      </c>
      <c r="K64" s="116">
        <f>IF(TrRoad_act!K40=0,0,K27/TrRoad_act!K40*1000
)</f>
        <v>1561.6397196674372</v>
      </c>
      <c r="L64" s="116">
        <f>IF(TrRoad_act!L40=0,0,L27/TrRoad_act!L40*1000
)</f>
        <v>1563.1892572329762</v>
      </c>
      <c r="M64" s="116">
        <f>IF(TrRoad_act!M40=0,0,M27/TrRoad_act!M40*1000
)</f>
        <v>1548.7866881245918</v>
      </c>
      <c r="N64" s="116">
        <f>IF(TrRoad_act!N40=0,0,N27/TrRoad_act!N40*1000
)</f>
        <v>1535.6161954630891</v>
      </c>
      <c r="O64" s="116">
        <f>IF(TrRoad_act!O40=0,0,O27/TrRoad_act!O40*1000
)</f>
        <v>1528.8777426302936</v>
      </c>
      <c r="P64" s="116">
        <f>IF(TrRoad_act!P40=0,0,P27/TrRoad_act!P40*1000
)</f>
        <v>1520.5050348105303</v>
      </c>
      <c r="Q64" s="116">
        <f>IF(TrRoad_act!Q40=0,0,Q27/TrRoad_act!Q40*1000
)</f>
        <v>1527.2118540326189</v>
      </c>
      <c r="R64" s="116">
        <f>IF(TrRoad_act!R40=0,0,R27/TrRoad_act!R40*1000
)</f>
        <v>1537.9657901109467</v>
      </c>
      <c r="S64" s="116">
        <f>IF(TrRoad_act!S40=0,0,S27/TrRoad_act!S40*1000
)</f>
        <v>1542.0858848150244</v>
      </c>
      <c r="T64" s="116">
        <f>IF(TrRoad_act!T40=0,0,T27/TrRoad_act!T40*1000
)</f>
        <v>1542.0474994445844</v>
      </c>
      <c r="U64" s="116">
        <f>IF(TrRoad_act!U40=0,0,U27/TrRoad_act!U40*1000
)</f>
        <v>1536.2533861853747</v>
      </c>
      <c r="V64" s="116">
        <f>IF(TrRoad_act!V40=0,0,V27/TrRoad_act!V40*1000
)</f>
        <v>1546.3148255080625</v>
      </c>
      <c r="W64" s="116">
        <f>IF(TrRoad_act!W40=0,0,W27/TrRoad_act!W40*1000
)</f>
        <v>1524.9963883835544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520.79147457237457</v>
      </c>
      <c r="C65" s="101">
        <f>IF(TrRoad_act!C41=0,0,C28/TrRoad_act!C41*1000
)</f>
        <v>520.46701162146053</v>
      </c>
      <c r="D65" s="101">
        <f>IF(TrRoad_act!D41=0,0,D28/TrRoad_act!D41*1000
)</f>
        <v>520.00561011522166</v>
      </c>
      <c r="E65" s="101">
        <f>IF(TrRoad_act!E41=0,0,E28/TrRoad_act!E41*1000
)</f>
        <v>520.10936805828987</v>
      </c>
      <c r="F65" s="101">
        <f>IF(TrRoad_act!F41=0,0,F28/TrRoad_act!F41*1000
)</f>
        <v>519.70114150952884</v>
      </c>
      <c r="G65" s="101">
        <f>IF(TrRoad_act!G41=0,0,G28/TrRoad_act!G41*1000
)</f>
        <v>517.16926505421134</v>
      </c>
      <c r="H65" s="101">
        <f>IF(TrRoad_act!H41=0,0,H28/TrRoad_act!H41*1000
)</f>
        <v>514.62288518705577</v>
      </c>
      <c r="I65" s="101">
        <f>IF(TrRoad_act!I41=0,0,I28/TrRoad_act!I41*1000
)</f>
        <v>507.10266818415352</v>
      </c>
      <c r="J65" s="101">
        <f>IF(TrRoad_act!J41=0,0,J28/TrRoad_act!J41*1000
)</f>
        <v>495.88105510135131</v>
      </c>
      <c r="K65" s="101">
        <f>IF(TrRoad_act!K41=0,0,K28/TrRoad_act!K41*1000
)</f>
        <v>496.78336660262568</v>
      </c>
      <c r="L65" s="101">
        <f>IF(TrRoad_act!L41=0,0,L28/TrRoad_act!L41*1000
)</f>
        <v>494.80549855740975</v>
      </c>
      <c r="M65" s="101">
        <f>IF(TrRoad_act!M41=0,0,M28/TrRoad_act!M41*1000
)</f>
        <v>494.427660913154</v>
      </c>
      <c r="N65" s="101">
        <f>IF(TrRoad_act!N41=0,0,N28/TrRoad_act!N41*1000
)</f>
        <v>491.4211959718707</v>
      </c>
      <c r="O65" s="101">
        <f>IF(TrRoad_act!O41=0,0,O28/TrRoad_act!O41*1000
)</f>
        <v>490.63834906438694</v>
      </c>
      <c r="P65" s="101">
        <f>IF(TrRoad_act!P41=0,0,P28/TrRoad_act!P41*1000
)</f>
        <v>488.95494384229477</v>
      </c>
      <c r="Q65" s="101">
        <f>IF(TrRoad_act!Q41=0,0,Q28/TrRoad_act!Q41*1000
)</f>
        <v>487.3353909582446</v>
      </c>
      <c r="R65" s="101">
        <f>IF(TrRoad_act!R41=0,0,R28/TrRoad_act!R41*1000
)</f>
        <v>485.05747809417642</v>
      </c>
      <c r="S65" s="101">
        <f>IF(TrRoad_act!S41=0,0,S28/TrRoad_act!S41*1000
)</f>
        <v>481.25155817092428</v>
      </c>
      <c r="T65" s="101">
        <f>IF(TrRoad_act!T41=0,0,T28/TrRoad_act!T41*1000
)</f>
        <v>479.33877738827289</v>
      </c>
      <c r="U65" s="101">
        <f>IF(TrRoad_act!U41=0,0,U28/TrRoad_act!U41*1000
)</f>
        <v>475.59271909284155</v>
      </c>
      <c r="V65" s="101">
        <f>IF(TrRoad_act!V41=0,0,V28/TrRoad_act!V41*1000
)</f>
        <v>471.7328584894359</v>
      </c>
      <c r="W65" s="101">
        <f>IF(TrRoad_act!W41=0,0,W28/TrRoad_act!W41*1000
)</f>
        <v>457.25422991967548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1764.4977742418137</v>
      </c>
      <c r="C66" s="101">
        <f>IF(TrRoad_act!C42=0,0,C29/TrRoad_act!C42*1000
)</f>
        <v>1738.3635375244298</v>
      </c>
      <c r="D66" s="101">
        <f>IF(TrRoad_act!D42=0,0,D29/TrRoad_act!D42*1000
)</f>
        <v>1725.8058601586526</v>
      </c>
      <c r="E66" s="101">
        <f>IF(TrRoad_act!E42=0,0,E29/TrRoad_act!E42*1000
)</f>
        <v>1717.6855919758675</v>
      </c>
      <c r="F66" s="101">
        <f>IF(TrRoad_act!F42=0,0,F29/TrRoad_act!F42*1000
)</f>
        <v>1708.928095495437</v>
      </c>
      <c r="G66" s="101">
        <f>IF(TrRoad_act!G42=0,0,G29/TrRoad_act!G42*1000
)</f>
        <v>1690.9147298611658</v>
      </c>
      <c r="H66" s="101">
        <f>IF(TrRoad_act!H42=0,0,H29/TrRoad_act!H42*1000
)</f>
        <v>1680.69446314223</v>
      </c>
      <c r="I66" s="101">
        <f>IF(TrRoad_act!I42=0,0,I29/TrRoad_act!I42*1000
)</f>
        <v>1645.7236597284982</v>
      </c>
      <c r="J66" s="101">
        <f>IF(TrRoad_act!J42=0,0,J29/TrRoad_act!J42*1000
)</f>
        <v>1600.1442763861546</v>
      </c>
      <c r="K66" s="101">
        <f>IF(TrRoad_act!K42=0,0,K29/TrRoad_act!K42*1000
)</f>
        <v>1580.2646748454731</v>
      </c>
      <c r="L66" s="101">
        <f>IF(TrRoad_act!L42=0,0,L29/TrRoad_act!L42*1000
)</f>
        <v>1579.652623455607</v>
      </c>
      <c r="M66" s="101">
        <f>IF(TrRoad_act!M42=0,0,M29/TrRoad_act!M42*1000
)</f>
        <v>1579.74899328384</v>
      </c>
      <c r="N66" s="101">
        <f>IF(TrRoad_act!N42=0,0,N29/TrRoad_act!N42*1000
)</f>
        <v>1569.2297040587832</v>
      </c>
      <c r="O66" s="101">
        <f>IF(TrRoad_act!O42=0,0,O29/TrRoad_act!O42*1000
)</f>
        <v>1567.285291634741</v>
      </c>
      <c r="P66" s="101">
        <f>IF(TrRoad_act!P42=0,0,P29/TrRoad_act!P42*1000
)</f>
        <v>1559.0414820879387</v>
      </c>
      <c r="Q66" s="101">
        <f>IF(TrRoad_act!Q42=0,0,Q29/TrRoad_act!Q42*1000
)</f>
        <v>1564.6312588447445</v>
      </c>
      <c r="R66" s="101">
        <f>IF(TrRoad_act!R42=0,0,R29/TrRoad_act!R42*1000
)</f>
        <v>1573.7887350600874</v>
      </c>
      <c r="S66" s="101">
        <f>IF(TrRoad_act!S42=0,0,S29/TrRoad_act!S42*1000
)</f>
        <v>1577.4174087030874</v>
      </c>
      <c r="T66" s="101">
        <f>IF(TrRoad_act!T42=0,0,T29/TrRoad_act!T42*1000
)</f>
        <v>1582.8969041765374</v>
      </c>
      <c r="U66" s="101">
        <f>IF(TrRoad_act!U42=0,0,U29/TrRoad_act!U42*1000
)</f>
        <v>1589.9142964342816</v>
      </c>
      <c r="V66" s="101">
        <f>IF(TrRoad_act!V42=0,0,V29/TrRoad_act!V42*1000
)</f>
        <v>1601.7522789732013</v>
      </c>
      <c r="W66" s="101">
        <f>IF(TrRoad_act!W42=0,0,W29/TrRoad_act!W42*1000
)</f>
        <v>1615.3471779317331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1245.2613709108819</v>
      </c>
      <c r="C67" s="101">
        <f>IF(TrRoad_act!C43=0,0,C30/TrRoad_act!C43*1000
)</f>
        <v>1198.5434994104635</v>
      </c>
      <c r="D67" s="101">
        <f>IF(TrRoad_act!D43=0,0,D30/TrRoad_act!D43*1000
)</f>
        <v>1197.6308484570175</v>
      </c>
      <c r="E67" s="101">
        <f>IF(TrRoad_act!E43=0,0,E30/TrRoad_act!E43*1000
)</f>
        <v>1194.1901050953602</v>
      </c>
      <c r="F67" s="101">
        <f>IF(TrRoad_act!F43=0,0,F30/TrRoad_act!F43*1000
)</f>
        <v>1192.3298094767551</v>
      </c>
      <c r="G67" s="101">
        <f>IF(TrRoad_act!G43=0,0,G30/TrRoad_act!G43*1000
)</f>
        <v>1189.4438332757659</v>
      </c>
      <c r="H67" s="101">
        <f>IF(TrRoad_act!H43=0,0,H30/TrRoad_act!H43*1000
)</f>
        <v>1179.6724405317682</v>
      </c>
      <c r="I67" s="101">
        <f>IF(TrRoad_act!I43=0,0,I30/TrRoad_act!I43*1000
)</f>
        <v>1174.9098958182565</v>
      </c>
      <c r="J67" s="101">
        <f>IF(TrRoad_act!J43=0,0,J30/TrRoad_act!J43*1000
)</f>
        <v>1172.7127990873942</v>
      </c>
      <c r="K67" s="101">
        <f>IF(TrRoad_act!K43=0,0,K30/TrRoad_act!K43*1000
)</f>
        <v>1170.0801577772297</v>
      </c>
      <c r="L67" s="101">
        <f>IF(TrRoad_act!L43=0,0,L30/TrRoad_act!L43*1000
)</f>
        <v>1169.816665228404</v>
      </c>
      <c r="M67" s="101">
        <f>IF(TrRoad_act!M43=0,0,M30/TrRoad_act!M43*1000
)</f>
        <v>1166.6188341799793</v>
      </c>
      <c r="N67" s="101">
        <f>IF(TrRoad_act!N43=0,0,N30/TrRoad_act!N43*1000
)</f>
        <v>1163.4131229456336</v>
      </c>
      <c r="O67" s="101">
        <f>IF(TrRoad_act!O43=0,0,O30/TrRoad_act!O43*1000
)</f>
        <v>1162.1169760556324</v>
      </c>
      <c r="P67" s="101">
        <f>IF(TrRoad_act!P43=0,0,P30/TrRoad_act!P43*1000
)</f>
        <v>1159.2623798943766</v>
      </c>
      <c r="Q67" s="101">
        <f>IF(TrRoad_act!Q43=0,0,Q30/TrRoad_act!Q43*1000
)</f>
        <v>1155.6341074833351</v>
      </c>
      <c r="R67" s="101">
        <f>IF(TrRoad_act!R43=0,0,R30/TrRoad_act!R43*1000
)</f>
        <v>1155.3721147081767</v>
      </c>
      <c r="S67" s="101">
        <f>IF(TrRoad_act!S43=0,0,S30/TrRoad_act!S43*1000
)</f>
        <v>1155.9586624689609</v>
      </c>
      <c r="T67" s="101">
        <f>IF(TrRoad_act!T43=0,0,T30/TrRoad_act!T43*1000
)</f>
        <v>1154.553213120317</v>
      </c>
      <c r="U67" s="101">
        <f>IF(TrRoad_act!U43=0,0,U30/TrRoad_act!U43*1000
)</f>
        <v>1154.9904232777806</v>
      </c>
      <c r="V67" s="101">
        <f>IF(TrRoad_act!V43=0,0,V30/TrRoad_act!V43*1000
)</f>
        <v>1154.5968725487739</v>
      </c>
      <c r="W67" s="101">
        <f>IF(TrRoad_act!W43=0,0,W30/TrRoad_act!W43*1000
)</f>
        <v>1155.6268358312718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1117.5942283374518</v>
      </c>
      <c r="C68" s="101">
        <f>IF(TrRoad_act!C44=0,0,C31/TrRoad_act!C44*1000
)</f>
        <v>1011.1470390838932</v>
      </c>
      <c r="D68" s="101">
        <f>IF(TrRoad_act!D44=0,0,D31/TrRoad_act!D44*1000
)</f>
        <v>1027.9591040734997</v>
      </c>
      <c r="E68" s="101">
        <f>IF(TrRoad_act!E44=0,0,E31/TrRoad_act!E44*1000
)</f>
        <v>1023.7018412595884</v>
      </c>
      <c r="F68" s="101">
        <f>IF(TrRoad_act!F44=0,0,F31/TrRoad_act!F44*1000
)</f>
        <v>954.94735206346479</v>
      </c>
      <c r="G68" s="101">
        <f>IF(TrRoad_act!G44=0,0,G31/TrRoad_act!G44*1000
)</f>
        <v>957.4469133604656</v>
      </c>
      <c r="H68" s="101">
        <f>IF(TrRoad_act!H44=0,0,H31/TrRoad_act!H44*1000
)</f>
        <v>1035.4849650747494</v>
      </c>
      <c r="I68" s="101">
        <f>IF(TrRoad_act!I44=0,0,I31/TrRoad_act!I44*1000
)</f>
        <v>991.693734133107</v>
      </c>
      <c r="J68" s="101">
        <f>IF(TrRoad_act!J44=0,0,J31/TrRoad_act!J44*1000
)</f>
        <v>1004.459626832161</v>
      </c>
      <c r="K68" s="101">
        <f>IF(TrRoad_act!K44=0,0,K31/TrRoad_act!K44*1000
)</f>
        <v>999.30280902854452</v>
      </c>
      <c r="L68" s="101">
        <f>IF(TrRoad_act!L44=0,0,L31/TrRoad_act!L44*1000
)</f>
        <v>1082.9694167359012</v>
      </c>
      <c r="M68" s="101">
        <f>IF(TrRoad_act!M44=0,0,M31/TrRoad_act!M44*1000
)</f>
        <v>1065.1482847215616</v>
      </c>
      <c r="N68" s="101">
        <f>IF(TrRoad_act!N44=0,0,N31/TrRoad_act!N44*1000
)</f>
        <v>1062.0661029594992</v>
      </c>
      <c r="O68" s="101">
        <f>IF(TrRoad_act!O44=0,0,O31/TrRoad_act!O44*1000
)</f>
        <v>1091.6248024625611</v>
      </c>
      <c r="P68" s="101">
        <f>IF(TrRoad_act!P44=0,0,P31/TrRoad_act!P44*1000
)</f>
        <v>1109.6519709888603</v>
      </c>
      <c r="Q68" s="101">
        <f>IF(TrRoad_act!Q44=0,0,Q31/TrRoad_act!Q44*1000
)</f>
        <v>1133.2751584817538</v>
      </c>
      <c r="R68" s="101">
        <f>IF(TrRoad_act!R44=0,0,R31/TrRoad_act!R44*1000
)</f>
        <v>1173.702686132051</v>
      </c>
      <c r="S68" s="101">
        <f>IF(TrRoad_act!S44=0,0,S31/TrRoad_act!S44*1000
)</f>
        <v>1221.4090248855866</v>
      </c>
      <c r="T68" s="101">
        <f>IF(TrRoad_act!T44=0,0,T31/TrRoad_act!T44*1000
)</f>
        <v>1206.6203702243029</v>
      </c>
      <c r="U68" s="101">
        <f>IF(TrRoad_act!U44=0,0,U31/TrRoad_act!U44*1000
)</f>
        <v>1210.6528429669245</v>
      </c>
      <c r="V68" s="101">
        <f>IF(TrRoad_act!V44=0,0,V31/TrRoad_act!V44*1000
)</f>
        <v>1341.6201072228728</v>
      </c>
      <c r="W68" s="101">
        <f>IF(TrRoad_act!W44=0,0,W31/TrRoad_act!W44*1000
)</f>
        <v>1326.3818973774867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569.89450776932551</v>
      </c>
      <c r="C70" s="29">
        <f>IF(TrRoad_act!C46=0,0,C33/TrRoad_act!C46*1000
)</f>
        <v>555.77668796534886</v>
      </c>
      <c r="D70" s="29">
        <f>IF(TrRoad_act!D46=0,0,D33/TrRoad_act!D46*1000
)</f>
        <v>549.38426765377017</v>
      </c>
      <c r="E70" s="29">
        <f>IF(TrRoad_act!E46=0,0,E33/TrRoad_act!E46*1000
)</f>
        <v>540.22410390368429</v>
      </c>
      <c r="F70" s="29">
        <f>IF(TrRoad_act!F46=0,0,F33/TrRoad_act!F46*1000
)</f>
        <v>544.06018498251547</v>
      </c>
      <c r="G70" s="29">
        <f>IF(TrRoad_act!G46=0,0,G33/TrRoad_act!G46*1000
)</f>
        <v>537.45483009813563</v>
      </c>
      <c r="H70" s="29">
        <f>IF(TrRoad_act!H46=0,0,H33/TrRoad_act!H46*1000
)</f>
        <v>529.75082632420799</v>
      </c>
      <c r="I70" s="29">
        <f>IF(TrRoad_act!I46=0,0,I33/TrRoad_act!I46*1000
)</f>
        <v>517.79831603962623</v>
      </c>
      <c r="J70" s="29">
        <f>IF(TrRoad_act!J46=0,0,J33/TrRoad_act!J46*1000
)</f>
        <v>502.47880358149308</v>
      </c>
      <c r="K70" s="29">
        <f>IF(TrRoad_act!K46=0,0,K33/TrRoad_act!K46*1000
)</f>
        <v>480.21465617516611</v>
      </c>
      <c r="L70" s="29">
        <f>IF(TrRoad_act!L46=0,0,L33/TrRoad_act!L46*1000
)</f>
        <v>478.14920120588323</v>
      </c>
      <c r="M70" s="29">
        <f>IF(TrRoad_act!M46=0,0,M33/TrRoad_act!M46*1000
)</f>
        <v>476.39919473079448</v>
      </c>
      <c r="N70" s="29">
        <f>IF(TrRoad_act!N46=0,0,N33/TrRoad_act!N46*1000
)</f>
        <v>462.18366692645736</v>
      </c>
      <c r="O70" s="29">
        <f>IF(TrRoad_act!O46=0,0,O33/TrRoad_act!O46*1000
)</f>
        <v>455.86422391680043</v>
      </c>
      <c r="P70" s="29">
        <f>IF(TrRoad_act!P46=0,0,P33/TrRoad_act!P46*1000
)</f>
        <v>446.46687987804847</v>
      </c>
      <c r="Q70" s="29">
        <f>IF(TrRoad_act!Q46=0,0,Q33/TrRoad_act!Q46*1000
)</f>
        <v>434.9563995608583</v>
      </c>
      <c r="R70" s="29">
        <f>IF(TrRoad_act!R46=0,0,R33/TrRoad_act!R46*1000
)</f>
        <v>437.59100621669114</v>
      </c>
      <c r="S70" s="29">
        <f>IF(TrRoad_act!S46=0,0,S33/TrRoad_act!S46*1000
)</f>
        <v>432.28043231683131</v>
      </c>
      <c r="T70" s="29">
        <f>IF(TrRoad_act!T46=0,0,T33/TrRoad_act!T46*1000
)</f>
        <v>427.34460842120473</v>
      </c>
      <c r="U70" s="29">
        <f>IF(TrRoad_act!U46=0,0,U33/TrRoad_act!U46*1000
)</f>
        <v>421.51485638664815</v>
      </c>
      <c r="V70" s="29">
        <f>IF(TrRoad_act!V46=0,0,V33/TrRoad_act!V46*1000
)</f>
        <v>432.41120762171903</v>
      </c>
      <c r="W70" s="29">
        <f>IF(TrRoad_act!W46=0,0,W33/TrRoad_act!W46*1000
)</f>
        <v>425.01822352114601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345.02174812020337</v>
      </c>
      <c r="C71" s="152">
        <f>IF(TrRoad_act!C47=0,0,C34/TrRoad_act!C47*1000
)</f>
        <v>333.87098909730111</v>
      </c>
      <c r="D71" s="152">
        <f>IF(TrRoad_act!D47=0,0,D34/TrRoad_act!D47*1000
)</f>
        <v>328.20199975017817</v>
      </c>
      <c r="E71" s="152">
        <f>IF(TrRoad_act!E47=0,0,E34/TrRoad_act!E47*1000
)</f>
        <v>320.5260877999761</v>
      </c>
      <c r="F71" s="152">
        <f>IF(TrRoad_act!F47=0,0,F34/TrRoad_act!F47*1000
)</f>
        <v>312.15960146436402</v>
      </c>
      <c r="G71" s="152">
        <f>IF(TrRoad_act!G47=0,0,G34/TrRoad_act!G47*1000
)</f>
        <v>306.33345642981431</v>
      </c>
      <c r="H71" s="152">
        <f>IF(TrRoad_act!H47=0,0,H34/TrRoad_act!H47*1000
)</f>
        <v>300.0772873139619</v>
      </c>
      <c r="I71" s="152">
        <f>IF(TrRoad_act!I47=0,0,I34/TrRoad_act!I47*1000
)</f>
        <v>290.28579710356996</v>
      </c>
      <c r="J71" s="152">
        <f>IF(TrRoad_act!J47=0,0,J34/TrRoad_act!J47*1000
)</f>
        <v>283.04473024820152</v>
      </c>
      <c r="K71" s="152">
        <f>IF(TrRoad_act!K47=0,0,K34/TrRoad_act!K47*1000
)</f>
        <v>281.53706168907291</v>
      </c>
      <c r="L71" s="152">
        <f>IF(TrRoad_act!L47=0,0,L34/TrRoad_act!L47*1000
)</f>
        <v>279.67748961655872</v>
      </c>
      <c r="M71" s="152">
        <f>IF(TrRoad_act!M47=0,0,M34/TrRoad_act!M47*1000
)</f>
        <v>280.8471704319993</v>
      </c>
      <c r="N71" s="152">
        <f>IF(TrRoad_act!N47=0,0,N34/TrRoad_act!N47*1000
)</f>
        <v>277.05392212002306</v>
      </c>
      <c r="O71" s="152">
        <f>IF(TrRoad_act!O47=0,0,O34/TrRoad_act!O47*1000
)</f>
        <v>271.97537888673736</v>
      </c>
      <c r="P71" s="152">
        <f>IF(TrRoad_act!P47=0,0,P34/TrRoad_act!P47*1000
)</f>
        <v>266.4417397567982</v>
      </c>
      <c r="Q71" s="152">
        <f>IF(TrRoad_act!Q47=0,0,Q34/TrRoad_act!Q47*1000
)</f>
        <v>263.2947432005742</v>
      </c>
      <c r="R71" s="152">
        <f>IF(TrRoad_act!R47=0,0,R34/TrRoad_act!R47*1000
)</f>
        <v>261.49997839187176</v>
      </c>
      <c r="S71" s="152">
        <f>IF(TrRoad_act!S47=0,0,S34/TrRoad_act!S47*1000
)</f>
        <v>257.14057280331127</v>
      </c>
      <c r="T71" s="152">
        <f>IF(TrRoad_act!T47=0,0,T34/TrRoad_act!T47*1000
)</f>
        <v>254.58842084396838</v>
      </c>
      <c r="U71" s="152">
        <f>IF(TrRoad_act!U47=0,0,U34/TrRoad_act!U47*1000
)</f>
        <v>249.61150858103693</v>
      </c>
      <c r="V71" s="152">
        <f>IF(TrRoad_act!V47=0,0,V34/TrRoad_act!V47*1000
)</f>
        <v>248.06850774579058</v>
      </c>
      <c r="W71" s="152">
        <f>IF(TrRoad_act!W47=0,0,W34/TrRoad_act!W47*1000
)</f>
        <v>250.93194287015845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329.36186376423956</v>
      </c>
      <c r="C72" s="87">
        <f>IF(TrRoad_act!C48=0,0,C35/TrRoad_act!C48*1000
)</f>
        <v>326.97281445458714</v>
      </c>
      <c r="D72" s="87">
        <f>IF(TrRoad_act!D48=0,0,D35/TrRoad_act!D48*1000
)</f>
        <v>325.5071784426799</v>
      </c>
      <c r="E72" s="87">
        <f>IF(TrRoad_act!E48=0,0,E35/TrRoad_act!E48*1000
)</f>
        <v>323.91578218127876</v>
      </c>
      <c r="F72" s="87">
        <f>IF(TrRoad_act!F48=0,0,F35/TrRoad_act!F48*1000
)</f>
        <v>321.45294150342494</v>
      </c>
      <c r="G72" s="87">
        <f>IF(TrRoad_act!G48=0,0,G35/TrRoad_act!G48*1000
)</f>
        <v>317.5146038706327</v>
      </c>
      <c r="H72" s="87">
        <f>IF(TrRoad_act!H48=0,0,H35/TrRoad_act!H48*1000
)</f>
        <v>313.44236845614603</v>
      </c>
      <c r="I72" s="87">
        <f>IF(TrRoad_act!I48=0,0,I35/TrRoad_act!I48*1000
)</f>
        <v>306.52164035414501</v>
      </c>
      <c r="J72" s="87">
        <f>IF(TrRoad_act!J48=0,0,J35/TrRoad_act!J48*1000
)</f>
        <v>298.16088464694957</v>
      </c>
      <c r="K72" s="87">
        <f>IF(TrRoad_act!K48=0,0,K35/TrRoad_act!K48*1000
)</f>
        <v>296.48593309304397</v>
      </c>
      <c r="L72" s="87">
        <f>IF(TrRoad_act!L48=0,0,L35/TrRoad_act!L48*1000
)</f>
        <v>291.85809007328635</v>
      </c>
      <c r="M72" s="87">
        <f>IF(TrRoad_act!M48=0,0,M35/TrRoad_act!M48*1000
)</f>
        <v>287.87669272666386</v>
      </c>
      <c r="N72" s="87">
        <f>IF(TrRoad_act!N48=0,0,N35/TrRoad_act!N48*1000
)</f>
        <v>282.371673316981</v>
      </c>
      <c r="O72" s="87">
        <f>IF(TrRoad_act!O48=0,0,O35/TrRoad_act!O48*1000
)</f>
        <v>276.41902154638365</v>
      </c>
      <c r="P72" s="87">
        <f>IF(TrRoad_act!P48=0,0,P35/TrRoad_act!P48*1000
)</f>
        <v>273.27544080997421</v>
      </c>
      <c r="Q72" s="87">
        <f>IF(TrRoad_act!Q48=0,0,Q35/TrRoad_act!Q48*1000
)</f>
        <v>270.0764546849872</v>
      </c>
      <c r="R72" s="87">
        <f>IF(TrRoad_act!R48=0,0,R35/TrRoad_act!R48*1000
)</f>
        <v>266.35346967508104</v>
      </c>
      <c r="S72" s="87">
        <f>IF(TrRoad_act!S48=0,0,S35/TrRoad_act!S48*1000
)</f>
        <v>261.81323731537628</v>
      </c>
      <c r="T72" s="87">
        <f>IF(TrRoad_act!T48=0,0,T35/TrRoad_act!T48*1000
)</f>
        <v>257.03319096163295</v>
      </c>
      <c r="U72" s="87">
        <f>IF(TrRoad_act!U48=0,0,U35/TrRoad_act!U48*1000
)</f>
        <v>251.85170883661729</v>
      </c>
      <c r="V72" s="87">
        <f>IF(TrRoad_act!V48=0,0,V35/TrRoad_act!V48*1000
)</f>
        <v>248.1581001953908</v>
      </c>
      <c r="W72" s="87">
        <f>IF(TrRoad_act!W48=0,0,W35/TrRoad_act!W48*1000
)</f>
        <v>245.98441182665664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347.86814770954931</v>
      </c>
      <c r="C73" s="87">
        <f>IF(TrRoad_act!C49=0,0,C36/TrRoad_act!C49*1000
)</f>
        <v>335.08097791807489</v>
      </c>
      <c r="D73" s="87">
        <f>IF(TrRoad_act!D49=0,0,D36/TrRoad_act!D49*1000
)</f>
        <v>328.74565923761844</v>
      </c>
      <c r="E73" s="87">
        <f>IF(TrRoad_act!E49=0,0,E36/TrRoad_act!E49*1000
)</f>
        <v>320.4445866593199</v>
      </c>
      <c r="F73" s="87">
        <f>IF(TrRoad_act!F49=0,0,F36/TrRoad_act!F49*1000
)</f>
        <v>311.71222283730714</v>
      </c>
      <c r="G73" s="87">
        <f>IF(TrRoad_act!G49=0,0,G36/TrRoad_act!G49*1000
)</f>
        <v>305.86409158946117</v>
      </c>
      <c r="H73" s="87">
        <f>IF(TrRoad_act!H49=0,0,H36/TrRoad_act!H49*1000
)</f>
        <v>299.58029621284123</v>
      </c>
      <c r="I73" s="87">
        <f>IF(TrRoad_act!I49=0,0,I36/TrRoad_act!I49*1000
)</f>
        <v>289.73782988075038</v>
      </c>
      <c r="J73" s="87">
        <f>IF(TrRoad_act!J49=0,0,J36/TrRoad_act!J49*1000
)</f>
        <v>282.57648857094694</v>
      </c>
      <c r="K73" s="87">
        <f>IF(TrRoad_act!K49=0,0,K36/TrRoad_act!K49*1000
)</f>
        <v>281.14862074229808</v>
      </c>
      <c r="L73" s="87">
        <f>IF(TrRoad_act!L49=0,0,L36/TrRoad_act!L49*1000
)</f>
        <v>279.33604370358034</v>
      </c>
      <c r="M73" s="87">
        <f>IF(TrRoad_act!M49=0,0,M36/TrRoad_act!M49*1000
)</f>
        <v>280.73028580326536</v>
      </c>
      <c r="N73" s="87">
        <f>IF(TrRoad_act!N49=0,0,N36/TrRoad_act!N49*1000
)</f>
        <v>277.00647346857113</v>
      </c>
      <c r="O73" s="87">
        <f>IF(TrRoad_act!O49=0,0,O36/TrRoad_act!O49*1000
)</f>
        <v>272.00829764449065</v>
      </c>
      <c r="P73" s="87">
        <f>IF(TrRoad_act!P49=0,0,P36/TrRoad_act!P49*1000
)</f>
        <v>266.48302094112734</v>
      </c>
      <c r="Q73" s="87">
        <f>IF(TrRoad_act!Q49=0,0,Q36/TrRoad_act!Q49*1000
)</f>
        <v>263.41181669763597</v>
      </c>
      <c r="R73" s="87">
        <f>IF(TrRoad_act!R49=0,0,R36/TrRoad_act!R49*1000
)</f>
        <v>261.83144457050912</v>
      </c>
      <c r="S73" s="87">
        <f>IF(TrRoad_act!S49=0,0,S36/TrRoad_act!S49*1000
)</f>
        <v>257.48871057621466</v>
      </c>
      <c r="T73" s="87">
        <f>IF(TrRoad_act!T49=0,0,T36/TrRoad_act!T49*1000
)</f>
        <v>255.29014867190071</v>
      </c>
      <c r="U73" s="87">
        <f>IF(TrRoad_act!U49=0,0,U36/TrRoad_act!U49*1000
)</f>
        <v>250.44439355589532</v>
      </c>
      <c r="V73" s="87">
        <f>IF(TrRoad_act!V49=0,0,V36/TrRoad_act!V49*1000
)</f>
        <v>249.24810851928581</v>
      </c>
      <c r="W73" s="87">
        <f>IF(TrRoad_act!W49=0,0,W36/TrRoad_act!W49*1000
)</f>
        <v>252.47914200539779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325.44034430937842</v>
      </c>
      <c r="C74" s="87">
        <f>IF(TrRoad_act!C50=0,0,C37/TrRoad_act!C50*1000
)</f>
        <v>315.63892993857627</v>
      </c>
      <c r="D74" s="87">
        <f>IF(TrRoad_act!D50=0,0,D37/TrRoad_act!D50*1000
)</f>
        <v>312.87998577815927</v>
      </c>
      <c r="E74" s="87">
        <f>IF(TrRoad_act!E50=0,0,E37/TrRoad_act!E50*1000
)</f>
        <v>310.32154900432153</v>
      </c>
      <c r="F74" s="87">
        <f>IF(TrRoad_act!F50=0,0,F37/TrRoad_act!F50*1000
)</f>
        <v>307.64427509120299</v>
      </c>
      <c r="G74" s="87">
        <f>IF(TrRoad_act!G50=0,0,G37/TrRoad_act!G50*1000
)</f>
        <v>305.52380427934713</v>
      </c>
      <c r="H74" s="87">
        <f>IF(TrRoad_act!H50=0,0,H37/TrRoad_act!H50*1000
)</f>
        <v>303.17628752191115</v>
      </c>
      <c r="I74" s="87">
        <f>IF(TrRoad_act!I50=0,0,I37/TrRoad_act!I50*1000
)</f>
        <v>299.30835630955528</v>
      </c>
      <c r="J74" s="87">
        <f>IF(TrRoad_act!J50=0,0,J37/TrRoad_act!J50*1000
)</f>
        <v>297.82872343106345</v>
      </c>
      <c r="K74" s="87">
        <f>IF(TrRoad_act!K50=0,0,K37/TrRoad_act!K50*1000
)</f>
        <v>295.18203348369252</v>
      </c>
      <c r="L74" s="87">
        <f>IF(TrRoad_act!L50=0,0,L37/TrRoad_act!L50*1000
)</f>
        <v>294.74101554151514</v>
      </c>
      <c r="M74" s="87">
        <f>IF(TrRoad_act!M50=0,0,M37/TrRoad_act!M50*1000
)</f>
        <v>294.23008634303034</v>
      </c>
      <c r="N74" s="87">
        <f>IF(TrRoad_act!N50=0,0,N37/TrRoad_act!N50*1000
)</f>
        <v>293.61091492396525</v>
      </c>
      <c r="O74" s="87">
        <f>IF(TrRoad_act!O50=0,0,O37/TrRoad_act!O50*1000
)</f>
        <v>293.02884197147802</v>
      </c>
      <c r="P74" s="87">
        <f>IF(TrRoad_act!P50=0,0,P37/TrRoad_act!P50*1000
)</f>
        <v>292.38340233098324</v>
      </c>
      <c r="Q74" s="87">
        <f>IF(TrRoad_act!Q50=0,0,Q37/TrRoad_act!Q50*1000
)</f>
        <v>291.87443864314639</v>
      </c>
      <c r="R74" s="87">
        <f>IF(TrRoad_act!R50=0,0,R37/TrRoad_act!R50*1000
)</f>
        <v>291.47847172859719</v>
      </c>
      <c r="S74" s="87">
        <f>IF(TrRoad_act!S50=0,0,S37/TrRoad_act!S50*1000
)</f>
        <v>290.89177005876309</v>
      </c>
      <c r="T74" s="87">
        <f>IF(TrRoad_act!T50=0,0,T37/TrRoad_act!T50*1000
)</f>
        <v>289.55309051747219</v>
      </c>
      <c r="U74" s="87">
        <f>IF(TrRoad_act!U50=0,0,U37/TrRoad_act!U50*1000
)</f>
        <v>288.7503987056769</v>
      </c>
      <c r="V74" s="87">
        <f>IF(TrRoad_act!V50=0,0,V37/TrRoad_act!V50*1000
)</f>
        <v>252.92496442234324</v>
      </c>
      <c r="W74" s="87">
        <f>IF(TrRoad_act!W50=0,0,W37/TrRoad_act!W50*1000
)</f>
        <v>252.55411136856375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271.24329225085353</v>
      </c>
      <c r="C75" s="87">
        <f>IF(TrRoad_act!C51=0,0,C38/TrRoad_act!C51*1000
)</f>
        <v>271.12018370057609</v>
      </c>
      <c r="D75" s="87">
        <f>IF(TrRoad_act!D51=0,0,D38/TrRoad_act!D51*1000
)</f>
        <v>270.75272669886681</v>
      </c>
      <c r="E75" s="87">
        <f>IF(TrRoad_act!E51=0,0,E38/TrRoad_act!E51*1000
)</f>
        <v>265.20119320043705</v>
      </c>
      <c r="F75" s="87">
        <f>IF(TrRoad_act!F51=0,0,F38/TrRoad_act!F51*1000
)</f>
        <v>264.83595125297211</v>
      </c>
      <c r="G75" s="87">
        <f>IF(TrRoad_act!G51=0,0,G38/TrRoad_act!G51*1000
)</f>
        <v>264.56785057822719</v>
      </c>
      <c r="H75" s="87">
        <f>IF(TrRoad_act!H51=0,0,H38/TrRoad_act!H51*1000
)</f>
        <v>258.43394463626737</v>
      </c>
      <c r="I75" s="87">
        <f>IF(TrRoad_act!I51=0,0,I38/TrRoad_act!I51*1000
)</f>
        <v>257.70546253947242</v>
      </c>
      <c r="J75" s="87">
        <f>IF(TrRoad_act!J51=0,0,J38/TrRoad_act!J51*1000
)</f>
        <v>255.92465271927711</v>
      </c>
      <c r="K75" s="87">
        <f>IF(TrRoad_act!K51=0,0,K38/TrRoad_act!K51*1000
)</f>
        <v>247.43416265621559</v>
      </c>
      <c r="L75" s="87">
        <f>IF(TrRoad_act!L51=0,0,L38/TrRoad_act!L51*1000
)</f>
        <v>237.09854599002873</v>
      </c>
      <c r="M75" s="87">
        <f>IF(TrRoad_act!M51=0,0,M38/TrRoad_act!M51*1000
)</f>
        <v>229.56493403482457</v>
      </c>
      <c r="N75" s="87">
        <f>IF(TrRoad_act!N51=0,0,N38/TrRoad_act!N51*1000
)</f>
        <v>222.54865333181826</v>
      </c>
      <c r="O75" s="87">
        <f>IF(TrRoad_act!O51=0,0,O38/TrRoad_act!O51*1000
)</f>
        <v>214.41633260936416</v>
      </c>
      <c r="P75" s="87">
        <f>IF(TrRoad_act!P51=0,0,P38/TrRoad_act!P51*1000
)</f>
        <v>210.1421820491301</v>
      </c>
      <c r="Q75" s="87">
        <f>IF(TrRoad_act!Q51=0,0,Q38/TrRoad_act!Q51*1000
)</f>
        <v>208.79582818588105</v>
      </c>
      <c r="R75" s="87">
        <f>IF(TrRoad_act!R51=0,0,R38/TrRoad_act!R51*1000
)</f>
        <v>213.2990311822677</v>
      </c>
      <c r="S75" s="87">
        <f>IF(TrRoad_act!S51=0,0,S38/TrRoad_act!S51*1000
)</f>
        <v>219.4290622051727</v>
      </c>
      <c r="T75" s="87">
        <f>IF(TrRoad_act!T51=0,0,T38/TrRoad_act!T51*1000
)</f>
        <v>235.23815813175796</v>
      </c>
      <c r="U75" s="87">
        <f>IF(TrRoad_act!U51=0,0,U38/TrRoad_act!U51*1000
)</f>
        <v>237.04463210083853</v>
      </c>
      <c r="V75" s="87">
        <f>IF(TrRoad_act!V51=0,0,V38/TrRoad_act!V51*1000
)</f>
        <v>235.71453037370733</v>
      </c>
      <c r="W75" s="87">
        <f>IF(TrRoad_act!W51=0,0,W38/TrRoad_act!W51*1000
)</f>
        <v>243.7680744617434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1282.3025161755329</v>
      </c>
      <c r="C77" s="116">
        <f>IF(TrRoad_act!C53=0,0,C40/TrRoad_act!C53*1000
)</f>
        <v>1254.5291021792957</v>
      </c>
      <c r="D77" s="116">
        <f>IF(TrRoad_act!D53=0,0,D40/TrRoad_act!D53*1000
)</f>
        <v>1236.2237824914152</v>
      </c>
      <c r="E77" s="116">
        <f>IF(TrRoad_act!E53=0,0,E40/TrRoad_act!E53*1000
)</f>
        <v>1210.9758599460233</v>
      </c>
      <c r="F77" s="116">
        <f>IF(TrRoad_act!F53=0,0,F40/TrRoad_act!F53*1000
)</f>
        <v>1182.8261077580153</v>
      </c>
      <c r="G77" s="116">
        <f>IF(TrRoad_act!G53=0,0,G40/TrRoad_act!G53*1000
)</f>
        <v>1164.1075891091125</v>
      </c>
      <c r="H77" s="116">
        <f>IF(TrRoad_act!H53=0,0,H40/TrRoad_act!H53*1000
)</f>
        <v>1148.7334792933289</v>
      </c>
      <c r="I77" s="116">
        <f>IF(TrRoad_act!I53=0,0,I40/TrRoad_act!I53*1000
)</f>
        <v>1115.9987205895009</v>
      </c>
      <c r="J77" s="116">
        <f>IF(TrRoad_act!J53=0,0,J40/TrRoad_act!J53*1000
)</f>
        <v>1090.4619257579277</v>
      </c>
      <c r="K77" s="116">
        <f>IF(TrRoad_act!K53=0,0,K40/TrRoad_act!K53*1000
)</f>
        <v>1097.8370590464692</v>
      </c>
      <c r="L77" s="116">
        <f>IF(TrRoad_act!L53=0,0,L40/TrRoad_act!L53*1000
)</f>
        <v>1091.7463328950623</v>
      </c>
      <c r="M77" s="116">
        <f>IF(TrRoad_act!M53=0,0,M40/TrRoad_act!M53*1000
)</f>
        <v>1096.8250701176726</v>
      </c>
      <c r="N77" s="116">
        <f>IF(TrRoad_act!N53=0,0,N40/TrRoad_act!N53*1000
)</f>
        <v>1090.4417375382891</v>
      </c>
      <c r="O77" s="116">
        <f>IF(TrRoad_act!O53=0,0,O40/TrRoad_act!O53*1000
)</f>
        <v>1082.9370869221802</v>
      </c>
      <c r="P77" s="116">
        <f>IF(TrRoad_act!P53=0,0,P40/TrRoad_act!P53*1000
)</f>
        <v>1073.7815223816344</v>
      </c>
      <c r="Q77" s="116">
        <f>IF(TrRoad_act!Q53=0,0,Q40/TrRoad_act!Q53*1000
)</f>
        <v>1075.1809489101799</v>
      </c>
      <c r="R77" s="116">
        <f>IF(TrRoad_act!R53=0,0,R40/TrRoad_act!R53*1000
)</f>
        <v>1062.3448385667857</v>
      </c>
      <c r="S77" s="116">
        <f>IF(TrRoad_act!S53=0,0,S40/TrRoad_act!S53*1000
)</f>
        <v>1051.3238487054502</v>
      </c>
      <c r="T77" s="116">
        <f>IF(TrRoad_act!T53=0,0,T40/TrRoad_act!T53*1000
)</f>
        <v>1042.2112526695194</v>
      </c>
      <c r="U77" s="116">
        <f>IF(TrRoad_act!U53=0,0,U40/TrRoad_act!U53*1000
)</f>
        <v>1020.558554510387</v>
      </c>
      <c r="V77" s="116">
        <f>IF(TrRoad_act!V53=0,0,V40/TrRoad_act!V53*1000
)</f>
        <v>1009.5922865367705</v>
      </c>
      <c r="W77" s="116">
        <f>IF(TrRoad_act!W53=0,0,W40/TrRoad_act!W53*1000
)</f>
        <v>1020.626792818341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1240.8528897454755</v>
      </c>
      <c r="C78" s="101">
        <f>IF(TrRoad_act!C54=0,0,C41/TrRoad_act!C54*1000
)</f>
        <v>1219.7817553176726</v>
      </c>
      <c r="D78" s="101">
        <f>IF(TrRoad_act!D54=0,0,D41/TrRoad_act!D54*1000
)</f>
        <v>1205.4300155620697</v>
      </c>
      <c r="E78" s="101">
        <f>IF(TrRoad_act!E54=0,0,E41/TrRoad_act!E54*1000
)</f>
        <v>1186.5803524344533</v>
      </c>
      <c r="F78" s="101">
        <f>IF(TrRoad_act!F54=0,0,F41/TrRoad_act!F54*1000
)</f>
        <v>1166.5847444412029</v>
      </c>
      <c r="G78" s="101">
        <f>IF(TrRoad_act!G54=0,0,G41/TrRoad_act!G54*1000
)</f>
        <v>1149.0331233723387</v>
      </c>
      <c r="H78" s="101">
        <f>IF(TrRoad_act!H54=0,0,H41/TrRoad_act!H54*1000
)</f>
        <v>1135.3968958861665</v>
      </c>
      <c r="I78" s="101">
        <f>IF(TrRoad_act!I54=0,0,I41/TrRoad_act!I54*1000
)</f>
        <v>1104.5864252834426</v>
      </c>
      <c r="J78" s="101">
        <f>IF(TrRoad_act!J54=0,0,J41/TrRoad_act!J54*1000
)</f>
        <v>1076.9320199918391</v>
      </c>
      <c r="K78" s="101">
        <f>IF(TrRoad_act!K54=0,0,K41/TrRoad_act!K54*1000
)</f>
        <v>1079.3238339968952</v>
      </c>
      <c r="L78" s="101">
        <f>IF(TrRoad_act!L54=0,0,L41/TrRoad_act!L54*1000
)</f>
        <v>1076.2903493326223</v>
      </c>
      <c r="M78" s="101">
        <f>IF(TrRoad_act!M54=0,0,M41/TrRoad_act!M54*1000
)</f>
        <v>1077.5405245994314</v>
      </c>
      <c r="N78" s="101">
        <f>IF(TrRoad_act!N54=0,0,N41/TrRoad_act!N54*1000
)</f>
        <v>1066.5511487229207</v>
      </c>
      <c r="O78" s="101">
        <f>IF(TrRoad_act!O54=0,0,O41/TrRoad_act!O54*1000
)</f>
        <v>1056.4231321448754</v>
      </c>
      <c r="P78" s="101">
        <f>IF(TrRoad_act!P54=0,0,P41/TrRoad_act!P54*1000
)</f>
        <v>1044.3888992113045</v>
      </c>
      <c r="Q78" s="101">
        <f>IF(TrRoad_act!Q54=0,0,Q41/TrRoad_act!Q54*1000
)</f>
        <v>1040.3543366499769</v>
      </c>
      <c r="R78" s="101">
        <f>IF(TrRoad_act!R54=0,0,R41/TrRoad_act!R54*1000
)</f>
        <v>1025.5011980427844</v>
      </c>
      <c r="S78" s="101">
        <f>IF(TrRoad_act!S54=0,0,S41/TrRoad_act!S54*1000
)</f>
        <v>1009.6960952665293</v>
      </c>
      <c r="T78" s="101">
        <f>IF(TrRoad_act!T54=0,0,T41/TrRoad_act!T54*1000
)</f>
        <v>994.44236855383292</v>
      </c>
      <c r="U78" s="101">
        <f>IF(TrRoad_act!U54=0,0,U41/TrRoad_act!U54*1000
)</f>
        <v>968.91307619521592</v>
      </c>
      <c r="V78" s="101">
        <f>IF(TrRoad_act!V54=0,0,V41/TrRoad_act!V54*1000
)</f>
        <v>952.93292866064382</v>
      </c>
      <c r="W78" s="101">
        <f>IF(TrRoad_act!W54=0,0,W41/TrRoad_act!W54*1000
)</f>
        <v>951.10057154430945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1378.3768145575284</v>
      </c>
      <c r="C79" s="88">
        <f>IF(TrRoad_act!C55=0,0,C42/TrRoad_act!C55*1000
)</f>
        <v>1331.496663195647</v>
      </c>
      <c r="D79" s="88">
        <f>IF(TrRoad_act!D55=0,0,D42/TrRoad_act!D55*1000
)</f>
        <v>1301.1428643364027</v>
      </c>
      <c r="E79" s="88">
        <f>IF(TrRoad_act!E55=0,0,E42/TrRoad_act!E55*1000
)</f>
        <v>1261.3967888750865</v>
      </c>
      <c r="F79" s="88">
        <f>IF(TrRoad_act!F55=0,0,F42/TrRoad_act!F55*1000
)</f>
        <v>1212.9380040157741</v>
      </c>
      <c r="G79" s="88">
        <f>IF(TrRoad_act!G55=0,0,G42/TrRoad_act!G55*1000
)</f>
        <v>1191.0686170832907</v>
      </c>
      <c r="H79" s="88">
        <f>IF(TrRoad_act!H55=0,0,H42/TrRoad_act!H55*1000
)</f>
        <v>1172.2451239110969</v>
      </c>
      <c r="I79" s="88">
        <f>IF(TrRoad_act!I55=0,0,I42/TrRoad_act!I55*1000
)</f>
        <v>1136.405784144617</v>
      </c>
      <c r="J79" s="88">
        <f>IF(TrRoad_act!J55=0,0,J42/TrRoad_act!J55*1000
)</f>
        <v>1113.5498444249458</v>
      </c>
      <c r="K79" s="88">
        <f>IF(TrRoad_act!K55=0,0,K42/TrRoad_act!K55*1000
)</f>
        <v>1128.5062100876569</v>
      </c>
      <c r="L79" s="88">
        <f>IF(TrRoad_act!L55=0,0,L42/TrRoad_act!L55*1000
)</f>
        <v>1118.3452337881617</v>
      </c>
      <c r="M79" s="88">
        <f>IF(TrRoad_act!M55=0,0,M42/TrRoad_act!M55*1000
)</f>
        <v>1133.0253877520745</v>
      </c>
      <c r="N79" s="88">
        <f>IF(TrRoad_act!N55=0,0,N42/TrRoad_act!N55*1000
)</f>
        <v>1132.7870427496073</v>
      </c>
      <c r="O79" s="88">
        <f>IF(TrRoad_act!O55=0,0,O42/TrRoad_act!O55*1000
)</f>
        <v>1127.371497918891</v>
      </c>
      <c r="P79" s="88">
        <f>IF(TrRoad_act!P55=0,0,P42/TrRoad_act!P55*1000
)</f>
        <v>1122.0785555440661</v>
      </c>
      <c r="Q79" s="88">
        <f>IF(TrRoad_act!Q55=0,0,Q42/TrRoad_act!Q55*1000
)</f>
        <v>1128.2566970826344</v>
      </c>
      <c r="R79" s="88">
        <f>IF(TrRoad_act!R55=0,0,R42/TrRoad_act!R55*1000
)</f>
        <v>1118.4570759218543</v>
      </c>
      <c r="S79" s="88">
        <f>IF(TrRoad_act!S55=0,0,S42/TrRoad_act!S55*1000
)</f>
        <v>1112.697399656988</v>
      </c>
      <c r="T79" s="88">
        <f>IF(TrRoad_act!T55=0,0,T42/TrRoad_act!T55*1000
)</f>
        <v>1111.9067086442897</v>
      </c>
      <c r="U79" s="88">
        <f>IF(TrRoad_act!U55=0,0,U42/TrRoad_act!U55*1000
)</f>
        <v>1094.4716558986891</v>
      </c>
      <c r="V79" s="88">
        <f>IF(TrRoad_act!V55=0,0,V42/TrRoad_act!V55*1000
)</f>
        <v>1089.9831986139377</v>
      </c>
      <c r="W79" s="88">
        <f>IF(TrRoad_act!W55=0,0,W42/TrRoad_act!W55*1000
)</f>
        <v>1115.1804482654566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108.36941195731795</v>
      </c>
      <c r="C82" s="29">
        <f>IF(TrRoad_act!C4=0,0,C18/TrRoad_act!C4*1000)</f>
        <v>107.36010058037142</v>
      </c>
      <c r="D82" s="29">
        <f>IF(TrRoad_act!D4=0,0,D18/TrRoad_act!D4*1000)</f>
        <v>106.89933247876222</v>
      </c>
      <c r="E82" s="29">
        <f>IF(TrRoad_act!E4=0,0,E18/TrRoad_act!E4*1000)</f>
        <v>104.89423890215143</v>
      </c>
      <c r="F82" s="29">
        <f>IF(TrRoad_act!F4=0,0,F18/TrRoad_act!F4*1000)</f>
        <v>103.77018991693946</v>
      </c>
      <c r="G82" s="29">
        <f>IF(TrRoad_act!G4=0,0,G18/TrRoad_act!G4*1000)</f>
        <v>103.20734711247704</v>
      </c>
      <c r="H82" s="29">
        <f>IF(TrRoad_act!H4=0,0,H18/TrRoad_act!H4*1000)</f>
        <v>103.87561780367142</v>
      </c>
      <c r="I82" s="29">
        <f>IF(TrRoad_act!I4=0,0,I18/TrRoad_act!I4*1000)</f>
        <v>102.68541482007709</v>
      </c>
      <c r="J82" s="29">
        <f>IF(TrRoad_act!J4=0,0,J18/TrRoad_act!J4*1000)</f>
        <v>100.78412759768347</v>
      </c>
      <c r="K82" s="29">
        <f>IF(TrRoad_act!K4=0,0,K18/TrRoad_act!K4*1000)</f>
        <v>102.54758319564948</v>
      </c>
      <c r="L82" s="29">
        <f>IF(TrRoad_act!L4=0,0,L18/TrRoad_act!L4*1000)</f>
        <v>100.63980488187049</v>
      </c>
      <c r="M82" s="29">
        <f>IF(TrRoad_act!M4=0,0,M18/TrRoad_act!M4*1000)</f>
        <v>102.63612406917201</v>
      </c>
      <c r="N82" s="29">
        <f>IF(TrRoad_act!N4=0,0,N18/TrRoad_act!N4*1000)</f>
        <v>95.860234256324418</v>
      </c>
      <c r="O82" s="29">
        <f>IF(TrRoad_act!O4=0,0,O18/TrRoad_act!O4*1000)</f>
        <v>93.823938244323855</v>
      </c>
      <c r="P82" s="29">
        <f>IF(TrRoad_act!P4=0,0,P18/TrRoad_act!P4*1000)</f>
        <v>93.407474317423805</v>
      </c>
      <c r="Q82" s="29">
        <f>IF(TrRoad_act!Q4=0,0,Q18/TrRoad_act!Q4*1000)</f>
        <v>93.61650833921216</v>
      </c>
      <c r="R82" s="29">
        <f>IF(TrRoad_act!R4=0,0,R18/TrRoad_act!R4*1000)</f>
        <v>92.298208862238965</v>
      </c>
      <c r="S82" s="29">
        <f>IF(TrRoad_act!S4=0,0,S18/TrRoad_act!S4*1000)</f>
        <v>91.066994485909618</v>
      </c>
      <c r="T82" s="29">
        <f>IF(TrRoad_act!T4=0,0,T18/TrRoad_act!T4*1000)</f>
        <v>88.921807471716647</v>
      </c>
      <c r="U82" s="29">
        <f>IF(TrRoad_act!U4=0,0,U18/TrRoad_act!U4*1000)</f>
        <v>88.75545392258843</v>
      </c>
      <c r="V82" s="29">
        <f>IF(TrRoad_act!V4=0,0,V18/TrRoad_act!V4*1000)</f>
        <v>93.173280263560343</v>
      </c>
      <c r="W82" s="29">
        <f>IF(TrRoad_act!W4=0,0,W18/TrRoad_act!W4*1000)</f>
        <v>92.559246260386331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91.553318241928423</v>
      </c>
      <c r="C83" s="152">
        <f>IF(TrRoad_act!C5=0,0,C19/TrRoad_act!C5*1000)</f>
        <v>91.112777835054899</v>
      </c>
      <c r="D83" s="152">
        <f>IF(TrRoad_act!D5=0,0,D19/TrRoad_act!D5*1000)</f>
        <v>90.673336519873004</v>
      </c>
      <c r="E83" s="152">
        <f>IF(TrRoad_act!E5=0,0,E19/TrRoad_act!E5*1000)</f>
        <v>89.232843115817005</v>
      </c>
      <c r="F83" s="152">
        <f>IF(TrRoad_act!F5=0,0,F19/TrRoad_act!F5*1000)</f>
        <v>89.398676414347008</v>
      </c>
      <c r="G83" s="152">
        <f>IF(TrRoad_act!G5=0,0,G19/TrRoad_act!G5*1000)</f>
        <v>87.09493335087366</v>
      </c>
      <c r="H83" s="152">
        <f>IF(TrRoad_act!H5=0,0,H19/TrRoad_act!H5*1000)</f>
        <v>86.822810290361076</v>
      </c>
      <c r="I83" s="152">
        <f>IF(TrRoad_act!I5=0,0,I19/TrRoad_act!I5*1000)</f>
        <v>84.908541050956558</v>
      </c>
      <c r="J83" s="152">
        <f>IF(TrRoad_act!J5=0,0,J19/TrRoad_act!J5*1000)</f>
        <v>82.764923414567448</v>
      </c>
      <c r="K83" s="152">
        <f>IF(TrRoad_act!K5=0,0,K19/TrRoad_act!K5*1000)</f>
        <v>82.734890405782238</v>
      </c>
      <c r="L83" s="152">
        <f>IF(TrRoad_act!L5=0,0,L19/TrRoad_act!L5*1000)</f>
        <v>82.525406472173032</v>
      </c>
      <c r="M83" s="152">
        <f>IF(TrRoad_act!M5=0,0,M19/TrRoad_act!M5*1000)</f>
        <v>79.907049735346874</v>
      </c>
      <c r="N83" s="152">
        <f>IF(TrRoad_act!N5=0,0,N19/TrRoad_act!N5*1000)</f>
        <v>81.958771891970613</v>
      </c>
      <c r="O83" s="152">
        <f>IF(TrRoad_act!O5=0,0,O19/TrRoad_act!O5*1000)</f>
        <v>82.111062143762993</v>
      </c>
      <c r="P83" s="152">
        <f>IF(TrRoad_act!P5=0,0,P19/TrRoad_act!P5*1000)</f>
        <v>81.598323323502228</v>
      </c>
      <c r="Q83" s="152">
        <f>IF(TrRoad_act!Q5=0,0,Q19/TrRoad_act!Q5*1000)</f>
        <v>81.364798341126146</v>
      </c>
      <c r="R83" s="152">
        <f>IF(TrRoad_act!R5=0,0,R19/TrRoad_act!R5*1000)</f>
        <v>80.744599599824397</v>
      </c>
      <c r="S83" s="152">
        <f>IF(TrRoad_act!S5=0,0,S19/TrRoad_act!S5*1000)</f>
        <v>79.815439810705868</v>
      </c>
      <c r="T83" s="152">
        <f>IF(TrRoad_act!T5=0,0,T19/TrRoad_act!T5*1000)</f>
        <v>83.330658983264456</v>
      </c>
      <c r="U83" s="152">
        <f>IF(TrRoad_act!U5=0,0,U19/TrRoad_act!U5*1000)</f>
        <v>78.928054662295253</v>
      </c>
      <c r="V83" s="152">
        <f>IF(TrRoad_act!V5=0,0,V19/TrRoad_act!V5*1000)</f>
        <v>78.812904592337162</v>
      </c>
      <c r="W83" s="152">
        <f>IF(TrRoad_act!W5=0,0,W19/TrRoad_act!W5*1000)</f>
        <v>75.45404999349293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108.9202661296185</v>
      </c>
      <c r="C84" s="116">
        <f>IF(TrRoad_act!C6=0,0,C20/TrRoad_act!C6*1000)</f>
        <v>107.77751247596875</v>
      </c>
      <c r="D84" s="116">
        <f>IF(TrRoad_act!D6=0,0,D20/TrRoad_act!D6*1000)</f>
        <v>107.39820610243929</v>
      </c>
      <c r="E84" s="116">
        <f>IF(TrRoad_act!E6=0,0,E20/TrRoad_act!E6*1000)</f>
        <v>105.28972190248805</v>
      </c>
      <c r="F84" s="116">
        <f>IF(TrRoad_act!F6=0,0,F20/TrRoad_act!F6*1000)</f>
        <v>104.12364207943146</v>
      </c>
      <c r="G84" s="116">
        <f>IF(TrRoad_act!G6=0,0,G20/TrRoad_act!G6*1000)</f>
        <v>103.62967374415106</v>
      </c>
      <c r="H84" s="116">
        <f>IF(TrRoad_act!H6=0,0,H20/TrRoad_act!H6*1000)</f>
        <v>104.42411727088178</v>
      </c>
      <c r="I84" s="116">
        <f>IF(TrRoad_act!I6=0,0,I20/TrRoad_act!I6*1000)</f>
        <v>103.22149215826285</v>
      </c>
      <c r="J84" s="116">
        <f>IF(TrRoad_act!J6=0,0,J20/TrRoad_act!J6*1000)</f>
        <v>101.48055675982573</v>
      </c>
      <c r="K84" s="116">
        <f>IF(TrRoad_act!K6=0,0,K20/TrRoad_act!K6*1000)</f>
        <v>103.73533302139637</v>
      </c>
      <c r="L84" s="116">
        <f>IF(TrRoad_act!L6=0,0,L20/TrRoad_act!L6*1000)</f>
        <v>101.94852947355194</v>
      </c>
      <c r="M84" s="116">
        <f>IF(TrRoad_act!M6=0,0,M20/TrRoad_act!M6*1000)</f>
        <v>104.36540736639522</v>
      </c>
      <c r="N84" s="116">
        <f>IF(TrRoad_act!N6=0,0,N20/TrRoad_act!N6*1000)</f>
        <v>96.832228339026514</v>
      </c>
      <c r="O84" s="116">
        <f>IF(TrRoad_act!O6=0,0,O20/TrRoad_act!O6*1000)</f>
        <v>95.041792119037538</v>
      </c>
      <c r="P84" s="116">
        <f>IF(TrRoad_act!P6=0,0,P20/TrRoad_act!P6*1000)</f>
        <v>94.728096313670392</v>
      </c>
      <c r="Q84" s="116">
        <f>IF(TrRoad_act!Q6=0,0,Q20/TrRoad_act!Q6*1000)</f>
        <v>94.911721846059777</v>
      </c>
      <c r="R84" s="116">
        <f>IF(TrRoad_act!R6=0,0,R20/TrRoad_act!R6*1000)</f>
        <v>93.41990392279466</v>
      </c>
      <c r="S84" s="116">
        <f>IF(TrRoad_act!S6=0,0,S20/TrRoad_act!S6*1000)</f>
        <v>92.185582721005986</v>
      </c>
      <c r="T84" s="116">
        <f>IF(TrRoad_act!T6=0,0,T20/TrRoad_act!T6*1000)</f>
        <v>89.709078972382628</v>
      </c>
      <c r="U84" s="116">
        <f>IF(TrRoad_act!U6=0,0,U20/TrRoad_act!U6*1000)</f>
        <v>89.646183035493223</v>
      </c>
      <c r="V84" s="116">
        <f>IF(TrRoad_act!V6=0,0,V20/TrRoad_act!V6*1000)</f>
        <v>93.121773359748104</v>
      </c>
      <c r="W84" s="116">
        <f>IF(TrRoad_act!W6=0,0,W20/TrRoad_act!W6*1000)</f>
        <v>92.552806077886544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105.89887029727612</v>
      </c>
      <c r="C85" s="87">
        <f>IF(TrRoad_act!C7=0,0,C21/TrRoad_act!C7*1000)</f>
        <v>106.48739622920438</v>
      </c>
      <c r="D85" s="87">
        <f>IF(TrRoad_act!D7=0,0,D21/TrRoad_act!D7*1000)</f>
        <v>107.15113471079719</v>
      </c>
      <c r="E85" s="87">
        <f>IF(TrRoad_act!E7=0,0,E21/TrRoad_act!E7*1000)</f>
        <v>106.69214975683444</v>
      </c>
      <c r="F85" s="87">
        <f>IF(TrRoad_act!F7=0,0,F21/TrRoad_act!F7*1000)</f>
        <v>107.20272160933469</v>
      </c>
      <c r="G85" s="87">
        <f>IF(TrRoad_act!G7=0,0,G21/TrRoad_act!G7*1000)</f>
        <v>107.39300126181199</v>
      </c>
      <c r="H85" s="87">
        <f>IF(TrRoad_act!H7=0,0,H21/TrRoad_act!H7*1000)</f>
        <v>108.81068647514675</v>
      </c>
      <c r="I85" s="87">
        <f>IF(TrRoad_act!I7=0,0,I21/TrRoad_act!I7*1000)</f>
        <v>108.38801099686367</v>
      </c>
      <c r="J85" s="87">
        <f>IF(TrRoad_act!J7=0,0,J21/TrRoad_act!J7*1000)</f>
        <v>106.49768400638689</v>
      </c>
      <c r="K85" s="87">
        <f>IF(TrRoad_act!K7=0,0,K21/TrRoad_act!K7*1000)</f>
        <v>107.69836259291195</v>
      </c>
      <c r="L85" s="87">
        <f>IF(TrRoad_act!L7=0,0,L21/TrRoad_act!L7*1000)</f>
        <v>105.55706999939039</v>
      </c>
      <c r="M85" s="87">
        <f>IF(TrRoad_act!M7=0,0,M21/TrRoad_act!M7*1000)</f>
        <v>106.38358984992904</v>
      </c>
      <c r="N85" s="87">
        <f>IF(TrRoad_act!N7=0,0,N21/TrRoad_act!N7*1000)</f>
        <v>98.110839528031534</v>
      </c>
      <c r="O85" s="87">
        <f>IF(TrRoad_act!O7=0,0,O21/TrRoad_act!O7*1000)</f>
        <v>96.126995769041969</v>
      </c>
      <c r="P85" s="87">
        <f>IF(TrRoad_act!P7=0,0,P21/TrRoad_act!P7*1000)</f>
        <v>95.380015693455164</v>
      </c>
      <c r="Q85" s="87">
        <f>IF(TrRoad_act!Q7=0,0,Q21/TrRoad_act!Q7*1000)</f>
        <v>94.211427129432224</v>
      </c>
      <c r="R85" s="87">
        <f>IF(TrRoad_act!R7=0,0,R21/TrRoad_act!R7*1000)</f>
        <v>92.049258185681808</v>
      </c>
      <c r="S85" s="87">
        <f>IF(TrRoad_act!S7=0,0,S21/TrRoad_act!S7*1000)</f>
        <v>89.780144458662605</v>
      </c>
      <c r="T85" s="87">
        <f>IF(TrRoad_act!T7=0,0,T21/TrRoad_act!T7*1000)</f>
        <v>86.24492044948569</v>
      </c>
      <c r="U85" s="87">
        <f>IF(TrRoad_act!U7=0,0,U21/TrRoad_act!U7*1000)</f>
        <v>86.278867877768903</v>
      </c>
      <c r="V85" s="87">
        <f>IF(TrRoad_act!V7=0,0,V21/TrRoad_act!V7*1000)</f>
        <v>89.653617619564415</v>
      </c>
      <c r="W85" s="87">
        <f>IF(TrRoad_act!W7=0,0,W21/TrRoad_act!W7*1000)</f>
        <v>87.223268259574027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112.48327057409331</v>
      </c>
      <c r="C86" s="87">
        <f>IF(TrRoad_act!C8=0,0,C22/TrRoad_act!C8*1000)</f>
        <v>109.23755913753664</v>
      </c>
      <c r="D86" s="87">
        <f>IF(TrRoad_act!D8=0,0,D22/TrRoad_act!D8*1000)</f>
        <v>107.79493218678152</v>
      </c>
      <c r="E86" s="87">
        <f>IF(TrRoad_act!E8=0,0,E22/TrRoad_act!E8*1000)</f>
        <v>104.34117297193866</v>
      </c>
      <c r="F86" s="87">
        <f>IF(TrRoad_act!F8=0,0,F22/TrRoad_act!F8*1000)</f>
        <v>102.06013155429017</v>
      </c>
      <c r="G86" s="87">
        <f>IF(TrRoad_act!G8=0,0,G22/TrRoad_act!G8*1000)</f>
        <v>101.29088794427037</v>
      </c>
      <c r="H86" s="87">
        <f>IF(TrRoad_act!H8=0,0,H22/TrRoad_act!H8*1000)</f>
        <v>101.99765990222787</v>
      </c>
      <c r="I86" s="87">
        <f>IF(TrRoad_act!I8=0,0,I22/TrRoad_act!I8*1000)</f>
        <v>100.62039948097318</v>
      </c>
      <c r="J86" s="87">
        <f>IF(TrRoad_act!J8=0,0,J22/TrRoad_act!J8*1000)</f>
        <v>99.305526789414714</v>
      </c>
      <c r="K86" s="87">
        <f>IF(TrRoad_act!K8=0,0,K22/TrRoad_act!K8*1000)</f>
        <v>102.26503031440723</v>
      </c>
      <c r="L86" s="87">
        <f>IF(TrRoad_act!L8=0,0,L22/TrRoad_act!L8*1000)</f>
        <v>100.70836065016161</v>
      </c>
      <c r="M86" s="87">
        <f>IF(TrRoad_act!M8=0,0,M22/TrRoad_act!M8*1000)</f>
        <v>103.72215450402602</v>
      </c>
      <c r="N86" s="87">
        <f>IF(TrRoad_act!N8=0,0,N22/TrRoad_act!N8*1000)</f>
        <v>96.489345397930094</v>
      </c>
      <c r="O86" s="87">
        <f>IF(TrRoad_act!O8=0,0,O22/TrRoad_act!O8*1000)</f>
        <v>94.779621372385648</v>
      </c>
      <c r="P86" s="87">
        <f>IF(TrRoad_act!P8=0,0,P22/TrRoad_act!P8*1000)</f>
        <v>94.643525397556814</v>
      </c>
      <c r="Q86" s="87">
        <f>IF(TrRoad_act!Q8=0,0,Q22/TrRoad_act!Q8*1000)</f>
        <v>95.344676362821616</v>
      </c>
      <c r="R86" s="87">
        <f>IF(TrRoad_act!R8=0,0,R22/TrRoad_act!R8*1000)</f>
        <v>94.159656511360197</v>
      </c>
      <c r="S86" s="87">
        <f>IF(TrRoad_act!S8=0,0,S22/TrRoad_act!S8*1000)</f>
        <v>93.440203474824926</v>
      </c>
      <c r="T86" s="87">
        <f>IF(TrRoad_act!T8=0,0,T22/TrRoad_act!T8*1000)</f>
        <v>91.620782379046602</v>
      </c>
      <c r="U86" s="87">
        <f>IF(TrRoad_act!U8=0,0,U22/TrRoad_act!U8*1000)</f>
        <v>91.884714134131045</v>
      </c>
      <c r="V86" s="87">
        <f>IF(TrRoad_act!V8=0,0,V22/TrRoad_act!V8*1000)</f>
        <v>96.233248846493424</v>
      </c>
      <c r="W86" s="87">
        <f>IF(TrRoad_act!W8=0,0,W22/TrRoad_act!W8*1000)</f>
        <v>97.880631323797445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90.9999869796778</v>
      </c>
      <c r="C87" s="87">
        <f>IF(TrRoad_act!C9=0,0,C23/TrRoad_act!C9*1000)</f>
        <v>92.355129738680589</v>
      </c>
      <c r="D87" s="87">
        <f>IF(TrRoad_act!D9=0,0,D23/TrRoad_act!D9*1000)</f>
        <v>93.577228543976091</v>
      </c>
      <c r="E87" s="87">
        <f>IF(TrRoad_act!E9=0,0,E23/TrRoad_act!E9*1000)</f>
        <v>93.608399955482184</v>
      </c>
      <c r="F87" s="87">
        <f>IF(TrRoad_act!F9=0,0,F23/TrRoad_act!F9*1000)</f>
        <v>94.643628243407335</v>
      </c>
      <c r="G87" s="87">
        <f>IF(TrRoad_act!G9=0,0,G23/TrRoad_act!G9*1000)</f>
        <v>95.877896052123987</v>
      </c>
      <c r="H87" s="87">
        <f>IF(TrRoad_act!H9=0,0,H23/TrRoad_act!H9*1000)</f>
        <v>98.237619436790524</v>
      </c>
      <c r="I87" s="87">
        <f>IF(TrRoad_act!I9=0,0,I23/TrRoad_act!I9*1000)</f>
        <v>109.27397159494257</v>
      </c>
      <c r="J87" s="87">
        <f>IF(TrRoad_act!J9=0,0,J23/TrRoad_act!J9*1000)</f>
        <v>99.501616914284227</v>
      </c>
      <c r="K87" s="87">
        <f>IF(TrRoad_act!K9=0,0,K23/TrRoad_act!K9*1000)</f>
        <v>80.988275596701698</v>
      </c>
      <c r="L87" s="87">
        <f>IF(TrRoad_act!L9=0,0,L23/TrRoad_act!L9*1000)</f>
        <v>92.209668354628732</v>
      </c>
      <c r="M87" s="87">
        <f>IF(TrRoad_act!M9=0,0,M23/TrRoad_act!M9*1000)</f>
        <v>98.92525727129734</v>
      </c>
      <c r="N87" s="87">
        <f>IF(TrRoad_act!N9=0,0,N23/TrRoad_act!N9*1000)</f>
        <v>92.827765908849997</v>
      </c>
      <c r="O87" s="87">
        <f>IF(TrRoad_act!O9=0,0,O23/TrRoad_act!O9*1000)</f>
        <v>96.237297371906124</v>
      </c>
      <c r="P87" s="87">
        <f>IF(TrRoad_act!P9=0,0,P23/TrRoad_act!P9*1000)</f>
        <v>95.448392121880204</v>
      </c>
      <c r="Q87" s="87">
        <f>IF(TrRoad_act!Q9=0,0,Q23/TrRoad_act!Q9*1000)</f>
        <v>89.889406307071056</v>
      </c>
      <c r="R87" s="87">
        <f>IF(TrRoad_act!R9=0,0,R23/TrRoad_act!R9*1000)</f>
        <v>85.355713310564994</v>
      </c>
      <c r="S87" s="87">
        <f>IF(TrRoad_act!S9=0,0,S23/TrRoad_act!S9*1000)</f>
        <v>80.536599730083111</v>
      </c>
      <c r="T87" s="87">
        <f>IF(TrRoad_act!T9=0,0,T23/TrRoad_act!T9*1000)</f>
        <v>80.73171481215438</v>
      </c>
      <c r="U87" s="87">
        <f>IF(TrRoad_act!U9=0,0,U23/TrRoad_act!U9*1000)</f>
        <v>76.982358010429706</v>
      </c>
      <c r="V87" s="87">
        <f>IF(TrRoad_act!V9=0,0,V23/TrRoad_act!V9*1000)</f>
        <v>68.807043135311716</v>
      </c>
      <c r="W87" s="87">
        <f>IF(TrRoad_act!W9=0,0,W23/TrRoad_act!W9*1000)</f>
        <v>86.534894417768186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90.646597743169124</v>
      </c>
      <c r="J88" s="87">
        <f>IF(TrRoad_act!J10=0,0,J24/TrRoad_act!J10*1000)</f>
        <v>88.220817766722419</v>
      </c>
      <c r="K88" s="87">
        <f>IF(TrRoad_act!K10=0,0,K24/TrRoad_act!K10*1000)</f>
        <v>87.518473910011224</v>
      </c>
      <c r="L88" s="87">
        <f>IF(TrRoad_act!L10=0,0,L24/TrRoad_act!L10*1000)</f>
        <v>86.61819711118541</v>
      </c>
      <c r="M88" s="87">
        <f>IF(TrRoad_act!M10=0,0,M24/TrRoad_act!M10*1000)</f>
        <v>87.827982744011749</v>
      </c>
      <c r="N88" s="87">
        <f>IF(TrRoad_act!N10=0,0,N24/TrRoad_act!N10*1000)</f>
        <v>81.520815135484227</v>
      </c>
      <c r="O88" s="87">
        <f>IF(TrRoad_act!O10=0,0,O24/TrRoad_act!O10*1000)</f>
        <v>80.159301368359493</v>
      </c>
      <c r="P88" s="87">
        <f>IF(TrRoad_act!P10=0,0,P24/TrRoad_act!P10*1000)</f>
        <v>80.010044980100332</v>
      </c>
      <c r="Q88" s="87">
        <f>IF(TrRoad_act!Q10=0,0,Q24/TrRoad_act!Q10*1000)</f>
        <v>78.825924628093745</v>
      </c>
      <c r="R88" s="87">
        <f>IF(TrRoad_act!R10=0,0,R24/TrRoad_act!R10*1000)</f>
        <v>70.363951083770374</v>
      </c>
      <c r="S88" s="87">
        <f>IF(TrRoad_act!S10=0,0,S24/TrRoad_act!S10*1000)</f>
        <v>70.170318445657927</v>
      </c>
      <c r="T88" s="87">
        <f>IF(TrRoad_act!T10=0,0,T24/TrRoad_act!T10*1000)</f>
        <v>68.683461873810785</v>
      </c>
      <c r="U88" s="87">
        <f>IF(TrRoad_act!U10=0,0,U24/TrRoad_act!U10*1000)</f>
        <v>69.986527735565744</v>
      </c>
      <c r="V88" s="87">
        <f>IF(TrRoad_act!V10=0,0,V24/TrRoad_act!V10*1000)</f>
        <v>73.789203074817067</v>
      </c>
      <c r="W88" s="87">
        <f>IF(TrRoad_act!W10=0,0,W24/TrRoad_act!W10*1000)</f>
        <v>72.821753177187432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30.013046645283474</v>
      </c>
      <c r="O89" s="87">
        <f>IF(TrRoad_act!O11=0,0,O25/TrRoad_act!O11*1000)</f>
        <v>31.38645695649188</v>
      </c>
      <c r="P89" s="87">
        <f>IF(TrRoad_act!P11=0,0,P25/TrRoad_act!P11*1000)</f>
        <v>29.944832211051128</v>
      </c>
      <c r="Q89" s="87">
        <f>IF(TrRoad_act!Q11=0,0,Q25/TrRoad_act!Q11*1000)</f>
        <v>31.442487862183668</v>
      </c>
      <c r="R89" s="87">
        <f>IF(TrRoad_act!R11=0,0,R25/TrRoad_act!R11*1000)</f>
        <v>32.860070262285532</v>
      </c>
      <c r="S89" s="87">
        <f>IF(TrRoad_act!S11=0,0,S25/TrRoad_act!S11*1000)</f>
        <v>33.860220057456779</v>
      </c>
      <c r="T89" s="87">
        <f>IF(TrRoad_act!T11=0,0,T25/TrRoad_act!T11*1000)</f>
        <v>34.351687891337008</v>
      </c>
      <c r="U89" s="87">
        <f>IF(TrRoad_act!U11=0,0,U25/TrRoad_act!U11*1000)</f>
        <v>34.051476597333256</v>
      </c>
      <c r="V89" s="87">
        <f>IF(TrRoad_act!V11=0,0,V25/TrRoad_act!V11*1000)</f>
        <v>30.240480308432748</v>
      </c>
      <c r="W89" s="87">
        <f>IF(TrRoad_act!W11=0,0,W25/TrRoad_act!W11*1000)</f>
        <v>26.116390784144901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104.57219235272615</v>
      </c>
      <c r="C91" s="116">
        <f>IF(TrRoad_act!C13=0,0,C27/TrRoad_act!C13*1000)</f>
        <v>105.38034360933952</v>
      </c>
      <c r="D91" s="116">
        <f>IF(TrRoad_act!D13=0,0,D27/TrRoad_act!D13*1000)</f>
        <v>104.16180831712765</v>
      </c>
      <c r="E91" s="116">
        <f>IF(TrRoad_act!E13=0,0,E27/TrRoad_act!E13*1000)</f>
        <v>103.58341134954497</v>
      </c>
      <c r="F91" s="116">
        <f>IF(TrRoad_act!F13=0,0,F27/TrRoad_act!F13*1000)</f>
        <v>102.98487024347567</v>
      </c>
      <c r="G91" s="116">
        <f>IF(TrRoad_act!G13=0,0,G27/TrRoad_act!G13*1000)</f>
        <v>102.25157283908447</v>
      </c>
      <c r="H91" s="116">
        <f>IF(TrRoad_act!H13=0,0,H27/TrRoad_act!H13*1000)</f>
        <v>101.56393913563262</v>
      </c>
      <c r="I91" s="116">
        <f>IF(TrRoad_act!I13=0,0,I27/TrRoad_act!I13*1000)</f>
        <v>100.94941755755701</v>
      </c>
      <c r="J91" s="116">
        <f>IF(TrRoad_act!J13=0,0,J27/TrRoad_act!J13*1000)</f>
        <v>97.533278691890644</v>
      </c>
      <c r="K91" s="116">
        <f>IF(TrRoad_act!K13=0,0,K27/TrRoad_act!K13*1000)</f>
        <v>93.680726357585641</v>
      </c>
      <c r="L91" s="116">
        <f>IF(TrRoad_act!L13=0,0,L27/TrRoad_act!L13*1000)</f>
        <v>89.636623106658263</v>
      </c>
      <c r="M91" s="116">
        <f>IF(TrRoad_act!M13=0,0,M27/TrRoad_act!M13*1000)</f>
        <v>88.037028012485877</v>
      </c>
      <c r="N91" s="116">
        <f>IF(TrRoad_act!N13=0,0,N27/TrRoad_act!N13*1000)</f>
        <v>86.835160432745937</v>
      </c>
      <c r="O91" s="116">
        <f>IF(TrRoad_act!O13=0,0,O27/TrRoad_act!O13*1000)</f>
        <v>80.675621530074011</v>
      </c>
      <c r="P91" s="116">
        <f>IF(TrRoad_act!P13=0,0,P27/TrRoad_act!P13*1000)</f>
        <v>79.066219949117055</v>
      </c>
      <c r="Q91" s="116">
        <f>IF(TrRoad_act!Q13=0,0,Q27/TrRoad_act!Q13*1000)</f>
        <v>79.726941816966104</v>
      </c>
      <c r="R91" s="116">
        <f>IF(TrRoad_act!R13=0,0,R27/TrRoad_act!R13*1000)</f>
        <v>80.312967918291548</v>
      </c>
      <c r="S91" s="116">
        <f>IF(TrRoad_act!S13=0,0,S27/TrRoad_act!S13*1000)</f>
        <v>78.8394306557242</v>
      </c>
      <c r="T91" s="116">
        <f>IF(TrRoad_act!T13=0,0,T27/TrRoad_act!T13*1000)</f>
        <v>79.631609192250508</v>
      </c>
      <c r="U91" s="116">
        <f>IF(TrRoad_act!U13=0,0,U27/TrRoad_act!U13*1000)</f>
        <v>79.350550304163733</v>
      </c>
      <c r="V91" s="116">
        <f>IF(TrRoad_act!V13=0,0,V27/TrRoad_act!V13*1000)</f>
        <v>99.414892184528213</v>
      </c>
      <c r="W91" s="116">
        <f>IF(TrRoad_act!W13=0,0,W27/TrRoad_act!W13*1000)</f>
        <v>98.782895216131962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78.374390523237366</v>
      </c>
      <c r="C92" s="101">
        <f>IF(TrRoad_act!C14=0,0,C28/TrRoad_act!C14*1000)</f>
        <v>78.515281401638902</v>
      </c>
      <c r="D92" s="101">
        <f>IF(TrRoad_act!D14=0,0,D28/TrRoad_act!D14*1000)</f>
        <v>78.415901657833629</v>
      </c>
      <c r="E92" s="101">
        <f>IF(TrRoad_act!E14=0,0,E28/TrRoad_act!E14*1000)</f>
        <v>78.433044436089048</v>
      </c>
      <c r="F92" s="101">
        <f>IF(TrRoad_act!F14=0,0,F28/TrRoad_act!F14*1000)</f>
        <v>78.374472900842505</v>
      </c>
      <c r="G92" s="101">
        <f>IF(TrRoad_act!G14=0,0,G28/TrRoad_act!G14*1000)</f>
        <v>78.018778463287489</v>
      </c>
      <c r="H92" s="101">
        <f>IF(TrRoad_act!H14=0,0,H28/TrRoad_act!H14*1000)</f>
        <v>77.626378586828736</v>
      </c>
      <c r="I92" s="101">
        <f>IF(TrRoad_act!I14=0,0,I28/TrRoad_act!I14*1000)</f>
        <v>76.603617573219751</v>
      </c>
      <c r="J92" s="101">
        <f>IF(TrRoad_act!J14=0,0,J28/TrRoad_act!J14*1000)</f>
        <v>74.867385492120277</v>
      </c>
      <c r="K92" s="101">
        <f>IF(TrRoad_act!K14=0,0,K28/TrRoad_act!K14*1000)</f>
        <v>74.803856463872862</v>
      </c>
      <c r="L92" s="101">
        <f>IF(TrRoad_act!L14=0,0,L28/TrRoad_act!L14*1000)</f>
        <v>73.770340877268609</v>
      </c>
      <c r="M92" s="101">
        <f>IF(TrRoad_act!M14=0,0,M28/TrRoad_act!M14*1000)</f>
        <v>73.07181139665748</v>
      </c>
      <c r="N92" s="101">
        <f>IF(TrRoad_act!N14=0,0,N28/TrRoad_act!N14*1000)</f>
        <v>72.250384013722737</v>
      </c>
      <c r="O92" s="101">
        <f>IF(TrRoad_act!O14=0,0,O28/TrRoad_act!O14*1000)</f>
        <v>67.313845246918021</v>
      </c>
      <c r="P92" s="101">
        <f>IF(TrRoad_act!P14=0,0,P28/TrRoad_act!P14*1000)</f>
        <v>66.106673407784626</v>
      </c>
      <c r="Q92" s="101">
        <f>IF(TrRoad_act!Q14=0,0,Q28/TrRoad_act!Q14*1000)</f>
        <v>66.146537999934225</v>
      </c>
      <c r="R92" s="101">
        <f>IF(TrRoad_act!R14=0,0,R28/TrRoad_act!R14*1000)</f>
        <v>65.857547294420854</v>
      </c>
      <c r="S92" s="101">
        <f>IF(TrRoad_act!S14=0,0,S28/TrRoad_act!S14*1000)</f>
        <v>63.970598510218579</v>
      </c>
      <c r="T92" s="101">
        <f>IF(TrRoad_act!T14=0,0,T28/TrRoad_act!T14*1000)</f>
        <v>64.35816492948382</v>
      </c>
      <c r="U92" s="101">
        <f>IF(TrRoad_act!U14=0,0,U28/TrRoad_act!U14*1000)</f>
        <v>63.869811602747909</v>
      </c>
      <c r="V92" s="101">
        <f>IF(TrRoad_act!V14=0,0,V28/TrRoad_act!V14*1000)</f>
        <v>71.493775181402469</v>
      </c>
      <c r="W92" s="101">
        <f>IF(TrRoad_act!W14=0,0,W28/TrRoad_act!W14*1000)</f>
        <v>69.346467933044408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104.88990535829274</v>
      </c>
      <c r="C93" s="101">
        <f>IF(TrRoad_act!C15=0,0,C29/TrRoad_act!C15*1000)</f>
        <v>105.99890436193778</v>
      </c>
      <c r="D93" s="101">
        <f>IF(TrRoad_act!D15=0,0,D29/TrRoad_act!D15*1000)</f>
        <v>104.82419870326683</v>
      </c>
      <c r="E93" s="101">
        <f>IF(TrRoad_act!E15=0,0,E29/TrRoad_act!E15*1000)</f>
        <v>104.37353989021199</v>
      </c>
      <c r="F93" s="101">
        <f>IF(TrRoad_act!F15=0,0,F29/TrRoad_act!F15*1000)</f>
        <v>103.90507227928298</v>
      </c>
      <c r="G93" s="101">
        <f>IF(TrRoad_act!G15=0,0,G29/TrRoad_act!G15*1000)</f>
        <v>103.19683567218753</v>
      </c>
      <c r="H93" s="101">
        <f>IF(TrRoad_act!H15=0,0,H29/TrRoad_act!H15*1000)</f>
        <v>102.48164523822136</v>
      </c>
      <c r="I93" s="101">
        <f>IF(TrRoad_act!I15=0,0,I29/TrRoad_act!I15*1000)</f>
        <v>101.93775343423984</v>
      </c>
      <c r="J93" s="101">
        <f>IF(TrRoad_act!J15=0,0,J29/TrRoad_act!J15*1000)</f>
        <v>98.551002759826432</v>
      </c>
      <c r="K93" s="101">
        <f>IF(TrRoad_act!K15=0,0,K29/TrRoad_act!K15*1000)</f>
        <v>94.65234836182583</v>
      </c>
      <c r="L93" s="101">
        <f>IF(TrRoad_act!L15=0,0,L29/TrRoad_act!L15*1000)</f>
        <v>90.453904123196367</v>
      </c>
      <c r="M93" s="101">
        <f>IF(TrRoad_act!M15=0,0,M29/TrRoad_act!M15*1000)</f>
        <v>89.689743888646447</v>
      </c>
      <c r="N93" s="101">
        <f>IF(TrRoad_act!N15=0,0,N29/TrRoad_act!N15*1000)</f>
        <v>88.645499325041385</v>
      </c>
      <c r="O93" s="101">
        <f>IF(TrRoad_act!O15=0,0,O29/TrRoad_act!O15*1000)</f>
        <v>82.627505221114362</v>
      </c>
      <c r="P93" s="101">
        <f>IF(TrRoad_act!P15=0,0,P29/TrRoad_act!P15*1000)</f>
        <v>81.00916550326663</v>
      </c>
      <c r="Q93" s="101">
        <f>IF(TrRoad_act!Q15=0,0,Q29/TrRoad_act!Q15*1000)</f>
        <v>81.629471517163154</v>
      </c>
      <c r="R93" s="101">
        <f>IF(TrRoad_act!R15=0,0,R29/TrRoad_act!R15*1000)</f>
        <v>82.134035270197344</v>
      </c>
      <c r="S93" s="101">
        <f>IF(TrRoad_act!S15=0,0,S29/TrRoad_act!S15*1000)</f>
        <v>80.597218926457231</v>
      </c>
      <c r="T93" s="101">
        <f>IF(TrRoad_act!T15=0,0,T29/TrRoad_act!T15*1000)</f>
        <v>81.692613844501849</v>
      </c>
      <c r="U93" s="101">
        <f>IF(TrRoad_act!U15=0,0,U29/TrRoad_act!U15*1000)</f>
        <v>82.075191802404149</v>
      </c>
      <c r="V93" s="101">
        <f>IF(TrRoad_act!V15=0,0,V29/TrRoad_act!V15*1000)</f>
        <v>102.92619244718388</v>
      </c>
      <c r="W93" s="101">
        <f>IF(TrRoad_act!W15=0,0,W29/TrRoad_act!W15*1000)</f>
        <v>104.58157547670841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74.024093001366523</v>
      </c>
      <c r="C94" s="101">
        <f>IF(TrRoad_act!C16=0,0,C30/TrRoad_act!C16*1000)</f>
        <v>73.082698195886749</v>
      </c>
      <c r="D94" s="101">
        <f>IF(TrRoad_act!D16=0,0,D30/TrRoad_act!D16*1000)</f>
        <v>72.743230817561084</v>
      </c>
      <c r="E94" s="101">
        <f>IF(TrRoad_act!E16=0,0,E30/TrRoad_act!E16*1000)</f>
        <v>72.563831910175438</v>
      </c>
      <c r="F94" s="101">
        <f>IF(TrRoad_act!F16=0,0,F30/TrRoad_act!F16*1000)</f>
        <v>72.495218120051518</v>
      </c>
      <c r="G94" s="101">
        <f>IF(TrRoad_act!G16=0,0,G30/TrRoad_act!G16*1000)</f>
        <v>72.591975003928354</v>
      </c>
      <c r="H94" s="101">
        <f>IF(TrRoad_act!H16=0,0,H30/TrRoad_act!H16*1000)</f>
        <v>71.931439770354388</v>
      </c>
      <c r="I94" s="101">
        <f>IF(TrRoad_act!I16=0,0,I30/TrRoad_act!I16*1000)</f>
        <v>72.77508259626552</v>
      </c>
      <c r="J94" s="101">
        <f>IF(TrRoad_act!J16=0,0,J30/TrRoad_act!J16*1000)</f>
        <v>72.226001120573443</v>
      </c>
      <c r="K94" s="101">
        <f>IF(TrRoad_act!K16=0,0,K30/TrRoad_act!K16*1000)</f>
        <v>70.083724877302785</v>
      </c>
      <c r="L94" s="101">
        <f>IF(TrRoad_act!L16=0,0,L30/TrRoad_act!L16*1000)</f>
        <v>66.985920136548955</v>
      </c>
      <c r="M94" s="101">
        <f>IF(TrRoad_act!M16=0,0,M30/TrRoad_act!M16*1000)</f>
        <v>66.234411224893677</v>
      </c>
      <c r="N94" s="101">
        <f>IF(TrRoad_act!N16=0,0,N30/TrRoad_act!N16*1000)</f>
        <v>65.72099479003883</v>
      </c>
      <c r="O94" s="101">
        <f>IF(TrRoad_act!O16=0,0,O30/TrRoad_act!O16*1000)</f>
        <v>61.266973549165883</v>
      </c>
      <c r="P94" s="101">
        <f>IF(TrRoad_act!P16=0,0,P30/TrRoad_act!P16*1000)</f>
        <v>60.236292025279937</v>
      </c>
      <c r="Q94" s="101">
        <f>IF(TrRoad_act!Q16=0,0,Q30/TrRoad_act!Q16*1000)</f>
        <v>60.291395130840691</v>
      </c>
      <c r="R94" s="101">
        <f>IF(TrRoad_act!R16=0,0,R30/TrRoad_act!R16*1000)</f>
        <v>60.297403269963546</v>
      </c>
      <c r="S94" s="101">
        <f>IF(TrRoad_act!S16=0,0,S30/TrRoad_act!S16*1000)</f>
        <v>59.063031049939475</v>
      </c>
      <c r="T94" s="101">
        <f>IF(TrRoad_act!T16=0,0,T30/TrRoad_act!T16*1000)</f>
        <v>59.585984124110546</v>
      </c>
      <c r="U94" s="101">
        <f>IF(TrRoad_act!U16=0,0,U30/TrRoad_act!U16*1000)</f>
        <v>59.623377645615228</v>
      </c>
      <c r="V94" s="101">
        <f>IF(TrRoad_act!V16=0,0,V30/TrRoad_act!V16*1000)</f>
        <v>74.192658542089063</v>
      </c>
      <c r="W94" s="101">
        <f>IF(TrRoad_act!W16=0,0,W30/TrRoad_act!W16*1000)</f>
        <v>74.818142381714978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66.434967813807276</v>
      </c>
      <c r="C95" s="101">
        <f>IF(TrRoad_act!C17=0,0,C31/TrRoad_act!C17*1000)</f>
        <v>61.655963196480663</v>
      </c>
      <c r="D95" s="101">
        <f>IF(TrRoad_act!D17=0,0,D31/TrRoad_act!D17*1000)</f>
        <v>62.437491882387505</v>
      </c>
      <c r="E95" s="101">
        <f>IF(TrRoad_act!E17=0,0,E31/TrRoad_act!E17*1000)</f>
        <v>62.204273857524612</v>
      </c>
      <c r="F95" s="101">
        <f>IF(TrRoad_act!F17=0,0,F31/TrRoad_act!F17*1000)</f>
        <v>58.062052991350761</v>
      </c>
      <c r="G95" s="101">
        <f>IF(TrRoad_act!G17=0,0,G31/TrRoad_act!G17*1000)</f>
        <v>58.433160488829408</v>
      </c>
      <c r="H95" s="101">
        <f>IF(TrRoad_act!H17=0,0,H31/TrRoad_act!H17*1000)</f>
        <v>63.139496896957525</v>
      </c>
      <c r="I95" s="101">
        <f>IF(TrRoad_act!I17=0,0,I31/TrRoad_act!I17*1000)</f>
        <v>61.42649208131251</v>
      </c>
      <c r="J95" s="101">
        <f>IF(TrRoad_act!J17=0,0,J31/TrRoad_act!J17*1000)</f>
        <v>61.863486259898778</v>
      </c>
      <c r="K95" s="101">
        <f>IF(TrRoad_act!K17=0,0,K31/TrRoad_act!K17*1000)</f>
        <v>59.854756677624309</v>
      </c>
      <c r="L95" s="101">
        <f>IF(TrRoad_act!L17=0,0,L31/TrRoad_act!L17*1000)</f>
        <v>62.012882031931134</v>
      </c>
      <c r="M95" s="101">
        <f>IF(TrRoad_act!M17=0,0,M31/TrRoad_act!M17*1000)</f>
        <v>60.473453229758235</v>
      </c>
      <c r="N95" s="101">
        <f>IF(TrRoad_act!N17=0,0,N31/TrRoad_act!N17*1000)</f>
        <v>59.995920144472905</v>
      </c>
      <c r="O95" s="101">
        <f>IF(TrRoad_act!O17=0,0,O31/TrRoad_act!O17*1000)</f>
        <v>57.550616053375229</v>
      </c>
      <c r="P95" s="101">
        <f>IF(TrRoad_act!P17=0,0,P31/TrRoad_act!P17*1000)</f>
        <v>57.658491580657127</v>
      </c>
      <c r="Q95" s="101">
        <f>IF(TrRoad_act!Q17=0,0,Q31/TrRoad_act!Q17*1000)</f>
        <v>59.124890767361521</v>
      </c>
      <c r="R95" s="101">
        <f>IF(TrRoad_act!R17=0,0,R31/TrRoad_act!R17*1000)</f>
        <v>61.25405251157467</v>
      </c>
      <c r="S95" s="101">
        <f>IF(TrRoad_act!S17=0,0,S31/TrRoad_act!S17*1000)</f>
        <v>62.407178996706349</v>
      </c>
      <c r="T95" s="101">
        <f>IF(TrRoad_act!T17=0,0,T31/TrRoad_act!T17*1000)</f>
        <v>62.273147228703074</v>
      </c>
      <c r="U95" s="101">
        <f>IF(TrRoad_act!U17=0,0,U31/TrRoad_act!U17*1000)</f>
        <v>62.496805340691779</v>
      </c>
      <c r="V95" s="101">
        <f>IF(TrRoad_act!V17=0,0,V31/TrRoad_act!V17*1000)</f>
        <v>86.210490323481039</v>
      </c>
      <c r="W95" s="101">
        <f>IF(TrRoad_act!W17=0,0,W31/TrRoad_act!W17*1000)</f>
        <v>85.873247811118915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178.04650178459815</v>
      </c>
      <c r="C97" s="29">
        <f>IF(TrRoad_act!C19=0,0,C33/TrRoad_act!C19*1000)</f>
        <v>171.76574838113407</v>
      </c>
      <c r="D97" s="29">
        <f>IF(TrRoad_act!D19=0,0,D33/TrRoad_act!D19*1000)</f>
        <v>166.83652151552158</v>
      </c>
      <c r="E97" s="29">
        <f>IF(TrRoad_act!E19=0,0,E33/TrRoad_act!E19*1000)</f>
        <v>161.79786764491848</v>
      </c>
      <c r="F97" s="29">
        <f>IF(TrRoad_act!F19=0,0,F33/TrRoad_act!F19*1000)</f>
        <v>153.16565170445341</v>
      </c>
      <c r="G97" s="29">
        <f>IF(TrRoad_act!G19=0,0,G33/TrRoad_act!G19*1000)</f>
        <v>150.21323481040193</v>
      </c>
      <c r="H97" s="29">
        <f>IF(TrRoad_act!H19=0,0,H33/TrRoad_act!H19*1000)</f>
        <v>145.54900567311159</v>
      </c>
      <c r="I97" s="29">
        <f>IF(TrRoad_act!I19=0,0,I33/TrRoad_act!I19*1000)</f>
        <v>138.95241532590342</v>
      </c>
      <c r="J97" s="29">
        <f>IF(TrRoad_act!J19=0,0,J33/TrRoad_act!J19*1000)</f>
        <v>135.68804927437006</v>
      </c>
      <c r="K97" s="29">
        <f>IF(TrRoad_act!K19=0,0,K33/TrRoad_act!K19*1000)</f>
        <v>145.4756984230456</v>
      </c>
      <c r="L97" s="29">
        <f>IF(TrRoad_act!L19=0,0,L33/TrRoad_act!L19*1000)</f>
        <v>142.84890415039601</v>
      </c>
      <c r="M97" s="29">
        <f>IF(TrRoad_act!M19=0,0,M33/TrRoad_act!M19*1000)</f>
        <v>146.78303574860578</v>
      </c>
      <c r="N97" s="29">
        <f>IF(TrRoad_act!N19=0,0,N33/TrRoad_act!N19*1000)</f>
        <v>148.77637689979898</v>
      </c>
      <c r="O97" s="29">
        <f>IF(TrRoad_act!O19=0,0,O33/TrRoad_act!O19*1000)</f>
        <v>146.83711524034862</v>
      </c>
      <c r="P97" s="29">
        <f>IF(TrRoad_act!P19=0,0,P33/TrRoad_act!P19*1000)</f>
        <v>146.97999409380486</v>
      </c>
      <c r="Q97" s="29">
        <f>IF(TrRoad_act!Q19=0,0,Q33/TrRoad_act!Q19*1000)</f>
        <v>151.57340461857657</v>
      </c>
      <c r="R97" s="29">
        <f>IF(TrRoad_act!R19=0,0,R33/TrRoad_act!R19*1000)</f>
        <v>149.23161375354235</v>
      </c>
      <c r="S97" s="29">
        <f>IF(TrRoad_act!S19=0,0,S33/TrRoad_act!S19*1000)</f>
        <v>142.2822891763544</v>
      </c>
      <c r="T97" s="29">
        <f>IF(TrRoad_act!T19=0,0,T33/TrRoad_act!T19*1000)</f>
        <v>137.82368486372548</v>
      </c>
      <c r="U97" s="29">
        <f>IF(TrRoad_act!U19=0,0,U33/TrRoad_act!U19*1000)</f>
        <v>134.44107873196239</v>
      </c>
      <c r="V97" s="29">
        <f>IF(TrRoad_act!V19=0,0,V33/TrRoad_act!V19*1000)</f>
        <v>128.03306532817746</v>
      </c>
      <c r="W97" s="29">
        <f>IF(TrRoad_act!W19=0,0,W33/TrRoad_act!W19*1000)</f>
        <v>133.60882100747619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1445.9720584135389</v>
      </c>
      <c r="C98" s="152">
        <f>IF(TrRoad_act!C20=0,0,C34/TrRoad_act!C20*1000)</f>
        <v>1398.9685366650847</v>
      </c>
      <c r="D98" s="152">
        <f>IF(TrRoad_act!D20=0,0,D34/TrRoad_act!D20*1000)</f>
        <v>1367.4344876776238</v>
      </c>
      <c r="E98" s="152">
        <f>IF(TrRoad_act!E20=0,0,E34/TrRoad_act!E20*1000)</f>
        <v>1324.9615827036496</v>
      </c>
      <c r="F98" s="152">
        <f>IF(TrRoad_act!F20=0,0,F34/TrRoad_act!F20*1000)</f>
        <v>1281.9226941617762</v>
      </c>
      <c r="G98" s="152">
        <f>IF(TrRoad_act!G20=0,0,G34/TrRoad_act!G20*1000)</f>
        <v>1252.7892013930532</v>
      </c>
      <c r="H98" s="152">
        <f>IF(TrRoad_act!H20=0,0,H34/TrRoad_act!H20*1000)</f>
        <v>1226.7732501201638</v>
      </c>
      <c r="I98" s="152">
        <f>IF(TrRoad_act!I20=0,0,I34/TrRoad_act!I20*1000)</f>
        <v>1184.8204299795298</v>
      </c>
      <c r="J98" s="152">
        <f>IF(TrRoad_act!J20=0,0,J34/TrRoad_act!J20*1000)</f>
        <v>1145.6224395970539</v>
      </c>
      <c r="K98" s="152">
        <f>IF(TrRoad_act!K20=0,0,K34/TrRoad_act!K20*1000)</f>
        <v>1142.4969017994374</v>
      </c>
      <c r="L98" s="152">
        <f>IF(TrRoad_act!L20=0,0,L34/TrRoad_act!L20*1000)</f>
        <v>1142.5818021689738</v>
      </c>
      <c r="M98" s="152">
        <f>IF(TrRoad_act!M20=0,0,M34/TrRoad_act!M20*1000)</f>
        <v>1157.2406767777759</v>
      </c>
      <c r="N98" s="152">
        <f>IF(TrRoad_act!N20=0,0,N34/TrRoad_act!N20*1000)</f>
        <v>1144.688259512563</v>
      </c>
      <c r="O98" s="152">
        <f>IF(TrRoad_act!O20=0,0,O34/TrRoad_act!O20*1000)</f>
        <v>1128.2630527895544</v>
      </c>
      <c r="P98" s="152">
        <f>IF(TrRoad_act!P20=0,0,P34/TrRoad_act!P20*1000)</f>
        <v>1104.224819928311</v>
      </c>
      <c r="Q98" s="152">
        <f>IF(TrRoad_act!Q20=0,0,Q34/TrRoad_act!Q20*1000)</f>
        <v>1098.1354167675995</v>
      </c>
      <c r="R98" s="152">
        <f>IF(TrRoad_act!R20=0,0,R34/TrRoad_act!R20*1000)</f>
        <v>1089.7444706875042</v>
      </c>
      <c r="S98" s="152">
        <f>IF(TrRoad_act!S20=0,0,S34/TrRoad_act!S20*1000)</f>
        <v>1080.1779228258738</v>
      </c>
      <c r="T98" s="152">
        <f>IF(TrRoad_act!T20=0,0,T34/TrRoad_act!T20*1000)</f>
        <v>1068.4591097286088</v>
      </c>
      <c r="U98" s="152">
        <f>IF(TrRoad_act!U20=0,0,U34/TrRoad_act!U20*1000)</f>
        <v>1050.1892497531428</v>
      </c>
      <c r="V98" s="152">
        <f>IF(TrRoad_act!V20=0,0,V34/TrRoad_act!V20*1000)</f>
        <v>1015.8614697799227</v>
      </c>
      <c r="W98" s="152">
        <f>IF(TrRoad_act!W20=0,0,W34/TrRoad_act!W20*1000)</f>
        <v>1056.0961262136741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1800.7793857060915</v>
      </c>
      <c r="C99" s="87">
        <f>IF(TrRoad_act!C21=0,0,C35/TrRoad_act!C21*1000)</f>
        <v>1809.2843193611643</v>
      </c>
      <c r="D99" s="87">
        <f>IF(TrRoad_act!D21=0,0,D35/TrRoad_act!D21*1000)</f>
        <v>1799.9117868878068</v>
      </c>
      <c r="E99" s="87">
        <f>IF(TrRoad_act!E21=0,0,E35/TrRoad_act!E21*1000)</f>
        <v>1785.3077604231662</v>
      </c>
      <c r="F99" s="87">
        <f>IF(TrRoad_act!F21=0,0,F35/TrRoad_act!F21*1000)</f>
        <v>1766.5229177237468</v>
      </c>
      <c r="G99" s="87">
        <f>IF(TrRoad_act!G21=0,0,G35/TrRoad_act!G21*1000)</f>
        <v>1741.8078989824955</v>
      </c>
      <c r="H99" s="87">
        <f>IF(TrRoad_act!H21=0,0,H35/TrRoad_act!H21*1000)</f>
        <v>1721.6425486122907</v>
      </c>
      <c r="I99" s="87">
        <f>IF(TrRoad_act!I21=0,0,I35/TrRoad_act!I21*1000)</f>
        <v>1678.2171280873633</v>
      </c>
      <c r="J99" s="87">
        <f>IF(TrRoad_act!J21=0,0,J35/TrRoad_act!J21*1000)</f>
        <v>1604.2732746918095</v>
      </c>
      <c r="K99" s="87">
        <f>IF(TrRoad_act!K21=0,0,K35/TrRoad_act!K21*1000)</f>
        <v>1585.1113770311651</v>
      </c>
      <c r="L99" s="87">
        <f>IF(TrRoad_act!L21=0,0,L35/TrRoad_act!L21*1000)</f>
        <v>1555.6034257102503</v>
      </c>
      <c r="M99" s="87">
        <f>IF(TrRoad_act!M21=0,0,M35/TrRoad_act!M21*1000)</f>
        <v>1532.2487624851267</v>
      </c>
      <c r="N99" s="87">
        <f>IF(TrRoad_act!N21=0,0,N35/TrRoad_act!N21*1000)</f>
        <v>1491.359384023594</v>
      </c>
      <c r="O99" s="87">
        <f>IF(TrRoad_act!O21=0,0,O35/TrRoad_act!O21*1000)</f>
        <v>1450.7829241476352</v>
      </c>
      <c r="P99" s="87">
        <f>IF(TrRoad_act!P21=0,0,P35/TrRoad_act!P21*1000)</f>
        <v>1420.2111085195836</v>
      </c>
      <c r="Q99" s="87">
        <f>IF(TrRoad_act!Q21=0,0,Q35/TrRoad_act!Q21*1000)</f>
        <v>1399.982823777106</v>
      </c>
      <c r="R99" s="87">
        <f>IF(TrRoad_act!R21=0,0,R35/TrRoad_act!R21*1000)</f>
        <v>1393.8042238568953</v>
      </c>
      <c r="S99" s="87">
        <f>IF(TrRoad_act!S21=0,0,S35/TrRoad_act!S21*1000)</f>
        <v>1394.9294001900851</v>
      </c>
      <c r="T99" s="87">
        <f>IF(TrRoad_act!T21=0,0,T35/TrRoad_act!T21*1000)</f>
        <v>1381.2252965614298</v>
      </c>
      <c r="U99" s="87">
        <f>IF(TrRoad_act!U21=0,0,U35/TrRoad_act!U21*1000)</f>
        <v>1370.4208956057696</v>
      </c>
      <c r="V99" s="87">
        <f>IF(TrRoad_act!V21=0,0,V35/TrRoad_act!V21*1000)</f>
        <v>1325.3778359759242</v>
      </c>
      <c r="W99" s="87">
        <f>IF(TrRoad_act!W21=0,0,W35/TrRoad_act!W21*1000)</f>
        <v>1363.9030077875254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1402.1594275023072</v>
      </c>
      <c r="C100" s="87">
        <f>IF(TrRoad_act!C22=0,0,C36/TrRoad_act!C22*1000)</f>
        <v>1356.8105196521155</v>
      </c>
      <c r="D100" s="87">
        <f>IF(TrRoad_act!D22=0,0,D36/TrRoad_act!D22*1000)</f>
        <v>1331.2968947769007</v>
      </c>
      <c r="E100" s="87">
        <f>IF(TrRoad_act!E22=0,0,E36/TrRoad_act!E22*1000)</f>
        <v>1294.7794705758731</v>
      </c>
      <c r="F100" s="87">
        <f>IF(TrRoad_act!F22=0,0,F36/TrRoad_act!F22*1000)</f>
        <v>1256.9005148781403</v>
      </c>
      <c r="G100" s="87">
        <f>IF(TrRoad_act!G22=0,0,G36/TrRoad_act!G22*1000)</f>
        <v>1231.6340751787623</v>
      </c>
      <c r="H100" s="87">
        <f>IF(TrRoad_act!H22=0,0,H36/TrRoad_act!H22*1000)</f>
        <v>1208.4791031351645</v>
      </c>
      <c r="I100" s="87">
        <f>IF(TrRoad_act!I22=0,0,I36/TrRoad_act!I22*1000)</f>
        <v>1169.1301407812152</v>
      </c>
      <c r="J100" s="87">
        <f>IF(TrRoad_act!J22=0,0,J36/TrRoad_act!J22*1000)</f>
        <v>1132.2855657430587</v>
      </c>
      <c r="K100" s="87">
        <f>IF(TrRoad_act!K22=0,0,K36/TrRoad_act!K22*1000)</f>
        <v>1130.9387083140703</v>
      </c>
      <c r="L100" s="87">
        <f>IF(TrRoad_act!L22=0,0,L36/TrRoad_act!L22*1000)</f>
        <v>1131.0237620359139</v>
      </c>
      <c r="M100" s="87">
        <f>IF(TrRoad_act!M22=0,0,M36/TrRoad_act!M22*1000)</f>
        <v>1146.0333387784231</v>
      </c>
      <c r="N100" s="87">
        <f>IF(TrRoad_act!N22=0,0,N36/TrRoad_act!N22*1000)</f>
        <v>1133.6617814112467</v>
      </c>
      <c r="O100" s="87">
        <f>IF(TrRoad_act!O22=0,0,O36/TrRoad_act!O22*1000)</f>
        <v>1117.4933802223031</v>
      </c>
      <c r="P100" s="87">
        <f>IF(TrRoad_act!P22=0,0,P36/TrRoad_act!P22*1000)</f>
        <v>1095.0746179665641</v>
      </c>
      <c r="Q100" s="87">
        <f>IF(TrRoad_act!Q22=0,0,Q36/TrRoad_act!Q22*1000)</f>
        <v>1090.5361533024331</v>
      </c>
      <c r="R100" s="87">
        <f>IF(TrRoad_act!R22=0,0,R36/TrRoad_act!R22*1000)</f>
        <v>1082.8336988763419</v>
      </c>
      <c r="S100" s="87">
        <f>IF(TrRoad_act!S22=0,0,S36/TrRoad_act!S22*1000)</f>
        <v>1073.2493757299144</v>
      </c>
      <c r="T100" s="87">
        <f>IF(TrRoad_act!T22=0,0,T36/TrRoad_act!T22*1000)</f>
        <v>1062.7028967591473</v>
      </c>
      <c r="U100" s="87">
        <f>IF(TrRoad_act!U22=0,0,U36/TrRoad_act!U22*1000)</f>
        <v>1045.1019581972118</v>
      </c>
      <c r="V100" s="87">
        <f>IF(TrRoad_act!V22=0,0,V36/TrRoad_act!V22*1000)</f>
        <v>1012.0597701547556</v>
      </c>
      <c r="W100" s="87">
        <f>IF(TrRoad_act!W22=0,0,W36/TrRoad_act!W22*1000)</f>
        <v>1052.720034209357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1684.2383211147828</v>
      </c>
      <c r="C101" s="87">
        <f>IF(TrRoad_act!C23=0,0,C37/TrRoad_act!C23*1000)</f>
        <v>1641.5194060833085</v>
      </c>
      <c r="D101" s="87">
        <f>IF(TrRoad_act!D23=0,0,D37/TrRoad_act!D23*1000)</f>
        <v>1626.030617266855</v>
      </c>
      <c r="E101" s="87">
        <f>IF(TrRoad_act!E23=0,0,E37/TrRoad_act!E23*1000)</f>
        <v>1607.5082250714281</v>
      </c>
      <c r="F101" s="87">
        <f>IF(TrRoad_act!F23=0,0,F37/TrRoad_act!F23*1000)</f>
        <v>1588.9527935122037</v>
      </c>
      <c r="G101" s="87">
        <f>IF(TrRoad_act!G23=0,0,G37/TrRoad_act!G23*1000)</f>
        <v>1575.2224359791455</v>
      </c>
      <c r="H101" s="87">
        <f>IF(TrRoad_act!H23=0,0,H37/TrRoad_act!H23*1000)</f>
        <v>1563.2942789550245</v>
      </c>
      <c r="I101" s="87">
        <f>IF(TrRoad_act!I23=0,0,I37/TrRoad_act!I23*1000)</f>
        <v>1539.9874078517432</v>
      </c>
      <c r="J101" s="87">
        <f>IF(TrRoad_act!J23=0,0,J37/TrRoad_act!J23*1000)</f>
        <v>1517.6763446420105</v>
      </c>
      <c r="K101" s="87">
        <f>IF(TrRoad_act!K23=0,0,K37/TrRoad_act!K23*1000)</f>
        <v>1506.2744174403745</v>
      </c>
      <c r="L101" s="87">
        <f>IF(TrRoad_act!L23=0,0,L37/TrRoad_act!L23*1000)</f>
        <v>1511.1229625725828</v>
      </c>
      <c r="M101" s="87">
        <f>IF(TrRoad_act!M23=0,0,M37/TrRoad_act!M23*1000)</f>
        <v>1518.152900331015</v>
      </c>
      <c r="N101" s="87">
        <f>IF(TrRoad_act!N23=0,0,N37/TrRoad_act!N23*1000)</f>
        <v>1514.9999726294395</v>
      </c>
      <c r="O101" s="87">
        <f>IF(TrRoad_act!O23=0,0,O37/TrRoad_act!O23*1000)</f>
        <v>1514.2504401874214</v>
      </c>
      <c r="P101" s="87">
        <f>IF(TrRoad_act!P23=0,0,P37/TrRoad_act!P23*1000)</f>
        <v>1507.75727335955</v>
      </c>
      <c r="Q101" s="87">
        <f>IF(TrRoad_act!Q23=0,0,Q37/TrRoad_act!Q23*1000)</f>
        <v>1512.9760247948918</v>
      </c>
      <c r="R101" s="87">
        <f>IF(TrRoad_act!R23=0,0,R37/TrRoad_act!R23*1000)</f>
        <v>1513.4787111862749</v>
      </c>
      <c r="S101" s="87">
        <f>IF(TrRoad_act!S23=0,0,S37/TrRoad_act!S23*1000)</f>
        <v>1525.9661193847085</v>
      </c>
      <c r="T101" s="87">
        <f>IF(TrRoad_act!T23=0,0,T37/TrRoad_act!T23*1000)</f>
        <v>1520.1371243218125</v>
      </c>
      <c r="U101" s="87">
        <f>IF(TrRoad_act!U23=0,0,U37/TrRoad_act!U23*1000)</f>
        <v>1523.1312280785976</v>
      </c>
      <c r="V101" s="87">
        <f>IF(TrRoad_act!V23=0,0,V37/TrRoad_act!V23*1000)</f>
        <v>1299.3765367201154</v>
      </c>
      <c r="W101" s="87">
        <f>IF(TrRoad_act!W23=0,0,W37/TrRoad_act!W23*1000)</f>
        <v>1336.5611496094671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1400.9356911102716</v>
      </c>
      <c r="C102" s="87">
        <f>IF(TrRoad_act!C24=0,0,C38/TrRoad_act!C24*1000)</f>
        <v>1409.9941442963775</v>
      </c>
      <c r="D102" s="87">
        <f>IF(TrRoad_act!D24=0,0,D38/TrRoad_act!D24*1000)</f>
        <v>1407.0961497453966</v>
      </c>
      <c r="E102" s="87">
        <f>IF(TrRoad_act!E24=0,0,E38/TrRoad_act!E24*1000)</f>
        <v>1373.7785878431623</v>
      </c>
      <c r="F102" s="87">
        <f>IF(TrRoad_act!F24=0,0,F38/TrRoad_act!F24*1000)</f>
        <v>1367.8519596736187</v>
      </c>
      <c r="G102" s="87">
        <f>IF(TrRoad_act!G24=0,0,G38/TrRoad_act!G24*1000)</f>
        <v>1364.0613537547963</v>
      </c>
      <c r="H102" s="87">
        <f>IF(TrRoad_act!H24=0,0,H38/TrRoad_act!H24*1000)</f>
        <v>1332.5854420869173</v>
      </c>
      <c r="I102" s="87">
        <f>IF(TrRoad_act!I24=0,0,I38/TrRoad_act!I24*1000)</f>
        <v>1325.9341374182911</v>
      </c>
      <c r="J102" s="87">
        <f>IF(TrRoad_act!J24=0,0,J38/TrRoad_act!J24*1000)</f>
        <v>1304.1414775854269</v>
      </c>
      <c r="K102" s="87">
        <f>IF(TrRoad_act!K24=0,0,K38/TrRoad_act!K24*1000)</f>
        <v>1262.6234219313628</v>
      </c>
      <c r="L102" s="87">
        <f>IF(TrRoad_act!L24=0,0,L38/TrRoad_act!L24*1000)</f>
        <v>1215.592802989574</v>
      </c>
      <c r="M102" s="87">
        <f>IF(TrRoad_act!M24=0,0,M38/TrRoad_act!M24*1000)</f>
        <v>1184.4970538225268</v>
      </c>
      <c r="N102" s="87">
        <f>IF(TrRoad_act!N24=0,0,N38/TrRoad_act!N24*1000)</f>
        <v>1148.3265320491785</v>
      </c>
      <c r="O102" s="87">
        <f>IF(TrRoad_act!O24=0,0,O38/TrRoad_act!O24*1000)</f>
        <v>1108.0138864579926</v>
      </c>
      <c r="P102" s="87">
        <f>IF(TrRoad_act!P24=0,0,P38/TrRoad_act!P24*1000)</f>
        <v>1083.6572832049824</v>
      </c>
      <c r="Q102" s="87">
        <f>IF(TrRoad_act!Q24=0,0,Q38/TrRoad_act!Q24*1000)</f>
        <v>1082.3252751799319</v>
      </c>
      <c r="R102" s="87">
        <f>IF(TrRoad_act!R24=0,0,R38/TrRoad_act!R24*1000)</f>
        <v>1107.5382030670471</v>
      </c>
      <c r="S102" s="87">
        <f>IF(TrRoad_act!S24=0,0,S38/TrRoad_act!S24*1000)</f>
        <v>1151.0855548295913</v>
      </c>
      <c r="T102" s="87">
        <f>IF(TrRoad_act!T24=0,0,T38/TrRoad_act!T24*1000)</f>
        <v>1230.0565986690156</v>
      </c>
      <c r="U102" s="87">
        <f>IF(TrRoad_act!U24=0,0,U38/TrRoad_act!U24*1000)</f>
        <v>1240.4246362596987</v>
      </c>
      <c r="V102" s="87">
        <f>IF(TrRoad_act!V24=0,0,V38/TrRoad_act!V24*1000)</f>
        <v>1196.5145115521323</v>
      </c>
      <c r="W102" s="87">
        <f>IF(TrRoad_act!W24=0,0,W38/TrRoad_act!W24*1000)</f>
        <v>1269.5864357400947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101.88936272741772</v>
      </c>
      <c r="C104" s="116">
        <f>IF(TrRoad_act!C26=0,0,C40/TrRoad_act!C26*1000)</f>
        <v>98.993298988708602</v>
      </c>
      <c r="D104" s="116">
        <f>IF(TrRoad_act!D26=0,0,D40/TrRoad_act!D26*1000)</f>
        <v>96.782131900489091</v>
      </c>
      <c r="E104" s="116">
        <f>IF(TrRoad_act!E26=0,0,E40/TrRoad_act!E26*1000)</f>
        <v>94.650946759991456</v>
      </c>
      <c r="F104" s="116">
        <f>IF(TrRoad_act!F26=0,0,F40/TrRoad_act!F26*1000)</f>
        <v>93.389128375259588</v>
      </c>
      <c r="G104" s="116">
        <f>IF(TrRoad_act!G26=0,0,G40/TrRoad_act!G26*1000)</f>
        <v>92.271929125896435</v>
      </c>
      <c r="H104" s="116">
        <f>IF(TrRoad_act!H26=0,0,H40/TrRoad_act!H26*1000)</f>
        <v>89.818052243394305</v>
      </c>
      <c r="I104" s="116">
        <f>IF(TrRoad_act!I26=0,0,I40/TrRoad_act!I26*1000)</f>
        <v>86.644392648338481</v>
      </c>
      <c r="J104" s="116">
        <f>IF(TrRoad_act!J26=0,0,J40/TrRoad_act!J26*1000)</f>
        <v>84.114436780156751</v>
      </c>
      <c r="K104" s="116">
        <f>IF(TrRoad_act!K26=0,0,K40/TrRoad_act!K26*1000)</f>
        <v>85.791006152381996</v>
      </c>
      <c r="L104" s="116">
        <f>IF(TrRoad_act!L26=0,0,L40/TrRoad_act!L26*1000)</f>
        <v>84.37747710447708</v>
      </c>
      <c r="M104" s="116">
        <f>IF(TrRoad_act!M26=0,0,M40/TrRoad_act!M26*1000)</f>
        <v>85.871156055753673</v>
      </c>
      <c r="N104" s="116">
        <f>IF(TrRoad_act!N26=0,0,N40/TrRoad_act!N26*1000)</f>
        <v>85.007007370294431</v>
      </c>
      <c r="O104" s="116">
        <f>IF(TrRoad_act!O26=0,0,O40/TrRoad_act!O26*1000)</f>
        <v>84.149008546131498</v>
      </c>
      <c r="P104" s="116">
        <f>IF(TrRoad_act!P26=0,0,P40/TrRoad_act!P26*1000)</f>
        <v>84.00987928627552</v>
      </c>
      <c r="Q104" s="116">
        <f>IF(TrRoad_act!Q26=0,0,Q40/TrRoad_act!Q26*1000)</f>
        <v>84.808158180994724</v>
      </c>
      <c r="R104" s="116">
        <f>IF(TrRoad_act!R26=0,0,R40/TrRoad_act!R26*1000)</f>
        <v>85.093659008314248</v>
      </c>
      <c r="S104" s="116">
        <f>IF(TrRoad_act!S26=0,0,S40/TrRoad_act!S26*1000)</f>
        <v>81.274625222067755</v>
      </c>
      <c r="T104" s="116">
        <f>IF(TrRoad_act!T26=0,0,T40/TrRoad_act!T26*1000)</f>
        <v>78.430480157679611</v>
      </c>
      <c r="U104" s="116">
        <f>IF(TrRoad_act!U26=0,0,U40/TrRoad_act!U26*1000)</f>
        <v>77.122876700113807</v>
      </c>
      <c r="V104" s="116">
        <f>IF(TrRoad_act!V26=0,0,V40/TrRoad_act!V26*1000)</f>
        <v>76.558001983515524</v>
      </c>
      <c r="W104" s="116">
        <f>IF(TrRoad_act!W26=0,0,W40/TrRoad_act!W26*1000)</f>
        <v>77.018858859444151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104.59141957839415</v>
      </c>
      <c r="C105" s="101">
        <f>IF(TrRoad_act!C27=0,0,C41/TrRoad_act!C27*1000)</f>
        <v>101.9620382636578</v>
      </c>
      <c r="D105" s="101">
        <f>IF(TrRoad_act!D27=0,0,D41/TrRoad_act!D27*1000)</f>
        <v>100.195662178867</v>
      </c>
      <c r="E105" s="101">
        <f>IF(TrRoad_act!E27=0,0,E41/TrRoad_act!E27*1000)</f>
        <v>98.164222818078258</v>
      </c>
      <c r="F105" s="101">
        <f>IF(TrRoad_act!F27=0,0,F41/TrRoad_act!F27*1000)</f>
        <v>97.62610427828443</v>
      </c>
      <c r="G105" s="101">
        <f>IF(TrRoad_act!G27=0,0,G41/TrRoad_act!G27*1000)</f>
        <v>97.025460801424444</v>
      </c>
      <c r="H105" s="101">
        <f>IF(TrRoad_act!H27=0,0,H41/TrRoad_act!H27*1000)</f>
        <v>94.203778500609786</v>
      </c>
      <c r="I105" s="101">
        <f>IF(TrRoad_act!I27=0,0,I41/TrRoad_act!I27*1000)</f>
        <v>90.617548975773474</v>
      </c>
      <c r="J105" s="101">
        <f>IF(TrRoad_act!J27=0,0,J41/TrRoad_act!J27*1000)</f>
        <v>86.80399283633821</v>
      </c>
      <c r="K105" s="101">
        <f>IF(TrRoad_act!K27=0,0,K41/TrRoad_act!K27*1000)</f>
        <v>88.236682899291765</v>
      </c>
      <c r="L105" s="101">
        <f>IF(TrRoad_act!L27=0,0,L41/TrRoad_act!L27*1000)</f>
        <v>88.087807139354567</v>
      </c>
      <c r="M105" s="101">
        <f>IF(TrRoad_act!M27=0,0,M41/TrRoad_act!M27*1000)</f>
        <v>89.435312737048179</v>
      </c>
      <c r="N105" s="101">
        <f>IF(TrRoad_act!N27=0,0,N41/TrRoad_act!N27*1000)</f>
        <v>88.017449016367181</v>
      </c>
      <c r="O105" s="101">
        <f>IF(TrRoad_act!O27=0,0,O41/TrRoad_act!O27*1000)</f>
        <v>87.078650977955945</v>
      </c>
      <c r="P105" s="101">
        <f>IF(TrRoad_act!P27=0,0,P41/TrRoad_act!P27*1000)</f>
        <v>87.352634450815799</v>
      </c>
      <c r="Q105" s="101">
        <f>IF(TrRoad_act!Q27=0,0,Q41/TrRoad_act!Q27*1000)</f>
        <v>88.116558313700395</v>
      </c>
      <c r="R105" s="101">
        <f>IF(TrRoad_act!R27=0,0,R41/TrRoad_act!R27*1000)</f>
        <v>88.906875475405798</v>
      </c>
      <c r="S105" s="101">
        <f>IF(TrRoad_act!S27=0,0,S41/TrRoad_act!S27*1000)</f>
        <v>82.89980899702995</v>
      </c>
      <c r="T105" s="101">
        <f>IF(TrRoad_act!T27=0,0,T41/TrRoad_act!T27*1000)</f>
        <v>78.341547174056686</v>
      </c>
      <c r="U105" s="101">
        <f>IF(TrRoad_act!U27=0,0,U41/TrRoad_act!U27*1000)</f>
        <v>76.741989143089555</v>
      </c>
      <c r="V105" s="101">
        <f>IF(TrRoad_act!V27=0,0,V41/TrRoad_act!V27*1000)</f>
        <v>75.067915364274725</v>
      </c>
      <c r="W105" s="101">
        <f>IF(TrRoad_act!W27=0,0,W41/TrRoad_act!W27*1000)</f>
        <v>75.05886754901455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96.677843810673636</v>
      </c>
      <c r="C106" s="88">
        <f>IF(TrRoad_act!C28=0,0,C42/TrRoad_act!C28*1000)</f>
        <v>93.470776106866666</v>
      </c>
      <c r="D106" s="88">
        <f>IF(TrRoad_act!D28=0,0,D42/TrRoad_act!D28*1000)</f>
        <v>90.744042620818149</v>
      </c>
      <c r="E106" s="88">
        <f>IF(TrRoad_act!E28=0,0,E42/TrRoad_act!E28*1000)</f>
        <v>88.493285685559641</v>
      </c>
      <c r="F106" s="88">
        <f>IF(TrRoad_act!F28=0,0,F42/TrRoad_act!F28*1000)</f>
        <v>86.680915478395306</v>
      </c>
      <c r="G106" s="88">
        <f>IF(TrRoad_act!G28=0,0,G42/TrRoad_act!G28*1000)</f>
        <v>85.079953502844759</v>
      </c>
      <c r="H106" s="88">
        <f>IF(TrRoad_act!H28=0,0,H42/TrRoad_act!H28*1000)</f>
        <v>83.203753479895667</v>
      </c>
      <c r="I106" s="88">
        <f>IF(TrRoad_act!I28=0,0,I42/TrRoad_act!I28*1000)</f>
        <v>80.509010569861516</v>
      </c>
      <c r="J106" s="88">
        <f>IF(TrRoad_act!J28=0,0,J42/TrRoad_act!J28*1000)</f>
        <v>80.022565093230824</v>
      </c>
      <c r="K106" s="88">
        <f>IF(TrRoad_act!K28=0,0,K42/TrRoad_act!K28*1000)</f>
        <v>82.181948632184472</v>
      </c>
      <c r="L106" s="88">
        <f>IF(TrRoad_act!L28=0,0,L42/TrRoad_act!L28*1000)</f>
        <v>78.875018117014818</v>
      </c>
      <c r="M106" s="88">
        <f>IF(TrRoad_act!M28=0,0,M42/TrRoad_act!M28*1000)</f>
        <v>80.167626121491594</v>
      </c>
      <c r="N106" s="88">
        <f>IF(TrRoad_act!N28=0,0,N42/TrRoad_act!N28*1000)</f>
        <v>80.416922519264105</v>
      </c>
      <c r="O106" s="88">
        <f>IF(TrRoad_act!O28=0,0,O42/TrRoad_act!O28*1000)</f>
        <v>79.926140279965409</v>
      </c>
      <c r="P106" s="88">
        <f>IF(TrRoad_act!P28=0,0,P42/TrRoad_act!P28*1000)</f>
        <v>79.364957148841214</v>
      </c>
      <c r="Q106" s="88">
        <f>IF(TrRoad_act!Q28=0,0,Q42/TrRoad_act!Q28*1000)</f>
        <v>80.557792313727305</v>
      </c>
      <c r="R106" s="88">
        <f>IF(TrRoad_act!R28=0,0,R42/TrRoad_act!R28*1000)</f>
        <v>80.285225201478568</v>
      </c>
      <c r="S106" s="88">
        <f>IF(TrRoad_act!S28=0,0,S42/TrRoad_act!S28*1000)</f>
        <v>79.197455152578968</v>
      </c>
      <c r="T106" s="88">
        <f>IF(TrRoad_act!T28=0,0,T42/TrRoad_act!T28*1000)</f>
        <v>78.546831131753805</v>
      </c>
      <c r="U106" s="88">
        <f>IF(TrRoad_act!U28=0,0,U42/TrRoad_act!U28*1000)</f>
        <v>77.610917319602635</v>
      </c>
      <c r="V106" s="88">
        <f>IF(TrRoad_act!V28=0,0,V42/TrRoad_act!V28*1000)</f>
        <v>78.490650719591855</v>
      </c>
      <c r="W106" s="88">
        <f>IF(TrRoad_act!W28=0,0,W42/TrRoad_act!W28*1000)</f>
        <v>79.424424477262079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321.24139440150827</v>
      </c>
      <c r="C110" s="152">
        <f>IF(C19=0,0,1000000*C19/TrRoad_act!C59)</f>
        <v>346.57741737929831</v>
      </c>
      <c r="D110" s="152">
        <f>IF(D19=0,0,1000000*D19/TrRoad_act!D59)</f>
        <v>383.52125140392116</v>
      </c>
      <c r="E110" s="152">
        <f>IF(E19=0,0,1000000*E19/TrRoad_act!E59)</f>
        <v>381.59891964267882</v>
      </c>
      <c r="F110" s="152">
        <f>IF(F19=0,0,1000000*F19/TrRoad_act!F59)</f>
        <v>402.51687666699468</v>
      </c>
      <c r="G110" s="152">
        <f>IF(G19=0,0,1000000*G19/TrRoad_act!G59)</f>
        <v>406.96777726677482</v>
      </c>
      <c r="H110" s="152">
        <f>IF(H19=0,0,1000000*H19/TrRoad_act!H59)</f>
        <v>393.27360907683993</v>
      </c>
      <c r="I110" s="152">
        <f>IF(I19=0,0,1000000*I19/TrRoad_act!I59)</f>
        <v>373.29239362297318</v>
      </c>
      <c r="J110" s="152">
        <f>IF(J19=0,0,1000000*J19/TrRoad_act!J59)</f>
        <v>360.27608196794108</v>
      </c>
      <c r="K110" s="152">
        <f>IF(K19=0,0,1000000*K19/TrRoad_act!K59)</f>
        <v>355.19660983280039</v>
      </c>
      <c r="L110" s="152">
        <f>IF(L19=0,0,1000000*L19/TrRoad_act!L59)</f>
        <v>342.81979856360391</v>
      </c>
      <c r="M110" s="152">
        <f>IF(M19=0,0,1000000*M19/TrRoad_act!M59)</f>
        <v>342.29828805742147</v>
      </c>
      <c r="N110" s="152">
        <f>IF(N19=0,0,1000000*N19/TrRoad_act!N59)</f>
        <v>344.26233999067102</v>
      </c>
      <c r="O110" s="152">
        <f>IF(O19=0,0,1000000*O19/TrRoad_act!O59)</f>
        <v>349.80949358016699</v>
      </c>
      <c r="P110" s="152">
        <f>IF(P19=0,0,1000000*P19/TrRoad_act!P59)</f>
        <v>357.1090967061661</v>
      </c>
      <c r="Q110" s="152">
        <f>IF(Q19=0,0,1000000*Q19/TrRoad_act!Q59)</f>
        <v>358.13554754033947</v>
      </c>
      <c r="R110" s="152">
        <f>IF(R19=0,0,1000000*R19/TrRoad_act!R59)</f>
        <v>329.14939400995183</v>
      </c>
      <c r="S110" s="152">
        <f>IF(S19=0,0,1000000*S19/TrRoad_act!S59)</f>
        <v>314.96823304911123</v>
      </c>
      <c r="T110" s="152">
        <f>IF(T19=0,0,1000000*T19/TrRoad_act!T59)</f>
        <v>310.6575746802896</v>
      </c>
      <c r="U110" s="152">
        <f>IF(U19=0,0,1000000*U19/TrRoad_act!U59)</f>
        <v>309.4820532439291</v>
      </c>
      <c r="V110" s="152">
        <f>IF(V19=0,0,1000000*V19/TrRoad_act!V59)</f>
        <v>266.69915599959057</v>
      </c>
      <c r="W110" s="152">
        <f>IF(W19=0,0,1000000*W19/TrRoad_act!W59)</f>
        <v>291.10176625075786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2636.4114731780742</v>
      </c>
      <c r="C111" s="116">
        <f>IF(C20=0,0,1000000*C20/TrRoad_act!C60)</f>
        <v>2661.1545996436312</v>
      </c>
      <c r="D111" s="116">
        <f>IF(D20=0,0,1000000*D20/TrRoad_act!D60)</f>
        <v>2627.1606686508417</v>
      </c>
      <c r="E111" s="116">
        <f>IF(E20=0,0,1000000*E20/TrRoad_act!E60)</f>
        <v>2545.7520470091749</v>
      </c>
      <c r="F111" s="116">
        <f>IF(F20=0,0,1000000*F20/TrRoad_act!F60)</f>
        <v>2477.5322329003998</v>
      </c>
      <c r="G111" s="116">
        <f>IF(G20=0,0,1000000*G20/TrRoad_act!G60)</f>
        <v>2414.0134867227634</v>
      </c>
      <c r="H111" s="116">
        <f>IF(H20=0,0,1000000*H20/TrRoad_act!H60)</f>
        <v>2395.2726048151972</v>
      </c>
      <c r="I111" s="116">
        <f>IF(I20=0,0,1000000*I20/TrRoad_act!I60)</f>
        <v>2359.5052544594259</v>
      </c>
      <c r="J111" s="116">
        <f>IF(J20=0,0,1000000*J20/TrRoad_act!J60)</f>
        <v>2200.2434350086232</v>
      </c>
      <c r="K111" s="116">
        <f>IF(K20=0,0,1000000*K20/TrRoad_act!K60)</f>
        <v>2183.0491035141745</v>
      </c>
      <c r="L111" s="116">
        <f>IF(L20=0,0,1000000*L20/TrRoad_act!L60)</f>
        <v>2114.1060116974886</v>
      </c>
      <c r="M111" s="116">
        <f>IF(M20=0,0,1000000*M20/TrRoad_act!M60)</f>
        <v>2060.1960852422985</v>
      </c>
      <c r="N111" s="116">
        <f>IF(N20=0,0,1000000*N20/TrRoad_act!N60)</f>
        <v>2058.5622005620121</v>
      </c>
      <c r="O111" s="116">
        <f>IF(O20=0,0,1000000*O20/TrRoad_act!O60)</f>
        <v>2001.088543089023</v>
      </c>
      <c r="P111" s="116">
        <f>IF(P20=0,0,1000000*P20/TrRoad_act!P60)</f>
        <v>1994.6869708743336</v>
      </c>
      <c r="Q111" s="116">
        <f>IF(Q20=0,0,1000000*Q20/TrRoad_act!Q60)</f>
        <v>1996.9168802837332</v>
      </c>
      <c r="R111" s="116">
        <f>IF(R20=0,0,1000000*R20/TrRoad_act!R60)</f>
        <v>1970.6919697821309</v>
      </c>
      <c r="S111" s="116">
        <f>IF(S20=0,0,1000000*S20/TrRoad_act!S60)</f>
        <v>1939.1028361101</v>
      </c>
      <c r="T111" s="116">
        <f>IF(T20=0,0,1000000*T20/TrRoad_act!T60)</f>
        <v>1878.3074152076135</v>
      </c>
      <c r="U111" s="116">
        <f>IF(U20=0,0,1000000*U20/TrRoad_act!U60)</f>
        <v>1858.4571445828813</v>
      </c>
      <c r="V111" s="116">
        <f>IF(V20=0,0,1000000*V20/TrRoad_act!V60)</f>
        <v>1524.2094453088748</v>
      </c>
      <c r="W111" s="116">
        <f>IF(W20=0,0,1000000*W20/TrRoad_act!W60)</f>
        <v>1716.2976635676462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2059.1894897026937</v>
      </c>
      <c r="C112" s="87">
        <f>IF(C21=0,0,1000000*C21/TrRoad_act!C61)</f>
        <v>2056.8877557084816</v>
      </c>
      <c r="D112" s="87">
        <f>IF(D21=0,0,1000000*D21/TrRoad_act!D61)</f>
        <v>2044.2123825206529</v>
      </c>
      <c r="E112" s="87">
        <f>IF(E21=0,0,1000000*E21/TrRoad_act!E61)</f>
        <v>1967.4779539812612</v>
      </c>
      <c r="F112" s="87">
        <f>IF(F21=0,0,1000000*F21/TrRoad_act!F61)</f>
        <v>1926.6775287498797</v>
      </c>
      <c r="G112" s="87">
        <f>IF(G21=0,0,1000000*G21/TrRoad_act!G61)</f>
        <v>1864.8812648588562</v>
      </c>
      <c r="H112" s="87">
        <f>IF(H21=0,0,1000000*H21/TrRoad_act!H61)</f>
        <v>1793.0178910911197</v>
      </c>
      <c r="I112" s="87">
        <f>IF(I21=0,0,1000000*I21/TrRoad_act!I61)</f>
        <v>1711.7623010883156</v>
      </c>
      <c r="J112" s="87">
        <f>IF(J21=0,0,1000000*J21/TrRoad_act!J61)</f>
        <v>1550.2121828064128</v>
      </c>
      <c r="K112" s="87">
        <f>IF(K21=0,0,1000000*K21/TrRoad_act!K61)</f>
        <v>1523.0291864947667</v>
      </c>
      <c r="L112" s="87">
        <f>IF(L21=0,0,1000000*L21/TrRoad_act!L61)</f>
        <v>1417.5177040332487</v>
      </c>
      <c r="M112" s="87">
        <f>IF(M21=0,0,1000000*M21/TrRoad_act!M61)</f>
        <v>1419.2506844568929</v>
      </c>
      <c r="N112" s="87">
        <f>IF(N21=0,0,1000000*N21/TrRoad_act!N61)</f>
        <v>1355.4170567281774</v>
      </c>
      <c r="O112" s="87">
        <f>IF(O21=0,0,1000000*O21/TrRoad_act!O61)</f>
        <v>1313.1871848168155</v>
      </c>
      <c r="P112" s="87">
        <f>IF(P21=0,0,1000000*P21/TrRoad_act!P61)</f>
        <v>1323.4850155866077</v>
      </c>
      <c r="Q112" s="87">
        <f>IF(Q21=0,0,1000000*Q21/TrRoad_act!Q61)</f>
        <v>1324.1421160061579</v>
      </c>
      <c r="R112" s="87">
        <f>IF(R21=0,0,1000000*R21/TrRoad_act!R61)</f>
        <v>1333.9274403368822</v>
      </c>
      <c r="S112" s="87">
        <f>IF(S21=0,0,1000000*S21/TrRoad_act!S61)</f>
        <v>1337.1498827467192</v>
      </c>
      <c r="T112" s="87">
        <f>IF(T21=0,0,1000000*T21/TrRoad_act!T61)</f>
        <v>1326.7795629630764</v>
      </c>
      <c r="U112" s="87">
        <f>IF(U21=0,0,1000000*U21/TrRoad_act!U61)</f>
        <v>1360.9681396038145</v>
      </c>
      <c r="V112" s="87">
        <f>IF(V21=0,0,1000000*V21/TrRoad_act!V61)</f>
        <v>1130.5815599360094</v>
      </c>
      <c r="W112" s="87">
        <f>IF(W21=0,0,1000000*W21/TrRoad_act!W61)</f>
        <v>1295.6040945621228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3715.5269030625304</v>
      </c>
      <c r="C113" s="87">
        <f>IF(C22=0,0,1000000*C22/TrRoad_act!C62)</f>
        <v>3678.5971463511901</v>
      </c>
      <c r="D113" s="87">
        <f>IF(D22=0,0,1000000*D22/TrRoad_act!D62)</f>
        <v>3507.1184382745582</v>
      </c>
      <c r="E113" s="87">
        <f>IF(E22=0,0,1000000*E22/TrRoad_act!E62)</f>
        <v>3330.6808090342788</v>
      </c>
      <c r="F113" s="87">
        <f>IF(F22=0,0,1000000*F22/TrRoad_act!F62)</f>
        <v>3155.4779288291475</v>
      </c>
      <c r="G113" s="87">
        <f>IF(G22=0,0,1000000*G22/TrRoad_act!G62)</f>
        <v>3030.0688761895526</v>
      </c>
      <c r="H113" s="87">
        <f>IF(H22=0,0,1000000*H22/TrRoad_act!H62)</f>
        <v>3012.7190278705139</v>
      </c>
      <c r="I113" s="87">
        <f>IF(I22=0,0,1000000*I22/TrRoad_act!I62)</f>
        <v>2968.0163110806175</v>
      </c>
      <c r="J113" s="87">
        <f>IF(J22=0,0,1000000*J22/TrRoad_act!J62)</f>
        <v>2751.9343132870686</v>
      </c>
      <c r="K113" s="87">
        <f>IF(K22=0,0,1000000*K22/TrRoad_act!K62)</f>
        <v>2693.3831220637812</v>
      </c>
      <c r="L113" s="87">
        <f>IF(L22=0,0,1000000*L22/TrRoad_act!L62)</f>
        <v>2609.533082729919</v>
      </c>
      <c r="M113" s="87">
        <f>IF(M22=0,0,1000000*M22/TrRoad_act!M62)</f>
        <v>2465.0533741774921</v>
      </c>
      <c r="N113" s="87">
        <f>IF(N22=0,0,1000000*N22/TrRoad_act!N62)</f>
        <v>2480.4096203740214</v>
      </c>
      <c r="O113" s="87">
        <f>IF(O22=0,0,1000000*O22/TrRoad_act!O62)</f>
        <v>2396.2457285280602</v>
      </c>
      <c r="P113" s="87">
        <f>IF(P22=0,0,1000000*P22/TrRoad_act!P62)</f>
        <v>2374.2292396369189</v>
      </c>
      <c r="Q113" s="87">
        <f>IF(Q22=0,0,1000000*Q22/TrRoad_act!Q62)</f>
        <v>2380.8337714682043</v>
      </c>
      <c r="R113" s="87">
        <f>IF(R22=0,0,1000000*R22/TrRoad_act!R62)</f>
        <v>2343.8077317517145</v>
      </c>
      <c r="S113" s="87">
        <f>IF(S22=0,0,1000000*S22/TrRoad_act!S62)</f>
        <v>2309.6844870120954</v>
      </c>
      <c r="T113" s="87">
        <f>IF(T22=0,0,1000000*T22/TrRoad_act!T62)</f>
        <v>2244.928453131201</v>
      </c>
      <c r="U113" s="87">
        <f>IF(U22=0,0,1000000*U22/TrRoad_act!U62)</f>
        <v>2220.0002265709327</v>
      </c>
      <c r="V113" s="87">
        <f>IF(V22=0,0,1000000*V22/TrRoad_act!V62)</f>
        <v>1838.1631163601253</v>
      </c>
      <c r="W113" s="87">
        <f>IF(W22=0,0,1000000*W22/TrRoad_act!W62)</f>
        <v>2096.0022586633204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1664.0560756370608</v>
      </c>
      <c r="C114" s="87">
        <f>IF(C23=0,0,1000000*C23/TrRoad_act!C63)</f>
        <v>1687.4085373158352</v>
      </c>
      <c r="D114" s="87">
        <f>IF(D23=0,0,1000000*D23/TrRoad_act!D63)</f>
        <v>1625.4456044028725</v>
      </c>
      <c r="E114" s="87">
        <f>IF(E23=0,0,1000000*E23/TrRoad_act!E63)</f>
        <v>1545.9105225771673</v>
      </c>
      <c r="F114" s="87">
        <f>IF(F23=0,0,1000000*F23/TrRoad_act!F63)</f>
        <v>1506.0024195718065</v>
      </c>
      <c r="G114" s="87">
        <f>IF(G23=0,0,1000000*G23/TrRoad_act!G63)</f>
        <v>1516.4613435452488</v>
      </c>
      <c r="H114" s="87">
        <f>IF(H23=0,0,1000000*H23/TrRoad_act!H63)</f>
        <v>1549.8093516995193</v>
      </c>
      <c r="I114" s="87">
        <f>IF(I23=0,0,1000000*I23/TrRoad_act!I63)</f>
        <v>1686.2009453355056</v>
      </c>
      <c r="J114" s="87">
        <f>IF(J23=0,0,1000000*J23/TrRoad_act!J63)</f>
        <v>1384.2066888157956</v>
      </c>
      <c r="K114" s="87">
        <f>IF(K23=0,0,1000000*K23/TrRoad_act!K63)</f>
        <v>1150.8836810306771</v>
      </c>
      <c r="L114" s="87">
        <f>IF(L23=0,0,1000000*L23/TrRoad_act!L63)</f>
        <v>1358.2290138195256</v>
      </c>
      <c r="M114" s="87">
        <f>IF(M23=0,0,1000000*M23/TrRoad_act!M63)</f>
        <v>1351.5395533423973</v>
      </c>
      <c r="N114" s="87">
        <f>IF(N23=0,0,1000000*N23/TrRoad_act!N63)</f>
        <v>1301.7792774001612</v>
      </c>
      <c r="O114" s="87">
        <f>IF(O23=0,0,1000000*O23/TrRoad_act!O63)</f>
        <v>1272.2564540173053</v>
      </c>
      <c r="P114" s="87">
        <f>IF(P23=0,0,1000000*P23/TrRoad_act!P63)</f>
        <v>1202.8768798434496</v>
      </c>
      <c r="Q114" s="87">
        <f>IF(Q23=0,0,1000000*Q23/TrRoad_act!Q63)</f>
        <v>1078.7853194866379</v>
      </c>
      <c r="R114" s="87">
        <f>IF(R23=0,0,1000000*R23/TrRoad_act!R63)</f>
        <v>976.30096405767483</v>
      </c>
      <c r="S114" s="87">
        <f>IF(S23=0,0,1000000*S23/TrRoad_act!S63)</f>
        <v>872.89173542074684</v>
      </c>
      <c r="T114" s="87">
        <f>IF(T23=0,0,1000000*T23/TrRoad_act!T63)</f>
        <v>826.91270334204955</v>
      </c>
      <c r="U114" s="87">
        <f>IF(U23=0,0,1000000*U23/TrRoad_act!U63)</f>
        <v>742.321080321306</v>
      </c>
      <c r="V114" s="87">
        <f>IF(V23=0,0,1000000*V23/TrRoad_act!V63)</f>
        <v>493.26993394865019</v>
      </c>
      <c r="W114" s="87">
        <f>IF(W23=0,0,1000000*W23/TrRoad_act!W63)</f>
        <v>677.3685298308543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3404.255735820946</v>
      </c>
      <c r="J115" s="87">
        <f>IF(J24=0,0,1000000*J24/TrRoad_act!J64)</f>
        <v>3074.7448370761954</v>
      </c>
      <c r="K115" s="87">
        <f>IF(K24=0,0,1000000*K24/TrRoad_act!K64)</f>
        <v>2902.0149538393357</v>
      </c>
      <c r="L115" s="87">
        <f>IF(L24=0,0,1000000*L24/TrRoad_act!L64)</f>
        <v>2772.8076708630329</v>
      </c>
      <c r="M115" s="87">
        <f>IF(M24=0,0,1000000*M24/TrRoad_act!M64)</f>
        <v>2621.1500517997465</v>
      </c>
      <c r="N115" s="87">
        <f>IF(N24=0,0,1000000*N24/TrRoad_act!N64)</f>
        <v>2570.718366499907</v>
      </c>
      <c r="O115" s="87">
        <f>IF(O24=0,0,1000000*O24/TrRoad_act!O64)</f>
        <v>2453.0185167097561</v>
      </c>
      <c r="P115" s="87">
        <f>IF(P24=0,0,1000000*P24/TrRoad_act!P64)</f>
        <v>2402.7127951769066</v>
      </c>
      <c r="Q115" s="87">
        <f>IF(Q24=0,0,1000000*Q24/TrRoad_act!Q64)</f>
        <v>2320.5423712550632</v>
      </c>
      <c r="R115" s="87">
        <f>IF(R24=0,0,1000000*R24/TrRoad_act!R64)</f>
        <v>2119.6874077269781</v>
      </c>
      <c r="S115" s="87">
        <f>IF(S24=0,0,1000000*S24/TrRoad_act!S64)</f>
        <v>2066.300541407154</v>
      </c>
      <c r="T115" s="87">
        <f>IF(T24=0,0,1000000*T24/TrRoad_act!T64)</f>
        <v>1971.7102032669657</v>
      </c>
      <c r="U115" s="87">
        <f>IF(U24=0,0,1000000*U24/TrRoad_act!U64)</f>
        <v>1951.1601717075894</v>
      </c>
      <c r="V115" s="87">
        <f>IF(V24=0,0,1000000*V24/TrRoad_act!V64)</f>
        <v>1577.7018364237535</v>
      </c>
      <c r="W115" s="87">
        <f>IF(W24=0,0,1000000*W24/TrRoad_act!W64)</f>
        <v>1810.8461764034348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430.23519114949517</v>
      </c>
      <c r="O116" s="87">
        <f>IF(O25=0,0,1000000*O25/TrRoad_act!O65)</f>
        <v>444.72693898127176</v>
      </c>
      <c r="P116" s="87">
        <f>IF(P25=0,0,1000000*P25/TrRoad_act!P65)</f>
        <v>430.21935235161226</v>
      </c>
      <c r="Q116" s="87">
        <f>IF(Q25=0,0,1000000*Q25/TrRoad_act!Q65)</f>
        <v>457.04359116773946</v>
      </c>
      <c r="R116" s="87">
        <f>IF(R25=0,0,1000000*R25/TrRoad_act!R65)</f>
        <v>491.02745762676864</v>
      </c>
      <c r="S116" s="87">
        <f>IF(S25=0,0,1000000*S25/TrRoad_act!S65)</f>
        <v>518.39770848685509</v>
      </c>
      <c r="T116" s="87">
        <f>IF(T25=0,0,1000000*T25/TrRoad_act!T65)</f>
        <v>541.22066210348464</v>
      </c>
      <c r="U116" s="87">
        <f>IF(U25=0,0,1000000*U25/TrRoad_act!U65)</f>
        <v>548.16423705837167</v>
      </c>
      <c r="V116" s="87">
        <f>IF(V25=0,0,1000000*V25/TrRoad_act!V65)</f>
        <v>389.27108114996696</v>
      </c>
      <c r="W116" s="87">
        <f>IF(W25=0,0,1000000*W25/TrRoad_act!W65)</f>
        <v>394.25286994659064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60481.231693648209</v>
      </c>
      <c r="C118" s="116">
        <f>IF(C27=0,0,1000000*C27/TrRoad_act!C67)</f>
        <v>58306.568644989886</v>
      </c>
      <c r="D118" s="116">
        <f>IF(D27=0,0,1000000*D27/TrRoad_act!D67)</f>
        <v>59007.090691288802</v>
      </c>
      <c r="E118" s="116">
        <f>IF(E27=0,0,1000000*E27/TrRoad_act!E67)</f>
        <v>58431.262374821104</v>
      </c>
      <c r="F118" s="116">
        <f>IF(F27=0,0,1000000*F27/TrRoad_act!F67)</f>
        <v>58230.84844336786</v>
      </c>
      <c r="G118" s="116">
        <f>IF(G27=0,0,1000000*G27/TrRoad_act!G67)</f>
        <v>56890.625669152047</v>
      </c>
      <c r="H118" s="116">
        <f>IF(H27=0,0,1000000*H27/TrRoad_act!H67)</f>
        <v>57792.424737371352</v>
      </c>
      <c r="I118" s="116">
        <f>IF(I27=0,0,1000000*I27/TrRoad_act!I67)</f>
        <v>56729.433696827975</v>
      </c>
      <c r="J118" s="116">
        <f>IF(J27=0,0,1000000*J27/TrRoad_act!J67)</f>
        <v>56210.436708066547</v>
      </c>
      <c r="K118" s="116">
        <f>IF(K27=0,0,1000000*K27/TrRoad_act!K67)</f>
        <v>55060.889360066576</v>
      </c>
      <c r="L118" s="116">
        <f>IF(L27=0,0,1000000*L27/TrRoad_act!L67)</f>
        <v>54011.824436314426</v>
      </c>
      <c r="M118" s="116">
        <f>IF(M27=0,0,1000000*M27/TrRoad_act!M67)</f>
        <v>52517.439978689457</v>
      </c>
      <c r="N118" s="116">
        <f>IF(N27=0,0,1000000*N27/TrRoad_act!N67)</f>
        <v>51084.989776452916</v>
      </c>
      <c r="O118" s="116">
        <f>IF(O27=0,0,1000000*O27/TrRoad_act!O67)</f>
        <v>49759.914123635797</v>
      </c>
      <c r="P118" s="116">
        <f>IF(P27=0,0,1000000*P27/TrRoad_act!P67)</f>
        <v>49491.124440056446</v>
      </c>
      <c r="Q118" s="116">
        <f>IF(Q27=0,0,1000000*Q27/TrRoad_act!Q67)</f>
        <v>50430.972108586822</v>
      </c>
      <c r="R118" s="116">
        <f>IF(R27=0,0,1000000*R27/TrRoad_act!R67)</f>
        <v>50966.04680924127</v>
      </c>
      <c r="S118" s="116">
        <f>IF(S27=0,0,1000000*S27/TrRoad_act!S67)</f>
        <v>49671.854158276547</v>
      </c>
      <c r="T118" s="116">
        <f>IF(T27=0,0,1000000*T27/TrRoad_act!T67)</f>
        <v>49250.783694930309</v>
      </c>
      <c r="U118" s="116">
        <f>IF(U27=0,0,1000000*U27/TrRoad_act!U67)</f>
        <v>47725.240011448645</v>
      </c>
      <c r="V118" s="116">
        <f>IF(V27=0,0,1000000*V27/TrRoad_act!V67)</f>
        <v>36558.256835090237</v>
      </c>
      <c r="W118" s="116">
        <f>IF(W27=0,0,1000000*W27/TrRoad_act!W67)</f>
        <v>38240.632606056904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6477.927970656383</v>
      </c>
      <c r="C119" s="101">
        <f>IF(C28=0,0,1000000*C28/TrRoad_act!C68)</f>
        <v>6409.4130169015225</v>
      </c>
      <c r="D119" s="101">
        <f>IF(D28=0,0,1000000*D28/TrRoad_act!D68)</f>
        <v>6602.7685288036482</v>
      </c>
      <c r="E119" s="101">
        <f>IF(E28=0,0,1000000*E28/TrRoad_act!E68)</f>
        <v>6642.5715216334584</v>
      </c>
      <c r="F119" s="101">
        <f>IF(F28=0,0,1000000*F28/TrRoad_act!F68)</f>
        <v>6723.8599485069963</v>
      </c>
      <c r="G119" s="101">
        <f>IF(G28=0,0,1000000*G28/TrRoad_act!G68)</f>
        <v>6669.7698429687825</v>
      </c>
      <c r="H119" s="101">
        <f>IF(H28=0,0,1000000*H28/TrRoad_act!H68)</f>
        <v>6855.9793502366074</v>
      </c>
      <c r="I119" s="101">
        <f>IF(I28=0,0,1000000*I28/TrRoad_act!I68)</f>
        <v>6845.3186957238195</v>
      </c>
      <c r="J119" s="101">
        <f>IF(J28=0,0,1000000*J28/TrRoad_act!J68)</f>
        <v>6900.5397935691717</v>
      </c>
      <c r="K119" s="101">
        <f>IF(K28=0,0,1000000*K28/TrRoad_act!K68)</f>
        <v>6922.0674961100876</v>
      </c>
      <c r="L119" s="101">
        <f>IF(L28=0,0,1000000*L28/TrRoad_act!L68)</f>
        <v>6817.7922223110236</v>
      </c>
      <c r="M119" s="101">
        <f>IF(M28=0,0,1000000*M28/TrRoad_act!M68)</f>
        <v>6746.8832826490952</v>
      </c>
      <c r="N119" s="101">
        <f>IF(N28=0,0,1000000*N28/TrRoad_act!N68)</f>
        <v>6639.001218889427</v>
      </c>
      <c r="O119" s="101">
        <f>IF(O28=0,0,1000000*O28/TrRoad_act!O68)</f>
        <v>6543.2905963390594</v>
      </c>
      <c r="P119" s="101">
        <f>IF(P28=0,0,1000000*P28/TrRoad_act!P68)</f>
        <v>6587.2263881599529</v>
      </c>
      <c r="Q119" s="101">
        <f>IF(Q28=0,0,1000000*Q28/TrRoad_act!Q68)</f>
        <v>6732.8358969983929</v>
      </c>
      <c r="R119" s="101">
        <f>IF(R28=0,0,1000000*R28/TrRoad_act!R68)</f>
        <v>6659.0382248020205</v>
      </c>
      <c r="S119" s="101">
        <f>IF(S28=0,0,1000000*S28/TrRoad_act!S68)</f>
        <v>6469.4103051694274</v>
      </c>
      <c r="T119" s="101">
        <f>IF(T28=0,0,1000000*T28/TrRoad_act!T68)</f>
        <v>6450.3866581416642</v>
      </c>
      <c r="U119" s="101">
        <f>IF(U28=0,0,1000000*U28/TrRoad_act!U68)</f>
        <v>6154.3465012120896</v>
      </c>
      <c r="V119" s="101">
        <f>IF(V28=0,0,1000000*V28/TrRoad_act!V68)</f>
        <v>4536.8087920815433</v>
      </c>
      <c r="W119" s="101">
        <f>IF(W28=0,0,1000000*W28/TrRoad_act!W68)</f>
        <v>4631.2092283355323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61462.083853963319</v>
      </c>
      <c r="C120" s="101">
        <f>IF(C29=0,0,1000000*C29/TrRoad_act!C69)</f>
        <v>59322.298059505927</v>
      </c>
      <c r="D120" s="101">
        <f>IF(D29=0,0,1000000*D29/TrRoad_act!D69)</f>
        <v>60018.450331556822</v>
      </c>
      <c r="E120" s="101">
        <f>IF(E29=0,0,1000000*E29/TrRoad_act!E69)</f>
        <v>59425.600702015829</v>
      </c>
      <c r="F120" s="101">
        <f>IF(F29=0,0,1000000*F29/TrRoad_act!F69)</f>
        <v>59220.317473548886</v>
      </c>
      <c r="G120" s="101">
        <f>IF(G29=0,0,1000000*G29/TrRoad_act!G69)</f>
        <v>57800.497652019119</v>
      </c>
      <c r="H120" s="101">
        <f>IF(H29=0,0,1000000*H29/TrRoad_act!H69)</f>
        <v>58615.009841017883</v>
      </c>
      <c r="I120" s="101">
        <f>IF(I29=0,0,1000000*I29/TrRoad_act!I69)</f>
        <v>57511.506539189206</v>
      </c>
      <c r="J120" s="101">
        <f>IF(J29=0,0,1000000*J29/TrRoad_act!J69)</f>
        <v>56943.800395079626</v>
      </c>
      <c r="K120" s="101">
        <f>IF(K29=0,0,1000000*K29/TrRoad_act!K69)</f>
        <v>55729.891806622771</v>
      </c>
      <c r="L120" s="101">
        <f>IF(L29=0,0,1000000*L29/TrRoad_act!L69)</f>
        <v>54555.207635231622</v>
      </c>
      <c r="M120" s="101">
        <f>IF(M29=0,0,1000000*M29/TrRoad_act!M69)</f>
        <v>53207.223205539063</v>
      </c>
      <c r="N120" s="101">
        <f>IF(N29=0,0,1000000*N29/TrRoad_act!N69)</f>
        <v>51782.078184277467</v>
      </c>
      <c r="O120" s="101">
        <f>IF(O29=0,0,1000000*O29/TrRoad_act!O69)</f>
        <v>50498.18150281367</v>
      </c>
      <c r="P120" s="101">
        <f>IF(P29=0,0,1000000*P29/TrRoad_act!P69)</f>
        <v>50202.725721477742</v>
      </c>
      <c r="Q120" s="101">
        <f>IF(Q29=0,0,1000000*Q29/TrRoad_act!Q69)</f>
        <v>51126.845586145144</v>
      </c>
      <c r="R120" s="101">
        <f>IF(R29=0,0,1000000*R29/TrRoad_act!R69)</f>
        <v>51578.224183388775</v>
      </c>
      <c r="S120" s="101">
        <f>IF(S29=0,0,1000000*S29/TrRoad_act!S69)</f>
        <v>50172.842840664867</v>
      </c>
      <c r="T120" s="101">
        <f>IF(T29=0,0,1000000*T29/TrRoad_act!T69)</f>
        <v>49778.930914601326</v>
      </c>
      <c r="U120" s="101">
        <f>IF(U29=0,0,1000000*U29/TrRoad_act!U69)</f>
        <v>48343.58023108721</v>
      </c>
      <c r="V120" s="101">
        <f>IF(V29=0,0,1000000*V29/TrRoad_act!V69)</f>
        <v>36696.792721755723</v>
      </c>
      <c r="W120" s="101">
        <f>IF(W29=0,0,1000000*W29/TrRoad_act!W69)</f>
        <v>38466.267593416807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28921.805954548487</v>
      </c>
      <c r="C121" s="101">
        <f>IF(C30=0,0,1000000*C30/TrRoad_act!C70)</f>
        <v>27283.915043226134</v>
      </c>
      <c r="D121" s="101">
        <f>IF(D30=0,0,1000000*D30/TrRoad_act!D70)</f>
        <v>27829.413262671238</v>
      </c>
      <c r="E121" s="101">
        <f>IF(E30=0,0,1000000*E30/TrRoad_act!E70)</f>
        <v>27632.059695413605</v>
      </c>
      <c r="F121" s="101">
        <f>IF(F30=0,0,1000000*F30/TrRoad_act!F70)</f>
        <v>27669.085909644364</v>
      </c>
      <c r="G121" s="101">
        <f>IF(G30=0,0,1000000*G30/TrRoad_act!G70)</f>
        <v>27371.596704229974</v>
      </c>
      <c r="H121" s="101">
        <f>IF(H30=0,0,1000000*H30/TrRoad_act!H70)</f>
        <v>28042.704262834352</v>
      </c>
      <c r="I121" s="101">
        <f>IF(I30=0,0,1000000*I30/TrRoad_act!I70)</f>
        <v>28299.606134551992</v>
      </c>
      <c r="J121" s="101">
        <f>IF(J30=0,0,1000000*J30/TrRoad_act!J70)</f>
        <v>29118.920185449293</v>
      </c>
      <c r="K121" s="101">
        <f>IF(K30=0,0,1000000*K30/TrRoad_act!K70)</f>
        <v>29091.254582381105</v>
      </c>
      <c r="L121" s="101">
        <f>IF(L30=0,0,1000000*L30/TrRoad_act!L70)</f>
        <v>28761.074125592197</v>
      </c>
      <c r="M121" s="101">
        <f>IF(M30=0,0,1000000*M30/TrRoad_act!M70)</f>
        <v>28405.829372747339</v>
      </c>
      <c r="N121" s="101">
        <f>IF(N30=0,0,1000000*N30/TrRoad_act!N70)</f>
        <v>28045.350685231322</v>
      </c>
      <c r="O121" s="101">
        <f>IF(O30=0,0,1000000*O30/TrRoad_act!O70)</f>
        <v>27654.296582512234</v>
      </c>
      <c r="P121" s="101">
        <f>IF(P30=0,0,1000000*P30/TrRoad_act!P70)</f>
        <v>27867.213384407118</v>
      </c>
      <c r="Q121" s="101">
        <f>IF(Q30=0,0,1000000*Q30/TrRoad_act!Q70)</f>
        <v>28488.427759410228</v>
      </c>
      <c r="R121" s="101">
        <f>IF(R30=0,0,1000000*R30/TrRoad_act!R70)</f>
        <v>28302.072409376247</v>
      </c>
      <c r="S121" s="101">
        <f>IF(S30=0,0,1000000*S30/TrRoad_act!S70)</f>
        <v>27209.763547794784</v>
      </c>
      <c r="T121" s="101">
        <f>IF(T30=0,0,1000000*T30/TrRoad_act!T70)</f>
        <v>26666.184301821995</v>
      </c>
      <c r="U121" s="101">
        <f>IF(U30=0,0,1000000*U30/TrRoad_act!U70)</f>
        <v>25652.451049411993</v>
      </c>
      <c r="V121" s="101">
        <f>IF(V30=0,0,1000000*V30/TrRoad_act!V70)</f>
        <v>19058.488838122223</v>
      </c>
      <c r="W121" s="101">
        <f>IF(W30=0,0,1000000*W30/TrRoad_act!W70)</f>
        <v>20088.986463719884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44173.008697232697</v>
      </c>
      <c r="C122" s="101">
        <f>IF(C31=0,0,1000000*C31/TrRoad_act!C71)</f>
        <v>39567.621656990203</v>
      </c>
      <c r="D122" s="101">
        <f>IF(D31=0,0,1000000*D31/TrRoad_act!D71)</f>
        <v>41475.770502059735</v>
      </c>
      <c r="E122" s="101">
        <f>IF(E31=0,0,1000000*E31/TrRoad_act!E71)</f>
        <v>41364.599721214858</v>
      </c>
      <c r="F122" s="101">
        <f>IF(F31=0,0,1000000*F31/TrRoad_act!F71)</f>
        <v>39089.327217503291</v>
      </c>
      <c r="G122" s="101">
        <f>IF(G31=0,0,1000000*G31/TrRoad_act!G71)</f>
        <v>39066.690563498887</v>
      </c>
      <c r="H122" s="101">
        <f>IF(H31=0,0,1000000*H31/TrRoad_act!H71)</f>
        <v>43645.350114442568</v>
      </c>
      <c r="I122" s="101">
        <f>IF(I31=0,0,1000000*I31/TrRoad_act!I71)</f>
        <v>42018.238644236888</v>
      </c>
      <c r="J122" s="101">
        <f>IF(J31=0,0,1000000*J31/TrRoad_act!J71)</f>
        <v>43873.323156763916</v>
      </c>
      <c r="K122" s="101">
        <f>IF(K31=0,0,1000000*K31/TrRoad_act!K71)</f>
        <v>43704.724721959938</v>
      </c>
      <c r="L122" s="101">
        <f>IF(L31=0,0,1000000*L31/TrRoad_act!L71)</f>
        <v>46836.877523997726</v>
      </c>
      <c r="M122" s="101">
        <f>IF(M31=0,0,1000000*M31/TrRoad_act!M71)</f>
        <v>44718.45889341458</v>
      </c>
      <c r="N122" s="101">
        <f>IF(N31=0,0,1000000*N31/TrRoad_act!N71)</f>
        <v>43270.364242110707</v>
      </c>
      <c r="O122" s="101">
        <f>IF(O31=0,0,1000000*O31/TrRoad_act!O71)</f>
        <v>43034.035372378574</v>
      </c>
      <c r="P122" s="101">
        <f>IF(P31=0,0,1000000*P31/TrRoad_act!P71)</f>
        <v>43314.999867716018</v>
      </c>
      <c r="Q122" s="101">
        <f>IF(Q31=0,0,1000000*Q31/TrRoad_act!Q71)</f>
        <v>44466.9199260022</v>
      </c>
      <c r="R122" s="101">
        <f>IF(R31=0,0,1000000*R31/TrRoad_act!R71)</f>
        <v>46686.808070166117</v>
      </c>
      <c r="S122" s="101">
        <f>IF(S31=0,0,1000000*S31/TrRoad_act!S71)</f>
        <v>47628.784209588957</v>
      </c>
      <c r="T122" s="101">
        <f>IF(T31=0,0,1000000*T31/TrRoad_act!T71)</f>
        <v>47100.9494065256</v>
      </c>
      <c r="U122" s="101">
        <f>IF(U31=0,0,1000000*U31/TrRoad_act!U71)</f>
        <v>46362.663295210761</v>
      </c>
      <c r="V122" s="101">
        <f>IF(V31=0,0,1000000*V31/TrRoad_act!V71)</f>
        <v>38955.796504228128</v>
      </c>
      <c r="W122" s="101">
        <f>IF(W31=0,0,1000000*W31/TrRoad_act!W71)</f>
        <v>41378.9644179022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3650.4608220712953</v>
      </c>
      <c r="C125" s="152">
        <f>IF(C34=0,0,1000000*C34/TrRoad_act!C74)</f>
        <v>3622.0201309472586</v>
      </c>
      <c r="D125" s="152">
        <f>IF(D34=0,0,1000000*D34/TrRoad_act!D74)</f>
        <v>3551.6360730709371</v>
      </c>
      <c r="E125" s="152">
        <f>IF(E34=0,0,1000000*E34/TrRoad_act!E74)</f>
        <v>3420.0732444062141</v>
      </c>
      <c r="F125" s="152">
        <f>IF(F34=0,0,1000000*F34/TrRoad_act!F74)</f>
        <v>3289.3178002074715</v>
      </c>
      <c r="G125" s="152">
        <f>IF(G34=0,0,1000000*G34/TrRoad_act!G74)</f>
        <v>3201.8810967421978</v>
      </c>
      <c r="H125" s="152">
        <f>IF(H34=0,0,1000000*H34/TrRoad_act!H74)</f>
        <v>3161.1779263749386</v>
      </c>
      <c r="I125" s="152">
        <f>IF(I34=0,0,1000000*I34/TrRoad_act!I74)</f>
        <v>3058.5866236188867</v>
      </c>
      <c r="J125" s="152">
        <f>IF(J34=0,0,1000000*J34/TrRoad_act!J74)</f>
        <v>2873.7751078916608</v>
      </c>
      <c r="K125" s="152">
        <f>IF(K34=0,0,1000000*K34/TrRoad_act!K74)</f>
        <v>2908.9615070783852</v>
      </c>
      <c r="L125" s="152">
        <f>IF(L34=0,0,1000000*L34/TrRoad_act!L74)</f>
        <v>2980.8513445935641</v>
      </c>
      <c r="M125" s="152">
        <f>IF(M34=0,0,1000000*M34/TrRoad_act!M74)</f>
        <v>3111.6831797354671</v>
      </c>
      <c r="N125" s="152">
        <f>IF(N34=0,0,1000000*N34/TrRoad_act!N74)</f>
        <v>3100.2385727268856</v>
      </c>
      <c r="O125" s="152">
        <f>IF(O34=0,0,1000000*O34/TrRoad_act!O74)</f>
        <v>3092.9022747626168</v>
      </c>
      <c r="P125" s="152">
        <f>IF(P34=0,0,1000000*P34/TrRoad_act!P74)</f>
        <v>3028.9751844463945</v>
      </c>
      <c r="Q125" s="152">
        <f>IF(Q34=0,0,1000000*Q34/TrRoad_act!Q74)</f>
        <v>3102.6715159573082</v>
      </c>
      <c r="R125" s="152">
        <f>IF(R34=0,0,1000000*R34/TrRoad_act!R74)</f>
        <v>3070.8986802504287</v>
      </c>
      <c r="S125" s="152">
        <f>IF(S34=0,0,1000000*S34/TrRoad_act!S74)</f>
        <v>3146.1018766786028</v>
      </c>
      <c r="T125" s="152">
        <f>IF(T34=0,0,1000000*T34/TrRoad_act!T74)</f>
        <v>3096.9297936806174</v>
      </c>
      <c r="U125" s="152">
        <f>IF(U34=0,0,1000000*U34/TrRoad_act!U74)</f>
        <v>3077.538115891442</v>
      </c>
      <c r="V125" s="152">
        <f>IF(V34=0,0,1000000*V34/TrRoad_act!V74)</f>
        <v>2669.7864120613021</v>
      </c>
      <c r="W125" s="152">
        <f>IF(W34=0,0,1000000*W34/TrRoad_act!W74)</f>
        <v>3084.9825787127306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3786.7550266817198</v>
      </c>
      <c r="C126" s="87">
        <f>IF(C35=0,0,1000000*C35/TrRoad_act!C75)</f>
        <v>3991.5853372114966</v>
      </c>
      <c r="D126" s="87">
        <f>IF(D35=0,0,1000000*D35/TrRoad_act!D75)</f>
        <v>3959.7861033539853</v>
      </c>
      <c r="E126" s="87">
        <f>IF(E35=0,0,1000000*E35/TrRoad_act!E75)</f>
        <v>3876.9922564983308</v>
      </c>
      <c r="F126" s="87">
        <f>IF(F35=0,0,1000000*F35/TrRoad_act!F75)</f>
        <v>3791.2695951926712</v>
      </c>
      <c r="G126" s="87">
        <f>IF(G35=0,0,1000000*G35/TrRoad_act!G75)</f>
        <v>3711.9691856850141</v>
      </c>
      <c r="H126" s="87">
        <f>IF(H35=0,0,1000000*H35/TrRoad_act!H75)</f>
        <v>3687.5849978833735</v>
      </c>
      <c r="I126" s="87">
        <f>IF(I35=0,0,1000000*I35/TrRoad_act!I75)</f>
        <v>3548.5758004261575</v>
      </c>
      <c r="J126" s="87">
        <f>IF(J35=0,0,1000000*J35/TrRoad_act!J75)</f>
        <v>3164.0764975135953</v>
      </c>
      <c r="K126" s="87">
        <f>IF(K35=0,0,1000000*K35/TrRoad_act!K75)</f>
        <v>3047.477082725175</v>
      </c>
      <c r="L126" s="87">
        <f>IF(L35=0,0,1000000*L35/TrRoad_act!L75)</f>
        <v>2954.3736033624409</v>
      </c>
      <c r="M126" s="87">
        <f>IF(M35=0,0,1000000*M35/TrRoad_act!M75)</f>
        <v>2893.8650995526114</v>
      </c>
      <c r="N126" s="87">
        <f>IF(N35=0,0,1000000*N35/TrRoad_act!N75)</f>
        <v>2730.7689176235417</v>
      </c>
      <c r="O126" s="87">
        <f>IF(O35=0,0,1000000*O35/TrRoad_act!O75)</f>
        <v>2590.5881779413394</v>
      </c>
      <c r="P126" s="87">
        <f>IF(P35=0,0,1000000*P35/TrRoad_act!P75)</f>
        <v>2437.9231799187141</v>
      </c>
      <c r="Q126" s="87">
        <f>IF(Q35=0,0,1000000*Q35/TrRoad_act!Q75)</f>
        <v>2378.6171485742243</v>
      </c>
      <c r="R126" s="87">
        <f>IF(R35=0,0,1000000*R35/TrRoad_act!R75)</f>
        <v>2459.4236888418918</v>
      </c>
      <c r="S126" s="87">
        <f>IF(S35=0,0,1000000*S35/TrRoad_act!S75)</f>
        <v>2645.1642239751372</v>
      </c>
      <c r="T126" s="87">
        <f>IF(T35=0,0,1000000*T35/TrRoad_act!T75)</f>
        <v>2710.3394808455496</v>
      </c>
      <c r="U126" s="87">
        <f>IF(U35=0,0,1000000*U35/TrRoad_act!U75)</f>
        <v>2827.1454757688211</v>
      </c>
      <c r="V126" s="87">
        <f>IF(V35=0,0,1000000*V35/TrRoad_act!V75)</f>
        <v>2537.7135592931058</v>
      </c>
      <c r="W126" s="87">
        <f>IF(W35=0,0,1000000*W35/TrRoad_act!W75)</f>
        <v>3033.5069488134764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3633.8429589418743</v>
      </c>
      <c r="C127" s="87">
        <f>IF(C36=0,0,1000000*C36/TrRoad_act!C76)</f>
        <v>3581.2508761917306</v>
      </c>
      <c r="D127" s="87">
        <f>IF(D36=0,0,1000000*D36/TrRoad_act!D76)</f>
        <v>3515.3803328559288</v>
      </c>
      <c r="E127" s="87">
        <f>IF(E36=0,0,1000000*E36/TrRoad_act!E76)</f>
        <v>3388.4813422340976</v>
      </c>
      <c r="F127" s="87">
        <f>IF(F36=0,0,1000000*F36/TrRoad_act!F76)</f>
        <v>3262.3234969944801</v>
      </c>
      <c r="G127" s="87">
        <f>IF(G36=0,0,1000000*G36/TrRoad_act!G76)</f>
        <v>3179.3060458743716</v>
      </c>
      <c r="H127" s="87">
        <f>IF(H36=0,0,1000000*H36/TrRoad_act!H76)</f>
        <v>3141.8147466784708</v>
      </c>
      <c r="I127" s="87">
        <f>IF(I36=0,0,1000000*I36/TrRoad_act!I76)</f>
        <v>3043.205675011156</v>
      </c>
      <c r="J127" s="87">
        <f>IF(J36=0,0,1000000*J36/TrRoad_act!J76)</f>
        <v>2865.9828729154856</v>
      </c>
      <c r="K127" s="87">
        <f>IF(K36=0,0,1000000*K36/TrRoad_act!K76)</f>
        <v>2907.296642947877</v>
      </c>
      <c r="L127" s="87">
        <f>IF(L36=0,0,1000000*L36/TrRoad_act!L76)</f>
        <v>2984.6167149010621</v>
      </c>
      <c r="M127" s="87">
        <f>IF(M36=0,0,1000000*M36/TrRoad_act!M76)</f>
        <v>3125.1223095857954</v>
      </c>
      <c r="N127" s="87">
        <f>IF(N36=0,0,1000000*N36/TrRoad_act!N76)</f>
        <v>3122.4513977040001</v>
      </c>
      <c r="O127" s="87">
        <f>IF(O36=0,0,1000000*O36/TrRoad_act!O76)</f>
        <v>3125.6044604283202</v>
      </c>
      <c r="P127" s="87">
        <f>IF(P36=0,0,1000000*P36/TrRoad_act!P76)</f>
        <v>3066.0428783961415</v>
      </c>
      <c r="Q127" s="87">
        <f>IF(Q36=0,0,1000000*Q36/TrRoad_act!Q76)</f>
        <v>3145.5540841175143</v>
      </c>
      <c r="R127" s="87">
        <f>IF(R36=0,0,1000000*R36/TrRoad_act!R76)</f>
        <v>3109.9932017426368</v>
      </c>
      <c r="S127" s="87">
        <f>IF(S36=0,0,1000000*S36/TrRoad_act!S76)</f>
        <v>3180.5943632000349</v>
      </c>
      <c r="T127" s="87">
        <f>IF(T36=0,0,1000000*T36/TrRoad_act!T76)</f>
        <v>3133.003853133037</v>
      </c>
      <c r="U127" s="87">
        <f>IF(U36=0,0,1000000*U36/TrRoad_act!U76)</f>
        <v>3111.6151924166916</v>
      </c>
      <c r="V127" s="87">
        <f>IF(V36=0,0,1000000*V36/TrRoad_act!V76)</f>
        <v>2701.1030666341776</v>
      </c>
      <c r="W127" s="87">
        <f>IF(W36=0,0,1000000*W36/TrRoad_act!W76)</f>
        <v>3123.9224877885667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3411.7037300943848</v>
      </c>
      <c r="C128" s="87">
        <f>IF(C37=0,0,1000000*C37/TrRoad_act!C77)</f>
        <v>3390.8377352222406</v>
      </c>
      <c r="D128" s="87">
        <f>IF(D37=0,0,1000000*D37/TrRoad_act!D77)</f>
        <v>3349.4354457983286</v>
      </c>
      <c r="E128" s="87">
        <f>IF(E37=0,0,1000000*E37/TrRoad_act!E77)</f>
        <v>3268.5672994472411</v>
      </c>
      <c r="F128" s="87">
        <f>IF(F37=0,0,1000000*F37/TrRoad_act!F77)</f>
        <v>3192.9989351888621</v>
      </c>
      <c r="G128" s="87">
        <f>IF(G37=0,0,1000000*G37/TrRoad_act!G77)</f>
        <v>3143.1737034288858</v>
      </c>
      <c r="H128" s="87">
        <f>IF(H37=0,0,1000000*H37/TrRoad_act!H77)</f>
        <v>3120.7711379081479</v>
      </c>
      <c r="I128" s="87">
        <f>IF(I37=0,0,1000000*I37/TrRoad_act!I77)</f>
        <v>3047.5415202008835</v>
      </c>
      <c r="J128" s="87">
        <f>IF(J37=0,0,1000000*J37/TrRoad_act!J77)</f>
        <v>2889.805781287982</v>
      </c>
      <c r="K128" s="87">
        <f>IF(K37=0,0,1000000*K37/TrRoad_act!K77)</f>
        <v>2884.0313041646668</v>
      </c>
      <c r="L128" s="87">
        <f>IF(L37=0,0,1000000*L37/TrRoad_act!L77)</f>
        <v>2948.3285192769945</v>
      </c>
      <c r="M128" s="87">
        <f>IF(M37=0,0,1000000*M37/TrRoad_act!M77)</f>
        <v>3038.5640944678294</v>
      </c>
      <c r="N128" s="87">
        <f>IF(N37=0,0,1000000*N37/TrRoad_act!N77)</f>
        <v>3032.5885440454881</v>
      </c>
      <c r="O128" s="87">
        <f>IF(O37=0,0,1000000*O37/TrRoad_act!O77)</f>
        <v>3049.2021563634298</v>
      </c>
      <c r="P128" s="87">
        <f>IF(P37=0,0,1000000*P37/TrRoad_act!P77)</f>
        <v>3010.8245557125642</v>
      </c>
      <c r="Q128" s="87">
        <f>IF(Q37=0,0,1000000*Q37/TrRoad_act!Q77)</f>
        <v>3084.7156037952309</v>
      </c>
      <c r="R128" s="87">
        <f>IF(R37=0,0,1000000*R37/TrRoad_act!R77)</f>
        <v>3106.6676692937358</v>
      </c>
      <c r="S128" s="87">
        <f>IF(S37=0,0,1000000*S37/TrRoad_act!S77)</f>
        <v>3263.1562469057017</v>
      </c>
      <c r="T128" s="87">
        <f>IF(T37=0,0,1000000*T37/TrRoad_act!T77)</f>
        <v>3260.9201052907201</v>
      </c>
      <c r="U128" s="87">
        <f>IF(U37=0,0,1000000*U37/TrRoad_act!U77)</f>
        <v>3329.9322074470647</v>
      </c>
      <c r="V128" s="87">
        <f>IF(V37=0,0,1000000*V37/TrRoad_act!V77)</f>
        <v>2555.9212084586311</v>
      </c>
      <c r="W128" s="87">
        <f>IF(W37=0,0,1000000*W37/TrRoad_act!W77)</f>
        <v>2960.5032679065266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2545.8628404901469</v>
      </c>
      <c r="C129" s="87">
        <f>IF(C38=0,0,1000000*C38/TrRoad_act!C78)</f>
        <v>2634.0206548959636</v>
      </c>
      <c r="D129" s="87">
        <f>IF(D38=0,0,1000000*D38/TrRoad_act!D78)</f>
        <v>2621.2445994425452</v>
      </c>
      <c r="E129" s="87">
        <f>IF(E38=0,0,1000000*E38/TrRoad_act!E78)</f>
        <v>2526.1658025664196</v>
      </c>
      <c r="F129" s="87">
        <f>IF(F38=0,0,1000000*F38/TrRoad_act!F78)</f>
        <v>2485.809003660605</v>
      </c>
      <c r="G129" s="87">
        <f>IF(G38=0,0,1000000*G38/TrRoad_act!G78)</f>
        <v>2461.5081566739327</v>
      </c>
      <c r="H129" s="87">
        <f>IF(H38=0,0,1000000*H38/TrRoad_act!H78)</f>
        <v>2405.7867443847649</v>
      </c>
      <c r="I129" s="87">
        <f>IF(I38=0,0,1000000*I38/TrRoad_act!I78)</f>
        <v>2372.9866474117443</v>
      </c>
      <c r="J129" s="87">
        <f>IF(J38=0,0,1000000*J38/TrRoad_act!J78)</f>
        <v>2245.717271537746</v>
      </c>
      <c r="K129" s="87">
        <f>IF(K38=0,0,1000000*K38/TrRoad_act!K78)</f>
        <v>2186.3042155017947</v>
      </c>
      <c r="L129" s="87">
        <f>IF(L38=0,0,1000000*L38/TrRoad_act!L78)</f>
        <v>2144.8902221305225</v>
      </c>
      <c r="M129" s="87">
        <f>IF(M38=0,0,1000000*M38/TrRoad_act!M78)</f>
        <v>2144.0146758403807</v>
      </c>
      <c r="N129" s="87">
        <f>IF(N38=0,0,1000000*N38/TrRoad_act!N78)</f>
        <v>2078.7733727334858</v>
      </c>
      <c r="O129" s="87">
        <f>IF(O38=0,0,1000000*O38/TrRoad_act!O78)</f>
        <v>2017.7836278340003</v>
      </c>
      <c r="P129" s="87">
        <f>IF(P38=0,0,1000000*P38/TrRoad_act!P78)</f>
        <v>1956.982095692151</v>
      </c>
      <c r="Q129" s="87">
        <f>IF(Q38=0,0,1000000*Q38/TrRoad_act!Q78)</f>
        <v>1995.6380030371615</v>
      </c>
      <c r="R129" s="87">
        <f>IF(R38=0,0,1000000*R38/TrRoad_act!R78)</f>
        <v>2055.9761755025397</v>
      </c>
      <c r="S129" s="87">
        <f>IF(S38=0,0,1000000*S38/TrRoad_act!S78)</f>
        <v>2226.0835627266929</v>
      </c>
      <c r="T129" s="87">
        <f>IF(T38=0,0,1000000*T38/TrRoad_act!T78)</f>
        <v>2348.4127293188712</v>
      </c>
      <c r="U129" s="87">
        <f>IF(U38=0,0,1000000*U38/TrRoad_act!U78)</f>
        <v>2375.2615964913025</v>
      </c>
      <c r="V129" s="87">
        <f>IF(V38=0,0,1000000*V38/TrRoad_act!V78)</f>
        <v>2028.7309856607087</v>
      </c>
      <c r="W129" s="87">
        <f>IF(W38=0,0,1000000*W38/TrRoad_act!W78)</f>
        <v>2385.525662817915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48516.667058844621</v>
      </c>
      <c r="C131" s="116">
        <f>IF(C40=0,0,1000000*C40/TrRoad_act!C80)</f>
        <v>47568.807758703675</v>
      </c>
      <c r="D131" s="116">
        <f>IF(D40=0,0,1000000*D40/TrRoad_act!D80)</f>
        <v>46400.54832732708</v>
      </c>
      <c r="E131" s="116">
        <f>IF(E40=0,0,1000000*E40/TrRoad_act!E80)</f>
        <v>44982.958629525696</v>
      </c>
      <c r="F131" s="116">
        <f>IF(F40=0,0,1000000*F40/TrRoad_act!F80)</f>
        <v>46781.022041008429</v>
      </c>
      <c r="G131" s="116">
        <f>IF(G40=0,0,1000000*G40/TrRoad_act!G80)</f>
        <v>45679.662490994531</v>
      </c>
      <c r="H131" s="116">
        <f>IF(H40=0,0,1000000*H40/TrRoad_act!H80)</f>
        <v>45069.410057695306</v>
      </c>
      <c r="I131" s="116">
        <f>IF(I40=0,0,1000000*I40/TrRoad_act!I80)</f>
        <v>44273.756433361174</v>
      </c>
      <c r="J131" s="116">
        <f>IF(J40=0,0,1000000*J40/TrRoad_act!J80)</f>
        <v>40141.945825331481</v>
      </c>
      <c r="K131" s="116">
        <f>IF(K40=0,0,1000000*K40/TrRoad_act!K80)</f>
        <v>35408.321724119225</v>
      </c>
      <c r="L131" s="116">
        <f>IF(L40=0,0,1000000*L40/TrRoad_act!L80)</f>
        <v>35318.010463699502</v>
      </c>
      <c r="M131" s="116">
        <f>IF(M40=0,0,1000000*M40/TrRoad_act!M80)</f>
        <v>36165.326067235095</v>
      </c>
      <c r="N131" s="116">
        <f>IF(N40=0,0,1000000*N40/TrRoad_act!N80)</f>
        <v>34547.011828477174</v>
      </c>
      <c r="O131" s="116">
        <f>IF(O40=0,0,1000000*O40/TrRoad_act!O80)</f>
        <v>35139.34806294016</v>
      </c>
      <c r="P131" s="116">
        <f>IF(P40=0,0,1000000*P40/TrRoad_act!P80)</f>
        <v>34517.201419346507</v>
      </c>
      <c r="Q131" s="116">
        <f>IF(Q40=0,0,1000000*Q40/TrRoad_act!Q80)</f>
        <v>34092.974811025371</v>
      </c>
      <c r="R131" s="116">
        <f>IF(R40=0,0,1000000*R40/TrRoad_act!R80)</f>
        <v>35422.65202964683</v>
      </c>
      <c r="S131" s="116">
        <f>IF(S40=0,0,1000000*S40/TrRoad_act!S80)</f>
        <v>36023.636385302925</v>
      </c>
      <c r="T131" s="116">
        <f>IF(T40=0,0,1000000*T40/TrRoad_act!T80)</f>
        <v>34901.048143253574</v>
      </c>
      <c r="U131" s="116">
        <f>IF(U40=0,0,1000000*U40/TrRoad_act!U80)</f>
        <v>34646.845050706987</v>
      </c>
      <c r="V131" s="116">
        <f>IF(V40=0,0,1000000*V40/TrRoad_act!V80)</f>
        <v>33467.950933206674</v>
      </c>
      <c r="W131" s="116">
        <f>IF(W40=0,0,1000000*W40/TrRoad_act!W80)</f>
        <v>34926.297980031086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37880.206682344106</v>
      </c>
      <c r="C132" s="101">
        <f>IF(C41=0,0,1000000*C41/TrRoad_act!C81)</f>
        <v>36999.127573310354</v>
      </c>
      <c r="D132" s="101">
        <f>IF(D41=0,0,1000000*D41/TrRoad_act!D81)</f>
        <v>35769.910613281761</v>
      </c>
      <c r="E132" s="101">
        <f>IF(E41=0,0,1000000*E41/TrRoad_act!E81)</f>
        <v>34640.782980786571</v>
      </c>
      <c r="F132" s="101">
        <f>IF(F41=0,0,1000000*F41/TrRoad_act!F81)</f>
        <v>35810.814406458863</v>
      </c>
      <c r="G132" s="101">
        <f>IF(G41=0,0,1000000*G41/TrRoad_act!G81)</f>
        <v>34656.403376238311</v>
      </c>
      <c r="H132" s="101">
        <f>IF(H41=0,0,1000000*H41/TrRoad_act!H81)</f>
        <v>34124.245569606035</v>
      </c>
      <c r="I132" s="101">
        <f>IF(I41=0,0,1000000*I41/TrRoad_act!I81)</f>
        <v>33754.596075078494</v>
      </c>
      <c r="J132" s="101">
        <f>IF(J41=0,0,1000000*J41/TrRoad_act!J81)</f>
        <v>29757.690027029435</v>
      </c>
      <c r="K132" s="101">
        <f>IF(K41=0,0,1000000*K41/TrRoad_act!K81)</f>
        <v>25324.728210721656</v>
      </c>
      <c r="L132" s="101">
        <f>IF(L41=0,0,1000000*L41/TrRoad_act!L81)</f>
        <v>25602.889641904178</v>
      </c>
      <c r="M132" s="101">
        <f>IF(M41=0,0,1000000*M41/TrRoad_act!M81)</f>
        <v>26793.073771539584</v>
      </c>
      <c r="N132" s="101">
        <f>IF(N41=0,0,1000000*N41/TrRoad_act!N81)</f>
        <v>24957.619699610565</v>
      </c>
      <c r="O132" s="101">
        <f>IF(O41=0,0,1000000*O41/TrRoad_act!O81)</f>
        <v>25041.074431610286</v>
      </c>
      <c r="P132" s="101">
        <f>IF(P41=0,0,1000000*P41/TrRoad_act!P81)</f>
        <v>24355.559507007147</v>
      </c>
      <c r="Q132" s="101">
        <f>IF(Q41=0,0,1000000*Q41/TrRoad_act!Q81)</f>
        <v>23373.238999742098</v>
      </c>
      <c r="R132" s="101">
        <f>IF(R41=0,0,1000000*R41/TrRoad_act!R81)</f>
        <v>24441.272195782512</v>
      </c>
      <c r="S132" s="101">
        <f>IF(S41=0,0,1000000*S41/TrRoad_act!S81)</f>
        <v>24627.062568196667</v>
      </c>
      <c r="T132" s="101">
        <f>IF(T41=0,0,1000000*T41/TrRoad_act!T81)</f>
        <v>23528.406526114224</v>
      </c>
      <c r="U132" s="101">
        <f>IF(U41=0,0,1000000*U41/TrRoad_act!U81)</f>
        <v>23170.040119629648</v>
      </c>
      <c r="V132" s="101">
        <f>IF(V41=0,0,1000000*V41/TrRoad_act!V81)</f>
        <v>22091.830148083362</v>
      </c>
      <c r="W132" s="101">
        <f>IF(W41=0,0,1000000*W41/TrRoad_act!W81)</f>
        <v>22613.483883779591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117161.80358976785</v>
      </c>
      <c r="C133" s="88">
        <f>IF(C42=0,0,1000000*C42/TrRoad_act!C82)</f>
        <v>113176.49512424484</v>
      </c>
      <c r="D133" s="88">
        <f>IF(D42=0,0,1000000*D42/TrRoad_act!D82)</f>
        <v>110597.12446226049</v>
      </c>
      <c r="E133" s="88">
        <f>IF(E42=0,0,1000000*E42/TrRoad_act!E82)</f>
        <v>107219.14289995456</v>
      </c>
      <c r="F133" s="88">
        <f>IF(F42=0,0,1000000*F42/TrRoad_act!F82)</f>
        <v>103099.38932816303</v>
      </c>
      <c r="G133" s="88">
        <f>IF(G42=0,0,1000000*G42/TrRoad_act!G82)</f>
        <v>101241.15461653356</v>
      </c>
      <c r="H133" s="88">
        <f>IF(H42=0,0,1000000*H42/TrRoad_act!H82)</f>
        <v>99640.554223860454</v>
      </c>
      <c r="I133" s="88">
        <f>IF(I42=0,0,1000000*I42/TrRoad_act!I82)</f>
        <v>96594.6140527768</v>
      </c>
      <c r="J133" s="88">
        <f>IF(J42=0,0,1000000*J42/TrRoad_act!J82)</f>
        <v>94651.403303400919</v>
      </c>
      <c r="K133" s="88">
        <f>IF(K42=0,0,1000000*K42/TrRoad_act!K82)</f>
        <v>95923.018571374181</v>
      </c>
      <c r="L133" s="88">
        <f>IF(L42=0,0,1000000*L42/TrRoad_act!L82)</f>
        <v>95059.240762328598</v>
      </c>
      <c r="M133" s="88">
        <f>IF(M42=0,0,1000000*M42/TrRoad_act!M82)</f>
        <v>96307.264812655732</v>
      </c>
      <c r="N133" s="88">
        <f>IF(N42=0,0,1000000*N42/TrRoad_act!N82)</f>
        <v>96287.339966797605</v>
      </c>
      <c r="O133" s="88">
        <f>IF(O42=0,0,1000000*O42/TrRoad_act!O82)</f>
        <v>95826.047684982288</v>
      </c>
      <c r="P133" s="88">
        <f>IF(P42=0,0,1000000*P42/TrRoad_act!P82)</f>
        <v>95377.005496108948</v>
      </c>
      <c r="Q133" s="88">
        <f>IF(Q42=0,0,1000000*Q42/TrRoad_act!Q82)</f>
        <v>95901.683041196535</v>
      </c>
      <c r="R133" s="88">
        <f>IF(R42=0,0,1000000*R42/TrRoad_act!R82)</f>
        <v>95069.027179867175</v>
      </c>
      <c r="S133" s="88">
        <f>IF(S42=0,0,1000000*S42/TrRoad_act!S82)</f>
        <v>94579.570348735666</v>
      </c>
      <c r="T133" s="88">
        <f>IF(T42=0,0,1000000*T42/TrRoad_act!T82)</f>
        <v>94512.138037466386</v>
      </c>
      <c r="U133" s="88">
        <f>IF(U42=0,0,1000000*U42/TrRoad_act!U82)</f>
        <v>93029.673352474885</v>
      </c>
      <c r="V133" s="88">
        <f>IF(V42=0,0,1000000*V42/TrRoad_act!V82)</f>
        <v>92648.401748165648</v>
      </c>
      <c r="W133" s="88">
        <f>IF(W42=0,0,1000000*W42/TrRoad_act!W82)</f>
        <v>94789.922340796053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0.63436715384699649</v>
      </c>
      <c r="C136" s="46">
        <f t="shared" si="40"/>
        <v>0.63757557723192726</v>
      </c>
      <c r="D136" s="46">
        <f t="shared" si="40"/>
        <v>0.63974523281178397</v>
      </c>
      <c r="E136" s="46">
        <f t="shared" si="40"/>
        <v>0.64087339083348693</v>
      </c>
      <c r="F136" s="46">
        <f t="shared" si="40"/>
        <v>0.63184342060600995</v>
      </c>
      <c r="G136" s="46">
        <f t="shared" si="40"/>
        <v>0.63058620138287746</v>
      </c>
      <c r="H136" s="46">
        <f t="shared" si="40"/>
        <v>0.63191399527142089</v>
      </c>
      <c r="I136" s="46">
        <f t="shared" si="40"/>
        <v>0.63351403942947038</v>
      </c>
      <c r="J136" s="46">
        <f t="shared" si="40"/>
        <v>0.64057460715926828</v>
      </c>
      <c r="K136" s="46">
        <f t="shared" si="40"/>
        <v>0.65909445059189475</v>
      </c>
      <c r="L136" s="46">
        <f t="shared" si="41"/>
        <v>0.64990781589982227</v>
      </c>
      <c r="M136" s="46">
        <f t="shared" si="40"/>
        <v>0.64956127431795374</v>
      </c>
      <c r="N136" s="46">
        <f t="shared" si="40"/>
        <v>0.65915653167344579</v>
      </c>
      <c r="O136" s="46">
        <f t="shared" si="40"/>
        <v>0.65495409601451315</v>
      </c>
      <c r="P136" s="46">
        <f t="shared" si="40"/>
        <v>0.65999307059118706</v>
      </c>
      <c r="Q136" s="46">
        <f t="shared" si="40"/>
        <v>0.6632111316993925</v>
      </c>
      <c r="R136" s="46">
        <f t="shared" si="40"/>
        <v>0.66073426181416262</v>
      </c>
      <c r="S136" s="46">
        <f t="shared" si="40"/>
        <v>0.65477463959690918</v>
      </c>
      <c r="T136" s="46">
        <f t="shared" si="40"/>
        <v>0.65321678810197858</v>
      </c>
      <c r="U136" s="46">
        <f t="shared" si="40"/>
        <v>0.65175631166687709</v>
      </c>
      <c r="V136" s="46">
        <f t="shared" si="40"/>
        <v>0.62565021955843758</v>
      </c>
      <c r="W136" s="46">
        <f t="shared" si="42"/>
        <v>0.6309976638474496</v>
      </c>
      <c r="DA136" s="211"/>
    </row>
    <row r="137" spans="1:105" ht="11.45" customHeight="1" x14ac:dyDescent="0.25">
      <c r="A137" s="153" t="s">
        <v>180</v>
      </c>
      <c r="B137" s="154">
        <f t="shared" si="40"/>
        <v>8.1103763502654701E-3</v>
      </c>
      <c r="C137" s="154">
        <f t="shared" si="40"/>
        <v>8.7071313308248292E-3</v>
      </c>
      <c r="D137" s="154">
        <f t="shared" si="40"/>
        <v>9.6314953173317498E-3</v>
      </c>
      <c r="E137" s="154">
        <f t="shared" si="40"/>
        <v>9.785383039352025E-3</v>
      </c>
      <c r="F137" s="154">
        <f t="shared" si="40"/>
        <v>1.036721673963137E-2</v>
      </c>
      <c r="G137" s="154">
        <f t="shared" si="40"/>
        <v>1.0706627186407998E-2</v>
      </c>
      <c r="H137" s="154">
        <f t="shared" si="40"/>
        <v>1.0605181257341695E-2</v>
      </c>
      <c r="I137" s="154">
        <f t="shared" si="40"/>
        <v>1.0883108162114944E-2</v>
      </c>
      <c r="J137" s="154">
        <f t="shared" si="40"/>
        <v>1.1762917481218263E-2</v>
      </c>
      <c r="K137" s="154">
        <f t="shared" si="40"/>
        <v>1.2286351288757722E-2</v>
      </c>
      <c r="L137" s="154">
        <f t="shared" si="41"/>
        <v>1.2118376452731941E-2</v>
      </c>
      <c r="M137" s="154">
        <f t="shared" si="40"/>
        <v>1.1772309025638215E-2</v>
      </c>
      <c r="N137" s="154">
        <f t="shared" si="40"/>
        <v>1.1842378971668011E-2</v>
      </c>
      <c r="O137" s="154">
        <f t="shared" si="40"/>
        <v>1.2051714727302234E-2</v>
      </c>
      <c r="P137" s="154">
        <f t="shared" si="40"/>
        <v>1.2280921889862208E-2</v>
      </c>
      <c r="Q137" s="154">
        <f t="shared" si="40"/>
        <v>1.2177088833819266E-2</v>
      </c>
      <c r="R137" s="154">
        <f t="shared" si="40"/>
        <v>1.1173184827332251E-2</v>
      </c>
      <c r="S137" s="154">
        <f t="shared" si="40"/>
        <v>1.0498401458695664E-2</v>
      </c>
      <c r="T137" s="154">
        <f t="shared" si="40"/>
        <v>1.0638824840979081E-2</v>
      </c>
      <c r="U137" s="154">
        <f t="shared" si="40"/>
        <v>1.0681298264597528E-2</v>
      </c>
      <c r="V137" s="154">
        <f t="shared" si="40"/>
        <v>1.0725669379125901E-2</v>
      </c>
      <c r="W137" s="154">
        <f t="shared" si="42"/>
        <v>9.5562763961043479E-3</v>
      </c>
      <c r="DA137" s="212"/>
    </row>
    <row r="138" spans="1:105" ht="11.45" customHeight="1" x14ac:dyDescent="0.25">
      <c r="A138" s="155" t="s">
        <v>20</v>
      </c>
      <c r="B138" s="156">
        <f t="shared" si="40"/>
        <v>0.58570600924377014</v>
      </c>
      <c r="C138" s="156">
        <f t="shared" si="40"/>
        <v>0.58990574744308744</v>
      </c>
      <c r="D138" s="156">
        <f t="shared" si="40"/>
        <v>0.59120300018116156</v>
      </c>
      <c r="E138" s="156">
        <f t="shared" si="40"/>
        <v>0.59129703174766302</v>
      </c>
      <c r="F138" s="156">
        <f t="shared" si="40"/>
        <v>0.58127529477459128</v>
      </c>
      <c r="G138" s="156">
        <f t="shared" si="40"/>
        <v>0.57923811297207417</v>
      </c>
      <c r="H138" s="156">
        <f t="shared" si="40"/>
        <v>0.57916694553077053</v>
      </c>
      <c r="I138" s="156">
        <f t="shared" si="40"/>
        <v>0.57997510680143305</v>
      </c>
      <c r="J138" s="156">
        <f t="shared" si="40"/>
        <v>0.58516347688857462</v>
      </c>
      <c r="K138" s="156">
        <f t="shared" si="40"/>
        <v>0.60473825165482586</v>
      </c>
      <c r="L138" s="156">
        <f t="shared" si="41"/>
        <v>0.59702413775401098</v>
      </c>
      <c r="M138" s="156">
        <f t="shared" si="40"/>
        <v>0.5982092276912212</v>
      </c>
      <c r="N138" s="156">
        <f t="shared" si="40"/>
        <v>0.6079267150458002</v>
      </c>
      <c r="O138" s="156">
        <f t="shared" si="40"/>
        <v>0.60581903908826396</v>
      </c>
      <c r="P138" s="156">
        <f t="shared" si="40"/>
        <v>0.6105813115160772</v>
      </c>
      <c r="Q138" s="156">
        <f t="shared" si="40"/>
        <v>0.6135022753518542</v>
      </c>
      <c r="R138" s="156">
        <f t="shared" si="40"/>
        <v>0.61110540623416709</v>
      </c>
      <c r="S138" s="156">
        <f t="shared" si="40"/>
        <v>0.60637751795091555</v>
      </c>
      <c r="T138" s="156">
        <f t="shared" si="40"/>
        <v>0.603313684149962</v>
      </c>
      <c r="U138" s="156">
        <f t="shared" si="40"/>
        <v>0.60184229342009887</v>
      </c>
      <c r="V138" s="156">
        <f t="shared" si="40"/>
        <v>0.57869856064202008</v>
      </c>
      <c r="W138" s="156">
        <f t="shared" si="42"/>
        <v>0.5864085838444224</v>
      </c>
      <c r="DA138" s="213"/>
    </row>
    <row r="139" spans="1:105" ht="11.45" customHeight="1" x14ac:dyDescent="0.25">
      <c r="A139" s="157" t="s">
        <v>110</v>
      </c>
      <c r="B139" s="103">
        <f t="shared" si="40"/>
        <v>0.29120503011627735</v>
      </c>
      <c r="C139" s="103">
        <f t="shared" si="40"/>
        <v>0.27979581991575297</v>
      </c>
      <c r="D139" s="103">
        <f t="shared" si="40"/>
        <v>0.27077780973752608</v>
      </c>
      <c r="E139" s="103">
        <f t="shared" si="40"/>
        <v>0.25794319749225025</v>
      </c>
      <c r="F139" s="103">
        <f t="shared" si="40"/>
        <v>0.24465070636053346</v>
      </c>
      <c r="G139" s="103">
        <f t="shared" si="40"/>
        <v>0.23256914677104801</v>
      </c>
      <c r="H139" s="103">
        <f t="shared" si="40"/>
        <v>0.21632544892017219</v>
      </c>
      <c r="I139" s="103">
        <f t="shared" si="40"/>
        <v>0.20158815223825702</v>
      </c>
      <c r="J139" s="103">
        <f t="shared" si="40"/>
        <v>0.18647021433426864</v>
      </c>
      <c r="K139" s="103">
        <f t="shared" si="40"/>
        <v>0.18067537825016983</v>
      </c>
      <c r="L139" s="103">
        <f t="shared" si="41"/>
        <v>0.16385725850855076</v>
      </c>
      <c r="M139" s="103">
        <f t="shared" si="40"/>
        <v>0.15661152001686018</v>
      </c>
      <c r="N139" s="103">
        <f t="shared" si="40"/>
        <v>0.14740008403635479</v>
      </c>
      <c r="O139" s="103">
        <f t="shared" si="40"/>
        <v>0.14250011848340541</v>
      </c>
      <c r="P139" s="103">
        <f t="shared" si="40"/>
        <v>0.14346943194972001</v>
      </c>
      <c r="Q139" s="103">
        <f t="shared" si="40"/>
        <v>0.14426721131317052</v>
      </c>
      <c r="R139" s="103">
        <f t="shared" si="40"/>
        <v>0.14859063553549562</v>
      </c>
      <c r="S139" s="103">
        <f t="shared" si="40"/>
        <v>0.15409742687239875</v>
      </c>
      <c r="T139" s="103">
        <f t="shared" si="40"/>
        <v>0.1635192259465989</v>
      </c>
      <c r="U139" s="103">
        <f t="shared" si="40"/>
        <v>0.17643486932092384</v>
      </c>
      <c r="V139" s="103">
        <f t="shared" si="40"/>
        <v>0.17634896021121149</v>
      </c>
      <c r="W139" s="103">
        <f t="shared" si="42"/>
        <v>0.18689367168292648</v>
      </c>
      <c r="DA139" s="191"/>
    </row>
    <row r="140" spans="1:105" ht="11.45" customHeight="1" x14ac:dyDescent="0.25">
      <c r="A140" s="157" t="s">
        <v>111</v>
      </c>
      <c r="B140" s="103">
        <f t="shared" si="40"/>
        <v>0.29003813752676005</v>
      </c>
      <c r="C140" s="103">
        <f t="shared" si="40"/>
        <v>0.30592329969176402</v>
      </c>
      <c r="D140" s="103">
        <f t="shared" si="40"/>
        <v>0.31675935644540038</v>
      </c>
      <c r="E140" s="103">
        <f t="shared" si="40"/>
        <v>0.33024143979145426</v>
      </c>
      <c r="F140" s="103">
        <f t="shared" si="40"/>
        <v>0.33386282002323053</v>
      </c>
      <c r="G140" s="103">
        <f t="shared" si="40"/>
        <v>0.34415329476767403</v>
      </c>
      <c r="H140" s="103">
        <f t="shared" si="40"/>
        <v>0.36057419829846099</v>
      </c>
      <c r="I140" s="103">
        <f t="shared" si="40"/>
        <v>0.37622868451775288</v>
      </c>
      <c r="J140" s="103">
        <f t="shared" si="40"/>
        <v>0.3965285553982355</v>
      </c>
      <c r="K140" s="103">
        <f t="shared" si="40"/>
        <v>0.42218428006389802</v>
      </c>
      <c r="L140" s="103">
        <f t="shared" si="41"/>
        <v>0.43089414601400133</v>
      </c>
      <c r="M140" s="103">
        <f t="shared" si="40"/>
        <v>0.43907719487039876</v>
      </c>
      <c r="N140" s="103">
        <f t="shared" si="40"/>
        <v>0.45824128336254882</v>
      </c>
      <c r="O140" s="103">
        <f t="shared" si="40"/>
        <v>0.46131724713232397</v>
      </c>
      <c r="P140" s="103">
        <f t="shared" si="40"/>
        <v>0.465361691963946</v>
      </c>
      <c r="Q140" s="103">
        <f t="shared" si="40"/>
        <v>0.46772559106633527</v>
      </c>
      <c r="R140" s="103">
        <f t="shared" si="40"/>
        <v>0.46118164800418138</v>
      </c>
      <c r="S140" s="103">
        <f t="shared" si="40"/>
        <v>0.45108269134858969</v>
      </c>
      <c r="T140" s="103">
        <f t="shared" si="40"/>
        <v>0.43857890045724318</v>
      </c>
      <c r="U140" s="103">
        <f t="shared" si="40"/>
        <v>0.42420008660424446</v>
      </c>
      <c r="V140" s="103">
        <f t="shared" si="40"/>
        <v>0.40110009895906767</v>
      </c>
      <c r="W140" s="103">
        <f t="shared" si="42"/>
        <v>0.39757236806358404</v>
      </c>
      <c r="DA140" s="191"/>
    </row>
    <row r="141" spans="1:105" ht="11.45" customHeight="1" x14ac:dyDescent="0.25">
      <c r="A141" s="157" t="s">
        <v>112</v>
      </c>
      <c r="B141" s="103">
        <f t="shared" si="40"/>
        <v>4.4628416007327261E-3</v>
      </c>
      <c r="C141" s="103">
        <f t="shared" si="40"/>
        <v>4.1866278355704549E-3</v>
      </c>
      <c r="D141" s="103">
        <f t="shared" si="40"/>
        <v>3.6658339982351151E-3</v>
      </c>
      <c r="E141" s="103">
        <f t="shared" si="40"/>
        <v>3.1123944639585236E-3</v>
      </c>
      <c r="F141" s="103">
        <f t="shared" si="40"/>
        <v>2.7617683908273444E-3</v>
      </c>
      <c r="G141" s="103">
        <f t="shared" si="40"/>
        <v>2.5156714333520905E-3</v>
      </c>
      <c r="H141" s="103">
        <f t="shared" si="40"/>
        <v>2.2672983121372931E-3</v>
      </c>
      <c r="I141" s="103">
        <f t="shared" si="40"/>
        <v>2.14538901838906E-3</v>
      </c>
      <c r="J141" s="103">
        <f t="shared" si="40"/>
        <v>2.1410560059804528E-3</v>
      </c>
      <c r="K141" s="103">
        <f t="shared" si="40"/>
        <v>1.8471177265955516E-3</v>
      </c>
      <c r="L141" s="103">
        <f t="shared" si="41"/>
        <v>2.2393879815530583E-3</v>
      </c>
      <c r="M141" s="103">
        <f t="shared" si="40"/>
        <v>2.486681877180263E-3</v>
      </c>
      <c r="N141" s="103">
        <f t="shared" si="40"/>
        <v>2.2470425661416018E-3</v>
      </c>
      <c r="O141" s="103">
        <f t="shared" si="40"/>
        <v>1.9606316518289051E-3</v>
      </c>
      <c r="P141" s="103">
        <f t="shared" si="40"/>
        <v>1.7041200157405236E-3</v>
      </c>
      <c r="Q141" s="103">
        <f t="shared" si="40"/>
        <v>1.4434617698813922E-3</v>
      </c>
      <c r="R141" s="103">
        <f t="shared" si="40"/>
        <v>1.2374390629023586E-3</v>
      </c>
      <c r="S141" s="103">
        <f t="shared" si="40"/>
        <v>1.0530609495348828E-3</v>
      </c>
      <c r="T141" s="103">
        <f t="shared" si="40"/>
        <v>1.0030386923297388E-3</v>
      </c>
      <c r="U141" s="103">
        <f t="shared" si="40"/>
        <v>9.0356490670699847E-4</v>
      </c>
      <c r="V141" s="103">
        <f t="shared" si="40"/>
        <v>6.9980054866510086E-4</v>
      </c>
      <c r="W141" s="103">
        <f t="shared" si="42"/>
        <v>9.4826289022477775E-4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1.2881027034197793E-5</v>
      </c>
      <c r="J142" s="103">
        <f t="shared" si="40"/>
        <v>2.3651150089982937E-5</v>
      </c>
      <c r="K142" s="103">
        <f t="shared" si="40"/>
        <v>3.1475614162380321E-5</v>
      </c>
      <c r="L142" s="103">
        <f t="shared" si="41"/>
        <v>3.3345249905910893E-5</v>
      </c>
      <c r="M142" s="103">
        <f t="shared" si="40"/>
        <v>3.3830926782107349E-5</v>
      </c>
      <c r="N142" s="103">
        <f t="shared" si="40"/>
        <v>3.5916426464260024E-5</v>
      </c>
      <c r="O142" s="103">
        <f t="shared" si="40"/>
        <v>3.5581665737145435E-5</v>
      </c>
      <c r="P142" s="103">
        <f t="shared" si="40"/>
        <v>3.5341182877494526E-5</v>
      </c>
      <c r="Q142" s="103">
        <f t="shared" si="40"/>
        <v>3.5703829816089561E-5</v>
      </c>
      <c r="R142" s="103">
        <f t="shared" si="40"/>
        <v>3.7110858034755309E-5</v>
      </c>
      <c r="S142" s="103">
        <f t="shared" si="40"/>
        <v>3.6817221560060348E-5</v>
      </c>
      <c r="T142" s="103">
        <f t="shared" si="40"/>
        <v>3.6462460801401896E-5</v>
      </c>
      <c r="U142" s="103">
        <f t="shared" si="40"/>
        <v>3.9158637661433259E-5</v>
      </c>
      <c r="V142" s="103">
        <f t="shared" si="40"/>
        <v>4.1531512445930043E-5</v>
      </c>
      <c r="W142" s="103">
        <f t="shared" si="42"/>
        <v>4.2899422379086592E-5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2.3886542907546213E-6</v>
      </c>
      <c r="O143" s="103">
        <f t="shared" si="40"/>
        <v>5.4601549685192828E-6</v>
      </c>
      <c r="P143" s="103">
        <f t="shared" si="40"/>
        <v>1.0726403793256497E-5</v>
      </c>
      <c r="Q143" s="103">
        <f t="shared" si="40"/>
        <v>3.0307372651103361E-5</v>
      </c>
      <c r="R143" s="103">
        <f t="shared" si="40"/>
        <v>5.8572773552916066E-5</v>
      </c>
      <c r="S143" s="103">
        <f t="shared" si="40"/>
        <v>1.0752155883217105E-4</v>
      </c>
      <c r="T143" s="103">
        <f t="shared" si="40"/>
        <v>1.76056592988875E-4</v>
      </c>
      <c r="U143" s="103">
        <f t="shared" si="40"/>
        <v>2.6461395056222965E-4</v>
      </c>
      <c r="V143" s="103">
        <f t="shared" si="40"/>
        <v>5.0816941062987227E-4</v>
      </c>
      <c r="W143" s="103">
        <f t="shared" si="42"/>
        <v>9.5138178530816892E-4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4.0550768252960889E-2</v>
      </c>
      <c r="C145" s="156">
        <f t="shared" si="40"/>
        <v>3.8962698458015012E-2</v>
      </c>
      <c r="D145" s="156">
        <f t="shared" si="40"/>
        <v>3.8910737313290623E-2</v>
      </c>
      <c r="E145" s="156">
        <f t="shared" si="40"/>
        <v>3.9790976046471888E-2</v>
      </c>
      <c r="F145" s="156">
        <f t="shared" si="40"/>
        <v>4.0200909091787244E-2</v>
      </c>
      <c r="G145" s="156">
        <f t="shared" si="40"/>
        <v>4.0641461224395319E-2</v>
      </c>
      <c r="H145" s="156">
        <f t="shared" si="40"/>
        <v>4.2141868483308566E-2</v>
      </c>
      <c r="I145" s="156">
        <f t="shared" si="40"/>
        <v>4.2655824465922323E-2</v>
      </c>
      <c r="J145" s="156">
        <f t="shared" si="40"/>
        <v>4.3648212789475352E-2</v>
      </c>
      <c r="K145" s="156">
        <f t="shared" si="40"/>
        <v>4.2069847648311121E-2</v>
      </c>
      <c r="L145" s="156">
        <f t="shared" si="41"/>
        <v>4.0765301693079348E-2</v>
      </c>
      <c r="M145" s="156">
        <f t="shared" si="40"/>
        <v>3.9579737601094254E-2</v>
      </c>
      <c r="N145" s="156">
        <f t="shared" si="40"/>
        <v>3.938743765597761E-2</v>
      </c>
      <c r="O145" s="156">
        <f t="shared" si="40"/>
        <v>3.7083342198946892E-2</v>
      </c>
      <c r="P145" s="156">
        <f t="shared" si="40"/>
        <v>3.7130837185247685E-2</v>
      </c>
      <c r="Q145" s="156">
        <f t="shared" si="40"/>
        <v>3.753176751371895E-2</v>
      </c>
      <c r="R145" s="156">
        <f t="shared" si="40"/>
        <v>3.8455670752663276E-2</v>
      </c>
      <c r="S145" s="156">
        <f t="shared" si="40"/>
        <v>3.7898720187297903E-2</v>
      </c>
      <c r="T145" s="156">
        <f t="shared" si="40"/>
        <v>3.9264279111037491E-2</v>
      </c>
      <c r="U145" s="156">
        <f t="shared" si="40"/>
        <v>3.923271998218076E-2</v>
      </c>
      <c r="V145" s="156">
        <f t="shared" si="40"/>
        <v>3.6225989537291614E-2</v>
      </c>
      <c r="W145" s="156">
        <f t="shared" si="42"/>
        <v>3.5032803606922916E-2</v>
      </c>
      <c r="DA145" s="213"/>
    </row>
    <row r="146" spans="1:105" ht="11.45" customHeight="1" x14ac:dyDescent="0.25">
      <c r="A146" s="157" t="s">
        <v>110</v>
      </c>
      <c r="B146" s="103">
        <f t="shared" si="40"/>
        <v>6.4478349786840255E-5</v>
      </c>
      <c r="C146" s="103">
        <f t="shared" si="40"/>
        <v>5.9501398169686287E-5</v>
      </c>
      <c r="D146" s="103">
        <f t="shared" si="40"/>
        <v>5.7698136269659452E-5</v>
      </c>
      <c r="E146" s="103">
        <f t="shared" si="40"/>
        <v>5.5153990244862663E-5</v>
      </c>
      <c r="F146" s="103">
        <f t="shared" si="40"/>
        <v>5.1660753754069567E-5</v>
      </c>
      <c r="G146" s="103">
        <f t="shared" si="40"/>
        <v>4.7777054507863901E-5</v>
      </c>
      <c r="H146" s="103">
        <f t="shared" si="40"/>
        <v>4.454005654237168E-5</v>
      </c>
      <c r="I146" s="103">
        <f t="shared" si="40"/>
        <v>4.0351538343538652E-5</v>
      </c>
      <c r="J146" s="103">
        <f t="shared" si="40"/>
        <v>3.8136416323517722E-5</v>
      </c>
      <c r="K146" s="103">
        <f t="shared" si="40"/>
        <v>3.4147445461616965E-5</v>
      </c>
      <c r="L146" s="103">
        <f t="shared" si="41"/>
        <v>2.9318831849962695E-5</v>
      </c>
      <c r="M146" s="103">
        <f t="shared" si="40"/>
        <v>2.4507262460861409E-5</v>
      </c>
      <c r="N146" s="103">
        <f t="shared" si="40"/>
        <v>2.0857653770087515E-5</v>
      </c>
      <c r="O146" s="103">
        <f t="shared" si="40"/>
        <v>1.7480926737629733E-5</v>
      </c>
      <c r="P146" s="103">
        <f t="shared" si="40"/>
        <v>1.4580362700339041E-5</v>
      </c>
      <c r="Q146" s="103">
        <f t="shared" si="40"/>
        <v>1.2128306043061192E-5</v>
      </c>
      <c r="R146" s="103">
        <f t="shared" si="40"/>
        <v>1.1894136758677819E-5</v>
      </c>
      <c r="S146" s="103">
        <f t="shared" si="40"/>
        <v>1.1564290287501407E-5</v>
      </c>
      <c r="T146" s="103">
        <f t="shared" si="40"/>
        <v>1.1755228058564543E-5</v>
      </c>
      <c r="U146" s="103">
        <f t="shared" si="40"/>
        <v>1.1303978752589245E-5</v>
      </c>
      <c r="V146" s="103">
        <f t="shared" si="40"/>
        <v>9.8478210335595029E-6</v>
      </c>
      <c r="W146" s="103">
        <f t="shared" si="42"/>
        <v>9.4356159908854769E-6</v>
      </c>
      <c r="DA146" s="191"/>
    </row>
    <row r="147" spans="1:105" ht="11.45" customHeight="1" x14ac:dyDescent="0.25">
      <c r="A147" s="157" t="s">
        <v>111</v>
      </c>
      <c r="B147" s="103">
        <f t="shared" si="40"/>
        <v>4.0447175936723624E-2</v>
      </c>
      <c r="C147" s="103">
        <f t="shared" si="40"/>
        <v>3.8726932950842542E-2</v>
      </c>
      <c r="D147" s="103">
        <f t="shared" si="40"/>
        <v>3.8652687272153909E-2</v>
      </c>
      <c r="E147" s="103">
        <f t="shared" si="40"/>
        <v>3.9464083297319826E-2</v>
      </c>
      <c r="F147" s="103">
        <f t="shared" si="40"/>
        <v>3.9846847225850288E-2</v>
      </c>
      <c r="G147" s="103">
        <f t="shared" si="40"/>
        <v>4.02584231003386E-2</v>
      </c>
      <c r="H147" s="103">
        <f t="shared" si="40"/>
        <v>4.1681405948501803E-2</v>
      </c>
      <c r="I147" s="103">
        <f t="shared" si="40"/>
        <v>4.2152152724307217E-2</v>
      </c>
      <c r="J147" s="103">
        <f t="shared" si="40"/>
        <v>4.3028848626487017E-2</v>
      </c>
      <c r="K147" s="103">
        <f t="shared" si="40"/>
        <v>4.1461072585761802E-2</v>
      </c>
      <c r="L147" s="103">
        <f t="shared" si="41"/>
        <v>4.0140581504262071E-2</v>
      </c>
      <c r="M147" s="103">
        <f t="shared" si="40"/>
        <v>3.8203277215297371E-2</v>
      </c>
      <c r="N147" s="103">
        <f t="shared" si="40"/>
        <v>3.7855215921510796E-2</v>
      </c>
      <c r="O147" s="103">
        <f t="shared" si="40"/>
        <v>3.5363323670259669E-2</v>
      </c>
      <c r="P147" s="103">
        <f t="shared" si="40"/>
        <v>3.5276681674239481E-2</v>
      </c>
      <c r="Q147" s="103">
        <f t="shared" si="40"/>
        <v>3.5649183258431874E-2</v>
      </c>
      <c r="R147" s="103">
        <f t="shared" ref="R147:V147" si="43">IF(R29=0,0,R29/R$17)</f>
        <v>3.6499347571600158E-2</v>
      </c>
      <c r="S147" s="103">
        <f t="shared" si="43"/>
        <v>3.5794862536996715E-2</v>
      </c>
      <c r="T147" s="103">
        <f t="shared" si="43"/>
        <v>3.6801188439899407E-2</v>
      </c>
      <c r="U147" s="103">
        <f t="shared" si="43"/>
        <v>3.6187194953691708E-2</v>
      </c>
      <c r="V147" s="103">
        <f t="shared" si="43"/>
        <v>3.1951417380622585E-2</v>
      </c>
      <c r="W147" s="103">
        <f t="shared" ref="W147" si="44">IF(W29=0,0,W29/W$17)</f>
        <v>2.9632415644228072E-2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3.324238218857528E-5</v>
      </c>
      <c r="C148" s="103">
        <f t="shared" si="45"/>
        <v>3.66932952866682E-5</v>
      </c>
      <c r="D148" s="103">
        <f t="shared" si="45"/>
        <v>3.6969502267793604E-5</v>
      </c>
      <c r="E148" s="103">
        <f t="shared" si="45"/>
        <v>3.9534889582238389E-5</v>
      </c>
      <c r="F148" s="103">
        <f t="shared" si="45"/>
        <v>4.0832276825927495E-5</v>
      </c>
      <c r="G148" s="103">
        <f t="shared" si="45"/>
        <v>4.1471932525109185E-5</v>
      </c>
      <c r="H148" s="103">
        <f t="shared" si="45"/>
        <v>3.3950754391925073E-5</v>
      </c>
      <c r="I148" s="103">
        <f t="shared" si="45"/>
        <v>4.0577716212098392E-5</v>
      </c>
      <c r="J148" s="103">
        <f t="shared" si="45"/>
        <v>4.1631947984057988E-5</v>
      </c>
      <c r="K148" s="103">
        <f t="shared" si="45"/>
        <v>4.0055264008880758E-5</v>
      </c>
      <c r="L148" s="103">
        <f t="shared" ref="L148:L150" si="46">IF(L30=0,0,L30/L$17)</f>
        <v>3.7274156403789465E-5</v>
      </c>
      <c r="M148" s="103">
        <f t="shared" ref="M148:V148" si="47">IF(M30=0,0,M30/M$17)</f>
        <v>3.369170437539729E-5</v>
      </c>
      <c r="N148" s="103">
        <f t="shared" si="47"/>
        <v>3.1467739712160552E-5</v>
      </c>
      <c r="O148" s="103">
        <f t="shared" si="47"/>
        <v>2.918170901673687E-5</v>
      </c>
      <c r="P148" s="103">
        <f t="shared" si="47"/>
        <v>2.7000474508661498E-5</v>
      </c>
      <c r="Q148" s="103">
        <f t="shared" si="47"/>
        <v>2.5188243544194852E-5</v>
      </c>
      <c r="R148" s="103">
        <f t="shared" si="47"/>
        <v>2.3761841545933208E-5</v>
      </c>
      <c r="S148" s="103">
        <f t="shared" si="47"/>
        <v>2.1641845747889916E-5</v>
      </c>
      <c r="T148" s="103">
        <f t="shared" si="47"/>
        <v>2.0603181125616725E-5</v>
      </c>
      <c r="U148" s="103">
        <f t="shared" si="47"/>
        <v>1.8587467129920259E-5</v>
      </c>
      <c r="V148" s="103">
        <f t="shared" si="47"/>
        <v>1.5231422734467513E-5</v>
      </c>
      <c r="W148" s="103">
        <f t="shared" ref="W148" si="48">IF(W30=0,0,W30/W$17)</f>
        <v>1.3288720449499372E-5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5.8715842618512743E-6</v>
      </c>
      <c r="C149" s="103">
        <f t="shared" si="49"/>
        <v>1.3957081371611193E-4</v>
      </c>
      <c r="D149" s="103">
        <f t="shared" si="49"/>
        <v>1.6338240259925813E-4</v>
      </c>
      <c r="E149" s="103">
        <f t="shared" si="49"/>
        <v>2.3220386932495545E-4</v>
      </c>
      <c r="F149" s="103">
        <f t="shared" si="49"/>
        <v>2.6156883535695521E-4</v>
      </c>
      <c r="G149" s="103">
        <f t="shared" si="49"/>
        <v>2.9378913702374291E-4</v>
      </c>
      <c r="H149" s="103">
        <f t="shared" si="49"/>
        <v>3.8197172387246153E-4</v>
      </c>
      <c r="I149" s="103">
        <f t="shared" si="49"/>
        <v>4.2274248705946474E-4</v>
      </c>
      <c r="J149" s="103">
        <f t="shared" si="49"/>
        <v>5.3959579868076012E-4</v>
      </c>
      <c r="K149" s="103">
        <f t="shared" si="49"/>
        <v>5.345723530788218E-4</v>
      </c>
      <c r="L149" s="103">
        <f t="shared" si="46"/>
        <v>5.5812720056352451E-4</v>
      </c>
      <c r="M149" s="103">
        <f t="shared" ref="M149:V149" si="50">IF(M31=0,0,M31/M$17)</f>
        <v>1.3182614189606186E-3</v>
      </c>
      <c r="N149" s="103">
        <f t="shared" si="50"/>
        <v>1.479896340984572E-3</v>
      </c>
      <c r="O149" s="103">
        <f t="shared" si="50"/>
        <v>1.6733558929328601E-3</v>
      </c>
      <c r="P149" s="103">
        <f t="shared" si="50"/>
        <v>1.8125746737992084E-3</v>
      </c>
      <c r="Q149" s="103">
        <f t="shared" si="50"/>
        <v>1.84526770569982E-3</v>
      </c>
      <c r="R149" s="103">
        <f t="shared" si="50"/>
        <v>1.9206672027585095E-3</v>
      </c>
      <c r="S149" s="103">
        <f t="shared" si="50"/>
        <v>2.0706515142657938E-3</v>
      </c>
      <c r="T149" s="103">
        <f t="shared" si="50"/>
        <v>2.4307322619538997E-3</v>
      </c>
      <c r="U149" s="103">
        <f t="shared" si="50"/>
        <v>3.0156335826065418E-3</v>
      </c>
      <c r="V149" s="103">
        <f t="shared" si="50"/>
        <v>4.2494929129010045E-3</v>
      </c>
      <c r="W149" s="103">
        <f t="shared" ref="W149" si="51">IF(W31=0,0,W31/W$17)</f>
        <v>5.377663626254461E-3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0.36563284615300351</v>
      </c>
      <c r="C151" s="46">
        <f t="shared" si="55"/>
        <v>0.36242442276807263</v>
      </c>
      <c r="D151" s="46">
        <f t="shared" si="55"/>
        <v>0.36025476718821609</v>
      </c>
      <c r="E151" s="46">
        <f t="shared" si="55"/>
        <v>0.35912660916651307</v>
      </c>
      <c r="F151" s="46">
        <f t="shared" si="55"/>
        <v>0.36815657939398999</v>
      </c>
      <c r="G151" s="46">
        <f t="shared" si="55"/>
        <v>0.36941379861712248</v>
      </c>
      <c r="H151" s="46">
        <f t="shared" si="55"/>
        <v>0.36808600472857916</v>
      </c>
      <c r="I151" s="46">
        <f t="shared" si="55"/>
        <v>0.36648596057052957</v>
      </c>
      <c r="J151" s="46">
        <f t="shared" si="55"/>
        <v>0.35942539284073172</v>
      </c>
      <c r="K151" s="46">
        <f t="shared" si="55"/>
        <v>0.34090554940810525</v>
      </c>
      <c r="L151" s="46">
        <f t="shared" ref="L151" si="56">IF(L33=0,0,L33/L$17)</f>
        <v>0.35009218410017773</v>
      </c>
      <c r="M151" s="46">
        <f t="shared" ref="M151:V151" si="57">IF(M33=0,0,M33/M$17)</f>
        <v>0.35043872568204631</v>
      </c>
      <c r="N151" s="46">
        <f t="shared" si="57"/>
        <v>0.34084346832655416</v>
      </c>
      <c r="O151" s="46">
        <f t="shared" si="57"/>
        <v>0.34504590398548685</v>
      </c>
      <c r="P151" s="46">
        <f t="shared" si="57"/>
        <v>0.34000692940881294</v>
      </c>
      <c r="Q151" s="46">
        <f t="shared" si="57"/>
        <v>0.3367888683006075</v>
      </c>
      <c r="R151" s="46">
        <f t="shared" si="57"/>
        <v>0.33926573818583727</v>
      </c>
      <c r="S151" s="46">
        <f t="shared" si="57"/>
        <v>0.34522536040309088</v>
      </c>
      <c r="T151" s="46">
        <f t="shared" si="57"/>
        <v>0.34678321189802147</v>
      </c>
      <c r="U151" s="46">
        <f t="shared" si="57"/>
        <v>0.34824368833312286</v>
      </c>
      <c r="V151" s="46">
        <f t="shared" si="57"/>
        <v>0.37434978044156236</v>
      </c>
      <c r="W151" s="46">
        <f t="shared" ref="W151" si="58">IF(W33=0,0,W33/W$17)</f>
        <v>0.36900233615255035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0.16825047143137825</v>
      </c>
      <c r="C152" s="154">
        <f t="shared" si="59"/>
        <v>0.16524211689626345</v>
      </c>
      <c r="D152" s="154">
        <f t="shared" si="59"/>
        <v>0.16279225776747575</v>
      </c>
      <c r="E152" s="154">
        <f t="shared" si="59"/>
        <v>0.16050530868245394</v>
      </c>
      <c r="F152" s="154">
        <f t="shared" si="59"/>
        <v>0.1549716368534812</v>
      </c>
      <c r="G152" s="154">
        <f t="shared" si="59"/>
        <v>0.153822400732128</v>
      </c>
      <c r="H152" s="154">
        <f t="shared" si="59"/>
        <v>0.15207487958526694</v>
      </c>
      <c r="I152" s="154">
        <f t="shared" si="59"/>
        <v>0.14884701049103979</v>
      </c>
      <c r="J152" s="154">
        <f t="shared" si="59"/>
        <v>0.14743919431552721</v>
      </c>
      <c r="K152" s="154">
        <f t="shared" si="59"/>
        <v>0.15121938921870071</v>
      </c>
      <c r="L152" s="154">
        <f t="shared" ref="L152" si="60">IF(L34=0,0,L34/L$17)</f>
        <v>0.15472730668611245</v>
      </c>
      <c r="M152" s="154">
        <f t="shared" ref="M152:V152" si="61">IF(M34=0,0,M34/M$17)</f>
        <v>0.1570806292071627</v>
      </c>
      <c r="N152" s="154">
        <f t="shared" si="61"/>
        <v>0.15781384403609894</v>
      </c>
      <c r="O152" s="154">
        <f t="shared" si="61"/>
        <v>0.15918004205291969</v>
      </c>
      <c r="P152" s="154">
        <f t="shared" si="61"/>
        <v>0.1576630243140256</v>
      </c>
      <c r="Q152" s="154">
        <f t="shared" si="61"/>
        <v>0.16076494353264018</v>
      </c>
      <c r="R152" s="154">
        <f t="shared" si="61"/>
        <v>0.15816260502240881</v>
      </c>
      <c r="S152" s="154">
        <f t="shared" si="61"/>
        <v>0.16006931756023149</v>
      </c>
      <c r="T152" s="154">
        <f t="shared" si="61"/>
        <v>0.16128022458833807</v>
      </c>
      <c r="U152" s="154">
        <f t="shared" si="61"/>
        <v>0.16023925901817715</v>
      </c>
      <c r="V152" s="154">
        <f t="shared" si="61"/>
        <v>0.16277244680097308</v>
      </c>
      <c r="W152" s="154">
        <f t="shared" ref="W152" si="62">IF(W34=0,0,W34/W$17)</f>
        <v>0.16858536478602973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2.2827838321875262E-2</v>
      </c>
      <c r="C153" s="103">
        <f t="shared" si="63"/>
        <v>1.9724276039782645E-2</v>
      </c>
      <c r="D153" s="103">
        <f t="shared" si="63"/>
        <v>1.6327695995131761E-2</v>
      </c>
      <c r="E153" s="103">
        <f t="shared" si="63"/>
        <v>1.3090071784999277E-2</v>
      </c>
      <c r="F153" s="103">
        <f t="shared" si="63"/>
        <v>1.0246834262099857E-2</v>
      </c>
      <c r="G153" s="103">
        <f t="shared" si="63"/>
        <v>8.5926435207814948E-3</v>
      </c>
      <c r="H153" s="103">
        <f t="shared" si="63"/>
        <v>7.2797110280467224E-3</v>
      </c>
      <c r="I153" s="103">
        <f t="shared" si="63"/>
        <v>6.2599709793141247E-3</v>
      </c>
      <c r="J153" s="103">
        <f t="shared" si="63"/>
        <v>5.575665385199856E-3</v>
      </c>
      <c r="K153" s="103">
        <f t="shared" si="63"/>
        <v>5.0710322959139961E-3</v>
      </c>
      <c r="L153" s="103">
        <f t="shared" ref="L153" si="64">IF(L35=0,0,L35/L$17)</f>
        <v>5.4374864051687632E-3</v>
      </c>
      <c r="M153" s="103">
        <f t="shared" ref="M153:V153" si="65">IF(M35=0,0,M35/M$17)</f>
        <v>5.8395536812384527E-3</v>
      </c>
      <c r="N153" s="103">
        <f t="shared" si="65"/>
        <v>6.1844126040940485E-3</v>
      </c>
      <c r="O153" s="103">
        <f t="shared" si="65"/>
        <v>6.5741352570010828E-3</v>
      </c>
      <c r="P153" s="103">
        <f t="shared" si="65"/>
        <v>5.8366417823860596E-3</v>
      </c>
      <c r="Q153" s="103">
        <f t="shared" si="65"/>
        <v>5.2901081913037289E-3</v>
      </c>
      <c r="R153" s="103">
        <f t="shared" si="65"/>
        <v>5.0531910402127544E-3</v>
      </c>
      <c r="S153" s="103">
        <f t="shared" si="65"/>
        <v>5.0450314751384591E-3</v>
      </c>
      <c r="T153" s="103">
        <f t="shared" si="65"/>
        <v>4.9599404665901991E-3</v>
      </c>
      <c r="U153" s="103">
        <f t="shared" si="65"/>
        <v>4.722855182799704E-3</v>
      </c>
      <c r="V153" s="103">
        <f t="shared" si="65"/>
        <v>4.7140373618174778E-3</v>
      </c>
      <c r="W153" s="103">
        <f t="shared" ref="W153" si="66">IF(W35=0,0,W35/W$17)</f>
        <v>5.0930474430274141E-3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0.14484867591578485</v>
      </c>
      <c r="C154" s="103">
        <f t="shared" si="67"/>
        <v>0.1449188908707045</v>
      </c>
      <c r="D154" s="103">
        <f t="shared" si="67"/>
        <v>0.14585305371278715</v>
      </c>
      <c r="E154" s="103">
        <f t="shared" si="67"/>
        <v>0.14679104256942102</v>
      </c>
      <c r="F154" s="103">
        <f t="shared" si="67"/>
        <v>0.1440966769176206</v>
      </c>
      <c r="G154" s="103">
        <f t="shared" si="67"/>
        <v>0.14457816333665849</v>
      </c>
      <c r="H154" s="103">
        <f t="shared" si="67"/>
        <v>0.14409421060573041</v>
      </c>
      <c r="I154" s="103">
        <f t="shared" si="67"/>
        <v>0.14202939605097167</v>
      </c>
      <c r="J154" s="103">
        <f t="shared" si="67"/>
        <v>0.14133690718090819</v>
      </c>
      <c r="K154" s="103">
        <f t="shared" si="67"/>
        <v>0.14558951139795107</v>
      </c>
      <c r="L154" s="103">
        <f t="shared" ref="L154" si="68">IF(L36=0,0,L36/L$17)</f>
        <v>0.14873996570635434</v>
      </c>
      <c r="M154" s="103">
        <f t="shared" ref="M154:V154" si="69">IF(M36=0,0,M36/M$17)</f>
        <v>0.15070468648026747</v>
      </c>
      <c r="N154" s="103">
        <f t="shared" si="69"/>
        <v>0.15110601724573108</v>
      </c>
      <c r="O154" s="103">
        <f t="shared" si="69"/>
        <v>0.15208130353612756</v>
      </c>
      <c r="P154" s="103">
        <f t="shared" si="69"/>
        <v>0.15131158048155577</v>
      </c>
      <c r="Q154" s="103">
        <f t="shared" si="69"/>
        <v>0.1549554490124059</v>
      </c>
      <c r="R154" s="103">
        <f t="shared" si="69"/>
        <v>0.15259823136313616</v>
      </c>
      <c r="S154" s="103">
        <f t="shared" si="69"/>
        <v>0.15451282323655374</v>
      </c>
      <c r="T154" s="103">
        <f t="shared" si="69"/>
        <v>0.15578863507348478</v>
      </c>
      <c r="U154" s="103">
        <f t="shared" si="69"/>
        <v>0.1549963356104819</v>
      </c>
      <c r="V154" s="103">
        <f t="shared" si="69"/>
        <v>0.15758642988476787</v>
      </c>
      <c r="W154" s="103">
        <f t="shared" ref="W154" si="70">IF(W36=0,0,W36/W$17)</f>
        <v>0.16298431799374477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5.6798538824585042E-4</v>
      </c>
      <c r="C155" s="103">
        <f t="shared" si="71"/>
        <v>5.9340357900194768E-4</v>
      </c>
      <c r="D155" s="103">
        <f t="shared" si="71"/>
        <v>6.0585208666889649E-4</v>
      </c>
      <c r="E155" s="103">
        <f t="shared" si="71"/>
        <v>6.1520785179488939E-4</v>
      </c>
      <c r="F155" s="103">
        <f t="shared" si="71"/>
        <v>6.1964371464515286E-4</v>
      </c>
      <c r="G155" s="103">
        <f t="shared" si="71"/>
        <v>6.4339278912066509E-4</v>
      </c>
      <c r="H155" s="103">
        <f t="shared" si="71"/>
        <v>6.8460529185067646E-4</v>
      </c>
      <c r="I155" s="103">
        <f t="shared" si="71"/>
        <v>5.4240766856143469E-4</v>
      </c>
      <c r="J155" s="103">
        <f t="shared" si="71"/>
        <v>5.1111251064449293E-4</v>
      </c>
      <c r="K155" s="103">
        <f t="shared" si="71"/>
        <v>5.401743652486314E-4</v>
      </c>
      <c r="L155" s="103">
        <f t="shared" ref="L155" si="72">IF(L37=0,0,L37/L$17)</f>
        <v>5.3243592896386009E-4</v>
      </c>
      <c r="M155" s="103">
        <f t="shared" ref="M155:V155" si="73">IF(M37=0,0,M37/M$17)</f>
        <v>5.1592157365355459E-4</v>
      </c>
      <c r="N155" s="103">
        <f t="shared" si="73"/>
        <v>4.9580492249234887E-4</v>
      </c>
      <c r="O155" s="103">
        <f t="shared" si="73"/>
        <v>4.8969063730579688E-4</v>
      </c>
      <c r="P155" s="103">
        <f t="shared" si="73"/>
        <v>4.7509805289934118E-4</v>
      </c>
      <c r="Q155" s="103">
        <f t="shared" si="73"/>
        <v>4.7410408676532099E-4</v>
      </c>
      <c r="R155" s="103">
        <f t="shared" si="73"/>
        <v>4.5900872061771351E-4</v>
      </c>
      <c r="S155" s="103">
        <f t="shared" si="73"/>
        <v>4.4852577933331969E-4</v>
      </c>
      <c r="T155" s="103">
        <f t="shared" si="73"/>
        <v>3.8937157609587804E-4</v>
      </c>
      <c r="U155" s="103">
        <f t="shared" si="73"/>
        <v>3.6473012797749445E-4</v>
      </c>
      <c r="V155" s="103">
        <f t="shared" si="73"/>
        <v>3.0261865622026172E-4</v>
      </c>
      <c r="W155" s="103">
        <f t="shared" ref="W155" si="74">IF(W37=0,0,W37/W$17)</f>
        <v>3.133362682131399E-4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5.9718054722902169E-6</v>
      </c>
      <c r="C156" s="103">
        <f t="shared" si="75"/>
        <v>5.54640677435556E-6</v>
      </c>
      <c r="D156" s="103">
        <f t="shared" si="75"/>
        <v>5.6559728879584916E-6</v>
      </c>
      <c r="E156" s="103">
        <f t="shared" si="75"/>
        <v>8.9864762387723914E-6</v>
      </c>
      <c r="F156" s="103">
        <f t="shared" si="75"/>
        <v>8.4819591156030776E-6</v>
      </c>
      <c r="G156" s="103">
        <f t="shared" si="75"/>
        <v>8.2010855673513476E-6</v>
      </c>
      <c r="H156" s="103">
        <f t="shared" si="75"/>
        <v>1.6352659639133526E-5</v>
      </c>
      <c r="I156" s="103">
        <f t="shared" si="75"/>
        <v>1.5235792192564164E-5</v>
      </c>
      <c r="J156" s="103">
        <f t="shared" si="75"/>
        <v>1.5509238774693783E-5</v>
      </c>
      <c r="K156" s="103">
        <f t="shared" si="75"/>
        <v>1.8671159587020083E-5</v>
      </c>
      <c r="L156" s="103">
        <f t="shared" ref="L156" si="76">IF(L38=0,0,L38/L$17)</f>
        <v>1.7418645625494386E-5</v>
      </c>
      <c r="M156" s="103">
        <f t="shared" ref="M156:V156" si="77">IF(M38=0,0,M38/M$17)</f>
        <v>2.0467472003251275E-5</v>
      </c>
      <c r="N156" s="103">
        <f t="shared" si="77"/>
        <v>2.760926378146916E-5</v>
      </c>
      <c r="O156" s="103">
        <f t="shared" si="77"/>
        <v>3.4912622485231154E-5</v>
      </c>
      <c r="P156" s="103">
        <f t="shared" si="77"/>
        <v>3.9703997184409572E-5</v>
      </c>
      <c r="Q156" s="103">
        <f t="shared" si="77"/>
        <v>4.5282242165244046E-5</v>
      </c>
      <c r="R156" s="103">
        <f t="shared" si="77"/>
        <v>5.2173898442182464E-5</v>
      </c>
      <c r="S156" s="103">
        <f t="shared" si="77"/>
        <v>6.2937069205952151E-5</v>
      </c>
      <c r="T156" s="103">
        <f t="shared" si="77"/>
        <v>1.4227747216726002E-4</v>
      </c>
      <c r="U156" s="103">
        <f t="shared" si="77"/>
        <v>1.5533809691804586E-4</v>
      </c>
      <c r="V156" s="103">
        <f t="shared" si="77"/>
        <v>1.693608981674391E-4</v>
      </c>
      <c r="W156" s="103">
        <f t="shared" ref="W156" si="78">IF(W38=0,0,W38/W$17)</f>
        <v>1.9466308104440925E-4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0.19738237472162531</v>
      </c>
      <c r="C158" s="156">
        <f t="shared" si="83"/>
        <v>0.19718230587180921</v>
      </c>
      <c r="D158" s="156">
        <f t="shared" si="83"/>
        <v>0.19746250942074034</v>
      </c>
      <c r="E158" s="156">
        <f t="shared" si="83"/>
        <v>0.1986213004840591</v>
      </c>
      <c r="F158" s="156">
        <f t="shared" si="83"/>
        <v>0.21318494254050877</v>
      </c>
      <c r="G158" s="156">
        <f t="shared" si="83"/>
        <v>0.21559139788499448</v>
      </c>
      <c r="H158" s="156">
        <f t="shared" si="83"/>
        <v>0.21601112514331225</v>
      </c>
      <c r="I158" s="156">
        <f t="shared" si="83"/>
        <v>0.21763895007948977</v>
      </c>
      <c r="J158" s="156">
        <f t="shared" si="83"/>
        <v>0.21198619852520451</v>
      </c>
      <c r="K158" s="156">
        <f t="shared" si="83"/>
        <v>0.18968616018940454</v>
      </c>
      <c r="L158" s="156">
        <f t="shared" ref="L158" si="84">IF(L40=0,0,L40/L$17)</f>
        <v>0.19536487741406525</v>
      </c>
      <c r="M158" s="156">
        <f t="shared" ref="M158:V158" si="85">IF(M40=0,0,M40/M$17)</f>
        <v>0.19335809647488361</v>
      </c>
      <c r="N158" s="156">
        <f t="shared" si="85"/>
        <v>0.18302962429045522</v>
      </c>
      <c r="O158" s="156">
        <f t="shared" si="85"/>
        <v>0.18586586193256724</v>
      </c>
      <c r="P158" s="156">
        <f t="shared" si="85"/>
        <v>0.18234390509478735</v>
      </c>
      <c r="Q158" s="156">
        <f t="shared" si="85"/>
        <v>0.17602392476796727</v>
      </c>
      <c r="R158" s="156">
        <f t="shared" si="85"/>
        <v>0.18110313316342849</v>
      </c>
      <c r="S158" s="156">
        <f t="shared" si="85"/>
        <v>0.18515604284285936</v>
      </c>
      <c r="T158" s="156">
        <f t="shared" si="85"/>
        <v>0.18550298730968337</v>
      </c>
      <c r="U158" s="156">
        <f t="shared" si="85"/>
        <v>0.18800442931494576</v>
      </c>
      <c r="V158" s="156">
        <f t="shared" si="85"/>
        <v>0.21157733364058925</v>
      </c>
      <c r="W158" s="156">
        <f t="shared" ref="W158" si="86">IF(W40=0,0,W40/W$17)</f>
        <v>0.20041697136652067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0.13343419349244687</v>
      </c>
      <c r="C159" s="103">
        <f t="shared" si="87"/>
        <v>0.13208877931383758</v>
      </c>
      <c r="D159" s="103">
        <f t="shared" si="87"/>
        <v>0.13059654427263082</v>
      </c>
      <c r="E159" s="103">
        <f t="shared" si="87"/>
        <v>0.13115997109020339</v>
      </c>
      <c r="F159" s="103">
        <f t="shared" si="87"/>
        <v>0.13658711879114332</v>
      </c>
      <c r="G159" s="103">
        <f t="shared" si="87"/>
        <v>0.13648695684682463</v>
      </c>
      <c r="H159" s="103">
        <f t="shared" si="87"/>
        <v>0.13622943128453371</v>
      </c>
      <c r="I159" s="103">
        <f t="shared" si="87"/>
        <v>0.13815344516921441</v>
      </c>
      <c r="J159" s="103">
        <f t="shared" si="87"/>
        <v>0.13200111996652142</v>
      </c>
      <c r="K159" s="103">
        <f t="shared" si="87"/>
        <v>0.11628984016048532</v>
      </c>
      <c r="L159" s="103">
        <f t="shared" ref="L159" si="88">IF(L41=0,0,L41/L$17)</f>
        <v>0.12181518825111991</v>
      </c>
      <c r="M159" s="103">
        <f t="shared" ref="M159:V159" si="89">IF(M41=0,0,M41/M$17)</f>
        <v>0.12393571244680257</v>
      </c>
      <c r="N159" s="103">
        <f t="shared" si="89"/>
        <v>0.11444912448419471</v>
      </c>
      <c r="O159" s="103">
        <f t="shared" si="89"/>
        <v>0.11355632694896341</v>
      </c>
      <c r="P159" s="103">
        <f t="shared" si="89"/>
        <v>0.11025411946789976</v>
      </c>
      <c r="Q159" s="103">
        <f t="shared" si="89"/>
        <v>0.10284117002793591</v>
      </c>
      <c r="R159" s="103">
        <f t="shared" si="89"/>
        <v>0.10553034370735025</v>
      </c>
      <c r="S159" s="103">
        <f t="shared" si="89"/>
        <v>0.10595722551786076</v>
      </c>
      <c r="T159" s="103">
        <f t="shared" si="89"/>
        <v>0.10502028433745204</v>
      </c>
      <c r="U159" s="103">
        <f t="shared" si="89"/>
        <v>0.10507272657933868</v>
      </c>
      <c r="V159" s="103">
        <f t="shared" si="89"/>
        <v>0.11714196662163955</v>
      </c>
      <c r="W159" s="103">
        <f t="shared" ref="W159" si="90">IF(W41=0,0,W41/W$17)</f>
        <v>0.10762594429427985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6.3948181229178433E-2</v>
      </c>
      <c r="C160" s="105">
        <f t="shared" si="91"/>
        <v>6.5093526557971654E-2</v>
      </c>
      <c r="D160" s="105">
        <f t="shared" si="91"/>
        <v>6.6865965148109496E-2</v>
      </c>
      <c r="E160" s="105">
        <f t="shared" si="91"/>
        <v>6.7461329393855712E-2</v>
      </c>
      <c r="F160" s="105">
        <f t="shared" si="91"/>
        <v>7.659782374936544E-2</v>
      </c>
      <c r="G160" s="105">
        <f t="shared" si="91"/>
        <v>7.9104441038169868E-2</v>
      </c>
      <c r="H160" s="105">
        <f t="shared" si="91"/>
        <v>7.9781693858778521E-2</v>
      </c>
      <c r="I160" s="105">
        <f t="shared" si="91"/>
        <v>7.9485504910275354E-2</v>
      </c>
      <c r="J160" s="105">
        <f t="shared" si="91"/>
        <v>7.9985078558683087E-2</v>
      </c>
      <c r="K160" s="105">
        <f t="shared" si="91"/>
        <v>7.3396320028919229E-2</v>
      </c>
      <c r="L160" s="105">
        <f t="shared" ref="L160" si="92">IF(L42=0,0,L42/L$17)</f>
        <v>7.3549689162945339E-2</v>
      </c>
      <c r="M160" s="105">
        <f t="shared" ref="M160:V160" si="93">IF(M42=0,0,M42/M$17)</f>
        <v>6.9422384028081027E-2</v>
      </c>
      <c r="N160" s="105">
        <f t="shared" si="93"/>
        <v>6.8580499806260506E-2</v>
      </c>
      <c r="O160" s="105">
        <f t="shared" si="93"/>
        <v>7.2309534983603832E-2</v>
      </c>
      <c r="P160" s="105">
        <f t="shared" si="93"/>
        <v>7.2089785626887573E-2</v>
      </c>
      <c r="Q160" s="105">
        <f t="shared" si="93"/>
        <v>7.3182754740031372E-2</v>
      </c>
      <c r="R160" s="105">
        <f t="shared" si="93"/>
        <v>7.5572789456078218E-2</v>
      </c>
      <c r="S160" s="105">
        <f t="shared" si="93"/>
        <v>7.9198817324998616E-2</v>
      </c>
      <c r="T160" s="105">
        <f t="shared" si="93"/>
        <v>8.0482702972231313E-2</v>
      </c>
      <c r="U160" s="105">
        <f t="shared" si="93"/>
        <v>8.2931702735607071E-2</v>
      </c>
      <c r="V160" s="105">
        <f t="shared" si="93"/>
        <v>9.4435367018949695E-2</v>
      </c>
      <c r="W160" s="105">
        <f t="shared" ref="W160" si="94">IF(W42=0,0,W42/W$17)</f>
        <v>9.2791027072240836E-2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38142673</v>
      </c>
      <c r="C3" s="54">
        <f>TrRoad_act!C57</f>
        <v>38676945</v>
      </c>
      <c r="D3" s="54">
        <f>TrRoad_act!D57</f>
        <v>39185694</v>
      </c>
      <c r="E3" s="54">
        <f>TrRoad_act!E57</f>
        <v>39642290</v>
      </c>
      <c r="F3" s="54">
        <f>TrRoad_act!F57</f>
        <v>40052579</v>
      </c>
      <c r="G3" s="54">
        <f>TrRoad_act!G57</f>
        <v>40305561</v>
      </c>
      <c r="H3" s="54">
        <f>TrRoad_act!H57</f>
        <v>40742273</v>
      </c>
      <c r="I3" s="54">
        <f>TrRoad_act!I57</f>
        <v>41337595</v>
      </c>
      <c r="J3" s="54">
        <f>TrRoad_act!J57</f>
        <v>42574876</v>
      </c>
      <c r="K3" s="54">
        <f>TrRoad_act!K57</f>
        <v>43767591</v>
      </c>
      <c r="L3" s="54">
        <f>TrRoad_act!L57</f>
        <v>44672453</v>
      </c>
      <c r="M3" s="54">
        <f>TrRoad_act!M57</f>
        <v>46297477</v>
      </c>
      <c r="N3" s="54">
        <f>TrRoad_act!N57</f>
        <v>46525394</v>
      </c>
      <c r="O3" s="54">
        <f>TrRoad_act!O57</f>
        <v>47128888</v>
      </c>
      <c r="P3" s="54">
        <f>TrRoad_act!P57</f>
        <v>47719259</v>
      </c>
      <c r="Q3" s="54">
        <f>TrRoad_act!Q57</f>
        <v>48280423</v>
      </c>
      <c r="R3" s="54">
        <f>TrRoad_act!R57</f>
        <v>48767460</v>
      </c>
      <c r="S3" s="54">
        <f>TrRoad_act!S57</f>
        <v>49126623</v>
      </c>
      <c r="T3" s="54">
        <f>TrRoad_act!T57</f>
        <v>49253086</v>
      </c>
      <c r="U3" s="54">
        <f>TrRoad_act!U57</f>
        <v>49453635</v>
      </c>
      <c r="V3" s="54">
        <f>TrRoad_act!V57</f>
        <v>49476951</v>
      </c>
      <c r="W3" s="54">
        <f>TrRoad_act!W57</f>
        <v>49410982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31727690</v>
      </c>
      <c r="C4" s="28">
        <f>TrRoad_act!C58</f>
        <v>32201089</v>
      </c>
      <c r="D4" s="28">
        <f>TrRoad_act!D58</f>
        <v>32662351</v>
      </c>
      <c r="E4" s="28">
        <f>TrRoad_act!E58</f>
        <v>33074955</v>
      </c>
      <c r="F4" s="28">
        <f>TrRoad_act!F58</f>
        <v>33435028</v>
      </c>
      <c r="G4" s="28">
        <f>TrRoad_act!G58</f>
        <v>33654493</v>
      </c>
      <c r="H4" s="28">
        <f>TrRoad_act!H58</f>
        <v>34057039</v>
      </c>
      <c r="I4" s="28">
        <f>TrRoad_act!I58</f>
        <v>34611291</v>
      </c>
      <c r="J4" s="28">
        <f>TrRoad_act!J58</f>
        <v>35806984</v>
      </c>
      <c r="K4" s="28">
        <f>TrRoad_act!K58</f>
        <v>36979364</v>
      </c>
      <c r="L4" s="28">
        <f>TrRoad_act!L58</f>
        <v>37847142</v>
      </c>
      <c r="M4" s="28">
        <f>TrRoad_act!M58</f>
        <v>39519586</v>
      </c>
      <c r="N4" s="28">
        <f>TrRoad_act!N58</f>
        <v>39763334</v>
      </c>
      <c r="O4" s="28">
        <f>TrRoad_act!O58</f>
        <v>40351983</v>
      </c>
      <c r="P4" s="28">
        <f>TrRoad_act!P58</f>
        <v>40854984</v>
      </c>
      <c r="Q4" s="28">
        <f>TrRoad_act!Q58</f>
        <v>41384982</v>
      </c>
      <c r="R4" s="28">
        <f>TrRoad_act!R58</f>
        <v>41889178</v>
      </c>
      <c r="S4" s="28">
        <f>TrRoad_act!S58</f>
        <v>42294850</v>
      </c>
      <c r="T4" s="28">
        <f>TrRoad_act!T58</f>
        <v>42419163</v>
      </c>
      <c r="U4" s="28">
        <f>TrRoad_act!U58</f>
        <v>42629823</v>
      </c>
      <c r="V4" s="28">
        <f>TrRoad_act!V58</f>
        <v>42656951</v>
      </c>
      <c r="W4" s="28">
        <f>TrRoad_act!W58</f>
        <v>42564492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3228941</v>
      </c>
      <c r="C5" s="137">
        <f>TrRoad_act!C59</f>
        <v>3269135</v>
      </c>
      <c r="D5" s="137">
        <f>TrRoad_act!D59</f>
        <v>3270475</v>
      </c>
      <c r="E5" s="137">
        <f>TrRoad_act!E59</f>
        <v>3279854</v>
      </c>
      <c r="F5" s="137">
        <f>TrRoad_act!F59</f>
        <v>3298611</v>
      </c>
      <c r="G5" s="137">
        <f>TrRoad_act!G59</f>
        <v>3316438</v>
      </c>
      <c r="H5" s="137">
        <f>TrRoad_act!H59</f>
        <v>3407887</v>
      </c>
      <c r="I5" s="137">
        <f>TrRoad_act!I59</f>
        <v>3659899</v>
      </c>
      <c r="J5" s="137">
        <f>TrRoad_act!J59</f>
        <v>3905029</v>
      </c>
      <c r="K5" s="137">
        <f>TrRoad_act!K59</f>
        <v>4094912</v>
      </c>
      <c r="L5" s="137">
        <f>TrRoad_act!L59</f>
        <v>4200457</v>
      </c>
      <c r="M5" s="137">
        <f>TrRoad_act!M59</f>
        <v>4175456</v>
      </c>
      <c r="N5" s="137">
        <f>TrRoad_act!N59</f>
        <v>4138839</v>
      </c>
      <c r="O5" s="137">
        <f>TrRoad_act!O59</f>
        <v>4113767</v>
      </c>
      <c r="P5" s="137">
        <f>TrRoad_act!P59</f>
        <v>4117278</v>
      </c>
      <c r="Q5" s="137">
        <f>TrRoad_act!Q59</f>
        <v>4114816</v>
      </c>
      <c r="R5" s="137">
        <f>TrRoad_act!R59</f>
        <v>4124034</v>
      </c>
      <c r="S5" s="137">
        <f>TrRoad_act!S59</f>
        <v>4064982</v>
      </c>
      <c r="T5" s="137">
        <f>TrRoad_act!T59</f>
        <v>4077802</v>
      </c>
      <c r="U5" s="137">
        <f>TrRoad_act!U59</f>
        <v>4096337</v>
      </c>
      <c r="V5" s="137">
        <f>TrRoad_act!V59</f>
        <v>4076015</v>
      </c>
      <c r="W5" s="137">
        <f>TrRoad_act!W59</f>
        <v>3722031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28413000</v>
      </c>
      <c r="C6" s="110">
        <f>TrRoad_act!C60</f>
        <v>28845000</v>
      </c>
      <c r="D6" s="110">
        <f>TrRoad_act!D60</f>
        <v>29306000</v>
      </c>
      <c r="E6" s="110">
        <f>TrRoad_act!E60</f>
        <v>29708000</v>
      </c>
      <c r="F6" s="110">
        <f>TrRoad_act!F60</f>
        <v>30048000</v>
      </c>
      <c r="G6" s="110">
        <f>TrRoad_act!G60</f>
        <v>30248000</v>
      </c>
      <c r="H6" s="110">
        <f>TrRoad_act!H60</f>
        <v>30557000</v>
      </c>
      <c r="I6" s="110">
        <f>TrRoad_act!I60</f>
        <v>30857000</v>
      </c>
      <c r="J6" s="110">
        <f>TrRoad_act!J60</f>
        <v>31809081</v>
      </c>
      <c r="K6" s="110">
        <f>TrRoad_act!K60</f>
        <v>32794000</v>
      </c>
      <c r="L6" s="110">
        <f>TrRoad_act!L60</f>
        <v>33557000</v>
      </c>
      <c r="M6" s="110">
        <f>TrRoad_act!M60</f>
        <v>35252631</v>
      </c>
      <c r="N6" s="110">
        <f>TrRoad_act!N60</f>
        <v>35531728</v>
      </c>
      <c r="O6" s="110">
        <f>TrRoad_act!O60</f>
        <v>36149230</v>
      </c>
      <c r="P6" s="110">
        <f>TrRoad_act!P60</f>
        <v>36647883</v>
      </c>
      <c r="Q6" s="110">
        <f>TrRoad_act!Q60</f>
        <v>37180101</v>
      </c>
      <c r="R6" s="110">
        <f>TrRoad_act!R60</f>
        <v>37673476</v>
      </c>
      <c r="S6" s="110">
        <f>TrRoad_act!S60</f>
        <v>38136818</v>
      </c>
      <c r="T6" s="110">
        <f>TrRoad_act!T60</f>
        <v>38246432</v>
      </c>
      <c r="U6" s="110">
        <f>TrRoad_act!U60</f>
        <v>38435918</v>
      </c>
      <c r="V6" s="110">
        <f>TrRoad_act!V60</f>
        <v>38480505</v>
      </c>
      <c r="W6" s="110">
        <f>TrRoad_act!W60</f>
        <v>38738592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18086443</v>
      </c>
      <c r="C7" s="84">
        <f>TrRoad_act!C61</f>
        <v>17700627</v>
      </c>
      <c r="D7" s="84">
        <f>TrRoad_act!D61</f>
        <v>17250179</v>
      </c>
      <c r="E7" s="84">
        <f>TrRoad_act!E61</f>
        <v>16768647</v>
      </c>
      <c r="F7" s="84">
        <f>TrRoad_act!F61</f>
        <v>16262618</v>
      </c>
      <c r="G7" s="84">
        <f>TrRoad_act!G61</f>
        <v>15720999</v>
      </c>
      <c r="H7" s="84">
        <f>TrRoad_act!H61</f>
        <v>15247017</v>
      </c>
      <c r="I7" s="84">
        <f>TrRoad_act!I61</f>
        <v>14783826</v>
      </c>
      <c r="J7" s="84">
        <f>TrRoad_act!J61</f>
        <v>14386759</v>
      </c>
      <c r="K7" s="84">
        <f>TrRoad_act!K61</f>
        <v>14043689</v>
      </c>
      <c r="L7" s="84">
        <f>TrRoad_act!L61</f>
        <v>13735839</v>
      </c>
      <c r="M7" s="84">
        <f>TrRoad_act!M61</f>
        <v>13397124</v>
      </c>
      <c r="N7" s="84">
        <f>TrRoad_act!N61</f>
        <v>13084402</v>
      </c>
      <c r="O7" s="84">
        <f>TrRoad_act!O61</f>
        <v>12957196</v>
      </c>
      <c r="P7" s="84">
        <f>TrRoad_act!P61</f>
        <v>12978380</v>
      </c>
      <c r="Q7" s="84">
        <f>TrRoad_act!Q61</f>
        <v>13185221</v>
      </c>
      <c r="R7" s="84">
        <f>TrRoad_act!R61</f>
        <v>13533108</v>
      </c>
      <c r="S7" s="84">
        <f>TrRoad_act!S61</f>
        <v>14054568</v>
      </c>
      <c r="T7" s="84">
        <f>TrRoad_act!T61</f>
        <v>14675215</v>
      </c>
      <c r="U7" s="84">
        <f>TrRoad_act!U61</f>
        <v>15386632</v>
      </c>
      <c r="V7" s="84">
        <f>TrRoad_act!V61</f>
        <v>15808986</v>
      </c>
      <c r="W7" s="84">
        <f>TrRoad_act!W61</f>
        <v>16355296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9983557</v>
      </c>
      <c r="C8" s="84">
        <f>TrRoad_act!C62</f>
        <v>10821522</v>
      </c>
      <c r="D8" s="84">
        <f>TrRoad_act!D62</f>
        <v>11762119</v>
      </c>
      <c r="E8" s="84">
        <f>TrRoad_act!E62</f>
        <v>12681843</v>
      </c>
      <c r="F8" s="84">
        <f>TrRoad_act!F62</f>
        <v>13550519</v>
      </c>
      <c r="G8" s="84">
        <f>TrRoad_act!G62</f>
        <v>14317878</v>
      </c>
      <c r="H8" s="84">
        <f>TrRoad_act!H62</f>
        <v>15125088</v>
      </c>
      <c r="I8" s="84">
        <f>TrRoad_act!I62</f>
        <v>15912958</v>
      </c>
      <c r="J8" s="84">
        <f>TrRoad_act!J62</f>
        <v>17233800</v>
      </c>
      <c r="K8" s="84">
        <f>TrRoad_act!K62</f>
        <v>18556428</v>
      </c>
      <c r="L8" s="84">
        <f>TrRoad_act!L62</f>
        <v>19621210</v>
      </c>
      <c r="M8" s="84">
        <f>TrRoad_act!M62</f>
        <v>21625270</v>
      </c>
      <c r="N8" s="84">
        <f>TrRoad_act!N62</f>
        <v>22227975</v>
      </c>
      <c r="O8" s="84">
        <f>TrRoad_act!O62</f>
        <v>22987449</v>
      </c>
      <c r="P8" s="84">
        <f>TrRoad_act!P62</f>
        <v>23466489</v>
      </c>
      <c r="Q8" s="84">
        <f>TrRoad_act!Q62</f>
        <v>23774776</v>
      </c>
      <c r="R8" s="84">
        <f>TrRoad_act!R62</f>
        <v>23904978</v>
      </c>
      <c r="S8" s="84">
        <f>TrRoad_act!S62</f>
        <v>23818023</v>
      </c>
      <c r="T8" s="84">
        <f>TrRoad_act!T62</f>
        <v>23262675</v>
      </c>
      <c r="U8" s="84">
        <f>TrRoad_act!U62</f>
        <v>22679049</v>
      </c>
      <c r="V8" s="84">
        <f>TrRoad_act!V62</f>
        <v>22115753</v>
      </c>
      <c r="W8" s="84">
        <f>TrRoad_act!W62</f>
        <v>21506046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343000</v>
      </c>
      <c r="C9" s="84">
        <f>TrRoad_act!C63</f>
        <v>322851</v>
      </c>
      <c r="D9" s="84">
        <f>TrRoad_act!D63</f>
        <v>293702</v>
      </c>
      <c r="E9" s="84">
        <f>TrRoad_act!E63</f>
        <v>257510</v>
      </c>
      <c r="F9" s="84">
        <f>TrRoad_act!F63</f>
        <v>234863</v>
      </c>
      <c r="G9" s="84">
        <f>TrRoad_act!G63</f>
        <v>209123</v>
      </c>
      <c r="H9" s="84">
        <f>TrRoad_act!H63</f>
        <v>184881</v>
      </c>
      <c r="I9" s="84">
        <f>TrRoad_act!I63</f>
        <v>159721</v>
      </c>
      <c r="J9" s="84">
        <f>TrRoad_act!J63</f>
        <v>185000</v>
      </c>
      <c r="K9" s="84">
        <f>TrRoad_act!K63</f>
        <v>190000</v>
      </c>
      <c r="L9" s="84">
        <f>TrRoad_act!L63</f>
        <v>195918</v>
      </c>
      <c r="M9" s="84">
        <f>TrRoad_act!M63</f>
        <v>223377</v>
      </c>
      <c r="N9" s="84">
        <f>TrRoad_act!N63</f>
        <v>207684</v>
      </c>
      <c r="O9" s="84">
        <f>TrRoad_act!O63</f>
        <v>184011</v>
      </c>
      <c r="P9" s="84">
        <f>TrRoad_act!P63</f>
        <v>169613</v>
      </c>
      <c r="Q9" s="84">
        <f>TrRoad_act!Q63</f>
        <v>161929</v>
      </c>
      <c r="R9" s="84">
        <f>TrRoad_act!R63</f>
        <v>153985</v>
      </c>
      <c r="S9" s="84">
        <f>TrRoad_act!S63</f>
        <v>147128</v>
      </c>
      <c r="T9" s="84">
        <f>TrRoad_act!T63</f>
        <v>144435</v>
      </c>
      <c r="U9" s="84">
        <f>TrRoad_act!U63</f>
        <v>144469</v>
      </c>
      <c r="V9" s="84">
        <f>TrRoad_act!V63</f>
        <v>143788</v>
      </c>
      <c r="W9" s="84">
        <f>TrRoad_act!W63</f>
        <v>158723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475</v>
      </c>
      <c r="J10" s="84">
        <f>TrRoad_act!J64</f>
        <v>920</v>
      </c>
      <c r="K10" s="84">
        <f>TrRoad_act!K64</f>
        <v>1284</v>
      </c>
      <c r="L10" s="84">
        <f>TrRoad_act!L64</f>
        <v>1429</v>
      </c>
      <c r="M10" s="84">
        <f>TrRoad_act!M64</f>
        <v>1567</v>
      </c>
      <c r="N10" s="84">
        <f>TrRoad_act!N64</f>
        <v>1681</v>
      </c>
      <c r="O10" s="84">
        <f>TrRoad_act!O64</f>
        <v>1732</v>
      </c>
      <c r="P10" s="84">
        <f>TrRoad_act!P64</f>
        <v>1761</v>
      </c>
      <c r="Q10" s="84">
        <f>TrRoad_act!Q64</f>
        <v>1862</v>
      </c>
      <c r="R10" s="84">
        <f>TrRoad_act!R64</f>
        <v>2127</v>
      </c>
      <c r="S10" s="84">
        <f>TrRoad_act!S64</f>
        <v>2173</v>
      </c>
      <c r="T10" s="84">
        <f>TrRoad_act!T64</f>
        <v>2202</v>
      </c>
      <c r="U10" s="84">
        <f>TrRoad_act!U64</f>
        <v>2382</v>
      </c>
      <c r="V10" s="84">
        <f>TrRoad_act!V64</f>
        <v>2668</v>
      </c>
      <c r="W10" s="84">
        <f>TrRoad_act!W64</f>
        <v>2686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668</v>
      </c>
      <c r="O11" s="84">
        <f>TrRoad_act!O65</f>
        <v>1466</v>
      </c>
      <c r="P11" s="84">
        <f>TrRoad_act!P65</f>
        <v>2985</v>
      </c>
      <c r="Q11" s="84">
        <f>TrRoad_act!Q65</f>
        <v>8025</v>
      </c>
      <c r="R11" s="84">
        <f>TrRoad_act!R65</f>
        <v>14492</v>
      </c>
      <c r="S11" s="84">
        <f>TrRoad_act!S65</f>
        <v>25295</v>
      </c>
      <c r="T11" s="84">
        <f>TrRoad_act!T65</f>
        <v>38734</v>
      </c>
      <c r="U11" s="84">
        <f>TrRoad_act!U65</f>
        <v>57294</v>
      </c>
      <c r="V11" s="84">
        <f>TrRoad_act!V65</f>
        <v>132309</v>
      </c>
      <c r="W11" s="84">
        <f>TrRoad_act!W65</f>
        <v>273600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14</v>
      </c>
      <c r="I12" s="84">
        <f>TrRoad_act!I66</f>
        <v>20</v>
      </c>
      <c r="J12" s="84">
        <f>TrRoad_act!J66</f>
        <v>2602</v>
      </c>
      <c r="K12" s="84">
        <f>TrRoad_act!K66</f>
        <v>2599</v>
      </c>
      <c r="L12" s="84">
        <f>TrRoad_act!L66</f>
        <v>2604</v>
      </c>
      <c r="M12" s="84">
        <f>TrRoad_act!M66</f>
        <v>5293</v>
      </c>
      <c r="N12" s="84">
        <f>TrRoad_act!N66</f>
        <v>9318</v>
      </c>
      <c r="O12" s="84">
        <f>TrRoad_act!O66</f>
        <v>17376</v>
      </c>
      <c r="P12" s="84">
        <f>TrRoad_act!P66</f>
        <v>28655</v>
      </c>
      <c r="Q12" s="84">
        <f>TrRoad_act!Q66</f>
        <v>48288</v>
      </c>
      <c r="R12" s="84">
        <f>TrRoad_act!R66</f>
        <v>64786</v>
      </c>
      <c r="S12" s="84">
        <f>TrRoad_act!S66</f>
        <v>89631</v>
      </c>
      <c r="T12" s="84">
        <f>TrRoad_act!T66</f>
        <v>123171</v>
      </c>
      <c r="U12" s="84">
        <f>TrRoad_act!U66</f>
        <v>166092</v>
      </c>
      <c r="V12" s="84">
        <f>TrRoad_act!V66</f>
        <v>277001</v>
      </c>
      <c r="W12" s="84">
        <f>TrRoad_act!W66</f>
        <v>442241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85749</v>
      </c>
      <c r="C13" s="110">
        <f>TrRoad_act!C67</f>
        <v>86954</v>
      </c>
      <c r="D13" s="110">
        <f>TrRoad_act!D67</f>
        <v>85876</v>
      </c>
      <c r="E13" s="110">
        <f>TrRoad_act!E67</f>
        <v>87101</v>
      </c>
      <c r="F13" s="110">
        <f>TrRoad_act!F67</f>
        <v>88417</v>
      </c>
      <c r="G13" s="110">
        <f>TrRoad_act!G67</f>
        <v>90055</v>
      </c>
      <c r="H13" s="110">
        <f>TrRoad_act!H67</f>
        <v>92152</v>
      </c>
      <c r="I13" s="110">
        <f>TrRoad_act!I67</f>
        <v>94392</v>
      </c>
      <c r="J13" s="110">
        <f>TrRoad_act!J67</f>
        <v>92874</v>
      </c>
      <c r="K13" s="110">
        <f>TrRoad_act!K67</f>
        <v>90452</v>
      </c>
      <c r="L13" s="110">
        <f>TrRoad_act!L67</f>
        <v>89685</v>
      </c>
      <c r="M13" s="110">
        <f>TrRoad_act!M67</f>
        <v>91499</v>
      </c>
      <c r="N13" s="110">
        <f>TrRoad_act!N67</f>
        <v>92767</v>
      </c>
      <c r="O13" s="110">
        <f>TrRoad_act!O67</f>
        <v>88986</v>
      </c>
      <c r="P13" s="110">
        <f>TrRoad_act!P67</f>
        <v>89823</v>
      </c>
      <c r="Q13" s="110">
        <f>TrRoad_act!Q67</f>
        <v>90065</v>
      </c>
      <c r="R13" s="110">
        <f>TrRoad_act!R67</f>
        <v>91668</v>
      </c>
      <c r="S13" s="110">
        <f>TrRoad_act!S67</f>
        <v>93050</v>
      </c>
      <c r="T13" s="110">
        <f>TrRoad_act!T67</f>
        <v>94929</v>
      </c>
      <c r="U13" s="110">
        <f>TrRoad_act!U67</f>
        <v>97568</v>
      </c>
      <c r="V13" s="110">
        <f>TrRoad_act!V67</f>
        <v>100431</v>
      </c>
      <c r="W13" s="110">
        <f>TrRoad_act!W67</f>
        <v>103869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1273</v>
      </c>
      <c r="C14" s="102">
        <f>TrRoad_act!C68</f>
        <v>1208</v>
      </c>
      <c r="D14" s="102">
        <f>TrRoad_act!D68</f>
        <v>1138</v>
      </c>
      <c r="E14" s="102">
        <f>TrRoad_act!E68</f>
        <v>1062</v>
      </c>
      <c r="F14" s="102">
        <f>TrRoad_act!F68</f>
        <v>984</v>
      </c>
      <c r="G14" s="102">
        <f>TrRoad_act!G68</f>
        <v>903</v>
      </c>
      <c r="H14" s="102">
        <f>TrRoad_act!H68</f>
        <v>821</v>
      </c>
      <c r="I14" s="102">
        <f>TrRoad_act!I68</f>
        <v>740</v>
      </c>
      <c r="J14" s="102">
        <f>TrRoad_act!J68</f>
        <v>661</v>
      </c>
      <c r="K14" s="102">
        <f>TrRoad_act!K68</f>
        <v>584</v>
      </c>
      <c r="L14" s="102">
        <f>TrRoad_act!L68</f>
        <v>511</v>
      </c>
      <c r="M14" s="102">
        <f>TrRoad_act!M68</f>
        <v>441</v>
      </c>
      <c r="N14" s="102">
        <f>TrRoad_act!N68</f>
        <v>378</v>
      </c>
      <c r="O14" s="102">
        <f>TrRoad_act!O68</f>
        <v>319</v>
      </c>
      <c r="P14" s="102">
        <f>TrRoad_act!P68</f>
        <v>265</v>
      </c>
      <c r="Q14" s="102">
        <f>TrRoad_act!Q68</f>
        <v>218</v>
      </c>
      <c r="R14" s="102">
        <f>TrRoad_act!R68</f>
        <v>217</v>
      </c>
      <c r="S14" s="102">
        <f>TrRoad_act!S68</f>
        <v>218</v>
      </c>
      <c r="T14" s="102">
        <f>TrRoad_act!T68</f>
        <v>217</v>
      </c>
      <c r="U14" s="102">
        <f>TrRoad_act!U68</f>
        <v>218</v>
      </c>
      <c r="V14" s="102">
        <f>TrRoad_act!V68</f>
        <v>220</v>
      </c>
      <c r="W14" s="102">
        <f>TrRoad_act!W68</f>
        <v>231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84165</v>
      </c>
      <c r="C15" s="102">
        <f>TrRoad_act!C69</f>
        <v>84948</v>
      </c>
      <c r="D15" s="102">
        <f>TrRoad_act!D69</f>
        <v>83869</v>
      </c>
      <c r="E15" s="102">
        <f>TrRoad_act!E69</f>
        <v>84940</v>
      </c>
      <c r="F15" s="102">
        <f>TrRoad_act!F69</f>
        <v>86174</v>
      </c>
      <c r="G15" s="102">
        <f>TrRoad_act!G69</f>
        <v>87802</v>
      </c>
      <c r="H15" s="102">
        <f>TrRoad_act!H69</f>
        <v>89866</v>
      </c>
      <c r="I15" s="102">
        <f>TrRoad_act!I69</f>
        <v>92009</v>
      </c>
      <c r="J15" s="102">
        <f>TrRoad_act!J69</f>
        <v>90377</v>
      </c>
      <c r="K15" s="102">
        <f>TrRoad_act!K69</f>
        <v>88073</v>
      </c>
      <c r="L15" s="102">
        <f>TrRoad_act!L69</f>
        <v>87431</v>
      </c>
      <c r="M15" s="102">
        <f>TrRoad_act!M69</f>
        <v>87172</v>
      </c>
      <c r="N15" s="102">
        <f>TrRoad_act!N69</f>
        <v>87958</v>
      </c>
      <c r="O15" s="102">
        <f>TrRoad_act!O69</f>
        <v>83618</v>
      </c>
      <c r="P15" s="102">
        <f>TrRoad_act!P69</f>
        <v>84128</v>
      </c>
      <c r="Q15" s="102">
        <f>TrRoad_act!Q69</f>
        <v>84383</v>
      </c>
      <c r="R15" s="102">
        <f>TrRoad_act!R69</f>
        <v>85972</v>
      </c>
      <c r="S15" s="102">
        <f>TrRoad_act!S69</f>
        <v>87007</v>
      </c>
      <c r="T15" s="102">
        <f>TrRoad_act!T69</f>
        <v>88030</v>
      </c>
      <c r="U15" s="102">
        <f>TrRoad_act!U69</f>
        <v>88843</v>
      </c>
      <c r="V15" s="102">
        <f>TrRoad_act!V69</f>
        <v>88246</v>
      </c>
      <c r="W15" s="102">
        <f>TrRoad_act!W69</f>
        <v>87342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147</v>
      </c>
      <c r="C16" s="102">
        <f>TrRoad_act!C70</f>
        <v>175</v>
      </c>
      <c r="D16" s="102">
        <f>TrRoad_act!D70</f>
        <v>173</v>
      </c>
      <c r="E16" s="102">
        <f>TrRoad_act!E70</f>
        <v>183</v>
      </c>
      <c r="F16" s="102">
        <f>TrRoad_act!F70</f>
        <v>189</v>
      </c>
      <c r="G16" s="102">
        <f>TrRoad_act!G70</f>
        <v>191</v>
      </c>
      <c r="H16" s="102">
        <f>TrRoad_act!H70</f>
        <v>153</v>
      </c>
      <c r="I16" s="102">
        <f>TrRoad_act!I70</f>
        <v>180</v>
      </c>
      <c r="J16" s="102">
        <f>TrRoad_act!J70</f>
        <v>171</v>
      </c>
      <c r="K16" s="102">
        <f>TrRoad_act!K70</f>
        <v>163</v>
      </c>
      <c r="L16" s="102">
        <f>TrRoad_act!L70</f>
        <v>154</v>
      </c>
      <c r="M16" s="102">
        <f>TrRoad_act!M70</f>
        <v>144</v>
      </c>
      <c r="N16" s="102">
        <f>TrRoad_act!N70</f>
        <v>135</v>
      </c>
      <c r="O16" s="102">
        <f>TrRoad_act!O70</f>
        <v>126</v>
      </c>
      <c r="P16" s="102">
        <f>TrRoad_act!P70</f>
        <v>116</v>
      </c>
      <c r="Q16" s="102">
        <f>TrRoad_act!Q70</f>
        <v>107</v>
      </c>
      <c r="R16" s="102">
        <f>TrRoad_act!R70</f>
        <v>102</v>
      </c>
      <c r="S16" s="102">
        <f>TrRoad_act!S70</f>
        <v>97</v>
      </c>
      <c r="T16" s="102">
        <f>TrRoad_act!T70</f>
        <v>92</v>
      </c>
      <c r="U16" s="102">
        <f>TrRoad_act!U70</f>
        <v>86</v>
      </c>
      <c r="V16" s="102">
        <f>TrRoad_act!V70</f>
        <v>81</v>
      </c>
      <c r="W16" s="102">
        <f>TrRoad_act!W70</f>
        <v>75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17</v>
      </c>
      <c r="C17" s="102">
        <f>TrRoad_act!C71</f>
        <v>459</v>
      </c>
      <c r="D17" s="102">
        <f>TrRoad_act!D71</f>
        <v>513</v>
      </c>
      <c r="E17" s="102">
        <f>TrRoad_act!E71</f>
        <v>718</v>
      </c>
      <c r="F17" s="102">
        <f>TrRoad_act!F71</f>
        <v>857</v>
      </c>
      <c r="G17" s="102">
        <f>TrRoad_act!G71</f>
        <v>948</v>
      </c>
      <c r="H17" s="102">
        <f>TrRoad_act!H71</f>
        <v>1106</v>
      </c>
      <c r="I17" s="102">
        <f>TrRoad_act!I71</f>
        <v>1263</v>
      </c>
      <c r="J17" s="102">
        <f>TrRoad_act!J71</f>
        <v>1471</v>
      </c>
      <c r="K17" s="102">
        <f>TrRoad_act!K71</f>
        <v>1448</v>
      </c>
      <c r="L17" s="102">
        <f>TrRoad_act!L71</f>
        <v>1416</v>
      </c>
      <c r="M17" s="102">
        <f>TrRoad_act!M71</f>
        <v>3579</v>
      </c>
      <c r="N17" s="102">
        <f>TrRoad_act!N71</f>
        <v>4115</v>
      </c>
      <c r="O17" s="102">
        <f>TrRoad_act!O71</f>
        <v>4643</v>
      </c>
      <c r="P17" s="102">
        <f>TrRoad_act!P71</f>
        <v>5010</v>
      </c>
      <c r="Q17" s="102">
        <f>TrRoad_act!Q71</f>
        <v>5022</v>
      </c>
      <c r="R17" s="102">
        <f>TrRoad_act!R71</f>
        <v>4998</v>
      </c>
      <c r="S17" s="102">
        <f>TrRoad_act!S71</f>
        <v>5302</v>
      </c>
      <c r="T17" s="102">
        <f>TrRoad_act!T71</f>
        <v>6145</v>
      </c>
      <c r="U17" s="102">
        <f>TrRoad_act!U71</f>
        <v>7720</v>
      </c>
      <c r="V17" s="102">
        <f>TrRoad_act!V71</f>
        <v>11056</v>
      </c>
      <c r="W17" s="102">
        <f>TrRoad_act!W71</f>
        <v>14735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147</v>
      </c>
      <c r="C18" s="102">
        <f>TrRoad_act!C72</f>
        <v>164</v>
      </c>
      <c r="D18" s="102">
        <f>TrRoad_act!D72</f>
        <v>183</v>
      </c>
      <c r="E18" s="102">
        <f>TrRoad_act!E72</f>
        <v>198</v>
      </c>
      <c r="F18" s="102">
        <f>TrRoad_act!F72</f>
        <v>213</v>
      </c>
      <c r="G18" s="102">
        <f>TrRoad_act!G72</f>
        <v>211</v>
      </c>
      <c r="H18" s="102">
        <f>TrRoad_act!H72</f>
        <v>206</v>
      </c>
      <c r="I18" s="102">
        <f>TrRoad_act!I72</f>
        <v>200</v>
      </c>
      <c r="J18" s="102">
        <f>TrRoad_act!J72</f>
        <v>194</v>
      </c>
      <c r="K18" s="102">
        <f>TrRoad_act!K72</f>
        <v>184</v>
      </c>
      <c r="L18" s="102">
        <f>TrRoad_act!L72</f>
        <v>173</v>
      </c>
      <c r="M18" s="102">
        <f>TrRoad_act!M72</f>
        <v>163</v>
      </c>
      <c r="N18" s="102">
        <f>TrRoad_act!N72</f>
        <v>181</v>
      </c>
      <c r="O18" s="102">
        <f>TrRoad_act!O72</f>
        <v>280</v>
      </c>
      <c r="P18" s="102">
        <f>TrRoad_act!P72</f>
        <v>304</v>
      </c>
      <c r="Q18" s="102">
        <f>TrRoad_act!Q72</f>
        <v>335</v>
      </c>
      <c r="R18" s="102">
        <f>TrRoad_act!R72</f>
        <v>379</v>
      </c>
      <c r="S18" s="102">
        <f>TrRoad_act!S72</f>
        <v>426</v>
      </c>
      <c r="T18" s="102">
        <f>TrRoad_act!T72</f>
        <v>445</v>
      </c>
      <c r="U18" s="102">
        <f>TrRoad_act!U72</f>
        <v>701</v>
      </c>
      <c r="V18" s="102">
        <f>TrRoad_act!V72</f>
        <v>828</v>
      </c>
      <c r="W18" s="102">
        <f>TrRoad_act!W72</f>
        <v>1486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6414983</v>
      </c>
      <c r="C19" s="28">
        <f>TrRoad_act!C73</f>
        <v>6475856</v>
      </c>
      <c r="D19" s="28">
        <f>TrRoad_act!D73</f>
        <v>6523343</v>
      </c>
      <c r="E19" s="28">
        <f>TrRoad_act!E73</f>
        <v>6567335</v>
      </c>
      <c r="F19" s="28">
        <f>TrRoad_act!F73</f>
        <v>6617551</v>
      </c>
      <c r="G19" s="28">
        <f>TrRoad_act!G73</f>
        <v>6651068</v>
      </c>
      <c r="H19" s="28">
        <f>TrRoad_act!H73</f>
        <v>6685234</v>
      </c>
      <c r="I19" s="28">
        <f>TrRoad_act!I73</f>
        <v>6726304</v>
      </c>
      <c r="J19" s="28">
        <f>TrRoad_act!J73</f>
        <v>6767892</v>
      </c>
      <c r="K19" s="28">
        <f>TrRoad_act!K73</f>
        <v>6788227</v>
      </c>
      <c r="L19" s="28">
        <f>TrRoad_act!L73</f>
        <v>6825311</v>
      </c>
      <c r="M19" s="28">
        <f>TrRoad_act!M73</f>
        <v>6777891</v>
      </c>
      <c r="N19" s="28">
        <f>TrRoad_act!N73</f>
        <v>6762060</v>
      </c>
      <c r="O19" s="28">
        <f>TrRoad_act!O73</f>
        <v>6776905</v>
      </c>
      <c r="P19" s="28">
        <f>TrRoad_act!P73</f>
        <v>6864275</v>
      </c>
      <c r="Q19" s="28">
        <f>TrRoad_act!Q73</f>
        <v>6895441</v>
      </c>
      <c r="R19" s="28">
        <f>TrRoad_act!R73</f>
        <v>6878282</v>
      </c>
      <c r="S19" s="28">
        <f>TrRoad_act!S73</f>
        <v>6831773</v>
      </c>
      <c r="T19" s="28">
        <f>TrRoad_act!T73</f>
        <v>6833923</v>
      </c>
      <c r="U19" s="28">
        <f>TrRoad_act!U73</f>
        <v>6823812</v>
      </c>
      <c r="V19" s="28">
        <f>TrRoad_act!V73</f>
        <v>6820000</v>
      </c>
      <c r="W19" s="28">
        <f>TrRoad_act!W73</f>
        <v>6846490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5894666</v>
      </c>
      <c r="C20" s="137">
        <f>TrRoad_act!C74</f>
        <v>5936465</v>
      </c>
      <c r="D20" s="137">
        <f>TrRoad_act!D74</f>
        <v>5969141</v>
      </c>
      <c r="E20" s="137">
        <f>TrRoad_act!E74</f>
        <v>6002578</v>
      </c>
      <c r="F20" s="137">
        <f>TrRoad_act!F74</f>
        <v>6033918</v>
      </c>
      <c r="G20" s="137">
        <f>TrRoad_act!G74</f>
        <v>6056108</v>
      </c>
      <c r="H20" s="137">
        <f>TrRoad_act!H74</f>
        <v>6079536</v>
      </c>
      <c r="I20" s="137">
        <f>TrRoad_act!I74</f>
        <v>6109204</v>
      </c>
      <c r="J20" s="137">
        <f>TrRoad_act!J74</f>
        <v>6136275</v>
      </c>
      <c r="K20" s="137">
        <f>TrRoad_act!K74</f>
        <v>6154035</v>
      </c>
      <c r="L20" s="137">
        <f>TrRoad_act!L74</f>
        <v>6168004</v>
      </c>
      <c r="M20" s="137">
        <f>TrRoad_act!M74</f>
        <v>6128783</v>
      </c>
      <c r="N20" s="137">
        <f>TrRoad_act!N74</f>
        <v>6124619</v>
      </c>
      <c r="O20" s="137">
        <f>TrRoad_act!O74</f>
        <v>6145325</v>
      </c>
      <c r="P20" s="137">
        <f>TrRoad_act!P74</f>
        <v>6231811</v>
      </c>
      <c r="Q20" s="137">
        <f>TrRoad_act!Q74</f>
        <v>6270612</v>
      </c>
      <c r="R20" s="137">
        <f>TrRoad_act!R74</f>
        <v>6257151</v>
      </c>
      <c r="S20" s="137">
        <f>TrRoad_act!S74</f>
        <v>6204939</v>
      </c>
      <c r="T20" s="137">
        <f>TrRoad_act!T74</f>
        <v>6201035</v>
      </c>
      <c r="U20" s="137">
        <f>TrRoad_act!U74</f>
        <v>6179774</v>
      </c>
      <c r="V20" s="137">
        <f>TrRoad_act!V74</f>
        <v>6179273</v>
      </c>
      <c r="W20" s="137">
        <f>TrRoad_act!W74</f>
        <v>6195884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770989</v>
      </c>
      <c r="C21" s="84">
        <f>TrRoad_act!C75</f>
        <v>643004</v>
      </c>
      <c r="D21" s="84">
        <f>TrRoad_act!D75</f>
        <v>536982</v>
      </c>
      <c r="E21" s="84">
        <f>TrRoad_act!E75</f>
        <v>431848</v>
      </c>
      <c r="F21" s="84">
        <f>TrRoad_act!F75</f>
        <v>346145</v>
      </c>
      <c r="G21" s="84">
        <f>TrRoad_act!G75</f>
        <v>291811</v>
      </c>
      <c r="H21" s="84">
        <f>TrRoad_act!H75</f>
        <v>249479</v>
      </c>
      <c r="I21" s="84">
        <f>TrRoad_act!I75</f>
        <v>221454</v>
      </c>
      <c r="J21" s="84">
        <f>TrRoad_act!J75</f>
        <v>210763</v>
      </c>
      <c r="K21" s="84">
        <f>TrRoad_act!K75</f>
        <v>196991</v>
      </c>
      <c r="L21" s="84">
        <f>TrRoad_act!L75</f>
        <v>218701</v>
      </c>
      <c r="M21" s="84">
        <f>TrRoad_act!M75</f>
        <v>244990</v>
      </c>
      <c r="N21" s="84">
        <f>TrRoad_act!N75</f>
        <v>272485</v>
      </c>
      <c r="O21" s="84">
        <f>TrRoad_act!O75</f>
        <v>303014</v>
      </c>
      <c r="P21" s="84">
        <f>TrRoad_act!P75</f>
        <v>286631</v>
      </c>
      <c r="Q21" s="84">
        <f>TrRoad_act!Q75</f>
        <v>269150</v>
      </c>
      <c r="R21" s="84">
        <f>TrRoad_act!R75</f>
        <v>249615</v>
      </c>
      <c r="S21" s="84">
        <f>TrRoad_act!S75</f>
        <v>232602</v>
      </c>
      <c r="T21" s="84">
        <f>TrRoad_act!T75</f>
        <v>217905</v>
      </c>
      <c r="U21" s="84">
        <f>TrRoad_act!U75</f>
        <v>198273</v>
      </c>
      <c r="V21" s="84">
        <f>TrRoad_act!V75</f>
        <v>188271</v>
      </c>
      <c r="W21" s="84">
        <f>TrRoad_act!W75</f>
        <v>190357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5097990</v>
      </c>
      <c r="C22" s="84">
        <f>TrRoad_act!C76</f>
        <v>5265605</v>
      </c>
      <c r="D22" s="84">
        <f>TrRoad_act!D76</f>
        <v>5403184</v>
      </c>
      <c r="E22" s="84">
        <f>TrRoad_act!E76</f>
        <v>5540874</v>
      </c>
      <c r="F22" s="84">
        <f>TrRoad_act!F76</f>
        <v>5656919</v>
      </c>
      <c r="G22" s="84">
        <f>TrRoad_act!G76</f>
        <v>5732573</v>
      </c>
      <c r="H22" s="84">
        <f>TrRoad_act!H76</f>
        <v>5795993</v>
      </c>
      <c r="I22" s="84">
        <f>TrRoad_act!I76</f>
        <v>5858848</v>
      </c>
      <c r="J22" s="84">
        <f>TrRoad_act!J76</f>
        <v>5898297</v>
      </c>
      <c r="K22" s="84">
        <f>TrRoad_act!K76</f>
        <v>5928314</v>
      </c>
      <c r="L22" s="84">
        <f>TrRoad_act!L76</f>
        <v>5921846</v>
      </c>
      <c r="M22" s="84">
        <f>TrRoad_act!M76</f>
        <v>5854728</v>
      </c>
      <c r="N22" s="84">
        <f>TrRoad_act!N76</f>
        <v>5822576</v>
      </c>
      <c r="O22" s="84">
        <f>TrRoad_act!O76</f>
        <v>5809841</v>
      </c>
      <c r="P22" s="84">
        <f>TrRoad_act!P76</f>
        <v>5908457</v>
      </c>
      <c r="Q22" s="84">
        <f>TrRoad_act!Q76</f>
        <v>5961617</v>
      </c>
      <c r="R22" s="84">
        <f>TrRoad_act!R76</f>
        <v>5961127</v>
      </c>
      <c r="S22" s="84">
        <f>TrRoad_act!S76</f>
        <v>5924592</v>
      </c>
      <c r="T22" s="84">
        <f>TrRoad_act!T76</f>
        <v>5920921</v>
      </c>
      <c r="U22" s="84">
        <f>TrRoad_act!U76</f>
        <v>5912112</v>
      </c>
      <c r="V22" s="84">
        <f>TrRoad_act!V76</f>
        <v>5913038</v>
      </c>
      <c r="W22" s="84">
        <f>TrRoad_act!W76</f>
        <v>5915367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21292</v>
      </c>
      <c r="C23" s="84">
        <f>TrRoad_act!C77</f>
        <v>22772</v>
      </c>
      <c r="D23" s="84">
        <f>TrRoad_act!D77</f>
        <v>23556</v>
      </c>
      <c r="E23" s="84">
        <f>TrRoad_act!E77</f>
        <v>24074</v>
      </c>
      <c r="F23" s="84">
        <f>TrRoad_act!F77</f>
        <v>24854</v>
      </c>
      <c r="G23" s="84">
        <f>TrRoad_act!G77</f>
        <v>25804</v>
      </c>
      <c r="H23" s="84">
        <f>TrRoad_act!H77</f>
        <v>27723</v>
      </c>
      <c r="I23" s="84">
        <f>TrRoad_act!I77</f>
        <v>22343</v>
      </c>
      <c r="J23" s="84">
        <f>TrRoad_act!J77</f>
        <v>21154</v>
      </c>
      <c r="K23" s="84">
        <f>TrRoad_act!K77</f>
        <v>22173</v>
      </c>
      <c r="L23" s="84">
        <f>TrRoad_act!L77</f>
        <v>21459</v>
      </c>
      <c r="M23" s="84">
        <f>TrRoad_act!M77</f>
        <v>20614</v>
      </c>
      <c r="N23" s="84">
        <f>TrRoad_act!N77</f>
        <v>19671</v>
      </c>
      <c r="O23" s="84">
        <f>TrRoad_act!O77</f>
        <v>19176</v>
      </c>
      <c r="P23" s="84">
        <f>TrRoad_act!P77</f>
        <v>18892</v>
      </c>
      <c r="Q23" s="84">
        <f>TrRoad_act!Q77</f>
        <v>18600</v>
      </c>
      <c r="R23" s="84">
        <f>TrRoad_act!R77</f>
        <v>17950</v>
      </c>
      <c r="S23" s="84">
        <f>TrRoad_act!S77</f>
        <v>16763</v>
      </c>
      <c r="T23" s="84">
        <f>TrRoad_act!T77</f>
        <v>14218</v>
      </c>
      <c r="U23" s="84">
        <f>TrRoad_act!U77</f>
        <v>13000</v>
      </c>
      <c r="V23" s="84">
        <f>TrRoad_act!V77</f>
        <v>12000</v>
      </c>
      <c r="W23" s="84">
        <f>TrRoad_act!W77</f>
        <v>12000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300</v>
      </c>
      <c r="C24" s="84">
        <f>TrRoad_act!C78</f>
        <v>274</v>
      </c>
      <c r="D24" s="84">
        <f>TrRoad_act!D78</f>
        <v>281</v>
      </c>
      <c r="E24" s="84">
        <f>TrRoad_act!E78</f>
        <v>455</v>
      </c>
      <c r="F24" s="84">
        <f>TrRoad_act!F78</f>
        <v>437</v>
      </c>
      <c r="G24" s="84">
        <f>TrRoad_act!G78</f>
        <v>420</v>
      </c>
      <c r="H24" s="84">
        <f>TrRoad_act!H78</f>
        <v>859</v>
      </c>
      <c r="I24" s="84">
        <f>TrRoad_act!I78</f>
        <v>806</v>
      </c>
      <c r="J24" s="84">
        <f>TrRoad_act!J78</f>
        <v>826</v>
      </c>
      <c r="K24" s="84">
        <f>TrRoad_act!K78</f>
        <v>1011</v>
      </c>
      <c r="L24" s="84">
        <f>TrRoad_act!L78</f>
        <v>965</v>
      </c>
      <c r="M24" s="84">
        <f>TrRoad_act!M78</f>
        <v>1159</v>
      </c>
      <c r="N24" s="84">
        <f>TrRoad_act!N78</f>
        <v>1598</v>
      </c>
      <c r="O24" s="84">
        <f>TrRoad_act!O78</f>
        <v>2066</v>
      </c>
      <c r="P24" s="84">
        <f>TrRoad_act!P78</f>
        <v>2429</v>
      </c>
      <c r="Q24" s="84">
        <f>TrRoad_act!Q78</f>
        <v>2746</v>
      </c>
      <c r="R24" s="84">
        <f>TrRoad_act!R78</f>
        <v>3083</v>
      </c>
      <c r="S24" s="84">
        <f>TrRoad_act!S78</f>
        <v>3448</v>
      </c>
      <c r="T24" s="84">
        <f>TrRoad_act!T78</f>
        <v>7214</v>
      </c>
      <c r="U24" s="84">
        <f>TrRoad_act!U78</f>
        <v>7762</v>
      </c>
      <c r="V24" s="84">
        <f>TrRoad_act!V78</f>
        <v>8461</v>
      </c>
      <c r="W24" s="84">
        <f>TrRoad_act!W78</f>
        <v>9252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4095</v>
      </c>
      <c r="C25" s="84">
        <f>TrRoad_act!C79</f>
        <v>4810</v>
      </c>
      <c r="D25" s="84">
        <f>TrRoad_act!D79</f>
        <v>5138</v>
      </c>
      <c r="E25" s="84">
        <f>TrRoad_act!E79</f>
        <v>5327</v>
      </c>
      <c r="F25" s="84">
        <f>TrRoad_act!F79</f>
        <v>5563</v>
      </c>
      <c r="G25" s="84">
        <f>TrRoad_act!G79</f>
        <v>5500</v>
      </c>
      <c r="H25" s="84">
        <f>TrRoad_act!H79</f>
        <v>5482</v>
      </c>
      <c r="I25" s="84">
        <f>TrRoad_act!I79</f>
        <v>5753</v>
      </c>
      <c r="J25" s="84">
        <f>TrRoad_act!J79</f>
        <v>5235</v>
      </c>
      <c r="K25" s="84">
        <f>TrRoad_act!K79</f>
        <v>5546</v>
      </c>
      <c r="L25" s="84">
        <f>TrRoad_act!L79</f>
        <v>5033</v>
      </c>
      <c r="M25" s="84">
        <f>TrRoad_act!M79</f>
        <v>7292</v>
      </c>
      <c r="N25" s="84">
        <f>TrRoad_act!N79</f>
        <v>8289</v>
      </c>
      <c r="O25" s="84">
        <f>TrRoad_act!O79</f>
        <v>11228</v>
      </c>
      <c r="P25" s="84">
        <f>TrRoad_act!P79</f>
        <v>15402</v>
      </c>
      <c r="Q25" s="84">
        <f>TrRoad_act!Q79</f>
        <v>18499</v>
      </c>
      <c r="R25" s="84">
        <f>TrRoad_act!R79</f>
        <v>25376</v>
      </c>
      <c r="S25" s="84">
        <f>TrRoad_act!S79</f>
        <v>27534</v>
      </c>
      <c r="T25" s="84">
        <f>TrRoad_act!T79</f>
        <v>40777</v>
      </c>
      <c r="U25" s="84">
        <f>TrRoad_act!U79</f>
        <v>48627</v>
      </c>
      <c r="V25" s="84">
        <f>TrRoad_act!V79</f>
        <v>57503</v>
      </c>
      <c r="W25" s="84">
        <f>TrRoad_act!W79</f>
        <v>68908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520317</v>
      </c>
      <c r="C26" s="110">
        <f>TrRoad_act!C80</f>
        <v>539391</v>
      </c>
      <c r="D26" s="110">
        <f>TrRoad_act!D80</f>
        <v>554202</v>
      </c>
      <c r="E26" s="110">
        <f>TrRoad_act!E80</f>
        <v>564757</v>
      </c>
      <c r="F26" s="110">
        <f>TrRoad_act!F80</f>
        <v>583633</v>
      </c>
      <c r="G26" s="110">
        <f>TrRoad_act!G80</f>
        <v>594960</v>
      </c>
      <c r="H26" s="110">
        <f>TrRoad_act!H80</f>
        <v>605698</v>
      </c>
      <c r="I26" s="110">
        <f>TrRoad_act!I80</f>
        <v>617100</v>
      </c>
      <c r="J26" s="110">
        <f>TrRoad_act!J80</f>
        <v>631617</v>
      </c>
      <c r="K26" s="110">
        <f>TrRoad_act!K80</f>
        <v>634192</v>
      </c>
      <c r="L26" s="110">
        <f>TrRoad_act!L80</f>
        <v>657307</v>
      </c>
      <c r="M26" s="110">
        <f>TrRoad_act!M80</f>
        <v>649108</v>
      </c>
      <c r="N26" s="110">
        <f>TrRoad_act!N80</f>
        <v>637441</v>
      </c>
      <c r="O26" s="110">
        <f>TrRoad_act!O80</f>
        <v>631580</v>
      </c>
      <c r="P26" s="110">
        <f>TrRoad_act!P80</f>
        <v>632464</v>
      </c>
      <c r="Q26" s="110">
        <f>TrRoad_act!Q80</f>
        <v>624829</v>
      </c>
      <c r="R26" s="110">
        <f>TrRoad_act!R80</f>
        <v>621131</v>
      </c>
      <c r="S26" s="110">
        <f>TrRoad_act!S80</f>
        <v>626834</v>
      </c>
      <c r="T26" s="110">
        <f>TrRoad_act!T80</f>
        <v>632888</v>
      </c>
      <c r="U26" s="110">
        <f>TrRoad_act!U80</f>
        <v>644038</v>
      </c>
      <c r="V26" s="110">
        <f>TrRoad_act!V80</f>
        <v>640727</v>
      </c>
      <c r="W26" s="110">
        <f>TrRoad_act!W80</f>
        <v>650606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450511</v>
      </c>
      <c r="C27" s="102">
        <f>TrRoad_act!C81</f>
        <v>464550</v>
      </c>
      <c r="D27" s="102">
        <f>TrRoad_act!D81</f>
        <v>475467</v>
      </c>
      <c r="E27" s="102">
        <f>TrRoad_act!E81</f>
        <v>484281</v>
      </c>
      <c r="F27" s="102">
        <f>TrRoad_act!F81</f>
        <v>488482</v>
      </c>
      <c r="G27" s="102">
        <f>TrRoad_act!G81</f>
        <v>496463</v>
      </c>
      <c r="H27" s="102">
        <f>TrRoad_act!H81</f>
        <v>504510</v>
      </c>
      <c r="I27" s="102">
        <f>TrRoad_act!I81</f>
        <v>513800</v>
      </c>
      <c r="J27" s="102">
        <f>TrRoad_act!J81</f>
        <v>530546</v>
      </c>
      <c r="K27" s="102">
        <f>TrRoad_act!K81</f>
        <v>543610</v>
      </c>
      <c r="L27" s="102">
        <f>TrRoad_act!L81</f>
        <v>565367</v>
      </c>
      <c r="M27" s="102">
        <f>TrRoad_act!M81</f>
        <v>561592</v>
      </c>
      <c r="N27" s="102">
        <f>TrRoad_act!N81</f>
        <v>551745</v>
      </c>
      <c r="O27" s="102">
        <f>TrRoad_act!O81</f>
        <v>541478</v>
      </c>
      <c r="P27" s="102">
        <f>TrRoad_act!P81</f>
        <v>541972</v>
      </c>
      <c r="Q27" s="102">
        <f>TrRoad_act!Q81</f>
        <v>532479</v>
      </c>
      <c r="R27" s="102">
        <f>TrRoad_act!R81</f>
        <v>524556</v>
      </c>
      <c r="S27" s="102">
        <f>TrRoad_act!S81</f>
        <v>524711</v>
      </c>
      <c r="T27" s="102">
        <f>TrRoad_act!T81</f>
        <v>531490</v>
      </c>
      <c r="U27" s="102">
        <f>TrRoad_act!U81</f>
        <v>538233</v>
      </c>
      <c r="V27" s="102">
        <f>TrRoad_act!V81</f>
        <v>537420</v>
      </c>
      <c r="W27" s="102">
        <f>TrRoad_act!W81</f>
        <v>539617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69806</v>
      </c>
      <c r="C28" s="86">
        <f>TrRoad_act!C82</f>
        <v>74841</v>
      </c>
      <c r="D28" s="86">
        <f>TrRoad_act!D82</f>
        <v>78735</v>
      </c>
      <c r="E28" s="86">
        <f>TrRoad_act!E82</f>
        <v>80476</v>
      </c>
      <c r="F28" s="86">
        <f>TrRoad_act!F82</f>
        <v>95151</v>
      </c>
      <c r="G28" s="86">
        <f>TrRoad_act!G82</f>
        <v>98497</v>
      </c>
      <c r="H28" s="86">
        <f>TrRoad_act!H82</f>
        <v>101188</v>
      </c>
      <c r="I28" s="86">
        <f>TrRoad_act!I82</f>
        <v>103300</v>
      </c>
      <c r="J28" s="86">
        <f>TrRoad_act!J82</f>
        <v>101071</v>
      </c>
      <c r="K28" s="86">
        <f>TrRoad_act!K82</f>
        <v>90582</v>
      </c>
      <c r="L28" s="86">
        <f>TrRoad_act!L82</f>
        <v>91940</v>
      </c>
      <c r="M28" s="86">
        <f>TrRoad_act!M82</f>
        <v>87516</v>
      </c>
      <c r="N28" s="86">
        <f>TrRoad_act!N82</f>
        <v>85696</v>
      </c>
      <c r="O28" s="86">
        <f>TrRoad_act!O82</f>
        <v>90102</v>
      </c>
      <c r="P28" s="86">
        <f>TrRoad_act!P82</f>
        <v>90492</v>
      </c>
      <c r="Q28" s="86">
        <f>TrRoad_act!Q82</f>
        <v>92350</v>
      </c>
      <c r="R28" s="86">
        <f>TrRoad_act!R82</f>
        <v>96575</v>
      </c>
      <c r="S28" s="86">
        <f>TrRoad_act!S82</f>
        <v>102123</v>
      </c>
      <c r="T28" s="86">
        <f>TrRoad_act!T82</f>
        <v>101398</v>
      </c>
      <c r="U28" s="86">
        <f>TrRoad_act!U82</f>
        <v>105805</v>
      </c>
      <c r="V28" s="86">
        <f>TrRoad_act!V82</f>
        <v>103307</v>
      </c>
      <c r="W28" s="86">
        <f>TrRoad_act!W82</f>
        <v>110989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2765708</v>
      </c>
      <c r="C30" s="54">
        <f>TrRoad_act!C111</f>
        <v>2912762</v>
      </c>
      <c r="D30" s="54">
        <f>TrRoad_act!D111</f>
        <v>2757397</v>
      </c>
      <c r="E30" s="54">
        <f>TrRoad_act!E111</f>
        <v>2631894</v>
      </c>
      <c r="F30" s="54">
        <f>TrRoad_act!F111</f>
        <v>2722544</v>
      </c>
      <c r="G30" s="54">
        <f>TrRoad_act!G111</f>
        <v>2778092</v>
      </c>
      <c r="H30" s="54">
        <f>TrRoad_act!H111</f>
        <v>2756070</v>
      </c>
      <c r="I30" s="54">
        <f>TrRoad_act!I111</f>
        <v>2855635</v>
      </c>
      <c r="J30" s="54">
        <f>TrRoad_act!J111</f>
        <v>2834560</v>
      </c>
      <c r="K30" s="54">
        <f>TrRoad_act!K111</f>
        <v>3000732</v>
      </c>
      <c r="L30" s="54">
        <f>TrRoad_act!L111</f>
        <v>2970320</v>
      </c>
      <c r="M30" s="54">
        <f>TrRoad_act!M111</f>
        <v>3311293</v>
      </c>
      <c r="N30" s="54">
        <f>TrRoad_act!N111</f>
        <v>2622678</v>
      </c>
      <c r="O30" s="54">
        <f>TrRoad_act!O111</f>
        <v>2567410</v>
      </c>
      <c r="P30" s="54">
        <f>TrRoad_act!P111</f>
        <v>2638953</v>
      </c>
      <c r="Q30" s="54">
        <f>TrRoad_act!Q111</f>
        <v>2781267</v>
      </c>
      <c r="R30" s="54">
        <f>TrRoad_act!R111</f>
        <v>2893202</v>
      </c>
      <c r="S30" s="54">
        <f>TrRoad_act!S111</f>
        <v>2951834</v>
      </c>
      <c r="T30" s="54">
        <f>TrRoad_act!T111</f>
        <v>3093951</v>
      </c>
      <c r="U30" s="54">
        <f>TrRoad_act!U111</f>
        <v>3106887</v>
      </c>
      <c r="V30" s="54">
        <f>TrRoad_act!V111</f>
        <v>2535053</v>
      </c>
      <c r="W30" s="54">
        <f>TrRoad_act!W111</f>
        <v>2742457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2313057</v>
      </c>
      <c r="C31" s="28">
        <f>TrRoad_act!C112</f>
        <v>2440833</v>
      </c>
      <c r="D31" s="28">
        <f>TrRoad_act!D112</f>
        <v>2320021</v>
      </c>
      <c r="E31" s="28">
        <f>TrRoad_act!E112</f>
        <v>2211158</v>
      </c>
      <c r="F31" s="28">
        <f>TrRoad_act!F112</f>
        <v>2243271</v>
      </c>
      <c r="G31" s="28">
        <f>TrRoad_act!G112</f>
        <v>2314254</v>
      </c>
      <c r="H31" s="28">
        <f>TrRoad_act!H112</f>
        <v>2280901</v>
      </c>
      <c r="I31" s="28">
        <f>TrRoad_act!I112</f>
        <v>2361165</v>
      </c>
      <c r="J31" s="28">
        <f>TrRoad_act!J112</f>
        <v>2344424</v>
      </c>
      <c r="K31" s="28">
        <f>TrRoad_act!K112</f>
        <v>2530512</v>
      </c>
      <c r="L31" s="28">
        <f>TrRoad_act!L112</f>
        <v>2496128</v>
      </c>
      <c r="M31" s="28">
        <f>TrRoad_act!M112</f>
        <v>2861194</v>
      </c>
      <c r="N31" s="28">
        <f>TrRoad_act!N112</f>
        <v>2160678</v>
      </c>
      <c r="O31" s="28">
        <f>TrRoad_act!O112</f>
        <v>2064567</v>
      </c>
      <c r="P31" s="28">
        <f>TrRoad_act!P112</f>
        <v>2063375</v>
      </c>
      <c r="Q31" s="28">
        <f>TrRoad_act!Q112</f>
        <v>2248594</v>
      </c>
      <c r="R31" s="28">
        <f>TrRoad_act!R112</f>
        <v>2409388</v>
      </c>
      <c r="S31" s="28">
        <f>TrRoad_act!S112</f>
        <v>2504092</v>
      </c>
      <c r="T31" s="28">
        <f>TrRoad_act!T112</f>
        <v>2605689</v>
      </c>
      <c r="U31" s="28">
        <f>TrRoad_act!U112</f>
        <v>2629771</v>
      </c>
      <c r="V31" s="28">
        <f>TrRoad_act!V112</f>
        <v>2130564</v>
      </c>
      <c r="W31" s="28">
        <f>TrRoad_act!W112</f>
        <v>2316294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180536</v>
      </c>
      <c r="C32" s="137">
        <f>TrRoad_act!C113</f>
        <v>180425</v>
      </c>
      <c r="D32" s="137">
        <f>TrRoad_act!D113</f>
        <v>169587</v>
      </c>
      <c r="E32" s="137">
        <f>TrRoad_act!E113</f>
        <v>196928</v>
      </c>
      <c r="F32" s="137">
        <f>TrRoad_act!F113</f>
        <v>224696</v>
      </c>
      <c r="G32" s="137">
        <f>TrRoad_act!G113</f>
        <v>241023</v>
      </c>
      <c r="H32" s="137">
        <f>TrRoad_act!H113</f>
        <v>274502</v>
      </c>
      <c r="I32" s="137">
        <f>TrRoad_act!I113</f>
        <v>290446</v>
      </c>
      <c r="J32" s="137">
        <f>TrRoad_act!J113</f>
        <v>287398</v>
      </c>
      <c r="K32" s="137">
        <f>TrRoad_act!K113</f>
        <v>254067</v>
      </c>
      <c r="L32" s="137">
        <f>TrRoad_act!L113</f>
        <v>231020</v>
      </c>
      <c r="M32" s="137">
        <f>TrRoad_act!M113</f>
        <v>215309</v>
      </c>
      <c r="N32" s="137">
        <f>TrRoad_act!N113</f>
        <v>197455</v>
      </c>
      <c r="O32" s="137">
        <f>TrRoad_act!O113</f>
        <v>172383</v>
      </c>
      <c r="P32" s="137">
        <f>TrRoad_act!P113</f>
        <v>175894</v>
      </c>
      <c r="Q32" s="137">
        <f>TrRoad_act!Q113</f>
        <v>173432</v>
      </c>
      <c r="R32" s="137">
        <f>TrRoad_act!R113</f>
        <v>182650</v>
      </c>
      <c r="S32" s="137">
        <f>TrRoad_act!S113</f>
        <v>170849</v>
      </c>
      <c r="T32" s="137">
        <f>TrRoad_act!T113</f>
        <v>183669</v>
      </c>
      <c r="U32" s="137">
        <f>TrRoad_act!U113</f>
        <v>202204</v>
      </c>
      <c r="V32" s="137">
        <f>TrRoad_act!V113</f>
        <v>181882</v>
      </c>
      <c r="W32" s="137">
        <f>TrRoad_act!W113</f>
        <v>206955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2127334</v>
      </c>
      <c r="C33" s="110">
        <f>TrRoad_act!C114</f>
        <v>2254732</v>
      </c>
      <c r="D33" s="110">
        <f>TrRoad_act!D114</f>
        <v>2145071</v>
      </c>
      <c r="E33" s="110">
        <f>TrRoad_act!E114</f>
        <v>2009246</v>
      </c>
      <c r="F33" s="110">
        <f>TrRoad_act!F114</f>
        <v>2013709</v>
      </c>
      <c r="G33" s="110">
        <f>TrRoad_act!G114</f>
        <v>2067789.0000000002</v>
      </c>
      <c r="H33" s="110">
        <f>TrRoad_act!H114</f>
        <v>2000549</v>
      </c>
      <c r="I33" s="110">
        <f>TrRoad_act!I114</f>
        <v>2064543</v>
      </c>
      <c r="J33" s="110">
        <f>TrRoad_act!J114</f>
        <v>2050283</v>
      </c>
      <c r="K33" s="110">
        <f>TrRoad_act!K114</f>
        <v>2269011</v>
      </c>
      <c r="L33" s="110">
        <f>TrRoad_act!L114</f>
        <v>2259208</v>
      </c>
      <c r="M33" s="110">
        <f>TrRoad_act!M114</f>
        <v>2639085</v>
      </c>
      <c r="N33" s="110">
        <f>TrRoad_act!N114</f>
        <v>1956649</v>
      </c>
      <c r="O33" s="110">
        <f>TrRoad_act!O114</f>
        <v>1884551</v>
      </c>
      <c r="P33" s="110">
        <f>TrRoad_act!P114</f>
        <v>1880348</v>
      </c>
      <c r="Q33" s="110">
        <f>TrRoad_act!Q114</f>
        <v>2067818</v>
      </c>
      <c r="R33" s="110">
        <f>TrRoad_act!R114</f>
        <v>2219435</v>
      </c>
      <c r="S33" s="110">
        <f>TrRoad_act!S114</f>
        <v>2325864</v>
      </c>
      <c r="T33" s="110">
        <f>TrRoad_act!T114</f>
        <v>2414046</v>
      </c>
      <c r="U33" s="110">
        <f>TrRoad_act!U114</f>
        <v>2418696</v>
      </c>
      <c r="V33" s="110">
        <f>TrRoad_act!V114</f>
        <v>1937961</v>
      </c>
      <c r="W33" s="110">
        <f>TrRoad_act!W114</f>
        <v>2097894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1080849</v>
      </c>
      <c r="C34" s="84">
        <f>TrRoad_act!C115</f>
        <v>966844</v>
      </c>
      <c r="D34" s="84">
        <f>TrRoad_act!D115</f>
        <v>790138</v>
      </c>
      <c r="E34" s="84">
        <f>TrRoad_act!E115</f>
        <v>655332</v>
      </c>
      <c r="F34" s="84">
        <f>TrRoad_act!F115</f>
        <v>620784</v>
      </c>
      <c r="G34" s="84">
        <f>TrRoad_act!G115</f>
        <v>638752.00000000023</v>
      </c>
      <c r="H34" s="84">
        <f>TrRoad_act!H115</f>
        <v>572838</v>
      </c>
      <c r="I34" s="84">
        <f>TrRoad_act!I115</f>
        <v>538623</v>
      </c>
      <c r="J34" s="84">
        <f>TrRoad_act!J115</f>
        <v>431337</v>
      </c>
      <c r="K34" s="84">
        <f>TrRoad_act!K115</f>
        <v>645250</v>
      </c>
      <c r="L34" s="84">
        <f>TrRoad_act!L115</f>
        <v>590071</v>
      </c>
      <c r="M34" s="84">
        <f>TrRoad_act!M115</f>
        <v>599265</v>
      </c>
      <c r="N34" s="84">
        <f>TrRoad_act!N115</f>
        <v>530542</v>
      </c>
      <c r="O34" s="84">
        <f>TrRoad_act!O115</f>
        <v>625803</v>
      </c>
      <c r="P34" s="84">
        <f>TrRoad_act!P115</f>
        <v>677504</v>
      </c>
      <c r="Q34" s="84">
        <f>TrRoad_act!Q115</f>
        <v>839442</v>
      </c>
      <c r="R34" s="84">
        <f>TrRoad_act!R115</f>
        <v>1015348</v>
      </c>
      <c r="S34" s="84">
        <f>TrRoad_act!S115</f>
        <v>1184725</v>
      </c>
      <c r="T34" s="84">
        <f>TrRoad_act!T115</f>
        <v>1418861</v>
      </c>
      <c r="U34" s="84">
        <f>TrRoad_act!U115</f>
        <v>1509980</v>
      </c>
      <c r="V34" s="84">
        <f>TrRoad_act!V115</f>
        <v>1117052</v>
      </c>
      <c r="W34" s="84">
        <f>TrRoad_act!W115</f>
        <v>1260927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1046485</v>
      </c>
      <c r="C35" s="84">
        <f>TrRoad_act!C116</f>
        <v>1267761</v>
      </c>
      <c r="D35" s="84">
        <f>TrRoad_act!D116</f>
        <v>1354933</v>
      </c>
      <c r="E35" s="84">
        <f>TrRoad_act!E116</f>
        <v>1353914</v>
      </c>
      <c r="F35" s="84">
        <f>TrRoad_act!F116</f>
        <v>1392925</v>
      </c>
      <c r="G35" s="84">
        <f>TrRoad_act!G116</f>
        <v>1429037</v>
      </c>
      <c r="H35" s="84">
        <f>TrRoad_act!H116</f>
        <v>1427697</v>
      </c>
      <c r="I35" s="84">
        <f>TrRoad_act!I116</f>
        <v>1525439</v>
      </c>
      <c r="J35" s="84">
        <f>TrRoad_act!J116</f>
        <v>1584438</v>
      </c>
      <c r="K35" s="84">
        <f>TrRoad_act!K116</f>
        <v>1598535</v>
      </c>
      <c r="L35" s="84">
        <f>TrRoad_act!L116</f>
        <v>1593402</v>
      </c>
      <c r="M35" s="84">
        <f>TrRoad_act!M116</f>
        <v>2004071</v>
      </c>
      <c r="N35" s="84">
        <f>TrRoad_act!N116</f>
        <v>1417436</v>
      </c>
      <c r="O35" s="84">
        <f>TrRoad_act!O116</f>
        <v>1246310</v>
      </c>
      <c r="P35" s="84">
        <f>TrRoad_act!P116</f>
        <v>1187395</v>
      </c>
      <c r="Q35" s="84">
        <f>TrRoad_act!Q116</f>
        <v>1201315</v>
      </c>
      <c r="R35" s="84">
        <f>TrRoad_act!R116</f>
        <v>1171962</v>
      </c>
      <c r="S35" s="84">
        <f>TrRoad_act!S116</f>
        <v>1101716</v>
      </c>
      <c r="T35" s="84">
        <f>TrRoad_act!T116</f>
        <v>944510</v>
      </c>
      <c r="U35" s="84">
        <f>TrRoad_act!U116</f>
        <v>843157</v>
      </c>
      <c r="V35" s="84">
        <f>TrRoad_act!V116</f>
        <v>613649</v>
      </c>
      <c r="W35" s="84">
        <f>TrRoad_act!W116</f>
        <v>479517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20127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31455</v>
      </c>
      <c r="K36" s="84">
        <f>TrRoad_act!K117</f>
        <v>24821</v>
      </c>
      <c r="L36" s="84">
        <f>TrRoad_act!L117</f>
        <v>75405</v>
      </c>
      <c r="M36" s="84">
        <f>TrRoad_act!M117</f>
        <v>32879</v>
      </c>
      <c r="N36" s="84">
        <f>TrRoad_act!N117</f>
        <v>2185</v>
      </c>
      <c r="O36" s="84">
        <f>TrRoad_act!O117</f>
        <v>2647</v>
      </c>
      <c r="P36" s="84">
        <f>TrRoad_act!P117</f>
        <v>2154</v>
      </c>
      <c r="Q36" s="84">
        <f>TrRoad_act!Q117</f>
        <v>1422</v>
      </c>
      <c r="R36" s="84">
        <f>TrRoad_act!R117</f>
        <v>544</v>
      </c>
      <c r="S36" s="84">
        <f>TrRoad_act!S117</f>
        <v>942</v>
      </c>
      <c r="T36" s="84">
        <f>TrRoad_act!T117</f>
        <v>2163</v>
      </c>
      <c r="U36" s="84">
        <f>TrRoad_act!U117</f>
        <v>2748</v>
      </c>
      <c r="V36" s="84">
        <f>TrRoad_act!V117</f>
        <v>16450</v>
      </c>
      <c r="W36" s="84">
        <f>TrRoad_act!W117</f>
        <v>46414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475</v>
      </c>
      <c r="J37" s="84">
        <f>TrRoad_act!J118</f>
        <v>471</v>
      </c>
      <c r="K37" s="84">
        <f>TrRoad_act!K118</f>
        <v>393</v>
      </c>
      <c r="L37" s="84">
        <f>TrRoad_act!L118</f>
        <v>178</v>
      </c>
      <c r="M37" s="84">
        <f>TrRoad_act!M118</f>
        <v>170</v>
      </c>
      <c r="N37" s="84">
        <f>TrRoad_act!N118</f>
        <v>155</v>
      </c>
      <c r="O37" s="84">
        <f>TrRoad_act!O118</f>
        <v>106</v>
      </c>
      <c r="P37" s="84">
        <f>TrRoad_act!P118</f>
        <v>92</v>
      </c>
      <c r="Q37" s="84">
        <f>TrRoad_act!Q118</f>
        <v>177</v>
      </c>
      <c r="R37" s="84">
        <f>TrRoad_act!R118</f>
        <v>1208</v>
      </c>
      <c r="S37" s="84">
        <f>TrRoad_act!S118</f>
        <v>237</v>
      </c>
      <c r="T37" s="84">
        <f>TrRoad_act!T118</f>
        <v>257</v>
      </c>
      <c r="U37" s="84">
        <f>TrRoad_act!U118</f>
        <v>353</v>
      </c>
      <c r="V37" s="84">
        <f>TrRoad_act!V118</f>
        <v>416</v>
      </c>
      <c r="W37" s="84">
        <f>TrRoad_act!W118</f>
        <v>473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668</v>
      </c>
      <c r="O38" s="84">
        <f>TrRoad_act!O119</f>
        <v>810</v>
      </c>
      <c r="P38" s="84">
        <f>TrRoad_act!P119</f>
        <v>1865</v>
      </c>
      <c r="Q38" s="84">
        <f>TrRoad_act!Q119</f>
        <v>5726</v>
      </c>
      <c r="R38" s="84">
        <f>TrRoad_act!R119</f>
        <v>7362</v>
      </c>
      <c r="S38" s="84">
        <f>TrRoad_act!S119</f>
        <v>11735</v>
      </c>
      <c r="T38" s="84">
        <f>TrRoad_act!T119</f>
        <v>14285</v>
      </c>
      <c r="U38" s="84">
        <f>TrRoad_act!U119</f>
        <v>18697</v>
      </c>
      <c r="V38" s="84">
        <f>TrRoad_act!V119</f>
        <v>75839</v>
      </c>
      <c r="W38" s="84">
        <f>TrRoad_act!W119</f>
        <v>141686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14</v>
      </c>
      <c r="I39" s="84">
        <f>TrRoad_act!I120</f>
        <v>6</v>
      </c>
      <c r="J39" s="84">
        <f>TrRoad_act!J120</f>
        <v>2582</v>
      </c>
      <c r="K39" s="84">
        <f>TrRoad_act!K120</f>
        <v>12</v>
      </c>
      <c r="L39" s="84">
        <f>TrRoad_act!L120</f>
        <v>152</v>
      </c>
      <c r="M39" s="84">
        <f>TrRoad_act!M120</f>
        <v>2700</v>
      </c>
      <c r="N39" s="84">
        <f>TrRoad_act!N120</f>
        <v>5663</v>
      </c>
      <c r="O39" s="84">
        <f>TrRoad_act!O120</f>
        <v>8875</v>
      </c>
      <c r="P39" s="84">
        <f>TrRoad_act!P120</f>
        <v>11338</v>
      </c>
      <c r="Q39" s="84">
        <f>TrRoad_act!Q120</f>
        <v>19736</v>
      </c>
      <c r="R39" s="84">
        <f>TrRoad_act!R120</f>
        <v>23011</v>
      </c>
      <c r="S39" s="84">
        <f>TrRoad_act!S120</f>
        <v>26509</v>
      </c>
      <c r="T39" s="84">
        <f>TrRoad_act!T120</f>
        <v>33970</v>
      </c>
      <c r="U39" s="84">
        <f>TrRoad_act!U120</f>
        <v>43761</v>
      </c>
      <c r="V39" s="84">
        <f>TrRoad_act!V120</f>
        <v>114555</v>
      </c>
      <c r="W39" s="84">
        <f>TrRoad_act!W120</f>
        <v>168877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5187</v>
      </c>
      <c r="C40" s="110">
        <f>TrRoad_act!C121</f>
        <v>5676</v>
      </c>
      <c r="D40" s="110">
        <f>TrRoad_act!D121</f>
        <v>5363</v>
      </c>
      <c r="E40" s="110">
        <f>TrRoad_act!E121</f>
        <v>4984</v>
      </c>
      <c r="F40" s="110">
        <f>TrRoad_act!F121</f>
        <v>4866</v>
      </c>
      <c r="G40" s="110">
        <f>TrRoad_act!G121</f>
        <v>5442</v>
      </c>
      <c r="H40" s="110">
        <f>TrRoad_act!H121</f>
        <v>5850</v>
      </c>
      <c r="I40" s="110">
        <f>TrRoad_act!I121</f>
        <v>6176</v>
      </c>
      <c r="J40" s="110">
        <f>TrRoad_act!J121</f>
        <v>6743</v>
      </c>
      <c r="K40" s="110">
        <f>TrRoad_act!K121</f>
        <v>7434</v>
      </c>
      <c r="L40" s="110">
        <f>TrRoad_act!L121</f>
        <v>5900</v>
      </c>
      <c r="M40" s="110">
        <f>TrRoad_act!M121</f>
        <v>6800</v>
      </c>
      <c r="N40" s="110">
        <f>TrRoad_act!N121</f>
        <v>6574</v>
      </c>
      <c r="O40" s="110">
        <f>TrRoad_act!O121</f>
        <v>7633</v>
      </c>
      <c r="P40" s="110">
        <f>TrRoad_act!P121</f>
        <v>7133</v>
      </c>
      <c r="Q40" s="110">
        <f>TrRoad_act!Q121</f>
        <v>7344</v>
      </c>
      <c r="R40" s="110">
        <f>TrRoad_act!R121</f>
        <v>7303</v>
      </c>
      <c r="S40" s="110">
        <f>TrRoad_act!S121</f>
        <v>7379</v>
      </c>
      <c r="T40" s="110">
        <f>TrRoad_act!T121</f>
        <v>7974</v>
      </c>
      <c r="U40" s="110">
        <f>TrRoad_act!U121</f>
        <v>8871</v>
      </c>
      <c r="V40" s="110">
        <f>TrRoad_act!V121</f>
        <v>10721</v>
      </c>
      <c r="W40" s="110">
        <f>TrRoad_act!W121</f>
        <v>11445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3</v>
      </c>
      <c r="C41" s="102">
        <f>TrRoad_act!C122</f>
        <v>5</v>
      </c>
      <c r="D41" s="102">
        <f>TrRoad_act!D122</f>
        <v>4</v>
      </c>
      <c r="E41" s="102">
        <f>TrRoad_act!E122</f>
        <v>1</v>
      </c>
      <c r="F41" s="102">
        <f>TrRoad_act!F122</f>
        <v>1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1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2</v>
      </c>
      <c r="V41" s="102">
        <f>TrRoad_act!V122</f>
        <v>3</v>
      </c>
      <c r="W41" s="102">
        <f>TrRoad_act!W122</f>
        <v>11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5126</v>
      </c>
      <c r="C42" s="102">
        <f>TrRoad_act!C123</f>
        <v>5177</v>
      </c>
      <c r="D42" s="102">
        <f>TrRoad_act!D123</f>
        <v>5276</v>
      </c>
      <c r="E42" s="102">
        <f>TrRoad_act!E123</f>
        <v>4742</v>
      </c>
      <c r="F42" s="102">
        <f>TrRoad_act!F123</f>
        <v>4691</v>
      </c>
      <c r="G42" s="102">
        <f>TrRoad_act!G123</f>
        <v>5328</v>
      </c>
      <c r="H42" s="102">
        <f>TrRoad_act!H123</f>
        <v>5675</v>
      </c>
      <c r="I42" s="102">
        <f>TrRoad_act!I123</f>
        <v>5963</v>
      </c>
      <c r="J42" s="102">
        <f>TrRoad_act!J123</f>
        <v>6510</v>
      </c>
      <c r="K42" s="102">
        <f>TrRoad_act!K123</f>
        <v>7428</v>
      </c>
      <c r="L42" s="102">
        <f>TrRoad_act!L123</f>
        <v>5900</v>
      </c>
      <c r="M42" s="102">
        <f>TrRoad_act!M123</f>
        <v>4600</v>
      </c>
      <c r="N42" s="102">
        <f>TrRoad_act!N123</f>
        <v>5959</v>
      </c>
      <c r="O42" s="102">
        <f>TrRoad_act!O123</f>
        <v>6942</v>
      </c>
      <c r="P42" s="102">
        <f>TrRoad_act!P123</f>
        <v>6644</v>
      </c>
      <c r="Q42" s="102">
        <f>TrRoad_act!Q123</f>
        <v>7185</v>
      </c>
      <c r="R42" s="102">
        <f>TrRoad_act!R123</f>
        <v>7132</v>
      </c>
      <c r="S42" s="102">
        <f>TrRoad_act!S123</f>
        <v>6837</v>
      </c>
      <c r="T42" s="102">
        <f>TrRoad_act!T123</f>
        <v>6885</v>
      </c>
      <c r="U42" s="102">
        <f>TrRoad_act!U123</f>
        <v>6834</v>
      </c>
      <c r="V42" s="102">
        <f>TrRoad_act!V123</f>
        <v>7007</v>
      </c>
      <c r="W42" s="102">
        <f>TrRoad_act!W123</f>
        <v>6859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28</v>
      </c>
      <c r="C43" s="102">
        <f>TrRoad_act!C124</f>
        <v>28</v>
      </c>
      <c r="D43" s="102">
        <f>TrRoad_act!D124</f>
        <v>1</v>
      </c>
      <c r="E43" s="102">
        <f>TrRoad_act!E124</f>
        <v>10</v>
      </c>
      <c r="F43" s="102">
        <f>TrRoad_act!F124</f>
        <v>6</v>
      </c>
      <c r="G43" s="102">
        <f>TrRoad_act!G124</f>
        <v>7</v>
      </c>
      <c r="H43" s="102">
        <f>TrRoad_act!H124</f>
        <v>1</v>
      </c>
      <c r="I43" s="102">
        <f>TrRoad_act!I124</f>
        <v>36</v>
      </c>
      <c r="J43" s="102">
        <f>TrRoad_act!J124</f>
        <v>0</v>
      </c>
      <c r="K43" s="102">
        <f>TrRoad_act!K124</f>
        <v>2</v>
      </c>
      <c r="L43" s="102">
        <f>TrRoad_act!L124</f>
        <v>0</v>
      </c>
      <c r="M43" s="102">
        <f>TrRoad_act!M124</f>
        <v>0</v>
      </c>
      <c r="N43" s="102">
        <f>TrRoad_act!N124</f>
        <v>1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443</v>
      </c>
      <c r="D44" s="102">
        <f>TrRoad_act!D125</f>
        <v>56</v>
      </c>
      <c r="E44" s="102">
        <f>TrRoad_act!E125</f>
        <v>208</v>
      </c>
      <c r="F44" s="102">
        <f>TrRoad_act!F125</f>
        <v>145</v>
      </c>
      <c r="G44" s="102">
        <f>TrRoad_act!G125</f>
        <v>100</v>
      </c>
      <c r="H44" s="102">
        <f>TrRoad_act!H125</f>
        <v>170</v>
      </c>
      <c r="I44" s="102">
        <f>TrRoad_act!I125</f>
        <v>173</v>
      </c>
      <c r="J44" s="102">
        <f>TrRoad_act!J125</f>
        <v>229</v>
      </c>
      <c r="K44" s="102">
        <f>TrRoad_act!K125</f>
        <v>4</v>
      </c>
      <c r="L44" s="102">
        <f>TrRoad_act!L125</f>
        <v>0</v>
      </c>
      <c r="M44" s="102">
        <f>TrRoad_act!M125</f>
        <v>2200</v>
      </c>
      <c r="N44" s="102">
        <f>TrRoad_act!N125</f>
        <v>584</v>
      </c>
      <c r="O44" s="102">
        <f>TrRoad_act!O125</f>
        <v>589</v>
      </c>
      <c r="P44" s="102">
        <f>TrRoad_act!P125</f>
        <v>446</v>
      </c>
      <c r="Q44" s="102">
        <f>TrRoad_act!Q125</f>
        <v>108</v>
      </c>
      <c r="R44" s="102">
        <f>TrRoad_act!R125</f>
        <v>91</v>
      </c>
      <c r="S44" s="102">
        <f>TrRoad_act!S125</f>
        <v>438</v>
      </c>
      <c r="T44" s="102">
        <f>TrRoad_act!T125</f>
        <v>997</v>
      </c>
      <c r="U44" s="102">
        <f>TrRoad_act!U125</f>
        <v>1750</v>
      </c>
      <c r="V44" s="102">
        <f>TrRoad_act!V125</f>
        <v>3537</v>
      </c>
      <c r="W44" s="102">
        <f>TrRoad_act!W125</f>
        <v>3912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30</v>
      </c>
      <c r="C45" s="102">
        <f>TrRoad_act!C126</f>
        <v>23</v>
      </c>
      <c r="D45" s="102">
        <f>TrRoad_act!D126</f>
        <v>26</v>
      </c>
      <c r="E45" s="102">
        <f>TrRoad_act!E126</f>
        <v>23</v>
      </c>
      <c r="F45" s="102">
        <f>TrRoad_act!F126</f>
        <v>23</v>
      </c>
      <c r="G45" s="102">
        <f>TrRoad_act!G126</f>
        <v>7</v>
      </c>
      <c r="H45" s="102">
        <f>TrRoad_act!H126</f>
        <v>4</v>
      </c>
      <c r="I45" s="102">
        <f>TrRoad_act!I126</f>
        <v>4</v>
      </c>
      <c r="J45" s="102">
        <f>TrRoad_act!J126</f>
        <v>4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29</v>
      </c>
      <c r="O45" s="102">
        <f>TrRoad_act!O126</f>
        <v>102</v>
      </c>
      <c r="P45" s="102">
        <f>TrRoad_act!P126</f>
        <v>43</v>
      </c>
      <c r="Q45" s="102">
        <f>TrRoad_act!Q126</f>
        <v>51</v>
      </c>
      <c r="R45" s="102">
        <f>TrRoad_act!R126</f>
        <v>80</v>
      </c>
      <c r="S45" s="102">
        <f>TrRoad_act!S126</f>
        <v>103</v>
      </c>
      <c r="T45" s="102">
        <f>TrRoad_act!T126</f>
        <v>92</v>
      </c>
      <c r="U45" s="102">
        <f>TrRoad_act!U126</f>
        <v>285</v>
      </c>
      <c r="V45" s="102">
        <f>TrRoad_act!V126</f>
        <v>174</v>
      </c>
      <c r="W45" s="102">
        <f>TrRoad_act!W126</f>
        <v>663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452651</v>
      </c>
      <c r="C46" s="28">
        <f>TrRoad_act!C127</f>
        <v>471929</v>
      </c>
      <c r="D46" s="28">
        <f>TrRoad_act!D127</f>
        <v>437376</v>
      </c>
      <c r="E46" s="28">
        <f>TrRoad_act!E127</f>
        <v>420736</v>
      </c>
      <c r="F46" s="28">
        <f>TrRoad_act!F127</f>
        <v>479273</v>
      </c>
      <c r="G46" s="28">
        <f>TrRoad_act!G127</f>
        <v>463838</v>
      </c>
      <c r="H46" s="28">
        <f>TrRoad_act!H127</f>
        <v>475169</v>
      </c>
      <c r="I46" s="28">
        <f>TrRoad_act!I127</f>
        <v>494470</v>
      </c>
      <c r="J46" s="28">
        <f>TrRoad_act!J127</f>
        <v>490136</v>
      </c>
      <c r="K46" s="28">
        <f>TrRoad_act!K127</f>
        <v>470220</v>
      </c>
      <c r="L46" s="28">
        <f>TrRoad_act!L127</f>
        <v>474192</v>
      </c>
      <c r="M46" s="28">
        <f>TrRoad_act!M127</f>
        <v>450099</v>
      </c>
      <c r="N46" s="28">
        <f>TrRoad_act!N127</f>
        <v>462000</v>
      </c>
      <c r="O46" s="28">
        <f>TrRoad_act!O127</f>
        <v>502843</v>
      </c>
      <c r="P46" s="28">
        <f>TrRoad_act!P127</f>
        <v>575578</v>
      </c>
      <c r="Q46" s="28">
        <f>TrRoad_act!Q127</f>
        <v>532673</v>
      </c>
      <c r="R46" s="28">
        <f>TrRoad_act!R127</f>
        <v>483814</v>
      </c>
      <c r="S46" s="28">
        <f>TrRoad_act!S127</f>
        <v>447742</v>
      </c>
      <c r="T46" s="28">
        <f>TrRoad_act!T127</f>
        <v>488262</v>
      </c>
      <c r="U46" s="28">
        <f>TrRoad_act!U127</f>
        <v>477116</v>
      </c>
      <c r="V46" s="28">
        <f>TrRoad_act!V127</f>
        <v>404489</v>
      </c>
      <c r="W46" s="28">
        <f>TrRoad_act!W127</f>
        <v>426163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394454</v>
      </c>
      <c r="C47" s="137">
        <f>TrRoad_act!C128</f>
        <v>411239</v>
      </c>
      <c r="D47" s="137">
        <f>TrRoad_act!D128</f>
        <v>382489</v>
      </c>
      <c r="E47" s="137">
        <f>TrRoad_act!E128</f>
        <v>372062</v>
      </c>
      <c r="F47" s="137">
        <f>TrRoad_act!F128</f>
        <v>415172</v>
      </c>
      <c r="G47" s="137">
        <f>TrRoad_act!G128</f>
        <v>402185</v>
      </c>
      <c r="H47" s="137">
        <f>TrRoad_act!H128</f>
        <v>415658</v>
      </c>
      <c r="I47" s="137">
        <f>TrRoad_act!I128</f>
        <v>435249</v>
      </c>
      <c r="J47" s="137">
        <f>TrRoad_act!J128</f>
        <v>430402</v>
      </c>
      <c r="K47" s="137">
        <f>TrRoad_act!K128</f>
        <v>438693</v>
      </c>
      <c r="L47" s="137">
        <f>TrRoad_act!L128</f>
        <v>432216</v>
      </c>
      <c r="M47" s="137">
        <f>TrRoad_act!M128</f>
        <v>401715</v>
      </c>
      <c r="N47" s="137">
        <f>TrRoad_act!N128</f>
        <v>414731</v>
      </c>
      <c r="O47" s="137">
        <f>TrRoad_act!O128</f>
        <v>449485</v>
      </c>
      <c r="P47" s="137">
        <f>TrRoad_act!P128</f>
        <v>531504</v>
      </c>
      <c r="Q47" s="137">
        <f>TrRoad_act!Q128</f>
        <v>482915</v>
      </c>
      <c r="R47" s="137">
        <f>TrRoad_act!R128</f>
        <v>426429</v>
      </c>
      <c r="S47" s="137">
        <f>TrRoad_act!S128</f>
        <v>386070</v>
      </c>
      <c r="T47" s="137">
        <f>TrRoad_act!T128</f>
        <v>429477</v>
      </c>
      <c r="U47" s="137">
        <f>TrRoad_act!U128</f>
        <v>412349</v>
      </c>
      <c r="V47" s="137">
        <f>TrRoad_act!V128</f>
        <v>358507</v>
      </c>
      <c r="W47" s="137">
        <f>TrRoad_act!W128</f>
        <v>369718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15104</v>
      </c>
      <c r="C48" s="84">
        <f>TrRoad_act!C129</f>
        <v>12705</v>
      </c>
      <c r="D48" s="84">
        <f>TrRoad_act!D129</f>
        <v>9481</v>
      </c>
      <c r="E48" s="84">
        <f>TrRoad_act!E129</f>
        <v>6995</v>
      </c>
      <c r="F48" s="84">
        <f>TrRoad_act!F129</f>
        <v>6749</v>
      </c>
      <c r="G48" s="84">
        <f>TrRoad_act!G129</f>
        <v>6275</v>
      </c>
      <c r="H48" s="84">
        <f>TrRoad_act!H129</f>
        <v>5374</v>
      </c>
      <c r="I48" s="84">
        <f>TrRoad_act!I129</f>
        <v>4575</v>
      </c>
      <c r="J48" s="84">
        <f>TrRoad_act!J129</f>
        <v>3969</v>
      </c>
      <c r="K48" s="84">
        <f>TrRoad_act!K129</f>
        <v>4829</v>
      </c>
      <c r="L48" s="84">
        <f>TrRoad_act!L129</f>
        <v>24399</v>
      </c>
      <c r="M48" s="84">
        <f>TrRoad_act!M129</f>
        <v>27578</v>
      </c>
      <c r="N48" s="84">
        <f>TrRoad_act!N129</f>
        <v>34973</v>
      </c>
      <c r="O48" s="84">
        <f>TrRoad_act!O129</f>
        <v>30529</v>
      </c>
      <c r="P48" s="84">
        <f>TrRoad_act!P129</f>
        <v>3787</v>
      </c>
      <c r="Q48" s="84">
        <f>TrRoad_act!Q129</f>
        <v>3899</v>
      </c>
      <c r="R48" s="84">
        <f>TrRoad_act!R129</f>
        <v>2876</v>
      </c>
      <c r="S48" s="84">
        <f>TrRoad_act!S129</f>
        <v>4632</v>
      </c>
      <c r="T48" s="84">
        <f>TrRoad_act!T129</f>
        <v>7575</v>
      </c>
      <c r="U48" s="84">
        <f>TrRoad_act!U129</f>
        <v>7465</v>
      </c>
      <c r="V48" s="84">
        <f>TrRoad_act!V129</f>
        <v>5568</v>
      </c>
      <c r="W48" s="84">
        <f>TrRoad_act!W129</f>
        <v>2102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375534</v>
      </c>
      <c r="C49" s="84">
        <f>TrRoad_act!C130</f>
        <v>395934</v>
      </c>
      <c r="D49" s="84">
        <f>TrRoad_act!D130</f>
        <v>371128</v>
      </c>
      <c r="E49" s="84">
        <f>TrRoad_act!E130</f>
        <v>363195</v>
      </c>
      <c r="F49" s="84">
        <f>TrRoad_act!F130</f>
        <v>406453</v>
      </c>
      <c r="G49" s="84">
        <f>TrRoad_act!G130</f>
        <v>394206</v>
      </c>
      <c r="H49" s="84">
        <f>TrRoad_act!H130</f>
        <v>407668</v>
      </c>
      <c r="I49" s="84">
        <f>TrRoad_act!I130</f>
        <v>429755</v>
      </c>
      <c r="J49" s="84">
        <f>TrRoad_act!J130</f>
        <v>425585</v>
      </c>
      <c r="K49" s="84">
        <f>TrRoad_act!K130</f>
        <v>431613</v>
      </c>
      <c r="L49" s="84">
        <f>TrRoad_act!L130</f>
        <v>406817</v>
      </c>
      <c r="M49" s="84">
        <f>TrRoad_act!M130</f>
        <v>371493</v>
      </c>
      <c r="N49" s="84">
        <f>TrRoad_act!N130</f>
        <v>375629</v>
      </c>
      <c r="O49" s="84">
        <f>TrRoad_act!O130</f>
        <v>413296</v>
      </c>
      <c r="P49" s="84">
        <f>TrRoad_act!P130</f>
        <v>522759</v>
      </c>
      <c r="Q49" s="84">
        <f>TrRoad_act!Q130</f>
        <v>473848</v>
      </c>
      <c r="R49" s="84">
        <f>TrRoad_act!R130</f>
        <v>416108</v>
      </c>
      <c r="S49" s="84">
        <f>TrRoad_act!S130</f>
        <v>375804</v>
      </c>
      <c r="T49" s="84">
        <f>TrRoad_act!T130</f>
        <v>404620</v>
      </c>
      <c r="U49" s="84">
        <f>TrRoad_act!U130</f>
        <v>396088</v>
      </c>
      <c r="V49" s="84">
        <f>TrRoad_act!V130</f>
        <v>337094</v>
      </c>
      <c r="W49" s="84">
        <f>TrRoad_act!W130</f>
        <v>354496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3009</v>
      </c>
      <c r="C50" s="84">
        <f>TrRoad_act!C131</f>
        <v>1885</v>
      </c>
      <c r="D50" s="84">
        <f>TrRoad_act!D131</f>
        <v>1530</v>
      </c>
      <c r="E50" s="84">
        <f>TrRoad_act!E131</f>
        <v>1433</v>
      </c>
      <c r="F50" s="84">
        <f>TrRoad_act!F131</f>
        <v>1576</v>
      </c>
      <c r="G50" s="84">
        <f>TrRoad_act!G131</f>
        <v>1438</v>
      </c>
      <c r="H50" s="84">
        <f>TrRoad_act!H131</f>
        <v>1919</v>
      </c>
      <c r="I50" s="84">
        <f>TrRoad_act!I131</f>
        <v>454</v>
      </c>
      <c r="J50" s="84">
        <f>TrRoad_act!J131</f>
        <v>332</v>
      </c>
      <c r="K50" s="84">
        <f>TrRoad_act!K131</f>
        <v>1429</v>
      </c>
      <c r="L50" s="84">
        <f>TrRoad_act!L131</f>
        <v>0</v>
      </c>
      <c r="M50" s="84">
        <f>TrRoad_act!M131</f>
        <v>0</v>
      </c>
      <c r="N50" s="84">
        <f>TrRoad_act!N131</f>
        <v>27</v>
      </c>
      <c r="O50" s="84">
        <f>TrRoad_act!O131</f>
        <v>90</v>
      </c>
      <c r="P50" s="84">
        <f>TrRoad_act!P131</f>
        <v>120</v>
      </c>
      <c r="Q50" s="84">
        <f>TrRoad_act!Q131</f>
        <v>95</v>
      </c>
      <c r="R50" s="84">
        <f>TrRoad_act!R131</f>
        <v>8</v>
      </c>
      <c r="S50" s="84">
        <f>TrRoad_act!S131</f>
        <v>6</v>
      </c>
      <c r="T50" s="84">
        <f>TrRoad_act!T131</f>
        <v>13</v>
      </c>
      <c r="U50" s="84">
        <f>TrRoad_act!U131</f>
        <v>16</v>
      </c>
      <c r="V50" s="84">
        <f>TrRoad_act!V131</f>
        <v>5888</v>
      </c>
      <c r="W50" s="84">
        <f>TrRoad_act!W131</f>
        <v>195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2</v>
      </c>
      <c r="C51" s="84">
        <f>TrRoad_act!C132</f>
        <v>0</v>
      </c>
      <c r="D51" s="84">
        <f>TrRoad_act!D132</f>
        <v>7</v>
      </c>
      <c r="E51" s="84">
        <f>TrRoad_act!E132</f>
        <v>204</v>
      </c>
      <c r="F51" s="84">
        <f>TrRoad_act!F132</f>
        <v>9</v>
      </c>
      <c r="G51" s="84">
        <f>TrRoad_act!G132</f>
        <v>3</v>
      </c>
      <c r="H51" s="84">
        <f>TrRoad_act!H132</f>
        <v>439</v>
      </c>
      <c r="I51" s="84">
        <f>TrRoad_act!I132</f>
        <v>14</v>
      </c>
      <c r="J51" s="84">
        <f>TrRoad_act!J132</f>
        <v>49</v>
      </c>
      <c r="K51" s="84">
        <f>TrRoad_act!K132</f>
        <v>219</v>
      </c>
      <c r="L51" s="84">
        <f>TrRoad_act!L132</f>
        <v>247</v>
      </c>
      <c r="M51" s="84">
        <f>TrRoad_act!M132</f>
        <v>295</v>
      </c>
      <c r="N51" s="84">
        <f>TrRoad_act!N132</f>
        <v>451</v>
      </c>
      <c r="O51" s="84">
        <f>TrRoad_act!O132</f>
        <v>482</v>
      </c>
      <c r="P51" s="84">
        <f>TrRoad_act!P132</f>
        <v>380</v>
      </c>
      <c r="Q51" s="84">
        <f>TrRoad_act!Q132</f>
        <v>337</v>
      </c>
      <c r="R51" s="84">
        <f>TrRoad_act!R132</f>
        <v>403</v>
      </c>
      <c r="S51" s="84">
        <f>TrRoad_act!S132</f>
        <v>487</v>
      </c>
      <c r="T51" s="84">
        <f>TrRoad_act!T132</f>
        <v>3797</v>
      </c>
      <c r="U51" s="84">
        <f>TrRoad_act!U132</f>
        <v>649</v>
      </c>
      <c r="V51" s="84">
        <f>TrRoad_act!V132</f>
        <v>746</v>
      </c>
      <c r="W51" s="84">
        <f>TrRoad_act!W132</f>
        <v>1105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805</v>
      </c>
      <c r="C52" s="84">
        <f>TrRoad_act!C133</f>
        <v>715</v>
      </c>
      <c r="D52" s="84">
        <f>TrRoad_act!D133</f>
        <v>343</v>
      </c>
      <c r="E52" s="84">
        <f>TrRoad_act!E133</f>
        <v>235</v>
      </c>
      <c r="F52" s="84">
        <f>TrRoad_act!F133</f>
        <v>385</v>
      </c>
      <c r="G52" s="84">
        <f>TrRoad_act!G133</f>
        <v>263</v>
      </c>
      <c r="H52" s="84">
        <f>TrRoad_act!H133</f>
        <v>258</v>
      </c>
      <c r="I52" s="84">
        <f>TrRoad_act!I133</f>
        <v>451</v>
      </c>
      <c r="J52" s="84">
        <f>TrRoad_act!J133</f>
        <v>467</v>
      </c>
      <c r="K52" s="84">
        <f>TrRoad_act!K133</f>
        <v>603</v>
      </c>
      <c r="L52" s="84">
        <f>TrRoad_act!L133</f>
        <v>753</v>
      </c>
      <c r="M52" s="84">
        <f>TrRoad_act!M133</f>
        <v>2349</v>
      </c>
      <c r="N52" s="84">
        <f>TrRoad_act!N133</f>
        <v>3651</v>
      </c>
      <c r="O52" s="84">
        <f>TrRoad_act!O133</f>
        <v>5088</v>
      </c>
      <c r="P52" s="84">
        <f>TrRoad_act!P133</f>
        <v>4458</v>
      </c>
      <c r="Q52" s="84">
        <f>TrRoad_act!Q133</f>
        <v>4736</v>
      </c>
      <c r="R52" s="84">
        <f>TrRoad_act!R133</f>
        <v>7034</v>
      </c>
      <c r="S52" s="84">
        <f>TrRoad_act!S133</f>
        <v>5141</v>
      </c>
      <c r="T52" s="84">
        <f>TrRoad_act!T133</f>
        <v>13472</v>
      </c>
      <c r="U52" s="84">
        <f>TrRoad_act!U133</f>
        <v>8131</v>
      </c>
      <c r="V52" s="84">
        <f>TrRoad_act!V133</f>
        <v>9211</v>
      </c>
      <c r="W52" s="84">
        <f>TrRoad_act!W133</f>
        <v>11820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58197</v>
      </c>
      <c r="C53" s="110">
        <f>TrRoad_act!C134</f>
        <v>60690</v>
      </c>
      <c r="D53" s="110">
        <f>TrRoad_act!D134</f>
        <v>54887</v>
      </c>
      <c r="E53" s="110">
        <f>TrRoad_act!E134</f>
        <v>48674</v>
      </c>
      <c r="F53" s="110">
        <f>TrRoad_act!F134</f>
        <v>64101</v>
      </c>
      <c r="G53" s="110">
        <f>TrRoad_act!G134</f>
        <v>61653</v>
      </c>
      <c r="H53" s="110">
        <f>TrRoad_act!H134</f>
        <v>59511</v>
      </c>
      <c r="I53" s="110">
        <f>TrRoad_act!I134</f>
        <v>59221</v>
      </c>
      <c r="J53" s="110">
        <f>TrRoad_act!J134</f>
        <v>59734</v>
      </c>
      <c r="K53" s="110">
        <f>TrRoad_act!K134</f>
        <v>31527</v>
      </c>
      <c r="L53" s="110">
        <f>TrRoad_act!L134</f>
        <v>41976</v>
      </c>
      <c r="M53" s="110">
        <f>TrRoad_act!M134</f>
        <v>48384</v>
      </c>
      <c r="N53" s="110">
        <f>TrRoad_act!N134</f>
        <v>47269</v>
      </c>
      <c r="O53" s="110">
        <f>TrRoad_act!O134</f>
        <v>53358</v>
      </c>
      <c r="P53" s="110">
        <f>TrRoad_act!P134</f>
        <v>44074</v>
      </c>
      <c r="Q53" s="110">
        <f>TrRoad_act!Q134</f>
        <v>49758</v>
      </c>
      <c r="R53" s="110">
        <f>TrRoad_act!R134</f>
        <v>57385</v>
      </c>
      <c r="S53" s="110">
        <f>TrRoad_act!S134</f>
        <v>61672</v>
      </c>
      <c r="T53" s="110">
        <f>TrRoad_act!T134</f>
        <v>58785</v>
      </c>
      <c r="U53" s="110">
        <f>TrRoad_act!U134</f>
        <v>64767</v>
      </c>
      <c r="V53" s="110">
        <f>TrRoad_act!V134</f>
        <v>45982</v>
      </c>
      <c r="W53" s="110">
        <f>TrRoad_act!W134</f>
        <v>56445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51216</v>
      </c>
      <c r="C54" s="102">
        <f>TrRoad_act!C135</f>
        <v>50753</v>
      </c>
      <c r="D54" s="102">
        <f>TrRoad_act!D135</f>
        <v>45136</v>
      </c>
      <c r="E54" s="102">
        <f>TrRoad_act!E135</f>
        <v>40159</v>
      </c>
      <c r="F54" s="102">
        <f>TrRoad_act!F135</f>
        <v>41834</v>
      </c>
      <c r="G54" s="102">
        <f>TrRoad_act!G135</f>
        <v>49820</v>
      </c>
      <c r="H54" s="102">
        <f>TrRoad_act!H135</f>
        <v>47575</v>
      </c>
      <c r="I54" s="102">
        <f>TrRoad_act!I135</f>
        <v>47275</v>
      </c>
      <c r="J54" s="102">
        <f>TrRoad_act!J135</f>
        <v>51727</v>
      </c>
      <c r="K54" s="102">
        <f>TrRoad_act!K135</f>
        <v>31527</v>
      </c>
      <c r="L54" s="102">
        <f>TrRoad_act!L135</f>
        <v>30385</v>
      </c>
      <c r="M54" s="102">
        <f>TrRoad_act!M135</f>
        <v>42982</v>
      </c>
      <c r="N54" s="102">
        <f>TrRoad_act!N135</f>
        <v>39514</v>
      </c>
      <c r="O54" s="102">
        <f>TrRoad_act!O135</f>
        <v>39289</v>
      </c>
      <c r="P54" s="102">
        <f>TrRoad_act!P135</f>
        <v>33928</v>
      </c>
      <c r="Q54" s="102">
        <f>TrRoad_act!Q135</f>
        <v>38042</v>
      </c>
      <c r="R54" s="102">
        <f>TrRoad_act!R135</f>
        <v>43175</v>
      </c>
      <c r="S54" s="102">
        <f>TrRoad_act!S135</f>
        <v>46062</v>
      </c>
      <c r="T54" s="102">
        <f>TrRoad_act!T135</f>
        <v>49425</v>
      </c>
      <c r="U54" s="102">
        <f>TrRoad_act!U135</f>
        <v>50251</v>
      </c>
      <c r="V54" s="102">
        <f>TrRoad_act!V135</f>
        <v>38337</v>
      </c>
      <c r="W54" s="102">
        <f>TrRoad_act!W135</f>
        <v>38579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6981</v>
      </c>
      <c r="C55" s="86">
        <f>TrRoad_act!C136</f>
        <v>9937</v>
      </c>
      <c r="D55" s="86">
        <f>TrRoad_act!D136</f>
        <v>9751</v>
      </c>
      <c r="E55" s="86">
        <f>TrRoad_act!E136</f>
        <v>8515</v>
      </c>
      <c r="F55" s="86">
        <f>TrRoad_act!F136</f>
        <v>22267</v>
      </c>
      <c r="G55" s="86">
        <f>TrRoad_act!G136</f>
        <v>11833</v>
      </c>
      <c r="H55" s="86">
        <f>TrRoad_act!H136</f>
        <v>11936</v>
      </c>
      <c r="I55" s="86">
        <f>TrRoad_act!I136</f>
        <v>11946</v>
      </c>
      <c r="J55" s="86">
        <f>TrRoad_act!J136</f>
        <v>8007</v>
      </c>
      <c r="K55" s="86">
        <f>TrRoad_act!K136</f>
        <v>0</v>
      </c>
      <c r="L55" s="86">
        <f>TrRoad_act!L136</f>
        <v>11591</v>
      </c>
      <c r="M55" s="86">
        <f>TrRoad_act!M136</f>
        <v>5402</v>
      </c>
      <c r="N55" s="86">
        <f>TrRoad_act!N136</f>
        <v>7755</v>
      </c>
      <c r="O55" s="86">
        <f>TrRoad_act!O136</f>
        <v>14069</v>
      </c>
      <c r="P55" s="86">
        <f>TrRoad_act!P136</f>
        <v>10146</v>
      </c>
      <c r="Q55" s="86">
        <f>TrRoad_act!Q136</f>
        <v>11716</v>
      </c>
      <c r="R55" s="86">
        <f>TrRoad_act!R136</f>
        <v>14210</v>
      </c>
      <c r="S55" s="86">
        <f>TrRoad_act!S136</f>
        <v>15610</v>
      </c>
      <c r="T55" s="86">
        <f>TrRoad_act!T136</f>
        <v>9360</v>
      </c>
      <c r="U55" s="86">
        <f>TrRoad_act!U136</f>
        <v>14516</v>
      </c>
      <c r="V55" s="86">
        <f>TrRoad_act!V136</f>
        <v>7645</v>
      </c>
      <c r="W55" s="86">
        <f>TrRoad_act!W136</f>
        <v>17866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3925447</v>
      </c>
      <c r="C59" s="54">
        <f t="shared" si="0"/>
        <v>1031279</v>
      </c>
      <c r="D59" s="54">
        <f t="shared" si="0"/>
        <v>1109818</v>
      </c>
      <c r="E59" s="54">
        <f t="shared" si="0"/>
        <v>1185632</v>
      </c>
      <c r="F59" s="54">
        <f t="shared" si="0"/>
        <v>1345057</v>
      </c>
      <c r="G59" s="54">
        <f t="shared" si="0"/>
        <v>1512996</v>
      </c>
      <c r="H59" s="54">
        <f t="shared" si="0"/>
        <v>1648908</v>
      </c>
      <c r="I59" s="54">
        <f t="shared" si="0"/>
        <v>1845756</v>
      </c>
      <c r="J59" s="54">
        <f t="shared" si="0"/>
        <v>1940672</v>
      </c>
      <c r="K59" s="54">
        <f t="shared" si="0"/>
        <v>2219638</v>
      </c>
      <c r="L59" s="54">
        <f t="shared" ref="L59" si="1">L60+L75</f>
        <v>2311443</v>
      </c>
      <c r="M59" s="54">
        <f t="shared" ref="M59:V59" si="2">M60+M75</f>
        <v>2719827</v>
      </c>
      <c r="N59" s="54">
        <f t="shared" si="2"/>
        <v>2240899</v>
      </c>
      <c r="O59" s="54">
        <f t="shared" si="2"/>
        <v>2277665</v>
      </c>
      <c r="P59" s="54">
        <f t="shared" si="2"/>
        <v>2411968</v>
      </c>
      <c r="Q59" s="54">
        <f t="shared" si="2"/>
        <v>2614680</v>
      </c>
      <c r="R59" s="54">
        <f t="shared" si="2"/>
        <v>2780764</v>
      </c>
      <c r="S59" s="54">
        <f t="shared" si="2"/>
        <v>2883711</v>
      </c>
      <c r="T59" s="54">
        <f t="shared" si="2"/>
        <v>3057967</v>
      </c>
      <c r="U59" s="54">
        <f t="shared" si="2"/>
        <v>3092068</v>
      </c>
      <c r="V59" s="54">
        <f t="shared" si="2"/>
        <v>2512330</v>
      </c>
      <c r="W59" s="54">
        <f t="shared" ref="W59" si="3">W60+W75</f>
        <v>2742457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3727493</v>
      </c>
      <c r="C60" s="28">
        <f t="shared" si="4"/>
        <v>954366</v>
      </c>
      <c r="D60" s="28">
        <f t="shared" si="4"/>
        <v>1021737</v>
      </c>
      <c r="E60" s="28">
        <f t="shared" si="4"/>
        <v>1082199</v>
      </c>
      <c r="F60" s="28">
        <f t="shared" si="4"/>
        <v>1207926</v>
      </c>
      <c r="G60" s="28">
        <f t="shared" si="4"/>
        <v>1357671</v>
      </c>
      <c r="H60" s="28">
        <f t="shared" si="4"/>
        <v>1447799</v>
      </c>
      <c r="I60" s="28">
        <f t="shared" si="4"/>
        <v>1605661</v>
      </c>
      <c r="J60" s="28">
        <f t="shared" si="4"/>
        <v>1670829</v>
      </c>
      <c r="K60" s="28">
        <f t="shared" si="4"/>
        <v>1927213</v>
      </c>
      <c r="L60" s="28">
        <f t="shared" ref="L60" si="5">L61+L62+L69</f>
        <v>1988807</v>
      </c>
      <c r="M60" s="28">
        <f t="shared" ref="M60:V60" si="6">M61+M62+M69</f>
        <v>2388174</v>
      </c>
      <c r="N60" s="28">
        <f t="shared" si="6"/>
        <v>1876351</v>
      </c>
      <c r="O60" s="28">
        <f t="shared" si="6"/>
        <v>1857677</v>
      </c>
      <c r="P60" s="28">
        <f t="shared" si="6"/>
        <v>1909332</v>
      </c>
      <c r="Q60" s="28">
        <f t="shared" si="6"/>
        <v>2130658</v>
      </c>
      <c r="R60" s="28">
        <f t="shared" si="6"/>
        <v>2327044</v>
      </c>
      <c r="S60" s="28">
        <f t="shared" si="6"/>
        <v>2453570</v>
      </c>
      <c r="T60" s="28">
        <f t="shared" si="6"/>
        <v>2579545</v>
      </c>
      <c r="U60" s="28">
        <f t="shared" si="6"/>
        <v>2619692</v>
      </c>
      <c r="V60" s="28">
        <f t="shared" si="6"/>
        <v>2114454</v>
      </c>
      <c r="W60" s="28">
        <f t="shared" ref="W60" si="7">W61+W62+W69</f>
        <v>2316294</v>
      </c>
      <c r="DA60" s="173" t="s">
        <v>837</v>
      </c>
    </row>
    <row r="61" spans="1:105" ht="11.45" customHeight="1" x14ac:dyDescent="0.25">
      <c r="A61" s="136" t="s">
        <v>180</v>
      </c>
      <c r="B61" s="137">
        <v>85374</v>
      </c>
      <c r="C61" s="137">
        <v>89219</v>
      </c>
      <c r="D61" s="137">
        <v>91556</v>
      </c>
      <c r="E61" s="137">
        <v>115203</v>
      </c>
      <c r="F61" s="137">
        <v>141419</v>
      </c>
      <c r="G61" s="137">
        <v>162097</v>
      </c>
      <c r="H61" s="137">
        <v>196008</v>
      </c>
      <c r="I61" s="137">
        <v>218858</v>
      </c>
      <c r="J61" s="137">
        <v>227224</v>
      </c>
      <c r="K61" s="137">
        <v>209621</v>
      </c>
      <c r="L61" s="137">
        <v>197895</v>
      </c>
      <c r="M61" s="137">
        <v>190572</v>
      </c>
      <c r="N61" s="137">
        <v>179769</v>
      </c>
      <c r="O61" s="137">
        <v>160751</v>
      </c>
      <c r="P61" s="137">
        <v>167339</v>
      </c>
      <c r="Q61" s="137">
        <v>167704</v>
      </c>
      <c r="R61" s="137">
        <v>178891</v>
      </c>
      <c r="S61" s="137">
        <v>168934</v>
      </c>
      <c r="T61" s="137">
        <v>182792</v>
      </c>
      <c r="U61" s="137">
        <v>201973</v>
      </c>
      <c r="V61" s="137">
        <v>181877</v>
      </c>
      <c r="W61" s="137">
        <v>206955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3641903</v>
      </c>
      <c r="C62" s="110">
        <f t="shared" si="8"/>
        <v>864950</v>
      </c>
      <c r="D62" s="110">
        <f t="shared" si="8"/>
        <v>929793</v>
      </c>
      <c r="E62" s="110">
        <f t="shared" si="8"/>
        <v>966368</v>
      </c>
      <c r="F62" s="110">
        <f t="shared" si="8"/>
        <v>1065586</v>
      </c>
      <c r="G62" s="110">
        <f t="shared" si="8"/>
        <v>1194169</v>
      </c>
      <c r="H62" s="110">
        <f t="shared" si="8"/>
        <v>1249811</v>
      </c>
      <c r="I62" s="110">
        <f t="shared" si="8"/>
        <v>1384190</v>
      </c>
      <c r="J62" s="110">
        <f t="shared" si="8"/>
        <v>1440191</v>
      </c>
      <c r="K62" s="110">
        <f t="shared" si="8"/>
        <v>1713258</v>
      </c>
      <c r="L62" s="110">
        <f t="shared" ref="L62" si="9">SUM(L63:L68)</f>
        <v>1787001</v>
      </c>
      <c r="M62" s="110">
        <f t="shared" ref="M62:V62" si="10">SUM(M63:M68)</f>
        <v>2192317</v>
      </c>
      <c r="N62" s="110">
        <f t="shared" si="10"/>
        <v>1691273</v>
      </c>
      <c r="O62" s="110">
        <f t="shared" si="10"/>
        <v>1690400</v>
      </c>
      <c r="P62" s="110">
        <f t="shared" si="10"/>
        <v>1735514</v>
      </c>
      <c r="Q62" s="110">
        <f t="shared" si="10"/>
        <v>1956028</v>
      </c>
      <c r="R62" s="110">
        <f t="shared" si="10"/>
        <v>2141073</v>
      </c>
      <c r="S62" s="110">
        <f t="shared" si="10"/>
        <v>2277354</v>
      </c>
      <c r="T62" s="110">
        <f t="shared" si="10"/>
        <v>2388809</v>
      </c>
      <c r="U62" s="110">
        <f t="shared" si="10"/>
        <v>2408852</v>
      </c>
      <c r="V62" s="110">
        <f t="shared" si="10"/>
        <v>1921858</v>
      </c>
      <c r="W62" s="110">
        <f t="shared" ref="W62" si="11">SUM(W63:W68)</f>
        <v>2097894</v>
      </c>
      <c r="DA62" s="176" t="s">
        <v>839</v>
      </c>
    </row>
    <row r="63" spans="1:105" ht="11.45" customHeight="1" x14ac:dyDescent="0.25">
      <c r="A63" s="111" t="s">
        <v>110</v>
      </c>
      <c r="B63" s="84">
        <v>2161527</v>
      </c>
      <c r="C63" s="84">
        <v>379875</v>
      </c>
      <c r="D63" s="84">
        <v>348516</v>
      </c>
      <c r="E63" s="84">
        <v>321286</v>
      </c>
      <c r="F63" s="84">
        <v>335117</v>
      </c>
      <c r="G63" s="84">
        <v>376316</v>
      </c>
      <c r="H63" s="84">
        <v>365232</v>
      </c>
      <c r="I63" s="84">
        <v>368716</v>
      </c>
      <c r="J63" s="84">
        <v>314659</v>
      </c>
      <c r="K63" s="84">
        <v>498077</v>
      </c>
      <c r="L63" s="84">
        <v>478760</v>
      </c>
      <c r="M63" s="84">
        <v>507858</v>
      </c>
      <c r="N63" s="84">
        <v>466843</v>
      </c>
      <c r="O63" s="84">
        <v>568564</v>
      </c>
      <c r="P63" s="84">
        <v>632192</v>
      </c>
      <c r="Q63" s="84">
        <v>800511</v>
      </c>
      <c r="R63" s="84">
        <v>984953</v>
      </c>
      <c r="S63" s="84">
        <v>1164063</v>
      </c>
      <c r="T63" s="84">
        <v>1406540</v>
      </c>
      <c r="U63" s="84">
        <v>1504989</v>
      </c>
      <c r="V63" s="84">
        <v>1109775</v>
      </c>
      <c r="W63" s="84">
        <v>1260927</v>
      </c>
      <c r="DA63" s="171" t="s">
        <v>840</v>
      </c>
    </row>
    <row r="64" spans="1:105" ht="11.45" customHeight="1" x14ac:dyDescent="0.25">
      <c r="A64" s="111" t="s">
        <v>111</v>
      </c>
      <c r="B64" s="84">
        <v>1480376</v>
      </c>
      <c r="C64" s="84">
        <v>485075</v>
      </c>
      <c r="D64" s="84">
        <v>581277</v>
      </c>
      <c r="E64" s="84">
        <v>645082</v>
      </c>
      <c r="F64" s="84">
        <v>730469</v>
      </c>
      <c r="G64" s="84">
        <v>817853</v>
      </c>
      <c r="H64" s="84">
        <v>884579</v>
      </c>
      <c r="I64" s="84">
        <v>1015474</v>
      </c>
      <c r="J64" s="84">
        <v>1125144</v>
      </c>
      <c r="K64" s="84">
        <v>1202741</v>
      </c>
      <c r="L64" s="84">
        <v>1262159</v>
      </c>
      <c r="M64" s="84">
        <v>1661176</v>
      </c>
      <c r="N64" s="84">
        <v>1222477</v>
      </c>
      <c r="O64" s="84">
        <v>1112387</v>
      </c>
      <c r="P64" s="84">
        <v>1091205</v>
      </c>
      <c r="Q64" s="84">
        <v>1131254</v>
      </c>
      <c r="R64" s="84">
        <v>1125736</v>
      </c>
      <c r="S64" s="84">
        <v>1074857</v>
      </c>
      <c r="T64" s="84">
        <v>932156</v>
      </c>
      <c r="U64" s="84">
        <v>838570</v>
      </c>
      <c r="V64" s="84">
        <v>606482</v>
      </c>
      <c r="W64" s="84">
        <v>479517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388</v>
      </c>
      <c r="K65" s="84">
        <v>12440</v>
      </c>
      <c r="L65" s="84">
        <v>46082</v>
      </c>
      <c r="M65" s="84">
        <v>23283</v>
      </c>
      <c r="N65" s="84">
        <v>1727</v>
      </c>
      <c r="O65" s="84">
        <v>2270</v>
      </c>
      <c r="P65" s="84">
        <v>1959</v>
      </c>
      <c r="Q65" s="84">
        <v>1347</v>
      </c>
      <c r="R65" s="84">
        <v>529</v>
      </c>
      <c r="S65" s="84">
        <v>932</v>
      </c>
      <c r="T65" s="84">
        <v>2156</v>
      </c>
      <c r="U65" s="84">
        <v>2747</v>
      </c>
      <c r="V65" s="84">
        <v>16449</v>
      </c>
      <c r="W65" s="84">
        <v>46414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966</v>
      </c>
      <c r="S66" s="84">
        <v>226</v>
      </c>
      <c r="T66" s="84">
        <v>253</v>
      </c>
      <c r="U66" s="84">
        <v>352</v>
      </c>
      <c r="V66" s="84">
        <v>416</v>
      </c>
      <c r="W66" s="84">
        <v>473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228</v>
      </c>
      <c r="Q67" s="84">
        <v>4761</v>
      </c>
      <c r="R67" s="84">
        <v>7006</v>
      </c>
      <c r="S67" s="84">
        <v>11493</v>
      </c>
      <c r="T67" s="84">
        <v>14187</v>
      </c>
      <c r="U67" s="84">
        <v>18667</v>
      </c>
      <c r="V67" s="84">
        <v>75572</v>
      </c>
      <c r="W67" s="84">
        <v>141686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226</v>
      </c>
      <c r="O68" s="84">
        <v>7179</v>
      </c>
      <c r="P68" s="84">
        <v>9930</v>
      </c>
      <c r="Q68" s="84">
        <v>18155</v>
      </c>
      <c r="R68" s="84">
        <v>21883</v>
      </c>
      <c r="S68" s="84">
        <v>25783</v>
      </c>
      <c r="T68" s="84">
        <v>33517</v>
      </c>
      <c r="U68" s="84">
        <v>43527</v>
      </c>
      <c r="V68" s="84">
        <v>113164</v>
      </c>
      <c r="W68" s="84">
        <v>168877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216</v>
      </c>
      <c r="C69" s="110">
        <f t="shared" si="12"/>
        <v>197</v>
      </c>
      <c r="D69" s="110">
        <f t="shared" si="12"/>
        <v>388</v>
      </c>
      <c r="E69" s="110">
        <f t="shared" si="12"/>
        <v>628</v>
      </c>
      <c r="F69" s="110">
        <f t="shared" si="12"/>
        <v>921</v>
      </c>
      <c r="G69" s="110">
        <f t="shared" si="12"/>
        <v>1405</v>
      </c>
      <c r="H69" s="110">
        <f t="shared" si="12"/>
        <v>1980</v>
      </c>
      <c r="I69" s="110">
        <f t="shared" si="12"/>
        <v>2613</v>
      </c>
      <c r="J69" s="110">
        <f t="shared" si="12"/>
        <v>3414</v>
      </c>
      <c r="K69" s="110">
        <f t="shared" si="12"/>
        <v>4334</v>
      </c>
      <c r="L69" s="110">
        <f t="shared" ref="L69" si="13">SUM(L70:L74)</f>
        <v>3911</v>
      </c>
      <c r="M69" s="110">
        <f t="shared" ref="M69:V69" si="14">SUM(M70:M74)</f>
        <v>5285</v>
      </c>
      <c r="N69" s="110">
        <f t="shared" si="14"/>
        <v>5309</v>
      </c>
      <c r="O69" s="110">
        <f t="shared" si="14"/>
        <v>6526</v>
      </c>
      <c r="P69" s="110">
        <f t="shared" si="14"/>
        <v>6479</v>
      </c>
      <c r="Q69" s="110">
        <f t="shared" si="14"/>
        <v>6926</v>
      </c>
      <c r="R69" s="110">
        <f t="shared" si="14"/>
        <v>7080</v>
      </c>
      <c r="S69" s="110">
        <f t="shared" si="14"/>
        <v>7282</v>
      </c>
      <c r="T69" s="110">
        <f t="shared" si="14"/>
        <v>7944</v>
      </c>
      <c r="U69" s="110">
        <f t="shared" si="14"/>
        <v>8867</v>
      </c>
      <c r="V69" s="110">
        <f t="shared" si="14"/>
        <v>10719</v>
      </c>
      <c r="W69" s="110">
        <f t="shared" ref="W69" si="15">SUM(W70:W74)</f>
        <v>11445</v>
      </c>
      <c r="DA69" s="176" t="s">
        <v>846</v>
      </c>
    </row>
    <row r="70" spans="1:105" ht="11.45" customHeight="1" x14ac:dyDescent="0.25">
      <c r="A70" s="111" t="s">
        <v>110</v>
      </c>
      <c r="B70" s="102">
        <v>202</v>
      </c>
      <c r="C70" s="102">
        <v>5</v>
      </c>
      <c r="D70" s="102">
        <v>4</v>
      </c>
      <c r="E70" s="102">
        <v>1</v>
      </c>
      <c r="F70" s="102">
        <v>1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1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2</v>
      </c>
      <c r="V70" s="102">
        <v>3</v>
      </c>
      <c r="W70" s="102">
        <v>11</v>
      </c>
      <c r="DA70" s="175" t="s">
        <v>847</v>
      </c>
    </row>
    <row r="71" spans="1:105" ht="11.45" customHeight="1" x14ac:dyDescent="0.25">
      <c r="A71" s="111" t="s">
        <v>111</v>
      </c>
      <c r="B71" s="102">
        <v>3</v>
      </c>
      <c r="C71" s="102">
        <v>177</v>
      </c>
      <c r="D71" s="102">
        <v>383</v>
      </c>
      <c r="E71" s="102">
        <v>580</v>
      </c>
      <c r="F71" s="102">
        <v>858</v>
      </c>
      <c r="G71" s="102">
        <v>1348</v>
      </c>
      <c r="H71" s="102">
        <v>1877</v>
      </c>
      <c r="I71" s="102">
        <v>2467</v>
      </c>
      <c r="J71" s="102">
        <v>3246</v>
      </c>
      <c r="K71" s="102">
        <v>4329</v>
      </c>
      <c r="L71" s="102">
        <v>3911</v>
      </c>
      <c r="M71" s="102">
        <v>3391</v>
      </c>
      <c r="N71" s="102">
        <v>4785</v>
      </c>
      <c r="O71" s="102">
        <v>5968</v>
      </c>
      <c r="P71" s="102">
        <v>6021</v>
      </c>
      <c r="Q71" s="102">
        <v>6775</v>
      </c>
      <c r="R71" s="102">
        <v>6914</v>
      </c>
      <c r="S71" s="102">
        <v>6748</v>
      </c>
      <c r="T71" s="102">
        <v>6862</v>
      </c>
      <c r="U71" s="102">
        <v>6833</v>
      </c>
      <c r="V71" s="102">
        <v>7007</v>
      </c>
      <c r="W71" s="102">
        <v>6859</v>
      </c>
      <c r="DA71" s="175" t="s">
        <v>848</v>
      </c>
    </row>
    <row r="72" spans="1:105" ht="11.45" customHeight="1" x14ac:dyDescent="0.25">
      <c r="A72" s="111" t="s">
        <v>112</v>
      </c>
      <c r="B72" s="102">
        <v>11</v>
      </c>
      <c r="C72" s="102">
        <v>15</v>
      </c>
      <c r="D72" s="102">
        <v>1</v>
      </c>
      <c r="E72" s="102">
        <v>7</v>
      </c>
      <c r="F72" s="102">
        <v>4</v>
      </c>
      <c r="G72" s="102">
        <v>5</v>
      </c>
      <c r="H72" s="102">
        <v>1</v>
      </c>
      <c r="I72" s="102">
        <v>28</v>
      </c>
      <c r="J72" s="102">
        <v>0</v>
      </c>
      <c r="K72" s="102">
        <v>2</v>
      </c>
      <c r="L72" s="102">
        <v>0</v>
      </c>
      <c r="M72" s="102">
        <v>0</v>
      </c>
      <c r="N72" s="102">
        <v>1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40</v>
      </c>
      <c r="F73" s="102">
        <v>58</v>
      </c>
      <c r="G73" s="102">
        <v>52</v>
      </c>
      <c r="H73" s="102">
        <v>102</v>
      </c>
      <c r="I73" s="102">
        <v>118</v>
      </c>
      <c r="J73" s="102">
        <v>168</v>
      </c>
      <c r="K73" s="102">
        <v>3</v>
      </c>
      <c r="L73" s="102">
        <v>0</v>
      </c>
      <c r="M73" s="102">
        <v>1894</v>
      </c>
      <c r="N73" s="102">
        <v>522</v>
      </c>
      <c r="O73" s="102">
        <v>543</v>
      </c>
      <c r="P73" s="102">
        <v>422</v>
      </c>
      <c r="Q73" s="102">
        <v>104</v>
      </c>
      <c r="R73" s="102">
        <v>89</v>
      </c>
      <c r="S73" s="102">
        <v>432</v>
      </c>
      <c r="T73" s="102">
        <v>991</v>
      </c>
      <c r="U73" s="102">
        <v>1748</v>
      </c>
      <c r="V73" s="102">
        <v>3537</v>
      </c>
      <c r="W73" s="102">
        <v>3912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15</v>
      </c>
      <c r="P74" s="102">
        <v>36</v>
      </c>
      <c r="Q74" s="102">
        <v>47</v>
      </c>
      <c r="R74" s="102">
        <v>77</v>
      </c>
      <c r="S74" s="102">
        <v>101</v>
      </c>
      <c r="T74" s="102">
        <v>91</v>
      </c>
      <c r="U74" s="102">
        <v>284</v>
      </c>
      <c r="V74" s="102">
        <v>172</v>
      </c>
      <c r="W74" s="102">
        <v>663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197954</v>
      </c>
      <c r="C75" s="28">
        <f t="shared" si="16"/>
        <v>76913</v>
      </c>
      <c r="D75" s="28">
        <f t="shared" si="16"/>
        <v>88081</v>
      </c>
      <c r="E75" s="28">
        <f t="shared" si="16"/>
        <v>103433</v>
      </c>
      <c r="F75" s="28">
        <f t="shared" si="16"/>
        <v>137131</v>
      </c>
      <c r="G75" s="28">
        <f t="shared" si="16"/>
        <v>155325</v>
      </c>
      <c r="H75" s="28">
        <f t="shared" si="16"/>
        <v>201109</v>
      </c>
      <c r="I75" s="28">
        <f t="shared" si="16"/>
        <v>240095</v>
      </c>
      <c r="J75" s="28">
        <f t="shared" si="16"/>
        <v>269843</v>
      </c>
      <c r="K75" s="28">
        <f t="shared" si="16"/>
        <v>292425</v>
      </c>
      <c r="L75" s="28">
        <f t="shared" ref="L75" si="17">L76+L82</f>
        <v>322636</v>
      </c>
      <c r="M75" s="28">
        <f t="shared" ref="M75:V75" si="18">M76+M82</f>
        <v>331653</v>
      </c>
      <c r="N75" s="28">
        <f t="shared" si="18"/>
        <v>364548</v>
      </c>
      <c r="O75" s="28">
        <f t="shared" si="18"/>
        <v>419988</v>
      </c>
      <c r="P75" s="28">
        <f t="shared" si="18"/>
        <v>502636</v>
      </c>
      <c r="Q75" s="28">
        <f t="shared" si="18"/>
        <v>484022</v>
      </c>
      <c r="R75" s="28">
        <f t="shared" si="18"/>
        <v>453720</v>
      </c>
      <c r="S75" s="28">
        <f t="shared" si="18"/>
        <v>430141</v>
      </c>
      <c r="T75" s="28">
        <f t="shared" si="18"/>
        <v>478422</v>
      </c>
      <c r="U75" s="28">
        <f t="shared" si="18"/>
        <v>472376</v>
      </c>
      <c r="V75" s="28">
        <f t="shared" si="18"/>
        <v>397876</v>
      </c>
      <c r="W75" s="28">
        <f t="shared" ref="W75" si="19">W76+W82</f>
        <v>426163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197954</v>
      </c>
      <c r="C76" s="137">
        <f t="shared" si="20"/>
        <v>76913</v>
      </c>
      <c r="D76" s="137">
        <f t="shared" si="20"/>
        <v>88081</v>
      </c>
      <c r="E76" s="137">
        <f t="shared" si="20"/>
        <v>103433</v>
      </c>
      <c r="F76" s="137">
        <f t="shared" si="20"/>
        <v>137131</v>
      </c>
      <c r="G76" s="137">
        <f t="shared" si="20"/>
        <v>155325</v>
      </c>
      <c r="H76" s="137">
        <f t="shared" si="20"/>
        <v>184646</v>
      </c>
      <c r="I76" s="137">
        <f t="shared" si="20"/>
        <v>219112</v>
      </c>
      <c r="J76" s="137">
        <f t="shared" si="20"/>
        <v>242374</v>
      </c>
      <c r="K76" s="137">
        <f t="shared" si="20"/>
        <v>272988</v>
      </c>
      <c r="L76" s="137">
        <f t="shared" ref="L76" si="21">SUM(L77:L81)</f>
        <v>295174</v>
      </c>
      <c r="M76" s="137">
        <f t="shared" ref="M76:V76" si="22">SUM(M77:M81)</f>
        <v>295181</v>
      </c>
      <c r="N76" s="137">
        <f t="shared" si="22"/>
        <v>326522</v>
      </c>
      <c r="O76" s="137">
        <f t="shared" si="22"/>
        <v>375495</v>
      </c>
      <c r="P76" s="137">
        <f t="shared" si="22"/>
        <v>463796</v>
      </c>
      <c r="Q76" s="137">
        <f t="shared" si="22"/>
        <v>438601</v>
      </c>
      <c r="R76" s="137">
        <f t="shared" si="22"/>
        <v>400032</v>
      </c>
      <c r="S76" s="137">
        <f t="shared" si="22"/>
        <v>371360</v>
      </c>
      <c r="T76" s="137">
        <f t="shared" si="22"/>
        <v>420884</v>
      </c>
      <c r="U76" s="137">
        <f t="shared" si="22"/>
        <v>408925</v>
      </c>
      <c r="V76" s="137">
        <f t="shared" si="22"/>
        <v>352239</v>
      </c>
      <c r="W76" s="137">
        <f t="shared" ref="W76" si="23">SUM(W77:W81)</f>
        <v>369718</v>
      </c>
      <c r="DA76" s="174" t="s">
        <v>853</v>
      </c>
    </row>
    <row r="77" spans="1:105" ht="11.45" customHeight="1" x14ac:dyDescent="0.25">
      <c r="A77" s="111" t="s">
        <v>110</v>
      </c>
      <c r="B77" s="84">
        <v>28274</v>
      </c>
      <c r="C77" s="84">
        <v>3420</v>
      </c>
      <c r="D77" s="84">
        <v>3025</v>
      </c>
      <c r="E77" s="84">
        <v>2605</v>
      </c>
      <c r="F77" s="84">
        <v>2891</v>
      </c>
      <c r="G77" s="84">
        <v>3050</v>
      </c>
      <c r="H77" s="84">
        <v>2926</v>
      </c>
      <c r="I77" s="84">
        <v>2757</v>
      </c>
      <c r="J77" s="84">
        <v>2617</v>
      </c>
      <c r="K77" s="84">
        <v>3447</v>
      </c>
      <c r="L77" s="84">
        <v>18660</v>
      </c>
      <c r="M77" s="84">
        <v>22389</v>
      </c>
      <c r="N77" s="84">
        <v>29876</v>
      </c>
      <c r="O77" s="84">
        <v>27217</v>
      </c>
      <c r="P77" s="84">
        <v>3497</v>
      </c>
      <c r="Q77" s="84">
        <v>3701</v>
      </c>
      <c r="R77" s="84">
        <v>2789</v>
      </c>
      <c r="S77" s="84">
        <v>4560</v>
      </c>
      <c r="T77" s="84">
        <v>7530</v>
      </c>
      <c r="U77" s="84">
        <v>7456</v>
      </c>
      <c r="V77" s="84">
        <v>5568</v>
      </c>
      <c r="W77" s="84">
        <v>2102</v>
      </c>
      <c r="DA77" s="171" t="s">
        <v>854</v>
      </c>
    </row>
    <row r="78" spans="1:105" ht="11.45" customHeight="1" x14ac:dyDescent="0.25">
      <c r="A78" s="111" t="s">
        <v>111</v>
      </c>
      <c r="B78" s="84">
        <v>168003</v>
      </c>
      <c r="C78" s="84">
        <v>73269</v>
      </c>
      <c r="D78" s="84">
        <v>84809</v>
      </c>
      <c r="E78" s="84">
        <v>100519</v>
      </c>
      <c r="F78" s="84">
        <v>133798</v>
      </c>
      <c r="G78" s="84">
        <v>151765</v>
      </c>
      <c r="H78" s="84">
        <v>180693</v>
      </c>
      <c r="I78" s="84">
        <v>216117</v>
      </c>
      <c r="J78" s="84">
        <v>239534</v>
      </c>
      <c r="K78" s="84">
        <v>268457</v>
      </c>
      <c r="L78" s="84">
        <v>276340</v>
      </c>
      <c r="M78" s="84">
        <v>272569</v>
      </c>
      <c r="N78" s="84">
        <v>294653</v>
      </c>
      <c r="O78" s="84">
        <v>343314</v>
      </c>
      <c r="P78" s="84">
        <v>455772</v>
      </c>
      <c r="Q78" s="84">
        <v>430035</v>
      </c>
      <c r="R78" s="84">
        <v>390067</v>
      </c>
      <c r="S78" s="84">
        <v>361280</v>
      </c>
      <c r="T78" s="84">
        <v>396255</v>
      </c>
      <c r="U78" s="84">
        <v>392702</v>
      </c>
      <c r="V78" s="84">
        <v>330920</v>
      </c>
      <c r="W78" s="84">
        <v>354496</v>
      </c>
      <c r="DA78" s="171" t="s">
        <v>855</v>
      </c>
    </row>
    <row r="79" spans="1:105" ht="11.45" customHeight="1" x14ac:dyDescent="0.25">
      <c r="A79" s="111" t="s">
        <v>112</v>
      </c>
      <c r="B79" s="84">
        <v>1677</v>
      </c>
      <c r="C79" s="84">
        <v>224</v>
      </c>
      <c r="D79" s="84">
        <v>247</v>
      </c>
      <c r="E79" s="84">
        <v>309</v>
      </c>
      <c r="F79" s="84">
        <v>442</v>
      </c>
      <c r="G79" s="84">
        <v>510</v>
      </c>
      <c r="H79" s="84">
        <v>829</v>
      </c>
      <c r="I79" s="84">
        <v>231</v>
      </c>
      <c r="J79" s="84">
        <v>194</v>
      </c>
      <c r="K79" s="84">
        <v>942</v>
      </c>
      <c r="L79" s="84">
        <v>0</v>
      </c>
      <c r="M79" s="84">
        <v>0</v>
      </c>
      <c r="N79" s="84">
        <v>22</v>
      </c>
      <c r="O79" s="84">
        <v>80</v>
      </c>
      <c r="P79" s="84">
        <v>111</v>
      </c>
      <c r="Q79" s="84">
        <v>90</v>
      </c>
      <c r="R79" s="84">
        <v>8</v>
      </c>
      <c r="S79" s="84">
        <v>6</v>
      </c>
      <c r="T79" s="84">
        <v>13</v>
      </c>
      <c r="U79" s="84">
        <v>16</v>
      </c>
      <c r="V79" s="84">
        <v>5854</v>
      </c>
      <c r="W79" s="84">
        <v>195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198</v>
      </c>
      <c r="I80" s="84">
        <v>7</v>
      </c>
      <c r="J80" s="84">
        <v>29</v>
      </c>
      <c r="K80" s="84">
        <v>142</v>
      </c>
      <c r="L80" s="84">
        <v>174</v>
      </c>
      <c r="M80" s="84">
        <v>223</v>
      </c>
      <c r="N80" s="84">
        <v>363</v>
      </c>
      <c r="O80" s="84">
        <v>409</v>
      </c>
      <c r="P80" s="84">
        <v>337</v>
      </c>
      <c r="Q80" s="84">
        <v>309</v>
      </c>
      <c r="R80" s="84">
        <v>381</v>
      </c>
      <c r="S80" s="84">
        <v>470</v>
      </c>
      <c r="T80" s="84">
        <v>3728</v>
      </c>
      <c r="U80" s="84">
        <v>644</v>
      </c>
      <c r="V80" s="84">
        <v>733</v>
      </c>
      <c r="W80" s="84">
        <v>1105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1608</v>
      </c>
      <c r="O81" s="84">
        <v>4475</v>
      </c>
      <c r="P81" s="84">
        <v>4079</v>
      </c>
      <c r="Q81" s="84">
        <v>4466</v>
      </c>
      <c r="R81" s="84">
        <v>6787</v>
      </c>
      <c r="S81" s="84">
        <v>5044</v>
      </c>
      <c r="T81" s="84">
        <v>13358</v>
      </c>
      <c r="U81" s="84">
        <v>8107</v>
      </c>
      <c r="V81" s="84">
        <v>9164</v>
      </c>
      <c r="W81" s="84">
        <v>11820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16463</v>
      </c>
      <c r="I82" s="110">
        <f t="shared" si="24"/>
        <v>20983</v>
      </c>
      <c r="J82" s="110">
        <f t="shared" si="24"/>
        <v>27469</v>
      </c>
      <c r="K82" s="110">
        <f t="shared" si="24"/>
        <v>19437</v>
      </c>
      <c r="L82" s="110">
        <f t="shared" ref="L82" si="25">SUM(L83:L84)</f>
        <v>27462</v>
      </c>
      <c r="M82" s="110">
        <f t="shared" ref="M82:V82" si="26">SUM(M83:M84)</f>
        <v>36472</v>
      </c>
      <c r="N82" s="110">
        <f t="shared" si="26"/>
        <v>38026</v>
      </c>
      <c r="O82" s="110">
        <f t="shared" si="26"/>
        <v>44493</v>
      </c>
      <c r="P82" s="110">
        <f t="shared" si="26"/>
        <v>38840</v>
      </c>
      <c r="Q82" s="110">
        <f t="shared" si="26"/>
        <v>45421</v>
      </c>
      <c r="R82" s="110">
        <f t="shared" si="26"/>
        <v>53688</v>
      </c>
      <c r="S82" s="110">
        <f t="shared" si="26"/>
        <v>58781</v>
      </c>
      <c r="T82" s="110">
        <f t="shared" si="26"/>
        <v>57538</v>
      </c>
      <c r="U82" s="110">
        <f t="shared" si="26"/>
        <v>63451</v>
      </c>
      <c r="V82" s="110">
        <f t="shared" si="26"/>
        <v>45637</v>
      </c>
      <c r="W82" s="110">
        <f t="shared" ref="W82" si="27">SUM(W83:W84)</f>
        <v>56445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16463</v>
      </c>
      <c r="I83" s="102">
        <v>20983</v>
      </c>
      <c r="J83" s="102">
        <v>27469</v>
      </c>
      <c r="K83" s="102">
        <v>19437</v>
      </c>
      <c r="L83" s="102">
        <v>21185</v>
      </c>
      <c r="M83" s="102">
        <v>33118</v>
      </c>
      <c r="N83" s="102">
        <v>32975</v>
      </c>
      <c r="O83" s="102">
        <v>34890</v>
      </c>
      <c r="P83" s="102">
        <v>31572</v>
      </c>
      <c r="Q83" s="102">
        <v>36606</v>
      </c>
      <c r="R83" s="102">
        <v>42470</v>
      </c>
      <c r="S83" s="102">
        <v>45868</v>
      </c>
      <c r="T83" s="102">
        <v>49415</v>
      </c>
      <c r="U83" s="102">
        <v>50250</v>
      </c>
      <c r="V83" s="102">
        <v>38337</v>
      </c>
      <c r="W83" s="102">
        <v>38579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6277</v>
      </c>
      <c r="M84" s="86">
        <v>3354</v>
      </c>
      <c r="N84" s="86">
        <v>5051</v>
      </c>
      <c r="O84" s="86">
        <v>9603</v>
      </c>
      <c r="P84" s="86">
        <v>7268</v>
      </c>
      <c r="Q84" s="86">
        <v>8815</v>
      </c>
      <c r="R84" s="86">
        <v>11218</v>
      </c>
      <c r="S84" s="86">
        <v>12913</v>
      </c>
      <c r="T84" s="86">
        <v>8123</v>
      </c>
      <c r="U84" s="86">
        <v>13201</v>
      </c>
      <c r="V84" s="86">
        <v>7300</v>
      </c>
      <c r="W84" s="86">
        <v>17866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3.4151518480171421</v>
      </c>
      <c r="C90" s="141">
        <v>3.3966043528006828</v>
      </c>
      <c r="D90" s="141">
        <v>3.3789756149845669</v>
      </c>
      <c r="E90" s="141">
        <v>3.3579586754029465</v>
      </c>
      <c r="F90" s="141">
        <v>3.3335322227389206</v>
      </c>
      <c r="G90" s="141">
        <v>3.3048539547501399</v>
      </c>
      <c r="H90" s="141">
        <v>3.2719250308299404</v>
      </c>
      <c r="I90" s="141">
        <v>3.2451919686697068</v>
      </c>
      <c r="J90" s="141">
        <v>3.2146325880648723</v>
      </c>
      <c r="K90" s="141">
        <v>3.1781618496185282</v>
      </c>
      <c r="L90" s="141">
        <v>3.1462104345100008</v>
      </c>
      <c r="M90" s="141">
        <v>3.105028093412733</v>
      </c>
      <c r="N90" s="141">
        <v>3.064500724423008</v>
      </c>
      <c r="O90" s="141">
        <v>3.0256567489725197</v>
      </c>
      <c r="P90" s="141">
        <v>3.0041029063160449</v>
      </c>
      <c r="Q90" s="141">
        <v>2.9703568313628259</v>
      </c>
      <c r="R90" s="141">
        <v>2.9435863853743038</v>
      </c>
      <c r="S90" s="141">
        <v>2.899014524761844</v>
      </c>
      <c r="T90" s="141">
        <v>2.8743985115629829</v>
      </c>
      <c r="U90" s="141">
        <v>2.8397479082846049</v>
      </c>
      <c r="V90" s="141">
        <v>2.8061782084466236</v>
      </c>
      <c r="W90" s="141">
        <v>2.5633673738982368</v>
      </c>
      <c r="DA90" s="174" t="s">
        <v>862</v>
      </c>
    </row>
    <row r="91" spans="1:105" ht="11.45" customHeight="1" x14ac:dyDescent="0.25">
      <c r="A91" s="109" t="s">
        <v>20</v>
      </c>
      <c r="B91" s="130">
        <v>7.755225506853888</v>
      </c>
      <c r="C91" s="130">
        <v>7.5919990903212646</v>
      </c>
      <c r="D91" s="130">
        <v>7.5054031727378003</v>
      </c>
      <c r="E91" s="130">
        <v>7.4230257845673266</v>
      </c>
      <c r="F91" s="130">
        <v>7.3390404215971907</v>
      </c>
      <c r="G91" s="130">
        <v>7.2521633201391342</v>
      </c>
      <c r="H91" s="130">
        <v>7.1614483879730342</v>
      </c>
      <c r="I91" s="130">
        <v>7.0707965970839641</v>
      </c>
      <c r="J91" s="130">
        <v>6.9787011398554704</v>
      </c>
      <c r="K91" s="130">
        <v>6.863071509231542</v>
      </c>
      <c r="L91" s="130">
        <v>6.7432786695182401</v>
      </c>
      <c r="M91" s="130">
        <v>6.6204756030069678</v>
      </c>
      <c r="N91" s="130">
        <v>6.5074594330692053</v>
      </c>
      <c r="O91" s="130">
        <v>6.4076830932266171</v>
      </c>
      <c r="P91" s="130">
        <v>6.2971408181296589</v>
      </c>
      <c r="Q91" s="130">
        <v>6.1750958415792185</v>
      </c>
      <c r="R91" s="130">
        <v>6.0458685003981563</v>
      </c>
      <c r="S91" s="130">
        <v>5.9215065593528964</v>
      </c>
      <c r="T91" s="130">
        <v>5.7953197226443658</v>
      </c>
      <c r="U91" s="130">
        <v>5.678484270329454</v>
      </c>
      <c r="V91" s="130">
        <v>5.5670847335856104</v>
      </c>
      <c r="W91" s="130">
        <v>5.4449654900917475</v>
      </c>
      <c r="DA91" s="176" t="s">
        <v>863</v>
      </c>
    </row>
    <row r="92" spans="1:105" ht="11.45" customHeight="1" x14ac:dyDescent="0.25">
      <c r="A92" s="111" t="s">
        <v>110</v>
      </c>
      <c r="B92" s="96">
        <v>7.9093758829612764</v>
      </c>
      <c r="C92" s="96">
        <v>7.7486986972469145</v>
      </c>
      <c r="D92" s="96">
        <v>7.684712185402967</v>
      </c>
      <c r="E92" s="96">
        <v>7.6272734777625981</v>
      </c>
      <c r="F92" s="96">
        <v>7.5687027914826484</v>
      </c>
      <c r="G92" s="96">
        <v>7.5001359691558092</v>
      </c>
      <c r="H92" s="96">
        <v>7.427870959775178</v>
      </c>
      <c r="I92" s="96">
        <v>7.3540244516255715</v>
      </c>
      <c r="J92" s="96">
        <v>7.277718455736232</v>
      </c>
      <c r="K92" s="96">
        <v>7.1393875706688066</v>
      </c>
      <c r="L92" s="96">
        <v>7.0066900895104567</v>
      </c>
      <c r="M92" s="96">
        <v>6.8592466730578225</v>
      </c>
      <c r="N92" s="96">
        <v>6.7230455179312436</v>
      </c>
      <c r="O92" s="96">
        <v>6.5899454433338294</v>
      </c>
      <c r="P92" s="96">
        <v>6.4281672861617549</v>
      </c>
      <c r="Q92" s="96">
        <v>6.2426419206074888</v>
      </c>
      <c r="R92" s="96">
        <v>6.0483718378238889</v>
      </c>
      <c r="S92" s="96">
        <v>5.8591176430509009</v>
      </c>
      <c r="T92" s="96">
        <v>5.6705249830603393</v>
      </c>
      <c r="U92" s="96">
        <v>5.5177483305071631</v>
      </c>
      <c r="V92" s="96">
        <v>5.3923938065264316</v>
      </c>
      <c r="W92" s="96">
        <v>5.2596937240858344</v>
      </c>
      <c r="DA92" s="171" t="s">
        <v>864</v>
      </c>
    </row>
    <row r="93" spans="1:105" ht="11.45" customHeight="1" x14ac:dyDescent="0.25">
      <c r="A93" s="111" t="s">
        <v>111</v>
      </c>
      <c r="B93" s="96">
        <v>7.4900652976245867</v>
      </c>
      <c r="C93" s="96">
        <v>7.2276207371339485</v>
      </c>
      <c r="D93" s="96">
        <v>7.1004191992663888</v>
      </c>
      <c r="E93" s="96">
        <v>6.9916206677039225</v>
      </c>
      <c r="F93" s="96">
        <v>6.8858216160036863</v>
      </c>
      <c r="G93" s="96">
        <v>6.7912288211495708</v>
      </c>
      <c r="H93" s="96">
        <v>6.7025894093399767</v>
      </c>
      <c r="I93" s="96">
        <v>6.6241084601075633</v>
      </c>
      <c r="J93" s="96">
        <v>6.5326753964488846</v>
      </c>
      <c r="K93" s="96">
        <v>6.4328141129463923</v>
      </c>
      <c r="L93" s="96">
        <v>6.3212316320985789</v>
      </c>
      <c r="M93" s="96">
        <v>6.2243950535266297</v>
      </c>
      <c r="N93" s="96">
        <v>6.1206674206284628</v>
      </c>
      <c r="O93" s="96">
        <v>6.022617091152604</v>
      </c>
      <c r="P93" s="96">
        <v>5.9219652887708198</v>
      </c>
      <c r="Q93" s="96">
        <v>5.8133220669048304</v>
      </c>
      <c r="R93" s="96">
        <v>5.7021252350226774</v>
      </c>
      <c r="S93" s="96">
        <v>5.6014651297699007</v>
      </c>
      <c r="T93" s="96">
        <v>5.5136604415110977</v>
      </c>
      <c r="U93" s="96">
        <v>5.4341708779818152</v>
      </c>
      <c r="V93" s="96">
        <v>5.36487983649267</v>
      </c>
      <c r="W93" s="96">
        <v>5.3042584868890303</v>
      </c>
      <c r="DA93" s="171" t="s">
        <v>865</v>
      </c>
    </row>
    <row r="94" spans="1:105" ht="11.45" customHeight="1" x14ac:dyDescent="0.25">
      <c r="A94" s="111" t="s">
        <v>112</v>
      </c>
      <c r="B94" s="96">
        <v>7.3447592446901702</v>
      </c>
      <c r="C94" s="96">
        <v>7.2735112065387977</v>
      </c>
      <c r="D94" s="96">
        <v>7.2681624300073731</v>
      </c>
      <c r="E94" s="96">
        <v>7.2601592329724634</v>
      </c>
      <c r="F94" s="96">
        <v>7.2538952724080508</v>
      </c>
      <c r="G94" s="96">
        <v>7.2439102974060923</v>
      </c>
      <c r="H94" s="96">
        <v>7.232414662047022</v>
      </c>
      <c r="I94" s="96">
        <v>7.2174941779465422</v>
      </c>
      <c r="J94" s="96">
        <v>7.1372317238409257</v>
      </c>
      <c r="K94" s="96">
        <v>7.0066961199775877</v>
      </c>
      <c r="L94" s="96">
        <v>6.2973561888958027</v>
      </c>
      <c r="M94" s="96">
        <v>6.3108933408889882</v>
      </c>
      <c r="N94" s="96">
        <v>6.2480393917219894</v>
      </c>
      <c r="O94" s="96">
        <v>6.1457007040580072</v>
      </c>
      <c r="P94" s="96">
        <v>6.1061268806002325</v>
      </c>
      <c r="Q94" s="96">
        <v>6.1002162386093524</v>
      </c>
      <c r="R94" s="96">
        <v>6.0695045871930224</v>
      </c>
      <c r="S94" s="96">
        <v>6.0412145374472574</v>
      </c>
      <c r="T94" s="96">
        <v>6.0283011705078779</v>
      </c>
      <c r="U94" s="96">
        <v>6.0175635794480842</v>
      </c>
      <c r="V94" s="96">
        <v>5.7730435977323378</v>
      </c>
      <c r="W94" s="96">
        <v>5.2018003520670453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7.2541156145994616</v>
      </c>
      <c r="J95" s="96">
        <v>6.9576292025252586</v>
      </c>
      <c r="K95" s="96">
        <v>6.7148626090239896</v>
      </c>
      <c r="L95" s="96">
        <v>6.6320700465217977</v>
      </c>
      <c r="M95" s="96">
        <v>6.5292266980710103</v>
      </c>
      <c r="N95" s="96">
        <v>6.4172206615332179</v>
      </c>
      <c r="O95" s="96">
        <v>6.3127741754348792</v>
      </c>
      <c r="P95" s="96">
        <v>6.1882639091313214</v>
      </c>
      <c r="Q95" s="96">
        <v>5.986307505721201</v>
      </c>
      <c r="R95" s="96">
        <v>5.1829562911482183</v>
      </c>
      <c r="S95" s="96">
        <v>5.1047097348778987</v>
      </c>
      <c r="T95" s="96">
        <v>5.0176060885801368</v>
      </c>
      <c r="U95" s="96">
        <v>4.9633387512559217</v>
      </c>
      <c r="V95" s="96">
        <v>4.9230663891658821</v>
      </c>
      <c r="W95" s="96">
        <v>4.8334532601298612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2.6938818817013424</v>
      </c>
      <c r="O96" s="96">
        <v>2.8108872272452223</v>
      </c>
      <c r="P96" s="96">
        <v>2.7204868747657098</v>
      </c>
      <c r="Q96" s="96">
        <v>3.0370972248188424</v>
      </c>
      <c r="R96" s="96">
        <v>3.2049645249390468</v>
      </c>
      <c r="S96" s="96">
        <v>3.2810595460629206</v>
      </c>
      <c r="T96" s="96">
        <v>3.3801252681251519</v>
      </c>
      <c r="U96" s="96">
        <v>3.3274850905467726</v>
      </c>
      <c r="V96" s="96">
        <v>3.1544978513888751</v>
      </c>
      <c r="W96" s="96">
        <v>2.9702364360896554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1.2408948463305245</v>
      </c>
      <c r="I97" s="96">
        <v>1.237075614010076</v>
      </c>
      <c r="J97" s="96">
        <v>1.2163518552278292</v>
      </c>
      <c r="K97" s="96">
        <v>1.2162584021232468</v>
      </c>
      <c r="L97" s="96">
        <v>1.2146521117973328</v>
      </c>
      <c r="M97" s="96">
        <v>1.2024957572529362</v>
      </c>
      <c r="N97" s="96">
        <v>1.1776095841756404</v>
      </c>
      <c r="O97" s="96">
        <v>1.2427407803947563</v>
      </c>
      <c r="P97" s="96">
        <v>1.271295600304811</v>
      </c>
      <c r="Q97" s="96">
        <v>1.3129146040866351</v>
      </c>
      <c r="R97" s="96">
        <v>1.3445881955675667</v>
      </c>
      <c r="S97" s="96">
        <v>1.3104818990527369</v>
      </c>
      <c r="T97" s="96">
        <v>1.3152787113968134</v>
      </c>
      <c r="U97" s="96">
        <v>1.3570431649410448</v>
      </c>
      <c r="V97" s="96">
        <v>1.4027040871578205</v>
      </c>
      <c r="W97" s="96">
        <v>1.3995812431149255</v>
      </c>
      <c r="DA97" s="171" t="s">
        <v>869</v>
      </c>
    </row>
    <row r="98" spans="1:105" ht="11.45" customHeight="1" x14ac:dyDescent="0.25">
      <c r="A98" s="109" t="s">
        <v>21</v>
      </c>
      <c r="B98" s="130">
        <v>51.615510584809243</v>
      </c>
      <c r="C98" s="130">
        <v>51.011715762782103</v>
      </c>
      <c r="D98" s="130">
        <v>50.722241636093983</v>
      </c>
      <c r="E98" s="130">
        <v>50.478098895881182</v>
      </c>
      <c r="F98" s="130">
        <v>50.253958248433811</v>
      </c>
      <c r="G98" s="130">
        <v>50.012160249209238</v>
      </c>
      <c r="H98" s="130">
        <v>49.751790522660919</v>
      </c>
      <c r="I98" s="130">
        <v>49.476559769726769</v>
      </c>
      <c r="J98" s="130">
        <v>49.012759008288739</v>
      </c>
      <c r="K98" s="130">
        <v>48.420918682618556</v>
      </c>
      <c r="L98" s="130">
        <v>47.994828529109768</v>
      </c>
      <c r="M98" s="130">
        <v>47.433346296145665</v>
      </c>
      <c r="N98" s="130">
        <v>47.010368660689522</v>
      </c>
      <c r="O98" s="130">
        <v>46.258509402238978</v>
      </c>
      <c r="P98" s="130">
        <v>45.776047778304346</v>
      </c>
      <c r="Q98" s="130">
        <v>45.30921748476176</v>
      </c>
      <c r="R98" s="130">
        <v>44.918096885489938</v>
      </c>
      <c r="S98" s="130">
        <v>44.531999638845704</v>
      </c>
      <c r="T98" s="130">
        <v>44.128658327375092</v>
      </c>
      <c r="U98" s="130">
        <v>43.635678356881854</v>
      </c>
      <c r="V98" s="130">
        <v>42.922216023776507</v>
      </c>
      <c r="W98" s="130">
        <v>42.147859007600999</v>
      </c>
      <c r="DA98" s="176" t="s">
        <v>870</v>
      </c>
    </row>
    <row r="99" spans="1:105" ht="11.45" customHeight="1" x14ac:dyDescent="0.25">
      <c r="A99" s="111" t="s">
        <v>110</v>
      </c>
      <c r="B99" s="97">
        <v>16.385002182266401</v>
      </c>
      <c r="C99" s="97">
        <v>16.370220774490072</v>
      </c>
      <c r="D99" s="97">
        <v>16.361368523028698</v>
      </c>
      <c r="E99" s="97">
        <v>16.357654934314013</v>
      </c>
      <c r="F99" s="97">
        <v>16.353198062442765</v>
      </c>
      <c r="G99" s="97">
        <v>16.350937373422617</v>
      </c>
      <c r="H99" s="97">
        <v>16.348297467640023</v>
      </c>
      <c r="I99" s="97">
        <v>16.345218048761602</v>
      </c>
      <c r="J99" s="97">
        <v>16.341667540796998</v>
      </c>
      <c r="K99" s="97">
        <v>16.337501860971372</v>
      </c>
      <c r="L99" s="97">
        <v>16.331589140482631</v>
      </c>
      <c r="M99" s="97">
        <v>16.323582191617689</v>
      </c>
      <c r="N99" s="97">
        <v>16.290842680304262</v>
      </c>
      <c r="O99" s="97">
        <v>16.274744249488027</v>
      </c>
      <c r="P99" s="97">
        <v>16.254243399692051</v>
      </c>
      <c r="Q99" s="97">
        <v>16.228566019786399</v>
      </c>
      <c r="R99" s="97">
        <v>16.227855679093565</v>
      </c>
      <c r="S99" s="97">
        <v>16.176194433473196</v>
      </c>
      <c r="T99" s="97">
        <v>16.17525094148337</v>
      </c>
      <c r="U99" s="97">
        <v>16.055493942429983</v>
      </c>
      <c r="V99" s="97">
        <v>15.871395849374677</v>
      </c>
      <c r="W99" s="97">
        <v>15.248701674468931</v>
      </c>
      <c r="DA99" s="175" t="s">
        <v>871</v>
      </c>
    </row>
    <row r="100" spans="1:105" ht="11.45" customHeight="1" x14ac:dyDescent="0.25">
      <c r="A100" s="111" t="s">
        <v>111</v>
      </c>
      <c r="B100" s="97">
        <v>52.203698380588456</v>
      </c>
      <c r="C100" s="97">
        <v>51.408322573717193</v>
      </c>
      <c r="D100" s="97">
        <v>51.012874288782669</v>
      </c>
      <c r="E100" s="97">
        <v>50.689409749673978</v>
      </c>
      <c r="F100" s="97">
        <v>50.386170665426214</v>
      </c>
      <c r="G100" s="97">
        <v>50.05154495420399</v>
      </c>
      <c r="H100" s="97">
        <v>49.704656726681335</v>
      </c>
      <c r="I100" s="97">
        <v>49.360991891706576</v>
      </c>
      <c r="J100" s="97">
        <v>48.846900465296869</v>
      </c>
      <c r="K100" s="97">
        <v>48.191508967375555</v>
      </c>
      <c r="L100" s="97">
        <v>47.728687749899677</v>
      </c>
      <c r="M100" s="97">
        <v>47.393809403738203</v>
      </c>
      <c r="N100" s="97">
        <v>47.00526243182253</v>
      </c>
      <c r="O100" s="97">
        <v>46.387639642225452</v>
      </c>
      <c r="P100" s="97">
        <v>45.939643648007703</v>
      </c>
      <c r="Q100" s="97">
        <v>45.481765793890077</v>
      </c>
      <c r="R100" s="97">
        <v>45.096822616505918</v>
      </c>
      <c r="S100" s="97">
        <v>44.750279343657176</v>
      </c>
      <c r="T100" s="97">
        <v>44.428222562262853</v>
      </c>
      <c r="U100" s="97">
        <v>44.130681420946786</v>
      </c>
      <c r="V100" s="97">
        <v>43.757475386710972</v>
      </c>
      <c r="W100" s="97">
        <v>43.427094547513782</v>
      </c>
      <c r="DA100" s="175" t="s">
        <v>872</v>
      </c>
    </row>
    <row r="101" spans="1:105" ht="11.45" customHeight="1" x14ac:dyDescent="0.25">
      <c r="A101" s="111" t="s">
        <v>112</v>
      </c>
      <c r="B101" s="97">
        <v>42.850535754066357</v>
      </c>
      <c r="C101" s="97">
        <v>41.212604635800368</v>
      </c>
      <c r="D101" s="97">
        <v>41.178378364592888</v>
      </c>
      <c r="E101" s="97">
        <v>41.019079057881292</v>
      </c>
      <c r="F101" s="97">
        <v>40.919967536454855</v>
      </c>
      <c r="G101" s="97">
        <v>40.762152776907719</v>
      </c>
      <c r="H101" s="97">
        <v>40.384845638725317</v>
      </c>
      <c r="I101" s="97">
        <v>39.75852058069821</v>
      </c>
      <c r="J101" s="97">
        <v>39.661956060618998</v>
      </c>
      <c r="K101" s="97">
        <v>39.511429216751999</v>
      </c>
      <c r="L101" s="97">
        <v>39.466392564917243</v>
      </c>
      <c r="M101" s="97">
        <v>39.322950847374841</v>
      </c>
      <c r="N101" s="97">
        <v>39.129773874914036</v>
      </c>
      <c r="O101" s="97">
        <v>39.052656236107936</v>
      </c>
      <c r="P101" s="97">
        <v>38.894109438881294</v>
      </c>
      <c r="Q101" s="97">
        <v>38.707021881724323</v>
      </c>
      <c r="R101" s="97">
        <v>38.712066239883981</v>
      </c>
      <c r="S101" s="97">
        <v>38.708110874139237</v>
      </c>
      <c r="T101" s="97">
        <v>38.63708681771886</v>
      </c>
      <c r="U101" s="97">
        <v>38.629515625890846</v>
      </c>
      <c r="V101" s="97">
        <v>38.58357688424681</v>
      </c>
      <c r="W101" s="97">
        <v>38.566754052636064</v>
      </c>
      <c r="DA101" s="175" t="s">
        <v>873</v>
      </c>
    </row>
    <row r="102" spans="1:105" ht="11.45" customHeight="1" x14ac:dyDescent="0.25">
      <c r="A102" s="111" t="s">
        <v>113</v>
      </c>
      <c r="B102" s="97">
        <v>43.503081983823712</v>
      </c>
      <c r="C102" s="97">
        <v>39.643009718995401</v>
      </c>
      <c r="D102" s="97">
        <v>39.62384431628562</v>
      </c>
      <c r="E102" s="97">
        <v>39.573448174207655</v>
      </c>
      <c r="F102" s="97">
        <v>39.544446284184779</v>
      </c>
      <c r="G102" s="97">
        <v>39.489680934440351</v>
      </c>
      <c r="H102" s="97">
        <v>39.403573737420871</v>
      </c>
      <c r="I102" s="97">
        <v>39.310786450293143</v>
      </c>
      <c r="J102" s="97">
        <v>39.084270103393024</v>
      </c>
      <c r="K102" s="97">
        <v>39.071033719496519</v>
      </c>
      <c r="L102" s="97">
        <v>39.06222882084402</v>
      </c>
      <c r="M102" s="97">
        <v>37.811567921591596</v>
      </c>
      <c r="N102" s="97">
        <v>37.673987216056616</v>
      </c>
      <c r="O102" s="97">
        <v>37.485922307322411</v>
      </c>
      <c r="P102" s="97">
        <v>37.333304436494707</v>
      </c>
      <c r="Q102" s="97">
        <v>37.271535573823684</v>
      </c>
      <c r="R102" s="97">
        <v>37.233980559084806</v>
      </c>
      <c r="S102" s="97">
        <v>37.039867547907171</v>
      </c>
      <c r="T102" s="97">
        <v>36.704954585585234</v>
      </c>
      <c r="U102" s="97">
        <v>36.316369141661895</v>
      </c>
      <c r="V102" s="97">
        <v>35.920915305854606</v>
      </c>
      <c r="W102" s="97">
        <v>35.667437982257532</v>
      </c>
      <c r="DA102" s="175" t="s">
        <v>874</v>
      </c>
    </row>
    <row r="103" spans="1:105" ht="11.45" customHeight="1" x14ac:dyDescent="0.25">
      <c r="A103" s="111" t="s">
        <v>115</v>
      </c>
      <c r="B103" s="97">
        <v>29.642544265190082</v>
      </c>
      <c r="C103" s="97">
        <v>27.982549562935038</v>
      </c>
      <c r="D103" s="97">
        <v>27.448346141591557</v>
      </c>
      <c r="E103" s="97">
        <v>27.033908110079064</v>
      </c>
      <c r="F103" s="97">
        <v>26.666619407257823</v>
      </c>
      <c r="G103" s="97">
        <v>26.496308413537641</v>
      </c>
      <c r="H103" s="97">
        <v>26.35539227375806</v>
      </c>
      <c r="I103" s="97">
        <v>26.195600872305551</v>
      </c>
      <c r="J103" s="97">
        <v>26.080553768252699</v>
      </c>
      <c r="K103" s="97">
        <v>25.966584301900422</v>
      </c>
      <c r="L103" s="97">
        <v>25.828721445407101</v>
      </c>
      <c r="M103" s="97">
        <v>25.791632257798678</v>
      </c>
      <c r="N103" s="97">
        <v>25.016434612203703</v>
      </c>
      <c r="O103" s="97">
        <v>23.961890736132297</v>
      </c>
      <c r="P103" s="97">
        <v>23.566923281007941</v>
      </c>
      <c r="Q103" s="97">
        <v>23.188033177322506</v>
      </c>
      <c r="R103" s="97">
        <v>22.76134871219098</v>
      </c>
      <c r="S103" s="97">
        <v>22.325404588004357</v>
      </c>
      <c r="T103" s="97">
        <v>22.074141700893353</v>
      </c>
      <c r="U103" s="97">
        <v>21.828164138166375</v>
      </c>
      <c r="V103" s="97">
        <v>21.701081716431201</v>
      </c>
      <c r="W103" s="97">
        <v>21.516452803964619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9.8277211677184884</v>
      </c>
      <c r="C105" s="141">
        <v>9.6688098783150291</v>
      </c>
      <c r="D105" s="141">
        <v>9.5825510291074298</v>
      </c>
      <c r="E105" s="141">
        <v>9.4960561997065103</v>
      </c>
      <c r="F105" s="141">
        <v>9.3980249599855146</v>
      </c>
      <c r="G105" s="141">
        <v>9.3048347341800657</v>
      </c>
      <c r="H105" s="141">
        <v>9.2055716633442835</v>
      </c>
      <c r="I105" s="141">
        <v>9.1023845113584176</v>
      </c>
      <c r="J105" s="141">
        <v>8.9902389529397038</v>
      </c>
      <c r="K105" s="141">
        <v>8.8654745690756034</v>
      </c>
      <c r="L105" s="141">
        <v>8.7782084623635601</v>
      </c>
      <c r="M105" s="141">
        <v>8.6861578154949068</v>
      </c>
      <c r="N105" s="141">
        <v>8.5560630881316797</v>
      </c>
      <c r="O105" s="141">
        <v>8.3671145969526837</v>
      </c>
      <c r="P105" s="141">
        <v>8.1492734528342954</v>
      </c>
      <c r="Q105" s="141">
        <v>7.9616977998602065</v>
      </c>
      <c r="R105" s="141">
        <v>7.797835716231952</v>
      </c>
      <c r="S105" s="141">
        <v>7.6357913686945027</v>
      </c>
      <c r="T105" s="141">
        <v>7.4584912845779012</v>
      </c>
      <c r="U105" s="141">
        <v>7.2923988557680532</v>
      </c>
      <c r="V105" s="141">
        <v>7.1712794009655783</v>
      </c>
      <c r="W105" s="141">
        <v>7.0659207888106081</v>
      </c>
      <c r="DA105" s="174" t="s">
        <v>876</v>
      </c>
    </row>
    <row r="106" spans="1:105" ht="11.45" customHeight="1" x14ac:dyDescent="0.25">
      <c r="A106" s="111" t="s">
        <v>110</v>
      </c>
      <c r="B106" s="96">
        <v>10.362294929968995</v>
      </c>
      <c r="C106" s="96">
        <v>10.284371569157965</v>
      </c>
      <c r="D106" s="96">
        <v>10.242039653177429</v>
      </c>
      <c r="E106" s="96">
        <v>10.187494638500525</v>
      </c>
      <c r="F106" s="96">
        <v>10.11491778133848</v>
      </c>
      <c r="G106" s="96">
        <v>10.037595380693041</v>
      </c>
      <c r="H106" s="96">
        <v>9.954186289766195</v>
      </c>
      <c r="I106" s="96">
        <v>9.8733601935138733</v>
      </c>
      <c r="J106" s="96">
        <v>9.8146677143026437</v>
      </c>
      <c r="K106" s="96">
        <v>9.7307459758099899</v>
      </c>
      <c r="L106" s="96">
        <v>9.5759108792408227</v>
      </c>
      <c r="M106" s="96">
        <v>9.4038270203411507</v>
      </c>
      <c r="N106" s="96">
        <v>9.2034264664769942</v>
      </c>
      <c r="O106" s="96">
        <v>8.9623336695855738</v>
      </c>
      <c r="P106" s="96">
        <v>8.8557711679249742</v>
      </c>
      <c r="Q106" s="96">
        <v>8.7376837549368371</v>
      </c>
      <c r="R106" s="96">
        <v>8.6254254293408685</v>
      </c>
      <c r="S106" s="96">
        <v>8.4825170178811593</v>
      </c>
      <c r="T106" s="96">
        <v>8.2878107492503119</v>
      </c>
      <c r="U106" s="96">
        <v>8.0611910918585465</v>
      </c>
      <c r="V106" s="96">
        <v>7.8904983297313054</v>
      </c>
      <c r="W106" s="96">
        <v>7.8539224339207188</v>
      </c>
      <c r="DA106" s="171" t="s">
        <v>877</v>
      </c>
    </row>
    <row r="107" spans="1:105" ht="11.45" customHeight="1" x14ac:dyDescent="0.25">
      <c r="A107" s="111" t="s">
        <v>111</v>
      </c>
      <c r="B107" s="96">
        <v>9.7476255576727535</v>
      </c>
      <c r="C107" s="96">
        <v>9.5468126545595293</v>
      </c>
      <c r="D107" s="96">
        <v>9.450698595645024</v>
      </c>
      <c r="E107" s="96">
        <v>9.3586442214457826</v>
      </c>
      <c r="F107" s="96">
        <v>9.2532151548606745</v>
      </c>
      <c r="G107" s="96">
        <v>9.1525560092405538</v>
      </c>
      <c r="H107" s="96">
        <v>9.0459085340392136</v>
      </c>
      <c r="I107" s="96">
        <v>8.939250158854021</v>
      </c>
      <c r="J107" s="96">
        <v>8.8167762622214401</v>
      </c>
      <c r="K107" s="96">
        <v>8.6844876810171758</v>
      </c>
      <c r="L107" s="96">
        <v>8.6006729727046682</v>
      </c>
      <c r="M107" s="96">
        <v>8.5165967201869801</v>
      </c>
      <c r="N107" s="96">
        <v>8.3791855482772597</v>
      </c>
      <c r="O107" s="96">
        <v>8.1693630789348415</v>
      </c>
      <c r="P107" s="96">
        <v>7.9330627600995411</v>
      </c>
      <c r="Q107" s="96">
        <v>7.7404654322716402</v>
      </c>
      <c r="R107" s="96">
        <v>7.5867497763444911</v>
      </c>
      <c r="S107" s="96">
        <v>7.4254923028918745</v>
      </c>
      <c r="T107" s="96">
        <v>7.2620078273425515</v>
      </c>
      <c r="U107" s="96">
        <v>7.1077481234667808</v>
      </c>
      <c r="V107" s="96">
        <v>7.0058315708881524</v>
      </c>
      <c r="W107" s="96">
        <v>6.9139229518918306</v>
      </c>
      <c r="DA107" s="171" t="s">
        <v>878</v>
      </c>
    </row>
    <row r="108" spans="1:105" ht="11.45" customHeight="1" x14ac:dyDescent="0.25">
      <c r="A108" s="111" t="s">
        <v>112</v>
      </c>
      <c r="B108" s="96">
        <v>11.198687629283803</v>
      </c>
      <c r="C108" s="96">
        <v>10.859417537882821</v>
      </c>
      <c r="D108" s="96">
        <v>10.760965816233769</v>
      </c>
      <c r="E108" s="96">
        <v>10.667480581912772</v>
      </c>
      <c r="F108" s="96">
        <v>10.56693733253986</v>
      </c>
      <c r="G108" s="96">
        <v>10.483947531269591</v>
      </c>
      <c r="H108" s="96">
        <v>10.386047893725992</v>
      </c>
      <c r="I108" s="96">
        <v>10.23804205351675</v>
      </c>
      <c r="J108" s="96">
        <v>10.178001811483734</v>
      </c>
      <c r="K108" s="96">
        <v>10.053966943623372</v>
      </c>
      <c r="L108" s="96">
        <v>10.036592445943517</v>
      </c>
      <c r="M108" s="96">
        <v>10.016346479392634</v>
      </c>
      <c r="N108" s="96">
        <v>9.9900233936798717</v>
      </c>
      <c r="O108" s="96">
        <v>9.9608651746893226</v>
      </c>
      <c r="P108" s="96">
        <v>9.9303744134934249</v>
      </c>
      <c r="Q108" s="96">
        <v>9.9056489947825757</v>
      </c>
      <c r="R108" s="96">
        <v>9.8886524386053107</v>
      </c>
      <c r="S108" s="96">
        <v>9.8629782218463795</v>
      </c>
      <c r="T108" s="96">
        <v>9.803174394682026</v>
      </c>
      <c r="U108" s="96">
        <v>9.7660422612619424</v>
      </c>
      <c r="V108" s="96">
        <v>7.8118963964512176</v>
      </c>
      <c r="W108" s="96">
        <v>7.7790341491717614</v>
      </c>
      <c r="DA108" s="171" t="s">
        <v>879</v>
      </c>
    </row>
    <row r="109" spans="1:105" ht="11.45" customHeight="1" x14ac:dyDescent="0.25">
      <c r="A109" s="111" t="s">
        <v>113</v>
      </c>
      <c r="B109" s="96">
        <v>10.498354779039479</v>
      </c>
      <c r="C109" s="96">
        <v>10.493589915634308</v>
      </c>
      <c r="D109" s="96">
        <v>10.476427155846647</v>
      </c>
      <c r="E109" s="96">
        <v>10.185185194756107</v>
      </c>
      <c r="F109" s="96">
        <v>10.16430878664546</v>
      </c>
      <c r="G109" s="96">
        <v>10.149289515404314</v>
      </c>
      <c r="H109" s="96">
        <v>9.7464035925018511</v>
      </c>
      <c r="I109" s="96">
        <v>9.7012872204484797</v>
      </c>
      <c r="J109" s="96">
        <v>9.607739854507825</v>
      </c>
      <c r="K109" s="96">
        <v>9.198899836544868</v>
      </c>
      <c r="L109" s="96">
        <v>8.6419206932642201</v>
      </c>
      <c r="M109" s="96">
        <v>8.2631731766717813</v>
      </c>
      <c r="N109" s="96">
        <v>7.9103943101195133</v>
      </c>
      <c r="O109" s="96">
        <v>7.5410690078190976</v>
      </c>
      <c r="P109" s="96">
        <v>7.329675989720279</v>
      </c>
      <c r="Q109" s="96">
        <v>7.2225791405997271</v>
      </c>
      <c r="R109" s="96">
        <v>7.2938570788134554</v>
      </c>
      <c r="S109" s="96">
        <v>7.3946900304630763</v>
      </c>
      <c r="T109" s="96">
        <v>7.6544377651922524</v>
      </c>
      <c r="U109" s="96">
        <v>7.687214432887262</v>
      </c>
      <c r="V109" s="96">
        <v>7.6208130185975804</v>
      </c>
      <c r="W109" s="96">
        <v>7.8338321311805856</v>
      </c>
      <c r="DA109" s="171" t="s">
        <v>880</v>
      </c>
    </row>
    <row r="110" spans="1:105" ht="11.45" customHeight="1" x14ac:dyDescent="0.25">
      <c r="A110" s="111" t="s">
        <v>115</v>
      </c>
      <c r="B110" s="96">
        <v>1.7164441690005772</v>
      </c>
      <c r="C110" s="96">
        <v>1.6271051457319354</v>
      </c>
      <c r="D110" s="96">
        <v>1.6132208804014361</v>
      </c>
      <c r="E110" s="96">
        <v>1.6033022710462992</v>
      </c>
      <c r="F110" s="96">
        <v>1.5862877242986229</v>
      </c>
      <c r="G110" s="96">
        <v>1.5711677413480045</v>
      </c>
      <c r="H110" s="96">
        <v>1.5566934039255969</v>
      </c>
      <c r="I110" s="96">
        <v>1.5370539086579569</v>
      </c>
      <c r="J110" s="96">
        <v>1.5026178242077726</v>
      </c>
      <c r="K110" s="96">
        <v>1.4790731531193366</v>
      </c>
      <c r="L110" s="96">
        <v>1.4261848211883716</v>
      </c>
      <c r="M110" s="96">
        <v>1.394906312488654</v>
      </c>
      <c r="N110" s="96">
        <v>1.3440270855159371</v>
      </c>
      <c r="O110" s="96">
        <v>1.3335226054653175</v>
      </c>
      <c r="P110" s="96">
        <v>1.3249875553555239</v>
      </c>
      <c r="Q110" s="96">
        <v>1.3443317705816575</v>
      </c>
      <c r="R110" s="96">
        <v>1.3527839413826013</v>
      </c>
      <c r="S110" s="96">
        <v>1.368658518492472</v>
      </c>
      <c r="T110" s="96">
        <v>1.4010380945900485</v>
      </c>
      <c r="U110" s="96">
        <v>1.4345075821514905</v>
      </c>
      <c r="V110" s="96">
        <v>1.5018029273279641</v>
      </c>
      <c r="W110" s="96">
        <v>1.599727885084183</v>
      </c>
      <c r="DA110" s="171" t="s">
        <v>881</v>
      </c>
    </row>
    <row r="111" spans="1:105" ht="11.45" customHeight="1" x14ac:dyDescent="0.25">
      <c r="A111" s="109" t="s">
        <v>158</v>
      </c>
      <c r="B111" s="130">
        <v>35.233739632824033</v>
      </c>
      <c r="C111" s="130">
        <v>34.950742013105149</v>
      </c>
      <c r="D111" s="130">
        <v>34.688639170013467</v>
      </c>
      <c r="E111" s="130">
        <v>34.441806860355577</v>
      </c>
      <c r="F111" s="130">
        <v>34.128767140812506</v>
      </c>
      <c r="G111" s="130">
        <v>33.78826381493046</v>
      </c>
      <c r="H111" s="130">
        <v>33.439399077149211</v>
      </c>
      <c r="I111" s="130">
        <v>33.072915453650047</v>
      </c>
      <c r="J111" s="130">
        <v>32.683039092307595</v>
      </c>
      <c r="K111" s="130">
        <v>32.433669379114093</v>
      </c>
      <c r="L111" s="130">
        <v>32.168737405558041</v>
      </c>
      <c r="M111" s="130">
        <v>31.725260889828743</v>
      </c>
      <c r="N111" s="130">
        <v>31.263407444117661</v>
      </c>
      <c r="O111" s="130">
        <v>30.745009250107348</v>
      </c>
      <c r="P111" s="130">
        <v>30.311463828180575</v>
      </c>
      <c r="Q111" s="130">
        <v>29.757323376101102</v>
      </c>
      <c r="R111" s="130">
        <v>29.067287677811862</v>
      </c>
      <c r="S111" s="130">
        <v>28.340374226294287</v>
      </c>
      <c r="T111" s="130">
        <v>27.592811664259752</v>
      </c>
      <c r="U111" s="130">
        <v>26.682765637155832</v>
      </c>
      <c r="V111" s="130">
        <v>25.927897476208262</v>
      </c>
      <c r="W111" s="130">
        <v>25.113273117054227</v>
      </c>
      <c r="DA111" s="176" t="s">
        <v>882</v>
      </c>
    </row>
    <row r="112" spans="1:105" ht="11.45" customHeight="1" x14ac:dyDescent="0.25">
      <c r="A112" s="128" t="s">
        <v>27</v>
      </c>
      <c r="B112" s="97">
        <v>34.99999543107851</v>
      </c>
      <c r="C112" s="97">
        <v>34.735596012436545</v>
      </c>
      <c r="D112" s="97">
        <v>34.491859140700448</v>
      </c>
      <c r="E112" s="97">
        <v>34.262084306039874</v>
      </c>
      <c r="F112" s="97">
        <v>33.995413372791504</v>
      </c>
      <c r="G112" s="97">
        <v>33.660111929398369</v>
      </c>
      <c r="H112" s="97">
        <v>33.31834338706863</v>
      </c>
      <c r="I112" s="97">
        <v>32.959657542645026</v>
      </c>
      <c r="J112" s="97">
        <v>32.568531431730094</v>
      </c>
      <c r="K112" s="97">
        <v>32.327317112305316</v>
      </c>
      <c r="L112" s="97">
        <v>32.112270464999796</v>
      </c>
      <c r="M112" s="97">
        <v>31.653636365590458</v>
      </c>
      <c r="N112" s="97">
        <v>31.16804619171554</v>
      </c>
      <c r="O112" s="97">
        <v>30.64402698585155</v>
      </c>
      <c r="P112" s="97">
        <v>30.208615417239095</v>
      </c>
      <c r="Q112" s="97">
        <v>29.64117821640129</v>
      </c>
      <c r="R112" s="97">
        <v>28.931797264353392</v>
      </c>
      <c r="S112" s="97">
        <v>28.183204881340064</v>
      </c>
      <c r="T112" s="97">
        <v>27.385034074295604</v>
      </c>
      <c r="U112" s="97">
        <v>26.417911365976551</v>
      </c>
      <c r="V112" s="97">
        <v>25.606154253844036</v>
      </c>
      <c r="W112" s="97">
        <v>24.740959153309948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36.286187485648263</v>
      </c>
      <c r="D113" s="98">
        <v>35.876959614509225</v>
      </c>
      <c r="E113" s="98">
        <v>35.523324559129897</v>
      </c>
      <c r="F113" s="98">
        <v>34.813372823468882</v>
      </c>
      <c r="G113" s="98">
        <v>34.434198914952972</v>
      </c>
      <c r="H113" s="98">
        <v>34.042966755159974</v>
      </c>
      <c r="I113" s="98">
        <v>33.636244734137755</v>
      </c>
      <c r="J113" s="98">
        <v>33.28411735698041</v>
      </c>
      <c r="K113" s="98">
        <v>33.071921523689412</v>
      </c>
      <c r="L113" s="98">
        <v>32.515969783006256</v>
      </c>
      <c r="M113" s="98">
        <v>32.184876957930875</v>
      </c>
      <c r="N113" s="98">
        <v>31.877381190927412</v>
      </c>
      <c r="O113" s="98">
        <v>31.351873409445663</v>
      </c>
      <c r="P113" s="98">
        <v>30.927440477771437</v>
      </c>
      <c r="Q113" s="98">
        <v>30.427002406873118</v>
      </c>
      <c r="R113" s="98">
        <v>29.803216327277251</v>
      </c>
      <c r="S113" s="98">
        <v>29.147914977743781</v>
      </c>
      <c r="T113" s="98">
        <v>28.681903276422151</v>
      </c>
      <c r="U113" s="98">
        <v>28.030086736722371</v>
      </c>
      <c r="V113" s="98">
        <v>27.601658620786861</v>
      </c>
      <c r="W113" s="98">
        <v>26.923424971506453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1.0725000000065621</v>
      </c>
      <c r="C117" s="150">
        <f>IF(TrRoad_act!C59=0,0,TrRoad_ene!C62/TrRoad_tech!C90)</f>
        <v>1.0726960587554297</v>
      </c>
      <c r="D117" s="150">
        <f>IF(TrRoad_act!D59=0,0,TrRoad_ene!D62/TrRoad_tech!D90)</f>
        <v>1.0731290565258473</v>
      </c>
      <c r="E117" s="150">
        <f>IF(TrRoad_act!E59=0,0,TrRoad_ene!E62/TrRoad_tech!E90)</f>
        <v>1.0739906597211337</v>
      </c>
      <c r="F117" s="150">
        <f>IF(TrRoad_act!F59=0,0,TrRoad_ene!F62/TrRoad_tech!F90)</f>
        <v>1.0754603343227493</v>
      </c>
      <c r="G117" s="150">
        <f>IF(TrRoad_act!G59=0,0,TrRoad_ene!G62/TrRoad_tech!G90)</f>
        <v>1.0776360300026993</v>
      </c>
      <c r="H117" s="150">
        <f>IF(TrRoad_act!H59=0,0,TrRoad_ene!H62/TrRoad_tech!H90)</f>
        <v>1.0806962552128565</v>
      </c>
      <c r="I117" s="150">
        <f>IF(TrRoad_act!I59=0,0,TrRoad_ene!I62/TrRoad_tech!I90)</f>
        <v>1.0841415343144725</v>
      </c>
      <c r="J117" s="150">
        <f>IF(TrRoad_act!J59=0,0,TrRoad_ene!J62/TrRoad_tech!J90)</f>
        <v>1.0877536680602697</v>
      </c>
      <c r="K117" s="150">
        <f>IF(TrRoad_act!K59=0,0,TrRoad_ene!K62/TrRoad_tech!K90)</f>
        <v>1.0914975999659895</v>
      </c>
      <c r="L117" s="150">
        <f>IF(TrRoad_act!L59=0,0,TrRoad_ene!L62/TrRoad_tech!L90)</f>
        <v>1.0955824780511736</v>
      </c>
      <c r="M117" s="150">
        <f>IF(TrRoad_act!M59=0,0,TrRoad_ene!M62/TrRoad_tech!M90)</f>
        <v>1.101054376575674</v>
      </c>
      <c r="N117" s="150">
        <f>IF(TrRoad_act!N59=0,0,TrRoad_ene!N62/TrRoad_tech!N90)</f>
        <v>1.1070790761033773</v>
      </c>
      <c r="O117" s="150">
        <f>IF(TrRoad_act!O59=0,0,TrRoad_ene!O62/TrRoad_tech!O90)</f>
        <v>1.1130386171900888</v>
      </c>
      <c r="P117" s="150">
        <f>IF(TrRoad_act!P59=0,0,TrRoad_ene!P62/TrRoad_tech!P90)</f>
        <v>1.1181109668472196</v>
      </c>
      <c r="Q117" s="150">
        <f>IF(TrRoad_act!Q59=0,0,TrRoad_ene!Q62/TrRoad_tech!Q90)</f>
        <v>1.125778806271502</v>
      </c>
      <c r="R117" s="150">
        <f>IF(TrRoad_act!R59=0,0,TrRoad_ene!R62/TrRoad_tech!R90)</f>
        <v>1.1326421317823616</v>
      </c>
      <c r="S117" s="150">
        <f>IF(TrRoad_act!S59=0,0,TrRoad_ene!S62/TrRoad_tech!S90)</f>
        <v>1.1422755198423558</v>
      </c>
      <c r="T117" s="150">
        <f>IF(TrRoad_act!T59=0,0,TrRoad_ene!T62/TrRoad_tech!T90)</f>
        <v>1.2061198698364097</v>
      </c>
      <c r="U117" s="150">
        <f>IF(TrRoad_act!U59=0,0,TrRoad_ene!U62/TrRoad_tech!U90)</f>
        <v>1.161051399696688</v>
      </c>
      <c r="V117" s="150">
        <f>IF(TrRoad_act!V59=0,0,TrRoad_ene!V62/TrRoad_tech!V90)</f>
        <v>1.1724136297471219</v>
      </c>
      <c r="W117" s="150">
        <f>IF(TrRoad_act!W59=0,0,TrRoad_ene!W62/TrRoad_tech!W90)</f>
        <v>1.2360730086369007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1.0665141426945128</v>
      </c>
      <c r="C118" s="151">
        <f>IF(TrRoad_act!C60=0,0,TrRoad_ene!C63/TrRoad_tech!C91)</f>
        <v>1.0501879689951987</v>
      </c>
      <c r="D118" s="151">
        <f>IF(TrRoad_act!D60=0,0,TrRoad_ene!D63/TrRoad_tech!D91)</f>
        <v>1.04309602379197</v>
      </c>
      <c r="E118" s="151">
        <f>IF(TrRoad_act!E60=0,0,TrRoad_ene!E63/TrRoad_tech!E91)</f>
        <v>1.0304212556327002</v>
      </c>
      <c r="F118" s="151">
        <f>IF(TrRoad_act!F60=0,0,TrRoad_ene!F63/TrRoad_tech!F91)</f>
        <v>1.0180598292576073</v>
      </c>
      <c r="G118" s="151">
        <f>IF(TrRoad_act!G60=0,0,TrRoad_ene!G63/TrRoad_tech!G91)</f>
        <v>1.0151452876547147</v>
      </c>
      <c r="H118" s="151">
        <f>IF(TrRoad_act!H60=0,0,TrRoad_ene!H63/TrRoad_tech!H91)</f>
        <v>1.0108182353290207</v>
      </c>
      <c r="I118" s="151">
        <f>IF(TrRoad_act!I60=0,0,TrRoad_ene!I63/TrRoad_tech!I91)</f>
        <v>1.0076725165531668</v>
      </c>
      <c r="J118" s="151">
        <f>IF(TrRoad_act!J60=0,0,TrRoad_ene!J63/TrRoad_tech!J91)</f>
        <v>1.0119314646334219</v>
      </c>
      <c r="K118" s="151">
        <f>IF(TrRoad_act!K60=0,0,TrRoad_ene!K63/TrRoad_tech!K91)</f>
        <v>1.0275856256569125</v>
      </c>
      <c r="L118" s="151">
        <f>IF(TrRoad_act!L60=0,0,TrRoad_ene!L63/TrRoad_tech!L91)</f>
        <v>1.0247454164881311</v>
      </c>
      <c r="M118" s="151">
        <f>IF(TrRoad_act!M60=0,0,TrRoad_ene!M63/TrRoad_tech!M91)</f>
        <v>1.0372943581747303</v>
      </c>
      <c r="N118" s="151">
        <f>IF(TrRoad_act!N60=0,0,TrRoad_ene!N63/TrRoad_tech!N91)</f>
        <v>1.0435495726692359</v>
      </c>
      <c r="O118" s="151">
        <f>IF(TrRoad_act!O60=0,0,TrRoad_ene!O63/TrRoad_tech!O91)</f>
        <v>1.0422860955964681</v>
      </c>
      <c r="P118" s="151">
        <f>IF(TrRoad_act!P60=0,0,TrRoad_ene!P63/TrRoad_tech!P91)</f>
        <v>1.0456187338171741</v>
      </c>
      <c r="Q118" s="151">
        <f>IF(TrRoad_act!Q60=0,0,TrRoad_ene!Q63/TrRoad_tech!Q91)</f>
        <v>1.0524041361415075</v>
      </c>
      <c r="R118" s="151">
        <f>IF(TrRoad_act!R60=0,0,TrRoad_ene!R63/TrRoad_tech!R91)</f>
        <v>1.0486884789639215</v>
      </c>
      <c r="S118" s="151">
        <f>IF(TrRoad_act!S60=0,0,TrRoad_ene!S63/TrRoad_tech!S91)</f>
        <v>1.0514101196534167</v>
      </c>
      <c r="T118" s="151">
        <f>IF(TrRoad_act!T60=0,0,TrRoad_ene!T63/TrRoad_tech!T91)</f>
        <v>1.0571541269158455</v>
      </c>
      <c r="U118" s="151">
        <f>IF(TrRoad_act!U60=0,0,TrRoad_ene!U63/TrRoad_tech!U91)</f>
        <v>1.0526340802893057</v>
      </c>
      <c r="V118" s="151">
        <f>IF(TrRoad_act!V60=0,0,TrRoad_ene!V63/TrRoad_tech!V91)</f>
        <v>1.0522206868443555</v>
      </c>
      <c r="W118" s="151">
        <f>IF(TrRoad_act!W60=0,0,TrRoad_ene!W63/TrRoad_tech!W91)</f>
        <v>1.0692219208078333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1.02777777778159</v>
      </c>
      <c r="C119" s="91">
        <f>IF(TrRoad_act!C61=0,0,TrRoad_ene!C64/TrRoad_tech!C92)</f>
        <v>1.0278459490499077</v>
      </c>
      <c r="D119" s="91">
        <f>IF(TrRoad_act!D61=0,0,TrRoad_ene!D64/TrRoad_tech!D92)</f>
        <v>1.0279810772539442</v>
      </c>
      <c r="E119" s="91">
        <f>IF(TrRoad_act!E61=0,0,TrRoad_ene!E64/TrRoad_tech!E92)</f>
        <v>1.0281811428638243</v>
      </c>
      <c r="F119" s="91">
        <f>IF(TrRoad_act!F61=0,0,TrRoad_ene!F64/TrRoad_tech!F92)</f>
        <v>1.0284773034517016</v>
      </c>
      <c r="G119" s="91">
        <f>IF(TrRoad_act!G61=0,0,TrRoad_ene!G64/TrRoad_tech!G92)</f>
        <v>1.0289263307021759</v>
      </c>
      <c r="H119" s="91">
        <f>IF(TrRoad_act!H61=0,0,TrRoad_ene!H64/TrRoad_tech!H92)</f>
        <v>1.0294644550000041</v>
      </c>
      <c r="I119" s="91">
        <f>IF(TrRoad_act!I61=0,0,TrRoad_ene!I64/TrRoad_tech!I92)</f>
        <v>1.0297544268640855</v>
      </c>
      <c r="J119" s="91">
        <f>IF(TrRoad_act!J61=0,0,TrRoad_ene!J64/TrRoad_tech!J92)</f>
        <v>1.0309119545915622</v>
      </c>
      <c r="K119" s="91">
        <f>IF(TrRoad_act!K61=0,0,TrRoad_ene!K64/TrRoad_tech!K92)</f>
        <v>1.0328751541374086</v>
      </c>
      <c r="L119" s="91">
        <f>IF(TrRoad_act!L61=0,0,TrRoad_ene!L64/TrRoad_tech!L92)</f>
        <v>1.0333444574059389</v>
      </c>
      <c r="M119" s="91">
        <f>IF(TrRoad_act!M61=0,0,TrRoad_ene!M64/TrRoad_tech!M92)</f>
        <v>1.0342540752807019</v>
      </c>
      <c r="N119" s="91">
        <f>IF(TrRoad_act!N61=0,0,TrRoad_ene!N64/TrRoad_tech!N92)</f>
        <v>1.035945400319058</v>
      </c>
      <c r="O119" s="91">
        <f>IF(TrRoad_act!O61=0,0,TrRoad_ene!O64/TrRoad_tech!O92)</f>
        <v>1.0377377794277844</v>
      </c>
      <c r="P119" s="91">
        <f>IF(TrRoad_act!P61=0,0,TrRoad_ene!P64/TrRoad_tech!P92)</f>
        <v>1.0405084654747334</v>
      </c>
      <c r="Q119" s="91">
        <f>IF(TrRoad_act!Q61=0,0,TrRoad_ene!Q64/TrRoad_tech!Q92)</f>
        <v>1.0442309981578741</v>
      </c>
      <c r="R119" s="91">
        <f>IF(TrRoad_act!R61=0,0,TrRoad_ene!R64/TrRoad_tech!R92)</f>
        <v>1.0484685671112648</v>
      </c>
      <c r="S119" s="91">
        <f>IF(TrRoad_act!S61=0,0,TrRoad_ene!S64/TrRoad_tech!S92)</f>
        <v>1.0531271427089068</v>
      </c>
      <c r="T119" s="91">
        <f>IF(TrRoad_act!T61=0,0,TrRoad_ene!T64/TrRoad_tech!T92)</f>
        <v>1.0585582792589483</v>
      </c>
      <c r="U119" s="91">
        <f>IF(TrRoad_act!U61=0,0,TrRoad_ene!U64/TrRoad_tech!U92)</f>
        <v>1.0638648791710159</v>
      </c>
      <c r="V119" s="91">
        <f>IF(TrRoad_act!V61=0,0,TrRoad_ene!V64/TrRoad_tech!V92)</f>
        <v>1.0681496018764005</v>
      </c>
      <c r="W119" s="91">
        <f>IF(TrRoad_act!W61=0,0,TrRoad_ene!W64/TrRoad_tech!W92)</f>
        <v>1.0700802035652435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1.1272206023617561</v>
      </c>
      <c r="C120" s="91">
        <f>IF(TrRoad_act!C62=0,0,TrRoad_ene!C65/TrRoad_tech!C93)</f>
        <v>1.105457841573152</v>
      </c>
      <c r="D120" s="91">
        <f>IF(TrRoad_act!D62=0,0,TrRoad_ene!D65/TrRoad_tech!D93)</f>
        <v>1.0943702254548417</v>
      </c>
      <c r="E120" s="91">
        <f>IF(TrRoad_act!E62=0,0,TrRoad_ene!E65/TrRoad_tech!E93)</f>
        <v>1.0723269573002332</v>
      </c>
      <c r="F120" s="91">
        <f>IF(TrRoad_act!F62=0,0,TrRoad_ene!F65/TrRoad_tech!F93)</f>
        <v>1.0521505735640666</v>
      </c>
      <c r="G120" s="91">
        <f>IF(TrRoad_act!G62=0,0,TrRoad_ene!G65/TrRoad_tech!G93)</f>
        <v>1.0492924289212855</v>
      </c>
      <c r="H120" s="91">
        <f>IF(TrRoad_act!H62=0,0,TrRoad_ene!H65/TrRoad_tech!H93)</f>
        <v>1.0442410809615348</v>
      </c>
      <c r="I120" s="91">
        <f>IF(TrRoad_act!I62=0,0,TrRoad_ene!I65/TrRoad_tech!I93)</f>
        <v>1.039840667066497</v>
      </c>
      <c r="J120" s="91">
        <f>IF(TrRoad_act!J62=0,0,TrRoad_ene!J65/TrRoad_tech!J93)</f>
        <v>1.0501928367713123</v>
      </c>
      <c r="K120" s="91">
        <f>IF(TrRoad_act!K62=0,0,TrRoad_ene!K65/TrRoad_tech!K93)</f>
        <v>1.0764475559948157</v>
      </c>
      <c r="L120" s="91">
        <f>IF(TrRoad_act!L62=0,0,TrRoad_ene!L65/TrRoad_tech!L93)</f>
        <v>1.0738897975176589</v>
      </c>
      <c r="M120" s="91">
        <f>IF(TrRoad_act!M62=0,0,TrRoad_ene!M65/TrRoad_tech!M93)</f>
        <v>1.0903693635898741</v>
      </c>
      <c r="N120" s="91">
        <f>IF(TrRoad_act!N62=0,0,TrRoad_ene!N65/TrRoad_tech!N93)</f>
        <v>1.1005376085825895</v>
      </c>
      <c r="O120" s="91">
        <f>IF(TrRoad_act!O62=0,0,TrRoad_ene!O65/TrRoad_tech!O93)</f>
        <v>1.1009691944491955</v>
      </c>
      <c r="P120" s="91">
        <f>IF(TrRoad_act!P62=0,0,TrRoad_ene!P65/TrRoad_tech!P93)</f>
        <v>1.1072673359561138</v>
      </c>
      <c r="Q120" s="91">
        <f>IF(TrRoad_act!Q62=0,0,TrRoad_ene!Q65/TrRoad_tech!Q93)</f>
        <v>1.1188452380499945</v>
      </c>
      <c r="R120" s="91">
        <f>IF(TrRoad_act!R62=0,0,TrRoad_ene!R65/TrRoad_tech!R93)</f>
        <v>1.1146669286997324</v>
      </c>
      <c r="S120" s="91">
        <f>IF(TrRoad_act!S62=0,0,TrRoad_ene!S65/TrRoad_tech!S93)</f>
        <v>1.1191994370583787</v>
      </c>
      <c r="T120" s="91">
        <f>IF(TrRoad_act!T62=0,0,TrRoad_ene!T65/TrRoad_tech!T93)</f>
        <v>1.1259889681431225</v>
      </c>
      <c r="U120" s="91">
        <f>IF(TrRoad_act!U62=0,0,TrRoad_ene!U65/TrRoad_tech!U93)</f>
        <v>1.1165840006720025</v>
      </c>
      <c r="V120" s="91">
        <f>IF(TrRoad_act!V62=0,0,TrRoad_ene!V65/TrRoad_tech!V93)</f>
        <v>1.1147020166036441</v>
      </c>
      <c r="W120" s="91">
        <f>IF(TrRoad_act!W62=0,0,TrRoad_ene!W65/TrRoad_tech!W93)</f>
        <v>1.1410238041962832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1.02777777778159</v>
      </c>
      <c r="C121" s="91">
        <f>IF(TrRoad_act!C63=0,0,TrRoad_ene!C66/TrRoad_tech!C94)</f>
        <v>1.0278456950021215</v>
      </c>
      <c r="D121" s="91">
        <f>IF(TrRoad_act!D63=0,0,TrRoad_ene!D66/TrRoad_tech!D94)</f>
        <v>1.0278508474592618</v>
      </c>
      <c r="E121" s="91">
        <f>IF(TrRoad_act!E63=0,0,TrRoad_ene!E66/TrRoad_tech!E94)</f>
        <v>1.027858571088353</v>
      </c>
      <c r="F121" s="91">
        <f>IF(TrRoad_act!F63=0,0,TrRoad_ene!F66/TrRoad_tech!F94)</f>
        <v>1.0278646281257997</v>
      </c>
      <c r="G121" s="91">
        <f>IF(TrRoad_act!G63=0,0,TrRoad_ene!G66/TrRoad_tech!G94)</f>
        <v>1.0278743049156112</v>
      </c>
      <c r="H121" s="91">
        <f>IF(TrRoad_act!H63=0,0,TrRoad_ene!H66/TrRoad_tech!H94)</f>
        <v>1.0278854788281764</v>
      </c>
      <c r="I121" s="91">
        <f>IF(TrRoad_act!I63=0,0,TrRoad_ene!I66/TrRoad_tech!I94)</f>
        <v>1.1238797217077385</v>
      </c>
      <c r="J121" s="91">
        <f>IF(TrRoad_act!J63=0,0,TrRoad_ene!J66/TrRoad_tech!J94)</f>
        <v>1.021688303503985</v>
      </c>
      <c r="K121" s="91">
        <f>IF(TrRoad_act!K63=0,0,TrRoad_ene!K66/TrRoad_tech!K94)</f>
        <v>0.82549108280388417</v>
      </c>
      <c r="L121" s="91">
        <f>IF(TrRoad_act!L63=0,0,TrRoad_ene!L66/TrRoad_tech!L94)</f>
        <v>1.0447040276977864</v>
      </c>
      <c r="M121" s="91">
        <f>IF(TrRoad_act!M63=0,0,TrRoad_ene!M66/TrRoad_tech!M94)</f>
        <v>1.087302998716152</v>
      </c>
      <c r="N121" s="91">
        <f>IF(TrRoad_act!N63=0,0,TrRoad_ene!N66/TrRoad_tech!N94)</f>
        <v>1.0928447222540836</v>
      </c>
      <c r="O121" s="91">
        <f>IF(TrRoad_act!O63=0,0,TrRoad_ene!O66/TrRoad_tech!O94)</f>
        <v>1.1538108217466037</v>
      </c>
      <c r="P121" s="91">
        <f>IF(TrRoad_act!P63=0,0,TrRoad_ene!P66/TrRoad_tech!P94)</f>
        <v>1.1326152039568729</v>
      </c>
      <c r="Q121" s="91">
        <f>IF(TrRoad_act!Q63=0,0,TrRoad_ene!Q66/TrRoad_tech!Q94)</f>
        <v>1.0512496927757868</v>
      </c>
      <c r="R121" s="91">
        <f>IF(TrRoad_act!R63=0,0,TrRoad_ene!R66/TrRoad_tech!R94)</f>
        <v>0.99385955833139839</v>
      </c>
      <c r="S121" s="91">
        <f>IF(TrRoad_act!S63=0,0,TrRoad_ene!S66/TrRoad_tech!S94)</f>
        <v>0.93367563527489195</v>
      </c>
      <c r="T121" s="91">
        <f>IF(TrRoad_act!T63=0,0,TrRoad_ene!T66/TrRoad_tech!T94)</f>
        <v>0.94519554005742445</v>
      </c>
      <c r="U121" s="91">
        <f>IF(TrRoad_act!U63=0,0,TrRoad_ene!U66/TrRoad_tech!U94)</f>
        <v>0.87884650685185439</v>
      </c>
      <c r="V121" s="91">
        <f>IF(TrRoad_act!V63=0,0,TrRoad_ene!V66/TrRoad_tech!V94)</f>
        <v>0.77169427296148851</v>
      </c>
      <c r="W121" s="91">
        <f>IF(TrRoad_act!W63=0,0,TrRoad_ene!W66/TrRoad_tech!W94)</f>
        <v>1.0737265029627241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1.0433333333377</v>
      </c>
      <c r="J122" s="91">
        <f>IF(TrRoad_act!J64=0,0,TrRoad_ene!J67/TrRoad_tech!J95)</f>
        <v>1.0451879108617714</v>
      </c>
      <c r="K122" s="91">
        <f>IF(TrRoad_act!K64=0,0,TrRoad_ene!K67/TrRoad_tech!K95)</f>
        <v>1.0469660999497721</v>
      </c>
      <c r="L122" s="91">
        <f>IF(TrRoad_act!L64=0,0,TrRoad_ene!L67/TrRoad_tech!L95)</f>
        <v>1.0480972969667008</v>
      </c>
      <c r="M122" s="91">
        <f>IF(TrRoad_act!M64=0,0,TrRoad_ene!M67/TrRoad_tech!M95)</f>
        <v>1.0494745125028189</v>
      </c>
      <c r="N122" s="91">
        <f>IF(TrRoad_act!N64=0,0,TrRoad_ene!N67/TrRoad_tech!N95)</f>
        <v>1.0510233345848798</v>
      </c>
      <c r="O122" s="91">
        <f>IF(TrRoad_act!O64=0,0,TrRoad_ene!O67/TrRoad_tech!O95)</f>
        <v>1.0523561990108368</v>
      </c>
      <c r="P122" s="91">
        <f>IF(TrRoad_act!P64=0,0,TrRoad_ene!P67/TrRoad_tech!P95)</f>
        <v>1.0537116472613184</v>
      </c>
      <c r="Q122" s="91">
        <f>IF(TrRoad_act!Q64=0,0,TrRoad_ene!Q67/TrRoad_tech!Q95)</f>
        <v>1.0566207851104592</v>
      </c>
      <c r="R122" s="91">
        <f>IF(TrRoad_act!R64=0,0,TrRoad_ene!R67/TrRoad_tech!R95)</f>
        <v>1.0791575075930424</v>
      </c>
      <c r="S122" s="91">
        <f>IF(TrRoad_act!S64=0,0,TrRoad_ene!S67/TrRoad_tech!S95)</f>
        <v>1.0828689181008233</v>
      </c>
      <c r="T122" s="91">
        <f>IF(TrRoad_act!T64=0,0,TrRoad_ene!T67/TrRoad_tech!T95)</f>
        <v>1.086662146665123</v>
      </c>
      <c r="U122" s="91">
        <f>IF(TrRoad_act!U64=0,0,TrRoad_ene!U67/TrRoad_tech!U95)</f>
        <v>1.0895559506561634</v>
      </c>
      <c r="V122" s="91">
        <f>IF(TrRoad_act!V64=0,0,TrRoad_ene!V67/TrRoad_tech!V95)</f>
        <v>1.0915429898471356</v>
      </c>
      <c r="W122" s="91">
        <f>IF(TrRoad_act!W64=0,0,TrRoad_ene!W67/TrRoad_tech!W95)</f>
        <v>1.0937704590686075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1.0649961368324055</v>
      </c>
      <c r="O123" s="91">
        <f>IF(TrRoad_act!O65=0,0,TrRoad_ene!O68/TrRoad_tech!O96)</f>
        <v>1.0680478564420248</v>
      </c>
      <c r="P123" s="91">
        <f>IF(TrRoad_act!P65=0,0,TrRoad_ene!P68/TrRoad_tech!P96)</f>
        <v>1.0736806460906729</v>
      </c>
      <c r="Q123" s="91">
        <f>IF(TrRoad_act!Q65=0,0,TrRoad_ene!Q68/TrRoad_tech!Q96)</f>
        <v>1.0812628563836912</v>
      </c>
      <c r="R123" s="91">
        <f>IF(TrRoad_act!R65=0,0,TrRoad_ene!R68/TrRoad_tech!R96)</f>
        <v>1.0853776464747009</v>
      </c>
      <c r="S123" s="91">
        <f>IF(TrRoad_act!S65=0,0,TrRoad_ene!S68/TrRoad_tech!S96)</f>
        <v>1.0885757435221477</v>
      </c>
      <c r="T123" s="91">
        <f>IF(TrRoad_act!T65=0,0,TrRoad_ene!T68/TrRoad_tech!T96)</f>
        <v>1.0909619080888908</v>
      </c>
      <c r="U123" s="91">
        <f>IF(TrRoad_act!U65=0,0,TrRoad_ene!U68/TrRoad_tech!U96)</f>
        <v>1.0926892464188702</v>
      </c>
      <c r="V123" s="91">
        <f>IF(TrRoad_act!V65=0,0,TrRoad_ene!V68/TrRoad_tech!V96)</f>
        <v>1.0959899941898841</v>
      </c>
      <c r="W123" s="91">
        <f>IF(TrRoad_act!W65=0,0,TrRoad_ene!W68/TrRoad_tech!W96)</f>
        <v>1.0967357547390471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1.0400000000040797</v>
      </c>
      <c r="I124" s="91">
        <f>IF(TrRoad_act!I66=0,0,TrRoad_ene!I69/TrRoad_tech!I97)</f>
        <v>1.0410188113455878</v>
      </c>
      <c r="J124" s="91">
        <f>IF(TrRoad_act!J66=0,0,TrRoad_ene!J69/TrRoad_tech!J97)</f>
        <v>1.0469928152588215</v>
      </c>
      <c r="K124" s="91">
        <f>IF(TrRoad_act!K66=0,0,TrRoad_ene!K69/TrRoad_tech!K97)</f>
        <v>1.0470223641405472</v>
      </c>
      <c r="L124" s="91">
        <f>IF(TrRoad_act!L66=0,0,TrRoad_ene!L69/TrRoad_tech!L97)</f>
        <v>1.0475721889415015</v>
      </c>
      <c r="M124" s="91">
        <f>IF(TrRoad_act!M66=0,0,TrRoad_ene!M69/TrRoad_tech!M97)</f>
        <v>1.0543793855139116</v>
      </c>
      <c r="N124" s="91">
        <f>IF(TrRoad_act!N66=0,0,TrRoad_ene!N69/TrRoad_tech!N97)</f>
        <v>1.0624280199353189</v>
      </c>
      <c r="O124" s="91">
        <f>IF(TrRoad_act!O66=0,0,TrRoad_ene!O69/TrRoad_tech!O97)</f>
        <v>1.0677763877925504</v>
      </c>
      <c r="P124" s="91">
        <f>IF(TrRoad_act!P66=0,0,TrRoad_ene!P69/TrRoad_tech!P97)</f>
        <v>1.0717030565292414</v>
      </c>
      <c r="Q124" s="91">
        <f>IF(TrRoad_act!Q66=0,0,TrRoad_ene!Q69/TrRoad_tech!Q97)</f>
        <v>1.0768815121478945</v>
      </c>
      <c r="R124" s="91">
        <f>IF(TrRoad_act!R66=0,0,TrRoad_ene!R69/TrRoad_tech!R97)</f>
        <v>1.0822406710775869</v>
      </c>
      <c r="S124" s="91">
        <f>IF(TrRoad_act!S66=0,0,TrRoad_ene!S69/TrRoad_tech!S97)</f>
        <v>1.0852566396507912</v>
      </c>
      <c r="T124" s="91">
        <f>IF(TrRoad_act!T66=0,0,TrRoad_ene!T69/TrRoad_tech!T97)</f>
        <v>1.0879950826777551</v>
      </c>
      <c r="U124" s="91">
        <f>IF(TrRoad_act!U66=0,0,TrRoad_ene!U69/TrRoad_tech!U97)</f>
        <v>1.0905880113020654</v>
      </c>
      <c r="V124" s="91">
        <f>IF(TrRoad_act!V66=0,0,TrRoad_ene!V69/TrRoad_tech!V97)</f>
        <v>1.0940884149650785</v>
      </c>
      <c r="W124" s="91">
        <f>IF(TrRoad_act!W66=0,0,TrRoad_ene!W69/TrRoad_tech!W97)</f>
        <v>1.0960858789397419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1.1071837908727136</v>
      </c>
      <c r="C125" s="151">
        <f>IF(TrRoad_act!C67=0,0,TrRoad_ene!C70/TrRoad_tech!C98)</f>
        <v>1.1019669470425058</v>
      </c>
      <c r="D125" s="151">
        <f>IF(TrRoad_act!D67=0,0,TrRoad_ene!D70/TrRoad_tech!D98)</f>
        <v>1.1004081168463211</v>
      </c>
      <c r="E125" s="151">
        <f>IF(TrRoad_act!E67=0,0,TrRoad_ene!E70/TrRoad_tech!E98)</f>
        <v>1.0993525027178197</v>
      </c>
      <c r="F125" s="151">
        <f>IF(TrRoad_act!F67=0,0,TrRoad_ene!F70/TrRoad_tech!F98)</f>
        <v>1.0983989984066678</v>
      </c>
      <c r="G125" s="151">
        <f>IF(TrRoad_act!G67=0,0,TrRoad_ene!G70/TrRoad_tech!G98)</f>
        <v>1.0989266765715446</v>
      </c>
      <c r="H125" s="151">
        <f>IF(TrRoad_act!H67=0,0,TrRoad_ene!H70/TrRoad_tech!H98)</f>
        <v>1.1012553553252984</v>
      </c>
      <c r="I125" s="151">
        <f>IF(TrRoad_act!I67=0,0,TrRoad_ene!I70/TrRoad_tech!I98)</f>
        <v>1.1033581567127606</v>
      </c>
      <c r="J125" s="151">
        <f>IF(TrRoad_act!J67=0,0,TrRoad_ene!J70/TrRoad_tech!J98)</f>
        <v>1.1079194092419613</v>
      </c>
      <c r="K125" s="151">
        <f>IF(TrRoad_act!K67=0,0,TrRoad_ene!K70/TrRoad_tech!K98)</f>
        <v>1.1147338049058644</v>
      </c>
      <c r="L125" s="151">
        <f>IF(TrRoad_act!L67=0,0,TrRoad_ene!L70/TrRoad_tech!L98)</f>
        <v>1.1230120278756943</v>
      </c>
      <c r="M125" s="151">
        <f>IF(TrRoad_act!M67=0,0,TrRoad_ene!M70/TrRoad_tech!M98)</f>
        <v>1.1297375609092681</v>
      </c>
      <c r="N125" s="151">
        <f>IF(TrRoad_act!N67=0,0,TrRoad_ene!N70/TrRoad_tech!N98)</f>
        <v>1.1388199347243508</v>
      </c>
      <c r="O125" s="151">
        <f>IF(TrRoad_act!O67=0,0,TrRoad_ene!O70/TrRoad_tech!O98)</f>
        <v>1.155990699702069</v>
      </c>
      <c r="P125" s="151">
        <f>IF(TrRoad_act!P67=0,0,TrRoad_ene!P70/TrRoad_tech!P98)</f>
        <v>1.1706095504265861</v>
      </c>
      <c r="Q125" s="151">
        <f>IF(TrRoad_act!Q67=0,0,TrRoad_ene!Q70/TrRoad_tech!Q98)</f>
        <v>1.1879845727325784</v>
      </c>
      <c r="R125" s="151">
        <f>IF(TrRoad_act!R67=0,0,TrRoad_ene!R70/TrRoad_tech!R98)</f>
        <v>1.2055326068681098</v>
      </c>
      <c r="S125" s="151">
        <f>IF(TrRoad_act!S67=0,0,TrRoad_ene!S70/TrRoad_tech!S98)</f>
        <v>1.223602653401529</v>
      </c>
      <c r="T125" s="151">
        <f>IF(TrRoad_act!T67=0,0,TrRoad_ene!T70/TrRoad_tech!T98)</f>
        <v>1.23829521923959</v>
      </c>
      <c r="U125" s="151">
        <f>IF(TrRoad_act!U67=0,0,TrRoad_ene!U70/TrRoad_tech!U98)</f>
        <v>1.254203779658233</v>
      </c>
      <c r="V125" s="151">
        <f>IF(TrRoad_act!V67=0,0,TrRoad_ene!V70/TrRoad_tech!V98)</f>
        <v>1.2933273296524854</v>
      </c>
      <c r="W125" s="151">
        <f>IF(TrRoad_act!W67=0,0,TrRoad_ene!W70/TrRoad_tech!W98)</f>
        <v>1.3136069771677865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1.100021771236654</v>
      </c>
      <c r="D126" s="93">
        <f>IF(TrRoad_act!D68=0,0,TrRoad_ene!D71/TrRoad_tech!D99)</f>
        <v>1.1000670293981685</v>
      </c>
      <c r="E126" s="93">
        <f>IF(TrRoad_act!E68=0,0,TrRoad_ene!E71/TrRoad_tech!E99)</f>
        <v>1.1000915321522799</v>
      </c>
      <c r="F126" s="93">
        <f>IF(TrRoad_act!F68=0,0,TrRoad_ene!F71/TrRoad_tech!F99)</f>
        <v>1.1001312335949682</v>
      </c>
      <c r="G126" s="93">
        <f>IF(TrRoad_act!G68=0,0,TrRoad_ene!G71/TrRoad_tech!G99)</f>
        <v>1.1001405813279026</v>
      </c>
      <c r="H126" s="93">
        <f>IF(TrRoad_act!H68=0,0,TrRoad_ene!H71/TrRoad_tech!H99)</f>
        <v>1.1001515003580162</v>
      </c>
      <c r="I126" s="93">
        <f>IF(TrRoad_act!I68=0,0,TrRoad_ene!I71/TrRoad_tech!I99)</f>
        <v>1.1001642417342778</v>
      </c>
      <c r="J126" s="93">
        <f>IF(TrRoad_act!J68=0,0,TrRoad_ene!J71/TrRoad_tech!J99)</f>
        <v>1.1001789382446252</v>
      </c>
      <c r="K126" s="93">
        <f>IF(TrRoad_act!K68=0,0,TrRoad_ene!K71/TrRoad_tech!K99)</f>
        <v>1.1001961892610641</v>
      </c>
      <c r="L126" s="93">
        <f>IF(TrRoad_act!L68=0,0,TrRoad_ene!L71/TrRoad_tech!L99)</f>
        <v>1.1002206902760716</v>
      </c>
      <c r="M126" s="93">
        <f>IF(TrRoad_act!M68=0,0,TrRoad_ene!M71/TrRoad_tech!M99)</f>
        <v>1.1002538976063685</v>
      </c>
      <c r="N126" s="93">
        <f>IF(TrRoad_act!N68=0,0,TrRoad_ene!N71/TrRoad_tech!N99)</f>
        <v>1.1007452184241628</v>
      </c>
      <c r="O126" s="93">
        <f>IF(TrRoad_act!O68=0,0,TrRoad_ene!O71/TrRoad_tech!O99)</f>
        <v>1.1008734914393501</v>
      </c>
      <c r="P126" s="93">
        <f>IF(TrRoad_act!P68=0,0,TrRoad_ene!P71/TrRoad_tech!P99)</f>
        <v>1.101037210940419</v>
      </c>
      <c r="Q126" s="93">
        <f>IF(TrRoad_act!Q68=0,0,TrRoad_ene!Q71/TrRoad_tech!Q99)</f>
        <v>1.1012428536328702</v>
      </c>
      <c r="R126" s="93">
        <f>IF(TrRoad_act!R68=0,0,TrRoad_ene!R71/TrRoad_tech!R99)</f>
        <v>1.1012485517961721</v>
      </c>
      <c r="S126" s="93">
        <f>IF(TrRoad_act!S68=0,0,TrRoad_ene!S71/TrRoad_tech!S99)</f>
        <v>1.1026743349145611</v>
      </c>
      <c r="T126" s="93">
        <f>IF(TrRoad_act!T68=0,0,TrRoad_ene!T71/TrRoad_tech!T99)</f>
        <v>1.1026865755193438</v>
      </c>
      <c r="U126" s="93">
        <f>IF(TrRoad_act!U68=0,0,TrRoad_ene!U71/TrRoad_tech!U99)</f>
        <v>1.1058186276756963</v>
      </c>
      <c r="V126" s="93">
        <f>IF(TrRoad_act!V68=0,0,TrRoad_ene!V71/TrRoad_tech!V99)</f>
        <v>1.1105810552970377</v>
      </c>
      <c r="W126" s="93">
        <f>IF(TrRoad_act!W68=0,0,TrRoad_ene!W71/TrRoad_tech!W99)</f>
        <v>1.1270597612716617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1.1000000000067305</v>
      </c>
      <c r="C127" s="93">
        <f>IF(TrRoad_act!C69=0,0,TrRoad_ene!C72/TrRoad_tech!C100)</f>
        <v>1.1003168973282278</v>
      </c>
      <c r="D127" s="93">
        <f>IF(TrRoad_act!D69=0,0,TrRoad_ene!D72/TrRoad_tech!D100)</f>
        <v>1.1010775254383791</v>
      </c>
      <c r="E127" s="93">
        <f>IF(TrRoad_act!E69=0,0,TrRoad_ene!E72/TrRoad_tech!E100)</f>
        <v>1.1022130560577261</v>
      </c>
      <c r="F127" s="93">
        <f>IF(TrRoad_act!F69=0,0,TrRoad_ene!F72/TrRoad_tech!F100)</f>
        <v>1.1038604911607497</v>
      </c>
      <c r="G127" s="93">
        <f>IF(TrRoad_act!G69=0,0,TrRoad_ene!G72/TrRoad_tech!G100)</f>
        <v>1.1063702361126808</v>
      </c>
      <c r="H127" s="93">
        <f>IF(TrRoad_act!H69=0,0,TrRoad_ene!H72/TrRoad_tech!H100)</f>
        <v>1.1097309359702694</v>
      </c>
      <c r="I127" s="93">
        <f>IF(TrRoad_act!I69=0,0,TrRoad_ene!I72/TrRoad_tech!I100)</f>
        <v>1.1140306323198879</v>
      </c>
      <c r="J127" s="93">
        <f>IF(TrRoad_act!J69=0,0,TrRoad_ene!J72/TrRoad_tech!J100)</f>
        <v>1.1200964088789511</v>
      </c>
      <c r="K127" s="93">
        <f>IF(TrRoad_act!K69=0,0,TrRoad_ene!K72/TrRoad_tech!K100)</f>
        <v>1.128381947308384</v>
      </c>
      <c r="L127" s="93">
        <f>IF(TrRoad_act!L69=0,0,TrRoad_ene!L72/TrRoad_tech!L100)</f>
        <v>1.1358528664382896</v>
      </c>
      <c r="M127" s="93">
        <f>IF(TrRoad_act!M69=0,0,TrRoad_ene!M72/TrRoad_tech!M100)</f>
        <v>1.1425714818486465</v>
      </c>
      <c r="N127" s="93">
        <f>IF(TrRoad_act!N69=0,0,TrRoad_ene!N72/TrRoad_tech!N100)</f>
        <v>1.1521152892361699</v>
      </c>
      <c r="O127" s="93">
        <f>IF(TrRoad_act!O69=0,0,TrRoad_ene!O72/TrRoad_tech!O100)</f>
        <v>1.1668050423376342</v>
      </c>
      <c r="P127" s="93">
        <f>IF(TrRoad_act!P69=0,0,TrRoad_ene!P72/TrRoad_tech!P100)</f>
        <v>1.1802202057812028</v>
      </c>
      <c r="Q127" s="93">
        <f>IF(TrRoad_act!Q69=0,0,TrRoad_ene!Q72/TrRoad_tech!Q100)</f>
        <v>1.1961552698996079</v>
      </c>
      <c r="R127" s="93">
        <f>IF(TrRoad_act!R69=0,0,TrRoad_ene!R72/TrRoad_tech!R100)</f>
        <v>1.2115412715614842</v>
      </c>
      <c r="S127" s="93">
        <f>IF(TrRoad_act!S69=0,0,TrRoad_ene!S72/TrRoad_tech!S100)</f>
        <v>1.2265521538867741</v>
      </c>
      <c r="T127" s="93">
        <f>IF(TrRoad_act!T69=0,0,TrRoad_ene!T72/TrRoad_tech!T100)</f>
        <v>1.2412833407238673</v>
      </c>
      <c r="U127" s="93">
        <f>IF(TrRoad_act!U69=0,0,TrRoad_ene!U72/TrRoad_tech!U100)</f>
        <v>1.2554054264180929</v>
      </c>
      <c r="V127" s="93">
        <f>IF(TrRoad_act!V69=0,0,TrRoad_ene!V72/TrRoad_tech!V100)</f>
        <v>1.2723340994411403</v>
      </c>
      <c r="W127" s="93">
        <f>IF(TrRoad_act!W69=0,0,TrRoad_ene!W72/TrRoad_tech!W100)</f>
        <v>1.2883872608241427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1.1008094856523516</v>
      </c>
      <c r="D128" s="93">
        <f>IF(TrRoad_act!D70=0,0,TrRoad_ene!D73/TrRoad_tech!D101)</f>
        <v>1.1008855200312135</v>
      </c>
      <c r="E128" s="93">
        <f>IF(TrRoad_act!E70=0,0,TrRoad_ene!E73/TrRoad_tech!E101)</f>
        <v>1.1019857739916246</v>
      </c>
      <c r="F128" s="93">
        <f>IF(TrRoad_act!F70=0,0,TrRoad_ene!F73/TrRoad_tech!F101)</f>
        <v>1.1029340553585301</v>
      </c>
      <c r="G128" s="93">
        <f>IF(TrRoad_act!G70=0,0,TrRoad_ene!G73/TrRoad_tech!G101)</f>
        <v>1.1045242413357168</v>
      </c>
      <c r="H128" s="93">
        <f>IF(TrRoad_act!H70=0,0,TrRoad_ene!H73/TrRoad_tech!H101)</f>
        <v>1.1056850348851093</v>
      </c>
      <c r="I128" s="93">
        <f>IF(TrRoad_act!I70=0,0,TrRoad_ene!I73/TrRoad_tech!I101)</f>
        <v>1.1185689793138642</v>
      </c>
      <c r="J128" s="93">
        <f>IF(TrRoad_act!J70=0,0,TrRoad_ene!J73/TrRoad_tech!J101)</f>
        <v>1.119195515457091</v>
      </c>
      <c r="K128" s="93">
        <f>IF(TrRoad_act!K70=0,0,TrRoad_ene!K73/TrRoad_tech!K101)</f>
        <v>1.1209372475153485</v>
      </c>
      <c r="L128" s="93">
        <f>IF(TrRoad_act!L70=0,0,TrRoad_ene!L73/TrRoad_tech!L101)</f>
        <v>1.1219636790506791</v>
      </c>
      <c r="M128" s="93">
        <f>IF(TrRoad_act!M70=0,0,TrRoad_ene!M73/TrRoad_tech!M101)</f>
        <v>1.1229781555495451</v>
      </c>
      <c r="N128" s="93">
        <f>IF(TrRoad_act!N70=0,0,TrRoad_ene!N73/TrRoad_tech!N101)</f>
        <v>1.1254210792519213</v>
      </c>
      <c r="O128" s="93">
        <f>IF(TrRoad_act!O70=0,0,TrRoad_ene!O73/TrRoad_tech!O101)</f>
        <v>1.1263871623236945</v>
      </c>
      <c r="P128" s="93">
        <f>IF(TrRoad_act!P70=0,0,TrRoad_ene!P73/TrRoad_tech!P101)</f>
        <v>1.1282006247013494</v>
      </c>
      <c r="Q128" s="93">
        <f>IF(TrRoad_act!Q70=0,0,TrRoad_ene!Q73/TrRoad_tech!Q101)</f>
        <v>1.1301055777669944</v>
      </c>
      <c r="R128" s="93">
        <f>IF(TrRoad_act!R70=0,0,TrRoad_ene!R73/TrRoad_tech!R101)</f>
        <v>1.129702148034091</v>
      </c>
      <c r="S128" s="93">
        <f>IF(TrRoad_act!S70=0,0,TrRoad_ene!S73/TrRoad_tech!S101)</f>
        <v>1.1303911604827317</v>
      </c>
      <c r="T128" s="93">
        <f>IF(TrRoad_act!T70=0,0,TrRoad_ene!T73/TrRoad_tech!T101)</f>
        <v>1.1310921953898072</v>
      </c>
      <c r="U128" s="93">
        <f>IF(TrRoad_act!U70=0,0,TrRoad_ene!U73/TrRoad_tech!U101)</f>
        <v>1.131742293610889</v>
      </c>
      <c r="V128" s="93">
        <f>IF(TrRoad_act!V70=0,0,TrRoad_ene!V73/TrRoad_tech!V101)</f>
        <v>1.1327036909609154</v>
      </c>
      <c r="W128" s="93">
        <f>IF(TrRoad_act!W70=0,0,TrRoad_ene!W73/TrRoad_tech!W101)</f>
        <v>1.1342086508309464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1.0937524725146195</v>
      </c>
      <c r="C129" s="93">
        <f>IF(TrRoad_act!C71=0,0,TrRoad_ene!C74/TrRoad_tech!C102)</f>
        <v>1.0859319694015466</v>
      </c>
      <c r="D129" s="93">
        <f>IF(TrRoad_act!D71=0,0,TrRoad_ene!D74/TrRoad_tech!D102)</f>
        <v>1.1045214435569475</v>
      </c>
      <c r="E129" s="93">
        <f>IF(TrRoad_act!E71=0,0,TrRoad_ene!E74/TrRoad_tech!E102)</f>
        <v>1.1013478647618167</v>
      </c>
      <c r="F129" s="93">
        <f>IF(TrRoad_act!F71=0,0,TrRoad_ene!F74/TrRoad_tech!F102)</f>
        <v>1.028131945032146</v>
      </c>
      <c r="G129" s="93">
        <f>IF(TrRoad_act!G71=0,0,TrRoad_ene!G74/TrRoad_tech!G102)</f>
        <v>1.0322526390781075</v>
      </c>
      <c r="H129" s="93">
        <f>IF(TrRoad_act!H71=0,0,TrRoad_ene!H74/TrRoad_tech!H102)</f>
        <v>1.118827437991043</v>
      </c>
      <c r="I129" s="93">
        <f>IF(TrRoad_act!I71=0,0,TrRoad_ene!I74/TrRoad_tech!I102)</f>
        <v>1.0740407522452771</v>
      </c>
      <c r="J129" s="93">
        <f>IF(TrRoad_act!J71=0,0,TrRoad_ene!J74/TrRoad_tech!J102)</f>
        <v>1.0941715107540326</v>
      </c>
      <c r="K129" s="93">
        <f>IF(TrRoad_act!K71=0,0,TrRoad_ene!K74/TrRoad_tech!K102)</f>
        <v>1.0889228966508318</v>
      </c>
      <c r="L129" s="93">
        <f>IF(TrRoad_act!L71=0,0,TrRoad_ene!L74/TrRoad_tech!L102)</f>
        <v>1.1803589455779304</v>
      </c>
      <c r="M129" s="93">
        <f>IF(TrRoad_act!M71=0,0,TrRoad_ene!M74/TrRoad_tech!M102)</f>
        <v>1.1993344511826427</v>
      </c>
      <c r="N129" s="93">
        <f>IF(TrRoad_act!N71=0,0,TrRoad_ene!N74/TrRoad_tech!N102)</f>
        <v>1.2002311258747629</v>
      </c>
      <c r="O129" s="93">
        <f>IF(TrRoad_act!O71=0,0,TrRoad_ene!O74/TrRoad_tech!O102)</f>
        <v>1.2398242229551197</v>
      </c>
      <c r="P129" s="93">
        <f>IF(TrRoad_act!P71=0,0,TrRoad_ene!P74/TrRoad_tech!P102)</f>
        <v>1.2654508455841262</v>
      </c>
      <c r="Q129" s="93">
        <f>IF(TrRoad_act!Q71=0,0,TrRoad_ene!Q74/TrRoad_tech!Q102)</f>
        <v>1.294532644006291</v>
      </c>
      <c r="R129" s="93">
        <f>IF(TrRoad_act!R71=0,0,TrRoad_ene!R74/TrRoad_tech!R102)</f>
        <v>1.3420650112769656</v>
      </c>
      <c r="S129" s="93">
        <f>IF(TrRoad_act!S71=0,0,TrRoad_ene!S74/TrRoad_tech!S102)</f>
        <v>1.4039337773273399</v>
      </c>
      <c r="T129" s="93">
        <f>IF(TrRoad_act!T71=0,0,TrRoad_ene!T74/TrRoad_tech!T102)</f>
        <v>1.399590174664868</v>
      </c>
      <c r="U129" s="93">
        <f>IF(TrRoad_act!U71=0,0,TrRoad_ene!U74/TrRoad_tech!U102)</f>
        <v>1.4192932181865048</v>
      </c>
      <c r="V129" s="93">
        <f>IF(TrRoad_act!V71=0,0,TrRoad_ene!V74/TrRoad_tech!V102)</f>
        <v>1.5901463157140656</v>
      </c>
      <c r="W129" s="93">
        <f>IF(TrRoad_act!W71=0,0,TrRoad_ene!W74/TrRoad_tech!W102)</f>
        <v>1.583257647390516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1.100685999198878</v>
      </c>
      <c r="D130" s="93">
        <f>IF(TrRoad_act!D72=0,0,TrRoad_ene!D75/TrRoad_tech!D103)</f>
        <v>1.1021830469951652</v>
      </c>
      <c r="E130" s="93">
        <f>IF(TrRoad_act!E72=0,0,TrRoad_ene!E75/TrRoad_tech!E103)</f>
        <v>1.1041632252963489</v>
      </c>
      <c r="F130" s="93">
        <f>IF(TrRoad_act!F72=0,0,TrRoad_ene!F75/TrRoad_tech!F103)</f>
        <v>1.1068159775700432</v>
      </c>
      <c r="G130" s="93">
        <f>IF(TrRoad_act!G72=0,0,TrRoad_ene!G75/TrRoad_tech!G103)</f>
        <v>1.1080752653471588</v>
      </c>
      <c r="H130" s="93">
        <f>IF(TrRoad_act!H72=0,0,TrRoad_ene!H75/TrRoad_tech!H103)</f>
        <v>1.1091656863025832</v>
      </c>
      <c r="I130" s="93">
        <f>IF(TrRoad_act!I72=0,0,TrRoad_ene!I75/TrRoad_tech!I103)</f>
        <v>1.1106198198589197</v>
      </c>
      <c r="J130" s="93">
        <f>IF(TrRoad_act!J72=0,0,TrRoad_ene!J75/TrRoad_tech!J103)</f>
        <v>1.1124799136510826</v>
      </c>
      <c r="K130" s="93">
        <f>IF(TrRoad_act!K72=0,0,TrRoad_ene!K75/TrRoad_tech!K103)</f>
        <v>1.112935748989037</v>
      </c>
      <c r="L130" s="93">
        <f>IF(TrRoad_act!L72=0,0,TrRoad_ene!L75/TrRoad_tech!L103)</f>
        <v>1.1134925251704828</v>
      </c>
      <c r="M130" s="93">
        <f>IF(TrRoad_act!M72=0,0,TrRoad_ene!M75/TrRoad_tech!M103)</f>
        <v>1.1139311539960004</v>
      </c>
      <c r="N130" s="93">
        <f>IF(TrRoad_act!N72=0,0,TrRoad_ene!N75/TrRoad_tech!N103)</f>
        <v>1.1389468291995255</v>
      </c>
      <c r="O130" s="93">
        <f>IF(TrRoad_act!O72=0,0,TrRoad_ene!O75/TrRoad_tech!O103)</f>
        <v>1.1887389079717396</v>
      </c>
      <c r="P130" s="93">
        <f>IF(TrRoad_act!P72=0,0,TrRoad_ene!P75/TrRoad_tech!P103)</f>
        <v>1.2071378357377323</v>
      </c>
      <c r="Q130" s="93">
        <f>IF(TrRoad_act!Q72=0,0,TrRoad_ene!Q75/TrRoad_tech!Q103)</f>
        <v>1.2278409737166323</v>
      </c>
      <c r="R130" s="93">
        <f>IF(TrRoad_act!R72=0,0,TrRoad_ene!R75/TrRoad_tech!R103)</f>
        <v>1.2572545734697511</v>
      </c>
      <c r="S130" s="93">
        <f>IF(TrRoad_act!S72=0,0,TrRoad_ene!S75/TrRoad_tech!S103)</f>
        <v>1.289467602456279</v>
      </c>
      <c r="T130" s="93">
        <f>IF(TrRoad_act!T72=0,0,TrRoad_ene!T75/TrRoad_tech!T103)</f>
        <v>1.3101814273127519</v>
      </c>
      <c r="U130" s="93">
        <f>IF(TrRoad_act!U72=0,0,TrRoad_ene!U75/TrRoad_tech!U103)</f>
        <v>1.3280444976340897</v>
      </c>
      <c r="V130" s="93">
        <f>IF(TrRoad_act!V72=0,0,TrRoad_ene!V75/TrRoad_tech!V103)</f>
        <v>1.3367904316879458</v>
      </c>
      <c r="W130" s="93">
        <f>IF(TrRoad_act!W72=0,0,TrRoad_ene!W75/TrRoad_tech!W103)</f>
        <v>1.3465226041048821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1.1530719079686167</v>
      </c>
      <c r="C132" s="150">
        <f>IF(TrRoad_act!C74=0,0,TrRoad_ene!C77/TrRoad_tech!C105)</f>
        <v>1.1328510444656419</v>
      </c>
      <c r="D132" s="150">
        <f>IF(TrRoad_act!D74=0,0,TrRoad_ene!D77/TrRoad_tech!D105)</f>
        <v>1.122590022339131</v>
      </c>
      <c r="E132" s="150">
        <f>IF(TrRoad_act!E74=0,0,TrRoad_ene!E77/TrRoad_tech!E105)</f>
        <v>1.1043917999544721</v>
      </c>
      <c r="F132" s="150">
        <f>IF(TrRoad_act!F74=0,0,TrRoad_ene!F77/TrRoad_tech!F105)</f>
        <v>1.0864063087438938</v>
      </c>
      <c r="G132" s="150">
        <f>IF(TrRoad_act!G74=0,0,TrRoad_ene!G77/TrRoad_tech!G105)</f>
        <v>1.0827109333455203</v>
      </c>
      <c r="H132" s="150">
        <f>IF(TrRoad_act!H74=0,0,TrRoad_ene!H77/TrRoad_tech!H105)</f>
        <v>1.0740040397185711</v>
      </c>
      <c r="I132" s="150">
        <f>IF(TrRoad_act!I74=0,0,TrRoad_ene!I77/TrRoad_tech!I105)</f>
        <v>1.068990739695032</v>
      </c>
      <c r="J132" s="150">
        <f>IF(TrRoad_act!J74=0,0,TrRoad_ene!J77/TrRoad_tech!J105)</f>
        <v>1.0794833268846287</v>
      </c>
      <c r="K132" s="150">
        <f>IF(TrRoad_act!K74=0,0,TrRoad_ene!K77/TrRoad_tech!K105)</f>
        <v>1.0951780835022091</v>
      </c>
      <c r="L132" s="150">
        <f>IF(TrRoad_act!L74=0,0,TrRoad_ene!L77/TrRoad_tech!L105)</f>
        <v>1.0961650218659387</v>
      </c>
      <c r="M132" s="150">
        <f>IF(TrRoad_act!M74=0,0,TrRoad_ene!M77/TrRoad_tech!M105)</f>
        <v>1.1112980505204892</v>
      </c>
      <c r="N132" s="150">
        <f>IF(TrRoad_act!N74=0,0,TrRoad_ene!N77/TrRoad_tech!N105)</f>
        <v>1.1205292339438691</v>
      </c>
      <c r="O132" s="150">
        <f>IF(TrRoad_act!O74=0,0,TrRoad_ene!O77/TrRoad_tech!O105)</f>
        <v>1.1257880813441927</v>
      </c>
      <c r="P132" s="150">
        <f>IF(TrRoad_act!P74=0,0,TrRoad_ene!P77/TrRoad_tech!P105)</f>
        <v>1.1398766179714654</v>
      </c>
      <c r="Q132" s="150">
        <f>IF(TrRoad_act!Q74=0,0,TrRoad_ene!Q77/TrRoad_tech!Q105)</f>
        <v>1.1526288453583926</v>
      </c>
      <c r="R132" s="150">
        <f>IF(TrRoad_act!R74=0,0,TrRoad_ene!R77/TrRoad_tech!R105)</f>
        <v>1.1673421821203174</v>
      </c>
      <c r="S132" s="150">
        <f>IF(TrRoad_act!S74=0,0,TrRoad_ene!S77/TrRoad_tech!S105)</f>
        <v>1.1750873855558395</v>
      </c>
      <c r="T132" s="150">
        <f>IF(TrRoad_act!T74=0,0,TrRoad_ene!T77/TrRoad_tech!T105)</f>
        <v>1.1929777929549328</v>
      </c>
      <c r="U132" s="150">
        <f>IF(TrRoad_act!U74=0,0,TrRoad_ene!U77/TrRoad_tech!U105)</f>
        <v>1.1967066667047308</v>
      </c>
      <c r="V132" s="150">
        <f>IF(TrRoad_act!V74=0,0,TrRoad_ene!V77/TrRoad_tech!V105)</f>
        <v>1.206719633771296</v>
      </c>
      <c r="W132" s="150">
        <f>IF(TrRoad_act!W74=0,0,TrRoad_ene!W77/TrRoad_tech!W105)</f>
        <v>1.2353676158286928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1.1000096509212516</v>
      </c>
      <c r="D133" s="91">
        <f>IF(TrRoad_act!D75=0,0,TrRoad_ene!D78/TrRoad_tech!D106)</f>
        <v>1.1000308469878861</v>
      </c>
      <c r="E133" s="91">
        <f>IF(TrRoad_act!E75=0,0,TrRoad_ene!E78/TrRoad_tech!E106)</f>
        <v>1.1000689420129075</v>
      </c>
      <c r="F133" s="91">
        <f>IF(TrRoad_act!F75=0,0,TrRoad_ene!F78/TrRoad_tech!F106)</f>
        <v>1.1001415517284319</v>
      </c>
      <c r="G133" s="91">
        <f>IF(TrRoad_act!G75=0,0,TrRoad_ene!G78/TrRoad_tech!G106)</f>
        <v>1.100251965176462</v>
      </c>
      <c r="H133" s="91">
        <f>IF(TrRoad_act!H75=0,0,TrRoad_ene!H78/TrRoad_tech!H106)</f>
        <v>1.1004944776505285</v>
      </c>
      <c r="I133" s="91">
        <f>IF(TrRoad_act!I75=0,0,TrRoad_ene!I78/TrRoad_tech!I106)</f>
        <v>1.1009016131030513</v>
      </c>
      <c r="J133" s="91">
        <f>IF(TrRoad_act!J75=0,0,TrRoad_ene!J78/TrRoad_tech!J106)</f>
        <v>1.1014308803622055</v>
      </c>
      <c r="K133" s="91">
        <f>IF(TrRoad_act!K75=0,0,TrRoad_ene!K78/TrRoad_tech!K106)</f>
        <v>1.1024190205589803</v>
      </c>
      <c r="L133" s="91">
        <f>IF(TrRoad_act!L75=0,0,TrRoad_ene!L78/TrRoad_tech!L106)</f>
        <v>1.1067903833404593</v>
      </c>
      <c r="M133" s="91">
        <f>IF(TrRoad_act!M75=0,0,TrRoad_ene!M78/TrRoad_tech!M106)</f>
        <v>1.1120069441948532</v>
      </c>
      <c r="N133" s="91">
        <f>IF(TrRoad_act!N75=0,0,TrRoad_ene!N78/TrRoad_tech!N106)</f>
        <v>1.1195617530573676</v>
      </c>
      <c r="O133" s="91">
        <f>IF(TrRoad_act!O75=0,0,TrRoad_ene!O78/TrRoad_tech!O106)</f>
        <v>1.1262554693555762</v>
      </c>
      <c r="P133" s="91">
        <f>IF(TrRoad_act!P75=0,0,TrRoad_ene!P78/TrRoad_tech!P106)</f>
        <v>1.1294685214509435</v>
      </c>
      <c r="Q133" s="91">
        <f>IF(TrRoad_act!Q75=0,0,TrRoad_ene!Q78/TrRoad_tech!Q106)</f>
        <v>1.1335108981165243</v>
      </c>
      <c r="R133" s="91">
        <f>IF(TrRoad_act!R75=0,0,TrRoad_ene!R78/TrRoad_tech!R106)</f>
        <v>1.1377087971448867</v>
      </c>
      <c r="S133" s="91">
        <f>IF(TrRoad_act!S75=0,0,TrRoad_ene!S78/TrRoad_tech!S106)</f>
        <v>1.1439797508107712</v>
      </c>
      <c r="T133" s="91">
        <f>IF(TrRoad_act!T75=0,0,TrRoad_ene!T78/TrRoad_tech!T106)</f>
        <v>1.1540109585165828</v>
      </c>
      <c r="U133" s="91">
        <f>IF(TrRoad_act!U75=0,0,TrRoad_ene!U78/TrRoad_tech!U106)</f>
        <v>1.1663209072281047</v>
      </c>
      <c r="V133" s="91">
        <f>IF(TrRoad_act!V75=0,0,TrRoad_ene!V78/TrRoad_tech!V106)</f>
        <v>1.1751499320736349</v>
      </c>
      <c r="W133" s="91">
        <f>IF(TrRoad_act!W75=0,0,TrRoad_ene!W78/TrRoad_tech!W106)</f>
        <v>1.1771805006799025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1.1614183107934593</v>
      </c>
      <c r="C134" s="91">
        <f>IF(TrRoad_act!C76=0,0,TrRoad_ene!C79/TrRoad_tech!C107)</f>
        <v>1.1420943572052622</v>
      </c>
      <c r="D134" s="91">
        <f>IF(TrRoad_act!D76=0,0,TrRoad_ene!D79/TrRoad_tech!D107)</f>
        <v>1.1321445165872555</v>
      </c>
      <c r="E134" s="91">
        <f>IF(TrRoad_act!E76=0,0,TrRoad_ene!E79/TrRoad_tech!E107)</f>
        <v>1.1137279385312244</v>
      </c>
      <c r="F134" s="91">
        <f>IF(TrRoad_act!F76=0,0,TrRoad_ene!F79/TrRoad_tech!F107)</f>
        <v>1.096384595040887</v>
      </c>
      <c r="G134" s="91">
        <f>IF(TrRoad_act!G76=0,0,TrRoad_ene!G79/TrRoad_tech!G107)</f>
        <v>1.0944158206585686</v>
      </c>
      <c r="H134" s="91">
        <f>IF(TrRoad_act!H76=0,0,TrRoad_ene!H79/TrRoad_tech!H107)</f>
        <v>1.0868936618197835</v>
      </c>
      <c r="I134" s="91">
        <f>IF(TrRoad_act!I76=0,0,TrRoad_ene!I79/TrRoad_tech!I107)</f>
        <v>1.0829993852198445</v>
      </c>
      <c r="J134" s="91">
        <f>IF(TrRoad_act!J76=0,0,TrRoad_ene!J79/TrRoad_tech!J107)</f>
        <v>1.0958711090415061</v>
      </c>
      <c r="K134" s="91">
        <f>IF(TrRoad_act!K76=0,0,TrRoad_ene!K79/TrRoad_tech!K107)</f>
        <v>1.1140086839882486</v>
      </c>
      <c r="L134" s="91">
        <f>IF(TrRoad_act!L76=0,0,TrRoad_ene!L79/TrRoad_tech!L107)</f>
        <v>1.114639739400368</v>
      </c>
      <c r="M134" s="91">
        <f>IF(TrRoad_act!M76=0,0,TrRoad_ene!M79/TrRoad_tech!M107)</f>
        <v>1.129900225519348</v>
      </c>
      <c r="N134" s="91">
        <f>IF(TrRoad_act!N76=0,0,TrRoad_ene!N79/TrRoad_tech!N107)</f>
        <v>1.1408906270995647</v>
      </c>
      <c r="O134" s="91">
        <f>IF(TrRoad_act!O76=0,0,TrRoad_ene!O79/TrRoad_tech!O107)</f>
        <v>1.1498639760717946</v>
      </c>
      <c r="P134" s="91">
        <f>IF(TrRoad_act!P76=0,0,TrRoad_ene!P79/TrRoad_tech!P107)</f>
        <v>1.1682119644483255</v>
      </c>
      <c r="Q134" s="91">
        <f>IF(TrRoad_act!Q76=0,0,TrRoad_ene!Q79/TrRoad_tech!Q107)</f>
        <v>1.1832623637709869</v>
      </c>
      <c r="R134" s="91">
        <f>IF(TrRoad_act!R76=0,0,TrRoad_ene!R79/TrRoad_tech!R107)</f>
        <v>1.1981295125318818</v>
      </c>
      <c r="S134" s="91">
        <f>IF(TrRoad_act!S76=0,0,TrRoad_ene!S79/TrRoad_tech!S107)</f>
        <v>1.2066132243091752</v>
      </c>
      <c r="T134" s="91">
        <f>IF(TrRoad_act!T76=0,0,TrRoad_ene!T79/TrRoad_tech!T107)</f>
        <v>1.224770111027909</v>
      </c>
      <c r="U134" s="91">
        <f>IF(TrRoad_act!U76=0,0,TrRoad_ene!U79/TrRoad_tech!U107)</f>
        <v>1.2278072828658237</v>
      </c>
      <c r="V134" s="91">
        <f>IF(TrRoad_act!V76=0,0,TrRoad_ene!V79/TrRoad_tech!V107)</f>
        <v>1.2366028766854853</v>
      </c>
      <c r="W134" s="91">
        <f>IF(TrRoad_act!W76=0,0,TrRoad_ene!W79/TrRoad_tech!W107)</f>
        <v>1.2648595062954424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1.1002020652408786</v>
      </c>
      <c r="D135" s="91">
        <f>IF(TrRoad_act!D77=0,0,TrRoad_ene!D80/TrRoad_tech!D108)</f>
        <v>1.1005631230545567</v>
      </c>
      <c r="E135" s="91">
        <f>IF(TrRoad_act!E77=0,0,TrRoad_ene!E80/TrRoad_tech!E108)</f>
        <v>1.1011297557474531</v>
      </c>
      <c r="F135" s="91">
        <f>IF(TrRoad_act!F77=0,0,TrRoad_ene!F80/TrRoad_tech!F108)</f>
        <v>1.1020165866185601</v>
      </c>
      <c r="G135" s="91">
        <f>IF(TrRoad_act!G77=0,0,TrRoad_ene!G80/TrRoad_tech!G108)</f>
        <v>1.1030841378801846</v>
      </c>
      <c r="H135" s="91">
        <f>IF(TrRoad_act!H77=0,0,TrRoad_ene!H80/TrRoad_tech!H108)</f>
        <v>1.1049263608579152</v>
      </c>
      <c r="I135" s="91">
        <f>IF(TrRoad_act!I77=0,0,TrRoad_ene!I80/TrRoad_tech!I108)</f>
        <v>1.1065992157839202</v>
      </c>
      <c r="J135" s="91">
        <f>IF(TrRoad_act!J77=0,0,TrRoad_ene!J80/TrRoad_tech!J108)</f>
        <v>1.1076243161527783</v>
      </c>
      <c r="K135" s="91">
        <f>IF(TrRoad_act!K77=0,0,TrRoad_ene!K80/TrRoad_tech!K108)</f>
        <v>1.1113245094899806</v>
      </c>
      <c r="L135" s="91">
        <f>IF(TrRoad_act!L77=0,0,TrRoad_ene!L80/TrRoad_tech!L108)</f>
        <v>1.1115850869310211</v>
      </c>
      <c r="M135" s="91">
        <f>IF(TrRoad_act!M77=0,0,TrRoad_ene!M80/TrRoad_tech!M108)</f>
        <v>1.111901114392801</v>
      </c>
      <c r="N135" s="91">
        <f>IF(TrRoad_act!N77=0,0,TrRoad_ene!N80/TrRoad_tech!N108)</f>
        <v>1.1124848781611658</v>
      </c>
      <c r="O135" s="91">
        <f>IF(TrRoad_act!O77=0,0,TrRoad_ene!O80/TrRoad_tech!O108)</f>
        <v>1.1135295136146439</v>
      </c>
      <c r="P135" s="91">
        <f>IF(TrRoad_act!P77=0,0,TrRoad_ene!P80/TrRoad_tech!P108)</f>
        <v>1.1144883096946461</v>
      </c>
      <c r="Q135" s="91">
        <f>IF(TrRoad_act!Q77=0,0,TrRoad_ene!Q80/TrRoad_tech!Q108)</f>
        <v>1.115325298226655</v>
      </c>
      <c r="R135" s="91">
        <f>IF(TrRoad_act!R77=0,0,TrRoad_ene!R80/TrRoad_tech!R108)</f>
        <v>1.1157266232281651</v>
      </c>
      <c r="S135" s="91">
        <f>IF(TrRoad_act!S77=0,0,TrRoad_ene!S80/TrRoad_tech!S108)</f>
        <v>1.1163793263150228</v>
      </c>
      <c r="T135" s="91">
        <f>IF(TrRoad_act!T77=0,0,TrRoad_ene!T80/TrRoad_tech!T108)</f>
        <v>1.1180208461967385</v>
      </c>
      <c r="U135" s="91">
        <f>IF(TrRoad_act!U77=0,0,TrRoad_ene!U80/TrRoad_tech!U108)</f>
        <v>1.1191606157046579</v>
      </c>
      <c r="V135" s="91">
        <f>IF(TrRoad_act!V77=0,0,TrRoad_ene!V80/TrRoad_tech!V108)</f>
        <v>1.2255291562980652</v>
      </c>
      <c r="W135" s="91">
        <f>IF(TrRoad_act!W77=0,0,TrRoad_ene!W80/TrRoad_tech!W108)</f>
        <v>1.2289018276369221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1.1000000000067303</v>
      </c>
      <c r="C136" s="91">
        <f>IF(TrRoad_act!C78=0,0,TrRoad_ene!C81/TrRoad_tech!C109)</f>
        <v>1.1000000000067303</v>
      </c>
      <c r="D136" s="91">
        <f>IF(TrRoad_act!D78=0,0,TrRoad_ene!D81/TrRoad_tech!D109)</f>
        <v>1.1003087449888216</v>
      </c>
      <c r="E136" s="91">
        <f>IF(TrRoad_act!E78=0,0,TrRoad_ene!E81/TrRoad_tech!E109)</f>
        <v>1.1085657762840306</v>
      </c>
      <c r="F136" s="91">
        <f>IF(TrRoad_act!F78=0,0,TrRoad_ene!F81/TrRoad_tech!F109)</f>
        <v>1.1093127711129951</v>
      </c>
      <c r="G136" s="91">
        <f>IF(TrRoad_act!G78=0,0,TrRoad_ene!G81/TrRoad_tech!G109)</f>
        <v>1.1098297212067023</v>
      </c>
      <c r="H136" s="91">
        <f>IF(TrRoad_act!H78=0,0,TrRoad_ene!H81/TrRoad_tech!H109)</f>
        <v>1.1289119974461517</v>
      </c>
      <c r="I136" s="91">
        <f>IF(TrRoad_act!I78=0,0,TrRoad_ene!I81/TrRoad_tech!I109)</f>
        <v>1.130965051739717</v>
      </c>
      <c r="J136" s="91">
        <f>IF(TrRoad_act!J78=0,0,TrRoad_ene!J81/TrRoad_tech!J109)</f>
        <v>1.1340855334946036</v>
      </c>
      <c r="K136" s="91">
        <f>IF(TrRoad_act!K78=0,0,TrRoad_ene!K81/TrRoad_tech!K109)</f>
        <v>1.1451930262765539</v>
      </c>
      <c r="L136" s="91">
        <f>IF(TrRoad_act!L78=0,0,TrRoad_ene!L81/TrRoad_tech!L109)</f>
        <v>1.1680825537305293</v>
      </c>
      <c r="M136" s="91">
        <f>IF(TrRoad_act!M78=0,0,TrRoad_ene!M81/TrRoad_tech!M109)</f>
        <v>1.1828062728033037</v>
      </c>
      <c r="N136" s="91">
        <f>IF(TrRoad_act!N78=0,0,TrRoad_ene!N81/TrRoad_tech!N109)</f>
        <v>1.1977929747689851</v>
      </c>
      <c r="O136" s="91">
        <f>IF(TrRoad_act!O78=0,0,TrRoad_ene!O81/TrRoad_tech!O109)</f>
        <v>1.2105420273355101</v>
      </c>
      <c r="P136" s="91">
        <f>IF(TrRoad_act!P78=0,0,TrRoad_ene!P81/TrRoad_tech!P109)</f>
        <v>1.2206281567882957</v>
      </c>
      <c r="Q136" s="91">
        <f>IF(TrRoad_act!Q78=0,0,TrRoad_ene!Q81/TrRoad_tech!Q109)</f>
        <v>1.2307913377232074</v>
      </c>
      <c r="R136" s="91">
        <f>IF(TrRoad_act!R78=0,0,TrRoad_ene!R81/TrRoad_tech!R109)</f>
        <v>1.245049324303225</v>
      </c>
      <c r="S136" s="91">
        <f>IF(TrRoad_act!S78=0,0,TrRoad_ene!S81/TrRoad_tech!S109)</f>
        <v>1.2633657421845417</v>
      </c>
      <c r="T136" s="91">
        <f>IF(TrRoad_act!T78=0,0,TrRoad_ene!T81/TrRoad_tech!T109)</f>
        <v>1.3084266980884842</v>
      </c>
      <c r="U136" s="91">
        <f>IF(TrRoad_act!U78=0,0,TrRoad_ene!U81/TrRoad_tech!U109)</f>
        <v>1.3128528539684321</v>
      </c>
      <c r="V136" s="91">
        <f>IF(TrRoad_act!V78=0,0,TrRoad_ene!V81/TrRoad_tech!V109)</f>
        <v>1.3168611100935961</v>
      </c>
      <c r="W136" s="91">
        <f>IF(TrRoad_act!W78=0,0,TrRoad_ene!W81/TrRoad_tech!W109)</f>
        <v>1.3248218710507587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1.1006939859435165</v>
      </c>
      <c r="D137" s="91">
        <f>IF(TrRoad_act!D79=0,0,TrRoad_ene!D82/TrRoad_tech!D110)</f>
        <v>1.1013777702120966</v>
      </c>
      <c r="E137" s="91">
        <f>IF(TrRoad_act!E79=0,0,TrRoad_ene!E82/TrRoad_tech!E110)</f>
        <v>1.1021629104121926</v>
      </c>
      <c r="F137" s="91">
        <f>IF(TrRoad_act!F79=0,0,TrRoad_ene!F82/TrRoad_tech!F110)</f>
        <v>1.1040362034885722</v>
      </c>
      <c r="G137" s="91">
        <f>IF(TrRoad_act!G79=0,0,TrRoad_ene!G82/TrRoad_tech!G110)</f>
        <v>1.1059291026545321</v>
      </c>
      <c r="H137" s="91">
        <f>IF(TrRoad_act!H79=0,0,TrRoad_ene!H82/TrRoad_tech!H110)</f>
        <v>1.108356585363284</v>
      </c>
      <c r="I137" s="91">
        <f>IF(TrRoad_act!I79=0,0,TrRoad_ene!I82/TrRoad_tech!I110)</f>
        <v>1.1131484605912021</v>
      </c>
      <c r="J137" s="91">
        <f>IF(TrRoad_act!J79=0,0,TrRoad_ene!J82/TrRoad_tech!J110)</f>
        <v>1.1209367442481284</v>
      </c>
      <c r="K137" s="91">
        <f>IF(TrRoad_act!K79=0,0,TrRoad_ene!K82/TrRoad_tech!K110)</f>
        <v>1.1298755669262592</v>
      </c>
      <c r="L137" s="91">
        <f>IF(TrRoad_act!L79=0,0,TrRoad_ene!L82/TrRoad_tech!L110)</f>
        <v>1.1472858940741408</v>
      </c>
      <c r="M137" s="91">
        <f>IF(TrRoad_act!M79=0,0,TrRoad_ene!M82/TrRoad_tech!M110)</f>
        <v>1.1724836924194133</v>
      </c>
      <c r="N137" s="91">
        <f>IF(TrRoad_act!N79=0,0,TrRoad_ene!N82/TrRoad_tech!N110)</f>
        <v>1.216236101175846</v>
      </c>
      <c r="O137" s="91">
        <f>IF(TrRoad_act!O79=0,0,TrRoad_ene!O82/TrRoad_tech!O110)</f>
        <v>1.241128382408526</v>
      </c>
      <c r="P137" s="91">
        <f>IF(TrRoad_act!P79=0,0,TrRoad_ene!P82/TrRoad_tech!P110)</f>
        <v>1.2524900552727511</v>
      </c>
      <c r="Q137" s="91">
        <f>IF(TrRoad_act!Q79=0,0,TrRoad_ene!Q82/TrRoad_tech!Q110)</f>
        <v>1.2686234258786331</v>
      </c>
      <c r="R137" s="91">
        <f>IF(TrRoad_act!R79=0,0,TrRoad_ene!R82/TrRoad_tech!R110)</f>
        <v>1.2833031671697053</v>
      </c>
      <c r="S137" s="91">
        <f>IF(TrRoad_act!S79=0,0,TrRoad_ene!S82/TrRoad_tech!S110)</f>
        <v>1.2975829562533971</v>
      </c>
      <c r="T137" s="91">
        <f>IF(TrRoad_act!T79=0,0,TrRoad_ene!T82/TrRoad_tech!T110)</f>
        <v>1.3133684318683694</v>
      </c>
      <c r="U137" s="91">
        <f>IF(TrRoad_act!U79=0,0,TrRoad_ene!U82/TrRoad_tech!U110)</f>
        <v>1.3204085338765958</v>
      </c>
      <c r="V137" s="91">
        <f>IF(TrRoad_act!V79=0,0,TrRoad_ene!V82/TrRoad_tech!V110)</f>
        <v>1.3275882562442742</v>
      </c>
      <c r="W137" s="91">
        <f>IF(TrRoad_act!W79=0,0,TrRoad_ene!W82/TrRoad_tech!W110)</f>
        <v>1.3349308807427533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1.1844169007046199</v>
      </c>
      <c r="C138" s="151">
        <f>IF(TrRoad_act!C80=0,0,TrRoad_ene!C83/TrRoad_tech!C111)</f>
        <v>1.1679787777948893</v>
      </c>
      <c r="D138" s="151">
        <f>IF(TrRoad_act!D80=0,0,TrRoad_ene!D83/TrRoad_tech!D111)</f>
        <v>1.1598867425931934</v>
      </c>
      <c r="E138" s="151">
        <f>IF(TrRoad_act!E80=0,0,TrRoad_ene!E83/TrRoad_tech!E111)</f>
        <v>1.1436382472364013</v>
      </c>
      <c r="F138" s="151">
        <f>IF(TrRoad_act!F80=0,0,TrRoad_ene!F83/TrRoad_tech!F111)</f>
        <v>1.1279817023078003</v>
      </c>
      <c r="G138" s="151">
        <f>IF(TrRoad_act!G80=0,0,TrRoad_ene!G83/TrRoad_tech!G111)</f>
        <v>1.1282971936574302</v>
      </c>
      <c r="H138" s="151">
        <f>IF(TrRoad_act!H80=0,0,TrRoad_ene!H83/TrRoad_tech!H111)</f>
        <v>1.1274228086636331</v>
      </c>
      <c r="I138" s="151">
        <f>IF(TrRoad_act!I80=0,0,TrRoad_ene!I83/TrRoad_tech!I111)</f>
        <v>1.1274967899129467</v>
      </c>
      <c r="J138" s="151">
        <f>IF(TrRoad_act!J80=0,0,TrRoad_ene!J83/TrRoad_tech!J111)</f>
        <v>1.1408310863217046</v>
      </c>
      <c r="K138" s="151">
        <f>IF(TrRoad_act!K80=0,0,TrRoad_ene!K83/TrRoad_tech!K111)</f>
        <v>1.1647658368000626</v>
      </c>
      <c r="L138" s="151">
        <f>IF(TrRoad_act!L80=0,0,TrRoad_ene!L83/TrRoad_tech!L111)</f>
        <v>1.1647365541050869</v>
      </c>
      <c r="M138" s="151">
        <f>IF(TrRoad_act!M80=0,0,TrRoad_ene!M83/TrRoad_tech!M111)</f>
        <v>1.1850838421297845</v>
      </c>
      <c r="N138" s="151">
        <f>IF(TrRoad_act!N80=0,0,TrRoad_ene!N83/TrRoad_tech!N111)</f>
        <v>1.2037105220161965</v>
      </c>
      <c r="O138" s="151">
        <f>IF(TrRoad_act!O80=0,0,TrRoad_ene!O83/TrRoad_tech!O111)</f>
        <v>1.2164131686734501</v>
      </c>
      <c r="P138" s="151">
        <f>IF(TrRoad_act!P80=0,0,TrRoad_ene!P83/TrRoad_tech!P111)</f>
        <v>1.2319753350366158</v>
      </c>
      <c r="Q138" s="151">
        <f>IF(TrRoad_act!Q80=0,0,TrRoad_ene!Q83/TrRoad_tech!Q111)</f>
        <v>1.2563208544507836</v>
      </c>
      <c r="R138" s="151">
        <f>IF(TrRoad_act!R80=0,0,TrRoad_ene!R83/TrRoad_tech!R111)</f>
        <v>1.2688162380061667</v>
      </c>
      <c r="S138" s="151">
        <f>IF(TrRoad_act!S80=0,0,TrRoad_ene!S83/TrRoad_tech!S111)</f>
        <v>1.2908211604810027</v>
      </c>
      <c r="T138" s="151">
        <f>IF(TrRoad_act!T80=0,0,TrRoad_ene!T83/TrRoad_tech!T111)</f>
        <v>1.3159428752769027</v>
      </c>
      <c r="U138" s="151">
        <f>IF(TrRoad_act!U80=0,0,TrRoad_ene!U83/TrRoad_tech!U111)</f>
        <v>1.3327785857765566</v>
      </c>
      <c r="V138" s="151">
        <f>IF(TrRoad_act!V80=0,0,TrRoad_ene!V83/TrRoad_tech!V111)</f>
        <v>1.3534331089777147</v>
      </c>
      <c r="W138" s="151">
        <f>IF(TrRoad_act!W80=0,0,TrRoad_ene!W83/TrRoad_tech!W111)</f>
        <v>1.4076833184516266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1.1537856968597124</v>
      </c>
      <c r="C139" s="93">
        <f>IF(TrRoad_act!C81=0,0,TrRoad_ene!C84/TrRoad_tech!C112)</f>
        <v>1.1426625389829277</v>
      </c>
      <c r="D139" s="93">
        <f>IF(TrRoad_act!D81=0,0,TrRoad_ene!D84/TrRoad_tech!D112)</f>
        <v>1.1374469501588884</v>
      </c>
      <c r="E139" s="93">
        <f>IF(TrRoad_act!E81=0,0,TrRoad_ene!E84/TrRoad_tech!E112)</f>
        <v>1.1264774074964912</v>
      </c>
      <c r="F139" s="93">
        <f>IF(TrRoad_act!F81=0,0,TrRoad_ene!F84/TrRoad_tech!F112)</f>
        <v>1.1168573830797519</v>
      </c>
      <c r="G139" s="93">
        <f>IF(TrRoad_act!G81=0,0,TrRoad_ene!G84/TrRoad_tech!G112)</f>
        <v>1.117926513853599</v>
      </c>
      <c r="H139" s="93">
        <f>IF(TrRoad_act!H81=0,0,TrRoad_ene!H84/TrRoad_tech!H112)</f>
        <v>1.1183823517307725</v>
      </c>
      <c r="I139" s="93">
        <f>IF(TrRoad_act!I81=0,0,TrRoad_ene!I84/TrRoad_tech!I112)</f>
        <v>1.1198016654513259</v>
      </c>
      <c r="J139" s="93">
        <f>IF(TrRoad_act!J81=0,0,TrRoad_ene!J84/TrRoad_tech!J112)</f>
        <v>1.1306375048108188</v>
      </c>
      <c r="K139" s="93">
        <f>IF(TrRoad_act!K81=0,0,TrRoad_ene!K84/TrRoad_tech!K112)</f>
        <v>1.1488912621415746</v>
      </c>
      <c r="L139" s="93">
        <f>IF(TrRoad_act!L81=0,0,TrRoad_ene!L84/TrRoad_tech!L112)</f>
        <v>1.1502663430809166</v>
      </c>
      <c r="M139" s="93">
        <f>IF(TrRoad_act!M81=0,0,TrRoad_ene!M84/TrRoad_tech!M112)</f>
        <v>1.1668819280128904</v>
      </c>
      <c r="N139" s="93">
        <f>IF(TrRoad_act!N81=0,0,TrRoad_ene!N84/TrRoad_tech!N112)</f>
        <v>1.1809404822948062</v>
      </c>
      <c r="O139" s="93">
        <f>IF(TrRoad_act!O81=0,0,TrRoad_ene!O84/TrRoad_tech!O112)</f>
        <v>1.1905416137620235</v>
      </c>
      <c r="P139" s="93">
        <f>IF(TrRoad_act!P81=0,0,TrRoad_ene!P84/TrRoad_tech!P112)</f>
        <v>1.2023320490730622</v>
      </c>
      <c r="Q139" s="93">
        <f>IF(TrRoad_act!Q81=0,0,TrRoad_ene!Q84/TrRoad_tech!Q112)</f>
        <v>1.2203901458710602</v>
      </c>
      <c r="R139" s="93">
        <f>IF(TrRoad_act!R81=0,0,TrRoad_ene!R84/TrRoad_tech!R112)</f>
        <v>1.2305477864665297</v>
      </c>
      <c r="S139" s="93">
        <f>IF(TrRoad_act!S81=0,0,TrRoad_ene!S84/TrRoad_tech!S112)</f>
        <v>1.2466238733468193</v>
      </c>
      <c r="T139" s="93">
        <f>IF(TrRoad_act!T81=0,0,TrRoad_ene!T84/TrRoad_tech!T112)</f>
        <v>1.2651545143584682</v>
      </c>
      <c r="U139" s="93">
        <f>IF(TrRoad_act!U81=0,0,TrRoad_ene!U84/TrRoad_tech!U112)</f>
        <v>1.2780188479734444</v>
      </c>
      <c r="V139" s="93">
        <f>IF(TrRoad_act!V81=0,0,TrRoad_ene!V84/TrRoad_tech!V112)</f>
        <v>1.2935286440098657</v>
      </c>
      <c r="W139" s="93">
        <f>IF(TrRoad_act!W81=0,0,TrRoad_ene!W84/TrRoad_tech!W112)</f>
        <v>1.3315308387834333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1.2208852313926672</v>
      </c>
      <c r="C140" s="94">
        <f>IF(TrRoad_act!C82=0,0,TrRoad_ene!C85/TrRoad_tech!C113)</f>
        <v>1.1940138210433049</v>
      </c>
      <c r="D140" s="94">
        <f>IF(TrRoad_act!D82=0,0,TrRoad_ene!D85/TrRoad_tech!D113)</f>
        <v>1.1803616904058056</v>
      </c>
      <c r="E140" s="94">
        <f>IF(TrRoad_act!E82=0,0,TrRoad_ene!E85/TrRoad_tech!E113)</f>
        <v>1.1549873554994492</v>
      </c>
      <c r="F140" s="94">
        <f>IF(TrRoad_act!F82=0,0,TrRoad_ene!F85/TrRoad_tech!F113)</f>
        <v>1.1339509147657909</v>
      </c>
      <c r="G140" s="94">
        <f>IF(TrRoad_act!G82=0,0,TrRoad_ene!G85/TrRoad_tech!G113)</f>
        <v>1.1327734507457889</v>
      </c>
      <c r="H140" s="94">
        <f>IF(TrRoad_act!H82=0,0,TrRoad_ene!H85/TrRoad_tech!H113)</f>
        <v>1.1301004210098822</v>
      </c>
      <c r="I140" s="94">
        <f>IF(TrRoad_act!I82=0,0,TrRoad_ene!I85/TrRoad_tech!I113)</f>
        <v>1.1288858511749147</v>
      </c>
      <c r="J140" s="94">
        <f>IF(TrRoad_act!J82=0,0,TrRoad_ene!J85/TrRoad_tech!J113)</f>
        <v>1.1439469653938716</v>
      </c>
      <c r="K140" s="94">
        <f>IF(TrRoad_act!K82=0,0,TrRoad_ene!K85/TrRoad_tech!K113)</f>
        <v>1.1741980289411034</v>
      </c>
      <c r="L140" s="94">
        <f>IF(TrRoad_act!L82=0,0,TrRoad_ene!L85/TrRoad_tech!L113)</f>
        <v>1.1803727075186117</v>
      </c>
      <c r="M140" s="94">
        <f>IF(TrRoad_act!M82=0,0,TrRoad_ene!M85/TrRoad_tech!M113)</f>
        <v>1.206714964592764</v>
      </c>
      <c r="N140" s="94">
        <f>IF(TrRoad_act!N82=0,0,TrRoad_ene!N85/TrRoad_tech!N113)</f>
        <v>1.2263700572588108</v>
      </c>
      <c r="O140" s="94">
        <f>IF(TrRoad_act!O82=0,0,TrRoad_ene!O85/TrRoad_tech!O113)</f>
        <v>1.2418126168801316</v>
      </c>
      <c r="P140" s="94">
        <f>IF(TrRoad_act!P82=0,0,TrRoad_ene!P85/TrRoad_tech!P113)</f>
        <v>1.2617469966496373</v>
      </c>
      <c r="Q140" s="94">
        <f>IF(TrRoad_act!Q82=0,0,TrRoad_ene!Q85/TrRoad_tech!Q113)</f>
        <v>1.289322685770957</v>
      </c>
      <c r="R140" s="94">
        <f>IF(TrRoad_act!R82=0,0,TrRoad_ene!R85/TrRoad_tech!R113)</f>
        <v>1.3028484808928551</v>
      </c>
      <c r="S140" s="94">
        <f>IF(TrRoad_act!S82=0,0,TrRoad_ene!S85/TrRoad_tech!S113)</f>
        <v>1.3283261415760428</v>
      </c>
      <c r="T140" s="94">
        <f>IF(TrRoad_act!T82=0,0,TrRoad_ene!T85/TrRoad_tech!T113)</f>
        <v>1.3506338174493671</v>
      </c>
      <c r="U140" s="94">
        <f>IF(TrRoad_act!U82=0,0,TrRoad_ene!U85/TrRoad_tech!U113)</f>
        <v>1.3606016637955338</v>
      </c>
      <c r="V140" s="94">
        <f>IF(TrRoad_act!V82=0,0,TrRoad_ene!V85/TrRoad_tech!V113)</f>
        <v>1.3725958982865794</v>
      </c>
      <c r="W140" s="94">
        <f>IF(TrRoad_act!W82=0,0,TrRoad_ene!W85/TrRoad_tech!W113)</f>
        <v>1.4346836836823778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3.0938747142819518</v>
      </c>
      <c r="C144" s="141">
        <v>3.0938747142819518</v>
      </c>
      <c r="D144" s="141">
        <v>3.0938747142819518</v>
      </c>
      <c r="E144" s="141">
        <v>3.081355143318917</v>
      </c>
      <c r="F144" s="141">
        <v>3.0688355723558822</v>
      </c>
      <c r="G144" s="141">
        <v>3.0313065266965484</v>
      </c>
      <c r="H144" s="141">
        <v>2.9812282428444097</v>
      </c>
      <c r="I144" s="141">
        <v>2.956189100918341</v>
      </c>
      <c r="J144" s="141">
        <v>2.8059839165916953</v>
      </c>
      <c r="K144" s="141">
        <v>2.6807882069613491</v>
      </c>
      <c r="L144" s="141">
        <v>2.6682686359983143</v>
      </c>
      <c r="M144" s="141">
        <v>2.6559277512788806</v>
      </c>
      <c r="N144" s="141">
        <v>2.6268579813211534</v>
      </c>
      <c r="O144" s="141">
        <v>2.5365462793713642</v>
      </c>
      <c r="P144" s="141">
        <v>2.4926216904300658</v>
      </c>
      <c r="Q144" s="141">
        <v>2.6024043716049308</v>
      </c>
      <c r="R144" s="141">
        <v>2.48546062455158</v>
      </c>
      <c r="S144" s="141">
        <v>2.4620718751409099</v>
      </c>
      <c r="T144" s="141">
        <v>2.4433608756123739</v>
      </c>
      <c r="U144" s="141">
        <v>2.428392075989545</v>
      </c>
      <c r="V144" s="141">
        <v>2.416417036291282</v>
      </c>
      <c r="W144" s="141">
        <v>2.4068370045326715</v>
      </c>
      <c r="DA144" s="174" t="s">
        <v>885</v>
      </c>
    </row>
    <row r="145" spans="1:105" ht="11.45" customHeight="1" x14ac:dyDescent="0.25">
      <c r="A145" s="109" t="s">
        <v>20</v>
      </c>
      <c r="B145" s="130">
        <v>6.6746275673549604</v>
      </c>
      <c r="C145" s="130">
        <v>6.6331030648983482</v>
      </c>
      <c r="D145" s="130">
        <v>6.5569201670676094</v>
      </c>
      <c r="E145" s="130">
        <v>6.4961268787522597</v>
      </c>
      <c r="F145" s="130">
        <v>6.4170863945488712</v>
      </c>
      <c r="G145" s="130">
        <v>6.3787725199018377</v>
      </c>
      <c r="H145" s="130">
        <v>6.2627082991890619</v>
      </c>
      <c r="I145" s="130">
        <v>6.2651215223950425</v>
      </c>
      <c r="J145" s="130">
        <v>5.8609992905738233</v>
      </c>
      <c r="K145" s="130">
        <v>5.5936306953355643</v>
      </c>
      <c r="L145" s="130">
        <v>5.4542616286085916</v>
      </c>
      <c r="M145" s="130">
        <v>5.3293829072498955</v>
      </c>
      <c r="N145" s="130">
        <v>5.1955258463603951</v>
      </c>
      <c r="O145" s="130">
        <v>4.9070263388955464</v>
      </c>
      <c r="P145" s="130">
        <v>4.7743011460198037</v>
      </c>
      <c r="Q145" s="130">
        <v>4.6402941236441313</v>
      </c>
      <c r="R145" s="130">
        <v>4.5954419086647356</v>
      </c>
      <c r="S145" s="130">
        <v>4.6198958245900306</v>
      </c>
      <c r="T145" s="130">
        <v>4.6945251609262311</v>
      </c>
      <c r="U145" s="130">
        <v>4.7159689799357034</v>
      </c>
      <c r="V145" s="130">
        <v>4.2700221891766903</v>
      </c>
      <c r="W145" s="130">
        <v>3.997402357112362</v>
      </c>
      <c r="DA145" s="176" t="s">
        <v>886</v>
      </c>
    </row>
    <row r="146" spans="1:105" ht="11.45" customHeight="1" x14ac:dyDescent="0.25">
      <c r="A146" s="111" t="s">
        <v>110</v>
      </c>
      <c r="B146" s="96">
        <v>6.8390733768642171</v>
      </c>
      <c r="C146" s="96">
        <v>6.8390733768642171</v>
      </c>
      <c r="D146" s="96">
        <v>6.8390733768642145</v>
      </c>
      <c r="E146" s="96">
        <v>6.7973656835054932</v>
      </c>
      <c r="F146" s="96">
        <v>6.7556579901467755</v>
      </c>
      <c r="G146" s="96">
        <v>6.6306337434671976</v>
      </c>
      <c r="H146" s="96">
        <v>6.4638029700323179</v>
      </c>
      <c r="I146" s="96">
        <v>6.3803875833148807</v>
      </c>
      <c r="J146" s="96">
        <v>5.8799940964068265</v>
      </c>
      <c r="K146" s="96">
        <v>5.4629171628196262</v>
      </c>
      <c r="L146" s="96">
        <v>5.405124229653393</v>
      </c>
      <c r="M146" s="96">
        <v>5.3645247855326428</v>
      </c>
      <c r="N146" s="96">
        <v>5.2645004605727239</v>
      </c>
      <c r="O146" s="96">
        <v>4.9844272794562521</v>
      </c>
      <c r="P146" s="96">
        <v>4.8440232191025805</v>
      </c>
      <c r="Q146" s="96">
        <v>4.748575435081194</v>
      </c>
      <c r="R146" s="96">
        <v>4.7563642863998998</v>
      </c>
      <c r="S146" s="96">
        <v>4.7529525184217007</v>
      </c>
      <c r="T146" s="96">
        <v>4.7820194401001235</v>
      </c>
      <c r="U146" s="96">
        <v>4.8633436259631928</v>
      </c>
      <c r="V146" s="96">
        <v>4.5813626465967792</v>
      </c>
      <c r="W146" s="96">
        <v>4.377207572860506</v>
      </c>
      <c r="DA146" s="171" t="s">
        <v>887</v>
      </c>
    </row>
    <row r="147" spans="1:105" ht="11.45" customHeight="1" x14ac:dyDescent="0.25">
      <c r="A147" s="111" t="s">
        <v>111</v>
      </c>
      <c r="B147" s="96">
        <v>6.5531614978802351</v>
      </c>
      <c r="C147" s="96">
        <v>6.4765042053837032</v>
      </c>
      <c r="D147" s="96">
        <v>6.3923806858664953</v>
      </c>
      <c r="E147" s="96">
        <v>6.3503189261078941</v>
      </c>
      <c r="F147" s="96">
        <v>6.2661954065906906</v>
      </c>
      <c r="G147" s="96">
        <v>6.2661954065906906</v>
      </c>
      <c r="H147" s="96">
        <v>6.1820718870734863</v>
      </c>
      <c r="I147" s="96">
        <v>6.2241336468320894</v>
      </c>
      <c r="J147" s="96">
        <v>5.8456896753870051</v>
      </c>
      <c r="K147" s="96">
        <v>5.635380876593997</v>
      </c>
      <c r="L147" s="96">
        <v>5.4671338375596319</v>
      </c>
      <c r="M147" s="96">
        <v>5.3260171682356665</v>
      </c>
      <c r="N147" s="96">
        <v>5.1861726056064938</v>
      </c>
      <c r="O147" s="96">
        <v>4.8935549506534262</v>
      </c>
      <c r="P147" s="96">
        <v>4.7692140689180018</v>
      </c>
      <c r="Q147" s="96">
        <v>4.6239472766050573</v>
      </c>
      <c r="R147" s="96">
        <v>4.5265543756683408</v>
      </c>
      <c r="S147" s="96">
        <v>4.5712429152509992</v>
      </c>
      <c r="T147" s="96">
        <v>4.700671260923067</v>
      </c>
      <c r="U147" s="96">
        <v>4.6513377108625891</v>
      </c>
      <c r="V147" s="96">
        <v>4.3694700528131563</v>
      </c>
      <c r="W147" s="96">
        <v>4.2291993307205358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6.6027342287486741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6.7406255757385125</v>
      </c>
      <c r="K148" s="96">
        <v>6.295207063091504</v>
      </c>
      <c r="L148" s="96">
        <v>5.5736907716971293</v>
      </c>
      <c r="M148" s="96">
        <v>5.2311602162898101</v>
      </c>
      <c r="N148" s="96">
        <v>5.6988895620274995</v>
      </c>
      <c r="O148" s="96">
        <v>5.6318017444599828</v>
      </c>
      <c r="P148" s="96">
        <v>5.7187177366171822</v>
      </c>
      <c r="Q148" s="96">
        <v>5.8713145047347961</v>
      </c>
      <c r="R148" s="96">
        <v>5.1952188544984717</v>
      </c>
      <c r="S148" s="96">
        <v>5.501293183383436</v>
      </c>
      <c r="T148" s="96">
        <v>5.2037349277453604</v>
      </c>
      <c r="U148" s="96">
        <v>5.4857176022581751</v>
      </c>
      <c r="V148" s="96">
        <v>4.6796809526060397</v>
      </c>
      <c r="W148" s="96">
        <v>4.3728381386588122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7.2541156145994616</v>
      </c>
      <c r="J149" s="96">
        <v>6.6851984196133696</v>
      </c>
      <c r="K149" s="96">
        <v>6.211007117452338</v>
      </c>
      <c r="L149" s="96">
        <v>6.1635879872362347</v>
      </c>
      <c r="M149" s="96">
        <v>5.8369337622157751</v>
      </c>
      <c r="N149" s="96">
        <v>5.5493039341128094</v>
      </c>
      <c r="O149" s="96">
        <v>5.1496564829263525</v>
      </c>
      <c r="P149" s="96">
        <v>4.5859607795140231</v>
      </c>
      <c r="Q149" s="96">
        <v>4.6216704587823907</v>
      </c>
      <c r="R149" s="96">
        <v>5.0368417410071027</v>
      </c>
      <c r="S149" s="96">
        <v>5.1036104628164223</v>
      </c>
      <c r="T149" s="96">
        <v>4.9488399428547432</v>
      </c>
      <c r="U149" s="96">
        <v>4.855235275461764</v>
      </c>
      <c r="V149" s="96">
        <v>4.7270560269396968</v>
      </c>
      <c r="W149" s="96">
        <v>4.3962989990993719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2.6938818817013424</v>
      </c>
      <c r="O150" s="96">
        <v>2.90222501195636</v>
      </c>
      <c r="P150" s="96">
        <v>2.6511936955258588</v>
      </c>
      <c r="Q150" s="96">
        <v>3.166842625446507</v>
      </c>
      <c r="R150" s="96">
        <v>3.3352972242700787</v>
      </c>
      <c r="S150" s="96">
        <v>3.3342489997666309</v>
      </c>
      <c r="T150" s="96">
        <v>3.5236772793422269</v>
      </c>
      <c r="U150" s="96">
        <v>3.2268256312328534</v>
      </c>
      <c r="V150" s="96">
        <v>3.0345965420353851</v>
      </c>
      <c r="W150" s="96">
        <v>2.810706099769841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1.2408948463305245</v>
      </c>
      <c r="I151" s="96">
        <v>1.2284858978672195</v>
      </c>
      <c r="J151" s="96">
        <v>1.2162010388885471</v>
      </c>
      <c r="K151" s="96">
        <v>1.2040390284996614</v>
      </c>
      <c r="L151" s="96">
        <v>1.1919986382146648</v>
      </c>
      <c r="M151" s="96">
        <v>1.1919986382146648</v>
      </c>
      <c r="N151" s="96">
        <v>1.165877821262056</v>
      </c>
      <c r="O151" s="96">
        <v>1.3049389986534738</v>
      </c>
      <c r="P151" s="96">
        <v>1.3121416722292623</v>
      </c>
      <c r="Q151" s="96">
        <v>1.3686889656002195</v>
      </c>
      <c r="R151" s="96">
        <v>1.3691176319009692</v>
      </c>
      <c r="S151" s="96">
        <v>1.2289058164303319</v>
      </c>
      <c r="T151" s="96">
        <v>1.3271865978670896</v>
      </c>
      <c r="U151" s="96">
        <v>1.4628354113135305</v>
      </c>
      <c r="V151" s="96">
        <v>1.4587513603516551</v>
      </c>
      <c r="W151" s="96">
        <v>1.3947202320754728</v>
      </c>
      <c r="DA151" s="171" t="s">
        <v>892</v>
      </c>
    </row>
    <row r="152" spans="1:105" ht="11.45" customHeight="1" x14ac:dyDescent="0.25">
      <c r="A152" s="109" t="s">
        <v>21</v>
      </c>
      <c r="B152" s="130">
        <v>47.268010779786735</v>
      </c>
      <c r="C152" s="130">
        <v>46.681279154061009</v>
      </c>
      <c r="D152" s="130">
        <v>47.242252322676627</v>
      </c>
      <c r="E152" s="130">
        <v>46.929515526350791</v>
      </c>
      <c r="F152" s="130">
        <v>46.953798639853012</v>
      </c>
      <c r="G152" s="130">
        <v>46.906197178415553</v>
      </c>
      <c r="H152" s="130">
        <v>46.544923055253797</v>
      </c>
      <c r="I152" s="130">
        <v>46.354861728267544</v>
      </c>
      <c r="J152" s="130">
        <v>45.392962302150849</v>
      </c>
      <c r="K152" s="130">
        <v>44.803083073905221</v>
      </c>
      <c r="L152" s="130">
        <v>44.723092174594242</v>
      </c>
      <c r="M152" s="130">
        <v>42.230875284665039</v>
      </c>
      <c r="N152" s="130">
        <v>43.675145830842617</v>
      </c>
      <c r="O152" s="130">
        <v>42.92859242174633</v>
      </c>
      <c r="P152" s="130">
        <v>42.865474396688185</v>
      </c>
      <c r="Q152" s="130">
        <v>42.948509226324909</v>
      </c>
      <c r="R152" s="130">
        <v>42.662175104216843</v>
      </c>
      <c r="S152" s="130">
        <v>42.064914155902386</v>
      </c>
      <c r="T152" s="130">
        <v>41.479645547041599</v>
      </c>
      <c r="U152" s="130">
        <v>40.376768734898278</v>
      </c>
      <c r="V152" s="130">
        <v>39.635411903313013</v>
      </c>
      <c r="W152" s="130">
        <v>38.539681935853835</v>
      </c>
      <c r="DA152" s="176" t="s">
        <v>893</v>
      </c>
    </row>
    <row r="153" spans="1:105" ht="11.45" customHeight="1" x14ac:dyDescent="0.25">
      <c r="A153" s="111" t="s">
        <v>110</v>
      </c>
      <c r="B153" s="97">
        <v>14.826593640733188</v>
      </c>
      <c r="C153" s="97">
        <v>14.826593640733188</v>
      </c>
      <c r="D153" s="97">
        <v>14.826593640733188</v>
      </c>
      <c r="E153" s="97">
        <v>14.736174517111269</v>
      </c>
      <c r="F153" s="97">
        <v>14.645755393489351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11.453695013794086</v>
      </c>
      <c r="O153" s="97">
        <v>0</v>
      </c>
      <c r="P153" s="97">
        <v>0</v>
      </c>
      <c r="Q153" s="97">
        <v>0</v>
      </c>
      <c r="R153" s="97">
        <v>0</v>
      </c>
      <c r="S153" s="97">
        <v>10.724213423816582</v>
      </c>
      <c r="T153" s="97">
        <v>0</v>
      </c>
      <c r="U153" s="97">
        <v>10.228869683036823</v>
      </c>
      <c r="V153" s="97">
        <v>10.024715497151123</v>
      </c>
      <c r="W153" s="97">
        <v>9.8444628751179533</v>
      </c>
      <c r="DA153" s="175" t="s">
        <v>894</v>
      </c>
    </row>
    <row r="154" spans="1:105" ht="11.45" customHeight="1" x14ac:dyDescent="0.25">
      <c r="A154" s="111" t="s">
        <v>111</v>
      </c>
      <c r="B154" s="97">
        <v>47.457907618716774</v>
      </c>
      <c r="C154" s="97">
        <v>47.457907618716774</v>
      </c>
      <c r="D154" s="97">
        <v>47.457907618716774</v>
      </c>
      <c r="E154" s="97">
        <v>47.385220333251524</v>
      </c>
      <c r="F154" s="97">
        <v>47.312197002009569</v>
      </c>
      <c r="G154" s="97">
        <v>47.090219006202332</v>
      </c>
      <c r="H154" s="97">
        <v>46.788317354490658</v>
      </c>
      <c r="I154" s="97">
        <v>46.635891234156581</v>
      </c>
      <c r="J154" s="97">
        <v>45.664370131294348</v>
      </c>
      <c r="K154" s="97">
        <v>44.809110664793685</v>
      </c>
      <c r="L154" s="97">
        <v>44.723092174594242</v>
      </c>
      <c r="M154" s="97">
        <v>44.637816363065639</v>
      </c>
      <c r="N154" s="97">
        <v>44.434194620787302</v>
      </c>
      <c r="O154" s="97">
        <v>43.773374738741964</v>
      </c>
      <c r="P154" s="97">
        <v>43.444735076831392</v>
      </c>
      <c r="Q154" s="97">
        <v>43.199999999908329</v>
      </c>
      <c r="R154" s="97">
        <v>42.980917401532565</v>
      </c>
      <c r="S154" s="97">
        <v>42.784693168087045</v>
      </c>
      <c r="T154" s="97">
        <v>42.608857416396219</v>
      </c>
      <c r="U154" s="97">
        <v>42.451223187426493</v>
      </c>
      <c r="V154" s="97">
        <v>42.309851060133262</v>
      </c>
      <c r="W154" s="97">
        <v>42.183018725150681</v>
      </c>
      <c r="DA154" s="175" t="s">
        <v>895</v>
      </c>
    </row>
    <row r="155" spans="1:105" ht="11.45" customHeight="1" x14ac:dyDescent="0.25">
      <c r="A155" s="111" t="s">
        <v>112</v>
      </c>
      <c r="B155" s="97">
        <v>38.955032503696685</v>
      </c>
      <c r="C155" s="97">
        <v>38.955032503696685</v>
      </c>
      <c r="D155" s="97">
        <v>39.548256348930643</v>
      </c>
      <c r="E155" s="97">
        <v>39.092806774932512</v>
      </c>
      <c r="F155" s="97">
        <v>38.835428372482852</v>
      </c>
      <c r="G155" s="97">
        <v>38.653221434257745</v>
      </c>
      <c r="H155" s="97">
        <v>38.405410495144416</v>
      </c>
      <c r="I155" s="97">
        <v>38.280294054703532</v>
      </c>
      <c r="J155" s="97">
        <v>0</v>
      </c>
      <c r="K155" s="97">
        <v>37.340925553994737</v>
      </c>
      <c r="L155" s="97">
        <v>0</v>
      </c>
      <c r="M155" s="97">
        <v>0</v>
      </c>
      <c r="N155" s="97">
        <v>36.473068084562911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39.548256348930643</v>
      </c>
      <c r="D156" s="97">
        <v>39.548256348930643</v>
      </c>
      <c r="E156" s="97">
        <v>39.487683611042939</v>
      </c>
      <c r="F156" s="97">
        <v>39.426830835007969</v>
      </c>
      <c r="G156" s="97">
        <v>39.241849171835277</v>
      </c>
      <c r="H156" s="97">
        <v>38.990264462075551</v>
      </c>
      <c r="I156" s="97">
        <v>38.863242695130488</v>
      </c>
      <c r="J156" s="97">
        <v>38.053641776078621</v>
      </c>
      <c r="K156" s="97">
        <v>37.340925553994737</v>
      </c>
      <c r="L156" s="97">
        <v>0</v>
      </c>
      <c r="M156" s="97">
        <v>37.198180302554697</v>
      </c>
      <c r="N156" s="97">
        <v>37.028495517322753</v>
      </c>
      <c r="O156" s="97">
        <v>36.477812282284965</v>
      </c>
      <c r="P156" s="97">
        <v>36.203945897359496</v>
      </c>
      <c r="Q156" s="97">
        <v>35.99999999992361</v>
      </c>
      <c r="R156" s="97">
        <v>35.817431167943809</v>
      </c>
      <c r="S156" s="97">
        <v>35.653910973405878</v>
      </c>
      <c r="T156" s="97">
        <v>35.507381180330185</v>
      </c>
      <c r="U156" s="97">
        <v>35.376019322855406</v>
      </c>
      <c r="V156" s="97">
        <v>35.258209216777708</v>
      </c>
      <c r="W156" s="97">
        <v>35.152515604292219</v>
      </c>
      <c r="DA156" s="175" t="s">
        <v>897</v>
      </c>
    </row>
    <row r="157" spans="1:105" ht="11.45" customHeight="1" x14ac:dyDescent="0.25">
      <c r="A157" s="111" t="s">
        <v>115</v>
      </c>
      <c r="B157" s="97">
        <v>25.823892339529273</v>
      </c>
      <c r="C157" s="97">
        <v>25.591360672612797</v>
      </c>
      <c r="D157" s="97">
        <v>25.335447065886669</v>
      </c>
      <c r="E157" s="97">
        <v>25.082092595227802</v>
      </c>
      <c r="F157" s="97">
        <v>24.831271669275523</v>
      </c>
      <c r="G157" s="97">
        <v>24.582958952582768</v>
      </c>
      <c r="H157" s="97">
        <v>24.337129363056938</v>
      </c>
      <c r="I157" s="97">
        <v>24.093758069426368</v>
      </c>
      <c r="J157" s="97">
        <v>23.852820488732103</v>
      </c>
      <c r="K157" s="97">
        <v>0</v>
      </c>
      <c r="L157" s="97">
        <v>0</v>
      </c>
      <c r="M157" s="97">
        <v>0</v>
      </c>
      <c r="N157" s="97">
        <v>22.912924188722311</v>
      </c>
      <c r="O157" s="97">
        <v>22.683794946835089</v>
      </c>
      <c r="P157" s="97">
        <v>22.456956997366738</v>
      </c>
      <c r="Q157" s="97">
        <v>22.232387427393071</v>
      </c>
      <c r="R157" s="97">
        <v>22.032195526030812</v>
      </c>
      <c r="S157" s="97">
        <v>21.853564528320074</v>
      </c>
      <c r="T157" s="97">
        <v>21.694035254701717</v>
      </c>
      <c r="U157" s="97">
        <v>21.551454842270012</v>
      </c>
      <c r="V157" s="97">
        <v>21.423933855349674</v>
      </c>
      <c r="W157" s="97">
        <v>21.309810232912671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8.7378280840760176</v>
      </c>
      <c r="C159" s="141">
        <v>8.657944102489461</v>
      </c>
      <c r="D159" s="141">
        <v>8.576673201219398</v>
      </c>
      <c r="E159" s="141">
        <v>8.5121566284992802</v>
      </c>
      <c r="F159" s="141">
        <v>8.4147542816129945</v>
      </c>
      <c r="G159" s="141">
        <v>8.3670739965204657</v>
      </c>
      <c r="H159" s="141">
        <v>8.2651326494341451</v>
      </c>
      <c r="I159" s="141">
        <v>8.2207468348507113</v>
      </c>
      <c r="J159" s="141">
        <v>7.9666695800753997</v>
      </c>
      <c r="K159" s="141">
        <v>7.785782149282312</v>
      </c>
      <c r="L159" s="141">
        <v>8.1729340424902261</v>
      </c>
      <c r="M159" s="141">
        <v>8.0348411885671887</v>
      </c>
      <c r="N159" s="141">
        <v>7.3316432628137553</v>
      </c>
      <c r="O159" s="141">
        <v>6.5315449796035949</v>
      </c>
      <c r="P159" s="141">
        <v>6.4245549060331655</v>
      </c>
      <c r="Q159" s="141">
        <v>6.4506919842534742</v>
      </c>
      <c r="R159" s="141">
        <v>6.4789336176944516</v>
      </c>
      <c r="S159" s="141">
        <v>6.1395536947741469</v>
      </c>
      <c r="T159" s="141">
        <v>5.9838608972104756</v>
      </c>
      <c r="U159" s="141">
        <v>5.9478729464378306</v>
      </c>
      <c r="V159" s="141">
        <v>6.1527519534284059</v>
      </c>
      <c r="W159" s="141">
        <v>6.188255139210372</v>
      </c>
      <c r="DA159" s="174" t="s">
        <v>899</v>
      </c>
    </row>
    <row r="160" spans="1:105" ht="11.45" customHeight="1" x14ac:dyDescent="0.25">
      <c r="A160" s="111" t="s">
        <v>110</v>
      </c>
      <c r="B160" s="96">
        <v>8.9600616315927226</v>
      </c>
      <c r="C160" s="96">
        <v>8.9600616315927226</v>
      </c>
      <c r="D160" s="96">
        <v>8.9600616315927226</v>
      </c>
      <c r="E160" s="96">
        <v>8.9054192140585116</v>
      </c>
      <c r="F160" s="96">
        <v>8.850776796524304</v>
      </c>
      <c r="G160" s="96">
        <v>8.6869790283234156</v>
      </c>
      <c r="H160" s="96">
        <v>8.4684093581865856</v>
      </c>
      <c r="I160" s="96">
        <v>8.3591245231181706</v>
      </c>
      <c r="J160" s="96">
        <v>7.7035449971094137</v>
      </c>
      <c r="K160" s="96">
        <v>7.1571208217673359</v>
      </c>
      <c r="L160" s="96">
        <v>7.1024784042331266</v>
      </c>
      <c r="M160" s="96">
        <v>7.0486158735144731</v>
      </c>
      <c r="N160" s="96">
        <v>6.9217391209209893</v>
      </c>
      <c r="O160" s="96">
        <v>5.7891012472600556</v>
      </c>
      <c r="P160" s="96">
        <v>5.7292164908954861</v>
      </c>
      <c r="Q160" s="96">
        <v>5.8422761188732322</v>
      </c>
      <c r="R160" s="96">
        <v>5.9784946300309496</v>
      </c>
      <c r="S160" s="96">
        <v>6.0725118636062678</v>
      </c>
      <c r="T160" s="96">
        <v>6.1326147755921783</v>
      </c>
      <c r="U160" s="96">
        <v>6.0542464559819988</v>
      </c>
      <c r="V160" s="96">
        <v>5.6031214901461599</v>
      </c>
      <c r="W160" s="96">
        <v>5.5565994403023673</v>
      </c>
      <c r="DA160" s="171" t="s">
        <v>900</v>
      </c>
    </row>
    <row r="161" spans="1:105" ht="11.45" customHeight="1" x14ac:dyDescent="0.25">
      <c r="A161" s="111" t="s">
        <v>111</v>
      </c>
      <c r="B161" s="96">
        <v>8.5283321255627147</v>
      </c>
      <c r="C161" s="96">
        <v>8.4285697665138333</v>
      </c>
      <c r="D161" s="96">
        <v>8.3190908052146124</v>
      </c>
      <c r="E161" s="96">
        <v>8.2643513245650055</v>
      </c>
      <c r="F161" s="96">
        <v>8.1548723632657847</v>
      </c>
      <c r="G161" s="96">
        <v>8.1548723632657847</v>
      </c>
      <c r="H161" s="96">
        <v>8.0453934019665656</v>
      </c>
      <c r="I161" s="96">
        <v>8.1001328826161743</v>
      </c>
      <c r="J161" s="96">
        <v>7.6076231404948107</v>
      </c>
      <c r="K161" s="96">
        <v>7.3339257372467577</v>
      </c>
      <c r="L161" s="96">
        <v>7.1149678146483142</v>
      </c>
      <c r="M161" s="96">
        <v>6.9313175528872906</v>
      </c>
      <c r="N161" s="96">
        <v>6.7493228200485795</v>
      </c>
      <c r="O161" s="96">
        <v>6.0951620653085117</v>
      </c>
      <c r="P161" s="96">
        <v>6.0256616916125196</v>
      </c>
      <c r="Q161" s="96">
        <v>6.1709571488371875</v>
      </c>
      <c r="R161" s="96">
        <v>6.3994456118409149</v>
      </c>
      <c r="S161" s="96">
        <v>6.0766276035861226</v>
      </c>
      <c r="T161" s="96">
        <v>6.1196483888585842</v>
      </c>
      <c r="U161" s="96">
        <v>6.0336759779722158</v>
      </c>
      <c r="V161" s="96">
        <v>6.293276662583601</v>
      </c>
      <c r="W161" s="96">
        <v>6.3019489097408643</v>
      </c>
      <c r="DA161" s="171" t="s">
        <v>901</v>
      </c>
    </row>
    <row r="162" spans="1:105" ht="11.45" customHeight="1" x14ac:dyDescent="0.25">
      <c r="A162" s="111" t="s">
        <v>112</v>
      </c>
      <c r="B162" s="96">
        <v>9.7978863578511248</v>
      </c>
      <c r="C162" s="96">
        <v>9.6832730615628311</v>
      </c>
      <c r="D162" s="96">
        <v>9.5574967191792837</v>
      </c>
      <c r="E162" s="96">
        <v>9.4946085479875144</v>
      </c>
      <c r="F162" s="96">
        <v>9.368832205603967</v>
      </c>
      <c r="G162" s="96">
        <v>9.368832205603967</v>
      </c>
      <c r="H162" s="96">
        <v>9.2430558632204249</v>
      </c>
      <c r="I162" s="96">
        <v>9.3059440344121995</v>
      </c>
      <c r="J162" s="96">
        <v>8.7401177494606976</v>
      </c>
      <c r="K162" s="96">
        <v>8.4256768935018407</v>
      </c>
      <c r="L162" s="96">
        <v>0</v>
      </c>
      <c r="M162" s="96">
        <v>0</v>
      </c>
      <c r="N162" s="96">
        <v>8.3577351238110626</v>
      </c>
      <c r="O162" s="96">
        <v>7.8047069842112675</v>
      </c>
      <c r="P162" s="96">
        <v>6.743827651626833</v>
      </c>
      <c r="Q162" s="96">
        <v>6.8559911052921558</v>
      </c>
      <c r="R162" s="96">
        <v>5.9516732601155846</v>
      </c>
      <c r="S162" s="96">
        <v>5.7694076479094552</v>
      </c>
      <c r="T162" s="96">
        <v>6.2962523317123837</v>
      </c>
      <c r="U162" s="96">
        <v>6.2171851855889386</v>
      </c>
      <c r="V162" s="96">
        <v>6.1471590510784999</v>
      </c>
      <c r="W162" s="96">
        <v>7.1242957553237147</v>
      </c>
      <c r="DA162" s="171" t="s">
        <v>902</v>
      </c>
    </row>
    <row r="163" spans="1:105" ht="11.45" customHeight="1" x14ac:dyDescent="0.25">
      <c r="A163" s="111" t="s">
        <v>113</v>
      </c>
      <c r="B163" s="96">
        <v>9.9984331228947418</v>
      </c>
      <c r="C163" s="96">
        <v>0</v>
      </c>
      <c r="D163" s="96">
        <v>9.9984331228947418</v>
      </c>
      <c r="E163" s="96">
        <v>9.9374582568890553</v>
      </c>
      <c r="F163" s="96">
        <v>9.8764833908833651</v>
      </c>
      <c r="G163" s="96">
        <v>9.6937032830701071</v>
      </c>
      <c r="H163" s="96">
        <v>9.4498038190473537</v>
      </c>
      <c r="I163" s="96">
        <v>9.3278540870359787</v>
      </c>
      <c r="J163" s="96">
        <v>8.5963001851715291</v>
      </c>
      <c r="K163" s="96">
        <v>7.9865515251146535</v>
      </c>
      <c r="L163" s="96">
        <v>7.9255766591089669</v>
      </c>
      <c r="M163" s="96">
        <v>7.5055415907716405</v>
      </c>
      <c r="N163" s="96">
        <v>7.1356868475934077</v>
      </c>
      <c r="O163" s="96">
        <v>6.4632869932804216</v>
      </c>
      <c r="P163" s="96">
        <v>6.3321874488785905</v>
      </c>
      <c r="Q163" s="96">
        <v>6.5783851943885185</v>
      </c>
      <c r="R163" s="96">
        <v>7.7538527927987673</v>
      </c>
      <c r="S163" s="96">
        <v>8.1990602320430614</v>
      </c>
      <c r="T163" s="96">
        <v>7.8487276361034919</v>
      </c>
      <c r="U163" s="96">
        <v>7.9588170713073927</v>
      </c>
      <c r="V163" s="96">
        <v>7.0121425389915402</v>
      </c>
      <c r="W163" s="96">
        <v>9.1523976774804616</v>
      </c>
      <c r="DA163" s="171" t="s">
        <v>903</v>
      </c>
    </row>
    <row r="164" spans="1:105" ht="11.45" customHeight="1" x14ac:dyDescent="0.25">
      <c r="A164" s="111" t="s">
        <v>115</v>
      </c>
      <c r="B164" s="96">
        <v>1.497659392543268</v>
      </c>
      <c r="C164" s="96">
        <v>1.4841736937011876</v>
      </c>
      <c r="D164" s="96">
        <v>1.4693319567641756</v>
      </c>
      <c r="E164" s="96">
        <v>1.4546386371965336</v>
      </c>
      <c r="F164" s="96">
        <v>1.4400922508245682</v>
      </c>
      <c r="G164" s="96">
        <v>1.4256913283163226</v>
      </c>
      <c r="H164" s="96">
        <v>1.4114344150331595</v>
      </c>
      <c r="I164" s="96">
        <v>1.3973200708828279</v>
      </c>
      <c r="J164" s="96">
        <v>1.3833468701739995</v>
      </c>
      <c r="K164" s="96">
        <v>1.3695134014722594</v>
      </c>
      <c r="L164" s="96">
        <v>1.3558182674575368</v>
      </c>
      <c r="M164" s="96">
        <v>1.3422600847829613</v>
      </c>
      <c r="N164" s="96">
        <v>1.3288374839351316</v>
      </c>
      <c r="O164" s="96">
        <v>1.3324494794820432</v>
      </c>
      <c r="P164" s="96">
        <v>1.3061879031174766</v>
      </c>
      <c r="Q164" s="96">
        <v>1.4014975114698334</v>
      </c>
      <c r="R164" s="96">
        <v>1.3726082317231094</v>
      </c>
      <c r="S164" s="96">
        <v>1.4216992346921091</v>
      </c>
      <c r="T164" s="96">
        <v>1.459760645190344</v>
      </c>
      <c r="U164" s="96">
        <v>1.582883726628822</v>
      </c>
      <c r="V164" s="96">
        <v>1.8109753942920412</v>
      </c>
      <c r="W164" s="96">
        <v>2.0085634644907517</v>
      </c>
      <c r="DA164" s="171" t="s">
        <v>904</v>
      </c>
    </row>
    <row r="165" spans="1:105" ht="11.45" customHeight="1" x14ac:dyDescent="0.25">
      <c r="A165" s="109" t="s">
        <v>158</v>
      </c>
      <c r="B165" s="130">
        <v>33.033758751759777</v>
      </c>
      <c r="C165" s="130">
        <v>32.866679015992162</v>
      </c>
      <c r="D165" s="130">
        <v>32.663846377798009</v>
      </c>
      <c r="E165" s="130">
        <v>32.398055967807238</v>
      </c>
      <c r="F165" s="130">
        <v>32.234273686403718</v>
      </c>
      <c r="G165" s="130">
        <v>31.734010420983751</v>
      </c>
      <c r="H165" s="130">
        <v>31.330502626181737</v>
      </c>
      <c r="I165" s="130">
        <v>30.871726188354813</v>
      </c>
      <c r="J165" s="130">
        <v>30.269510051862945</v>
      </c>
      <c r="K165" s="130">
        <v>29.494405701917085</v>
      </c>
      <c r="L165" s="130">
        <v>29.344907312117005</v>
      </c>
      <c r="M165" s="130">
        <v>28.398441973689792</v>
      </c>
      <c r="N165" s="130">
        <v>27.81072744789547</v>
      </c>
      <c r="O165" s="130">
        <v>27.316847005693219</v>
      </c>
      <c r="P165" s="130">
        <v>26.483461139917683</v>
      </c>
      <c r="Q165" s="130">
        <v>25.708032469826946</v>
      </c>
      <c r="R165" s="130">
        <v>24.553088807313081</v>
      </c>
      <c r="S165" s="130">
        <v>23.741083142666135</v>
      </c>
      <c r="T165" s="130">
        <v>22.477440091231429</v>
      </c>
      <c r="U165" s="130">
        <v>21.667970000819661</v>
      </c>
      <c r="V165" s="130">
        <v>20.708126382065089</v>
      </c>
      <c r="W165" s="130">
        <v>21.132647378383012</v>
      </c>
      <c r="DA165" s="176" t="s">
        <v>905</v>
      </c>
    </row>
    <row r="166" spans="1:105" ht="11.45" customHeight="1" x14ac:dyDescent="0.25">
      <c r="A166" s="128" t="s">
        <v>27</v>
      </c>
      <c r="B166" s="97">
        <v>32.963917597420973</v>
      </c>
      <c r="C166" s="97">
        <v>32.76185567003786</v>
      </c>
      <c r="D166" s="97">
        <v>32.538794763097926</v>
      </c>
      <c r="E166" s="97">
        <v>32.261042414347749</v>
      </c>
      <c r="F166" s="97">
        <v>31.929304397736836</v>
      </c>
      <c r="G166" s="97">
        <v>31.544417715942842</v>
      </c>
      <c r="H166" s="97">
        <v>31.107345380845981</v>
      </c>
      <c r="I166" s="97">
        <v>30.619170481803856</v>
      </c>
      <c r="J166" s="97">
        <v>30.081089608695375</v>
      </c>
      <c r="K166" s="97">
        <v>29.494405701917085</v>
      </c>
      <c r="L166" s="97">
        <v>28.86052040808379</v>
      </c>
      <c r="M166" s="97">
        <v>28.180926021411892</v>
      </c>
      <c r="N166" s="97">
        <v>27.457197093862217</v>
      </c>
      <c r="O166" s="97">
        <v>26.690981798091372</v>
      </c>
      <c r="P166" s="97">
        <v>25.883993125283354</v>
      </c>
      <c r="Q166" s="97">
        <v>25.037999999946866</v>
      </c>
      <c r="R166" s="97">
        <v>23.713766490591404</v>
      </c>
      <c r="S166" s="97">
        <v>22.786803034042581</v>
      </c>
      <c r="T166" s="97">
        <v>21.813491404666316</v>
      </c>
      <c r="U166" s="97">
        <v>20.623888302095327</v>
      </c>
      <c r="V166" s="97">
        <v>19.876316780666436</v>
      </c>
      <c r="W166" s="97">
        <v>19.512754956248763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99.089005257937714</v>
      </c>
      <c r="C171" s="152">
        <v>98.550858512839866</v>
      </c>
      <c r="D171" s="152">
        <v>98.039369076384475</v>
      </c>
      <c r="E171" s="152">
        <v>97.429572578487011</v>
      </c>
      <c r="F171" s="152">
        <v>96.720850681431756</v>
      </c>
      <c r="G171" s="152">
        <v>95.88876438659284</v>
      </c>
      <c r="H171" s="152">
        <v>94.933347333216048</v>
      </c>
      <c r="I171" s="152">
        <v>94.157700259574469</v>
      </c>
      <c r="J171" s="152">
        <v>93.271034377590368</v>
      </c>
      <c r="K171" s="152">
        <v>92.212853261641186</v>
      </c>
      <c r="L171" s="152">
        <v>91.28579816114086</v>
      </c>
      <c r="M171" s="152">
        <v>90.090912136997972</v>
      </c>
      <c r="N171" s="152">
        <v>88.91502981678876</v>
      </c>
      <c r="O171" s="152">
        <v>87.787990358825155</v>
      </c>
      <c r="P171" s="152">
        <v>87.162615873776659</v>
      </c>
      <c r="Q171" s="152">
        <v>86.183489572140658</v>
      </c>
      <c r="R171" s="152">
        <v>85.406757824515992</v>
      </c>
      <c r="S171" s="152">
        <v>84.113526505051126</v>
      </c>
      <c r="T171" s="152">
        <v>83.399304599308451</v>
      </c>
      <c r="U171" s="152">
        <v>82.393933838873465</v>
      </c>
      <c r="V171" s="152">
        <v>81.419924977251569</v>
      </c>
      <c r="W171" s="152">
        <v>74.37488419078737</v>
      </c>
      <c r="DA171" s="174" t="s">
        <v>908</v>
      </c>
    </row>
    <row r="172" spans="1:105" ht="11.45" customHeight="1" x14ac:dyDescent="0.25">
      <c r="A172" s="109" t="s">
        <v>20</v>
      </c>
      <c r="B172" s="116">
        <v>233.44484631794151</v>
      </c>
      <c r="C172" s="116">
        <v>228.4793049713445</v>
      </c>
      <c r="D172" s="116">
        <v>227.05400323779475</v>
      </c>
      <c r="E172" s="116">
        <v>225.20216314614206</v>
      </c>
      <c r="F172" s="116">
        <v>222.9010687257533</v>
      </c>
      <c r="G172" s="116">
        <v>220.31259513918005</v>
      </c>
      <c r="H172" s="116">
        <v>217.92444592595493</v>
      </c>
      <c r="I172" s="116">
        <v>215.57593863793423</v>
      </c>
      <c r="J172" s="116">
        <v>212.91098563706626</v>
      </c>
      <c r="K172" s="116">
        <v>208.69132623559901</v>
      </c>
      <c r="L172" s="116">
        <v>204.63028009548734</v>
      </c>
      <c r="M172" s="116">
        <v>201.93038299330507</v>
      </c>
      <c r="N172" s="116">
        <v>198.11262459127661</v>
      </c>
      <c r="O172" s="116">
        <v>194.1348150922181</v>
      </c>
      <c r="P172" s="116">
        <v>190.33473720566175</v>
      </c>
      <c r="Q172" s="116">
        <v>185.70920336200552</v>
      </c>
      <c r="R172" s="116">
        <v>181.02174589358705</v>
      </c>
      <c r="S172" s="116">
        <v>176.63857916492901</v>
      </c>
      <c r="T172" s="116">
        <v>171.75556188706724</v>
      </c>
      <c r="U172" s="116">
        <v>167.39370627941693</v>
      </c>
      <c r="V172" s="116">
        <v>159.51487350520739</v>
      </c>
      <c r="W172" s="116">
        <v>151.88390019177777</v>
      </c>
      <c r="DA172" s="176" t="s">
        <v>909</v>
      </c>
    </row>
    <row r="173" spans="1:105" ht="11.45" customHeight="1" x14ac:dyDescent="0.25">
      <c r="A173" s="111" t="s">
        <v>110</v>
      </c>
      <c r="B173" s="87">
        <v>229.48677638120114</v>
      </c>
      <c r="C173" s="87">
        <v>224.82480432003931</v>
      </c>
      <c r="D173" s="87">
        <v>222.96826613646687</v>
      </c>
      <c r="E173" s="87">
        <v>221.30170937510641</v>
      </c>
      <c r="F173" s="87">
        <v>219.60230879234027</v>
      </c>
      <c r="G173" s="87">
        <v>217.61287508033448</v>
      </c>
      <c r="H173" s="87">
        <v>215.51614023129991</v>
      </c>
      <c r="I173" s="87">
        <v>213.373518948277</v>
      </c>
      <c r="J173" s="87">
        <v>211.15953679920185</v>
      </c>
      <c r="K173" s="87">
        <v>207.14593201447181</v>
      </c>
      <c r="L173" s="87">
        <v>203.29577776266331</v>
      </c>
      <c r="M173" s="87">
        <v>199.01777721735635</v>
      </c>
      <c r="N173" s="87">
        <v>195.06596553310848</v>
      </c>
      <c r="O173" s="87">
        <v>191.20413022430003</v>
      </c>
      <c r="P173" s="87">
        <v>186.51021400035515</v>
      </c>
      <c r="Q173" s="87">
        <v>181.12728382887209</v>
      </c>
      <c r="R173" s="87">
        <v>175.49062984946534</v>
      </c>
      <c r="S173" s="87">
        <v>169.99950947312379</v>
      </c>
      <c r="T173" s="87">
        <v>164.5275832136038</v>
      </c>
      <c r="U173" s="87">
        <v>160.09484136146003</v>
      </c>
      <c r="V173" s="87">
        <v>156.45773951691254</v>
      </c>
      <c r="W173" s="87">
        <v>152.60750979013784</v>
      </c>
      <c r="DA173" s="171" t="s">
        <v>910</v>
      </c>
    </row>
    <row r="174" spans="1:105" ht="11.45" customHeight="1" x14ac:dyDescent="0.25">
      <c r="A174" s="111" t="s">
        <v>111</v>
      </c>
      <c r="B174" s="87">
        <v>232.37319392578115</v>
      </c>
      <c r="C174" s="87">
        <v>224.2310645415422</v>
      </c>
      <c r="D174" s="87">
        <v>220.28474011684995</v>
      </c>
      <c r="E174" s="87">
        <v>216.90935401953203</v>
      </c>
      <c r="F174" s="87">
        <v>213.62702434936216</v>
      </c>
      <c r="G174" s="87">
        <v>210.69235969836265</v>
      </c>
      <c r="H174" s="87">
        <v>207.94239392217241</v>
      </c>
      <c r="I174" s="87">
        <v>205.50758619876757</v>
      </c>
      <c r="J174" s="87">
        <v>202.67094964240476</v>
      </c>
      <c r="K174" s="87">
        <v>199.57283440910211</v>
      </c>
      <c r="L174" s="87">
        <v>196.11107854577313</v>
      </c>
      <c r="M174" s="87">
        <v>193.10680232688023</v>
      </c>
      <c r="N174" s="87">
        <v>189.88873674305248</v>
      </c>
      <c r="O174" s="87">
        <v>186.84680488793151</v>
      </c>
      <c r="P174" s="87">
        <v>183.7241644483002</v>
      </c>
      <c r="Q174" s="87">
        <v>180.35359670820407</v>
      </c>
      <c r="R174" s="87">
        <v>176.90380529088776</v>
      </c>
      <c r="S174" s="87">
        <v>173.78090726142582</v>
      </c>
      <c r="T174" s="87">
        <v>171.0568381056033</v>
      </c>
      <c r="U174" s="87">
        <v>168.5907389426329</v>
      </c>
      <c r="V174" s="87">
        <v>166.44104064475786</v>
      </c>
      <c r="W174" s="87">
        <v>164.56031249784081</v>
      </c>
      <c r="DA174" s="171" t="s">
        <v>911</v>
      </c>
    </row>
    <row r="175" spans="1:105" ht="11.45" customHeight="1" x14ac:dyDescent="0.25">
      <c r="A175" s="111" t="s">
        <v>112</v>
      </c>
      <c r="B175" s="87">
        <v>194.0390498157702</v>
      </c>
      <c r="C175" s="87">
        <v>192.15676870027622</v>
      </c>
      <c r="D175" s="87">
        <v>192.01546093493525</v>
      </c>
      <c r="E175" s="87">
        <v>191.8040268094035</v>
      </c>
      <c r="F175" s="87">
        <v>191.63854106432879</v>
      </c>
      <c r="G175" s="87">
        <v>191.37475092536474</v>
      </c>
      <c r="H175" s="87">
        <v>191.071051091539</v>
      </c>
      <c r="I175" s="87">
        <v>190.67687117886976</v>
      </c>
      <c r="J175" s="87">
        <v>188.5564408404901</v>
      </c>
      <c r="K175" s="87">
        <v>185.1078588384209</v>
      </c>
      <c r="L175" s="87">
        <v>166.36801432643108</v>
      </c>
      <c r="M175" s="87">
        <v>166.72564839209065</v>
      </c>
      <c r="N175" s="87">
        <v>165.06512826240089</v>
      </c>
      <c r="O175" s="87">
        <v>162.36147235590292</v>
      </c>
      <c r="P175" s="87">
        <v>161.31598306952841</v>
      </c>
      <c r="Q175" s="87">
        <v>161.15983154467881</v>
      </c>
      <c r="R175" s="87">
        <v>160.34846939371303</v>
      </c>
      <c r="S175" s="87">
        <v>159.60108283017419</v>
      </c>
      <c r="T175" s="87">
        <v>159.25992835970587</v>
      </c>
      <c r="U175" s="87">
        <v>158.97625507687377</v>
      </c>
      <c r="V175" s="87">
        <v>152.51635307976011</v>
      </c>
      <c r="W175" s="87">
        <v>137.42484457555651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170.38429034170022</v>
      </c>
      <c r="J176" s="87">
        <v>163.4204329121948</v>
      </c>
      <c r="K176" s="87">
        <v>157.71834378789984</v>
      </c>
      <c r="L176" s="87">
        <v>155.77371638506162</v>
      </c>
      <c r="M176" s="87">
        <v>153.35813716450363</v>
      </c>
      <c r="N176" s="87">
        <v>150.72734520261784</v>
      </c>
      <c r="O176" s="87">
        <v>148.27411156835737</v>
      </c>
      <c r="P176" s="87">
        <v>145.34962090795321</v>
      </c>
      <c r="Q176" s="87">
        <v>140.60607940638926</v>
      </c>
      <c r="R176" s="87">
        <v>121.73700785276223</v>
      </c>
      <c r="S176" s="87">
        <v>119.89915680790588</v>
      </c>
      <c r="T176" s="87">
        <v>117.85327089305366</v>
      </c>
      <c r="U176" s="87">
        <v>116.57864249588404</v>
      </c>
      <c r="V176" s="87">
        <v>115.632727349276</v>
      </c>
      <c r="W176" s="87">
        <v>113.52789883436067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57.992150918950657</v>
      </c>
      <c r="O177" s="87">
        <v>60.622477830867666</v>
      </c>
      <c r="P177" s="87">
        <v>56.706856658557101</v>
      </c>
      <c r="Q177" s="87">
        <v>58.322304150892343</v>
      </c>
      <c r="R177" s="87">
        <v>60.430074705417425</v>
      </c>
      <c r="S177" s="87">
        <v>61.899366231566148</v>
      </c>
      <c r="T177" s="87">
        <v>63.394083753746507</v>
      </c>
      <c r="U177" s="87">
        <v>61.268529899260891</v>
      </c>
      <c r="V177" s="87">
        <v>51.161313651579825</v>
      </c>
      <c r="W177" s="87">
        <v>44.307647998487191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1595.1930767039062</v>
      </c>
      <c r="C179" s="116">
        <v>1552.6658892494213</v>
      </c>
      <c r="D179" s="116">
        <v>1566.1233128235649</v>
      </c>
      <c r="E179" s="116">
        <v>1548.4260360772967</v>
      </c>
      <c r="F179" s="116">
        <v>1545.472148663677</v>
      </c>
      <c r="G179" s="116">
        <v>1544.5023802155279</v>
      </c>
      <c r="H179" s="116">
        <v>1533.797489321415</v>
      </c>
      <c r="I179" s="116">
        <v>1524.5998826257182</v>
      </c>
      <c r="J179" s="116">
        <v>1509.5909812696348</v>
      </c>
      <c r="K179" s="116">
        <v>1502.0060368914881</v>
      </c>
      <c r="L179" s="116">
        <v>1489.0005833148648</v>
      </c>
      <c r="M179" s="116">
        <v>1369.7116255358692</v>
      </c>
      <c r="N179" s="116">
        <v>1428.369061364624</v>
      </c>
      <c r="O179" s="116">
        <v>1402.1404974204904</v>
      </c>
      <c r="P179" s="116">
        <v>1397.4614140208348</v>
      </c>
      <c r="Q179" s="116">
        <v>1396.419451672087</v>
      </c>
      <c r="R179" s="116">
        <v>1382.1225305972177</v>
      </c>
      <c r="S179" s="116">
        <v>1354.6626655397329</v>
      </c>
      <c r="T179" s="116">
        <v>1325.2005921487585</v>
      </c>
      <c r="U179" s="116">
        <v>1273.7039028531174</v>
      </c>
      <c r="V179" s="116">
        <v>1225.0067358031702</v>
      </c>
      <c r="W179" s="116">
        <v>1166.6697853571397</v>
      </c>
      <c r="DA179" s="176" t="s">
        <v>916</v>
      </c>
    </row>
    <row r="180" spans="1:105" ht="11.45" customHeight="1" x14ac:dyDescent="0.25">
      <c r="A180" s="111" t="s">
        <v>110</v>
      </c>
      <c r="B180" s="101">
        <v>475.40303905742093</v>
      </c>
      <c r="C180" s="101">
        <v>474.97416354674084</v>
      </c>
      <c r="D180" s="101">
        <v>474.71731968426081</v>
      </c>
      <c r="E180" s="101">
        <v>474.60957167537237</v>
      </c>
      <c r="F180" s="101">
        <v>474.48025765949916</v>
      </c>
      <c r="G180" s="101">
        <v>474.41466484366754</v>
      </c>
      <c r="H180" s="101">
        <v>474.33806923398066</v>
      </c>
      <c r="I180" s="101">
        <v>474.2487213610267</v>
      </c>
      <c r="J180" s="101">
        <v>474.14570506247549</v>
      </c>
      <c r="K180" s="101">
        <v>474.02483984519858</v>
      </c>
      <c r="L180" s="101">
        <v>473.85328507467267</v>
      </c>
      <c r="M180" s="101">
        <v>473.62096726466405</v>
      </c>
      <c r="N180" s="101">
        <v>472.67104592791242</v>
      </c>
      <c r="O180" s="101">
        <v>472.20395762063237</v>
      </c>
      <c r="P180" s="101">
        <v>471.6091352222067</v>
      </c>
      <c r="Q180" s="101">
        <v>470.86411826667705</v>
      </c>
      <c r="R180" s="101">
        <v>470.84350806959651</v>
      </c>
      <c r="S180" s="101">
        <v>469.34458161867451</v>
      </c>
      <c r="T180" s="101">
        <v>469.31720664769182</v>
      </c>
      <c r="U180" s="101">
        <v>465.8425143244894</v>
      </c>
      <c r="V180" s="101">
        <v>460.500995785182</v>
      </c>
      <c r="W180" s="101">
        <v>442.433820702719</v>
      </c>
      <c r="DA180" s="175" t="s">
        <v>917</v>
      </c>
    </row>
    <row r="181" spans="1:105" ht="11.45" customHeight="1" x14ac:dyDescent="0.25">
      <c r="A181" s="111" t="s">
        <v>111</v>
      </c>
      <c r="B181" s="101">
        <v>1619.577352854672</v>
      </c>
      <c r="C181" s="101">
        <v>1594.9014642916461</v>
      </c>
      <c r="D181" s="101">
        <v>1582.6330023555599</v>
      </c>
      <c r="E181" s="101">
        <v>1572.5977776829186</v>
      </c>
      <c r="F181" s="101">
        <v>1563.1900313242679</v>
      </c>
      <c r="G181" s="101">
        <v>1552.8085403496764</v>
      </c>
      <c r="H181" s="101">
        <v>1542.0466147640266</v>
      </c>
      <c r="I181" s="101">
        <v>1531.3846923147805</v>
      </c>
      <c r="J181" s="101">
        <v>1515.4354232526578</v>
      </c>
      <c r="K181" s="101">
        <v>1495.1024342075452</v>
      </c>
      <c r="L181" s="101">
        <v>1480.7437817461846</v>
      </c>
      <c r="M181" s="101">
        <v>1470.3544529777421</v>
      </c>
      <c r="N181" s="101">
        <v>1458.3000986741997</v>
      </c>
      <c r="O181" s="101">
        <v>1439.1388531366551</v>
      </c>
      <c r="P181" s="101">
        <v>1425.240141188797</v>
      </c>
      <c r="Q181" s="101">
        <v>1411.0348525616153</v>
      </c>
      <c r="R181" s="101">
        <v>1399.0923030571312</v>
      </c>
      <c r="S181" s="101">
        <v>1388.3410794101369</v>
      </c>
      <c r="T181" s="101">
        <v>1378.3495292774844</v>
      </c>
      <c r="U181" s="101">
        <v>1369.1185569715606</v>
      </c>
      <c r="V181" s="101">
        <v>1357.5401428026939</v>
      </c>
      <c r="W181" s="101">
        <v>1347.2903455358426</v>
      </c>
      <c r="DA181" s="175" t="s">
        <v>918</v>
      </c>
    </row>
    <row r="182" spans="1:105" ht="11.45" customHeight="1" x14ac:dyDescent="0.25">
      <c r="A182" s="111" t="s">
        <v>112</v>
      </c>
      <c r="B182" s="101">
        <v>1132.0557917302392</v>
      </c>
      <c r="C182" s="101">
        <v>1088.7837677926566</v>
      </c>
      <c r="D182" s="101">
        <v>1087.8795539276973</v>
      </c>
      <c r="E182" s="101">
        <v>1083.6710720590811</v>
      </c>
      <c r="F182" s="101">
        <v>1081.0526737150806</v>
      </c>
      <c r="G182" s="101">
        <v>1076.8834116645144</v>
      </c>
      <c r="H182" s="101">
        <v>1066.9154445545578</v>
      </c>
      <c r="I182" s="101">
        <v>1050.3687457334568</v>
      </c>
      <c r="J182" s="101">
        <v>1047.8176358743237</v>
      </c>
      <c r="K182" s="101">
        <v>1043.8409111400399</v>
      </c>
      <c r="L182" s="101">
        <v>1042.6511009859198</v>
      </c>
      <c r="M182" s="101">
        <v>1038.8615561351485</v>
      </c>
      <c r="N182" s="101">
        <v>1033.7580701073828</v>
      </c>
      <c r="O182" s="101">
        <v>1031.7207217261148</v>
      </c>
      <c r="P182" s="101">
        <v>1027.532120185849</v>
      </c>
      <c r="Q182" s="101">
        <v>1022.5895086428856</v>
      </c>
      <c r="R182" s="101">
        <v>1022.7227740681531</v>
      </c>
      <c r="S182" s="101">
        <v>1022.6182784155094</v>
      </c>
      <c r="T182" s="101">
        <v>1020.741914607964</v>
      </c>
      <c r="U182" s="101">
        <v>1020.5418935018477</v>
      </c>
      <c r="V182" s="101">
        <v>1019.3282513004664</v>
      </c>
      <c r="W182" s="101">
        <v>1018.8838138244089</v>
      </c>
      <c r="DA182" s="175" t="s">
        <v>919</v>
      </c>
    </row>
    <row r="183" spans="1:105" ht="11.45" customHeight="1" x14ac:dyDescent="0.25">
      <c r="A183" s="111" t="s">
        <v>113</v>
      </c>
      <c r="B183" s="101">
        <v>1021.7981274757883</v>
      </c>
      <c r="C183" s="101">
        <v>931.13295084325875</v>
      </c>
      <c r="D183" s="101">
        <v>930.68279486101233</v>
      </c>
      <c r="E183" s="101">
        <v>929.49909289648429</v>
      </c>
      <c r="F183" s="101">
        <v>928.81789801172545</v>
      </c>
      <c r="G183" s="101">
        <v>927.53157232472631</v>
      </c>
      <c r="H183" s="101">
        <v>925.50909095870713</v>
      </c>
      <c r="I183" s="101">
        <v>923.32970798359008</v>
      </c>
      <c r="J183" s="101">
        <v>918.00930380645013</v>
      </c>
      <c r="K183" s="101">
        <v>917.69840830978092</v>
      </c>
      <c r="L183" s="101">
        <v>917.49159930808594</v>
      </c>
      <c r="M183" s="101">
        <v>888.11614114081169</v>
      </c>
      <c r="N183" s="101">
        <v>884.88465268340269</v>
      </c>
      <c r="O183" s="101">
        <v>880.46739388642891</v>
      </c>
      <c r="P183" s="101">
        <v>876.88271327255711</v>
      </c>
      <c r="Q183" s="101">
        <v>875.43188943812095</v>
      </c>
      <c r="R183" s="101">
        <v>874.54979920479479</v>
      </c>
      <c r="S183" s="101">
        <v>869.99048289213135</v>
      </c>
      <c r="T183" s="101">
        <v>862.12406464858759</v>
      </c>
      <c r="U183" s="101">
        <v>852.99698994815935</v>
      </c>
      <c r="V183" s="101">
        <v>843.70859081631704</v>
      </c>
      <c r="W183" s="101">
        <v>837.75492862048998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296.87967724948521</v>
      </c>
      <c r="C186" s="152">
        <v>291.4308664765627</v>
      </c>
      <c r="D186" s="152">
        <v>288.13031419279673</v>
      </c>
      <c r="E186" s="152">
        <v>285.85400788002988</v>
      </c>
      <c r="F186" s="152">
        <v>282.34459142847072</v>
      </c>
      <c r="G186" s="152">
        <v>281.13122299383826</v>
      </c>
      <c r="H186" s="152">
        <v>277.71346910821023</v>
      </c>
      <c r="I186" s="152">
        <v>277.85307040393769</v>
      </c>
      <c r="J186" s="152">
        <v>265.91659965478846</v>
      </c>
      <c r="K186" s="152">
        <v>258.43550241396645</v>
      </c>
      <c r="L186" s="152">
        <v>235.76026873875816</v>
      </c>
      <c r="M186" s="152">
        <v>230.29852573103412</v>
      </c>
      <c r="N186" s="152">
        <v>241.3159058467389</v>
      </c>
      <c r="O186" s="152">
        <v>237.61246470554786</v>
      </c>
      <c r="P186" s="152">
        <v>234.91374894791653</v>
      </c>
      <c r="Q186" s="152">
        <v>233.72351224889275</v>
      </c>
      <c r="R186" s="152">
        <v>234.78875309381539</v>
      </c>
      <c r="S186" s="152">
        <v>231.16568072996139</v>
      </c>
      <c r="T186" s="152">
        <v>228.89766116937156</v>
      </c>
      <c r="U186" s="152">
        <v>224.72145367522063</v>
      </c>
      <c r="V186" s="152">
        <v>220.42353032546296</v>
      </c>
      <c r="W186" s="152">
        <v>215.9442601002855</v>
      </c>
      <c r="DA186" s="174" t="s">
        <v>922</v>
      </c>
    </row>
    <row r="187" spans="1:105" ht="11.45" customHeight="1" x14ac:dyDescent="0.25">
      <c r="A187" s="111" t="s">
        <v>110</v>
      </c>
      <c r="B187" s="87">
        <v>300.65705494066367</v>
      </c>
      <c r="C187" s="87">
        <v>298.39614571825143</v>
      </c>
      <c r="D187" s="87">
        <v>297.16790532606814</v>
      </c>
      <c r="E187" s="87">
        <v>295.58530768864483</v>
      </c>
      <c r="F187" s="87">
        <v>293.47952472467205</v>
      </c>
      <c r="G187" s="87">
        <v>291.23605207540743</v>
      </c>
      <c r="H187" s="87">
        <v>288.81597700489226</v>
      </c>
      <c r="I187" s="87">
        <v>286.47084629535294</v>
      </c>
      <c r="J187" s="87">
        <v>284.76791194865922</v>
      </c>
      <c r="K187" s="87">
        <v>282.33296265304239</v>
      </c>
      <c r="L187" s="87">
        <v>277.84049602759399</v>
      </c>
      <c r="M187" s="87">
        <v>272.84756477353676</v>
      </c>
      <c r="N187" s="87">
        <v>267.03303809383198</v>
      </c>
      <c r="O187" s="87">
        <v>260.0378453521987</v>
      </c>
      <c r="P187" s="87">
        <v>256.94598509026724</v>
      </c>
      <c r="Q187" s="87">
        <v>253.51973501202497</v>
      </c>
      <c r="R187" s="87">
        <v>250.26261312982095</v>
      </c>
      <c r="S187" s="87">
        <v>246.11619359572134</v>
      </c>
      <c r="T187" s="87">
        <v>240.46688389158118</v>
      </c>
      <c r="U187" s="87">
        <v>233.89162240331601</v>
      </c>
      <c r="V187" s="87">
        <v>228.93905315994886</v>
      </c>
      <c r="W187" s="87">
        <v>227.87782095313111</v>
      </c>
      <c r="DA187" s="171" t="s">
        <v>923</v>
      </c>
    </row>
    <row r="188" spans="1:105" ht="11.45" customHeight="1" x14ac:dyDescent="0.25">
      <c r="A188" s="111" t="s">
        <v>111</v>
      </c>
      <c r="B188" s="87">
        <v>302.41216785484437</v>
      </c>
      <c r="C188" s="87">
        <v>296.18211059583393</v>
      </c>
      <c r="D188" s="87">
        <v>293.20024996262725</v>
      </c>
      <c r="E188" s="87">
        <v>290.34433775124762</v>
      </c>
      <c r="F188" s="87">
        <v>287.07348656884665</v>
      </c>
      <c r="G188" s="87">
        <v>283.95061831120864</v>
      </c>
      <c r="H188" s="87">
        <v>280.64196699083698</v>
      </c>
      <c r="I188" s="87">
        <v>277.33297750731703</v>
      </c>
      <c r="J188" s="87">
        <v>273.53332431309525</v>
      </c>
      <c r="K188" s="87">
        <v>269.42917849956086</v>
      </c>
      <c r="L188" s="87">
        <v>266.82889523170854</v>
      </c>
      <c r="M188" s="87">
        <v>264.22049776726425</v>
      </c>
      <c r="N188" s="87">
        <v>259.95742773663676</v>
      </c>
      <c r="O188" s="87">
        <v>253.44785600113337</v>
      </c>
      <c r="P188" s="87">
        <v>246.11683048512708</v>
      </c>
      <c r="Q188" s="87">
        <v>240.14165477829667</v>
      </c>
      <c r="R188" s="87">
        <v>235.37275137026947</v>
      </c>
      <c r="S188" s="87">
        <v>230.36986919747048</v>
      </c>
      <c r="T188" s="87">
        <v>225.29789609294687</v>
      </c>
      <c r="U188" s="87">
        <v>220.51211403908064</v>
      </c>
      <c r="V188" s="87">
        <v>217.35023575156939</v>
      </c>
      <c r="W188" s="87">
        <v>214.49884547700711</v>
      </c>
      <c r="DA188" s="171" t="s">
        <v>924</v>
      </c>
    </row>
    <row r="189" spans="1:105" ht="11.45" customHeight="1" x14ac:dyDescent="0.25">
      <c r="A189" s="111" t="s">
        <v>112</v>
      </c>
      <c r="B189" s="87">
        <v>295.85485846126107</v>
      </c>
      <c r="C189" s="87">
        <v>286.89178098340528</v>
      </c>
      <c r="D189" s="87">
        <v>284.29081369706165</v>
      </c>
      <c r="E189" s="87">
        <v>281.82105458922359</v>
      </c>
      <c r="F189" s="87">
        <v>279.16483184266946</v>
      </c>
      <c r="G189" s="87">
        <v>276.9723485159322</v>
      </c>
      <c r="H189" s="87">
        <v>274.38596657836206</v>
      </c>
      <c r="I189" s="87">
        <v>270.47584350357948</v>
      </c>
      <c r="J189" s="87">
        <v>268.88965788105992</v>
      </c>
      <c r="K189" s="87">
        <v>265.61281692523841</v>
      </c>
      <c r="L189" s="87">
        <v>265.15380514438766</v>
      </c>
      <c r="M189" s="87">
        <v>264.61893286590208</v>
      </c>
      <c r="N189" s="87">
        <v>263.92351095079761</v>
      </c>
      <c r="O189" s="87">
        <v>263.15318847748625</v>
      </c>
      <c r="P189" s="87">
        <v>262.34766196075407</v>
      </c>
      <c r="Q189" s="87">
        <v>261.69444834365447</v>
      </c>
      <c r="R189" s="87">
        <v>261.24542128900168</v>
      </c>
      <c r="S189" s="87">
        <v>260.5671416533188</v>
      </c>
      <c r="T189" s="87">
        <v>258.98720180618125</v>
      </c>
      <c r="U189" s="87">
        <v>258.00621881593901</v>
      </c>
      <c r="V189" s="87">
        <v>206.38020982409699</v>
      </c>
      <c r="W189" s="87">
        <v>205.51203170899723</v>
      </c>
      <c r="DA189" s="171" t="s">
        <v>925</v>
      </c>
    </row>
    <row r="190" spans="1:105" ht="11.45" customHeight="1" x14ac:dyDescent="0.25">
      <c r="A190" s="111" t="s">
        <v>113</v>
      </c>
      <c r="B190" s="87">
        <v>246.58481113563082</v>
      </c>
      <c r="C190" s="87">
        <v>246.47289427174303</v>
      </c>
      <c r="D190" s="87">
        <v>246.06977626231398</v>
      </c>
      <c r="E190" s="87">
        <v>239.22910022480133</v>
      </c>
      <c r="F190" s="87">
        <v>238.73875623667169</v>
      </c>
      <c r="G190" s="87">
        <v>238.38598437476176</v>
      </c>
      <c r="H190" s="87">
        <v>228.9230207676967</v>
      </c>
      <c r="I190" s="87">
        <v>227.86332976695846</v>
      </c>
      <c r="J190" s="87">
        <v>225.66609410020737</v>
      </c>
      <c r="K190" s="87">
        <v>216.06328101797439</v>
      </c>
      <c r="L190" s="87">
        <v>202.98098386351398</v>
      </c>
      <c r="M190" s="87">
        <v>194.08498188866164</v>
      </c>
      <c r="N190" s="87">
        <v>185.79893021558303</v>
      </c>
      <c r="O190" s="87">
        <v>177.12423672006656</v>
      </c>
      <c r="P190" s="87">
        <v>172.15904850339851</v>
      </c>
      <c r="Q190" s="87">
        <v>169.64356328029109</v>
      </c>
      <c r="R190" s="87">
        <v>171.31773578660236</v>
      </c>
      <c r="S190" s="87">
        <v>173.68609491163514</v>
      </c>
      <c r="T190" s="87">
        <v>179.78703619807183</v>
      </c>
      <c r="U190" s="87">
        <v>180.5568928645055</v>
      </c>
      <c r="V190" s="87">
        <v>178.99725989854304</v>
      </c>
      <c r="W190" s="87">
        <v>184.00064173789883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1093.0981623117839</v>
      </c>
      <c r="C192" s="116">
        <v>1084.3183909540728</v>
      </c>
      <c r="D192" s="116">
        <v>1076.1868630746617</v>
      </c>
      <c r="E192" s="116">
        <v>1068.5290910953613</v>
      </c>
      <c r="F192" s="116">
        <v>1058.8172879847896</v>
      </c>
      <c r="G192" s="116">
        <v>1048.2534487879998</v>
      </c>
      <c r="H192" s="116">
        <v>1037.4302035765038</v>
      </c>
      <c r="I192" s="116">
        <v>1026.0603467421445</v>
      </c>
      <c r="J192" s="116">
        <v>1013.9647492111002</v>
      </c>
      <c r="K192" s="116">
        <v>1006.2282563474788</v>
      </c>
      <c r="L192" s="116">
        <v>998.00895699266493</v>
      </c>
      <c r="M192" s="116">
        <v>984.25045819509444</v>
      </c>
      <c r="N192" s="116">
        <v>969.92183006690573</v>
      </c>
      <c r="O192" s="116">
        <v>953.83894703706937</v>
      </c>
      <c r="P192" s="116">
        <v>940.38855236067366</v>
      </c>
      <c r="Q192" s="116">
        <v>923.19679479695549</v>
      </c>
      <c r="R192" s="116">
        <v>901.78899756651867</v>
      </c>
      <c r="S192" s="116">
        <v>879.23709798690868</v>
      </c>
      <c r="T192" s="116">
        <v>856.04457652058738</v>
      </c>
      <c r="U192" s="116">
        <v>827.8111374870623</v>
      </c>
      <c r="V192" s="116">
        <v>804.39196574661071</v>
      </c>
      <c r="W192" s="116">
        <v>779.11890647883627</v>
      </c>
      <c r="DA192" s="176" t="s">
        <v>928</v>
      </c>
    </row>
    <row r="193" spans="1:105" ht="11.45" customHeight="1" x14ac:dyDescent="0.25">
      <c r="A193" s="128" t="s">
        <v>27</v>
      </c>
      <c r="B193" s="101">
        <v>1015.5082074349177</v>
      </c>
      <c r="C193" s="101">
        <v>1007.8367841571445</v>
      </c>
      <c r="D193" s="101">
        <v>1000.7648748424726</v>
      </c>
      <c r="E193" s="101">
        <v>994.09806738761733</v>
      </c>
      <c r="F193" s="101">
        <v>986.36073719477997</v>
      </c>
      <c r="G193" s="101">
        <v>976.63212541821531</v>
      </c>
      <c r="H193" s="101">
        <v>966.71587384434417</v>
      </c>
      <c r="I193" s="101">
        <v>956.30877480285517</v>
      </c>
      <c r="J193" s="101">
        <v>944.9604368706872</v>
      </c>
      <c r="K193" s="101">
        <v>937.96171821059329</v>
      </c>
      <c r="L193" s="101">
        <v>931.72224210122772</v>
      </c>
      <c r="M193" s="101">
        <v>918.41519201669712</v>
      </c>
      <c r="N193" s="101">
        <v>904.32602426263929</v>
      </c>
      <c r="O193" s="101">
        <v>889.12185643763735</v>
      </c>
      <c r="P193" s="101">
        <v>876.4885970302538</v>
      </c>
      <c r="Q193" s="101">
        <v>860.02467674805246</v>
      </c>
      <c r="R193" s="101">
        <v>839.44232608971583</v>
      </c>
      <c r="S193" s="101">
        <v>817.72227442655844</v>
      </c>
      <c r="T193" s="101">
        <v>794.56372838946766</v>
      </c>
      <c r="U193" s="101">
        <v>766.50312335799958</v>
      </c>
      <c r="V193" s="101">
        <v>742.95037714585976</v>
      </c>
      <c r="W193" s="101">
        <v>717.84715313673121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1052.8264576708414</v>
      </c>
      <c r="D194" s="88">
        <v>1040.9529057822087</v>
      </c>
      <c r="E194" s="88">
        <v>1030.6923529806638</v>
      </c>
      <c r="F194" s="88">
        <v>1010.0934413074857</v>
      </c>
      <c r="G194" s="88">
        <v>999.09189083867705</v>
      </c>
      <c r="H194" s="88">
        <v>987.74047594879119</v>
      </c>
      <c r="I194" s="88">
        <v>975.9396301085136</v>
      </c>
      <c r="J194" s="88">
        <v>965.72282187292467</v>
      </c>
      <c r="K194" s="88">
        <v>959.56606077520314</v>
      </c>
      <c r="L194" s="88">
        <v>943.43538565230995</v>
      </c>
      <c r="M194" s="88">
        <v>933.82888493293228</v>
      </c>
      <c r="N194" s="88">
        <v>924.90704162131215</v>
      </c>
      <c r="O194" s="88">
        <v>909.65968348332297</v>
      </c>
      <c r="P194" s="88">
        <v>897.34496400087085</v>
      </c>
      <c r="Q194" s="88">
        <v>882.82499158227779</v>
      </c>
      <c r="R194" s="88">
        <v>864.72613540497775</v>
      </c>
      <c r="S194" s="88">
        <v>845.71287867170645</v>
      </c>
      <c r="T194" s="88">
        <v>832.19177097942929</v>
      </c>
      <c r="U194" s="88">
        <v>813.27962434471306</v>
      </c>
      <c r="V194" s="88">
        <v>800.84898649262732</v>
      </c>
      <c r="W194" s="88">
        <v>781.17035999797338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1.0680867516430301</v>
      </c>
      <c r="C198" s="150">
        <f>IF(TrRoad_act!C59=0,0,TrRoad_emi!C56/TrRoad_tech!C171)</f>
        <v>1.0685592936036028</v>
      </c>
      <c r="D198" s="150">
        <f>IF(TrRoad_act!D59=0,0,TrRoad_emi!D56/TrRoad_tech!D171)</f>
        <v>1.0685768418020527</v>
      </c>
      <c r="E198" s="150">
        <f>IF(TrRoad_act!E59=0,0,TrRoad_emi!E56/TrRoad_tech!E171)</f>
        <v>1.0698671831902693</v>
      </c>
      <c r="F198" s="150">
        <f>IF(TrRoad_act!F59=0,0,TrRoad_emi!F56/TrRoad_tech!F171)</f>
        <v>1.070743449545585</v>
      </c>
      <c r="G198" s="150">
        <f>IF(TrRoad_act!G59=0,0,TrRoad_emi!G56/TrRoad_tech!G171)</f>
        <v>1.0678211543041864</v>
      </c>
      <c r="H198" s="150">
        <f>IF(TrRoad_act!H59=0,0,TrRoad_emi!H56/TrRoad_tech!H171)</f>
        <v>1.0657424508330295</v>
      </c>
      <c r="I198" s="150">
        <f>IF(TrRoad_act!I59=0,0,TrRoad_emi!I56/TrRoad_tech!I171)</f>
        <v>1.053702922981248</v>
      </c>
      <c r="J198" s="150">
        <f>IF(TrRoad_act!J59=0,0,TrRoad_emi!J56/TrRoad_tech!J171)</f>
        <v>1.0340294917255513</v>
      </c>
      <c r="K198" s="150">
        <f>IF(TrRoad_act!K59=0,0,TrRoad_emi!K56/TrRoad_tech!K171)</f>
        <v>1.0397252591062385</v>
      </c>
      <c r="L198" s="150">
        <f>IF(TrRoad_act!L59=0,0,TrRoad_emi!L56/TrRoad_tech!L171)</f>
        <v>1.0398145527370513</v>
      </c>
      <c r="M198" s="150">
        <f>IF(TrRoad_act!M59=0,0,TrRoad_emi!M56/TrRoad_tech!M171)</f>
        <v>1.0446906094189368</v>
      </c>
      <c r="N198" s="150">
        <f>IF(TrRoad_act!N59=0,0,TrRoad_emi!N56/TrRoad_tech!N171)</f>
        <v>1.045650909971416</v>
      </c>
      <c r="O198" s="150">
        <f>IF(TrRoad_act!O59=0,0,TrRoad_emi!O56/TrRoad_tech!O171)</f>
        <v>1.050520873283169</v>
      </c>
      <c r="P198" s="150">
        <f>IF(TrRoad_act!P59=0,0,TrRoad_emi!P56/TrRoad_tech!P171)</f>
        <v>1.0528573740060596</v>
      </c>
      <c r="Q198" s="150">
        <f>IF(TrRoad_act!Q59=0,0,TrRoad_emi!Q56/TrRoad_tech!Q171)</f>
        <v>1.0580405684426715</v>
      </c>
      <c r="R198" s="150">
        <f>IF(TrRoad_act!R59=0,0,TrRoad_emi!R56/TrRoad_tech!R171)</f>
        <v>1.0595561576480039</v>
      </c>
      <c r="S198" s="150">
        <f>IF(TrRoad_act!S59=0,0,TrRoad_emi!S56/TrRoad_tech!S171)</f>
        <v>1.0621942431748157</v>
      </c>
      <c r="T198" s="150">
        <f>IF(TrRoad_act!T59=0,0,TrRoad_emi!T56/TrRoad_tech!T171)</f>
        <v>1.1171576698676366</v>
      </c>
      <c r="U198" s="150">
        <f>IF(TrRoad_act!U59=0,0,TrRoad_emi!U56/TrRoad_tech!U171)</f>
        <v>1.0719230778556652</v>
      </c>
      <c r="V198" s="150">
        <f>IF(TrRoad_act!V59=0,0,TrRoad_emi!V56/TrRoad_tech!V171)</f>
        <v>1.081424369861657</v>
      </c>
      <c r="W198" s="150">
        <f>IF(TrRoad_act!W59=0,0,TrRoad_emi!W56/TrRoad_tech!W171)</f>
        <v>1.1334610272788719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1.0541434178273972</v>
      </c>
      <c r="C199" s="151">
        <f>IF(TrRoad_act!C60=0,0,TrRoad_emi!C57/TrRoad_tech!C172)</f>
        <v>1.039997123447248</v>
      </c>
      <c r="D199" s="151">
        <f>IF(TrRoad_act!D60=0,0,TrRoad_emi!D57/TrRoad_tech!D172)</f>
        <v>1.028471469101143</v>
      </c>
      <c r="E199" s="151">
        <f>IF(TrRoad_act!E60=0,0,TrRoad_emi!E57/TrRoad_tech!E172)</f>
        <v>1.0151213152164849</v>
      </c>
      <c r="F199" s="151">
        <f>IF(TrRoad_act!F60=0,0,TrRoad_emi!F57/TrRoad_tech!F172)</f>
        <v>1.0022887633376385</v>
      </c>
      <c r="G199" s="151">
        <f>IF(TrRoad_act!G60=0,0,TrRoad_emi!G57/TrRoad_tech!G172)</f>
        <v>0.99489952416074845</v>
      </c>
      <c r="H199" s="151">
        <f>IF(TrRoad_act!H60=0,0,TrRoad_emi!H57/TrRoad_tech!H172)</f>
        <v>0.98760873313923492</v>
      </c>
      <c r="I199" s="151">
        <f>IF(TrRoad_act!I60=0,0,TrRoad_emi!I57/TrRoad_tech!I172)</f>
        <v>0.968053227386522</v>
      </c>
      <c r="J199" s="151">
        <f>IF(TrRoad_act!J60=0,0,TrRoad_emi!J57/TrRoad_tech!J172)</f>
        <v>0.95135519016703274</v>
      </c>
      <c r="K199" s="151">
        <f>IF(TrRoad_act!K60=0,0,TrRoad_emi!K57/TrRoad_tech!K172)</f>
        <v>0.96686460914174566</v>
      </c>
      <c r="L199" s="151">
        <f>IF(TrRoad_act!L60=0,0,TrRoad_emi!L57/TrRoad_tech!L172)</f>
        <v>0.96811282852797798</v>
      </c>
      <c r="M199" s="151">
        <f>IF(TrRoad_act!M60=0,0,TrRoad_emi!M57/TrRoad_tech!M172)</f>
        <v>0.97640272279304186</v>
      </c>
      <c r="N199" s="151">
        <f>IF(TrRoad_act!N60=0,0,TrRoad_emi!N57/TrRoad_tech!N172)</f>
        <v>0.97920119510994907</v>
      </c>
      <c r="O199" s="151">
        <f>IF(TrRoad_act!O60=0,0,TrRoad_emi!O57/TrRoad_tech!O172)</f>
        <v>0.98245717088077722</v>
      </c>
      <c r="P199" s="151">
        <f>IF(TrRoad_act!P60=0,0,TrRoad_emi!P57/TrRoad_tech!P172)</f>
        <v>0.98215535302556034</v>
      </c>
      <c r="Q199" s="151">
        <f>IF(TrRoad_act!Q60=0,0,TrRoad_emi!Q57/TrRoad_tech!Q172)</f>
        <v>0.99304485480790172</v>
      </c>
      <c r="R199" s="151">
        <f>IF(TrRoad_act!R60=0,0,TrRoad_emi!R57/TrRoad_tech!R172)</f>
        <v>0.99333142349836223</v>
      </c>
      <c r="S199" s="151">
        <f>IF(TrRoad_act!S60=0,0,TrRoad_emi!S57/TrRoad_tech!S172)</f>
        <v>0.99550690796273278</v>
      </c>
      <c r="T199" s="151">
        <f>IF(TrRoad_act!T60=0,0,TrRoad_emi!T57/TrRoad_tech!T172)</f>
        <v>1.0040095793147421</v>
      </c>
      <c r="U199" s="151">
        <f>IF(TrRoad_act!U60=0,0,TrRoad_emi!U57/TrRoad_tech!U172)</f>
        <v>1.0020168550707294</v>
      </c>
      <c r="V199" s="151">
        <f>IF(TrRoad_act!V60=0,0,TrRoad_emi!V57/TrRoad_tech!V172)</f>
        <v>1.0294543991025025</v>
      </c>
      <c r="W199" s="151">
        <f>IF(TrRoad_act!W60=0,0,TrRoad_emi!W57/TrRoad_tech!W172)</f>
        <v>1.0712079196253133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1.0235485576456074</v>
      </c>
      <c r="C200" s="91">
        <f>IF(TrRoad_act!C61=0,0,TrRoad_emi!C58/TrRoad_tech!C173)</f>
        <v>1.0238821447003235</v>
      </c>
      <c r="D200" s="91">
        <f>IF(TrRoad_act!D61=0,0,TrRoad_emi!D58/TrRoad_tech!D173)</f>
        <v>1.0236203803114836</v>
      </c>
      <c r="E200" s="91">
        <f>IF(TrRoad_act!E61=0,0,TrRoad_emi!E58/TrRoad_tech!E173)</f>
        <v>1.0242335472551465</v>
      </c>
      <c r="F200" s="91">
        <f>IF(TrRoad_act!F61=0,0,TrRoad_emi!F58/TrRoad_tech!F173)</f>
        <v>1.0239664825673915</v>
      </c>
      <c r="G200" s="91">
        <f>IF(TrRoad_act!G61=0,0,TrRoad_emi!G58/TrRoad_tech!G173)</f>
        <v>1.0195550924012968</v>
      </c>
      <c r="H200" s="91">
        <f>IF(TrRoad_act!H61=0,0,TrRoad_emi!H58/TrRoad_tech!H173)</f>
        <v>1.0152195550090968</v>
      </c>
      <c r="I200" s="91">
        <f>IF(TrRoad_act!I61=0,0,TrRoad_emi!I58/TrRoad_tech!I173)</f>
        <v>1.0008428006825438</v>
      </c>
      <c r="J200" s="91">
        <f>IF(TrRoad_act!J61=0,0,TrRoad_emi!J58/TrRoad_tech!J173)</f>
        <v>0.9799951916696672</v>
      </c>
      <c r="K200" s="91">
        <f>IF(TrRoad_act!K61=0,0,TrRoad_emi!K58/TrRoad_tech!K173)</f>
        <v>0.98388341604541851</v>
      </c>
      <c r="L200" s="91">
        <f>IF(TrRoad_act!L61=0,0,TrRoad_emi!L58/TrRoad_tech!L173)</f>
        <v>0.98074460510920947</v>
      </c>
      <c r="M200" s="91">
        <f>IF(TrRoad_act!M61=0,0,TrRoad_emi!M58/TrRoad_tech!M173)</f>
        <v>0.98130986369568785</v>
      </c>
      <c r="N200" s="91">
        <f>IF(TrRoad_act!N61=0,0,TrRoad_emi!N58/TrRoad_tech!N173)</f>
        <v>0.97846420721547034</v>
      </c>
      <c r="O200" s="91">
        <f>IF(TrRoad_act!O61=0,0,TrRoad_emi!O58/TrRoad_tech!O173)</f>
        <v>0.9794495729497501</v>
      </c>
      <c r="P200" s="91">
        <f>IF(TrRoad_act!P61=0,0,TrRoad_emi!P58/TrRoad_tech!P173)</f>
        <v>0.97978379881188893</v>
      </c>
      <c r="Q200" s="91">
        <f>IF(TrRoad_act!Q61=0,0,TrRoad_emi!Q58/TrRoad_tech!Q173)</f>
        <v>0.98139950114673158</v>
      </c>
      <c r="R200" s="91">
        <f>IF(TrRoad_act!R61=0,0,TrRoad_emi!R58/TrRoad_tech!R173)</f>
        <v>0.98081405874859606</v>
      </c>
      <c r="S200" s="91">
        <f>IF(TrRoad_act!S61=0,0,TrRoad_emi!S58/TrRoad_tech!S173)</f>
        <v>0.97929577311691307</v>
      </c>
      <c r="T200" s="91">
        <f>IF(TrRoad_act!T61=0,0,TrRoad_emi!T58/TrRoad_tech!T173)</f>
        <v>0.98048007519884317</v>
      </c>
      <c r="U200" s="91">
        <f>IF(TrRoad_act!U61=0,0,TrRoad_emi!U58/TrRoad_tech!U173)</f>
        <v>0.98219709825202628</v>
      </c>
      <c r="V200" s="91">
        <f>IF(TrRoad_act!V61=0,0,TrRoad_emi!V58/TrRoad_tech!V173)</f>
        <v>0.98525211650457745</v>
      </c>
      <c r="W200" s="91">
        <f>IF(TrRoad_act!W61=0,0,TrRoad_emi!W58/TrRoad_tech!W173)</f>
        <v>0.98124803173348485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1.1164406792633483</v>
      </c>
      <c r="C201" s="91">
        <f>IF(TrRoad_act!C62=0,0,TrRoad_emi!C59/TrRoad_tech!C174)</f>
        <v>1.0950429400737363</v>
      </c>
      <c r="D201" s="91">
        <f>IF(TrRoad_act!D62=0,0,TrRoad_emi!D59/TrRoad_tech!D174)</f>
        <v>1.0838223239638645</v>
      </c>
      <c r="E201" s="91">
        <f>IF(TrRoad_act!E62=0,0,TrRoad_emi!E59/TrRoad_tech!E174)</f>
        <v>1.0626437396083459</v>
      </c>
      <c r="F201" s="91">
        <f>IF(TrRoad_act!F62=0,0,TrRoad_emi!F59/TrRoad_tech!F174)</f>
        <v>1.0420191962904544</v>
      </c>
      <c r="G201" s="91">
        <f>IF(TrRoad_act!G62=0,0,TrRoad_emi!G59/TrRoad_tech!G174)</f>
        <v>1.0327610535911158</v>
      </c>
      <c r="H201" s="91">
        <f>IF(TrRoad_act!H62=0,0,TrRoad_emi!H59/TrRoad_tech!H174)</f>
        <v>1.0255913484162416</v>
      </c>
      <c r="I201" s="91">
        <f>IF(TrRoad_act!I62=0,0,TrRoad_emi!I59/TrRoad_tech!I174)</f>
        <v>1.0030954875500684</v>
      </c>
      <c r="J201" s="91">
        <f>IF(TrRoad_act!J62=0,0,TrRoad_emi!J59/TrRoad_tech!J174)</f>
        <v>0.99000036475227537</v>
      </c>
      <c r="K201" s="91">
        <f>IF(TrRoad_act!K62=0,0,TrRoad_emi!K59/TrRoad_tech!K174)</f>
        <v>1.0083136120590002</v>
      </c>
      <c r="L201" s="91">
        <f>IF(TrRoad_act!L62=0,0,TrRoad_emi!L59/TrRoad_tech!L174)</f>
        <v>1.0086008122927232</v>
      </c>
      <c r="M201" s="91">
        <f>IF(TrRoad_act!M62=0,0,TrRoad_emi!M59/TrRoad_tech!M174)</f>
        <v>1.0253126287329237</v>
      </c>
      <c r="N201" s="91">
        <f>IF(TrRoad_act!N62=0,0,TrRoad_emi!N59/TrRoad_tech!N174)</f>
        <v>1.0278945500099534</v>
      </c>
      <c r="O201" s="91">
        <f>IF(TrRoad_act!O62=0,0,TrRoad_emi!O59/TrRoad_tech!O174)</f>
        <v>1.0275955854752927</v>
      </c>
      <c r="P201" s="91">
        <f>IF(TrRoad_act!P62=0,0,TrRoad_emi!P59/TrRoad_tech!P174)</f>
        <v>1.0262639373402414</v>
      </c>
      <c r="Q201" s="91">
        <f>IF(TrRoad_act!Q62=0,0,TrRoad_emi!Q59/TrRoad_tech!Q174)</f>
        <v>1.0371861799765576</v>
      </c>
      <c r="R201" s="91">
        <f>IF(TrRoad_act!R62=0,0,TrRoad_emi!R59/TrRoad_tech!R174)</f>
        <v>1.0349204484351693</v>
      </c>
      <c r="S201" s="91">
        <f>IF(TrRoad_act!S62=0,0,TrRoad_emi!S59/TrRoad_tech!S174)</f>
        <v>1.0367449269870606</v>
      </c>
      <c r="T201" s="91">
        <f>IF(TrRoad_act!T62=0,0,TrRoad_emi!T59/TrRoad_tech!T174)</f>
        <v>1.0417331301801094</v>
      </c>
      <c r="U201" s="91">
        <f>IF(TrRoad_act!U62=0,0,TrRoad_emi!U59/TrRoad_tech!U174)</f>
        <v>1.0328566658548883</v>
      </c>
      <c r="V201" s="91">
        <f>IF(TrRoad_act!V62=0,0,TrRoad_emi!V59/TrRoad_tech!V174)</f>
        <v>1.0337137426369847</v>
      </c>
      <c r="W201" s="91">
        <f>IF(TrRoad_act!W62=0,0,TrRoad_emi!W59/TrRoad_tech!W174)</f>
        <v>1.0618250393399045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1.02777777778159</v>
      </c>
      <c r="C202" s="91">
        <f>IF(TrRoad_act!C63=0,0,TrRoad_emi!C60/TrRoad_tech!C175)</f>
        <v>1.0278456950021215</v>
      </c>
      <c r="D202" s="91">
        <f>IF(TrRoad_act!D63=0,0,TrRoad_emi!D60/TrRoad_tech!D175)</f>
        <v>1.0278508474592618</v>
      </c>
      <c r="E202" s="91">
        <f>IF(TrRoad_act!E63=0,0,TrRoad_emi!E60/TrRoad_tech!E175)</f>
        <v>1.027858571088353</v>
      </c>
      <c r="F202" s="91">
        <f>IF(TrRoad_act!F63=0,0,TrRoad_emi!F60/TrRoad_tech!F175)</f>
        <v>1.0278646281257995</v>
      </c>
      <c r="G202" s="91">
        <f>IF(TrRoad_act!G63=0,0,TrRoad_emi!G60/TrRoad_tech!G175)</f>
        <v>1.0278743049156112</v>
      </c>
      <c r="H202" s="91">
        <f>IF(TrRoad_act!H63=0,0,TrRoad_emi!H60/TrRoad_tech!H175)</f>
        <v>1.0278854788281764</v>
      </c>
      <c r="I202" s="91">
        <f>IF(TrRoad_act!I63=0,0,TrRoad_emi!I60/TrRoad_tech!I175)</f>
        <v>1.123879721707739</v>
      </c>
      <c r="J202" s="91">
        <f>IF(TrRoad_act!J63=0,0,TrRoad_emi!J60/TrRoad_tech!J175)</f>
        <v>1.0216883035039852</v>
      </c>
      <c r="K202" s="91">
        <f>IF(TrRoad_act!K63=0,0,TrRoad_emi!K60/TrRoad_tech!K175)</f>
        <v>0.82549108280388406</v>
      </c>
      <c r="L202" s="91">
        <f>IF(TrRoad_act!L63=0,0,TrRoad_emi!L60/TrRoad_tech!L175)</f>
        <v>1.0447040276977864</v>
      </c>
      <c r="M202" s="91">
        <f>IF(TrRoad_act!M63=0,0,TrRoad_emi!M60/TrRoad_tech!M175)</f>
        <v>1.087302998716152</v>
      </c>
      <c r="N202" s="91">
        <f>IF(TrRoad_act!N63=0,0,TrRoad_emi!N60/TrRoad_tech!N175)</f>
        <v>1.0928447222540838</v>
      </c>
      <c r="O202" s="91">
        <f>IF(TrRoad_act!O63=0,0,TrRoad_emi!O60/TrRoad_tech!O175)</f>
        <v>1.1538108217466037</v>
      </c>
      <c r="P202" s="91">
        <f>IF(TrRoad_act!P63=0,0,TrRoad_emi!P60/TrRoad_tech!P175)</f>
        <v>1.1326152039568729</v>
      </c>
      <c r="Q202" s="91">
        <f>IF(TrRoad_act!Q63=0,0,TrRoad_emi!Q60/TrRoad_tech!Q175)</f>
        <v>1.0512496927757868</v>
      </c>
      <c r="R202" s="91">
        <f>IF(TrRoad_act!R63=0,0,TrRoad_emi!R60/TrRoad_tech!R175)</f>
        <v>0.99385955833139816</v>
      </c>
      <c r="S202" s="91">
        <f>IF(TrRoad_act!S63=0,0,TrRoad_emi!S60/TrRoad_tech!S175)</f>
        <v>0.93367563527489206</v>
      </c>
      <c r="T202" s="91">
        <f>IF(TrRoad_act!T63=0,0,TrRoad_emi!T60/TrRoad_tech!T175)</f>
        <v>0.94519554005742434</v>
      </c>
      <c r="U202" s="91">
        <f>IF(TrRoad_act!U63=0,0,TrRoad_emi!U60/TrRoad_tech!U175)</f>
        <v>0.87884650685185428</v>
      </c>
      <c r="V202" s="91">
        <f>IF(TrRoad_act!V63=0,0,TrRoad_emi!V60/TrRoad_tech!V175)</f>
        <v>0.7716942729614884</v>
      </c>
      <c r="W202" s="91">
        <f>IF(TrRoad_act!W63=0,0,TrRoad_emi!W60/TrRoad_tech!W175)</f>
        <v>1.0737265029627241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1.0433333333377</v>
      </c>
      <c r="J203" s="91">
        <f>IF(TrRoad_act!J64=0,0,TrRoad_emi!J61/TrRoad_tech!J176)</f>
        <v>1.0451879108617714</v>
      </c>
      <c r="K203" s="91">
        <f>IF(TrRoad_act!K64=0,0,TrRoad_emi!K61/TrRoad_tech!K176)</f>
        <v>1.0469660999497721</v>
      </c>
      <c r="L203" s="91">
        <f>IF(TrRoad_act!L64=0,0,TrRoad_emi!L61/TrRoad_tech!L176)</f>
        <v>1.0480972969667006</v>
      </c>
      <c r="M203" s="91">
        <f>IF(TrRoad_act!M64=0,0,TrRoad_emi!M61/TrRoad_tech!M176)</f>
        <v>1.0494745125028186</v>
      </c>
      <c r="N203" s="91">
        <f>IF(TrRoad_act!N64=0,0,TrRoad_emi!N61/TrRoad_tech!N176)</f>
        <v>1.0510233345848798</v>
      </c>
      <c r="O203" s="91">
        <f>IF(TrRoad_act!O64=0,0,TrRoad_emi!O61/TrRoad_tech!O176)</f>
        <v>1.0523561990108365</v>
      </c>
      <c r="P203" s="91">
        <f>IF(TrRoad_act!P64=0,0,TrRoad_emi!P61/TrRoad_tech!P176)</f>
        <v>1.0537116472613182</v>
      </c>
      <c r="Q203" s="91">
        <f>IF(TrRoad_act!Q64=0,0,TrRoad_emi!Q61/TrRoad_tech!Q176)</f>
        <v>1.0566207851104596</v>
      </c>
      <c r="R203" s="91">
        <f>IF(TrRoad_act!R64=0,0,TrRoad_emi!R61/TrRoad_tech!R176)</f>
        <v>1.0791575075930422</v>
      </c>
      <c r="S203" s="91">
        <f>IF(TrRoad_act!S64=0,0,TrRoad_emi!S61/TrRoad_tech!S176)</f>
        <v>1.0828689181008235</v>
      </c>
      <c r="T203" s="91">
        <f>IF(TrRoad_act!T64=0,0,TrRoad_emi!T61/TrRoad_tech!T176)</f>
        <v>1.086662146665123</v>
      </c>
      <c r="U203" s="91">
        <f>IF(TrRoad_act!U64=0,0,TrRoad_emi!U61/TrRoad_tech!U176)</f>
        <v>1.0895559506561638</v>
      </c>
      <c r="V203" s="91">
        <f>IF(TrRoad_act!V64=0,0,TrRoad_emi!V61/TrRoad_tech!V176)</f>
        <v>1.0915429898471356</v>
      </c>
      <c r="W203" s="91">
        <f>IF(TrRoad_act!W64=0,0,TrRoad_emi!W61/TrRoad_tech!W176)</f>
        <v>1.0937704590686075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1.0057192452667019</v>
      </c>
      <c r="O204" s="91">
        <f>IF(TrRoad_act!O65=0,0,TrRoad_emi!O62/TrRoad_tech!O177)</f>
        <v>1.0078195547358024</v>
      </c>
      <c r="P204" s="91">
        <f>IF(TrRoad_act!P65=0,0,TrRoad_emi!P62/TrRoad_tech!P177)</f>
        <v>1.0108285017815768</v>
      </c>
      <c r="Q204" s="91">
        <f>IF(TrRoad_act!Q65=0,0,TrRoad_emi!Q62/TrRoad_tech!Q177)</f>
        <v>1.0160998871392664</v>
      </c>
      <c r="R204" s="91">
        <f>IF(TrRoad_act!R65=0,0,TrRoad_emi!R62/TrRoad_tech!R177)</f>
        <v>1.015249064791319</v>
      </c>
      <c r="S204" s="91">
        <f>IF(TrRoad_act!S65=0,0,TrRoad_emi!S62/TrRoad_tech!S177)</f>
        <v>1.0121436237901704</v>
      </c>
      <c r="T204" s="91">
        <f>IF(TrRoad_act!T65=0,0,TrRoad_emi!T62/TrRoad_tech!T177)</f>
        <v>1.0103767740284144</v>
      </c>
      <c r="U204" s="91">
        <f>IF(TrRoad_act!U65=0,0,TrRoad_emi!U62/TrRoad_tech!U177)</f>
        <v>1.0086780565346753</v>
      </c>
      <c r="V204" s="91">
        <f>IF(TrRoad_act!V65=0,0,TrRoad_emi!V62/TrRoad_tech!V177)</f>
        <v>1.0110573521641524</v>
      </c>
      <c r="W204" s="91">
        <f>IF(TrRoad_act!W65=0,0,TrRoad_emi!W62/TrRoad_tech!W177)</f>
        <v>1.00508344793802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1.0992119941290204</v>
      </c>
      <c r="C206" s="151">
        <f>IF(TrRoad_act!C67=0,0,TrRoad_emi!C64/TrRoad_tech!C179)</f>
        <v>1.109713083154469</v>
      </c>
      <c r="D206" s="151">
        <f>IF(TrRoad_act!D67=0,0,TrRoad_emi!D64/TrRoad_tech!D179)</f>
        <v>1.0918084374000523</v>
      </c>
      <c r="E206" s="151">
        <f>IF(TrRoad_act!E67=0,0,TrRoad_emi!E64/TrRoad_tech!E179)</f>
        <v>1.0979349440119115</v>
      </c>
      <c r="F206" s="151">
        <f>IF(TrRoad_act!F67=0,0,TrRoad_emi!F64/TrRoad_tech!F179)</f>
        <v>1.0932388413051848</v>
      </c>
      <c r="G206" s="151">
        <f>IF(TrRoad_act!G67=0,0,TrRoad_emi!G64/TrRoad_tech!G179)</f>
        <v>1.0823133393498976</v>
      </c>
      <c r="H206" s="151">
        <f>IF(TrRoad_act!H67=0,0,TrRoad_emi!H64/TrRoad_tech!H179)</f>
        <v>1.0837522333920078</v>
      </c>
      <c r="I206" s="151">
        <f>IF(TrRoad_act!I67=0,0,TrRoad_emi!I64/TrRoad_tech!I179)</f>
        <v>1.067066585239562</v>
      </c>
      <c r="J206" s="151">
        <f>IF(TrRoad_act!J67=0,0,TrRoad_emi!J64/TrRoad_tech!J179)</f>
        <v>1.0473087899709572</v>
      </c>
      <c r="K206" s="151">
        <f>IF(TrRoad_act!K67=0,0,TrRoad_emi!K64/TrRoad_tech!K179)</f>
        <v>1.0397026918076611</v>
      </c>
      <c r="L206" s="151">
        <f>IF(TrRoad_act!L67=0,0,TrRoad_emi!L64/TrRoad_tech!L179)</f>
        <v>1.0498244760609494</v>
      </c>
      <c r="M206" s="151">
        <f>IF(TrRoad_act!M67=0,0,TrRoad_emi!M64/TrRoad_tech!M179)</f>
        <v>1.1307392441227646</v>
      </c>
      <c r="N206" s="151">
        <f>IF(TrRoad_act!N67=0,0,TrRoad_emi!N64/TrRoad_tech!N179)</f>
        <v>1.0750836299940605</v>
      </c>
      <c r="O206" s="151">
        <f>IF(TrRoad_act!O67=0,0,TrRoad_emi!O64/TrRoad_tech!O179)</f>
        <v>1.0903884064706504</v>
      </c>
      <c r="P206" s="151">
        <f>IF(TrRoad_act!P67=0,0,TrRoad_emi!P64/TrRoad_tech!P179)</f>
        <v>1.0880479557826712</v>
      </c>
      <c r="Q206" s="151">
        <f>IF(TrRoad_act!Q67=0,0,TrRoad_emi!Q64/TrRoad_tech!Q179)</f>
        <v>1.0936626901064146</v>
      </c>
      <c r="R206" s="151">
        <f>IF(TrRoad_act!R67=0,0,TrRoad_emi!R64/TrRoad_tech!R179)</f>
        <v>1.1127564713429487</v>
      </c>
      <c r="S206" s="151">
        <f>IF(TrRoad_act!S67=0,0,TrRoad_emi!S64/TrRoad_tech!S179)</f>
        <v>1.1383541630274554</v>
      </c>
      <c r="T206" s="151">
        <f>IF(TrRoad_act!T67=0,0,TrRoad_emi!T64/TrRoad_tech!T179)</f>
        <v>1.1636332707520283</v>
      </c>
      <c r="U206" s="151">
        <f>IF(TrRoad_act!U67=0,0,TrRoad_emi!U64/TrRoad_tech!U179)</f>
        <v>1.2061307049025618</v>
      </c>
      <c r="V206" s="151">
        <f>IF(TrRoad_act!V67=0,0,TrRoad_emi!V64/TrRoad_tech!V179)</f>
        <v>1.262290875889942</v>
      </c>
      <c r="W206" s="151">
        <f>IF(TrRoad_act!W67=0,0,TrRoad_emi!W64/TrRoad_tech!W179)</f>
        <v>1.3071362672829692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1.0954735914287486</v>
      </c>
      <c r="C207" s="93">
        <f>IF(TrRoad_act!C68=0,0,TrRoad_emi!C65/TrRoad_tech!C180)</f>
        <v>1.0957796266959325</v>
      </c>
      <c r="D207" s="93">
        <f>IF(TrRoad_act!D68=0,0,TrRoad_emi!D65/TrRoad_tech!D180)</f>
        <v>1.0954005437616696</v>
      </c>
      <c r="E207" s="93">
        <f>IF(TrRoad_act!E68=0,0,TrRoad_emi!E65/TrRoad_tech!E180)</f>
        <v>1.0958678440097682</v>
      </c>
      <c r="F207" s="93">
        <f>IF(TrRoad_act!F68=0,0,TrRoad_emi!F65/TrRoad_tech!F180)</f>
        <v>1.0953061441862593</v>
      </c>
      <c r="G207" s="93">
        <f>IF(TrRoad_act!G68=0,0,TrRoad_emi!G65/TrRoad_tech!G180)</f>
        <v>1.0901207390472059</v>
      </c>
      <c r="H207" s="93">
        <f>IF(TrRoad_act!H68=0,0,TrRoad_emi!H65/TrRoad_tech!H180)</f>
        <v>1.084928489965252</v>
      </c>
      <c r="I207" s="93">
        <f>IF(TrRoad_act!I68=0,0,TrRoad_emi!I65/TrRoad_tech!I180)</f>
        <v>1.0692757731193046</v>
      </c>
      <c r="J207" s="93">
        <f>IF(TrRoad_act!J68=0,0,TrRoad_emi!J65/TrRoad_tech!J180)</f>
        <v>1.0458410775565539</v>
      </c>
      <c r="K207" s="93">
        <f>IF(TrRoad_act!K68=0,0,TrRoad_emi!K65/TrRoad_tech!K180)</f>
        <v>1.0480112535133377</v>
      </c>
      <c r="L207" s="93">
        <f>IF(TrRoad_act!L68=0,0,TrRoad_emi!L65/TrRoad_tech!L180)</f>
        <v>1.044216668202343</v>
      </c>
      <c r="M207" s="93">
        <f>IF(TrRoad_act!M68=0,0,TrRoad_emi!M65/TrRoad_tech!M180)</f>
        <v>1.0439311075450404</v>
      </c>
      <c r="N207" s="93">
        <f>IF(TrRoad_act!N68=0,0,TrRoad_emi!N65/TrRoad_tech!N180)</f>
        <v>1.0396684971620156</v>
      </c>
      <c r="O207" s="93">
        <f>IF(TrRoad_act!O68=0,0,TrRoad_emi!O65/TrRoad_tech!O180)</f>
        <v>1.0390390447734552</v>
      </c>
      <c r="P207" s="93">
        <f>IF(TrRoad_act!P68=0,0,TrRoad_emi!P65/TrRoad_tech!P180)</f>
        <v>1.0367800522182746</v>
      </c>
      <c r="Q207" s="93">
        <f>IF(TrRoad_act!Q68=0,0,TrRoad_emi!Q65/TrRoad_tech!Q180)</f>
        <v>1.034980946843435</v>
      </c>
      <c r="R207" s="93">
        <f>IF(TrRoad_act!R68=0,0,TrRoad_emi!R65/TrRoad_tech!R180)</f>
        <v>1.0301883105128826</v>
      </c>
      <c r="S207" s="93">
        <f>IF(TrRoad_act!S68=0,0,TrRoad_emi!S65/TrRoad_tech!S180)</f>
        <v>1.0253693704339464</v>
      </c>
      <c r="T207" s="93">
        <f>IF(TrRoad_act!T68=0,0,TrRoad_emi!T65/TrRoad_tech!T180)</f>
        <v>1.0213535122911104</v>
      </c>
      <c r="U207" s="93">
        <f>IF(TrRoad_act!U68=0,0,TrRoad_emi!U65/TrRoad_tech!U180)</f>
        <v>1.020930259623235</v>
      </c>
      <c r="V207" s="93">
        <f>IF(TrRoad_act!V68=0,0,TrRoad_emi!V65/TrRoad_tech!V180)</f>
        <v>1.0243905285918067</v>
      </c>
      <c r="W207" s="93">
        <f>IF(TrRoad_act!W68=0,0,TrRoad_emi!W65/TrRoad_tech!W180)</f>
        <v>1.0334974600120244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1.0894803950744956</v>
      </c>
      <c r="C208" s="93">
        <f>IF(TrRoad_act!C69=0,0,TrRoad_emi!C66/TrRoad_tech!C181)</f>
        <v>1.0899504304464982</v>
      </c>
      <c r="D208" s="93">
        <f>IF(TrRoad_act!D69=0,0,TrRoad_emi!D66/TrRoad_tech!D181)</f>
        <v>1.0904649767760415</v>
      </c>
      <c r="E208" s="93">
        <f>IF(TrRoad_act!E69=0,0,TrRoad_emi!E66/TrRoad_tech!E181)</f>
        <v>1.0922599639602204</v>
      </c>
      <c r="F208" s="93">
        <f>IF(TrRoad_act!F69=0,0,TrRoad_emi!F66/TrRoad_tech!F181)</f>
        <v>1.0932311883077364</v>
      </c>
      <c r="G208" s="93">
        <f>IF(TrRoad_act!G69=0,0,TrRoad_emi!G66/TrRoad_tech!G181)</f>
        <v>1.0889396122720896</v>
      </c>
      <c r="H208" s="93">
        <f>IF(TrRoad_act!H69=0,0,TrRoad_emi!H66/TrRoad_tech!H181)</f>
        <v>1.0899115805260013</v>
      </c>
      <c r="I208" s="93">
        <f>IF(TrRoad_act!I69=0,0,TrRoad_emi!I66/TrRoad_tech!I181)</f>
        <v>1.0746637784663287</v>
      </c>
      <c r="J208" s="93">
        <f>IF(TrRoad_act!J69=0,0,TrRoad_emi!J66/TrRoad_tech!J181)</f>
        <v>1.055897369055609</v>
      </c>
      <c r="K208" s="93">
        <f>IF(TrRoad_act!K69=0,0,TrRoad_emi!K66/TrRoad_tech!K181)</f>
        <v>1.0569608066239733</v>
      </c>
      <c r="L208" s="93">
        <f>IF(TrRoad_act!L69=0,0,TrRoad_emi!L66/TrRoad_tech!L181)</f>
        <v>1.0667967294063414</v>
      </c>
      <c r="M208" s="93">
        <f>IF(TrRoad_act!M69=0,0,TrRoad_emi!M66/TrRoad_tech!M181)</f>
        <v>1.0744001149413691</v>
      </c>
      <c r="N208" s="93">
        <f>IF(TrRoad_act!N69=0,0,TrRoad_emi!N66/TrRoad_tech!N181)</f>
        <v>1.0760677486653358</v>
      </c>
      <c r="O208" s="93">
        <f>IF(TrRoad_act!O69=0,0,TrRoad_emi!O66/TrRoad_tech!O181)</f>
        <v>1.0890438321630926</v>
      </c>
      <c r="P208" s="93">
        <f>IF(TrRoad_act!P69=0,0,TrRoad_emi!P66/TrRoad_tech!P181)</f>
        <v>1.0938798571779893</v>
      </c>
      <c r="Q208" s="93">
        <f>IF(TrRoad_act!Q69=0,0,TrRoad_emi!Q66/TrRoad_tech!Q181)</f>
        <v>1.1088537295902279</v>
      </c>
      <c r="R208" s="93">
        <f>IF(TrRoad_act!R69=0,0,TrRoad_emi!R66/TrRoad_tech!R181)</f>
        <v>1.1248641219891142</v>
      </c>
      <c r="S208" s="93">
        <f>IF(TrRoad_act!S69=0,0,TrRoad_emi!S66/TrRoad_tech!S181)</f>
        <v>1.1361886730120261</v>
      </c>
      <c r="T208" s="93">
        <f>IF(TrRoad_act!T69=0,0,TrRoad_emi!T66/TrRoad_tech!T181)</f>
        <v>1.1484002211008659</v>
      </c>
      <c r="U208" s="93">
        <f>IF(TrRoad_act!U69=0,0,TrRoad_emi!U66/TrRoad_tech!U181)</f>
        <v>1.1612685317414095</v>
      </c>
      <c r="V208" s="93">
        <f>IF(TrRoad_act!V69=0,0,TrRoad_emi!V66/TrRoad_tech!V181)</f>
        <v>1.1798931232091023</v>
      </c>
      <c r="W208" s="93">
        <f>IF(TrRoad_act!W69=0,0,TrRoad_emi!W66/TrRoad_tech!W181)</f>
        <v>1.1989599593614539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</v>
      </c>
      <c r="C209" s="93">
        <f>IF(TrRoad_act!C70=0,0,TrRoad_emi!C67/TrRoad_tech!C182)</f>
        <v>1.1008094856523514</v>
      </c>
      <c r="D209" s="93">
        <f>IF(TrRoad_act!D70=0,0,TrRoad_emi!D67/TrRoad_tech!D182)</f>
        <v>1.1008855200312133</v>
      </c>
      <c r="E209" s="93">
        <f>IF(TrRoad_act!E70=0,0,TrRoad_emi!E67/TrRoad_tech!E182)</f>
        <v>1.1019857739916248</v>
      </c>
      <c r="F209" s="93">
        <f>IF(TrRoad_act!F70=0,0,TrRoad_emi!F67/TrRoad_tech!F182)</f>
        <v>1.1029340553585296</v>
      </c>
      <c r="G209" s="93">
        <f>IF(TrRoad_act!G70=0,0,TrRoad_emi!G67/TrRoad_tech!G182)</f>
        <v>1.1045242413357166</v>
      </c>
      <c r="H209" s="93">
        <f>IF(TrRoad_act!H70=0,0,TrRoad_emi!H67/TrRoad_tech!H182)</f>
        <v>1.1056850348851093</v>
      </c>
      <c r="I209" s="93">
        <f>IF(TrRoad_act!I70=0,0,TrRoad_emi!I67/TrRoad_tech!I182)</f>
        <v>1.1185689793138642</v>
      </c>
      <c r="J209" s="93">
        <f>IF(TrRoad_act!J70=0,0,TrRoad_emi!J67/TrRoad_tech!J182)</f>
        <v>1.119195515457091</v>
      </c>
      <c r="K209" s="93">
        <f>IF(TrRoad_act!K70=0,0,TrRoad_emi!K67/TrRoad_tech!K182)</f>
        <v>1.1209372475153485</v>
      </c>
      <c r="L209" s="93">
        <f>IF(TrRoad_act!L70=0,0,TrRoad_emi!L67/TrRoad_tech!L182)</f>
        <v>1.1219636790506793</v>
      </c>
      <c r="M209" s="93">
        <f>IF(TrRoad_act!M70=0,0,TrRoad_emi!M67/TrRoad_tech!M182)</f>
        <v>1.1229781555495453</v>
      </c>
      <c r="N209" s="93">
        <f>IF(TrRoad_act!N70=0,0,TrRoad_emi!N67/TrRoad_tech!N182)</f>
        <v>1.1254210792519208</v>
      </c>
      <c r="O209" s="93">
        <f>IF(TrRoad_act!O70=0,0,TrRoad_emi!O67/TrRoad_tech!O182)</f>
        <v>1.1263871623236945</v>
      </c>
      <c r="P209" s="93">
        <f>IF(TrRoad_act!P70=0,0,TrRoad_emi!P67/TrRoad_tech!P182)</f>
        <v>1.1282006247013492</v>
      </c>
      <c r="Q209" s="93">
        <f>IF(TrRoad_act!Q70=0,0,TrRoad_emi!Q67/TrRoad_tech!Q182)</f>
        <v>1.1301055777669944</v>
      </c>
      <c r="R209" s="93">
        <f>IF(TrRoad_act!R70=0,0,TrRoad_emi!R67/TrRoad_tech!R182)</f>
        <v>1.1297021480340907</v>
      </c>
      <c r="S209" s="93">
        <f>IF(TrRoad_act!S70=0,0,TrRoad_emi!S67/TrRoad_tech!S182)</f>
        <v>1.1303911604827317</v>
      </c>
      <c r="T209" s="93">
        <f>IF(TrRoad_act!T70=0,0,TrRoad_emi!T67/TrRoad_tech!T182)</f>
        <v>1.1310921953898072</v>
      </c>
      <c r="U209" s="93">
        <f>IF(TrRoad_act!U70=0,0,TrRoad_emi!U67/TrRoad_tech!U182)</f>
        <v>1.131742293610889</v>
      </c>
      <c r="V209" s="93">
        <f>IF(TrRoad_act!V70=0,0,TrRoad_emi!V67/TrRoad_tech!V182)</f>
        <v>1.1327036909609156</v>
      </c>
      <c r="W209" s="93">
        <f>IF(TrRoad_act!W70=0,0,TrRoad_emi!W67/TrRoad_tech!W182)</f>
        <v>1.1342086508309464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1.0937524725146195</v>
      </c>
      <c r="C210" s="93">
        <f>IF(TrRoad_act!C71=0,0,TrRoad_emi!C68/TrRoad_tech!C183)</f>
        <v>1.0859319694015463</v>
      </c>
      <c r="D210" s="93">
        <f>IF(TrRoad_act!D71=0,0,TrRoad_emi!D68/TrRoad_tech!D183)</f>
        <v>1.1045214435569475</v>
      </c>
      <c r="E210" s="93">
        <f>IF(TrRoad_act!E71=0,0,TrRoad_emi!E68/TrRoad_tech!E183)</f>
        <v>1.1013478647618167</v>
      </c>
      <c r="F210" s="93">
        <f>IF(TrRoad_act!F71=0,0,TrRoad_emi!F68/TrRoad_tech!F183)</f>
        <v>1.028131945032146</v>
      </c>
      <c r="G210" s="93">
        <f>IF(TrRoad_act!G71=0,0,TrRoad_emi!G68/TrRoad_tech!G183)</f>
        <v>1.0322526390781079</v>
      </c>
      <c r="H210" s="93">
        <f>IF(TrRoad_act!H71=0,0,TrRoad_emi!H68/TrRoad_tech!H183)</f>
        <v>1.118827437991043</v>
      </c>
      <c r="I210" s="93">
        <f>IF(TrRoad_act!I71=0,0,TrRoad_emi!I68/TrRoad_tech!I183)</f>
        <v>1.0740407522452771</v>
      </c>
      <c r="J210" s="93">
        <f>IF(TrRoad_act!J71=0,0,TrRoad_emi!J68/TrRoad_tech!J183)</f>
        <v>1.0941715107540324</v>
      </c>
      <c r="K210" s="93">
        <f>IF(TrRoad_act!K71=0,0,TrRoad_emi!K68/TrRoad_tech!K183)</f>
        <v>1.088922896650832</v>
      </c>
      <c r="L210" s="93">
        <f>IF(TrRoad_act!L71=0,0,TrRoad_emi!L68/TrRoad_tech!L183)</f>
        <v>1.1803589455779302</v>
      </c>
      <c r="M210" s="93">
        <f>IF(TrRoad_act!M71=0,0,TrRoad_emi!M68/TrRoad_tech!M183)</f>
        <v>1.1993344511826425</v>
      </c>
      <c r="N210" s="93">
        <f>IF(TrRoad_act!N71=0,0,TrRoad_emi!N68/TrRoad_tech!N183)</f>
        <v>1.2002311258747631</v>
      </c>
      <c r="O210" s="93">
        <f>IF(TrRoad_act!O71=0,0,TrRoad_emi!O68/TrRoad_tech!O183)</f>
        <v>1.2398242229551197</v>
      </c>
      <c r="P210" s="93">
        <f>IF(TrRoad_act!P71=0,0,TrRoad_emi!P68/TrRoad_tech!P183)</f>
        <v>1.2654508455841262</v>
      </c>
      <c r="Q210" s="93">
        <f>IF(TrRoad_act!Q71=0,0,TrRoad_emi!Q68/TrRoad_tech!Q183)</f>
        <v>1.2945326440062912</v>
      </c>
      <c r="R210" s="93">
        <f>IF(TrRoad_act!R71=0,0,TrRoad_emi!R68/TrRoad_tech!R183)</f>
        <v>1.3420650112769656</v>
      </c>
      <c r="S210" s="93">
        <f>IF(TrRoad_act!S71=0,0,TrRoad_emi!S68/TrRoad_tech!S183)</f>
        <v>1.4039337773273401</v>
      </c>
      <c r="T210" s="93">
        <f>IF(TrRoad_act!T71=0,0,TrRoad_emi!T68/TrRoad_tech!T183)</f>
        <v>1.3995901746648682</v>
      </c>
      <c r="U210" s="93">
        <f>IF(TrRoad_act!U71=0,0,TrRoad_emi!U68/TrRoad_tech!U183)</f>
        <v>1.4192932181865046</v>
      </c>
      <c r="V210" s="93">
        <f>IF(TrRoad_act!V71=0,0,TrRoad_emi!V68/TrRoad_tech!V183)</f>
        <v>1.5901463157140658</v>
      </c>
      <c r="W210" s="93">
        <f>IF(TrRoad_act!W71=0,0,TrRoad_emi!W68/TrRoad_tech!W183)</f>
        <v>1.583257647390516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1.1621602102129125</v>
      </c>
      <c r="C213" s="150">
        <f>IF(TrRoad_act!C74=0,0,TrRoad_emi!C71/TrRoad_tech!C186)</f>
        <v>1.145626724903388</v>
      </c>
      <c r="D213" s="150">
        <f>IF(TrRoad_act!D74=0,0,TrRoad_emi!D71/TrRoad_tech!D186)</f>
        <v>1.1390748685005363</v>
      </c>
      <c r="E213" s="150">
        <f>IF(TrRoad_act!E74=0,0,TrRoad_emi!E71/TrRoad_tech!E186)</f>
        <v>1.1212929641150868</v>
      </c>
      <c r="F213" s="150">
        <f>IF(TrRoad_act!F74=0,0,TrRoad_emi!F71/TrRoad_tech!F186)</f>
        <v>1.1055979499555835</v>
      </c>
      <c r="G213" s="150">
        <f>IF(TrRoad_act!G74=0,0,TrRoad_emi!G71/TrRoad_tech!G186)</f>
        <v>1.089645800162611</v>
      </c>
      <c r="H213" s="150">
        <f>IF(TrRoad_act!H74=0,0,TrRoad_emi!H71/TrRoad_tech!H186)</f>
        <v>1.0805283887654642</v>
      </c>
      <c r="I213" s="150">
        <f>IF(TrRoad_act!I74=0,0,TrRoad_emi!I71/TrRoad_tech!I186)</f>
        <v>1.0447456876454804</v>
      </c>
      <c r="J213" s="150">
        <f>IF(TrRoad_act!J74=0,0,TrRoad_emi!J71/TrRoad_tech!J186)</f>
        <v>1.0644116637157992</v>
      </c>
      <c r="K213" s="150">
        <f>IF(TrRoad_act!K74=0,0,TrRoad_emi!K71/TrRoad_tech!K186)</f>
        <v>1.0893900375889609</v>
      </c>
      <c r="L213" s="150">
        <f>IF(TrRoad_act!L74=0,0,TrRoad_emi!L71/TrRoad_tech!L186)</f>
        <v>1.1862791432701685</v>
      </c>
      <c r="M213" s="150">
        <f>IF(TrRoad_act!M74=0,0,TrRoad_emi!M71/TrRoad_tech!M186)</f>
        <v>1.2194918293137533</v>
      </c>
      <c r="N213" s="150">
        <f>IF(TrRoad_act!N74=0,0,TrRoad_emi!N71/TrRoad_tech!N186)</f>
        <v>1.1480963973256764</v>
      </c>
      <c r="O213" s="150">
        <f>IF(TrRoad_act!O74=0,0,TrRoad_emi!O71/TrRoad_tech!O186)</f>
        <v>1.1446174729249681</v>
      </c>
      <c r="P213" s="150">
        <f>IF(TrRoad_act!P74=0,0,TrRoad_emi!P71/TrRoad_tech!P186)</f>
        <v>1.1342109218812555</v>
      </c>
      <c r="Q213" s="150">
        <f>IF(TrRoad_act!Q74=0,0,TrRoad_emi!Q71/TrRoad_tech!Q186)</f>
        <v>1.1265222769722498</v>
      </c>
      <c r="R213" s="150">
        <f>IF(TrRoad_act!R74=0,0,TrRoad_emi!R71/TrRoad_tech!R186)</f>
        <v>1.1137670563265152</v>
      </c>
      <c r="S213" s="150">
        <f>IF(TrRoad_act!S74=0,0,TrRoad_emi!S71/TrRoad_tech!S186)</f>
        <v>1.1123648285131595</v>
      </c>
      <c r="T213" s="150">
        <f>IF(TrRoad_act!T74=0,0,TrRoad_emi!T71/TrRoad_tech!T186)</f>
        <v>1.1122368815100609</v>
      </c>
      <c r="U213" s="150">
        <f>IF(TrRoad_act!U74=0,0,TrRoad_emi!U71/TrRoad_tech!U186)</f>
        <v>1.110759584804879</v>
      </c>
      <c r="V213" s="150">
        <f>IF(TrRoad_act!V74=0,0,TrRoad_emi!V71/TrRoad_tech!V186)</f>
        <v>1.1254175422175159</v>
      </c>
      <c r="W213" s="150">
        <f>IF(TrRoad_act!W74=0,0,TrRoad_emi!W71/TrRoad_tech!W186)</f>
        <v>1.162021823379906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1.095473591428749</v>
      </c>
      <c r="C214" s="91">
        <f>IF(TrRoad_act!C75=0,0,TrRoad_emi!C72/TrRoad_tech!C187)</f>
        <v>1.0957675531215409</v>
      </c>
      <c r="D214" s="91">
        <f>IF(TrRoad_act!D75=0,0,TrRoad_emi!D72/TrRoad_tech!D187)</f>
        <v>1.0953645148372144</v>
      </c>
      <c r="E214" s="91">
        <f>IF(TrRoad_act!E75=0,0,TrRoad_emi!E72/TrRoad_tech!E187)</f>
        <v>1.0958453406029094</v>
      </c>
      <c r="F214" s="91">
        <f>IF(TrRoad_act!F75=0,0,TrRoad_emi!F72/TrRoad_tech!F187)</f>
        <v>1.0953164170651979</v>
      </c>
      <c r="G214" s="91">
        <f>IF(TrRoad_act!G75=0,0,TrRoad_emi!G72/TrRoad_tech!G187)</f>
        <v>1.0902311084357825</v>
      </c>
      <c r="H214" s="91">
        <f>IF(TrRoad_act!H75=0,0,TrRoad_emi!H72/TrRoad_tech!H187)</f>
        <v>1.0852667214142264</v>
      </c>
      <c r="I214" s="91">
        <f>IF(TrRoad_act!I75=0,0,TrRoad_emi!I72/TrRoad_tech!I187)</f>
        <v>1.0699924418770335</v>
      </c>
      <c r="J214" s="91">
        <f>IF(TrRoad_act!J75=0,0,TrRoad_emi!J72/TrRoad_tech!J187)</f>
        <v>1.0470311862268562</v>
      </c>
      <c r="K214" s="91">
        <f>IF(TrRoad_act!K75=0,0,TrRoad_emi!K72/TrRoad_tech!K187)</f>
        <v>1.050128650608162</v>
      </c>
      <c r="L214" s="91">
        <f>IF(TrRoad_act!L75=0,0,TrRoad_emi!L72/TrRoad_tech!L187)</f>
        <v>1.0504519472363028</v>
      </c>
      <c r="M214" s="91">
        <f>IF(TrRoad_act!M75=0,0,TrRoad_emi!M72/TrRoad_tech!M187)</f>
        <v>1.0550825072072798</v>
      </c>
      <c r="N214" s="91">
        <f>IF(TrRoad_act!N75=0,0,TrRoad_emi!N72/TrRoad_tech!N187)</f>
        <v>1.0574409643564751</v>
      </c>
      <c r="O214" s="91">
        <f>IF(TrRoad_act!O75=0,0,TrRoad_emi!O72/TrRoad_tech!O187)</f>
        <v>1.062995354280059</v>
      </c>
      <c r="P214" s="91">
        <f>IF(TrRoad_act!P75=0,0,TrRoad_emi!P72/TrRoad_tech!P187)</f>
        <v>1.063552095254457</v>
      </c>
      <c r="Q214" s="91">
        <f>IF(TrRoad_act!Q75=0,0,TrRoad_emi!Q72/TrRoad_tech!Q187)</f>
        <v>1.0653074194487342</v>
      </c>
      <c r="R214" s="91">
        <f>IF(TrRoad_act!R75=0,0,TrRoad_emi!R72/TrRoad_tech!R187)</f>
        <v>1.0642958864051866</v>
      </c>
      <c r="S214" s="91">
        <f>IF(TrRoad_act!S75=0,0,TrRoad_emi!S72/TrRoad_tech!S187)</f>
        <v>1.0637789959706569</v>
      </c>
      <c r="T214" s="91">
        <f>IF(TrRoad_act!T75=0,0,TrRoad_emi!T72/TrRoad_tech!T187)</f>
        <v>1.0688922599318125</v>
      </c>
      <c r="U214" s="91">
        <f>IF(TrRoad_act!U75=0,0,TrRoad_emi!U72/TrRoad_tech!U187)</f>
        <v>1.076788070683145</v>
      </c>
      <c r="V214" s="91">
        <f>IF(TrRoad_act!V75=0,0,TrRoad_emi!V72/TrRoad_tech!V187)</f>
        <v>1.0839483118767619</v>
      </c>
      <c r="W214" s="91">
        <f>IF(TrRoad_act!W75=0,0,TrRoad_emi!W72/TrRoad_tech!W187)</f>
        <v>1.0794574513561352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1.1503113455293354</v>
      </c>
      <c r="C215" s="91">
        <f>IF(TrRoad_act!C76=0,0,TrRoad_emi!C73/TrRoad_tech!C188)</f>
        <v>1.1313342903931218</v>
      </c>
      <c r="D215" s="91">
        <f>IF(TrRoad_act!D76=0,0,TrRoad_emi!D73/TrRoad_tech!D188)</f>
        <v>1.1212325340088283</v>
      </c>
      <c r="E215" s="91">
        <f>IF(TrRoad_act!E76=0,0,TrRoad_emi!E73/TrRoad_tech!E188)</f>
        <v>1.1036708659145977</v>
      </c>
      <c r="F215" s="91">
        <f>IF(TrRoad_act!F76=0,0,TrRoad_emi!F73/TrRoad_tech!F188)</f>
        <v>1.0858272791505306</v>
      </c>
      <c r="G215" s="91">
        <f>IF(TrRoad_act!G76=0,0,TrRoad_emi!G73/TrRoad_tech!G188)</f>
        <v>1.0771735360485655</v>
      </c>
      <c r="H215" s="91">
        <f>IF(TrRoad_act!H76=0,0,TrRoad_emi!H73/TrRoad_tech!H188)</f>
        <v>1.0674821710561293</v>
      </c>
      <c r="I215" s="91">
        <f>IF(TrRoad_act!I76=0,0,TrRoad_emi!I73/TrRoad_tech!I188)</f>
        <v>1.0447290923889716</v>
      </c>
      <c r="J215" s="91">
        <f>IF(TrRoad_act!J76=0,0,TrRoad_emi!J73/TrRoad_tech!J188)</f>
        <v>1.0330605577238574</v>
      </c>
      <c r="K215" s="91">
        <f>IF(TrRoad_act!K76=0,0,TrRoad_emi!K73/TrRoad_tech!K188)</f>
        <v>1.0434973016211617</v>
      </c>
      <c r="L215" s="91">
        <f>IF(TrRoad_act!L76=0,0,TrRoad_emi!L73/TrRoad_tech!L188)</f>
        <v>1.0468732910692107</v>
      </c>
      <c r="M215" s="91">
        <f>IF(TrRoad_act!M76=0,0,TrRoad_emi!M73/TrRoad_tech!M188)</f>
        <v>1.0624848873403592</v>
      </c>
      <c r="N215" s="91">
        <f>IF(TrRoad_act!N76=0,0,TrRoad_emi!N73/TrRoad_tech!N188)</f>
        <v>1.0655839915034349</v>
      </c>
      <c r="O215" s="91">
        <f>IF(TrRoad_act!O76=0,0,TrRoad_emi!O73/TrRoad_tech!O188)</f>
        <v>1.0732317958265714</v>
      </c>
      <c r="P215" s="91">
        <f>IF(TrRoad_act!P76=0,0,TrRoad_emi!P73/TrRoad_tech!P188)</f>
        <v>1.0827500923681486</v>
      </c>
      <c r="Q215" s="91">
        <f>IF(TrRoad_act!Q76=0,0,TrRoad_emi!Q73/TrRoad_tech!Q188)</f>
        <v>1.096901813809948</v>
      </c>
      <c r="R215" s="91">
        <f>IF(TrRoad_act!R76=0,0,TrRoad_emi!R73/TrRoad_tech!R188)</f>
        <v>1.1124118788016246</v>
      </c>
      <c r="S215" s="91">
        <f>IF(TrRoad_act!S76=0,0,TrRoad_emi!S73/TrRoad_tech!S188)</f>
        <v>1.1177186993820716</v>
      </c>
      <c r="T215" s="91">
        <f>IF(TrRoad_act!T76=0,0,TrRoad_emi!T73/TrRoad_tech!T188)</f>
        <v>1.1331226482762204</v>
      </c>
      <c r="U215" s="91">
        <f>IF(TrRoad_act!U76=0,0,TrRoad_emi!U73/TrRoad_tech!U188)</f>
        <v>1.1357398419912199</v>
      </c>
      <c r="V215" s="91">
        <f>IF(TrRoad_act!V76=0,0,TrRoad_emi!V73/TrRoad_tech!V188)</f>
        <v>1.14675793958731</v>
      </c>
      <c r="W215" s="91">
        <f>IF(TrRoad_act!W76=0,0,TrRoad_emi!W73/TrRoad_tech!W188)</f>
        <v>1.1770652725143078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1.1002020652408784</v>
      </c>
      <c r="D216" s="91">
        <f>IF(TrRoad_act!D77=0,0,TrRoad_emi!D74/TrRoad_tech!D189)</f>
        <v>1.1005631230545565</v>
      </c>
      <c r="E216" s="91">
        <f>IF(TrRoad_act!E77=0,0,TrRoad_emi!E74/TrRoad_tech!E189)</f>
        <v>1.1011297557474535</v>
      </c>
      <c r="F216" s="91">
        <f>IF(TrRoad_act!F77=0,0,TrRoad_emi!F74/TrRoad_tech!F189)</f>
        <v>1.1020165866185603</v>
      </c>
      <c r="G216" s="91">
        <f>IF(TrRoad_act!G77=0,0,TrRoad_emi!G74/TrRoad_tech!G189)</f>
        <v>1.1030841378801848</v>
      </c>
      <c r="H216" s="91">
        <f>IF(TrRoad_act!H77=0,0,TrRoad_emi!H74/TrRoad_tech!H189)</f>
        <v>1.1049263608579152</v>
      </c>
      <c r="I216" s="91">
        <f>IF(TrRoad_act!I77=0,0,TrRoad_emi!I74/TrRoad_tech!I189)</f>
        <v>1.1065992157839197</v>
      </c>
      <c r="J216" s="91">
        <f>IF(TrRoad_act!J77=0,0,TrRoad_emi!J74/TrRoad_tech!J189)</f>
        <v>1.1076243161527781</v>
      </c>
      <c r="K216" s="91">
        <f>IF(TrRoad_act!K77=0,0,TrRoad_emi!K74/TrRoad_tech!K189)</f>
        <v>1.1113245094899804</v>
      </c>
      <c r="L216" s="91">
        <f>IF(TrRoad_act!L77=0,0,TrRoad_emi!L74/TrRoad_tech!L189)</f>
        <v>1.1115850869310209</v>
      </c>
      <c r="M216" s="91">
        <f>IF(TrRoad_act!M77=0,0,TrRoad_emi!M74/TrRoad_tech!M189)</f>
        <v>1.111901114392801</v>
      </c>
      <c r="N216" s="91">
        <f>IF(TrRoad_act!N77=0,0,TrRoad_emi!N74/TrRoad_tech!N189)</f>
        <v>1.112484878161166</v>
      </c>
      <c r="O216" s="91">
        <f>IF(TrRoad_act!O77=0,0,TrRoad_emi!O74/TrRoad_tech!O189)</f>
        <v>1.1135295136146441</v>
      </c>
      <c r="P216" s="91">
        <f>IF(TrRoad_act!P77=0,0,TrRoad_emi!P74/TrRoad_tech!P189)</f>
        <v>1.1144883096946463</v>
      </c>
      <c r="Q216" s="91">
        <f>IF(TrRoad_act!Q77=0,0,TrRoad_emi!Q74/TrRoad_tech!Q189)</f>
        <v>1.115325298226655</v>
      </c>
      <c r="R216" s="91">
        <f>IF(TrRoad_act!R77=0,0,TrRoad_emi!R74/TrRoad_tech!R189)</f>
        <v>1.1157266232281648</v>
      </c>
      <c r="S216" s="91">
        <f>IF(TrRoad_act!S77=0,0,TrRoad_emi!S74/TrRoad_tech!S189)</f>
        <v>1.1163793263150226</v>
      </c>
      <c r="T216" s="91">
        <f>IF(TrRoad_act!T77=0,0,TrRoad_emi!T74/TrRoad_tech!T189)</f>
        <v>1.1180208461967382</v>
      </c>
      <c r="U216" s="91">
        <f>IF(TrRoad_act!U77=0,0,TrRoad_emi!U74/TrRoad_tech!U189)</f>
        <v>1.1191606157046576</v>
      </c>
      <c r="V216" s="91">
        <f>IF(TrRoad_act!V77=0,0,TrRoad_emi!V74/TrRoad_tech!V189)</f>
        <v>1.225529156298065</v>
      </c>
      <c r="W216" s="91">
        <f>IF(TrRoad_act!W77=0,0,TrRoad_emi!W74/TrRoad_tech!W189)</f>
        <v>1.2289018276369219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1.1000000000067305</v>
      </c>
      <c r="C217" s="91">
        <f>IF(TrRoad_act!C78=0,0,TrRoad_emi!C75/TrRoad_tech!C190)</f>
        <v>1.10000000000673</v>
      </c>
      <c r="D217" s="91">
        <f>IF(TrRoad_act!D78=0,0,TrRoad_emi!D75/TrRoad_tech!D190)</f>
        <v>1.1003087449888216</v>
      </c>
      <c r="E217" s="91">
        <f>IF(TrRoad_act!E78=0,0,TrRoad_emi!E75/TrRoad_tech!E190)</f>
        <v>1.1085657762840306</v>
      </c>
      <c r="F217" s="91">
        <f>IF(TrRoad_act!F78=0,0,TrRoad_emi!F75/TrRoad_tech!F190)</f>
        <v>1.1093127711129951</v>
      </c>
      <c r="G217" s="91">
        <f>IF(TrRoad_act!G78=0,0,TrRoad_emi!G75/TrRoad_tech!G190)</f>
        <v>1.1098297212067025</v>
      </c>
      <c r="H217" s="91">
        <f>IF(TrRoad_act!H78=0,0,TrRoad_emi!H75/TrRoad_tech!H190)</f>
        <v>1.1289119974461519</v>
      </c>
      <c r="I217" s="91">
        <f>IF(TrRoad_act!I78=0,0,TrRoad_emi!I75/TrRoad_tech!I190)</f>
        <v>1.1309650517397172</v>
      </c>
      <c r="J217" s="91">
        <f>IF(TrRoad_act!J78=0,0,TrRoad_emi!J75/TrRoad_tech!J190)</f>
        <v>1.1340855334946036</v>
      </c>
      <c r="K217" s="91">
        <f>IF(TrRoad_act!K78=0,0,TrRoad_emi!K75/TrRoad_tech!K190)</f>
        <v>1.1451930262765539</v>
      </c>
      <c r="L217" s="91">
        <f>IF(TrRoad_act!L78=0,0,TrRoad_emi!L75/TrRoad_tech!L190)</f>
        <v>1.168082553730529</v>
      </c>
      <c r="M217" s="91">
        <f>IF(TrRoad_act!M78=0,0,TrRoad_emi!M75/TrRoad_tech!M190)</f>
        <v>1.1828062728033037</v>
      </c>
      <c r="N217" s="91">
        <f>IF(TrRoad_act!N78=0,0,TrRoad_emi!N75/TrRoad_tech!N190)</f>
        <v>1.1977929747689851</v>
      </c>
      <c r="O217" s="91">
        <f>IF(TrRoad_act!O78=0,0,TrRoad_emi!O75/TrRoad_tech!O190)</f>
        <v>1.2105420273355101</v>
      </c>
      <c r="P217" s="91">
        <f>IF(TrRoad_act!P78=0,0,TrRoad_emi!P75/TrRoad_tech!P190)</f>
        <v>1.2206281567882955</v>
      </c>
      <c r="Q217" s="91">
        <f>IF(TrRoad_act!Q78=0,0,TrRoad_emi!Q75/TrRoad_tech!Q190)</f>
        <v>1.2307913377232074</v>
      </c>
      <c r="R217" s="91">
        <f>IF(TrRoad_act!R78=0,0,TrRoad_emi!R75/TrRoad_tech!R190)</f>
        <v>1.245049324303225</v>
      </c>
      <c r="S217" s="91">
        <f>IF(TrRoad_act!S78=0,0,TrRoad_emi!S75/TrRoad_tech!S190)</f>
        <v>1.2633657421845419</v>
      </c>
      <c r="T217" s="91">
        <f>IF(TrRoad_act!T78=0,0,TrRoad_emi!T75/TrRoad_tech!T190)</f>
        <v>1.3084266980884844</v>
      </c>
      <c r="U217" s="91">
        <f>IF(TrRoad_act!U78=0,0,TrRoad_emi!U75/TrRoad_tech!U190)</f>
        <v>1.3128528539684323</v>
      </c>
      <c r="V217" s="91">
        <f>IF(TrRoad_act!V78=0,0,TrRoad_emi!V75/TrRoad_tech!V190)</f>
        <v>1.3168611100935963</v>
      </c>
      <c r="W217" s="91">
        <f>IF(TrRoad_act!W78=0,0,TrRoad_emi!W75/TrRoad_tech!W190)</f>
        <v>1.3248218710507584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1.1730899935497123</v>
      </c>
      <c r="C219" s="151">
        <f>IF(TrRoad_act!C80=0,0,TrRoad_emi!C77/TrRoad_tech!C192)</f>
        <v>1.1569748448843125</v>
      </c>
      <c r="D219" s="151">
        <f>IF(TrRoad_act!D80=0,0,TrRoad_emi!D77/TrRoad_tech!D192)</f>
        <v>1.1487073712826494</v>
      </c>
      <c r="E219" s="151">
        <f>IF(TrRoad_act!E80=0,0,TrRoad_emi!E77/TrRoad_tech!E192)</f>
        <v>1.133311081595952</v>
      </c>
      <c r="F219" s="151">
        <f>IF(TrRoad_act!F80=0,0,TrRoad_emi!F77/TrRoad_tech!F192)</f>
        <v>1.1171201312827517</v>
      </c>
      <c r="G219" s="151">
        <f>IF(TrRoad_act!G80=0,0,TrRoad_emi!G77/TrRoad_tech!G192)</f>
        <v>1.1105211153419665</v>
      </c>
      <c r="H219" s="151">
        <f>IF(TrRoad_act!H80=0,0,TrRoad_emi!H77/TrRoad_tech!H192)</f>
        <v>1.1072874833729642</v>
      </c>
      <c r="I219" s="151">
        <f>IF(TrRoad_act!I80=0,0,TrRoad_emi!I77/TrRoad_tech!I192)</f>
        <v>1.0876540781767083</v>
      </c>
      <c r="J219" s="151">
        <f>IF(TrRoad_act!J80=0,0,TrRoad_emi!J77/TrRoad_tech!J192)</f>
        <v>1.075443625240764</v>
      </c>
      <c r="K219" s="151">
        <f>IF(TrRoad_act!K80=0,0,TrRoad_emi!K77/TrRoad_tech!K192)</f>
        <v>1.0910417712095688</v>
      </c>
      <c r="L219" s="151">
        <f>IF(TrRoad_act!L80=0,0,TrRoad_emi!L77/TrRoad_tech!L192)</f>
        <v>1.0939243833891625</v>
      </c>
      <c r="M219" s="151">
        <f>IF(TrRoad_act!M80=0,0,TrRoad_emi!M77/TrRoad_tech!M192)</f>
        <v>1.114375981220284</v>
      </c>
      <c r="N219" s="151">
        <f>IF(TrRoad_act!N80=0,0,TrRoad_emi!N77/TrRoad_tech!N192)</f>
        <v>1.1242573408859864</v>
      </c>
      <c r="O219" s="151">
        <f>IF(TrRoad_act!O80=0,0,TrRoad_emi!O77/TrRoad_tech!O192)</f>
        <v>1.1353458466821167</v>
      </c>
      <c r="P219" s="151">
        <f>IF(TrRoad_act!P80=0,0,TrRoad_emi!P77/TrRoad_tech!P192)</f>
        <v>1.1418487812150648</v>
      </c>
      <c r="Q219" s="151">
        <f>IF(TrRoad_act!Q80=0,0,TrRoad_emi!Q77/TrRoad_tech!Q192)</f>
        <v>1.1646281215118943</v>
      </c>
      <c r="R219" s="151">
        <f>IF(TrRoad_act!R80=0,0,TrRoad_emi!R77/TrRoad_tech!R192)</f>
        <v>1.1780414724880517</v>
      </c>
      <c r="S219" s="151">
        <f>IF(TrRoad_act!S80=0,0,TrRoad_emi!S77/TrRoad_tech!S192)</f>
        <v>1.1957228045911046</v>
      </c>
      <c r="T219" s="151">
        <f>IF(TrRoad_act!T80=0,0,TrRoad_emi!T77/TrRoad_tech!T192)</f>
        <v>1.2174731097597868</v>
      </c>
      <c r="U219" s="151">
        <f>IF(TrRoad_act!U80=0,0,TrRoad_emi!U77/TrRoad_tech!U192)</f>
        <v>1.232839845098529</v>
      </c>
      <c r="V219" s="151">
        <f>IF(TrRoad_act!V80=0,0,TrRoad_emi!V77/TrRoad_tech!V192)</f>
        <v>1.2550999133857577</v>
      </c>
      <c r="W219" s="151">
        <f>IF(TrRoad_act!W80=0,0,TrRoad_emi!W77/TrRoad_tech!W192)</f>
        <v>1.3099756459909049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1.2219033589888537</v>
      </c>
      <c r="C220" s="93">
        <f>IF(TrRoad_act!C81=0,0,TrRoad_emi!C78/TrRoad_tech!C193)</f>
        <v>1.2102969195927673</v>
      </c>
      <c r="D220" s="93">
        <f>IF(TrRoad_act!D81=0,0,TrRoad_emi!D78/TrRoad_tech!D193)</f>
        <v>1.2045087171467852</v>
      </c>
      <c r="E220" s="93">
        <f>IF(TrRoad_act!E81=0,0,TrRoad_emi!E78/TrRoad_tech!E193)</f>
        <v>1.1936250470264556</v>
      </c>
      <c r="F220" s="93">
        <f>IF(TrRoad_act!F81=0,0,TrRoad_emi!F78/TrRoad_tech!F193)</f>
        <v>1.1827161204317418</v>
      </c>
      <c r="G220" s="93">
        <f>IF(TrRoad_act!G81=0,0,TrRoad_emi!G78/TrRoad_tech!G193)</f>
        <v>1.1765260362291456</v>
      </c>
      <c r="H220" s="93">
        <f>IF(TrRoad_act!H81=0,0,TrRoad_emi!H78/TrRoad_tech!H193)</f>
        <v>1.1744887268386601</v>
      </c>
      <c r="I220" s="93">
        <f>IF(TrRoad_act!I81=0,0,TrRoad_emi!I78/TrRoad_tech!I193)</f>
        <v>1.1550520651775418</v>
      </c>
      <c r="J220" s="93">
        <f>IF(TrRoad_act!J81=0,0,TrRoad_emi!J78/TrRoad_tech!J193)</f>
        <v>1.1396583158107512</v>
      </c>
      <c r="K220" s="93">
        <f>IF(TrRoad_act!K81=0,0,TrRoad_emi!K78/TrRoad_tech!K193)</f>
        <v>1.1507120312500463</v>
      </c>
      <c r="L220" s="93">
        <f>IF(TrRoad_act!L81=0,0,TrRoad_emi!L78/TrRoad_tech!L193)</f>
        <v>1.1551622368758347</v>
      </c>
      <c r="M220" s="93">
        <f>IF(TrRoad_act!M81=0,0,TrRoad_emi!M78/TrRoad_tech!M193)</f>
        <v>1.1732607800545194</v>
      </c>
      <c r="N220" s="93">
        <f>IF(TrRoad_act!N81=0,0,TrRoad_emi!N78/TrRoad_tech!N193)</f>
        <v>1.1793878757304979</v>
      </c>
      <c r="O220" s="93">
        <f>IF(TrRoad_act!O81=0,0,TrRoad_emi!O78/TrRoad_tech!O193)</f>
        <v>1.188164619389235</v>
      </c>
      <c r="P220" s="93">
        <f>IF(TrRoad_act!P81=0,0,TrRoad_emi!P78/TrRoad_tech!P193)</f>
        <v>1.1915601671829341</v>
      </c>
      <c r="Q220" s="93">
        <f>IF(TrRoad_act!Q81=0,0,TrRoad_emi!Q78/TrRoad_tech!Q193)</f>
        <v>1.2096796345237344</v>
      </c>
      <c r="R220" s="93">
        <f>IF(TrRoad_act!R81=0,0,TrRoad_emi!R78/TrRoad_tech!R193)</f>
        <v>1.2216458071869769</v>
      </c>
      <c r="S220" s="93">
        <f>IF(TrRoad_act!S81=0,0,TrRoad_emi!S78/TrRoad_tech!S193)</f>
        <v>1.234766529962261</v>
      </c>
      <c r="T220" s="93">
        <f>IF(TrRoad_act!T81=0,0,TrRoad_emi!T78/TrRoad_tech!T193)</f>
        <v>1.2515577203222039</v>
      </c>
      <c r="U220" s="93">
        <f>IF(TrRoad_act!U81=0,0,TrRoad_emi!U78/TrRoad_tech!U193)</f>
        <v>1.2640693125299629</v>
      </c>
      <c r="V220" s="93">
        <f>IF(TrRoad_act!V81=0,0,TrRoad_emi!V78/TrRoad_tech!V193)</f>
        <v>1.2826333466865705</v>
      </c>
      <c r="W220" s="93">
        <f>IF(TrRoad_act!W81=0,0,TrRoad_emi!W78/TrRoad_tech!W193)</f>
        <v>1.3249346568950584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1.2929643427188111</v>
      </c>
      <c r="C221" s="94">
        <f>IF(TrRoad_act!C82=0,0,TrRoad_emi!C79/TrRoad_tech!C194)</f>
        <v>1.2646876923489416</v>
      </c>
      <c r="D221" s="94">
        <f>IF(TrRoad_act!D82=0,0,TrRoad_emi!D79/TrRoad_tech!D194)</f>
        <v>1.2499536310518082</v>
      </c>
      <c r="E221" s="94">
        <f>IF(TrRoad_act!E82=0,0,TrRoad_emi!E79/TrRoad_tech!E194)</f>
        <v>1.2238344305429718</v>
      </c>
      <c r="F221" s="94">
        <f>IF(TrRoad_act!F82=0,0,TrRoad_emi!F79/TrRoad_tech!F194)</f>
        <v>1.20081762182885</v>
      </c>
      <c r="G221" s="94">
        <f>IF(TrRoad_act!G82=0,0,TrRoad_emi!G79/TrRoad_tech!G194)</f>
        <v>1.1921512205283349</v>
      </c>
      <c r="H221" s="94">
        <f>IF(TrRoad_act!H82=0,0,TrRoad_emi!H79/TrRoad_tech!H194)</f>
        <v>1.186794661608938</v>
      </c>
      <c r="I221" s="94">
        <f>IF(TrRoad_act!I82=0,0,TrRoad_emi!I79/TrRoad_tech!I194)</f>
        <v>1.164422213306638</v>
      </c>
      <c r="J221" s="94">
        <f>IF(TrRoad_act!J82=0,0,TrRoad_emi!J79/TrRoad_tech!J194)</f>
        <v>1.1530739661565885</v>
      </c>
      <c r="K221" s="94">
        <f>IF(TrRoad_act!K82=0,0,TrRoad_emi!K79/TrRoad_tech!K194)</f>
        <v>1.1760589043509651</v>
      </c>
      <c r="L221" s="94">
        <f>IF(TrRoad_act!L82=0,0,TrRoad_emi!L79/TrRoad_tech!L194)</f>
        <v>1.1853967434292447</v>
      </c>
      <c r="M221" s="94">
        <f>IF(TrRoad_act!M82=0,0,TrRoad_emi!M79/TrRoad_tech!M194)</f>
        <v>1.2133115670687875</v>
      </c>
      <c r="N221" s="94">
        <f>IF(TrRoad_act!N82=0,0,TrRoad_emi!N79/TrRoad_tech!N194)</f>
        <v>1.224757723504724</v>
      </c>
      <c r="O221" s="94">
        <f>IF(TrRoad_act!O82=0,0,TrRoad_emi!O79/TrRoad_tech!O194)</f>
        <v>1.239333256588764</v>
      </c>
      <c r="P221" s="94">
        <f>IF(TrRoad_act!P82=0,0,TrRoad_emi!P79/TrRoad_tech!P194)</f>
        <v>1.2504428069013793</v>
      </c>
      <c r="Q221" s="94">
        <f>IF(TrRoad_act!Q82=0,0,TrRoad_emi!Q79/TrRoad_tech!Q194)</f>
        <v>1.2780072016997073</v>
      </c>
      <c r="R221" s="94">
        <f>IF(TrRoad_act!R82=0,0,TrRoad_emi!R79/TrRoad_tech!R194)</f>
        <v>1.2934234668390665</v>
      </c>
      <c r="S221" s="94">
        <f>IF(TrRoad_act!S82=0,0,TrRoad_emi!S79/TrRoad_tech!S194)</f>
        <v>1.3156916817970334</v>
      </c>
      <c r="T221" s="94">
        <f>IF(TrRoad_act!T82=0,0,TrRoad_emi!T79/TrRoad_tech!T194)</f>
        <v>1.3361183652845501</v>
      </c>
      <c r="U221" s="94">
        <f>IF(TrRoad_act!U82=0,0,TrRoad_emi!U79/TrRoad_tech!U194)</f>
        <v>1.3457507395202997</v>
      </c>
      <c r="V221" s="94">
        <f>IF(TrRoad_act!V82=0,0,TrRoad_emi!V79/TrRoad_tech!V194)</f>
        <v>1.3610346232534967</v>
      </c>
      <c r="W221" s="94">
        <f>IF(TrRoad_act!W82=0,0,TrRoad_emi!W79/TrRoad_tech!W194)</f>
        <v>1.427576499789815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89.767302150526831</v>
      </c>
      <c r="C225" s="152">
        <v>89.767302150526831</v>
      </c>
      <c r="D225" s="152">
        <v>89.767302150526831</v>
      </c>
      <c r="E225" s="152">
        <v>89.404052758350161</v>
      </c>
      <c r="F225" s="152">
        <v>89.040803366173478</v>
      </c>
      <c r="G225" s="152">
        <v>87.951915970193639</v>
      </c>
      <c r="H225" s="152">
        <v>86.498918401486961</v>
      </c>
      <c r="I225" s="152">
        <v>85.772419617133636</v>
      </c>
      <c r="J225" s="152">
        <v>81.414287691563757</v>
      </c>
      <c r="K225" s="152">
        <v>77.781793769797034</v>
      </c>
      <c r="L225" s="152">
        <v>77.418544377620364</v>
      </c>
      <c r="M225" s="152">
        <v>77.060479481747109</v>
      </c>
      <c r="N225" s="152">
        <v>76.217033943634164</v>
      </c>
      <c r="O225" s="152">
        <v>73.596682899931153</v>
      </c>
      <c r="P225" s="152">
        <v>72.322231859903724</v>
      </c>
      <c r="Q225" s="152">
        <v>75.507524097636178</v>
      </c>
      <c r="R225" s="152">
        <v>72.114456942106813</v>
      </c>
      <c r="S225" s="152">
        <v>71.43584351100094</v>
      </c>
      <c r="T225" s="152">
        <v>70.892952766116238</v>
      </c>
      <c r="U225" s="152">
        <v>70.458640170208469</v>
      </c>
      <c r="V225" s="152">
        <v>70.111190093482278</v>
      </c>
      <c r="W225" s="152">
        <v>69.833230032101312</v>
      </c>
      <c r="DA225" s="174" t="s">
        <v>931</v>
      </c>
    </row>
    <row r="226" spans="1:105" ht="11.45" customHeight="1" x14ac:dyDescent="0.25">
      <c r="A226" s="109" t="s">
        <v>20</v>
      </c>
      <c r="B226" s="116">
        <v>200.91709845363118</v>
      </c>
      <c r="C226" s="116">
        <v>199.62157002934234</v>
      </c>
      <c r="D226" s="116">
        <v>198.36042629276363</v>
      </c>
      <c r="E226" s="116">
        <v>197.08160359732295</v>
      </c>
      <c r="F226" s="116">
        <v>194.8995145524955</v>
      </c>
      <c r="G226" s="116">
        <v>193.77996131988647</v>
      </c>
      <c r="H226" s="116">
        <v>190.57558780828498</v>
      </c>
      <c r="I226" s="116">
        <v>191.01234695791328</v>
      </c>
      <c r="J226" s="116">
        <v>178.81137345853764</v>
      </c>
      <c r="K226" s="116">
        <v>170.09034609526341</v>
      </c>
      <c r="L226" s="116">
        <v>165.51400875977487</v>
      </c>
      <c r="M226" s="116">
        <v>162.5509096491738</v>
      </c>
      <c r="N226" s="116">
        <v>158.17221331010413</v>
      </c>
      <c r="O226" s="116">
        <v>148.66912690503119</v>
      </c>
      <c r="P226" s="116">
        <v>144.30602398983203</v>
      </c>
      <c r="Q226" s="116">
        <v>139.55173282735066</v>
      </c>
      <c r="R226" s="116">
        <v>137.59394823163365</v>
      </c>
      <c r="S226" s="116">
        <v>137.8115224843641</v>
      </c>
      <c r="T226" s="116">
        <v>139.13137590275096</v>
      </c>
      <c r="U226" s="116">
        <v>139.02011323250488</v>
      </c>
      <c r="V226" s="116">
        <v>122.34986208522277</v>
      </c>
      <c r="W226" s="116">
        <v>111.50503373048943</v>
      </c>
      <c r="DA226" s="176" t="s">
        <v>932</v>
      </c>
    </row>
    <row r="227" spans="1:105" ht="11.45" customHeight="1" x14ac:dyDescent="0.25">
      <c r="A227" s="111" t="s">
        <v>110</v>
      </c>
      <c r="B227" s="87">
        <v>198.43245863078786</v>
      </c>
      <c r="C227" s="87">
        <v>198.43245863078786</v>
      </c>
      <c r="D227" s="87">
        <v>198.43245863078783</v>
      </c>
      <c r="E227" s="87">
        <v>197.22232976084658</v>
      </c>
      <c r="F227" s="87">
        <v>196.01220089090538</v>
      </c>
      <c r="G227" s="87">
        <v>192.38468188503884</v>
      </c>
      <c r="H227" s="87">
        <v>187.54416640527396</v>
      </c>
      <c r="I227" s="87">
        <v>185.12390866539161</v>
      </c>
      <c r="J227" s="87">
        <v>170.60522983005418</v>
      </c>
      <c r="K227" s="87">
        <v>158.50394113064198</v>
      </c>
      <c r="L227" s="87">
        <v>156.82710668425989</v>
      </c>
      <c r="M227" s="87">
        <v>155.64913313843172</v>
      </c>
      <c r="N227" s="87">
        <v>152.74697496129835</v>
      </c>
      <c r="O227" s="87">
        <v>144.62078492603814</v>
      </c>
      <c r="P227" s="87">
        <v>140.5470279472091</v>
      </c>
      <c r="Q227" s="87">
        <v>137.77765592697375</v>
      </c>
      <c r="R227" s="87">
        <v>138.00364574049277</v>
      </c>
      <c r="S227" s="87">
        <v>137.90465491660689</v>
      </c>
      <c r="T227" s="87">
        <v>138.74801781325161</v>
      </c>
      <c r="U227" s="87">
        <v>141.10760035575609</v>
      </c>
      <c r="V227" s="87">
        <v>132.92605646238579</v>
      </c>
      <c r="W227" s="87">
        <v>127.0025941757429</v>
      </c>
      <c r="DA227" s="171" t="s">
        <v>933</v>
      </c>
    </row>
    <row r="228" spans="1:105" ht="11.45" customHeight="1" x14ac:dyDescent="0.25">
      <c r="A228" s="111" t="s">
        <v>111</v>
      </c>
      <c r="B228" s="87">
        <v>203.30651430459804</v>
      </c>
      <c r="C228" s="87">
        <v>200.92828405061462</v>
      </c>
      <c r="D228" s="87">
        <v>198.31842016589113</v>
      </c>
      <c r="E228" s="87">
        <v>197.01348822352944</v>
      </c>
      <c r="F228" s="87">
        <v>194.40362433880603</v>
      </c>
      <c r="G228" s="87">
        <v>194.40362433880603</v>
      </c>
      <c r="H228" s="87">
        <v>191.79376045408262</v>
      </c>
      <c r="I228" s="87">
        <v>193.09869239644436</v>
      </c>
      <c r="J228" s="87">
        <v>181.35777547886545</v>
      </c>
      <c r="K228" s="87">
        <v>174.83311576705697</v>
      </c>
      <c r="L228" s="87">
        <v>169.61338799761148</v>
      </c>
      <c r="M228" s="87">
        <v>165.23535791857094</v>
      </c>
      <c r="N228" s="87">
        <v>160.8967939167857</v>
      </c>
      <c r="O228" s="87">
        <v>151.81856877740262</v>
      </c>
      <c r="P228" s="87">
        <v>147.96099388635704</v>
      </c>
      <c r="Q228" s="87">
        <v>143.45420961148332</v>
      </c>
      <c r="R228" s="87">
        <v>140.43267394295725</v>
      </c>
      <c r="S228" s="87">
        <v>141.81909959641507</v>
      </c>
      <c r="T228" s="87">
        <v>145.83450892507429</v>
      </c>
      <c r="U228" s="87">
        <v>144.3039755932906</v>
      </c>
      <c r="V228" s="87">
        <v>135.55926037884529</v>
      </c>
      <c r="W228" s="87">
        <v>131.20747512574809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174.43570759091645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178.07861882276768</v>
      </c>
      <c r="K229" s="87">
        <v>166.31123719935206</v>
      </c>
      <c r="L229" s="87">
        <v>147.24970897976115</v>
      </c>
      <c r="M229" s="87">
        <v>138.20049425537735</v>
      </c>
      <c r="N229" s="87">
        <v>150.55729926345242</v>
      </c>
      <c r="O229" s="87">
        <v>148.78492580077892</v>
      </c>
      <c r="P229" s="87">
        <v>151.08113401811025</v>
      </c>
      <c r="Q229" s="87">
        <v>155.11254347675322</v>
      </c>
      <c r="R229" s="87">
        <v>137.25096991308965</v>
      </c>
      <c r="S229" s="87">
        <v>145.33705823419749</v>
      </c>
      <c r="T229" s="87">
        <v>137.47595356550579</v>
      </c>
      <c r="U229" s="87">
        <v>144.9255715045189</v>
      </c>
      <c r="V229" s="87">
        <v>123.63112462006082</v>
      </c>
      <c r="W229" s="87">
        <v>115.5247339164907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170.38429034170022</v>
      </c>
      <c r="J230" s="87">
        <v>157.02159284956105</v>
      </c>
      <c r="K230" s="87">
        <v>145.88381220235044</v>
      </c>
      <c r="L230" s="87">
        <v>144.77003413762938</v>
      </c>
      <c r="M230" s="87">
        <v>137.09759668636852</v>
      </c>
      <c r="N230" s="87">
        <v>130.34176224063711</v>
      </c>
      <c r="O230" s="87">
        <v>120.95486368883708</v>
      </c>
      <c r="P230" s="87">
        <v>107.71480831926485</v>
      </c>
      <c r="Q230" s="87">
        <v>108.55355540901694</v>
      </c>
      <c r="R230" s="87">
        <v>118.30507689700431</v>
      </c>
      <c r="S230" s="87">
        <v>119.87333716288808</v>
      </c>
      <c r="T230" s="87">
        <v>116.2380952380952</v>
      </c>
      <c r="U230" s="87">
        <v>114.0395136778116</v>
      </c>
      <c r="V230" s="87">
        <v>111.0288461538462</v>
      </c>
      <c r="W230" s="87">
        <v>103.26004228329811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57.992150918950664</v>
      </c>
      <c r="O231" s="87">
        <v>62.685607189716109</v>
      </c>
      <c r="P231" s="87">
        <v>54.094967375580232</v>
      </c>
      <c r="Q231" s="87">
        <v>58.986410999911847</v>
      </c>
      <c r="R231" s="87">
        <v>62.451007619886283</v>
      </c>
      <c r="S231" s="87">
        <v>63.236302920123308</v>
      </c>
      <c r="T231" s="87">
        <v>65.523588879528219</v>
      </c>
      <c r="U231" s="87">
        <v>57.138516429763477</v>
      </c>
      <c r="V231" s="87">
        <v>44.280901395078978</v>
      </c>
      <c r="W231" s="87">
        <v>38.519820708334557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1460.8322709815943</v>
      </c>
      <c r="C233" s="116">
        <v>1420.8584974105493</v>
      </c>
      <c r="D233" s="116">
        <v>1458.6735587054129</v>
      </c>
      <c r="E233" s="116">
        <v>1439.572513445522</v>
      </c>
      <c r="F233" s="116">
        <v>1443.9815409787509</v>
      </c>
      <c r="G233" s="116">
        <v>1448.5823613281568</v>
      </c>
      <c r="H233" s="116">
        <v>1434.9330018643213</v>
      </c>
      <c r="I233" s="116">
        <v>1428.4060387175618</v>
      </c>
      <c r="J233" s="116">
        <v>1398.1013901472256</v>
      </c>
      <c r="K233" s="116">
        <v>1389.7815877771213</v>
      </c>
      <c r="L233" s="116">
        <v>1387.4976195659406</v>
      </c>
      <c r="M233" s="116">
        <v>1219.4821860725733</v>
      </c>
      <c r="N233" s="116">
        <v>1327.031223805951</v>
      </c>
      <c r="O233" s="116">
        <v>1301.207468844111</v>
      </c>
      <c r="P233" s="116">
        <v>1308.6067795363681</v>
      </c>
      <c r="Q233" s="116">
        <v>1323.6629770560151</v>
      </c>
      <c r="R233" s="116">
        <v>1312.7081845461998</v>
      </c>
      <c r="S233" s="116">
        <v>1279.6139674452718</v>
      </c>
      <c r="T233" s="116">
        <v>1245.6497189029733</v>
      </c>
      <c r="U233" s="116">
        <v>1178.5779403181173</v>
      </c>
      <c r="V233" s="116">
        <v>1131.2008338757623</v>
      </c>
      <c r="W233" s="116">
        <v>1066.7939845705171</v>
      </c>
      <c r="DA233" s="176" t="s">
        <v>939</v>
      </c>
    </row>
    <row r="234" spans="1:105" ht="11.45" customHeight="1" x14ac:dyDescent="0.25">
      <c r="A234" s="111" t="s">
        <v>110</v>
      </c>
      <c r="B234" s="101">
        <v>430.18655702730052</v>
      </c>
      <c r="C234" s="101">
        <v>430.18655702730052</v>
      </c>
      <c r="D234" s="101">
        <v>430.18655702730052</v>
      </c>
      <c r="E234" s="101">
        <v>427.56308919491335</v>
      </c>
      <c r="F234" s="101">
        <v>424.93962136252628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332.32350886640887</v>
      </c>
      <c r="O234" s="101">
        <v>0</v>
      </c>
      <c r="P234" s="101">
        <v>0</v>
      </c>
      <c r="Q234" s="101">
        <v>0</v>
      </c>
      <c r="R234" s="101">
        <v>0</v>
      </c>
      <c r="S234" s="101">
        <v>311.15794776644844</v>
      </c>
      <c r="T234" s="101">
        <v>0</v>
      </c>
      <c r="U234" s="101">
        <v>296.78578491134431</v>
      </c>
      <c r="V234" s="101">
        <v>290.8623483852632</v>
      </c>
      <c r="W234" s="101">
        <v>285.63240435721889</v>
      </c>
      <c r="DA234" s="175" t="s">
        <v>940</v>
      </c>
    </row>
    <row r="235" spans="1:105" ht="11.45" customHeight="1" x14ac:dyDescent="0.25">
      <c r="A235" s="111" t="s">
        <v>111</v>
      </c>
      <c r="B235" s="101">
        <v>1472.3430480497016</v>
      </c>
      <c r="C235" s="101">
        <v>1472.3430480497016</v>
      </c>
      <c r="D235" s="101">
        <v>1472.3430480497016</v>
      </c>
      <c r="E235" s="101">
        <v>1470.0879840402181</v>
      </c>
      <c r="F235" s="101">
        <v>1467.8224944833812</v>
      </c>
      <c r="G235" s="101">
        <v>1460.9358074095946</v>
      </c>
      <c r="H235" s="101">
        <v>1451.569553809381</v>
      </c>
      <c r="I235" s="101">
        <v>1446.8406571960259</v>
      </c>
      <c r="J235" s="101">
        <v>1416.7000038548606</v>
      </c>
      <c r="K235" s="101">
        <v>1390.1662733773644</v>
      </c>
      <c r="L235" s="101">
        <v>1387.4976195659406</v>
      </c>
      <c r="M235" s="101">
        <v>1384.8520067572247</v>
      </c>
      <c r="N235" s="101">
        <v>1378.5348075438942</v>
      </c>
      <c r="O235" s="101">
        <v>1358.0334072891815</v>
      </c>
      <c r="P235" s="101">
        <v>1347.8376286338116</v>
      </c>
      <c r="Q235" s="101">
        <v>1340.2449215971562</v>
      </c>
      <c r="R235" s="101">
        <v>1333.4480618776176</v>
      </c>
      <c r="S235" s="101">
        <v>1327.3603643690481</v>
      </c>
      <c r="T235" s="101">
        <v>1321.9052029514705</v>
      </c>
      <c r="U235" s="101">
        <v>1317.014728996679</v>
      </c>
      <c r="V235" s="101">
        <v>1312.6287735415738</v>
      </c>
      <c r="W235" s="101">
        <v>1308.6939033365952</v>
      </c>
      <c r="DA235" s="175" t="s">
        <v>941</v>
      </c>
    </row>
    <row r="236" spans="1:105" ht="11.45" customHeight="1" x14ac:dyDescent="0.25">
      <c r="A236" s="111" t="s">
        <v>112</v>
      </c>
      <c r="B236" s="101">
        <v>1029.1416288456719</v>
      </c>
      <c r="C236" s="101">
        <v>1029.1416288456719</v>
      </c>
      <c r="D236" s="101">
        <v>1044.813836391545</v>
      </c>
      <c r="E236" s="101">
        <v>1032.7814470873639</v>
      </c>
      <c r="F236" s="101">
        <v>1025.98184222754</v>
      </c>
      <c r="G236" s="101">
        <v>1021.1681703309968</v>
      </c>
      <c r="H236" s="101">
        <v>1014.6213254913558</v>
      </c>
      <c r="I236" s="101">
        <v>1011.3159107853489</v>
      </c>
      <c r="J236" s="101">
        <v>0</v>
      </c>
      <c r="K236" s="101">
        <v>986.49900866072528</v>
      </c>
      <c r="L236" s="101">
        <v>0</v>
      </c>
      <c r="M236" s="101">
        <v>0</v>
      </c>
      <c r="N236" s="101">
        <v>963.571335590187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928.90738861435295</v>
      </c>
      <c r="D237" s="101">
        <v>928.90738861435295</v>
      </c>
      <c r="E237" s="101">
        <v>927.48465929662882</v>
      </c>
      <c r="F237" s="101">
        <v>926.05535245746387</v>
      </c>
      <c r="G237" s="101">
        <v>921.71051277191009</v>
      </c>
      <c r="H237" s="101">
        <v>915.80130419147861</v>
      </c>
      <c r="I237" s="101">
        <v>912.81782353460483</v>
      </c>
      <c r="J237" s="101">
        <v>893.80195924716236</v>
      </c>
      <c r="K237" s="101">
        <v>877.06171768409968</v>
      </c>
      <c r="L237" s="101">
        <v>0</v>
      </c>
      <c r="M237" s="101">
        <v>873.70892464102917</v>
      </c>
      <c r="N237" s="101">
        <v>869.72337722911004</v>
      </c>
      <c r="O237" s="101">
        <v>856.78895804007072</v>
      </c>
      <c r="P237" s="101">
        <v>850.35639863199333</v>
      </c>
      <c r="Q237" s="101">
        <v>845.56612799820584</v>
      </c>
      <c r="R237" s="101">
        <v>841.2779607662435</v>
      </c>
      <c r="S237" s="101">
        <v>837.43720693998682</v>
      </c>
      <c r="T237" s="101">
        <v>833.99552277977409</v>
      </c>
      <c r="U237" s="101">
        <v>830.91010230222309</v>
      </c>
      <c r="V237" s="101">
        <v>828.14298465679553</v>
      </c>
      <c r="W237" s="101">
        <v>825.66045858280438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263.95575710703582</v>
      </c>
      <c r="C240" s="152">
        <v>260.96201946768065</v>
      </c>
      <c r="D240" s="152">
        <v>257.8853518953257</v>
      </c>
      <c r="E240" s="152">
        <v>256.23627712252636</v>
      </c>
      <c r="F240" s="152">
        <v>252.80421894268491</v>
      </c>
      <c r="G240" s="152">
        <v>252.79822938510458</v>
      </c>
      <c r="H240" s="152">
        <v>249.34232708802983</v>
      </c>
      <c r="I240" s="152">
        <v>250.94081075419655</v>
      </c>
      <c r="J240" s="152">
        <v>235.64108767255587</v>
      </c>
      <c r="K240" s="152">
        <v>226.96162577174576</v>
      </c>
      <c r="L240" s="152">
        <v>219.50414307235869</v>
      </c>
      <c r="M240" s="152">
        <v>213.02998627415377</v>
      </c>
      <c r="N240" s="152">
        <v>206.7822685605486</v>
      </c>
      <c r="O240" s="152">
        <v>185.48526890070204</v>
      </c>
      <c r="P240" s="152">
        <v>185.19642113286542</v>
      </c>
      <c r="Q240" s="152">
        <v>189.36644229601043</v>
      </c>
      <c r="R240" s="152">
        <v>195.07730104003053</v>
      </c>
      <c r="S240" s="152">
        <v>185.86863374100625</v>
      </c>
      <c r="T240" s="152">
        <v>183.64193398824227</v>
      </c>
      <c r="U240" s="152">
        <v>183.2887478092079</v>
      </c>
      <c r="V240" s="152">
        <v>189.11706418926732</v>
      </c>
      <c r="W240" s="152">
        <v>189.12159041815593</v>
      </c>
      <c r="DA240" s="174" t="s">
        <v>945</v>
      </c>
    </row>
    <row r="241" spans="1:105" ht="11.45" customHeight="1" x14ac:dyDescent="0.25">
      <c r="A241" s="111" t="s">
        <v>110</v>
      </c>
      <c r="B241" s="87">
        <v>259.97192325132619</v>
      </c>
      <c r="C241" s="87">
        <v>259.97192325132619</v>
      </c>
      <c r="D241" s="87">
        <v>259.97192325132619</v>
      </c>
      <c r="E241" s="87">
        <v>258.38649951636182</v>
      </c>
      <c r="F241" s="87">
        <v>256.80107578139751</v>
      </c>
      <c r="G241" s="87">
        <v>252.04856150478648</v>
      </c>
      <c r="H241" s="87">
        <v>245.7068665649293</v>
      </c>
      <c r="I241" s="87">
        <v>242.53601909500074</v>
      </c>
      <c r="J241" s="87">
        <v>223.51469120371104</v>
      </c>
      <c r="K241" s="87">
        <v>207.66045385406809</v>
      </c>
      <c r="L241" s="87">
        <v>206.07503011910376</v>
      </c>
      <c r="M241" s="87">
        <v>204.51223442886663</v>
      </c>
      <c r="N241" s="87">
        <v>200.83096584570094</v>
      </c>
      <c r="O241" s="87">
        <v>167.96801707705683</v>
      </c>
      <c r="P241" s="87">
        <v>166.23048937628289</v>
      </c>
      <c r="Q241" s="87">
        <v>169.51086066567424</v>
      </c>
      <c r="R241" s="87">
        <v>173.46317592690411</v>
      </c>
      <c r="S241" s="87">
        <v>176.1910412068888</v>
      </c>
      <c r="T241" s="87">
        <v>177.93489858917388</v>
      </c>
      <c r="U241" s="87">
        <v>175.66107909900467</v>
      </c>
      <c r="V241" s="87">
        <v>162.57190295076151</v>
      </c>
      <c r="W241" s="87">
        <v>161.22208781903959</v>
      </c>
      <c r="DA241" s="171" t="s">
        <v>946</v>
      </c>
    </row>
    <row r="242" spans="1:105" ht="11.45" customHeight="1" x14ac:dyDescent="0.25">
      <c r="A242" s="111" t="s">
        <v>111</v>
      </c>
      <c r="B242" s="87">
        <v>264.58457918989728</v>
      </c>
      <c r="C242" s="87">
        <v>261.48953300744131</v>
      </c>
      <c r="D242" s="87">
        <v>258.09303713004954</v>
      </c>
      <c r="E242" s="87">
        <v>256.39478919135377</v>
      </c>
      <c r="F242" s="87">
        <v>252.99829331396197</v>
      </c>
      <c r="G242" s="87">
        <v>252.99829331396197</v>
      </c>
      <c r="H242" s="87">
        <v>249.60179743657028</v>
      </c>
      <c r="I242" s="87">
        <v>251.30004537526611</v>
      </c>
      <c r="J242" s="87">
        <v>236.02033054386141</v>
      </c>
      <c r="K242" s="87">
        <v>227.529090850382</v>
      </c>
      <c r="L242" s="87">
        <v>220.73609909559846</v>
      </c>
      <c r="M242" s="87">
        <v>215.03849884847523</v>
      </c>
      <c r="N242" s="87">
        <v>209.39226004187728</v>
      </c>
      <c r="O242" s="87">
        <v>189.09745380459955</v>
      </c>
      <c r="P242" s="87">
        <v>186.94126114498485</v>
      </c>
      <c r="Q242" s="87">
        <v>191.44893472546892</v>
      </c>
      <c r="R242" s="87">
        <v>198.53760375752759</v>
      </c>
      <c r="S242" s="87">
        <v>188.52243717964535</v>
      </c>
      <c r="T242" s="87">
        <v>189.85712210984585</v>
      </c>
      <c r="U242" s="87">
        <v>187.18989787169389</v>
      </c>
      <c r="V242" s="87">
        <v>195.24379831600621</v>
      </c>
      <c r="W242" s="87">
        <v>195.51284774219559</v>
      </c>
      <c r="DA242" s="171" t="s">
        <v>947</v>
      </c>
    </row>
    <row r="243" spans="1:105" ht="11.45" customHeight="1" x14ac:dyDescent="0.25">
      <c r="A243" s="111" t="s">
        <v>112</v>
      </c>
      <c r="B243" s="87">
        <v>258.84749870525241</v>
      </c>
      <c r="C243" s="87">
        <v>255.8195634976945</v>
      </c>
      <c r="D243" s="87">
        <v>252.49671503495554</v>
      </c>
      <c r="E243" s="87">
        <v>250.83529080358616</v>
      </c>
      <c r="F243" s="87">
        <v>247.5124423408472</v>
      </c>
      <c r="G243" s="87">
        <v>247.5124423408472</v>
      </c>
      <c r="H243" s="87">
        <v>244.18959387810838</v>
      </c>
      <c r="I243" s="87">
        <v>245.85101810947791</v>
      </c>
      <c r="J243" s="87">
        <v>230.9026187086194</v>
      </c>
      <c r="K243" s="87">
        <v>222.5954975517723</v>
      </c>
      <c r="L243" s="87">
        <v>0</v>
      </c>
      <c r="M243" s="87">
        <v>0</v>
      </c>
      <c r="N243" s="87">
        <v>220.80056377730833</v>
      </c>
      <c r="O243" s="87">
        <v>206.19027484143814</v>
      </c>
      <c r="P243" s="87">
        <v>178.16321353065504</v>
      </c>
      <c r="Q243" s="87">
        <v>181.12642706131078</v>
      </c>
      <c r="R243" s="87">
        <v>157.2355179704017</v>
      </c>
      <c r="S243" s="87">
        <v>152.42029598308673</v>
      </c>
      <c r="T243" s="87">
        <v>166.33885184582863</v>
      </c>
      <c r="U243" s="87">
        <v>164.25</v>
      </c>
      <c r="V243" s="87">
        <v>162.4</v>
      </c>
      <c r="W243" s="87">
        <v>188.21468926553669</v>
      </c>
      <c r="DA243" s="171" t="s">
        <v>948</v>
      </c>
    </row>
    <row r="244" spans="1:105" ht="11.45" customHeight="1" x14ac:dyDescent="0.25">
      <c r="A244" s="111" t="s">
        <v>113</v>
      </c>
      <c r="B244" s="87">
        <v>234.84267727202933</v>
      </c>
      <c r="C244" s="87">
        <v>0</v>
      </c>
      <c r="D244" s="87">
        <v>234.84267727202933</v>
      </c>
      <c r="E244" s="87">
        <v>233.4105027899808</v>
      </c>
      <c r="F244" s="87">
        <v>231.97832830793217</v>
      </c>
      <c r="G244" s="87">
        <v>227.68519864017998</v>
      </c>
      <c r="H244" s="87">
        <v>221.95650071198568</v>
      </c>
      <c r="I244" s="87">
        <v>219.09215174788858</v>
      </c>
      <c r="J244" s="87">
        <v>201.90945174169929</v>
      </c>
      <c r="K244" s="87">
        <v>187.58770692121371</v>
      </c>
      <c r="L244" s="87">
        <v>186.15553243916517</v>
      </c>
      <c r="M244" s="87">
        <v>176.28977059588161</v>
      </c>
      <c r="N244" s="87">
        <v>167.6026416205579</v>
      </c>
      <c r="O244" s="87">
        <v>151.80934880724689</v>
      </c>
      <c r="P244" s="87">
        <v>148.73008952551302</v>
      </c>
      <c r="Q244" s="87">
        <v>154.51276936976743</v>
      </c>
      <c r="R244" s="87">
        <v>182.12209119691224</v>
      </c>
      <c r="S244" s="87">
        <v>192.57910037909537</v>
      </c>
      <c r="T244" s="87">
        <v>184.35050658296174</v>
      </c>
      <c r="U244" s="87">
        <v>186.93628151238033</v>
      </c>
      <c r="V244" s="87">
        <v>164.70083932442128</v>
      </c>
      <c r="W244" s="87">
        <v>214.9710407239819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1024.8455418612407</v>
      </c>
      <c r="C246" s="116">
        <v>1019.662028727796</v>
      </c>
      <c r="D246" s="116">
        <v>1013.3693108279244</v>
      </c>
      <c r="E246" s="116">
        <v>1005.1233791797738</v>
      </c>
      <c r="F246" s="116">
        <v>1000.042166890442</v>
      </c>
      <c r="G246" s="116">
        <v>984.52190529455902</v>
      </c>
      <c r="H246" s="116">
        <v>972.00340360915607</v>
      </c>
      <c r="I246" s="116">
        <v>957.77023715204325</v>
      </c>
      <c r="J246" s="116">
        <v>939.08697051688569</v>
      </c>
      <c r="K246" s="116">
        <v>915.03998744454759</v>
      </c>
      <c r="L246" s="116">
        <v>910.40192129369268</v>
      </c>
      <c r="M246" s="116">
        <v>881.03860269884331</v>
      </c>
      <c r="N246" s="116">
        <v>862.80523676026928</v>
      </c>
      <c r="O246" s="116">
        <v>847.48299707186345</v>
      </c>
      <c r="P246" s="116">
        <v>821.62787729550041</v>
      </c>
      <c r="Q246" s="116">
        <v>797.57083245401566</v>
      </c>
      <c r="R246" s="116">
        <v>761.73964313877684</v>
      </c>
      <c r="S246" s="116">
        <v>736.54782674170508</v>
      </c>
      <c r="T246" s="116">
        <v>697.34432714910099</v>
      </c>
      <c r="U246" s="116">
        <v>672.23117488378932</v>
      </c>
      <c r="V246" s="116">
        <v>642.45280600494721</v>
      </c>
      <c r="W246" s="116">
        <v>655.62322520466171</v>
      </c>
      <c r="DA246" s="176" t="s">
        <v>951</v>
      </c>
    </row>
    <row r="247" spans="1:105" ht="11.45" customHeight="1" x14ac:dyDescent="0.25">
      <c r="A247" s="128" t="s">
        <v>27</v>
      </c>
      <c r="B247" s="101">
        <v>956.43237826439315</v>
      </c>
      <c r="C247" s="101">
        <v>950.56964762284963</v>
      </c>
      <c r="D247" s="101">
        <v>944.0976415849791</v>
      </c>
      <c r="E247" s="101">
        <v>936.0387893961107</v>
      </c>
      <c r="F247" s="101">
        <v>926.41356875144095</v>
      </c>
      <c r="G247" s="101">
        <v>915.24626488524882</v>
      </c>
      <c r="H247" s="101">
        <v>902.56481912884499</v>
      </c>
      <c r="I247" s="101">
        <v>888.40065680438954</v>
      </c>
      <c r="J247" s="101">
        <v>872.78849639764258</v>
      </c>
      <c r="K247" s="101">
        <v>855.7661421040101</v>
      </c>
      <c r="L247" s="101">
        <v>837.3742620328369</v>
      </c>
      <c r="M247" s="101">
        <v>817.65615439047986</v>
      </c>
      <c r="N247" s="101">
        <v>796.65750405259564</v>
      </c>
      <c r="O247" s="101">
        <v>774.42613196428522</v>
      </c>
      <c r="P247" s="101">
        <v>751.01173974936887</v>
      </c>
      <c r="Q247" s="101">
        <v>726.4656519104584</v>
      </c>
      <c r="R247" s="101">
        <v>688.04364697166011</v>
      </c>
      <c r="S247" s="101">
        <v>661.14824351450136</v>
      </c>
      <c r="T247" s="101">
        <v>632.90806988448458</v>
      </c>
      <c r="U247" s="101">
        <v>598.3923021144642</v>
      </c>
      <c r="V247" s="101">
        <v>576.70187026424901</v>
      </c>
      <c r="W247" s="101">
        <v>566.15329698419873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82624.043149006509</v>
      </c>
      <c r="C4" s="28">
        <f t="shared" ref="C4:V4" si="1">SUM(C5,C6,C9)</f>
        <v>84569.588012126304</v>
      </c>
      <c r="D4" s="28">
        <f t="shared" si="1"/>
        <v>86577.289289302207</v>
      </c>
      <c r="E4" s="28">
        <f t="shared" si="1"/>
        <v>84755.457358289481</v>
      </c>
      <c r="F4" s="28">
        <f t="shared" si="1"/>
        <v>89293.908497515091</v>
      </c>
      <c r="G4" s="28">
        <f t="shared" si="1"/>
        <v>91675.830458217737</v>
      </c>
      <c r="H4" s="28">
        <f t="shared" si="1"/>
        <v>95517.331486878451</v>
      </c>
      <c r="I4" s="28">
        <f t="shared" si="1"/>
        <v>97697.521313198638</v>
      </c>
      <c r="J4" s="28">
        <f t="shared" si="1"/>
        <v>103652.13271264368</v>
      </c>
      <c r="K4" s="28">
        <f t="shared" si="1"/>
        <v>101868.455624775</v>
      </c>
      <c r="L4" s="28">
        <f t="shared" si="1"/>
        <v>102166.83545137725</v>
      </c>
      <c r="M4" s="28">
        <f t="shared" si="1"/>
        <v>105595.59315414328</v>
      </c>
      <c r="N4" s="28">
        <f t="shared" si="1"/>
        <v>106311.37251954872</v>
      </c>
      <c r="O4" s="28">
        <f t="shared" si="1"/>
        <v>105214.78112363728</v>
      </c>
      <c r="P4" s="28">
        <f t="shared" si="1"/>
        <v>104589.29871039712</v>
      </c>
      <c r="Q4" s="28">
        <f t="shared" si="1"/>
        <v>104848.98466171585</v>
      </c>
      <c r="R4" s="28">
        <f t="shared" si="1"/>
        <v>104207.27766897554</v>
      </c>
      <c r="S4" s="28">
        <f t="shared" si="1"/>
        <v>110684.65247471299</v>
      </c>
      <c r="T4" s="28">
        <f t="shared" si="1"/>
        <v>107957.69632526564</v>
      </c>
      <c r="U4" s="28">
        <f t="shared" si="1"/>
        <v>112384.2056669586</v>
      </c>
      <c r="V4" s="28">
        <f t="shared" si="1"/>
        <v>64859.207698934741</v>
      </c>
      <c r="W4" s="28">
        <f t="shared" ref="W4" si="2">SUM(W5,W6,W9)</f>
        <v>86852.602653838141</v>
      </c>
      <c r="DA4" s="173" t="s">
        <v>375</v>
      </c>
    </row>
    <row r="5" spans="1:105" ht="11.45" customHeight="1" x14ac:dyDescent="0.25">
      <c r="A5" s="107" t="s">
        <v>23</v>
      </c>
      <c r="B5" s="108">
        <v>7724.0431490065121</v>
      </c>
      <c r="C5" s="108">
        <v>7769.5880121263035</v>
      </c>
      <c r="D5" s="108">
        <v>7977.2892893022072</v>
      </c>
      <c r="E5" s="108">
        <v>8155.4573582894873</v>
      </c>
      <c r="F5" s="108">
        <v>9093.9084975150909</v>
      </c>
      <c r="G5" s="108">
        <v>9375.8304582177316</v>
      </c>
      <c r="H5" s="108">
        <v>9717.3314868784601</v>
      </c>
      <c r="I5" s="108">
        <v>9797.5213131986329</v>
      </c>
      <c r="J5" s="108">
        <v>10452.132712643686</v>
      </c>
      <c r="K5" s="108">
        <v>9568.4556247749915</v>
      </c>
      <c r="L5" s="108">
        <v>9806.3450079108698</v>
      </c>
      <c r="M5" s="108">
        <v>9930.2983452846838</v>
      </c>
      <c r="N5" s="108">
        <v>10465.358973566958</v>
      </c>
      <c r="O5" s="108">
        <v>10089.861136223224</v>
      </c>
      <c r="P5" s="108">
        <v>10204.744205250523</v>
      </c>
      <c r="Q5" s="108">
        <v>10188.604368561837</v>
      </c>
      <c r="R5" s="108">
        <v>10220.583305155149</v>
      </c>
      <c r="S5" s="108">
        <v>10367.01665471299</v>
      </c>
      <c r="T5" s="108">
        <v>10728.627571265637</v>
      </c>
      <c r="U5" s="108">
        <v>10390.560736958605</v>
      </c>
      <c r="V5" s="108">
        <v>5507.0741569347329</v>
      </c>
      <c r="W5" s="108">
        <v>7335.4600228381432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40153</v>
      </c>
      <c r="C6" s="110">
        <f t="shared" ref="C6:V6" si="4">SUM(C7:C8)</f>
        <v>39396</v>
      </c>
      <c r="D6" s="110">
        <f t="shared" si="4"/>
        <v>38744</v>
      </c>
      <c r="E6" s="110">
        <f t="shared" si="4"/>
        <v>36996</v>
      </c>
      <c r="F6" s="110">
        <f t="shared" si="4"/>
        <v>38761</v>
      </c>
      <c r="G6" s="110">
        <f t="shared" si="4"/>
        <v>39170</v>
      </c>
      <c r="H6" s="110">
        <f t="shared" si="4"/>
        <v>40947</v>
      </c>
      <c r="I6" s="110">
        <f t="shared" si="4"/>
        <v>39934</v>
      </c>
      <c r="J6" s="110">
        <f t="shared" si="4"/>
        <v>40636</v>
      </c>
      <c r="K6" s="110">
        <f t="shared" si="4"/>
        <v>40436</v>
      </c>
      <c r="L6" s="110">
        <f t="shared" si="4"/>
        <v>40470.306400028378</v>
      </c>
      <c r="M6" s="110">
        <f t="shared" si="4"/>
        <v>44300.294808858598</v>
      </c>
      <c r="N6" s="110">
        <f t="shared" si="4"/>
        <v>44760.013545981754</v>
      </c>
      <c r="O6" s="110">
        <f t="shared" si="4"/>
        <v>44338.919987414061</v>
      </c>
      <c r="P6" s="110">
        <f t="shared" si="4"/>
        <v>43725.554505146603</v>
      </c>
      <c r="Q6" s="110">
        <f t="shared" si="4"/>
        <v>44680.380293154012</v>
      </c>
      <c r="R6" s="110">
        <f t="shared" si="4"/>
        <v>43447.694363820396</v>
      </c>
      <c r="S6" s="110">
        <f t="shared" si="4"/>
        <v>42037.635819999996</v>
      </c>
      <c r="T6" s="110">
        <f t="shared" si="4"/>
        <v>40421.068754000007</v>
      </c>
      <c r="U6" s="110">
        <f t="shared" si="4"/>
        <v>42042.644929999995</v>
      </c>
      <c r="V6" s="110">
        <f t="shared" si="4"/>
        <v>23548.133542000003</v>
      </c>
      <c r="W6" s="110">
        <f t="shared" ref="W6" si="5">SUM(W7:W8)</f>
        <v>31817.142630999995</v>
      </c>
      <c r="DA6" s="176" t="s">
        <v>377</v>
      </c>
    </row>
    <row r="7" spans="1:105" ht="11.45" customHeight="1" x14ac:dyDescent="0.25">
      <c r="A7" s="111" t="s">
        <v>90</v>
      </c>
      <c r="B7" s="84">
        <v>7442.3855343940286</v>
      </c>
      <c r="C7" s="84">
        <v>7313.933883344469</v>
      </c>
      <c r="D7" s="84">
        <v>7327.9900028790353</v>
      </c>
      <c r="E7" s="84">
        <v>7120.1957128352233</v>
      </c>
      <c r="F7" s="84">
        <v>7590.2956439214058</v>
      </c>
      <c r="G7" s="84">
        <v>7656.4582387907039</v>
      </c>
      <c r="H7" s="84">
        <v>8003.030228415163</v>
      </c>
      <c r="I7" s="84">
        <v>7459.3899202017838</v>
      </c>
      <c r="J7" s="84">
        <v>7391.6077509392126</v>
      </c>
      <c r="K7" s="84">
        <v>7094.6627782414116</v>
      </c>
      <c r="L7" s="84">
        <v>6924.857295016981</v>
      </c>
      <c r="M7" s="84">
        <v>7576.5535719965483</v>
      </c>
      <c r="N7" s="84">
        <v>7389.043102423645</v>
      </c>
      <c r="O7" s="84">
        <v>7092.0466561775129</v>
      </c>
      <c r="P7" s="84">
        <v>6667.4053686621646</v>
      </c>
      <c r="Q7" s="84">
        <v>6955.6124711148086</v>
      </c>
      <c r="R7" s="84">
        <v>6148.4178352341851</v>
      </c>
      <c r="S7" s="84">
        <v>6257.504399711429</v>
      </c>
      <c r="T7" s="84">
        <v>5832.9082762612106</v>
      </c>
      <c r="U7" s="84">
        <v>6201.3367587370603</v>
      </c>
      <c r="V7" s="84">
        <v>3196.2535105926959</v>
      </c>
      <c r="W7" s="84">
        <v>4615.7158616493789</v>
      </c>
      <c r="DA7" s="171" t="s">
        <v>1029</v>
      </c>
    </row>
    <row r="8" spans="1:105" ht="11.45" customHeight="1" x14ac:dyDescent="0.25">
      <c r="A8" s="111" t="s">
        <v>93</v>
      </c>
      <c r="B8" s="84">
        <v>32710.61446560597</v>
      </c>
      <c r="C8" s="84">
        <v>32082.066116655529</v>
      </c>
      <c r="D8" s="84">
        <v>31416.009997120964</v>
      </c>
      <c r="E8" s="84">
        <v>29875.804287164778</v>
      </c>
      <c r="F8" s="84">
        <v>31170.704356078593</v>
      </c>
      <c r="G8" s="84">
        <v>31513.541761209297</v>
      </c>
      <c r="H8" s="84">
        <v>32943.969771584838</v>
      </c>
      <c r="I8" s="84">
        <v>32474.610079798214</v>
      </c>
      <c r="J8" s="84">
        <v>33244.392249060787</v>
      </c>
      <c r="K8" s="84">
        <v>33341.337221758586</v>
      </c>
      <c r="L8" s="84">
        <v>33545.449105011394</v>
      </c>
      <c r="M8" s="84">
        <v>36723.74123686205</v>
      </c>
      <c r="N8" s="84">
        <v>37370.970443558108</v>
      </c>
      <c r="O8" s="84">
        <v>37246.873331236551</v>
      </c>
      <c r="P8" s="84">
        <v>37058.149136484441</v>
      </c>
      <c r="Q8" s="84">
        <v>37724.767822039204</v>
      </c>
      <c r="R8" s="84">
        <v>37299.276528586211</v>
      </c>
      <c r="S8" s="84">
        <v>35780.13142028857</v>
      </c>
      <c r="T8" s="84">
        <v>34588.160477738798</v>
      </c>
      <c r="U8" s="84">
        <v>35841.308171262936</v>
      </c>
      <c r="V8" s="84">
        <v>20351.880031407309</v>
      </c>
      <c r="W8" s="84">
        <v>27201.426769350615</v>
      </c>
      <c r="DA8" s="171" t="s">
        <v>1030</v>
      </c>
    </row>
    <row r="9" spans="1:105" ht="11.45" customHeight="1" x14ac:dyDescent="0.25">
      <c r="A9" s="112" t="s">
        <v>25</v>
      </c>
      <c r="B9" s="113">
        <v>34747</v>
      </c>
      <c r="C9" s="113">
        <v>37404</v>
      </c>
      <c r="D9" s="113">
        <v>39856</v>
      </c>
      <c r="E9" s="113">
        <v>39604</v>
      </c>
      <c r="F9" s="113">
        <v>41439</v>
      </c>
      <c r="G9" s="113">
        <v>43130</v>
      </c>
      <c r="H9" s="113">
        <v>44853</v>
      </c>
      <c r="I9" s="113">
        <v>47966</v>
      </c>
      <c r="J9" s="113">
        <v>52564</v>
      </c>
      <c r="K9" s="113">
        <v>51864</v>
      </c>
      <c r="L9" s="113">
        <v>51890.184043437999</v>
      </c>
      <c r="M9" s="113">
        <v>51365</v>
      </c>
      <c r="N9" s="113">
        <v>51086</v>
      </c>
      <c r="O9" s="113">
        <v>50786</v>
      </c>
      <c r="P9" s="113">
        <v>50659</v>
      </c>
      <c r="Q9" s="113">
        <v>49980</v>
      </c>
      <c r="R9" s="113">
        <v>50539</v>
      </c>
      <c r="S9" s="113">
        <v>58280</v>
      </c>
      <c r="T9" s="113">
        <v>56808</v>
      </c>
      <c r="U9" s="113">
        <v>59951</v>
      </c>
      <c r="V9" s="113">
        <v>35804</v>
      </c>
      <c r="W9" s="113">
        <v>47700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57725.75464222399</v>
      </c>
      <c r="C10" s="28">
        <f t="shared" ref="C10:V10" si="7">SUM(C11:C12)</f>
        <v>51718.302252257003</v>
      </c>
      <c r="D10" s="28">
        <f t="shared" si="7"/>
        <v>51288.192553031004</v>
      </c>
      <c r="E10" s="28">
        <f t="shared" si="7"/>
        <v>48057.268754624005</v>
      </c>
      <c r="F10" s="28">
        <f t="shared" si="7"/>
        <v>45121</v>
      </c>
      <c r="G10" s="28">
        <f t="shared" si="7"/>
        <v>40701</v>
      </c>
      <c r="H10" s="28">
        <f t="shared" si="7"/>
        <v>41179</v>
      </c>
      <c r="I10" s="28">
        <f t="shared" si="7"/>
        <v>42612</v>
      </c>
      <c r="J10" s="28">
        <f t="shared" si="7"/>
        <v>40436</v>
      </c>
      <c r="K10" s="28">
        <f t="shared" si="7"/>
        <v>32128.999999999996</v>
      </c>
      <c r="L10" s="28">
        <f t="shared" si="7"/>
        <v>29965</v>
      </c>
      <c r="M10" s="28">
        <f t="shared" si="7"/>
        <v>34202</v>
      </c>
      <c r="N10" s="28">
        <f t="shared" si="7"/>
        <v>32539</v>
      </c>
      <c r="O10" s="28">
        <f t="shared" si="7"/>
        <v>32229.999999999996</v>
      </c>
      <c r="P10" s="28">
        <f t="shared" si="7"/>
        <v>32595.999999999996</v>
      </c>
      <c r="Q10" s="28">
        <f t="shared" si="7"/>
        <v>36328</v>
      </c>
      <c r="R10" s="28">
        <f t="shared" si="7"/>
        <v>34761</v>
      </c>
      <c r="S10" s="28">
        <f t="shared" si="7"/>
        <v>35655</v>
      </c>
      <c r="T10" s="28">
        <f t="shared" si="7"/>
        <v>34061</v>
      </c>
      <c r="U10" s="28">
        <f t="shared" si="7"/>
        <v>33671</v>
      </c>
      <c r="V10" s="28">
        <f t="shared" si="7"/>
        <v>31559</v>
      </c>
      <c r="W10" s="28">
        <f t="shared" ref="W10" si="8">SUM(W11:W12)</f>
        <v>35751</v>
      </c>
      <c r="DA10" s="173" t="s">
        <v>383</v>
      </c>
    </row>
    <row r="11" spans="1:105" ht="11.45" customHeight="1" x14ac:dyDescent="0.25">
      <c r="A11" s="83" t="s">
        <v>90</v>
      </c>
      <c r="B11" s="84">
        <v>7763.6389189469273</v>
      </c>
      <c r="C11" s="84">
        <v>7479.6310963519018</v>
      </c>
      <c r="D11" s="84">
        <v>7303.767882729856</v>
      </c>
      <c r="E11" s="84">
        <v>7064.3221006138119</v>
      </c>
      <c r="F11" s="84">
        <v>6232.8279544514044</v>
      </c>
      <c r="G11" s="84">
        <v>4936.5956463994871</v>
      </c>
      <c r="H11" s="84">
        <v>4816.7120560768408</v>
      </c>
      <c r="I11" s="84">
        <v>4692.1181607964818</v>
      </c>
      <c r="J11" s="84">
        <v>4444.0573657999184</v>
      </c>
      <c r="K11" s="84">
        <v>3372.6461657192735</v>
      </c>
      <c r="L11" s="84">
        <v>3012.4368753978574</v>
      </c>
      <c r="M11" s="84">
        <v>3537.581241956977</v>
      </c>
      <c r="N11" s="84">
        <v>3088.1335907614407</v>
      </c>
      <c r="O11" s="84">
        <v>3007.7427103538039</v>
      </c>
      <c r="P11" s="84">
        <v>2940.5652173939775</v>
      </c>
      <c r="Q11" s="84">
        <v>3287.67062691094</v>
      </c>
      <c r="R11" s="84">
        <v>2872.8629363501409</v>
      </c>
      <c r="S11" s="84">
        <v>3111.2400702198324</v>
      </c>
      <c r="T11" s="84">
        <v>2821.4673605187459</v>
      </c>
      <c r="U11" s="84">
        <v>2806.3902494846448</v>
      </c>
      <c r="V11" s="84">
        <v>2682.1058031010916</v>
      </c>
      <c r="W11" s="84">
        <v>3124.0561136543511</v>
      </c>
      <c r="DA11" s="171" t="s">
        <v>1031</v>
      </c>
    </row>
    <row r="12" spans="1:105" ht="11.45" customHeight="1" x14ac:dyDescent="0.25">
      <c r="A12" s="85" t="s">
        <v>93</v>
      </c>
      <c r="B12" s="86">
        <v>49962.115723277064</v>
      </c>
      <c r="C12" s="86">
        <v>44238.671155905104</v>
      </c>
      <c r="D12" s="86">
        <v>43984.424670301145</v>
      </c>
      <c r="E12" s="86">
        <v>40992.946654010193</v>
      </c>
      <c r="F12" s="86">
        <v>38888.172045548592</v>
      </c>
      <c r="G12" s="86">
        <v>35764.404353600512</v>
      </c>
      <c r="H12" s="86">
        <v>36362.287943923162</v>
      </c>
      <c r="I12" s="86">
        <v>37919.881839203517</v>
      </c>
      <c r="J12" s="86">
        <v>35991.942634200081</v>
      </c>
      <c r="K12" s="86">
        <v>28756.353834280722</v>
      </c>
      <c r="L12" s="86">
        <v>26952.563124602144</v>
      </c>
      <c r="M12" s="86">
        <v>30664.418758043023</v>
      </c>
      <c r="N12" s="86">
        <v>29450.866409238559</v>
      </c>
      <c r="O12" s="86">
        <v>29222.257289646193</v>
      </c>
      <c r="P12" s="86">
        <v>29655.434782606018</v>
      </c>
      <c r="Q12" s="86">
        <v>33040.329373089058</v>
      </c>
      <c r="R12" s="86">
        <v>31888.137063649858</v>
      </c>
      <c r="S12" s="86">
        <v>32543.759929780168</v>
      </c>
      <c r="T12" s="86">
        <v>31239.532639481255</v>
      </c>
      <c r="U12" s="86">
        <v>30864.609750515356</v>
      </c>
      <c r="V12" s="86">
        <v>28876.894196898909</v>
      </c>
      <c r="W12" s="86">
        <v>32626.943886345649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554.88507112494449</v>
      </c>
      <c r="C14" s="62">
        <f t="shared" ref="C14:V14" si="10">C15+C21</f>
        <v>540.52183692559584</v>
      </c>
      <c r="D14" s="62">
        <f t="shared" si="10"/>
        <v>554.51508548517427</v>
      </c>
      <c r="E14" s="62">
        <f t="shared" si="10"/>
        <v>582.90590190948569</v>
      </c>
      <c r="F14" s="62">
        <f t="shared" si="10"/>
        <v>612.73175314650996</v>
      </c>
      <c r="G14" s="62">
        <f t="shared" si="10"/>
        <v>612.02068406186277</v>
      </c>
      <c r="H14" s="62">
        <f t="shared" si="10"/>
        <v>629.11002530181236</v>
      </c>
      <c r="I14" s="62">
        <f t="shared" si="10"/>
        <v>633.99885469471815</v>
      </c>
      <c r="J14" s="62">
        <f t="shared" si="10"/>
        <v>675.48570912373009</v>
      </c>
      <c r="K14" s="62">
        <f t="shared" si="10"/>
        <v>655.3096339290762</v>
      </c>
      <c r="L14" s="62">
        <f t="shared" si="10"/>
        <v>657.71271235592951</v>
      </c>
      <c r="M14" s="62">
        <f t="shared" si="10"/>
        <v>656.93891617988197</v>
      </c>
      <c r="N14" s="62">
        <f t="shared" si="10"/>
        <v>667.66943084743173</v>
      </c>
      <c r="O14" s="62">
        <f t="shared" si="10"/>
        <v>684.47667665572612</v>
      </c>
      <c r="P14" s="62">
        <f t="shared" si="10"/>
        <v>676.91235230376674</v>
      </c>
      <c r="Q14" s="62">
        <f t="shared" si="10"/>
        <v>693.19755587286477</v>
      </c>
      <c r="R14" s="62">
        <f t="shared" si="10"/>
        <v>686.73562433758082</v>
      </c>
      <c r="S14" s="62">
        <f t="shared" si="10"/>
        <v>684.89307790980149</v>
      </c>
      <c r="T14" s="62">
        <f t="shared" si="10"/>
        <v>656.26344131522387</v>
      </c>
      <c r="U14" s="62">
        <f t="shared" si="10"/>
        <v>647.5840002148741</v>
      </c>
      <c r="V14" s="62">
        <f t="shared" si="10"/>
        <v>520.74510248440004</v>
      </c>
      <c r="W14" s="62">
        <f t="shared" ref="W14" si="11">W15+W21</f>
        <v>574.27886689462332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448.18292758812919</v>
      </c>
      <c r="C15" s="29">
        <f t="shared" ref="C15:V15" si="13">SUM(C16,C17,C20)</f>
        <v>436.73175580185193</v>
      </c>
      <c r="D15" s="29">
        <f t="shared" si="13"/>
        <v>449.49702643473336</v>
      </c>
      <c r="E15" s="29">
        <f t="shared" si="13"/>
        <v>471.78270904237525</v>
      </c>
      <c r="F15" s="29">
        <f t="shared" si="13"/>
        <v>508.17098756631754</v>
      </c>
      <c r="G15" s="29">
        <f t="shared" si="13"/>
        <v>523.18532966341866</v>
      </c>
      <c r="H15" s="29">
        <f t="shared" si="13"/>
        <v>542.57847172452023</v>
      </c>
      <c r="I15" s="29">
        <f t="shared" si="13"/>
        <v>549.59414583226385</v>
      </c>
      <c r="J15" s="29">
        <f t="shared" si="13"/>
        <v>593.4074970617404</v>
      </c>
      <c r="K15" s="29">
        <f t="shared" si="13"/>
        <v>587.86930625198124</v>
      </c>
      <c r="L15" s="29">
        <f t="shared" si="13"/>
        <v>591.90856021189234</v>
      </c>
      <c r="M15" s="29">
        <f t="shared" si="13"/>
        <v>596.30504725971264</v>
      </c>
      <c r="N15" s="29">
        <f t="shared" si="13"/>
        <v>608.13276308378056</v>
      </c>
      <c r="O15" s="29">
        <f t="shared" si="13"/>
        <v>616.89671903452643</v>
      </c>
      <c r="P15" s="29">
        <f t="shared" si="13"/>
        <v>611.66664803660183</v>
      </c>
      <c r="Q15" s="29">
        <f t="shared" si="13"/>
        <v>627.05598095078619</v>
      </c>
      <c r="R15" s="29">
        <f t="shared" si="13"/>
        <v>623.66198486105543</v>
      </c>
      <c r="S15" s="29">
        <f t="shared" si="13"/>
        <v>617.37211520964718</v>
      </c>
      <c r="T15" s="29">
        <f t="shared" si="13"/>
        <v>591.57361367139686</v>
      </c>
      <c r="U15" s="29">
        <f t="shared" si="13"/>
        <v>584.81080941517394</v>
      </c>
      <c r="V15" s="29">
        <f t="shared" si="13"/>
        <v>453.33271601929431</v>
      </c>
      <c r="W15" s="29">
        <f t="shared" ref="W15" si="14">SUM(W16,W17,W20)</f>
        <v>502.76884278241675</v>
      </c>
      <c r="DA15" s="173" t="s">
        <v>1034</v>
      </c>
    </row>
    <row r="16" spans="1:105" ht="11.45" customHeight="1" x14ac:dyDescent="0.25">
      <c r="A16" s="107" t="s">
        <v>23</v>
      </c>
      <c r="B16" s="115">
        <v>81.874777308236901</v>
      </c>
      <c r="C16" s="115">
        <v>86.344338792973502</v>
      </c>
      <c r="D16" s="115">
        <v>89.067878966570305</v>
      </c>
      <c r="E16" s="115">
        <v>91.154400780929834</v>
      </c>
      <c r="F16" s="115">
        <v>101.30490157293389</v>
      </c>
      <c r="G16" s="115">
        <v>103.52108923494237</v>
      </c>
      <c r="H16" s="115">
        <v>105.11253396859532</v>
      </c>
      <c r="I16" s="115">
        <v>104.32288502560726</v>
      </c>
      <c r="J16" s="115">
        <v>113.44992065341681</v>
      </c>
      <c r="K16" s="115">
        <v>103.22569097892271</v>
      </c>
      <c r="L16" s="115">
        <v>104.82626093522772</v>
      </c>
      <c r="M16" s="115">
        <v>106.37516556467813</v>
      </c>
      <c r="N16" s="115">
        <v>109.9855009447199</v>
      </c>
      <c r="O16" s="115">
        <v>108.04927503573754</v>
      </c>
      <c r="P16" s="115">
        <v>108.35286751030567</v>
      </c>
      <c r="Q16" s="115">
        <v>108.62565135318303</v>
      </c>
      <c r="R16" s="115">
        <v>108.20473933327393</v>
      </c>
      <c r="S16" s="115">
        <v>108.59153863349795</v>
      </c>
      <c r="T16" s="115">
        <v>111.21764935415496</v>
      </c>
      <c r="U16" s="115">
        <v>106.51686929651152</v>
      </c>
      <c r="V16" s="115">
        <v>75.483107881607509</v>
      </c>
      <c r="W16" s="115">
        <v>91.463547933043785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277.08534905829799</v>
      </c>
      <c r="C17" s="116">
        <f t="shared" ref="C17:V17" si="16">SUM(C18:C19)</f>
        <v>249.53978624038734</v>
      </c>
      <c r="D17" s="116">
        <f t="shared" si="16"/>
        <v>252.97060994620128</v>
      </c>
      <c r="E17" s="116">
        <f t="shared" si="16"/>
        <v>273.8490620129777</v>
      </c>
      <c r="F17" s="116">
        <f t="shared" si="16"/>
        <v>294.01076358926991</v>
      </c>
      <c r="G17" s="116">
        <f t="shared" si="16"/>
        <v>303.37814972818194</v>
      </c>
      <c r="H17" s="116">
        <f t="shared" si="16"/>
        <v>319.10781504449557</v>
      </c>
      <c r="I17" s="116">
        <f t="shared" si="16"/>
        <v>321.75817564803083</v>
      </c>
      <c r="J17" s="116">
        <f t="shared" si="16"/>
        <v>344.19653014741823</v>
      </c>
      <c r="K17" s="116">
        <f t="shared" si="16"/>
        <v>349.04428937516889</v>
      </c>
      <c r="L17" s="116">
        <f t="shared" si="16"/>
        <v>353.73695928077262</v>
      </c>
      <c r="M17" s="116">
        <f t="shared" si="16"/>
        <v>360.20573455201645</v>
      </c>
      <c r="N17" s="116">
        <f t="shared" si="16"/>
        <v>357.52830808939245</v>
      </c>
      <c r="O17" s="116">
        <f t="shared" si="16"/>
        <v>368.79504399554645</v>
      </c>
      <c r="P17" s="116">
        <f t="shared" si="16"/>
        <v>368.45432222784552</v>
      </c>
      <c r="Q17" s="116">
        <f t="shared" si="16"/>
        <v>377.53297602891104</v>
      </c>
      <c r="R17" s="116">
        <f t="shared" si="16"/>
        <v>381.16621687888045</v>
      </c>
      <c r="S17" s="116">
        <f t="shared" si="16"/>
        <v>369.56857328254443</v>
      </c>
      <c r="T17" s="116">
        <f t="shared" si="16"/>
        <v>350.70980956385336</v>
      </c>
      <c r="U17" s="116">
        <f t="shared" si="16"/>
        <v>344.38717914468913</v>
      </c>
      <c r="V17" s="116">
        <f t="shared" si="16"/>
        <v>272.46860992418846</v>
      </c>
      <c r="W17" s="116">
        <f t="shared" ref="W17" si="17">SUM(W18:W19)</f>
        <v>282.78192866474944</v>
      </c>
      <c r="DA17" s="176" t="s">
        <v>1036</v>
      </c>
    </row>
    <row r="18" spans="1:105" ht="11.45" customHeight="1" x14ac:dyDescent="0.25">
      <c r="A18" s="111" t="s">
        <v>92</v>
      </c>
      <c r="B18" s="87">
        <v>76.320041949471971</v>
      </c>
      <c r="C18" s="87">
        <v>61.801212747970027</v>
      </c>
      <c r="D18" s="87">
        <v>65.053014274632005</v>
      </c>
      <c r="E18" s="87">
        <v>63.907871983497834</v>
      </c>
      <c r="F18" s="87">
        <v>70.221631546134148</v>
      </c>
      <c r="G18" s="87">
        <v>66.49631251892977</v>
      </c>
      <c r="H18" s="87">
        <v>66.078159084975098</v>
      </c>
      <c r="I18" s="87">
        <v>61.846936143636228</v>
      </c>
      <c r="J18" s="87">
        <v>66.291901842505339</v>
      </c>
      <c r="K18" s="87">
        <v>65.502759390213839</v>
      </c>
      <c r="L18" s="87">
        <v>63.681477923825526</v>
      </c>
      <c r="M18" s="87">
        <v>66.09436054144642</v>
      </c>
      <c r="N18" s="87">
        <v>62.888562314357507</v>
      </c>
      <c r="O18" s="87">
        <v>62.656543568092744</v>
      </c>
      <c r="P18" s="87">
        <v>59.741000953695647</v>
      </c>
      <c r="Q18" s="87">
        <v>61.145338174445477</v>
      </c>
      <c r="R18" s="87">
        <v>54.749131488601286</v>
      </c>
      <c r="S18" s="87">
        <v>58.517275065254275</v>
      </c>
      <c r="T18" s="87">
        <v>52.780049676894777</v>
      </c>
      <c r="U18" s="87">
        <v>52.781635464410101</v>
      </c>
      <c r="V18" s="87">
        <v>41.908570087885344</v>
      </c>
      <c r="W18" s="87">
        <v>48.277524035244554</v>
      </c>
      <c r="DA18" s="171" t="s">
        <v>1037</v>
      </c>
    </row>
    <row r="19" spans="1:105" ht="11.45" customHeight="1" x14ac:dyDescent="0.25">
      <c r="A19" s="111" t="s">
        <v>93</v>
      </c>
      <c r="B19" s="87">
        <v>200.76530710882602</v>
      </c>
      <c r="C19" s="87">
        <v>187.73857349241732</v>
      </c>
      <c r="D19" s="87">
        <v>187.91759567156927</v>
      </c>
      <c r="E19" s="87">
        <v>209.94119002947988</v>
      </c>
      <c r="F19" s="87">
        <v>223.78913204313574</v>
      </c>
      <c r="G19" s="87">
        <v>236.88183720925215</v>
      </c>
      <c r="H19" s="87">
        <v>253.02965595952045</v>
      </c>
      <c r="I19" s="87">
        <v>259.91123950439459</v>
      </c>
      <c r="J19" s="87">
        <v>277.90462830491288</v>
      </c>
      <c r="K19" s="87">
        <v>283.54152998495505</v>
      </c>
      <c r="L19" s="87">
        <v>290.0554813569471</v>
      </c>
      <c r="M19" s="87">
        <v>294.11137401057005</v>
      </c>
      <c r="N19" s="87">
        <v>294.63974577503495</v>
      </c>
      <c r="O19" s="87">
        <v>306.13850042745372</v>
      </c>
      <c r="P19" s="87">
        <v>308.71332127414985</v>
      </c>
      <c r="Q19" s="87">
        <v>316.38763785446554</v>
      </c>
      <c r="R19" s="87">
        <v>326.41708539027917</v>
      </c>
      <c r="S19" s="87">
        <v>311.05129821729014</v>
      </c>
      <c r="T19" s="87">
        <v>297.92975988695855</v>
      </c>
      <c r="U19" s="87">
        <v>291.60554368027903</v>
      </c>
      <c r="V19" s="87">
        <v>230.5600398363031</v>
      </c>
      <c r="W19" s="87">
        <v>234.5044046295049</v>
      </c>
      <c r="DA19" s="171" t="s">
        <v>1038</v>
      </c>
    </row>
    <row r="20" spans="1:105" ht="11.45" customHeight="1" x14ac:dyDescent="0.25">
      <c r="A20" s="112" t="s">
        <v>25</v>
      </c>
      <c r="B20" s="117">
        <v>89.222801221594281</v>
      </c>
      <c r="C20" s="117">
        <v>100.84763076849104</v>
      </c>
      <c r="D20" s="117">
        <v>107.45853752196174</v>
      </c>
      <c r="E20" s="117">
        <v>106.77924624846773</v>
      </c>
      <c r="F20" s="117">
        <v>112.85532240411376</v>
      </c>
      <c r="G20" s="117">
        <v>116.28609070029435</v>
      </c>
      <c r="H20" s="117">
        <v>118.3581227114294</v>
      </c>
      <c r="I20" s="117">
        <v>123.51308515862578</v>
      </c>
      <c r="J20" s="117">
        <v>135.76104626090532</v>
      </c>
      <c r="K20" s="117">
        <v>135.59932589788957</v>
      </c>
      <c r="L20" s="117">
        <v>133.345339995892</v>
      </c>
      <c r="M20" s="117">
        <v>129.72414714301812</v>
      </c>
      <c r="N20" s="117">
        <v>140.61895404966819</v>
      </c>
      <c r="O20" s="117">
        <v>140.05240000324241</v>
      </c>
      <c r="P20" s="117">
        <v>134.85945829845062</v>
      </c>
      <c r="Q20" s="117">
        <v>140.89735356869207</v>
      </c>
      <c r="R20" s="117">
        <v>134.291028648901</v>
      </c>
      <c r="S20" s="117">
        <v>139.21200329360477</v>
      </c>
      <c r="T20" s="117">
        <v>129.64615475338852</v>
      </c>
      <c r="U20" s="117">
        <v>133.90676097397332</v>
      </c>
      <c r="V20" s="117">
        <v>105.38099821349833</v>
      </c>
      <c r="W20" s="117">
        <v>128.52336618462348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106.70214353681536</v>
      </c>
      <c r="C21" s="29">
        <f t="shared" ref="C21:V21" si="19">SUM(C22:C23)</f>
        <v>103.79008112374387</v>
      </c>
      <c r="D21" s="29">
        <f t="shared" si="19"/>
        <v>105.01805905044097</v>
      </c>
      <c r="E21" s="29">
        <f t="shared" si="19"/>
        <v>111.1231928671105</v>
      </c>
      <c r="F21" s="29">
        <f t="shared" si="19"/>
        <v>104.56076558019245</v>
      </c>
      <c r="G21" s="29">
        <f t="shared" si="19"/>
        <v>88.835354398444053</v>
      </c>
      <c r="H21" s="29">
        <f t="shared" si="19"/>
        <v>86.531553577292158</v>
      </c>
      <c r="I21" s="29">
        <f t="shared" si="19"/>
        <v>84.404708862454299</v>
      </c>
      <c r="J21" s="29">
        <f t="shared" si="19"/>
        <v>82.07821206198966</v>
      </c>
      <c r="K21" s="29">
        <f t="shared" si="19"/>
        <v>67.440327677094984</v>
      </c>
      <c r="L21" s="29">
        <f t="shared" si="19"/>
        <v>65.804152144037161</v>
      </c>
      <c r="M21" s="29">
        <f t="shared" si="19"/>
        <v>60.633868920169355</v>
      </c>
      <c r="N21" s="29">
        <f t="shared" si="19"/>
        <v>59.536667763651181</v>
      </c>
      <c r="O21" s="29">
        <f t="shared" si="19"/>
        <v>67.579957621199739</v>
      </c>
      <c r="P21" s="29">
        <f t="shared" si="19"/>
        <v>65.245704267164967</v>
      </c>
      <c r="Q21" s="29">
        <f t="shared" si="19"/>
        <v>66.141574922078561</v>
      </c>
      <c r="R21" s="29">
        <f t="shared" si="19"/>
        <v>63.073639476525429</v>
      </c>
      <c r="S21" s="29">
        <f t="shared" si="19"/>
        <v>67.520962700154342</v>
      </c>
      <c r="T21" s="29">
        <f t="shared" si="19"/>
        <v>64.68982764382703</v>
      </c>
      <c r="U21" s="29">
        <f t="shared" si="19"/>
        <v>62.773190799700174</v>
      </c>
      <c r="V21" s="29">
        <f t="shared" si="19"/>
        <v>67.412386465105726</v>
      </c>
      <c r="W21" s="29">
        <f t="shared" ref="W21" si="20">SUM(W22:W23)</f>
        <v>71.510024112206551</v>
      </c>
      <c r="DA21" s="173" t="s">
        <v>1040</v>
      </c>
    </row>
    <row r="22" spans="1:105" ht="11.45" customHeight="1" x14ac:dyDescent="0.25">
      <c r="A22" s="83" t="s">
        <v>92</v>
      </c>
      <c r="B22" s="87">
        <v>16.456739915178627</v>
      </c>
      <c r="C22" s="87">
        <v>13.952132182410212</v>
      </c>
      <c r="D22" s="87">
        <v>14.3568778518862</v>
      </c>
      <c r="E22" s="87">
        <v>12.797887685296564</v>
      </c>
      <c r="F22" s="87">
        <v>9.9762504528656493</v>
      </c>
      <c r="G22" s="87">
        <v>8.0586633640844454</v>
      </c>
      <c r="H22" s="87">
        <v>7.3812413203285105</v>
      </c>
      <c r="I22" s="87">
        <v>7.196403397878532</v>
      </c>
      <c r="J22" s="87">
        <v>7.3311194537716196</v>
      </c>
      <c r="K22" s="87">
        <v>5.5010035561052586</v>
      </c>
      <c r="L22" s="87">
        <v>5.0606581371457766</v>
      </c>
      <c r="M22" s="87">
        <v>5.1600778091377197</v>
      </c>
      <c r="N22" s="87">
        <v>4.3672045623072773</v>
      </c>
      <c r="O22" s="87">
        <v>4.5790778836056338</v>
      </c>
      <c r="P22" s="87">
        <v>4.1766123323427102</v>
      </c>
      <c r="Q22" s="87">
        <v>4.5198871459516665</v>
      </c>
      <c r="R22" s="87">
        <v>4.2239548940788438</v>
      </c>
      <c r="S22" s="87">
        <v>4.6321856434621296</v>
      </c>
      <c r="T22" s="87">
        <v>4.0863040324867708</v>
      </c>
      <c r="U22" s="87">
        <v>4.318735714274875</v>
      </c>
      <c r="V22" s="87">
        <v>4.6402350875488745</v>
      </c>
      <c r="W22" s="87">
        <v>5.2956164191766204</v>
      </c>
      <c r="DA22" s="171" t="s">
        <v>1041</v>
      </c>
    </row>
    <row r="23" spans="1:105" ht="11.45" customHeight="1" x14ac:dyDescent="0.25">
      <c r="A23" s="85" t="s">
        <v>93</v>
      </c>
      <c r="B23" s="88">
        <v>90.245403621636726</v>
      </c>
      <c r="C23" s="88">
        <v>89.837948941333664</v>
      </c>
      <c r="D23" s="88">
        <v>90.661181198554772</v>
      </c>
      <c r="E23" s="88">
        <v>98.325305181813945</v>
      </c>
      <c r="F23" s="88">
        <v>94.584515127326796</v>
      </c>
      <c r="G23" s="88">
        <v>80.776691034359601</v>
      </c>
      <c r="H23" s="88">
        <v>79.150312256963645</v>
      </c>
      <c r="I23" s="88">
        <v>77.208305464575773</v>
      </c>
      <c r="J23" s="88">
        <v>74.74709260821804</v>
      </c>
      <c r="K23" s="88">
        <v>61.939324120989724</v>
      </c>
      <c r="L23" s="88">
        <v>60.743494006891382</v>
      </c>
      <c r="M23" s="88">
        <v>55.473791111031638</v>
      </c>
      <c r="N23" s="88">
        <v>55.169463201343902</v>
      </c>
      <c r="O23" s="88">
        <v>63.000879737594104</v>
      </c>
      <c r="P23" s="88">
        <v>61.069091934822254</v>
      </c>
      <c r="Q23" s="88">
        <v>61.62168777612689</v>
      </c>
      <c r="R23" s="88">
        <v>58.849684582446585</v>
      </c>
      <c r="S23" s="88">
        <v>62.88877705669222</v>
      </c>
      <c r="T23" s="88">
        <v>60.603523611340258</v>
      </c>
      <c r="U23" s="88">
        <v>58.454455085425302</v>
      </c>
      <c r="V23" s="88">
        <v>62.772151377556852</v>
      </c>
      <c r="W23" s="88">
        <v>66.214407693029926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3323.3354299999996</v>
      </c>
      <c r="C25" s="62">
        <f t="shared" ref="C25:V25" si="22">C26+C32</f>
        <v>3241.8101989999996</v>
      </c>
      <c r="D25" s="62">
        <f t="shared" si="22"/>
        <v>3260.0657719999999</v>
      </c>
      <c r="E25" s="62">
        <f t="shared" si="22"/>
        <v>3447.2399640000003</v>
      </c>
      <c r="F25" s="62">
        <f t="shared" si="22"/>
        <v>3660.4986599999997</v>
      </c>
      <c r="G25" s="62">
        <f t="shared" si="22"/>
        <v>3697.3679210000005</v>
      </c>
      <c r="H25" s="62">
        <f t="shared" si="22"/>
        <v>3781.0278680000001</v>
      </c>
      <c r="I25" s="62">
        <f t="shared" si="22"/>
        <v>3789.941437</v>
      </c>
      <c r="J25" s="62">
        <f t="shared" si="22"/>
        <v>4038.0887280000002</v>
      </c>
      <c r="K25" s="62">
        <f t="shared" si="22"/>
        <v>3942.265058</v>
      </c>
      <c r="L25" s="62">
        <f t="shared" si="22"/>
        <v>3936.5561459999999</v>
      </c>
      <c r="M25" s="62">
        <f t="shared" si="22"/>
        <v>3959.8637540000004</v>
      </c>
      <c r="N25" s="62">
        <f t="shared" si="22"/>
        <v>3993.5601510000006</v>
      </c>
      <c r="O25" s="62">
        <f t="shared" si="22"/>
        <v>4090.02711</v>
      </c>
      <c r="P25" s="62">
        <f t="shared" si="22"/>
        <v>4067.3044260000001</v>
      </c>
      <c r="Q25" s="62">
        <f t="shared" si="22"/>
        <v>4148.2055359999995</v>
      </c>
      <c r="R25" s="62">
        <f t="shared" si="22"/>
        <v>4138.5802689999991</v>
      </c>
      <c r="S25" s="62">
        <f t="shared" si="22"/>
        <v>4097.9511190000003</v>
      </c>
      <c r="T25" s="62">
        <f t="shared" si="22"/>
        <v>3962.1167970000001</v>
      </c>
      <c r="U25" s="62">
        <f t="shared" si="22"/>
        <v>3875.6862390000006</v>
      </c>
      <c r="V25" s="62">
        <f t="shared" si="22"/>
        <v>3619.8997470000004</v>
      </c>
      <c r="W25" s="62">
        <f t="shared" ref="W25" si="23">W26+W32</f>
        <v>3472.8444460000005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2789.8247109999998</v>
      </c>
      <c r="C26" s="29">
        <f t="shared" ref="C26:V26" si="25">SUM(C27,C28,C31)</f>
        <v>2718.5651239999997</v>
      </c>
      <c r="D26" s="29">
        <f t="shared" si="25"/>
        <v>2734.9754760000001</v>
      </c>
      <c r="E26" s="29">
        <f t="shared" si="25"/>
        <v>2891.6239990000004</v>
      </c>
      <c r="F26" s="29">
        <f t="shared" si="25"/>
        <v>3131.8150149999997</v>
      </c>
      <c r="G26" s="29">
        <f t="shared" si="25"/>
        <v>3222.0353470000005</v>
      </c>
      <c r="H26" s="29">
        <f t="shared" si="25"/>
        <v>3345.9719770000002</v>
      </c>
      <c r="I26" s="29">
        <f t="shared" si="25"/>
        <v>3367.9178919999999</v>
      </c>
      <c r="J26" s="29">
        <f t="shared" si="25"/>
        <v>3627.697666</v>
      </c>
      <c r="K26" s="29">
        <f t="shared" si="25"/>
        <v>3585.2250669999999</v>
      </c>
      <c r="L26" s="29">
        <f t="shared" si="25"/>
        <v>3607.5353839999998</v>
      </c>
      <c r="M26" s="29">
        <f t="shared" si="25"/>
        <v>3656.6944080000003</v>
      </c>
      <c r="N26" s="29">
        <f t="shared" si="25"/>
        <v>3695.8768110000005</v>
      </c>
      <c r="O26" s="29">
        <f t="shared" si="25"/>
        <v>3752.1273209999999</v>
      </c>
      <c r="P26" s="29">
        <f t="shared" si="25"/>
        <v>3741.0759040000003</v>
      </c>
      <c r="Q26" s="29">
        <f t="shared" si="25"/>
        <v>3817.4976609999999</v>
      </c>
      <c r="R26" s="29">
        <f t="shared" si="25"/>
        <v>3823.2120709999995</v>
      </c>
      <c r="S26" s="29">
        <f t="shared" si="25"/>
        <v>3760.3463040000001</v>
      </c>
      <c r="T26" s="29">
        <f t="shared" si="25"/>
        <v>3638.667657</v>
      </c>
      <c r="U26" s="29">
        <f t="shared" si="25"/>
        <v>3561.8202840000004</v>
      </c>
      <c r="V26" s="29">
        <f t="shared" si="25"/>
        <v>3282.8378140000004</v>
      </c>
      <c r="W26" s="29">
        <f t="shared" ref="W26" si="26">SUM(W27,W28,W31)</f>
        <v>3115.2943240000004</v>
      </c>
      <c r="DA26" s="173" t="s">
        <v>1044</v>
      </c>
    </row>
    <row r="27" spans="1:105" ht="11.45" customHeight="1" x14ac:dyDescent="0.25">
      <c r="A27" s="107" t="s">
        <v>23</v>
      </c>
      <c r="B27" s="115">
        <v>744.31615799999997</v>
      </c>
      <c r="C27" s="115">
        <v>784.94853499999999</v>
      </c>
      <c r="D27" s="115">
        <v>809.70799099999999</v>
      </c>
      <c r="E27" s="115">
        <v>828.67637100000002</v>
      </c>
      <c r="F27" s="115">
        <v>920.95365100000004</v>
      </c>
      <c r="G27" s="115">
        <v>941.10081200000002</v>
      </c>
      <c r="H27" s="115">
        <v>955.56849099999999</v>
      </c>
      <c r="I27" s="115">
        <v>948.38986399999999</v>
      </c>
      <c r="J27" s="115">
        <v>1031.362916</v>
      </c>
      <c r="K27" s="115">
        <v>956.93130099999996</v>
      </c>
      <c r="L27" s="115">
        <v>952.96600899999999</v>
      </c>
      <c r="M27" s="115">
        <v>967.04696000000001</v>
      </c>
      <c r="N27" s="115">
        <v>999.86819100000002</v>
      </c>
      <c r="O27" s="115">
        <v>982.26613699999996</v>
      </c>
      <c r="P27" s="115">
        <v>985.02606900000001</v>
      </c>
      <c r="Q27" s="115">
        <v>987.50592199999994</v>
      </c>
      <c r="R27" s="115">
        <v>983.67944899999998</v>
      </c>
      <c r="S27" s="115">
        <v>987.19580599999995</v>
      </c>
      <c r="T27" s="115">
        <v>1011.06954</v>
      </c>
      <c r="U27" s="115">
        <v>968.33517600000005</v>
      </c>
      <c r="V27" s="115">
        <v>893.90356099999997</v>
      </c>
      <c r="W27" s="115">
        <v>831.48680000000002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1847.2356609999999</v>
      </c>
      <c r="C28" s="116">
        <f t="shared" ref="C28:V28" si="28">SUM(C29:C30)</f>
        <v>1709.5107419999999</v>
      </c>
      <c r="D28" s="116">
        <f t="shared" si="28"/>
        <v>1686.4707340000002</v>
      </c>
      <c r="E28" s="116">
        <f t="shared" si="28"/>
        <v>1825.6604140000002</v>
      </c>
      <c r="F28" s="116">
        <f t="shared" si="28"/>
        <v>1960.071758</v>
      </c>
      <c r="G28" s="116">
        <f t="shared" si="28"/>
        <v>2022.5210000000002</v>
      </c>
      <c r="H28" s="116">
        <f t="shared" si="28"/>
        <v>2127.3854350000001</v>
      </c>
      <c r="I28" s="116">
        <f t="shared" si="28"/>
        <v>2145.0545050000001</v>
      </c>
      <c r="J28" s="116">
        <f t="shared" si="28"/>
        <v>2294.643536</v>
      </c>
      <c r="K28" s="116">
        <f t="shared" si="28"/>
        <v>2326.9619299999999</v>
      </c>
      <c r="L28" s="116">
        <f t="shared" si="28"/>
        <v>2358.2463969999999</v>
      </c>
      <c r="M28" s="116">
        <f t="shared" si="28"/>
        <v>2401.3715649999999</v>
      </c>
      <c r="N28" s="116">
        <f t="shared" si="28"/>
        <v>2383.5220550000004</v>
      </c>
      <c r="O28" s="116">
        <f t="shared" si="28"/>
        <v>2458.633628</v>
      </c>
      <c r="P28" s="116">
        <f t="shared" si="28"/>
        <v>2456.362149</v>
      </c>
      <c r="Q28" s="116">
        <f t="shared" si="28"/>
        <v>2516.886508</v>
      </c>
      <c r="R28" s="116">
        <f t="shared" si="28"/>
        <v>2541.1081129999998</v>
      </c>
      <c r="S28" s="116">
        <f t="shared" si="28"/>
        <v>2463.7904899999999</v>
      </c>
      <c r="T28" s="116">
        <f t="shared" si="28"/>
        <v>2338.0653980000002</v>
      </c>
      <c r="U28" s="116">
        <f t="shared" si="28"/>
        <v>2295.9145280000002</v>
      </c>
      <c r="V28" s="116">
        <f t="shared" si="28"/>
        <v>2111.1909620000001</v>
      </c>
      <c r="W28" s="116">
        <f t="shared" ref="W28" si="29">SUM(W29:W30)</f>
        <v>1998.2000430000003</v>
      </c>
      <c r="DA28" s="176" t="s">
        <v>1046</v>
      </c>
    </row>
    <row r="29" spans="1:105" ht="11.45" customHeight="1" x14ac:dyDescent="0.25">
      <c r="A29" s="111" t="s">
        <v>92</v>
      </c>
      <c r="B29" s="87">
        <v>508.80027999999999</v>
      </c>
      <c r="C29" s="87">
        <v>457.920252</v>
      </c>
      <c r="D29" s="87">
        <v>433.68676199999999</v>
      </c>
      <c r="E29" s="87">
        <v>426.05248</v>
      </c>
      <c r="F29" s="87">
        <v>468.14421099999998</v>
      </c>
      <c r="G29" s="87">
        <v>443.30875099999997</v>
      </c>
      <c r="H29" s="87">
        <v>440.52106099999997</v>
      </c>
      <c r="I29" s="87">
        <v>412.31290799999999</v>
      </c>
      <c r="J29" s="87">
        <v>441.94601299999999</v>
      </c>
      <c r="K29" s="87">
        <v>436.68506300000001</v>
      </c>
      <c r="L29" s="87">
        <v>424.54318699999999</v>
      </c>
      <c r="M29" s="87">
        <v>440.62907100000001</v>
      </c>
      <c r="N29" s="87">
        <v>419.25708300000002</v>
      </c>
      <c r="O29" s="87">
        <v>417.71029099999998</v>
      </c>
      <c r="P29" s="87">
        <v>398.27334000000002</v>
      </c>
      <c r="Q29" s="87">
        <v>407.63558799999998</v>
      </c>
      <c r="R29" s="87">
        <v>364.99421000000001</v>
      </c>
      <c r="S29" s="87">
        <v>390.11516799999998</v>
      </c>
      <c r="T29" s="87">
        <v>351.86699800000002</v>
      </c>
      <c r="U29" s="87">
        <v>351.87756999999999</v>
      </c>
      <c r="V29" s="87">
        <v>300.99754200000001</v>
      </c>
      <c r="W29" s="87">
        <v>321.85016100000001</v>
      </c>
      <c r="DA29" s="171" t="s">
        <v>1047</v>
      </c>
    </row>
    <row r="30" spans="1:105" ht="11.45" customHeight="1" x14ac:dyDescent="0.25">
      <c r="A30" s="111" t="s">
        <v>93</v>
      </c>
      <c r="B30" s="87">
        <v>1338.435381</v>
      </c>
      <c r="C30" s="87">
        <v>1251.59049</v>
      </c>
      <c r="D30" s="87">
        <v>1252.7839720000002</v>
      </c>
      <c r="E30" s="87">
        <v>1399.6079340000001</v>
      </c>
      <c r="F30" s="87">
        <v>1491.927547</v>
      </c>
      <c r="G30" s="87">
        <v>1579.2122490000002</v>
      </c>
      <c r="H30" s="87">
        <v>1686.864374</v>
      </c>
      <c r="I30" s="87">
        <v>1732.7415970000002</v>
      </c>
      <c r="J30" s="87">
        <v>1852.697523</v>
      </c>
      <c r="K30" s="87">
        <v>1890.276867</v>
      </c>
      <c r="L30" s="87">
        <v>1933.7032100000001</v>
      </c>
      <c r="M30" s="87">
        <v>1960.7424940000001</v>
      </c>
      <c r="N30" s="87">
        <v>1964.2649720000002</v>
      </c>
      <c r="O30" s="87">
        <v>2040.9233370000002</v>
      </c>
      <c r="P30" s="87">
        <v>2058.0888089999999</v>
      </c>
      <c r="Q30" s="87">
        <v>2109.25092</v>
      </c>
      <c r="R30" s="87">
        <v>2176.1139029999999</v>
      </c>
      <c r="S30" s="87">
        <v>2073.6753220000001</v>
      </c>
      <c r="T30" s="87">
        <v>1986.1984000000002</v>
      </c>
      <c r="U30" s="87">
        <v>1944.0369580000001</v>
      </c>
      <c r="V30" s="87">
        <v>1810.1934200000001</v>
      </c>
      <c r="W30" s="87">
        <v>1676.3498820000002</v>
      </c>
      <c r="DA30" s="171" t="s">
        <v>1048</v>
      </c>
    </row>
    <row r="31" spans="1:105" ht="11.45" customHeight="1" x14ac:dyDescent="0.25">
      <c r="A31" s="112" t="s">
        <v>25</v>
      </c>
      <c r="B31" s="117">
        <v>198.27289199999998</v>
      </c>
      <c r="C31" s="117">
        <v>224.10584700000001</v>
      </c>
      <c r="D31" s="117">
        <v>238.796751</v>
      </c>
      <c r="E31" s="117">
        <v>237.28721400000001</v>
      </c>
      <c r="F31" s="117">
        <v>250.78960599999999</v>
      </c>
      <c r="G31" s="117">
        <v>258.41353500000002</v>
      </c>
      <c r="H31" s="117">
        <v>263.01805100000001</v>
      </c>
      <c r="I31" s="117">
        <v>274.473523</v>
      </c>
      <c r="J31" s="117">
        <v>301.691214</v>
      </c>
      <c r="K31" s="117">
        <v>301.33183600000001</v>
      </c>
      <c r="L31" s="117">
        <v>296.32297799999998</v>
      </c>
      <c r="M31" s="117">
        <v>288.27588300000002</v>
      </c>
      <c r="N31" s="117">
        <v>312.48656499999998</v>
      </c>
      <c r="O31" s="117">
        <v>311.22755599999999</v>
      </c>
      <c r="P31" s="117">
        <v>299.68768599999999</v>
      </c>
      <c r="Q31" s="117">
        <v>313.105231</v>
      </c>
      <c r="R31" s="117">
        <v>298.424509</v>
      </c>
      <c r="S31" s="117">
        <v>309.36000799999999</v>
      </c>
      <c r="T31" s="117">
        <v>289.53271899999999</v>
      </c>
      <c r="U31" s="117">
        <v>297.57058000000001</v>
      </c>
      <c r="V31" s="117">
        <v>277.743291</v>
      </c>
      <c r="W31" s="117">
        <v>285.60748100000001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533.51071899999999</v>
      </c>
      <c r="C32" s="29">
        <f t="shared" ref="C32:V32" si="31">SUM(C33:C34)</f>
        <v>523.24507500000004</v>
      </c>
      <c r="D32" s="29">
        <f t="shared" si="31"/>
        <v>525.09029599999997</v>
      </c>
      <c r="E32" s="29">
        <f t="shared" si="31"/>
        <v>555.61596499999996</v>
      </c>
      <c r="F32" s="29">
        <f t="shared" si="31"/>
        <v>528.68364499999996</v>
      </c>
      <c r="G32" s="29">
        <f t="shared" si="31"/>
        <v>475.33257399999997</v>
      </c>
      <c r="H32" s="29">
        <f t="shared" si="31"/>
        <v>435.05589099999997</v>
      </c>
      <c r="I32" s="29">
        <f t="shared" si="31"/>
        <v>422.02354499999996</v>
      </c>
      <c r="J32" s="29">
        <f t="shared" si="31"/>
        <v>410.39106199999998</v>
      </c>
      <c r="K32" s="29">
        <f t="shared" si="31"/>
        <v>357.03999099999999</v>
      </c>
      <c r="L32" s="29">
        <f t="shared" si="31"/>
        <v>329.02076199999999</v>
      </c>
      <c r="M32" s="29">
        <f t="shared" si="31"/>
        <v>303.16934600000002</v>
      </c>
      <c r="N32" s="29">
        <f t="shared" si="31"/>
        <v>297.68333999999999</v>
      </c>
      <c r="O32" s="29">
        <f t="shared" si="31"/>
        <v>337.899789</v>
      </c>
      <c r="P32" s="29">
        <f t="shared" si="31"/>
        <v>326.228522</v>
      </c>
      <c r="Q32" s="29">
        <f t="shared" si="31"/>
        <v>330.707875</v>
      </c>
      <c r="R32" s="29">
        <f t="shared" si="31"/>
        <v>315.36819800000001</v>
      </c>
      <c r="S32" s="29">
        <f t="shared" si="31"/>
        <v>337.60481500000003</v>
      </c>
      <c r="T32" s="29">
        <f t="shared" si="31"/>
        <v>323.44914</v>
      </c>
      <c r="U32" s="29">
        <f t="shared" si="31"/>
        <v>313.86595499999999</v>
      </c>
      <c r="V32" s="29">
        <f t="shared" si="31"/>
        <v>337.06193299999995</v>
      </c>
      <c r="W32" s="29">
        <f t="shared" ref="W32" si="32">SUM(W33:W34)</f>
        <v>357.55012200000004</v>
      </c>
      <c r="DA32" s="173" t="s">
        <v>1050</v>
      </c>
    </row>
    <row r="33" spans="1:105" ht="11.45" customHeight="1" x14ac:dyDescent="0.25">
      <c r="A33" s="83" t="s">
        <v>92</v>
      </c>
      <c r="B33" s="87">
        <v>82.283699999999996</v>
      </c>
      <c r="C33" s="87">
        <v>74.055329999999998</v>
      </c>
      <c r="D33" s="87">
        <v>71.784390000000002</v>
      </c>
      <c r="E33" s="87">
        <v>63.989438999999997</v>
      </c>
      <c r="F33" s="87">
        <v>55.761068999999999</v>
      </c>
      <c r="G33" s="87">
        <v>47.532699000000001</v>
      </c>
      <c r="H33" s="87">
        <v>39.304329000000003</v>
      </c>
      <c r="I33" s="87">
        <v>35.982016999999999</v>
      </c>
      <c r="J33" s="87">
        <v>36.655597999999998</v>
      </c>
      <c r="K33" s="87">
        <v>28.427227999999999</v>
      </c>
      <c r="L33" s="87">
        <v>25.303291000000002</v>
      </c>
      <c r="M33" s="87">
        <v>25.80039</v>
      </c>
      <c r="N33" s="87">
        <v>21.836023000000001</v>
      </c>
      <c r="O33" s="87">
        <v>22.895390000000003</v>
      </c>
      <c r="P33" s="87">
        <v>20.883062000000002</v>
      </c>
      <c r="Q33" s="87">
        <v>22.599436000000001</v>
      </c>
      <c r="R33" s="87">
        <v>21.119775000000001</v>
      </c>
      <c r="S33" s="87">
        <v>23.160928999999999</v>
      </c>
      <c r="T33" s="87">
        <v>20.431521</v>
      </c>
      <c r="U33" s="87">
        <v>21.593679000000002</v>
      </c>
      <c r="V33" s="87">
        <v>23.201176</v>
      </c>
      <c r="W33" s="87">
        <v>26.478083000000002</v>
      </c>
      <c r="DA33" s="171" t="s">
        <v>1051</v>
      </c>
    </row>
    <row r="34" spans="1:105" ht="11.45" customHeight="1" x14ac:dyDescent="0.25">
      <c r="A34" s="85" t="s">
        <v>93</v>
      </c>
      <c r="B34" s="88">
        <v>451.22701899999998</v>
      </c>
      <c r="C34" s="88">
        <v>449.18974500000002</v>
      </c>
      <c r="D34" s="88">
        <v>453.30590599999999</v>
      </c>
      <c r="E34" s="88">
        <v>491.62652600000001</v>
      </c>
      <c r="F34" s="88">
        <v>472.92257599999999</v>
      </c>
      <c r="G34" s="88">
        <v>427.79987499999999</v>
      </c>
      <c r="H34" s="88">
        <v>395.75156199999998</v>
      </c>
      <c r="I34" s="88">
        <v>386.04152799999997</v>
      </c>
      <c r="J34" s="88">
        <v>373.73546399999998</v>
      </c>
      <c r="K34" s="88">
        <v>328.61276299999997</v>
      </c>
      <c r="L34" s="88">
        <v>303.71747099999999</v>
      </c>
      <c r="M34" s="88">
        <v>277.36895600000003</v>
      </c>
      <c r="N34" s="88">
        <v>275.84731699999998</v>
      </c>
      <c r="O34" s="88">
        <v>315.00439899999998</v>
      </c>
      <c r="P34" s="88">
        <v>305.34546</v>
      </c>
      <c r="Q34" s="88">
        <v>308.10843899999998</v>
      </c>
      <c r="R34" s="88">
        <v>294.248423</v>
      </c>
      <c r="S34" s="88">
        <v>314.44388600000002</v>
      </c>
      <c r="T34" s="88">
        <v>303.01761900000002</v>
      </c>
      <c r="U34" s="88">
        <v>292.27227599999998</v>
      </c>
      <c r="V34" s="88">
        <v>313.86075699999998</v>
      </c>
      <c r="W34" s="88">
        <v>331.07203900000002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111.96902700000004</v>
      </c>
      <c r="D36" s="54">
        <f t="shared" ref="D36:V36" si="34">D37+D43</f>
        <v>128.75197500000019</v>
      </c>
      <c r="E36" s="54">
        <f t="shared" si="34"/>
        <v>293.53385000000003</v>
      </c>
      <c r="F36" s="54">
        <f t="shared" si="34"/>
        <v>323.78273099999996</v>
      </c>
      <c r="G36" s="54">
        <f t="shared" si="34"/>
        <v>183.38349800000026</v>
      </c>
      <c r="H36" s="54">
        <f t="shared" si="34"/>
        <v>207.52834499999989</v>
      </c>
      <c r="I36" s="54">
        <f t="shared" si="34"/>
        <v>123.74473200000023</v>
      </c>
      <c r="J36" s="54">
        <f t="shared" si="34"/>
        <v>349.67421200000013</v>
      </c>
      <c r="K36" s="54">
        <f t="shared" si="34"/>
        <v>89.385779000000127</v>
      </c>
      <c r="L36" s="54">
        <f t="shared" si="34"/>
        <v>105.90203200000013</v>
      </c>
      <c r="M36" s="54">
        <f t="shared" si="34"/>
        <v>137.85412200000007</v>
      </c>
      <c r="N36" s="54">
        <f t="shared" si="34"/>
        <v>142.3334500000002</v>
      </c>
      <c r="O36" s="54">
        <f t="shared" si="34"/>
        <v>197.99387999999973</v>
      </c>
      <c r="P36" s="54">
        <f t="shared" si="34"/>
        <v>88.114023999999574</v>
      </c>
      <c r="Q36" s="54">
        <f t="shared" si="34"/>
        <v>182.42803099999981</v>
      </c>
      <c r="R36" s="54">
        <f t="shared" si="34"/>
        <v>127.55671999999987</v>
      </c>
      <c r="S36" s="54">
        <f t="shared" si="34"/>
        <v>127.5766229999999</v>
      </c>
      <c r="T36" s="54">
        <f t="shared" si="34"/>
        <v>53.818217000000075</v>
      </c>
      <c r="U36" s="54">
        <f t="shared" si="34"/>
        <v>38.067487999999919</v>
      </c>
      <c r="V36" s="54">
        <f t="shared" si="34"/>
        <v>41.131183999999976</v>
      </c>
      <c r="W36" s="54">
        <f t="shared" ref="W36" si="35">W37+W43</f>
        <v>88.807238000000027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99.033309000000031</v>
      </c>
      <c r="D37" s="28">
        <f t="shared" ref="D37:V37" si="37">SUM(D38,D39,D42)</f>
        <v>108.97154800000021</v>
      </c>
      <c r="E37" s="28">
        <f t="shared" si="37"/>
        <v>240.24023800000006</v>
      </c>
      <c r="F37" s="28">
        <f t="shared" si="37"/>
        <v>323.78273099999996</v>
      </c>
      <c r="G37" s="28">
        <f t="shared" si="37"/>
        <v>183.38349800000026</v>
      </c>
      <c r="H37" s="28">
        <f t="shared" si="37"/>
        <v>207.52834499999989</v>
      </c>
      <c r="I37" s="28">
        <f t="shared" si="37"/>
        <v>118.48177400000026</v>
      </c>
      <c r="J37" s="28">
        <f t="shared" si="37"/>
        <v>343.37148900000011</v>
      </c>
      <c r="K37" s="28">
        <f t="shared" si="37"/>
        <v>89.385779000000127</v>
      </c>
      <c r="L37" s="28">
        <f t="shared" si="37"/>
        <v>105.90203200000013</v>
      </c>
      <c r="M37" s="28">
        <f t="shared" si="37"/>
        <v>134.39480900000007</v>
      </c>
      <c r="N37" s="28">
        <f t="shared" si="37"/>
        <v>128.88209700000027</v>
      </c>
      <c r="O37" s="28">
        <f t="shared" si="37"/>
        <v>139.84222499999976</v>
      </c>
      <c r="P37" s="28">
        <f t="shared" si="37"/>
        <v>81.850084999999581</v>
      </c>
      <c r="Q37" s="28">
        <f t="shared" si="37"/>
        <v>160.01347199999987</v>
      </c>
      <c r="R37" s="28">
        <f t="shared" si="37"/>
        <v>124.96119099999987</v>
      </c>
      <c r="S37" s="28">
        <f t="shared" si="37"/>
        <v>87.404799999999909</v>
      </c>
      <c r="T37" s="28">
        <f t="shared" si="37"/>
        <v>50.038686000000098</v>
      </c>
      <c r="U37" s="28">
        <f t="shared" si="37"/>
        <v>29.71546699999999</v>
      </c>
      <c r="V37" s="28">
        <f t="shared" si="37"/>
        <v>0</v>
      </c>
      <c r="W37" s="28">
        <f t="shared" ref="W37" si="38">SUM(W38,W39,W42)</f>
        <v>50.383843000000013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66.797328999999991</v>
      </c>
      <c r="D38" s="108">
        <v>50.924407999999971</v>
      </c>
      <c r="E38" s="108">
        <v>45.133331999999996</v>
      </c>
      <c r="F38" s="108">
        <v>118.44223199999999</v>
      </c>
      <c r="G38" s="108">
        <v>46.312112999999954</v>
      </c>
      <c r="H38" s="108">
        <v>40.632630999999947</v>
      </c>
      <c r="I38" s="108">
        <v>18.986324999999965</v>
      </c>
      <c r="J38" s="108">
        <v>109.13800400000014</v>
      </c>
      <c r="K38" s="108">
        <v>0</v>
      </c>
      <c r="L38" s="108">
        <v>22.199659999999994</v>
      </c>
      <c r="M38" s="108">
        <v>40.245902999999998</v>
      </c>
      <c r="N38" s="108">
        <v>58.986183000000096</v>
      </c>
      <c r="O38" s="108">
        <v>8.5628979999999046</v>
      </c>
      <c r="P38" s="108">
        <v>28.92488400000002</v>
      </c>
      <c r="Q38" s="108">
        <v>28.644804999999906</v>
      </c>
      <c r="R38" s="108">
        <v>22.338479000000007</v>
      </c>
      <c r="S38" s="108">
        <v>29.681308999999942</v>
      </c>
      <c r="T38" s="108">
        <v>50.038686000000098</v>
      </c>
      <c r="U38" s="108">
        <v>0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36.953211000000238</v>
      </c>
      <c r="E39" s="110">
        <f t="shared" si="40"/>
        <v>190.21341800000005</v>
      </c>
      <c r="F39" s="110">
        <f t="shared" si="40"/>
        <v>185.43508199999997</v>
      </c>
      <c r="G39" s="110">
        <f t="shared" si="40"/>
        <v>123.04443100000026</v>
      </c>
      <c r="H39" s="110">
        <f t="shared" si="40"/>
        <v>155.88817299999994</v>
      </c>
      <c r="I39" s="110">
        <f t="shared" si="40"/>
        <v>81.636952000000292</v>
      </c>
      <c r="J39" s="110">
        <f t="shared" si="40"/>
        <v>200.61276899999996</v>
      </c>
      <c r="K39" s="110">
        <f t="shared" si="40"/>
        <v>83.342132000000106</v>
      </c>
      <c r="L39" s="110">
        <f t="shared" si="40"/>
        <v>82.308205000000157</v>
      </c>
      <c r="M39" s="110">
        <f t="shared" si="40"/>
        <v>94.148906000000068</v>
      </c>
      <c r="N39" s="110">
        <f t="shared" si="40"/>
        <v>39.282207000000199</v>
      </c>
      <c r="O39" s="110">
        <f t="shared" si="40"/>
        <v>126.13531099999983</v>
      </c>
      <c r="P39" s="110">
        <f t="shared" si="40"/>
        <v>52.925200999999561</v>
      </c>
      <c r="Q39" s="110">
        <f t="shared" si="40"/>
        <v>111.54809699999993</v>
      </c>
      <c r="R39" s="110">
        <f t="shared" si="40"/>
        <v>102.62271199999986</v>
      </c>
      <c r="S39" s="110">
        <f t="shared" si="40"/>
        <v>40.384966999999961</v>
      </c>
      <c r="T39" s="110">
        <f t="shared" si="40"/>
        <v>0</v>
      </c>
      <c r="U39" s="110">
        <f t="shared" si="40"/>
        <v>15.274580999999955</v>
      </c>
      <c r="V39" s="110">
        <f t="shared" si="40"/>
        <v>0</v>
      </c>
      <c r="W39" s="110">
        <f t="shared" ref="W39" si="41">SUM(W40:W41)</f>
        <v>36.116627999999992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7.6297270000000026</v>
      </c>
      <c r="F40" s="84">
        <v>57.355739999999969</v>
      </c>
      <c r="G40" s="84">
        <v>0</v>
      </c>
      <c r="H40" s="84">
        <v>12.47631899999999</v>
      </c>
      <c r="I40" s="84">
        <v>0</v>
      </c>
      <c r="J40" s="84">
        <v>44.897113999999988</v>
      </c>
      <c r="K40" s="84">
        <v>10.003059000000007</v>
      </c>
      <c r="L40" s="84">
        <v>3.1221329999999625</v>
      </c>
      <c r="M40" s="84">
        <v>31.349893000000009</v>
      </c>
      <c r="N40" s="84">
        <v>0</v>
      </c>
      <c r="O40" s="84">
        <v>13.717216999999948</v>
      </c>
      <c r="P40" s="84">
        <v>0</v>
      </c>
      <c r="Q40" s="84">
        <v>24.626256999999953</v>
      </c>
      <c r="R40" s="84">
        <v>0</v>
      </c>
      <c r="S40" s="84">
        <v>40.384966999999961</v>
      </c>
      <c r="T40" s="84">
        <v>0</v>
      </c>
      <c r="U40" s="84">
        <v>15.274580999999955</v>
      </c>
      <c r="V40" s="84">
        <v>0</v>
      </c>
      <c r="W40" s="84">
        <v>36.116627999999992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36.953211000000238</v>
      </c>
      <c r="E41" s="84">
        <v>182.58369100000004</v>
      </c>
      <c r="F41" s="84">
        <v>128.079342</v>
      </c>
      <c r="G41" s="84">
        <v>123.04443100000026</v>
      </c>
      <c r="H41" s="84">
        <v>143.41185399999995</v>
      </c>
      <c r="I41" s="84">
        <v>81.636952000000292</v>
      </c>
      <c r="J41" s="84">
        <v>155.71565499999997</v>
      </c>
      <c r="K41" s="84">
        <v>73.339073000000099</v>
      </c>
      <c r="L41" s="84">
        <v>79.186072000000195</v>
      </c>
      <c r="M41" s="84">
        <v>62.799013000000059</v>
      </c>
      <c r="N41" s="84">
        <v>39.282207000000199</v>
      </c>
      <c r="O41" s="84">
        <v>112.41809399999988</v>
      </c>
      <c r="P41" s="84">
        <v>52.925200999999561</v>
      </c>
      <c r="Q41" s="84">
        <v>86.921839999999975</v>
      </c>
      <c r="R41" s="84">
        <v>102.62271199999986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32.23598000000004</v>
      </c>
      <c r="D42" s="113">
        <v>21.093929000000003</v>
      </c>
      <c r="E42" s="113">
        <v>4.8934880000000192</v>
      </c>
      <c r="F42" s="113">
        <v>19.905417</v>
      </c>
      <c r="G42" s="113">
        <v>14.026954000000046</v>
      </c>
      <c r="H42" s="113">
        <v>11.007541000000003</v>
      </c>
      <c r="I42" s="113">
        <v>17.858497</v>
      </c>
      <c r="J42" s="113">
        <v>33.620716000000016</v>
      </c>
      <c r="K42" s="113">
        <v>6.0436470000000213</v>
      </c>
      <c r="L42" s="113">
        <v>1.3941669999999817</v>
      </c>
      <c r="M42" s="113">
        <v>0</v>
      </c>
      <c r="N42" s="113">
        <v>30.613706999999977</v>
      </c>
      <c r="O42" s="113">
        <v>5.1440160000000219</v>
      </c>
      <c r="P42" s="113">
        <v>0</v>
      </c>
      <c r="Q42" s="113">
        <v>19.820570000000032</v>
      </c>
      <c r="R42" s="113">
        <v>0</v>
      </c>
      <c r="S42" s="113">
        <v>17.338524000000007</v>
      </c>
      <c r="T42" s="113">
        <v>0</v>
      </c>
      <c r="U42" s="113">
        <v>14.440886000000035</v>
      </c>
      <c r="V42" s="113">
        <v>0</v>
      </c>
      <c r="W42" s="113">
        <v>14.267215000000022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12.935718000000008</v>
      </c>
      <c r="D43" s="28">
        <f t="shared" ref="D43:V43" si="43">SUM(D44:D45)</f>
        <v>19.78042699999996</v>
      </c>
      <c r="E43" s="28">
        <f t="shared" si="43"/>
        <v>53.293611999999996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5.2629579999999692</v>
      </c>
      <c r="J43" s="28">
        <f t="shared" si="43"/>
        <v>6.3027229999999861</v>
      </c>
      <c r="K43" s="28">
        <f t="shared" si="43"/>
        <v>0</v>
      </c>
      <c r="L43" s="28">
        <f t="shared" si="43"/>
        <v>0</v>
      </c>
      <c r="M43" s="28">
        <f t="shared" si="43"/>
        <v>3.4593129999999981</v>
      </c>
      <c r="N43" s="28">
        <f t="shared" si="43"/>
        <v>13.451352999999926</v>
      </c>
      <c r="O43" s="28">
        <f t="shared" si="43"/>
        <v>58.151654999999977</v>
      </c>
      <c r="P43" s="28">
        <f t="shared" si="43"/>
        <v>6.2639390000000006</v>
      </c>
      <c r="Q43" s="28">
        <f t="shared" si="43"/>
        <v>22.414558999999947</v>
      </c>
      <c r="R43" s="28">
        <f t="shared" si="43"/>
        <v>2.5955290000000026</v>
      </c>
      <c r="S43" s="28">
        <f t="shared" si="43"/>
        <v>40.171822999999989</v>
      </c>
      <c r="T43" s="28">
        <f t="shared" si="43"/>
        <v>3.7795309999999809</v>
      </c>
      <c r="U43" s="28">
        <f t="shared" si="43"/>
        <v>8.3520209999999295</v>
      </c>
      <c r="V43" s="28">
        <f t="shared" si="43"/>
        <v>41.131183999999976</v>
      </c>
      <c r="W43" s="28">
        <f t="shared" ref="W43" si="44">SUM(W44:W45)</f>
        <v>38.423395000000014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0.69127400000000705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3.6357950000000017</v>
      </c>
      <c r="K44" s="84">
        <v>0</v>
      </c>
      <c r="L44" s="84">
        <v>0</v>
      </c>
      <c r="M44" s="84">
        <v>3.4593129999999981</v>
      </c>
      <c r="N44" s="84">
        <v>0</v>
      </c>
      <c r="O44" s="84">
        <v>4.0215810000000012</v>
      </c>
      <c r="P44" s="84">
        <v>0.94988599999999934</v>
      </c>
      <c r="Q44" s="84">
        <v>4.6785879999999977</v>
      </c>
      <c r="R44" s="84">
        <v>1.4825529999999993</v>
      </c>
      <c r="S44" s="84">
        <v>5.0033679999999983</v>
      </c>
      <c r="T44" s="84">
        <v>0.23280600000000007</v>
      </c>
      <c r="U44" s="84">
        <v>4.124372000000001</v>
      </c>
      <c r="V44" s="84">
        <v>4.5697109999999981</v>
      </c>
      <c r="W44" s="84">
        <v>6.2391210000000008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12.935718000000008</v>
      </c>
      <c r="D45" s="86">
        <v>19.089152999999953</v>
      </c>
      <c r="E45" s="86">
        <v>53.293611999999996</v>
      </c>
      <c r="F45" s="86">
        <v>0</v>
      </c>
      <c r="G45" s="86">
        <v>0</v>
      </c>
      <c r="H45" s="86">
        <v>0</v>
      </c>
      <c r="I45" s="86">
        <v>5.2629579999999692</v>
      </c>
      <c r="J45" s="86">
        <v>2.6669279999999844</v>
      </c>
      <c r="K45" s="86">
        <v>0</v>
      </c>
      <c r="L45" s="86">
        <v>0</v>
      </c>
      <c r="M45" s="86">
        <v>0</v>
      </c>
      <c r="N45" s="86">
        <v>13.451352999999926</v>
      </c>
      <c r="O45" s="86">
        <v>54.130073999999979</v>
      </c>
      <c r="P45" s="86">
        <v>5.3140530000000012</v>
      </c>
      <c r="Q45" s="86">
        <v>17.73597099999995</v>
      </c>
      <c r="R45" s="86">
        <v>1.1129760000000033</v>
      </c>
      <c r="S45" s="86">
        <v>35.168454999999994</v>
      </c>
      <c r="T45" s="86">
        <v>3.5467249999999808</v>
      </c>
      <c r="U45" s="86">
        <v>4.2276489999999285</v>
      </c>
      <c r="V45" s="86">
        <v>36.561472999999978</v>
      </c>
      <c r="W45" s="86">
        <v>32.184274000000016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184.35339247222797</v>
      </c>
      <c r="C50" s="29">
        <f t="shared" si="45"/>
        <v>193.64194814928018</v>
      </c>
      <c r="D50" s="29">
        <f t="shared" si="45"/>
        <v>192.60925923360512</v>
      </c>
      <c r="E50" s="29">
        <f t="shared" si="45"/>
        <v>179.64935071555749</v>
      </c>
      <c r="F50" s="29">
        <f t="shared" si="45"/>
        <v>175.7162661433166</v>
      </c>
      <c r="G50" s="29">
        <f t="shared" si="45"/>
        <v>175.22630177187048</v>
      </c>
      <c r="H50" s="29">
        <f t="shared" si="45"/>
        <v>176.04334942241283</v>
      </c>
      <c r="I50" s="29">
        <f t="shared" si="45"/>
        <v>177.76303123690099</v>
      </c>
      <c r="J50" s="29">
        <f t="shared" si="45"/>
        <v>174.67277246390992</v>
      </c>
      <c r="K50" s="29">
        <f t="shared" ref="K50:V50" si="46">IF(K4=0,0,K4/K15)</f>
        <v>173.2841884095759</v>
      </c>
      <c r="L50" s="29">
        <f t="shared" si="46"/>
        <v>172.60577447098149</v>
      </c>
      <c r="M50" s="29">
        <f t="shared" si="46"/>
        <v>177.08317854997551</v>
      </c>
      <c r="N50" s="29">
        <f t="shared" si="46"/>
        <v>174.81605822461259</v>
      </c>
      <c r="O50" s="29">
        <f t="shared" si="46"/>
        <v>170.55493711865344</v>
      </c>
      <c r="P50" s="29">
        <f t="shared" si="46"/>
        <v>170.99068429857982</v>
      </c>
      <c r="Q50" s="29">
        <f t="shared" si="46"/>
        <v>167.20833202601222</v>
      </c>
      <c r="R50" s="29">
        <f t="shared" si="46"/>
        <v>167.08935320499245</v>
      </c>
      <c r="S50" s="29">
        <f t="shared" si="46"/>
        <v>179.28353054482659</v>
      </c>
      <c r="T50" s="29">
        <f t="shared" si="46"/>
        <v>182.49241316776042</v>
      </c>
      <c r="U50" s="29">
        <f t="shared" si="46"/>
        <v>192.17190219063451</v>
      </c>
      <c r="V50" s="29">
        <f t="shared" si="46"/>
        <v>143.07197651310537</v>
      </c>
      <c r="W50" s="29">
        <f t="shared" ref="W50" si="47">IF(W4=0,0,W4/W15)</f>
        <v>172.748578000935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94.339714903010133</v>
      </c>
      <c r="C51" s="115">
        <f t="shared" si="48"/>
        <v>89.983757137284073</v>
      </c>
      <c r="D51" s="115">
        <f t="shared" si="48"/>
        <v>89.564154685847072</v>
      </c>
      <c r="E51" s="115">
        <f t="shared" si="48"/>
        <v>89.468608080583948</v>
      </c>
      <c r="F51" s="115">
        <f t="shared" si="48"/>
        <v>89.767704783445083</v>
      </c>
      <c r="G51" s="115">
        <f t="shared" si="48"/>
        <v>90.569279433866569</v>
      </c>
      <c r="H51" s="115">
        <f t="shared" si="48"/>
        <v>92.446933966806725</v>
      </c>
      <c r="I51" s="115">
        <f t="shared" si="48"/>
        <v>93.915360093748532</v>
      </c>
      <c r="J51" s="115">
        <f t="shared" si="48"/>
        <v>92.129925278435138</v>
      </c>
      <c r="K51" s="115">
        <f t="shared" ref="K51:V51" si="49">IF(K5=0,0,K5/K16)</f>
        <v>92.694517556959156</v>
      </c>
      <c r="L51" s="115">
        <f t="shared" si="49"/>
        <v>93.548552818937452</v>
      </c>
      <c r="M51" s="115">
        <f t="shared" si="49"/>
        <v>93.351660536282537</v>
      </c>
      <c r="N51" s="115">
        <f t="shared" si="49"/>
        <v>95.152169001139328</v>
      </c>
      <c r="O51" s="115">
        <f t="shared" si="49"/>
        <v>93.38203456604387</v>
      </c>
      <c r="P51" s="115">
        <f t="shared" si="49"/>
        <v>94.180656587421907</v>
      </c>
      <c r="Q51" s="115">
        <f t="shared" si="49"/>
        <v>93.795565243009079</v>
      </c>
      <c r="R51" s="115">
        <f t="shared" si="49"/>
        <v>94.455967161248239</v>
      </c>
      <c r="S51" s="115">
        <f t="shared" si="49"/>
        <v>95.467996725805747</v>
      </c>
      <c r="T51" s="115">
        <f t="shared" si="49"/>
        <v>96.465153090064192</v>
      </c>
      <c r="U51" s="115">
        <f t="shared" si="49"/>
        <v>97.548499177481006</v>
      </c>
      <c r="V51" s="115">
        <f t="shared" si="49"/>
        <v>72.957702875355594</v>
      </c>
      <c r="W51" s="115">
        <f t="shared" ref="W51" si="50">IF(W5=0,0,W5/W16)</f>
        <v>80.200912698117648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144.91202850119629</v>
      </c>
      <c r="C52" s="116">
        <f t="shared" si="51"/>
        <v>157.8746242975817</v>
      </c>
      <c r="D52" s="116">
        <f t="shared" si="51"/>
        <v>153.1561314898976</v>
      </c>
      <c r="E52" s="116">
        <f t="shared" si="51"/>
        <v>135.09631812522608</v>
      </c>
      <c r="F52" s="116">
        <f t="shared" si="51"/>
        <v>131.83530945196526</v>
      </c>
      <c r="G52" s="116">
        <f t="shared" si="51"/>
        <v>129.11279218722638</v>
      </c>
      <c r="H52" s="116">
        <f t="shared" si="51"/>
        <v>128.31713317422344</v>
      </c>
      <c r="I52" s="116">
        <f t="shared" si="51"/>
        <v>124.11184244058974</v>
      </c>
      <c r="J52" s="116">
        <f t="shared" si="51"/>
        <v>118.0604580255232</v>
      </c>
      <c r="K52" s="116">
        <f t="shared" ref="K52:V52" si="52">IF(K6=0,0,K6/K17)</f>
        <v>115.84776267901499</v>
      </c>
      <c r="L52" s="116">
        <f t="shared" si="52"/>
        <v>114.40791056245205</v>
      </c>
      <c r="M52" s="116">
        <f t="shared" si="52"/>
        <v>122.9860897799263</v>
      </c>
      <c r="N52" s="116">
        <f t="shared" si="52"/>
        <v>125.19292188407765</v>
      </c>
      <c r="O52" s="116">
        <f t="shared" si="52"/>
        <v>120.2264529019796</v>
      </c>
      <c r="P52" s="116">
        <f t="shared" si="52"/>
        <v>118.67293139828472</v>
      </c>
      <c r="Q52" s="116">
        <f t="shared" si="52"/>
        <v>118.3482851302834</v>
      </c>
      <c r="R52" s="116">
        <f t="shared" si="52"/>
        <v>113.98621504178675</v>
      </c>
      <c r="S52" s="116">
        <f t="shared" si="52"/>
        <v>113.74786402051879</v>
      </c>
      <c r="T52" s="116">
        <f t="shared" si="52"/>
        <v>115.25502752337638</v>
      </c>
      <c r="U52" s="116">
        <f t="shared" si="52"/>
        <v>122.07958796380282</v>
      </c>
      <c r="V52" s="116">
        <f t="shared" si="52"/>
        <v>86.425124525544518</v>
      </c>
      <c r="W52" s="116">
        <f t="shared" ref="W52" si="53">IF(W6=0,0,W6/W17)</f>
        <v>112.5147663474657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97.515480131959222</v>
      </c>
      <c r="C53" s="87">
        <f t="shared" si="54"/>
        <v>118.34612231917259</v>
      </c>
      <c r="D53" s="87">
        <f t="shared" si="54"/>
        <v>112.64643283004104</v>
      </c>
      <c r="E53" s="87">
        <f t="shared" si="54"/>
        <v>111.41343768532593</v>
      </c>
      <c r="F53" s="87">
        <f t="shared" si="54"/>
        <v>108.09056236374599</v>
      </c>
      <c r="G53" s="87">
        <f t="shared" si="54"/>
        <v>115.1410950285568</v>
      </c>
      <c r="H53" s="87">
        <f t="shared" si="54"/>
        <v>121.11460638792066</v>
      </c>
      <c r="I53" s="87">
        <f t="shared" si="54"/>
        <v>120.61050046000253</v>
      </c>
      <c r="J53" s="87">
        <f t="shared" si="54"/>
        <v>111.50091557940232</v>
      </c>
      <c r="K53" s="87">
        <f t="shared" ref="K53:V53" si="55">IF(K7=0,0,K7/K18)</f>
        <v>108.31089933138541</v>
      </c>
      <c r="L53" s="87">
        <f t="shared" si="55"/>
        <v>108.74209457419241</v>
      </c>
      <c r="M53" s="87">
        <f t="shared" si="55"/>
        <v>114.63237574173135</v>
      </c>
      <c r="N53" s="87">
        <f t="shared" si="55"/>
        <v>117.49422836999281</v>
      </c>
      <c r="O53" s="87">
        <f t="shared" si="55"/>
        <v>113.18924173450689</v>
      </c>
      <c r="P53" s="87">
        <f t="shared" si="55"/>
        <v>111.6051834121422</v>
      </c>
      <c r="Q53" s="87">
        <f t="shared" si="55"/>
        <v>113.75540112756745</v>
      </c>
      <c r="R53" s="87">
        <f t="shared" si="55"/>
        <v>112.30165060270005</v>
      </c>
      <c r="S53" s="87">
        <f t="shared" si="55"/>
        <v>106.93430944509136</v>
      </c>
      <c r="T53" s="87">
        <f t="shared" si="55"/>
        <v>110.51350485588212</v>
      </c>
      <c r="U53" s="87">
        <f t="shared" si="55"/>
        <v>117.49042454204611</v>
      </c>
      <c r="V53" s="87">
        <f t="shared" si="55"/>
        <v>76.267300551889932</v>
      </c>
      <c r="W53" s="87">
        <f t="shared" ref="W53" si="56">IF(W7=0,0,W7/W18)</f>
        <v>95.607965691855256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162.92961635983744</v>
      </c>
      <c r="C54" s="87">
        <f t="shared" si="57"/>
        <v>170.88691748236442</v>
      </c>
      <c r="D54" s="87">
        <f t="shared" si="57"/>
        <v>167.17971451714357</v>
      </c>
      <c r="E54" s="87">
        <f t="shared" si="57"/>
        <v>142.30558702163032</v>
      </c>
      <c r="F54" s="87">
        <f t="shared" si="57"/>
        <v>139.28605054006997</v>
      </c>
      <c r="G54" s="87">
        <f t="shared" si="57"/>
        <v>133.03485878223523</v>
      </c>
      <c r="H54" s="87">
        <f t="shared" si="57"/>
        <v>130.19805779941936</v>
      </c>
      <c r="I54" s="87">
        <f t="shared" si="57"/>
        <v>124.94500100003999</v>
      </c>
      <c r="J54" s="87">
        <f t="shared" si="57"/>
        <v>119.6251838331585</v>
      </c>
      <c r="K54" s="87">
        <f t="shared" ref="K54:V54" si="58">IF(K8=0,0,K8/K19)</f>
        <v>117.58890213905421</v>
      </c>
      <c r="L54" s="87">
        <f t="shared" si="58"/>
        <v>115.65183649720382</v>
      </c>
      <c r="M54" s="87">
        <f t="shared" si="58"/>
        <v>124.86338333702878</v>
      </c>
      <c r="N54" s="87">
        <f t="shared" si="58"/>
        <v>126.83614814171001</v>
      </c>
      <c r="O54" s="87">
        <f t="shared" si="58"/>
        <v>121.66673998608358</v>
      </c>
      <c r="P54" s="87">
        <f t="shared" si="58"/>
        <v>120.04065449308976</v>
      </c>
      <c r="Q54" s="87">
        <f t="shared" si="58"/>
        <v>119.23590971462716</v>
      </c>
      <c r="R54" s="87">
        <f t="shared" si="58"/>
        <v>114.26876287431307</v>
      </c>
      <c r="S54" s="87">
        <f t="shared" si="58"/>
        <v>115.0296803946909</v>
      </c>
      <c r="T54" s="87">
        <f t="shared" si="58"/>
        <v>116.09501679477185</v>
      </c>
      <c r="U54" s="87">
        <f t="shared" si="58"/>
        <v>122.91024278523291</v>
      </c>
      <c r="V54" s="87">
        <f t="shared" si="58"/>
        <v>88.271497722923186</v>
      </c>
      <c r="W54" s="87">
        <f t="shared" ref="W54" si="59">IF(W8=0,0,W8/W19)</f>
        <v>115.99537677054012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389.44081024425742</v>
      </c>
      <c r="C55" s="117">
        <f t="shared" si="60"/>
        <v>370.89616994439649</v>
      </c>
      <c r="D55" s="117">
        <f t="shared" si="60"/>
        <v>370.89654223010865</v>
      </c>
      <c r="E55" s="117">
        <f t="shared" si="60"/>
        <v>370.89604386084824</v>
      </c>
      <c r="F55" s="117">
        <f t="shared" si="60"/>
        <v>367.18693560251154</v>
      </c>
      <c r="G55" s="117">
        <f t="shared" si="60"/>
        <v>370.89560531499427</v>
      </c>
      <c r="H55" s="117">
        <f t="shared" si="60"/>
        <v>378.96004914978863</v>
      </c>
      <c r="I55" s="117">
        <f t="shared" si="60"/>
        <v>388.34751749904126</v>
      </c>
      <c r="J55" s="117">
        <f t="shared" si="60"/>
        <v>387.18028070425009</v>
      </c>
      <c r="K55" s="117">
        <f t="shared" ref="K55:V55" si="61">IF(K9=0,0,K9/K20)</f>
        <v>382.47977751051042</v>
      </c>
      <c r="L55" s="117">
        <f t="shared" si="61"/>
        <v>389.14133816027311</v>
      </c>
      <c r="M55" s="117">
        <f t="shared" si="61"/>
        <v>395.95558060112882</v>
      </c>
      <c r="N55" s="117">
        <f t="shared" si="61"/>
        <v>363.29384146859644</v>
      </c>
      <c r="O55" s="117">
        <f t="shared" si="61"/>
        <v>362.62141883198171</v>
      </c>
      <c r="P55" s="117">
        <f t="shared" si="61"/>
        <v>375.64291477346097</v>
      </c>
      <c r="Q55" s="117">
        <f t="shared" si="61"/>
        <v>354.7263219222433</v>
      </c>
      <c r="R55" s="117">
        <f t="shared" si="61"/>
        <v>376.33936167197265</v>
      </c>
      <c r="S55" s="117">
        <f t="shared" si="61"/>
        <v>418.64206118120933</v>
      </c>
      <c r="T55" s="117">
        <f t="shared" si="61"/>
        <v>438.17728422458458</v>
      </c>
      <c r="U55" s="117">
        <f t="shared" si="61"/>
        <v>447.70704304954643</v>
      </c>
      <c r="V55" s="117">
        <f t="shared" si="61"/>
        <v>339.75764708038076</v>
      </c>
      <c r="W55" s="117">
        <f t="shared" ref="W55" si="62">IF(W9=0,0,W9/W20)</f>
        <v>371.13873855030431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540.99901584738939</v>
      </c>
      <c r="C56" s="29">
        <f t="shared" si="63"/>
        <v>498.2971560702008</v>
      </c>
      <c r="D56" s="29">
        <f t="shared" si="63"/>
        <v>488.37498061544727</v>
      </c>
      <c r="E56" s="29">
        <f t="shared" si="63"/>
        <v>432.468393993093</v>
      </c>
      <c r="F56" s="29">
        <f t="shared" si="63"/>
        <v>431.52897503791354</v>
      </c>
      <c r="G56" s="29">
        <f t="shared" si="63"/>
        <v>458.16218413952629</v>
      </c>
      <c r="H56" s="29">
        <f t="shared" si="63"/>
        <v>475.88420983587082</v>
      </c>
      <c r="I56" s="29">
        <f t="shared" si="63"/>
        <v>504.85334970398878</v>
      </c>
      <c r="J56" s="29">
        <f t="shared" si="63"/>
        <v>492.65205691201783</v>
      </c>
      <c r="K56" s="29">
        <f t="shared" ref="K56:V56" si="64">IF(K10=0,0,K10/K21)</f>
        <v>476.40634478874415</v>
      </c>
      <c r="L56" s="29">
        <f t="shared" si="64"/>
        <v>455.36640202293489</v>
      </c>
      <c r="M56" s="29">
        <f t="shared" si="64"/>
        <v>564.07418179153979</v>
      </c>
      <c r="N56" s="29">
        <f t="shared" si="64"/>
        <v>546.5371379058937</v>
      </c>
      <c r="O56" s="29">
        <f t="shared" si="64"/>
        <v>476.91654648048331</v>
      </c>
      <c r="P56" s="29">
        <f t="shared" si="64"/>
        <v>499.58844595388939</v>
      </c>
      <c r="Q56" s="29">
        <f t="shared" si="64"/>
        <v>549.24606864590157</v>
      </c>
      <c r="R56" s="29">
        <f t="shared" si="64"/>
        <v>551.11771396888003</v>
      </c>
      <c r="S56" s="29">
        <f t="shared" si="64"/>
        <v>528.05822923965059</v>
      </c>
      <c r="T56" s="29">
        <f t="shared" si="64"/>
        <v>526.52791390224456</v>
      </c>
      <c r="U56" s="29">
        <f t="shared" si="64"/>
        <v>536.39140485050541</v>
      </c>
      <c r="V56" s="29">
        <f t="shared" si="64"/>
        <v>468.14838718602107</v>
      </c>
      <c r="W56" s="29">
        <f t="shared" ref="W56" si="65">IF(W10=0,0,W10/W21)</f>
        <v>499.94389519297351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471.76044337835413</v>
      </c>
      <c r="C57" s="87">
        <f t="shared" si="66"/>
        <v>536.09233331244184</v>
      </c>
      <c r="D57" s="87">
        <f t="shared" si="66"/>
        <v>508.72954120524821</v>
      </c>
      <c r="E57" s="87">
        <f t="shared" si="66"/>
        <v>551.99125623910425</v>
      </c>
      <c r="F57" s="87">
        <f t="shared" si="66"/>
        <v>624.76658779762715</v>
      </c>
      <c r="G57" s="87">
        <f t="shared" si="66"/>
        <v>612.58243747973461</v>
      </c>
      <c r="H57" s="87">
        <f t="shared" si="66"/>
        <v>652.56124912367284</v>
      </c>
      <c r="I57" s="87">
        <f t="shared" si="66"/>
        <v>652.00877457476849</v>
      </c>
      <c r="J57" s="87">
        <f t="shared" si="66"/>
        <v>606.19082717491358</v>
      </c>
      <c r="K57" s="87">
        <f t="shared" ref="K57:V57" si="67">IF(K11=0,0,K11/K22)</f>
        <v>613.09652526513287</v>
      </c>
      <c r="L57" s="87">
        <f t="shared" si="67"/>
        <v>595.26583178702504</v>
      </c>
      <c r="M57" s="87">
        <f t="shared" si="67"/>
        <v>685.56742219903231</v>
      </c>
      <c r="N57" s="87">
        <f t="shared" si="67"/>
        <v>707.11906133609659</v>
      </c>
      <c r="O57" s="87">
        <f t="shared" si="67"/>
        <v>656.84462828692108</v>
      </c>
      <c r="P57" s="87">
        <f t="shared" si="67"/>
        <v>704.0551009781127</v>
      </c>
      <c r="Q57" s="87">
        <f t="shared" si="67"/>
        <v>727.37891915191119</v>
      </c>
      <c r="R57" s="87">
        <f t="shared" si="67"/>
        <v>680.13579888775121</v>
      </c>
      <c r="S57" s="87">
        <f t="shared" si="67"/>
        <v>671.65703399885092</v>
      </c>
      <c r="T57" s="87">
        <f t="shared" si="67"/>
        <v>690.46926956184097</v>
      </c>
      <c r="U57" s="87">
        <f t="shared" si="67"/>
        <v>649.81754734576157</v>
      </c>
      <c r="V57" s="87">
        <f t="shared" si="67"/>
        <v>578.01075861392803</v>
      </c>
      <c r="W57" s="87">
        <f t="shared" ref="W57" si="68">IF(W11=0,0,W11/W22)</f>
        <v>589.93247742442975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553.62504591090806</v>
      </c>
      <c r="C58" s="88">
        <f t="shared" si="69"/>
        <v>492.42743937524682</v>
      </c>
      <c r="D58" s="88">
        <f t="shared" si="69"/>
        <v>485.15168332047165</v>
      </c>
      <c r="E58" s="88">
        <f t="shared" si="69"/>
        <v>416.91146117685446</v>
      </c>
      <c r="F58" s="88">
        <f t="shared" si="69"/>
        <v>411.14734259829441</v>
      </c>
      <c r="G58" s="88">
        <f t="shared" si="69"/>
        <v>442.75649194874268</v>
      </c>
      <c r="H58" s="88">
        <f t="shared" si="69"/>
        <v>459.40801630538112</v>
      </c>
      <c r="I58" s="88">
        <f t="shared" si="69"/>
        <v>491.13734087327794</v>
      </c>
      <c r="J58" s="88">
        <f t="shared" si="69"/>
        <v>481.51628883881114</v>
      </c>
      <c r="K58" s="88">
        <f t="shared" ref="K58:V58" si="70">IF(K12=0,0,K12/K23)</f>
        <v>464.26650988488745</v>
      </c>
      <c r="L58" s="88">
        <f t="shared" si="70"/>
        <v>443.71110956416766</v>
      </c>
      <c r="M58" s="88">
        <f t="shared" si="70"/>
        <v>552.77308696403531</v>
      </c>
      <c r="N58" s="88">
        <f t="shared" si="70"/>
        <v>533.82550237540011</v>
      </c>
      <c r="O58" s="88">
        <f t="shared" si="70"/>
        <v>463.83887671664667</v>
      </c>
      <c r="P58" s="88">
        <f t="shared" si="70"/>
        <v>485.6046461974027</v>
      </c>
      <c r="Q58" s="88">
        <f t="shared" si="70"/>
        <v>536.18020806449488</v>
      </c>
      <c r="R58" s="88">
        <f t="shared" si="70"/>
        <v>541.85739974486296</v>
      </c>
      <c r="S58" s="88">
        <f t="shared" si="70"/>
        <v>517.48120178013653</v>
      </c>
      <c r="T58" s="88">
        <f t="shared" si="70"/>
        <v>515.47386650032422</v>
      </c>
      <c r="U58" s="88">
        <f t="shared" si="70"/>
        <v>528.01124748164762</v>
      </c>
      <c r="V58" s="88">
        <f t="shared" si="70"/>
        <v>460.02715476824278</v>
      </c>
      <c r="W58" s="88">
        <f t="shared" ref="W58" si="71">IF(W12=0,0,W12/W23)</f>
        <v>492.74689637947381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358.40054405482681</v>
      </c>
      <c r="C61" s="29">
        <f t="shared" ref="C61" si="73">IF(C26=0,0,(C62*C27+C64*C29+C65*C30+C66*C31)/(C27+C29+C30+C31))</f>
        <v>362.88338912715341</v>
      </c>
      <c r="D61" s="29">
        <f t="shared" ref="D61" si="74">IF(D26=0,0,(D62*D27+D64*D29+D65*D30+D66*D31)/(D27+D29+D30+D31))</f>
        <v>364.6394713924667</v>
      </c>
      <c r="E61" s="29">
        <f t="shared" ref="E61" si="75">IF(E26=0,0,(E62*E27+E64*E29+E65*E30+E66*E31)/(E27+E29+E30+E31))</f>
        <v>362.62070071441536</v>
      </c>
      <c r="F61" s="29">
        <f t="shared" ref="F61" si="76">IF(F26=0,0,(F62*F27+F64*F29+F65*F30+F66*F31)/(F27+F29+F30+F31))</f>
        <v>362.74383923662242</v>
      </c>
      <c r="G61" s="29">
        <f t="shared" ref="G61" si="77">IF(G26=0,0,(G62*G27+G64*G29+G65*G30+G66*G31)/(G27+G29+G30+G31))</f>
        <v>362.61508598527485</v>
      </c>
      <c r="H61" s="29">
        <f t="shared" ref="H61" si="78">IF(H26=0,0,(H62*H27+H64*H29+H65*H30+H66*H31)/(H27+H29+H30+H31))</f>
        <v>361.7127855461415</v>
      </c>
      <c r="I61" s="29">
        <f t="shared" ref="I61" si="79">IF(I26=0,0,(I62*I27+I64*I29+I65*I30+I66*I31)/(I27+I29+I30+I31))</f>
        <v>362.08678453138481</v>
      </c>
      <c r="J61" s="29">
        <f t="shared" ref="J61" si="80">IF(J26=0,0,(J62*J27+J64*J29+J65*J30+J66*J31)/(J27+J29+J30+J31))</f>
        <v>362.70337247006961</v>
      </c>
      <c r="K61" s="29">
        <f t="shared" ref="K61" si="81">IF(K26=0,0,(K62*K27+K64*K29+K65*K30+K66*K31)/(K27+K29+K30+K31))</f>
        <v>361.52435117401797</v>
      </c>
      <c r="L61" s="29">
        <f t="shared" ref="L61" si="82">IF(L26=0,0,(L62*L27+L64*L29+L65*L30+L66*L31)/(L27+L29+L30+L31))</f>
        <v>360.84638950280072</v>
      </c>
      <c r="M61" s="29">
        <f t="shared" ref="M61" si="83">IF(M26=0,0,(M62*M27+M64*M29+M65*M30+M66*M31)/(M27+M29+M30+M31))</f>
        <v>360.07717144735489</v>
      </c>
      <c r="N61" s="29">
        <f t="shared" ref="N61" si="84">IF(N26=0,0,(N62*N27+N64*N29+N65*N30+N66*N31)/(N27+N29+N30+N31))</f>
        <v>361.93490173122547</v>
      </c>
      <c r="O61" s="29">
        <f t="shared" ref="O61" si="85">IF(O26=0,0,(O62*O27+O64*O29+O65*O30+O66*O31)/(O27+O29+O30+O31))</f>
        <v>360.85040066261655</v>
      </c>
      <c r="P61" s="29">
        <f t="shared" ref="P61" si="86">IF(P26=0,0,(P62*P27+P64*P29+P65*P30+P66*P31)/(P27+P29+P30+P31))</f>
        <v>360.28978134307317</v>
      </c>
      <c r="Q61" s="29">
        <f t="shared" ref="Q61" si="87">IF(Q26=0,0,(Q62*Q27+Q64*Q29+Q65*Q30+Q66*Q31)/(Q27+Q29+Q30+Q31))</f>
        <v>360.37873572910615</v>
      </c>
      <c r="R61" s="29">
        <f t="shared" ref="R61" si="88">IF(R26=0,0,(R62*R27+R64*R29+R65*R30+R66*R31)/(R27+R29+R30+R31))</f>
        <v>359.31674081597134</v>
      </c>
      <c r="S61" s="29">
        <f t="shared" ref="S61" si="89">IF(S26=0,0,(S62*S27+S64*S29+S65*S30+S66*S31)/(S27+S29+S30+S31))</f>
        <v>360.74679670779597</v>
      </c>
      <c r="T61" s="29">
        <f t="shared" ref="T61" si="90">IF(T26=0,0,(T62*T27+T64*T29+T65*T30+T66*T31)/(T27+T29+T30+T31))</f>
        <v>361.326504626141</v>
      </c>
      <c r="U61" s="29">
        <f t="shared" ref="U61" si="91">IF(U26=0,0,(U62*U27+U64*U29+U65*U30+U66*U31)/(U27+U29+U30+U31))</f>
        <v>361.79990606173993</v>
      </c>
      <c r="V61" s="29">
        <f t="shared" ref="V61" si="92">IF(V26=0,0,(V62*V27+V64*V29+V65*V30+V66*V31)/(V27+V29+V30+V31))</f>
        <v>362.08879102426476</v>
      </c>
      <c r="W61" s="29">
        <f t="shared" ref="W61" si="93">IF(W26=0,0,(W62*W27+W64*W29+W65*W30+W66*W31)/(W27+W29+W30+W31))</f>
        <v>363.35537043786559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319.99999999999994</v>
      </c>
      <c r="W63" s="116">
        <f t="shared" ref="W63" si="115">IF(W28=0,0,(W64*W29+W65*W30)/(W29+W30))</f>
        <v>319.99999999999994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2100.0000000000005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2100.0000000000005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0.51437810441500409</v>
      </c>
      <c r="C72" s="30">
        <f t="shared" ref="C72:J72" si="138">IF(C50=0,0,C50/C61)</f>
        <v>0.53362031426968548</v>
      </c>
      <c r="D72" s="30">
        <f t="shared" si="138"/>
        <v>0.52821834810718282</v>
      </c>
      <c r="E72" s="30">
        <f t="shared" si="138"/>
        <v>0.49541945719486563</v>
      </c>
      <c r="F72" s="30">
        <f t="shared" si="138"/>
        <v>0.48440868496375661</v>
      </c>
      <c r="G72" s="30">
        <f t="shared" si="138"/>
        <v>0.48322948642844415</v>
      </c>
      <c r="H72" s="30">
        <f t="shared" si="138"/>
        <v>0.4866937428175484</v>
      </c>
      <c r="I72" s="30">
        <f t="shared" si="138"/>
        <v>0.49094040111671877</v>
      </c>
      <c r="J72" s="30">
        <f t="shared" si="138"/>
        <v>0.48158574119220238</v>
      </c>
      <c r="K72" s="30">
        <f t="shared" ref="K72:V72" si="139">IF(K50=0,0,K50/K61)</f>
        <v>0.47931539838699944</v>
      </c>
      <c r="L72" s="30">
        <f t="shared" si="139"/>
        <v>0.47833587779223657</v>
      </c>
      <c r="M72" s="30">
        <f t="shared" si="139"/>
        <v>0.49179229507435179</v>
      </c>
      <c r="N72" s="30">
        <f t="shared" si="139"/>
        <v>0.48300414629377691</v>
      </c>
      <c r="O72" s="30">
        <f t="shared" si="139"/>
        <v>0.47264721559258233</v>
      </c>
      <c r="P72" s="30">
        <f t="shared" si="139"/>
        <v>0.47459210100594001</v>
      </c>
      <c r="Q72" s="30">
        <f t="shared" si="139"/>
        <v>0.46397946229463827</v>
      </c>
      <c r="R72" s="30">
        <f t="shared" si="139"/>
        <v>0.46501967268641514</v>
      </c>
      <c r="S72" s="30">
        <f t="shared" si="139"/>
        <v>0.49697885658578922</v>
      </c>
      <c r="T72" s="30">
        <f t="shared" si="139"/>
        <v>0.50506234895937818</v>
      </c>
      <c r="U72" s="30">
        <f t="shared" si="139"/>
        <v>0.53115520200782207</v>
      </c>
      <c r="V72" s="30">
        <f t="shared" si="139"/>
        <v>0.3951295374496076</v>
      </c>
      <c r="W72" s="30">
        <f t="shared" ref="W72" si="140">IF(W50=0,0,W50/W61)</f>
        <v>0.47542596602538811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0.23584928725752533</v>
      </c>
      <c r="C73" s="118">
        <f t="shared" si="141"/>
        <v>0.22495939284321018</v>
      </c>
      <c r="D73" s="118">
        <f t="shared" si="141"/>
        <v>0.22391038671461769</v>
      </c>
      <c r="E73" s="118">
        <f t="shared" si="141"/>
        <v>0.22367152020145986</v>
      </c>
      <c r="F73" s="118">
        <f t="shared" si="141"/>
        <v>0.2244192619586127</v>
      </c>
      <c r="G73" s="118">
        <f t="shared" si="141"/>
        <v>0.22642319858466642</v>
      </c>
      <c r="H73" s="118">
        <f t="shared" si="141"/>
        <v>0.2311173349170168</v>
      </c>
      <c r="I73" s="118">
        <f t="shared" si="141"/>
        <v>0.23478840023437134</v>
      </c>
      <c r="J73" s="118">
        <f t="shared" si="141"/>
        <v>0.23032481319608786</v>
      </c>
      <c r="K73" s="118">
        <f t="shared" ref="K73:V73" si="142">IF(K51=0,0,K51/K62)</f>
        <v>0.23173629389239789</v>
      </c>
      <c r="L73" s="118">
        <f t="shared" si="142"/>
        <v>0.23387138204734362</v>
      </c>
      <c r="M73" s="118">
        <f t="shared" si="142"/>
        <v>0.23337915134070633</v>
      </c>
      <c r="N73" s="118">
        <f t="shared" si="142"/>
        <v>0.23788042250284833</v>
      </c>
      <c r="O73" s="118">
        <f t="shared" si="142"/>
        <v>0.23345508641510967</v>
      </c>
      <c r="P73" s="118">
        <f t="shared" si="142"/>
        <v>0.23545164146855477</v>
      </c>
      <c r="Q73" s="118">
        <f t="shared" si="142"/>
        <v>0.23448891310752271</v>
      </c>
      <c r="R73" s="118">
        <f t="shared" si="142"/>
        <v>0.23613991790312061</v>
      </c>
      <c r="S73" s="118">
        <f t="shared" si="142"/>
        <v>0.23866999181451437</v>
      </c>
      <c r="T73" s="118">
        <f t="shared" si="142"/>
        <v>0.24116288272516048</v>
      </c>
      <c r="U73" s="118">
        <f t="shared" si="142"/>
        <v>0.24387124794370252</v>
      </c>
      <c r="V73" s="118">
        <f t="shared" si="142"/>
        <v>0.18239425718838898</v>
      </c>
      <c r="W73" s="118">
        <f t="shared" ref="W73" si="143">IF(W51=0,0,W51/W62)</f>
        <v>0.20050228174529411</v>
      </c>
      <c r="DA73" s="203"/>
    </row>
    <row r="74" spans="1:105" ht="11.45" customHeight="1" x14ac:dyDescent="0.25">
      <c r="A74" s="109" t="s">
        <v>24</v>
      </c>
      <c r="B74" s="119">
        <f t="shared" si="141"/>
        <v>0.4528500890662383</v>
      </c>
      <c r="C74" s="119">
        <f t="shared" si="141"/>
        <v>0.49335820092994281</v>
      </c>
      <c r="D74" s="119">
        <f t="shared" si="141"/>
        <v>0.47861291090593</v>
      </c>
      <c r="E74" s="119">
        <f t="shared" si="141"/>
        <v>0.42217599414133156</v>
      </c>
      <c r="F74" s="119">
        <f t="shared" si="141"/>
        <v>0.41198534203739146</v>
      </c>
      <c r="G74" s="119">
        <f t="shared" si="141"/>
        <v>0.40347747558508251</v>
      </c>
      <c r="H74" s="119">
        <f t="shared" si="141"/>
        <v>0.40099104116944828</v>
      </c>
      <c r="I74" s="119">
        <f t="shared" si="141"/>
        <v>0.38784950762684295</v>
      </c>
      <c r="J74" s="119">
        <f t="shared" si="141"/>
        <v>0.36893893132976002</v>
      </c>
      <c r="K74" s="119">
        <f t="shared" ref="K74:V74" si="144">IF(K52=0,0,K52/K63)</f>
        <v>0.36202425837192176</v>
      </c>
      <c r="L74" s="119">
        <f t="shared" si="144"/>
        <v>0.35752472050766265</v>
      </c>
      <c r="M74" s="119">
        <f t="shared" si="144"/>
        <v>0.38433153056226965</v>
      </c>
      <c r="N74" s="119">
        <f t="shared" si="144"/>
        <v>0.39122788088774263</v>
      </c>
      <c r="O74" s="119">
        <f t="shared" si="144"/>
        <v>0.37570766531868616</v>
      </c>
      <c r="P74" s="119">
        <f t="shared" si="144"/>
        <v>0.37085291061963976</v>
      </c>
      <c r="Q74" s="119">
        <f t="shared" si="144"/>
        <v>0.36983839103213562</v>
      </c>
      <c r="R74" s="119">
        <f t="shared" si="144"/>
        <v>0.35620692200558357</v>
      </c>
      <c r="S74" s="119">
        <f t="shared" si="144"/>
        <v>0.3554620750641212</v>
      </c>
      <c r="T74" s="119">
        <f t="shared" si="144"/>
        <v>0.36017196101055121</v>
      </c>
      <c r="U74" s="119">
        <f t="shared" si="144"/>
        <v>0.38149871238688382</v>
      </c>
      <c r="V74" s="119">
        <f t="shared" si="144"/>
        <v>0.27007851414232664</v>
      </c>
      <c r="W74" s="119">
        <f t="shared" ref="W74" si="145">IF(W52=0,0,W52/W63)</f>
        <v>0.35160864483583038</v>
      </c>
      <c r="DA74" s="176"/>
    </row>
    <row r="75" spans="1:105" ht="11.45" customHeight="1" x14ac:dyDescent="0.25">
      <c r="A75" s="111" t="s">
        <v>92</v>
      </c>
      <c r="B75" s="120">
        <f t="shared" si="141"/>
        <v>0.30473587541237257</v>
      </c>
      <c r="C75" s="120">
        <f t="shared" si="141"/>
        <v>0.36983163224741433</v>
      </c>
      <c r="D75" s="120">
        <f t="shared" si="141"/>
        <v>0.35202010259387823</v>
      </c>
      <c r="E75" s="120">
        <f t="shared" si="141"/>
        <v>0.34816699276664353</v>
      </c>
      <c r="F75" s="120">
        <f t="shared" si="141"/>
        <v>0.33778300738670619</v>
      </c>
      <c r="G75" s="120">
        <f t="shared" si="141"/>
        <v>0.35981592196424</v>
      </c>
      <c r="H75" s="120">
        <f t="shared" si="141"/>
        <v>0.37848314496225205</v>
      </c>
      <c r="I75" s="120">
        <f t="shared" si="141"/>
        <v>0.37690781393750789</v>
      </c>
      <c r="J75" s="120">
        <f t="shared" si="141"/>
        <v>0.34844036118563226</v>
      </c>
      <c r="K75" s="120">
        <f t="shared" ref="K75:V75" si="146">IF(K53=0,0,K53/K64)</f>
        <v>0.33847156041057941</v>
      </c>
      <c r="L75" s="120">
        <f t="shared" si="146"/>
        <v>0.33981904554435127</v>
      </c>
      <c r="M75" s="120">
        <f t="shared" si="146"/>
        <v>0.35822617419291047</v>
      </c>
      <c r="N75" s="120">
        <f t="shared" si="146"/>
        <v>0.36716946365622755</v>
      </c>
      <c r="O75" s="120">
        <f t="shared" si="146"/>
        <v>0.35371638042033404</v>
      </c>
      <c r="P75" s="120">
        <f t="shared" si="146"/>
        <v>0.34876619816294435</v>
      </c>
      <c r="Q75" s="120">
        <f t="shared" si="146"/>
        <v>0.35548562852364829</v>
      </c>
      <c r="R75" s="120">
        <f t="shared" si="146"/>
        <v>0.35094265813343767</v>
      </c>
      <c r="S75" s="120">
        <f t="shared" si="146"/>
        <v>0.33416971701591047</v>
      </c>
      <c r="T75" s="120">
        <f t="shared" si="146"/>
        <v>0.34535470267463164</v>
      </c>
      <c r="U75" s="120">
        <f t="shared" si="146"/>
        <v>0.36715757669389409</v>
      </c>
      <c r="V75" s="120">
        <f t="shared" si="146"/>
        <v>0.23833531422465604</v>
      </c>
      <c r="W75" s="120">
        <f t="shared" ref="W75" si="147">IF(W53=0,0,W53/W64)</f>
        <v>0.29877489278704766</v>
      </c>
      <c r="DA75" s="171"/>
    </row>
    <row r="76" spans="1:105" ht="11.45" customHeight="1" x14ac:dyDescent="0.25">
      <c r="A76" s="111" t="s">
        <v>93</v>
      </c>
      <c r="B76" s="120">
        <f t="shared" si="141"/>
        <v>0.509155051124492</v>
      </c>
      <c r="C76" s="120">
        <f t="shared" si="141"/>
        <v>0.53402161713238883</v>
      </c>
      <c r="D76" s="120">
        <f t="shared" si="141"/>
        <v>0.5224366078660736</v>
      </c>
      <c r="E76" s="120">
        <f t="shared" si="141"/>
        <v>0.44470495944259475</v>
      </c>
      <c r="F76" s="120">
        <f t="shared" si="141"/>
        <v>0.43526890793771866</v>
      </c>
      <c r="G76" s="120">
        <f t="shared" si="141"/>
        <v>0.41573393369448508</v>
      </c>
      <c r="H76" s="120">
        <f t="shared" si="141"/>
        <v>0.40686893062318552</v>
      </c>
      <c r="I76" s="120">
        <f t="shared" si="141"/>
        <v>0.390453128125125</v>
      </c>
      <c r="J76" s="120">
        <f t="shared" si="141"/>
        <v>0.3738286994786203</v>
      </c>
      <c r="K76" s="120">
        <f t="shared" ref="K76:V76" si="148">IF(K54=0,0,K54/K65)</f>
        <v>0.36746531918454439</v>
      </c>
      <c r="L76" s="120">
        <f t="shared" si="148"/>
        <v>0.36141198905376193</v>
      </c>
      <c r="M76" s="120">
        <f t="shared" si="148"/>
        <v>0.39019807292821496</v>
      </c>
      <c r="N76" s="120">
        <f t="shared" si="148"/>
        <v>0.39636296294284379</v>
      </c>
      <c r="O76" s="120">
        <f t="shared" si="148"/>
        <v>0.38020856245651119</v>
      </c>
      <c r="P76" s="120">
        <f t="shared" si="148"/>
        <v>0.37512704529090551</v>
      </c>
      <c r="Q76" s="120">
        <f t="shared" si="148"/>
        <v>0.37261221785820986</v>
      </c>
      <c r="R76" s="120">
        <f t="shared" si="148"/>
        <v>0.35708988398222835</v>
      </c>
      <c r="S76" s="120">
        <f t="shared" si="148"/>
        <v>0.35946775123340907</v>
      </c>
      <c r="T76" s="120">
        <f t="shared" si="148"/>
        <v>0.36279692748366205</v>
      </c>
      <c r="U76" s="120">
        <f t="shared" si="148"/>
        <v>0.38409450870385287</v>
      </c>
      <c r="V76" s="120">
        <f t="shared" si="148"/>
        <v>0.27584843038413498</v>
      </c>
      <c r="W76" s="120">
        <f t="shared" ref="W76" si="149">IF(W54=0,0,W54/W65)</f>
        <v>0.36248555240793789</v>
      </c>
      <c r="DA76" s="171"/>
    </row>
    <row r="77" spans="1:105" ht="11.45" customHeight="1" x14ac:dyDescent="0.25">
      <c r="A77" s="112" t="s">
        <v>25</v>
      </c>
      <c r="B77" s="121">
        <f t="shared" si="141"/>
        <v>0.69543001829331685</v>
      </c>
      <c r="C77" s="121">
        <f t="shared" si="141"/>
        <v>0.66231458918642228</v>
      </c>
      <c r="D77" s="121">
        <f t="shared" si="141"/>
        <v>0.66231525398233693</v>
      </c>
      <c r="E77" s="121">
        <f t="shared" si="141"/>
        <v>0.66231436403722899</v>
      </c>
      <c r="F77" s="121">
        <f t="shared" si="141"/>
        <v>0.6556909564330563</v>
      </c>
      <c r="G77" s="121">
        <f t="shared" si="141"/>
        <v>0.66231358091963266</v>
      </c>
      <c r="H77" s="121">
        <f t="shared" si="141"/>
        <v>0.67671437348176544</v>
      </c>
      <c r="I77" s="121">
        <f t="shared" si="141"/>
        <v>0.69347770981971657</v>
      </c>
      <c r="J77" s="121">
        <f t="shared" si="141"/>
        <v>0.69139335840044658</v>
      </c>
      <c r="K77" s="121">
        <f t="shared" ref="K77:V77" si="150">IF(K55=0,0,K55/K66)</f>
        <v>0.68299960269734006</v>
      </c>
      <c r="L77" s="121">
        <f t="shared" si="150"/>
        <v>0.69489524671477343</v>
      </c>
      <c r="M77" s="121">
        <f t="shared" si="150"/>
        <v>0.70706353678773004</v>
      </c>
      <c r="N77" s="121">
        <f t="shared" si="150"/>
        <v>0.64873900262249362</v>
      </c>
      <c r="O77" s="121">
        <f t="shared" si="150"/>
        <v>0.64753824791425307</v>
      </c>
      <c r="P77" s="121">
        <f t="shared" si="150"/>
        <v>0.67079091923832312</v>
      </c>
      <c r="Q77" s="121">
        <f t="shared" si="150"/>
        <v>0.63343986057543444</v>
      </c>
      <c r="R77" s="121">
        <f t="shared" si="150"/>
        <v>0.67203457441423686</v>
      </c>
      <c r="S77" s="121">
        <f t="shared" si="150"/>
        <v>0.74757510925215953</v>
      </c>
      <c r="T77" s="121">
        <f t="shared" si="150"/>
        <v>0.78245943611532964</v>
      </c>
      <c r="U77" s="121">
        <f t="shared" si="150"/>
        <v>0.79947686258847572</v>
      </c>
      <c r="V77" s="121">
        <f t="shared" si="150"/>
        <v>0.60671008407210847</v>
      </c>
      <c r="W77" s="121">
        <f t="shared" ref="W77" si="151">IF(W55=0,0,W55/W66)</f>
        <v>0.66274774741125775</v>
      </c>
      <c r="DA77" s="204"/>
    </row>
    <row r="78" spans="1:105" ht="11.45" customHeight="1" x14ac:dyDescent="0.25">
      <c r="A78" s="27" t="s">
        <v>34</v>
      </c>
      <c r="B78" s="30">
        <f t="shared" si="141"/>
        <v>0.25761857897494733</v>
      </c>
      <c r="C78" s="30">
        <f t="shared" si="141"/>
        <v>0.23728436003342895</v>
      </c>
      <c r="D78" s="30">
        <f t="shared" si="141"/>
        <v>0.2325595145787844</v>
      </c>
      <c r="E78" s="30">
        <f t="shared" si="141"/>
        <v>0.20593733047290139</v>
      </c>
      <c r="F78" s="30">
        <f t="shared" si="141"/>
        <v>0.20548998811329217</v>
      </c>
      <c r="G78" s="30">
        <f t="shared" si="141"/>
        <v>0.21817246863786965</v>
      </c>
      <c r="H78" s="30">
        <f t="shared" si="141"/>
        <v>0.22661152849327182</v>
      </c>
      <c r="I78" s="30">
        <f t="shared" si="141"/>
        <v>0.24040635700189941</v>
      </c>
      <c r="J78" s="30">
        <f t="shared" si="141"/>
        <v>0.23459621757715135</v>
      </c>
      <c r="K78" s="30">
        <f t="shared" ref="K78:V78" si="152">IF(K56=0,0,K56/K67)</f>
        <v>0.22686016418511626</v>
      </c>
      <c r="L78" s="30">
        <f t="shared" si="152"/>
        <v>0.2168411438204452</v>
      </c>
      <c r="M78" s="30">
        <f t="shared" si="152"/>
        <v>0.26860675323406658</v>
      </c>
      <c r="N78" s="30">
        <f t="shared" si="152"/>
        <v>0.26025577995518745</v>
      </c>
      <c r="O78" s="30">
        <f t="shared" si="152"/>
        <v>0.22710311737165872</v>
      </c>
      <c r="P78" s="30">
        <f t="shared" si="152"/>
        <v>0.23789925997804251</v>
      </c>
      <c r="Q78" s="30">
        <f t="shared" si="152"/>
        <v>0.26154574697423882</v>
      </c>
      <c r="R78" s="30">
        <f t="shared" si="152"/>
        <v>0.2624370066518476</v>
      </c>
      <c r="S78" s="30">
        <f t="shared" si="152"/>
        <v>0.25145629963792887</v>
      </c>
      <c r="T78" s="30">
        <f t="shared" si="152"/>
        <v>0.25072757804868789</v>
      </c>
      <c r="U78" s="30">
        <f t="shared" si="152"/>
        <v>0.25542447850024069</v>
      </c>
      <c r="V78" s="30">
        <f t="shared" si="152"/>
        <v>0.22292780342191479</v>
      </c>
      <c r="W78" s="30">
        <f t="shared" ref="W78" si="153">IF(W56=0,0,W56/W67)</f>
        <v>0.23806852152046357</v>
      </c>
      <c r="DA78" s="173"/>
    </row>
    <row r="79" spans="1:105" ht="11.45" customHeight="1" x14ac:dyDescent="0.25">
      <c r="A79" s="83" t="s">
        <v>92</v>
      </c>
      <c r="B79" s="120">
        <f t="shared" si="141"/>
        <v>0.22464783018016862</v>
      </c>
      <c r="C79" s="120">
        <f t="shared" si="141"/>
        <v>0.25528206348211518</v>
      </c>
      <c r="D79" s="120">
        <f t="shared" si="141"/>
        <v>0.24225216247868964</v>
      </c>
      <c r="E79" s="120">
        <f t="shared" si="141"/>
        <v>0.26285297916147821</v>
      </c>
      <c r="F79" s="120">
        <f t="shared" si="141"/>
        <v>0.29750789895125102</v>
      </c>
      <c r="G79" s="120">
        <f t="shared" si="141"/>
        <v>0.29170592260939743</v>
      </c>
      <c r="H79" s="120">
        <f t="shared" si="141"/>
        <v>0.31074345196365372</v>
      </c>
      <c r="I79" s="120">
        <f t="shared" si="141"/>
        <v>0.31048036884512786</v>
      </c>
      <c r="J79" s="120">
        <f t="shared" si="141"/>
        <v>0.28866229865472076</v>
      </c>
      <c r="K79" s="120">
        <f t="shared" ref="K79:V79" si="154">IF(K57=0,0,K57/K68)</f>
        <v>0.29195072631672991</v>
      </c>
      <c r="L79" s="120">
        <f t="shared" si="154"/>
        <v>0.28345991989858332</v>
      </c>
      <c r="M79" s="120">
        <f t="shared" si="154"/>
        <v>0.32646067723763444</v>
      </c>
      <c r="N79" s="120">
        <f t="shared" si="154"/>
        <v>0.33672336254099838</v>
      </c>
      <c r="O79" s="120">
        <f t="shared" si="154"/>
        <v>0.31278315632710529</v>
      </c>
      <c r="P79" s="120">
        <f t="shared" si="154"/>
        <v>0.33526433379910131</v>
      </c>
      <c r="Q79" s="120">
        <f t="shared" si="154"/>
        <v>0.34637091388186247</v>
      </c>
      <c r="R79" s="120">
        <f t="shared" si="154"/>
        <v>0.32387418994654821</v>
      </c>
      <c r="S79" s="120">
        <f t="shared" si="154"/>
        <v>0.31983668285659567</v>
      </c>
      <c r="T79" s="120">
        <f t="shared" si="154"/>
        <v>0.32879489026754333</v>
      </c>
      <c r="U79" s="120">
        <f t="shared" si="154"/>
        <v>0.30943692730750549</v>
      </c>
      <c r="V79" s="120">
        <f t="shared" si="154"/>
        <v>0.27524321838758475</v>
      </c>
      <c r="W79" s="120">
        <f t="shared" ref="W79" si="155">IF(W57=0,0,W57/W68)</f>
        <v>0.28092022734496652</v>
      </c>
      <c r="DA79" s="171"/>
    </row>
    <row r="80" spans="1:105" ht="11.45" customHeight="1" x14ac:dyDescent="0.25">
      <c r="A80" s="85" t="s">
        <v>93</v>
      </c>
      <c r="B80" s="122">
        <f t="shared" si="141"/>
        <v>0.26363097424328957</v>
      </c>
      <c r="C80" s="122">
        <f t="shared" si="141"/>
        <v>0.23448925684535563</v>
      </c>
      <c r="D80" s="122">
        <f t="shared" si="141"/>
        <v>0.23102461110498651</v>
      </c>
      <c r="E80" s="122">
        <f t="shared" si="141"/>
        <v>0.19852926722707356</v>
      </c>
      <c r="F80" s="122">
        <f t="shared" si="141"/>
        <v>0.19578444885633067</v>
      </c>
      <c r="G80" s="122">
        <f t="shared" si="141"/>
        <v>0.2108364247374965</v>
      </c>
      <c r="H80" s="122">
        <f t="shared" si="141"/>
        <v>0.21876572205018149</v>
      </c>
      <c r="I80" s="122">
        <f t="shared" si="141"/>
        <v>0.23387492422537046</v>
      </c>
      <c r="J80" s="122">
        <f t="shared" si="141"/>
        <v>0.22929347087562435</v>
      </c>
      <c r="K80" s="122">
        <f t="shared" ref="K80:V80" si="156">IF(K58=0,0,K58/K69)</f>
        <v>0.22107929042137497</v>
      </c>
      <c r="L80" s="122">
        <f t="shared" si="156"/>
        <v>0.21129100455436556</v>
      </c>
      <c r="M80" s="122">
        <f t="shared" si="156"/>
        <v>0.26322527950668351</v>
      </c>
      <c r="N80" s="122">
        <f t="shared" si="156"/>
        <v>0.25420262017876194</v>
      </c>
      <c r="O80" s="122">
        <f t="shared" si="156"/>
        <v>0.22087565557935557</v>
      </c>
      <c r="P80" s="122">
        <f t="shared" si="156"/>
        <v>0.2312403077130489</v>
      </c>
      <c r="Q80" s="122">
        <f t="shared" si="156"/>
        <v>0.25532390860214044</v>
      </c>
      <c r="R80" s="122">
        <f t="shared" si="156"/>
        <v>0.25802733321183952</v>
      </c>
      <c r="S80" s="122">
        <f t="shared" si="156"/>
        <v>0.24641961989530312</v>
      </c>
      <c r="T80" s="122">
        <f t="shared" si="156"/>
        <v>0.24546374595253534</v>
      </c>
      <c r="U80" s="122">
        <f t="shared" si="156"/>
        <v>0.25143392737221315</v>
      </c>
      <c r="V80" s="122">
        <f t="shared" si="156"/>
        <v>0.21906054988963941</v>
      </c>
      <c r="W80" s="122">
        <f t="shared" ref="W80" si="157">IF(W58=0,0,W58/W69)</f>
        <v>0.23464137922832087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166966.31526145546</v>
      </c>
      <c r="C82" s="54">
        <f t="shared" si="158"/>
        <v>166734.57227456762</v>
      </c>
      <c r="D82" s="54">
        <f t="shared" si="158"/>
        <v>170093.22028033435</v>
      </c>
      <c r="E82" s="54">
        <f t="shared" si="158"/>
        <v>169093.50900919343</v>
      </c>
      <c r="F82" s="54">
        <f t="shared" si="158"/>
        <v>167390.24107346896</v>
      </c>
      <c r="G82" s="54">
        <f t="shared" si="158"/>
        <v>165528.74832546661</v>
      </c>
      <c r="H82" s="54">
        <f t="shared" si="158"/>
        <v>166385.97949149323</v>
      </c>
      <c r="I82" s="54">
        <f t="shared" si="158"/>
        <v>167284.60458654791</v>
      </c>
      <c r="J82" s="54">
        <f t="shared" si="158"/>
        <v>167278.57028993199</v>
      </c>
      <c r="K82" s="54">
        <f t="shared" ref="K82:V82" si="159">IF(K14=0,0,K14/K25*1000000)</f>
        <v>166226.68042050159</v>
      </c>
      <c r="L82" s="54">
        <f t="shared" si="159"/>
        <v>167078.19930988215</v>
      </c>
      <c r="M82" s="54">
        <f t="shared" si="159"/>
        <v>165899.3735621041</v>
      </c>
      <c r="N82" s="54">
        <f t="shared" si="159"/>
        <v>167186.52170050453</v>
      </c>
      <c r="O82" s="54">
        <f t="shared" si="159"/>
        <v>167352.6014001717</v>
      </c>
      <c r="P82" s="54">
        <f t="shared" si="159"/>
        <v>166427.75691355806</v>
      </c>
      <c r="Q82" s="54">
        <f t="shared" si="159"/>
        <v>167107.81321151604</v>
      </c>
      <c r="R82" s="54">
        <f t="shared" si="159"/>
        <v>165935.07427693703</v>
      </c>
      <c r="S82" s="54">
        <f t="shared" si="159"/>
        <v>167130.61186462667</v>
      </c>
      <c r="T82" s="54">
        <f t="shared" si="159"/>
        <v>165634.55216972088</v>
      </c>
      <c r="U82" s="54">
        <f t="shared" si="159"/>
        <v>167088.8612443413</v>
      </c>
      <c r="V82" s="54">
        <f t="shared" si="159"/>
        <v>143856.22223819006</v>
      </c>
      <c r="W82" s="54">
        <f t="shared" ref="W82" si="160">IF(W14=0,0,W14/W25*1000000)</f>
        <v>165362.68059920563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160649.13534566842</v>
      </c>
      <c r="C83" s="28">
        <f t="shared" si="161"/>
        <v>160647.89176698495</v>
      </c>
      <c r="D83" s="28">
        <f t="shared" si="161"/>
        <v>164351.39195183531</v>
      </c>
      <c r="E83" s="28">
        <f t="shared" si="161"/>
        <v>163154.92927349135</v>
      </c>
      <c r="F83" s="28">
        <f t="shared" si="161"/>
        <v>162260.85676593435</v>
      </c>
      <c r="G83" s="28">
        <f t="shared" si="161"/>
        <v>162377.27812345399</v>
      </c>
      <c r="H83" s="28">
        <f t="shared" si="161"/>
        <v>162158.7017028745</v>
      </c>
      <c r="I83" s="28">
        <f t="shared" si="161"/>
        <v>163185.13795652351</v>
      </c>
      <c r="J83" s="28">
        <f t="shared" si="161"/>
        <v>163576.88862094397</v>
      </c>
      <c r="K83" s="28">
        <f t="shared" ref="K83:V83" si="162">IF(K15=0,0,K15/K26*1000000)</f>
        <v>163969.98661617952</v>
      </c>
      <c r="L83" s="28">
        <f t="shared" si="162"/>
        <v>164075.60763980364</v>
      </c>
      <c r="M83" s="28">
        <f t="shared" si="162"/>
        <v>163072.15772669856</v>
      </c>
      <c r="N83" s="28">
        <f t="shared" si="162"/>
        <v>164543.56954587912</v>
      </c>
      <c r="O83" s="28">
        <f t="shared" si="162"/>
        <v>164412.52288584757</v>
      </c>
      <c r="P83" s="28">
        <f t="shared" si="162"/>
        <v>163500.19719797745</v>
      </c>
      <c r="Q83" s="28">
        <f t="shared" si="162"/>
        <v>164258.37986932197</v>
      </c>
      <c r="R83" s="28">
        <f t="shared" si="162"/>
        <v>163125.13490729025</v>
      </c>
      <c r="S83" s="28">
        <f t="shared" si="162"/>
        <v>164179.59020235151</v>
      </c>
      <c r="T83" s="28">
        <f t="shared" si="162"/>
        <v>162579.73231859709</v>
      </c>
      <c r="U83" s="28">
        <f t="shared" si="162"/>
        <v>164188.74698484756</v>
      </c>
      <c r="V83" s="28">
        <f t="shared" si="162"/>
        <v>138091.71872153116</v>
      </c>
      <c r="W83" s="28">
        <f t="shared" ref="W83" si="163">IF(W15=0,0,W15/W26*1000000)</f>
        <v>161387.26890397552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109999.99990358519</v>
      </c>
      <c r="C84" s="108">
        <f t="shared" si="161"/>
        <v>109999.99992735001</v>
      </c>
      <c r="D84" s="108">
        <f t="shared" si="161"/>
        <v>109999.99994636375</v>
      </c>
      <c r="E84" s="108">
        <f t="shared" si="161"/>
        <v>109999.99996491976</v>
      </c>
      <c r="F84" s="108">
        <f t="shared" si="161"/>
        <v>109999.99995975246</v>
      </c>
      <c r="G84" s="108">
        <f t="shared" si="161"/>
        <v>109999.99990961899</v>
      </c>
      <c r="H84" s="108">
        <f t="shared" si="161"/>
        <v>109999.9999566701</v>
      </c>
      <c r="I84" s="108">
        <f t="shared" si="161"/>
        <v>109999.99998482403</v>
      </c>
      <c r="J84" s="108">
        <f t="shared" si="161"/>
        <v>109999.99989665792</v>
      </c>
      <c r="K84" s="108">
        <f t="shared" ref="K84:V84" si="164">IF(K16=0,0,K16/K27*1000000)</f>
        <v>107871.57957008108</v>
      </c>
      <c r="L84" s="108">
        <f t="shared" si="164"/>
        <v>109999.99994252442</v>
      </c>
      <c r="M84" s="108">
        <f t="shared" si="164"/>
        <v>109999.99996347449</v>
      </c>
      <c r="N84" s="108">
        <f t="shared" si="164"/>
        <v>109999.99993471129</v>
      </c>
      <c r="O84" s="108">
        <f t="shared" si="164"/>
        <v>109999.99996511897</v>
      </c>
      <c r="P84" s="108">
        <f t="shared" si="164"/>
        <v>109999.99991909419</v>
      </c>
      <c r="Q84" s="108">
        <f t="shared" si="164"/>
        <v>109999.99993233765</v>
      </c>
      <c r="R84" s="108">
        <f t="shared" si="164"/>
        <v>109999.99994233278</v>
      </c>
      <c r="S84" s="108">
        <f t="shared" si="164"/>
        <v>109999.9999731542</v>
      </c>
      <c r="T84" s="108">
        <f t="shared" si="164"/>
        <v>109999.99995465689</v>
      </c>
      <c r="U84" s="108">
        <f t="shared" si="164"/>
        <v>109999.99993443541</v>
      </c>
      <c r="V84" s="108">
        <f t="shared" si="164"/>
        <v>84442.115654137669</v>
      </c>
      <c r="W84" s="108">
        <f t="shared" ref="W84" si="165">IF(W16=0,0,W16/W27*1000000)</f>
        <v>109999.99991947411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149999.99995035719</v>
      </c>
      <c r="C85" s="110">
        <f t="shared" si="161"/>
        <v>145971.46429652991</v>
      </c>
      <c r="D85" s="110">
        <f t="shared" si="161"/>
        <v>149999.9999088044</v>
      </c>
      <c r="E85" s="110">
        <f t="shared" si="161"/>
        <v>149999.9999523338</v>
      </c>
      <c r="F85" s="110">
        <f t="shared" si="161"/>
        <v>149999.99994350714</v>
      </c>
      <c r="G85" s="110">
        <f t="shared" si="161"/>
        <v>149999.9998656043</v>
      </c>
      <c r="H85" s="110">
        <f t="shared" si="161"/>
        <v>149999.99990340046</v>
      </c>
      <c r="I85" s="110">
        <f t="shared" si="161"/>
        <v>149999.99995246314</v>
      </c>
      <c r="J85" s="110">
        <f t="shared" si="161"/>
        <v>149999.9998899255</v>
      </c>
      <c r="K85" s="110">
        <f t="shared" ref="K85:V85" si="166">IF(K17=0,0,K17/K28*1000000)</f>
        <v>149999.99994635445</v>
      </c>
      <c r="L85" s="110">
        <f t="shared" si="166"/>
        <v>149999.9998858358</v>
      </c>
      <c r="M85" s="110">
        <f t="shared" si="166"/>
        <v>149999.99991755397</v>
      </c>
      <c r="N85" s="110">
        <f t="shared" si="166"/>
        <v>149999.99993261753</v>
      </c>
      <c r="O85" s="110">
        <f t="shared" si="166"/>
        <v>149999.99991684259</v>
      </c>
      <c r="P85" s="110">
        <f t="shared" si="166"/>
        <v>149999.99995027017</v>
      </c>
      <c r="Q85" s="110">
        <f t="shared" si="166"/>
        <v>149999.99993202355</v>
      </c>
      <c r="R85" s="110">
        <f t="shared" si="166"/>
        <v>149999.99997201242</v>
      </c>
      <c r="S85" s="110">
        <f t="shared" si="166"/>
        <v>149999.99991173943</v>
      </c>
      <c r="T85" s="110">
        <f t="shared" si="166"/>
        <v>149999.99994176952</v>
      </c>
      <c r="U85" s="110">
        <f t="shared" si="166"/>
        <v>149999.99997590898</v>
      </c>
      <c r="V85" s="110">
        <f t="shared" si="166"/>
        <v>129059.19683649558</v>
      </c>
      <c r="W85" s="110">
        <f t="shared" ref="W85" si="167">IF(W17=0,0,W17/W28*1000000)</f>
        <v>141518.3277847369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149999.99990069182</v>
      </c>
      <c r="C86" s="84">
        <f t="shared" si="161"/>
        <v>134960.64539196232</v>
      </c>
      <c r="D86" s="84">
        <f t="shared" si="161"/>
        <v>149999.99994150616</v>
      </c>
      <c r="E86" s="84">
        <f t="shared" si="161"/>
        <v>149999.99996126728</v>
      </c>
      <c r="F86" s="84">
        <f t="shared" si="161"/>
        <v>149999.9997781328</v>
      </c>
      <c r="G86" s="84">
        <f t="shared" si="161"/>
        <v>149999.99970433649</v>
      </c>
      <c r="H86" s="84">
        <f t="shared" si="161"/>
        <v>149999.99985239093</v>
      </c>
      <c r="I86" s="84">
        <f t="shared" si="161"/>
        <v>149999.99986329858</v>
      </c>
      <c r="J86" s="84">
        <f t="shared" si="161"/>
        <v>149999.99975676968</v>
      </c>
      <c r="K86" s="84">
        <f t="shared" ref="K86:V86" si="168">IF(K18=0,0,K18/K29*1000000)</f>
        <v>149999.9998630909</v>
      </c>
      <c r="L86" s="84">
        <f t="shared" si="168"/>
        <v>149999.99970279945</v>
      </c>
      <c r="M86" s="84">
        <f t="shared" si="168"/>
        <v>149999.99975363954</v>
      </c>
      <c r="N86" s="84">
        <f t="shared" si="168"/>
        <v>149999.99967646939</v>
      </c>
      <c r="O86" s="84">
        <f t="shared" si="168"/>
        <v>149999.99980391373</v>
      </c>
      <c r="P86" s="84">
        <f t="shared" si="168"/>
        <v>149999.99988373724</v>
      </c>
      <c r="Q86" s="84">
        <f t="shared" si="168"/>
        <v>149999.99993731038</v>
      </c>
      <c r="R86" s="84">
        <f t="shared" si="168"/>
        <v>149999.99996877013</v>
      </c>
      <c r="S86" s="84">
        <f t="shared" si="168"/>
        <v>149999.99965460013</v>
      </c>
      <c r="T86" s="84">
        <f t="shared" si="168"/>
        <v>149999.99993433533</v>
      </c>
      <c r="U86" s="84">
        <f t="shared" si="168"/>
        <v>149999.99989885715</v>
      </c>
      <c r="V86" s="84">
        <f t="shared" si="168"/>
        <v>139232.26684650249</v>
      </c>
      <c r="W86" s="84">
        <f t="shared" ref="W86" si="169">IF(W18=0,0,W18/W29*1000000)</f>
        <v>149999.99964345069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149999.99996923725</v>
      </c>
      <c r="C87" s="84">
        <f t="shared" si="161"/>
        <v>149999.99999394157</v>
      </c>
      <c r="D87" s="84">
        <f t="shared" si="161"/>
        <v>149999.99989748371</v>
      </c>
      <c r="E87" s="84">
        <f t="shared" si="161"/>
        <v>149999.99994961434</v>
      </c>
      <c r="F87" s="84">
        <f t="shared" si="161"/>
        <v>149999.99999539906</v>
      </c>
      <c r="G87" s="84">
        <f t="shared" si="161"/>
        <v>149999.99991087461</v>
      </c>
      <c r="H87" s="84">
        <f t="shared" si="161"/>
        <v>149999.99991672151</v>
      </c>
      <c r="I87" s="84">
        <f t="shared" si="161"/>
        <v>149999.99997368018</v>
      </c>
      <c r="J87" s="84">
        <f t="shared" si="161"/>
        <v>149999.99992168872</v>
      </c>
      <c r="K87" s="84">
        <f t="shared" ref="K87:V87" si="170">IF(K19=0,0,K19/K30*1000000)</f>
        <v>149999.99996558973</v>
      </c>
      <c r="L87" s="84">
        <f t="shared" si="170"/>
        <v>149999.99992602126</v>
      </c>
      <c r="M87" s="84">
        <f t="shared" si="170"/>
        <v>149999.99995438976</v>
      </c>
      <c r="N87" s="84">
        <f t="shared" si="170"/>
        <v>149999.99998729039</v>
      </c>
      <c r="O87" s="84">
        <f t="shared" si="170"/>
        <v>149999.99993995548</v>
      </c>
      <c r="P87" s="84">
        <f t="shared" si="170"/>
        <v>149999.99996314535</v>
      </c>
      <c r="Q87" s="84">
        <f t="shared" si="170"/>
        <v>149999.99993100183</v>
      </c>
      <c r="R87" s="84">
        <f t="shared" si="170"/>
        <v>149999.99997255619</v>
      </c>
      <c r="S87" s="84">
        <f t="shared" si="170"/>
        <v>149999.99996011436</v>
      </c>
      <c r="T87" s="84">
        <f t="shared" si="170"/>
        <v>149999.99994308653</v>
      </c>
      <c r="U87" s="84">
        <f t="shared" si="170"/>
        <v>149999.99998985563</v>
      </c>
      <c r="V87" s="84">
        <f t="shared" si="170"/>
        <v>127367.6267347735</v>
      </c>
      <c r="W87" s="84">
        <f t="shared" ref="W87" si="171">IF(W19=0,0,W19/W30*1000000)</f>
        <v>139889.8924070225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449999.99910020118</v>
      </c>
      <c r="C88" s="113">
        <f t="shared" si="161"/>
        <v>449999.99829763942</v>
      </c>
      <c r="D88" s="113">
        <f t="shared" si="161"/>
        <v>449999.99820752064</v>
      </c>
      <c r="E88" s="113">
        <f t="shared" si="161"/>
        <v>449999.99978282745</v>
      </c>
      <c r="F88" s="113">
        <f t="shared" si="161"/>
        <v>449999.99882018141</v>
      </c>
      <c r="G88" s="113">
        <f t="shared" si="161"/>
        <v>449999.99980765069</v>
      </c>
      <c r="H88" s="113">
        <f t="shared" si="161"/>
        <v>449999.99909294967</v>
      </c>
      <c r="I88" s="113">
        <f t="shared" si="161"/>
        <v>449999.99930275889</v>
      </c>
      <c r="J88" s="113">
        <f t="shared" si="161"/>
        <v>449999.9998704149</v>
      </c>
      <c r="K88" s="113">
        <f t="shared" ref="K88:V88" si="172">IF(K20=0,0,K20/K31*1000000)</f>
        <v>449999.99899741617</v>
      </c>
      <c r="L88" s="113">
        <f t="shared" si="172"/>
        <v>449999.99964866717</v>
      </c>
      <c r="M88" s="113">
        <f t="shared" si="172"/>
        <v>449999.99928200064</v>
      </c>
      <c r="N88" s="113">
        <f t="shared" si="172"/>
        <v>449999.99935891066</v>
      </c>
      <c r="O88" s="113">
        <f t="shared" si="172"/>
        <v>449999.99936780153</v>
      </c>
      <c r="P88" s="113">
        <f t="shared" si="172"/>
        <v>449999.9986601072</v>
      </c>
      <c r="Q88" s="113">
        <f t="shared" si="172"/>
        <v>449999.99878217321</v>
      </c>
      <c r="R88" s="113">
        <f t="shared" si="172"/>
        <v>449999.99865594489</v>
      </c>
      <c r="S88" s="113">
        <f t="shared" si="172"/>
        <v>449999.99900958361</v>
      </c>
      <c r="T88" s="113">
        <f t="shared" si="172"/>
        <v>447777.21564998158</v>
      </c>
      <c r="U88" s="113">
        <f t="shared" si="172"/>
        <v>449999.99991253606</v>
      </c>
      <c r="V88" s="113">
        <f t="shared" si="172"/>
        <v>379418.69931071834</v>
      </c>
      <c r="W88" s="113">
        <f t="shared" ref="W88" si="173">IF(W20=0,0,W20/W31*1000000)</f>
        <v>449999.99907083483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199999.99950669287</v>
      </c>
      <c r="C89" s="28">
        <f t="shared" si="161"/>
        <v>198358.44823526312</v>
      </c>
      <c r="D89" s="28">
        <f t="shared" si="161"/>
        <v>199999.99971517466</v>
      </c>
      <c r="E89" s="28">
        <f t="shared" si="161"/>
        <v>199999.99976082493</v>
      </c>
      <c r="F89" s="28">
        <f t="shared" si="161"/>
        <v>197775.67656777517</v>
      </c>
      <c r="G89" s="28">
        <f t="shared" si="161"/>
        <v>186890.94595575531</v>
      </c>
      <c r="H89" s="28">
        <f t="shared" si="161"/>
        <v>198897.55630798289</v>
      </c>
      <c r="I89" s="28">
        <f t="shared" si="161"/>
        <v>199999.99967408052</v>
      </c>
      <c r="J89" s="28">
        <f t="shared" si="161"/>
        <v>199999.99917637013</v>
      </c>
      <c r="K89" s="28">
        <f t="shared" ref="K89:V89" si="174">IF(K21=0,0,K21/K32*1000000)</f>
        <v>188887.32180450618</v>
      </c>
      <c r="L89" s="28">
        <f t="shared" si="174"/>
        <v>199999.99922204655</v>
      </c>
      <c r="M89" s="28">
        <f t="shared" si="174"/>
        <v>199999.99907698238</v>
      </c>
      <c r="N89" s="28">
        <f t="shared" si="174"/>
        <v>199999.9992060395</v>
      </c>
      <c r="O89" s="28">
        <f t="shared" si="174"/>
        <v>199999.99947084827</v>
      </c>
      <c r="P89" s="28">
        <f t="shared" si="174"/>
        <v>199999.99959281599</v>
      </c>
      <c r="Q89" s="28">
        <f t="shared" si="174"/>
        <v>199999.99976437984</v>
      </c>
      <c r="R89" s="28">
        <f t="shared" si="174"/>
        <v>199999.99960847487</v>
      </c>
      <c r="S89" s="28">
        <f t="shared" si="174"/>
        <v>199999.99911184423</v>
      </c>
      <c r="T89" s="28">
        <f t="shared" si="174"/>
        <v>199999.99889882852</v>
      </c>
      <c r="U89" s="28">
        <f t="shared" si="174"/>
        <v>199999.99936183004</v>
      </c>
      <c r="V89" s="28">
        <f t="shared" si="174"/>
        <v>199999.99959979384</v>
      </c>
      <c r="W89" s="28">
        <f t="shared" ref="W89" si="175">IF(W21=0,0,W21/W32*1000000)</f>
        <v>199999.99919509617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199999.9989691595</v>
      </c>
      <c r="C90" s="84">
        <f t="shared" si="161"/>
        <v>188401.45850960643</v>
      </c>
      <c r="D90" s="84">
        <f t="shared" si="161"/>
        <v>199999.9979366851</v>
      </c>
      <c r="E90" s="84">
        <f t="shared" si="161"/>
        <v>199999.99820746304</v>
      </c>
      <c r="F90" s="84">
        <f t="shared" si="161"/>
        <v>178910.67427106982</v>
      </c>
      <c r="G90" s="84">
        <f t="shared" si="161"/>
        <v>169539.35992745636</v>
      </c>
      <c r="H90" s="84">
        <f t="shared" si="161"/>
        <v>187797.15894217428</v>
      </c>
      <c r="I90" s="84">
        <f t="shared" si="161"/>
        <v>199999.99994104091</v>
      </c>
      <c r="J90" s="84">
        <f t="shared" si="161"/>
        <v>199999.99601074902</v>
      </c>
      <c r="K90" s="84">
        <f t="shared" ref="K90:V90" si="176">IF(K22=0,0,K22/K33*1000000)</f>
        <v>193511.78229918366</v>
      </c>
      <c r="L90" s="84">
        <f t="shared" si="176"/>
        <v>199999.99751596645</v>
      </c>
      <c r="M90" s="84">
        <f t="shared" si="176"/>
        <v>199999.99260234903</v>
      </c>
      <c r="N90" s="84">
        <f t="shared" si="176"/>
        <v>199999.99827382839</v>
      </c>
      <c r="O90" s="84">
        <f t="shared" si="176"/>
        <v>199999.99491625314</v>
      </c>
      <c r="P90" s="84">
        <f t="shared" si="176"/>
        <v>199999.99676018342</v>
      </c>
      <c r="Q90" s="84">
        <f t="shared" si="176"/>
        <v>199999.99760842114</v>
      </c>
      <c r="R90" s="84">
        <f t="shared" si="176"/>
        <v>199999.9949847403</v>
      </c>
      <c r="S90" s="84">
        <f t="shared" si="176"/>
        <v>199999.99324129568</v>
      </c>
      <c r="T90" s="84">
        <f t="shared" si="176"/>
        <v>199999.99180123548</v>
      </c>
      <c r="U90" s="84">
        <f t="shared" si="176"/>
        <v>199999.99603008246</v>
      </c>
      <c r="V90" s="84">
        <f t="shared" si="176"/>
        <v>199999.9951532144</v>
      </c>
      <c r="W90" s="84">
        <f t="shared" ref="W90" si="177">IF(W22=0,0,W22/W33*1000000)</f>
        <v>199999.99317082812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199999.99960471501</v>
      </c>
      <c r="C91" s="86">
        <f t="shared" si="161"/>
        <v>199999.99986939519</v>
      </c>
      <c r="D91" s="86">
        <f t="shared" si="161"/>
        <v>199999.99999681182</v>
      </c>
      <c r="E91" s="86">
        <f t="shared" si="161"/>
        <v>199999.99996300839</v>
      </c>
      <c r="F91" s="86">
        <f t="shared" si="161"/>
        <v>199999.99984633172</v>
      </c>
      <c r="G91" s="86">
        <f t="shared" si="161"/>
        <v>188818.87479363944</v>
      </c>
      <c r="H91" s="86">
        <f t="shared" si="161"/>
        <v>199999.99963857036</v>
      </c>
      <c r="I91" s="86">
        <f t="shared" si="161"/>
        <v>199999.99964919779</v>
      </c>
      <c r="J91" s="86">
        <f t="shared" si="161"/>
        <v>199999.99948685107</v>
      </c>
      <c r="K91" s="86">
        <f t="shared" ref="K91:V91" si="178">IF(K23=0,0,K23/K34*1000000)</f>
        <v>188487.27467408113</v>
      </c>
      <c r="L91" s="86">
        <f t="shared" si="178"/>
        <v>199999.9993641834</v>
      </c>
      <c r="M91" s="86">
        <f t="shared" si="178"/>
        <v>199999.9996792418</v>
      </c>
      <c r="N91" s="86">
        <f t="shared" si="178"/>
        <v>199999.99927983314</v>
      </c>
      <c r="O91" s="86">
        <f t="shared" si="178"/>
        <v>199999.99980188883</v>
      </c>
      <c r="P91" s="86">
        <f t="shared" si="178"/>
        <v>199999.99978654424</v>
      </c>
      <c r="Q91" s="86">
        <f t="shared" si="178"/>
        <v>199999.99992251722</v>
      </c>
      <c r="R91" s="86">
        <f t="shared" si="178"/>
        <v>199999.99994034492</v>
      </c>
      <c r="S91" s="86">
        <f t="shared" si="178"/>
        <v>199999.99954425005</v>
      </c>
      <c r="T91" s="86">
        <f t="shared" si="178"/>
        <v>199999.99937739677</v>
      </c>
      <c r="U91" s="86">
        <f t="shared" si="178"/>
        <v>199999.99960798645</v>
      </c>
      <c r="V91" s="86">
        <f t="shared" si="178"/>
        <v>199999.99992849331</v>
      </c>
      <c r="W91" s="86">
        <f t="shared" ref="W91" si="179">IF(W23=0,0,W23/W34*1000000)</f>
        <v>199999.99967689789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29616213.098704077</v>
      </c>
      <c r="C94" s="28">
        <f t="shared" si="180"/>
        <v>31108170.72783367</v>
      </c>
      <c r="D94" s="28">
        <f t="shared" si="180"/>
        <v>31655599.857854888</v>
      </c>
      <c r="E94" s="28">
        <f t="shared" si="180"/>
        <v>29310677.110025421</v>
      </c>
      <c r="F94" s="28">
        <f t="shared" si="180"/>
        <v>28511871.892125499</v>
      </c>
      <c r="G94" s="28">
        <f t="shared" si="180"/>
        <v>28452769.937355291</v>
      </c>
      <c r="H94" s="28">
        <f t="shared" si="180"/>
        <v>28546960.985763941</v>
      </c>
      <c r="I94" s="28">
        <f t="shared" si="180"/>
        <v>29008284.775963489</v>
      </c>
      <c r="J94" s="28">
        <f t="shared" si="180"/>
        <v>28572428.646440484</v>
      </c>
      <c r="K94" s="28">
        <f t="shared" ref="K94:V94" si="181">IF(K4=0,0,K4/K26*1000000)</f>
        <v>28413406.054313689</v>
      </c>
      <c r="L94" s="28">
        <f t="shared" si="181"/>
        <v>28320397.328465194</v>
      </c>
      <c r="M94" s="28">
        <f t="shared" si="181"/>
        <v>28877336.023246732</v>
      </c>
      <c r="N94" s="28">
        <f t="shared" si="181"/>
        <v>28764858.234217998</v>
      </c>
      <c r="O94" s="28">
        <f t="shared" si="181"/>
        <v>28041367.502314907</v>
      </c>
      <c r="P94" s="28">
        <f t="shared" si="181"/>
        <v>27957010.601834908</v>
      </c>
      <c r="Q94" s="28">
        <f t="shared" si="181"/>
        <v>27465369.719244432</v>
      </c>
      <c r="R94" s="28">
        <f t="shared" si="181"/>
        <v>27256473.283136263</v>
      </c>
      <c r="S94" s="28">
        <f t="shared" si="181"/>
        <v>29434696.574880403</v>
      </c>
      <c r="T94" s="28">
        <f t="shared" si="181"/>
        <v>29669567.682989314</v>
      </c>
      <c r="U94" s="28">
        <f t="shared" si="181"/>
        <v>31552463.826374959</v>
      </c>
      <c r="V94" s="28">
        <f t="shared" si="181"/>
        <v>19757055.137581263</v>
      </c>
      <c r="W94" s="28">
        <f t="shared" ref="W94" si="182">IF(W4=0,0,W4/W26*1000000)</f>
        <v>27879421.210616287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10377368.630235368</v>
      </c>
      <c r="C95" s="108">
        <f t="shared" si="180"/>
        <v>9898213.2785639297</v>
      </c>
      <c r="D95" s="108">
        <f t="shared" si="180"/>
        <v>9852057.0106392931</v>
      </c>
      <c r="E95" s="108">
        <f t="shared" si="180"/>
        <v>9841546.8857256547</v>
      </c>
      <c r="F95" s="108">
        <f t="shared" si="180"/>
        <v>9874447.5225660298</v>
      </c>
      <c r="G95" s="108">
        <f t="shared" si="180"/>
        <v>9962620.7295395806</v>
      </c>
      <c r="H95" s="108">
        <f t="shared" si="180"/>
        <v>10169162.732343024</v>
      </c>
      <c r="I95" s="108">
        <f t="shared" si="180"/>
        <v>10330689.608887082</v>
      </c>
      <c r="J95" s="108">
        <f t="shared" si="180"/>
        <v>10134291.771106966</v>
      </c>
      <c r="K95" s="108">
        <f t="shared" ref="K95:V95" si="183">IF(K5=0,0,K5/K27*1000000)</f>
        <v>9999104.0263557993</v>
      </c>
      <c r="L95" s="108">
        <f t="shared" si="183"/>
        <v>10290340.804706363</v>
      </c>
      <c r="M95" s="108">
        <f t="shared" si="183"/>
        <v>10268682.655581363</v>
      </c>
      <c r="N95" s="108">
        <f t="shared" si="183"/>
        <v>10466738.583912963</v>
      </c>
      <c r="O95" s="108">
        <f t="shared" si="183"/>
        <v>10272023.799007565</v>
      </c>
      <c r="P95" s="108">
        <f t="shared" si="183"/>
        <v>10359872.216996647</v>
      </c>
      <c r="Q95" s="108">
        <f t="shared" si="183"/>
        <v>10317512.170384571</v>
      </c>
      <c r="R95" s="108">
        <f t="shared" si="183"/>
        <v>10390156.382290293</v>
      </c>
      <c r="S95" s="108">
        <f t="shared" si="183"/>
        <v>10501479.637275718</v>
      </c>
      <c r="T95" s="108">
        <f t="shared" si="183"/>
        <v>10611166.835533032</v>
      </c>
      <c r="U95" s="108">
        <f t="shared" si="183"/>
        <v>10730334.903127184</v>
      </c>
      <c r="V95" s="108">
        <f t="shared" si="183"/>
        <v>6160702.7840609904</v>
      </c>
      <c r="W95" s="108">
        <f t="shared" ref="W95" si="184">IF(W5=0,0,W5/W27*1000000)</f>
        <v>8822100.3903346919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21736804.267985601</v>
      </c>
      <c r="C96" s="110">
        <f t="shared" si="180"/>
        <v>23045190.083982524</v>
      </c>
      <c r="D96" s="110">
        <f t="shared" si="180"/>
        <v>22973419.709517468</v>
      </c>
      <c r="E96" s="110">
        <f t="shared" si="180"/>
        <v>20264447.712344382</v>
      </c>
      <c r="F96" s="110">
        <f t="shared" si="180"/>
        <v>19775296.410347033</v>
      </c>
      <c r="G96" s="110">
        <f t="shared" si="180"/>
        <v>19366918.810731754</v>
      </c>
      <c r="H96" s="110">
        <f t="shared" si="180"/>
        <v>19247569.96373814</v>
      </c>
      <c r="I96" s="110">
        <f t="shared" si="180"/>
        <v>18616776.36018857</v>
      </c>
      <c r="J96" s="110">
        <f t="shared" si="180"/>
        <v>17709068.690833032</v>
      </c>
      <c r="K96" s="110">
        <f t="shared" ref="K96:V96" si="185">IF(K6=0,0,K6/K28*1000000)</f>
        <v>17377164.395637535</v>
      </c>
      <c r="L96" s="110">
        <f t="shared" si="185"/>
        <v>17161186.571306519</v>
      </c>
      <c r="M96" s="110">
        <f t="shared" si="185"/>
        <v>18447913.456849232</v>
      </c>
      <c r="N96" s="110">
        <f t="shared" si="185"/>
        <v>18778938.274175838</v>
      </c>
      <c r="O96" s="110">
        <f t="shared" si="185"/>
        <v>18033967.925299224</v>
      </c>
      <c r="P96" s="110">
        <f t="shared" si="185"/>
        <v>17800939.703841124</v>
      </c>
      <c r="Q96" s="110">
        <f t="shared" si="185"/>
        <v>17752242.761497617</v>
      </c>
      <c r="R96" s="110">
        <f t="shared" si="185"/>
        <v>17097932.253077812</v>
      </c>
      <c r="S96" s="110">
        <f t="shared" si="185"/>
        <v>17062179.593038365</v>
      </c>
      <c r="T96" s="110">
        <f t="shared" si="185"/>
        <v>17288254.121795103</v>
      </c>
      <c r="U96" s="110">
        <f t="shared" si="185"/>
        <v>18311938.191629402</v>
      </c>
      <c r="V96" s="110">
        <f t="shared" si="185"/>
        <v>11153957.15776089</v>
      </c>
      <c r="W96" s="110">
        <f t="shared" ref="W96" si="186">IF(W6=0,0,W6/W28*1000000)</f>
        <v>15922901.584583737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14627322.010109799</v>
      </c>
      <c r="C97" s="84">
        <f t="shared" si="180"/>
        <v>15972069.047831649</v>
      </c>
      <c r="D97" s="84">
        <f t="shared" si="180"/>
        <v>16896964.917917036</v>
      </c>
      <c r="E97" s="84">
        <f t="shared" si="180"/>
        <v>16712015.648483546</v>
      </c>
      <c r="F97" s="84">
        <f t="shared" si="180"/>
        <v>16213584.330580147</v>
      </c>
      <c r="G97" s="84">
        <f t="shared" si="180"/>
        <v>17271164.2202405</v>
      </c>
      <c r="H97" s="84">
        <f t="shared" si="180"/>
        <v>18167190.940310486</v>
      </c>
      <c r="I97" s="84">
        <f t="shared" si="180"/>
        <v>18091575.05251275</v>
      </c>
      <c r="J97" s="84">
        <f t="shared" si="180"/>
        <v>16725137.309789946</v>
      </c>
      <c r="K97" s="84">
        <f t="shared" ref="K97:V97" si="187">IF(K7=0,0,K7/K29*1000000)</f>
        <v>16246634.884879064</v>
      </c>
      <c r="L97" s="84">
        <f t="shared" si="187"/>
        <v>16311314.153810648</v>
      </c>
      <c r="M97" s="84">
        <f t="shared" si="187"/>
        <v>17194856.333018817</v>
      </c>
      <c r="N97" s="84">
        <f t="shared" si="187"/>
        <v>17624134.217485946</v>
      </c>
      <c r="O97" s="84">
        <f t="shared" si="187"/>
        <v>16978386.237981178</v>
      </c>
      <c r="P97" s="84">
        <f t="shared" si="187"/>
        <v>16740777.498845804</v>
      </c>
      <c r="Q97" s="84">
        <f t="shared" si="187"/>
        <v>17063310.162003838</v>
      </c>
      <c r="R97" s="84">
        <f t="shared" si="187"/>
        <v>16845247.586897846</v>
      </c>
      <c r="S97" s="84">
        <f t="shared" si="187"/>
        <v>16040146.37982861</v>
      </c>
      <c r="T97" s="84">
        <f t="shared" si="187"/>
        <v>16577025.721125487</v>
      </c>
      <c r="U97" s="84">
        <f t="shared" si="187"/>
        <v>17623563.669423603</v>
      </c>
      <c r="V97" s="84">
        <f t="shared" si="187"/>
        <v>10618869.142103147</v>
      </c>
      <c r="W97" s="84">
        <f t="shared" ref="W97" si="188">IF(W7=0,0,W7/W29*1000000)</f>
        <v>14341194.819689337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24439442.448963452</v>
      </c>
      <c r="C98" s="84">
        <f t="shared" si="180"/>
        <v>25633037.621319357</v>
      </c>
      <c r="D98" s="84">
        <f t="shared" si="180"/>
        <v>25076957.16043289</v>
      </c>
      <c r="E98" s="84">
        <f t="shared" si="180"/>
        <v>21345838.04607439</v>
      </c>
      <c r="F98" s="84">
        <f t="shared" si="180"/>
        <v>20892907.580369648</v>
      </c>
      <c r="G98" s="84">
        <f t="shared" si="180"/>
        <v>19955228.805478506</v>
      </c>
      <c r="H98" s="84">
        <f t="shared" si="180"/>
        <v>19529708.659070201</v>
      </c>
      <c r="I98" s="84">
        <f t="shared" si="180"/>
        <v>18741750.146717466</v>
      </c>
      <c r="J98" s="84">
        <f t="shared" si="180"/>
        <v>17943777.565605775</v>
      </c>
      <c r="K98" s="84">
        <f t="shared" ref="K98:V98" si="189">IF(K8=0,0,K8/K30*1000000)</f>
        <v>17638335.316811867</v>
      </c>
      <c r="L98" s="84">
        <f t="shared" si="189"/>
        <v>17347775.466024797</v>
      </c>
      <c r="M98" s="84">
        <f t="shared" si="189"/>
        <v>18729507.494859267</v>
      </c>
      <c r="N98" s="84">
        <f t="shared" si="189"/>
        <v>19025422.219644461</v>
      </c>
      <c r="O98" s="84">
        <f t="shared" si="189"/>
        <v>18250010.990607116</v>
      </c>
      <c r="P98" s="84">
        <f t="shared" si="189"/>
        <v>18006098.169539411</v>
      </c>
      <c r="Q98" s="84">
        <f t="shared" si="189"/>
        <v>17885386.44896701</v>
      </c>
      <c r="R98" s="84">
        <f t="shared" si="189"/>
        <v>17140314.428010993</v>
      </c>
      <c r="S98" s="84">
        <f t="shared" si="189"/>
        <v>17254452.054615602</v>
      </c>
      <c r="T98" s="84">
        <f t="shared" si="189"/>
        <v>17414252.512608405</v>
      </c>
      <c r="U98" s="84">
        <f t="shared" si="189"/>
        <v>18436536.416538093</v>
      </c>
      <c r="V98" s="84">
        <f t="shared" si="189"/>
        <v>11242931.173292691</v>
      </c>
      <c r="W98" s="84">
        <f t="shared" ref="W98" si="190">IF(W8=0,0,W8/W30*1000000)</f>
        <v>16226580.776142895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175248364.25949746</v>
      </c>
      <c r="C99" s="113">
        <f t="shared" si="180"/>
        <v>166903275.84357938</v>
      </c>
      <c r="D99" s="113">
        <f t="shared" si="180"/>
        <v>166903443.33872449</v>
      </c>
      <c r="E99" s="113">
        <f t="shared" si="180"/>
        <v>166903219.65683323</v>
      </c>
      <c r="F99" s="113">
        <f t="shared" si="180"/>
        <v>165234120.58791623</v>
      </c>
      <c r="G99" s="113">
        <f t="shared" si="180"/>
        <v>166903022.3204059</v>
      </c>
      <c r="H99" s="113">
        <f t="shared" si="180"/>
        <v>170532021.77366903</v>
      </c>
      <c r="I99" s="113">
        <f t="shared" si="180"/>
        <v>174756382.60379675</v>
      </c>
      <c r="J99" s="113">
        <f t="shared" si="180"/>
        <v>174231126.26673976</v>
      </c>
      <c r="K99" s="113">
        <f t="shared" ref="K99:V99" si="191">IF(K9=0,0,K9/K31*1000000)</f>
        <v>172115899.49626166</v>
      </c>
      <c r="L99" s="113">
        <f t="shared" si="191"/>
        <v>175113602.03540477</v>
      </c>
      <c r="M99" s="113">
        <f t="shared" si="191"/>
        <v>178180010.9862121</v>
      </c>
      <c r="N99" s="113">
        <f t="shared" si="191"/>
        <v>163482228.42796457</v>
      </c>
      <c r="O99" s="113">
        <f t="shared" si="191"/>
        <v>163179638.24514306</v>
      </c>
      <c r="P99" s="113">
        <f t="shared" si="191"/>
        <v>169039311.1447362</v>
      </c>
      <c r="Q99" s="113">
        <f t="shared" si="191"/>
        <v>159626844.43301427</v>
      </c>
      <c r="R99" s="113">
        <f t="shared" si="191"/>
        <v>169352712.24656686</v>
      </c>
      <c r="S99" s="113">
        <f t="shared" si="191"/>
        <v>188388927.11691424</v>
      </c>
      <c r="T99" s="113">
        <f t="shared" si="191"/>
        <v>196205804.2911551</v>
      </c>
      <c r="U99" s="113">
        <f t="shared" si="191"/>
        <v>201468169.33313769</v>
      </c>
      <c r="V99" s="113">
        <f t="shared" si="191"/>
        <v>128910404.53610814</v>
      </c>
      <c r="W99" s="113">
        <f t="shared" ref="W99" si="192">IF(W9=0,0,W9/W31*1000000)</f>
        <v>167012432.00278777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108199802.9025992</v>
      </c>
      <c r="C100" s="28">
        <f t="shared" si="180"/>
        <v>98841450.638129741</v>
      </c>
      <c r="D100" s="28">
        <f t="shared" si="180"/>
        <v>97674995.983987883</v>
      </c>
      <c r="E100" s="28">
        <f t="shared" si="180"/>
        <v>86493678.695182934</v>
      </c>
      <c r="F100" s="28">
        <f t="shared" si="180"/>
        <v>85345934.996721908</v>
      </c>
      <c r="G100" s="28">
        <f t="shared" si="180"/>
        <v>85626363.994991004</v>
      </c>
      <c r="H100" s="28">
        <f t="shared" si="180"/>
        <v>94652206.421910062</v>
      </c>
      <c r="I100" s="28">
        <f t="shared" si="180"/>
        <v>100970669.77625622</v>
      </c>
      <c r="J100" s="28">
        <f t="shared" si="180"/>
        <v>98530410.976640627</v>
      </c>
      <c r="K100" s="28">
        <f t="shared" ref="K100:V100" si="193">IF(K10=0,0,K10/K32*1000000)</f>
        <v>89987118.557820037</v>
      </c>
      <c r="L100" s="28">
        <f t="shared" si="193"/>
        <v>91073280.050333127</v>
      </c>
      <c r="M100" s="28">
        <f t="shared" si="193"/>
        <v>112814835.83765754</v>
      </c>
      <c r="N100" s="28">
        <f t="shared" si="193"/>
        <v>109307427.14724983</v>
      </c>
      <c r="O100" s="28">
        <f t="shared" si="193"/>
        <v>95383309.043735445</v>
      </c>
      <c r="P100" s="28">
        <f t="shared" si="193"/>
        <v>99917688.987353459</v>
      </c>
      <c r="Q100" s="28">
        <f t="shared" si="193"/>
        <v>109849213.59976687</v>
      </c>
      <c r="R100" s="28">
        <f t="shared" si="193"/>
        <v>110223542.57799956</v>
      </c>
      <c r="S100" s="28">
        <f t="shared" si="193"/>
        <v>105611645.37893216</v>
      </c>
      <c r="T100" s="28">
        <f t="shared" si="193"/>
        <v>105305582.20065139</v>
      </c>
      <c r="U100" s="28">
        <f t="shared" si="193"/>
        <v>107278280.62779221</v>
      </c>
      <c r="V100" s="28">
        <f t="shared" si="193"/>
        <v>93629677.249848336</v>
      </c>
      <c r="W100" s="28">
        <f t="shared" ref="W100" si="194">IF(W10=0,0,W10/W32*1000000)</f>
        <v>99988778.636187941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94352088.189361051</v>
      </c>
      <c r="C101" s="84">
        <f t="shared" si="180"/>
        <v>101000577.49188212</v>
      </c>
      <c r="D101" s="84">
        <f t="shared" si="180"/>
        <v>101745907.19138041</v>
      </c>
      <c r="E101" s="84">
        <f t="shared" si="180"/>
        <v>110398250.25835609</v>
      </c>
      <c r="F101" s="84">
        <f t="shared" si="180"/>
        <v>111777411.48490903</v>
      </c>
      <c r="G101" s="84">
        <f t="shared" si="180"/>
        <v>103856834.35311525</v>
      </c>
      <c r="H101" s="84">
        <f t="shared" si="180"/>
        <v>122549148.62118217</v>
      </c>
      <c r="I101" s="84">
        <f t="shared" si="180"/>
        <v>130401754.87651183</v>
      </c>
      <c r="J101" s="84">
        <f t="shared" si="180"/>
        <v>121238163.01673536</v>
      </c>
      <c r="K101" s="84">
        <f t="shared" ref="K101:V101" si="195">IF(K11=0,0,K11/K33*1000000)</f>
        <v>118641401.32549237</v>
      </c>
      <c r="L101" s="84">
        <f t="shared" si="195"/>
        <v>119053164.87874471</v>
      </c>
      <c r="M101" s="84">
        <f t="shared" si="195"/>
        <v>137113479.36821795</v>
      </c>
      <c r="N101" s="84">
        <f t="shared" si="195"/>
        <v>141423811.0466105</v>
      </c>
      <c r="O101" s="84">
        <f t="shared" si="195"/>
        <v>131368922.31815241</v>
      </c>
      <c r="P101" s="84">
        <f t="shared" si="195"/>
        <v>140811017.91461316</v>
      </c>
      <c r="Q101" s="84">
        <f t="shared" si="195"/>
        <v>145475782.0907982</v>
      </c>
      <c r="R101" s="84">
        <f t="shared" si="195"/>
        <v>136027156.3664926</v>
      </c>
      <c r="S101" s="84">
        <f t="shared" si="195"/>
        <v>134331402.26023889</v>
      </c>
      <c r="T101" s="84">
        <f t="shared" si="195"/>
        <v>138093848.25137326</v>
      </c>
      <c r="U101" s="84">
        <f t="shared" si="195"/>
        <v>129963506.88943022</v>
      </c>
      <c r="V101" s="84">
        <f t="shared" si="195"/>
        <v>115602148.92129138</v>
      </c>
      <c r="W101" s="84">
        <f t="shared" ref="W101" si="196">IF(W11=0,0,W11/W33*1000000)</f>
        <v>117986491.45613566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110725008.96334195</v>
      </c>
      <c r="C102" s="86">
        <f t="shared" si="180"/>
        <v>98485487.810735971</v>
      </c>
      <c r="D102" s="86">
        <f t="shared" si="180"/>
        <v>97030336.662547588</v>
      </c>
      <c r="E102" s="86">
        <f t="shared" si="180"/>
        <v>83382292.219948664</v>
      </c>
      <c r="F102" s="86">
        <f t="shared" si="180"/>
        <v>82229468.456478566</v>
      </c>
      <c r="G102" s="86">
        <f t="shared" si="180"/>
        <v>83600782.617340669</v>
      </c>
      <c r="H102" s="86">
        <f t="shared" si="180"/>
        <v>91881603.095032543</v>
      </c>
      <c r="I102" s="86">
        <f t="shared" si="180"/>
        <v>98227468.002363518</v>
      </c>
      <c r="J102" s="86">
        <f t="shared" si="180"/>
        <v>96303257.520672649</v>
      </c>
      <c r="K102" s="86">
        <f t="shared" ref="K102:V102" si="197">IF(K12=0,0,K12/K34*1000000)</f>
        <v>87508329.170649782</v>
      </c>
      <c r="L102" s="86">
        <f t="shared" si="197"/>
        <v>88742221.63071464</v>
      </c>
      <c r="M102" s="86">
        <f t="shared" si="197"/>
        <v>110554617.21550056</v>
      </c>
      <c r="N102" s="86">
        <f t="shared" si="197"/>
        <v>106765100.0906366</v>
      </c>
      <c r="O102" s="86">
        <f t="shared" si="197"/>
        <v>92767775.251437664</v>
      </c>
      <c r="P102" s="86">
        <f t="shared" si="197"/>
        <v>97120929.13582544</v>
      </c>
      <c r="Q102" s="86">
        <f t="shared" si="197"/>
        <v>107236041.57135424</v>
      </c>
      <c r="R102" s="86">
        <f t="shared" si="197"/>
        <v>108371479.91664805</v>
      </c>
      <c r="S102" s="86">
        <f t="shared" si="197"/>
        <v>103496240.12018527</v>
      </c>
      <c r="T102" s="86">
        <f t="shared" si="197"/>
        <v>103094772.97912915</v>
      </c>
      <c r="U102" s="86">
        <f t="shared" si="197"/>
        <v>105602249.28934197</v>
      </c>
      <c r="V102" s="86">
        <f t="shared" si="197"/>
        <v>92005430.920753539</v>
      </c>
      <c r="W102" s="86">
        <f t="shared" ref="W102" si="198">IF(W12=0,0,W12/W34*1000000)</f>
        <v>98549379.116687194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9.3484206952651264E-2</v>
      </c>
      <c r="C106" s="123">
        <f t="shared" si="199"/>
        <v>9.1872127968889175E-2</v>
      </c>
      <c r="D106" s="123">
        <f t="shared" si="199"/>
        <v>9.2140668237437051E-2</v>
      </c>
      <c r="E106" s="123">
        <f t="shared" si="199"/>
        <v>9.6223389177332377E-2</v>
      </c>
      <c r="F106" s="123">
        <f t="shared" si="199"/>
        <v>0.10184242856575329</v>
      </c>
      <c r="G106" s="123">
        <f t="shared" si="199"/>
        <v>0.10227156286837095</v>
      </c>
      <c r="H106" s="123">
        <f t="shared" si="199"/>
        <v>0.10173369937803763</v>
      </c>
      <c r="I106" s="123">
        <f t="shared" si="199"/>
        <v>0.10028423629899214</v>
      </c>
      <c r="J106" s="123">
        <f t="shared" si="199"/>
        <v>0.10083856876944622</v>
      </c>
      <c r="K106" s="123">
        <f t="shared" ref="K106:V106" si="202">IF(K5=0,0,K5/K$4)</f>
        <v>9.3929524759064742E-2</v>
      </c>
      <c r="L106" s="123">
        <f t="shared" si="202"/>
        <v>9.5983642486194634E-2</v>
      </c>
      <c r="M106" s="123">
        <f t="shared" si="202"/>
        <v>9.4040840613385454E-2</v>
      </c>
      <c r="N106" s="123">
        <f t="shared" si="202"/>
        <v>9.8440634576912919E-2</v>
      </c>
      <c r="O106" s="123">
        <f t="shared" si="202"/>
        <v>9.5897753418948684E-2</v>
      </c>
      <c r="P106" s="123">
        <f t="shared" si="202"/>
        <v>9.7569678074876307E-2</v>
      </c>
      <c r="Q106" s="123">
        <f t="shared" si="202"/>
        <v>9.7174087106654303E-2</v>
      </c>
      <c r="R106" s="123">
        <f t="shared" si="202"/>
        <v>9.8079361958018099E-2</v>
      </c>
      <c r="S106" s="123">
        <f t="shared" si="202"/>
        <v>9.3662639064448786E-2</v>
      </c>
      <c r="T106" s="123">
        <f t="shared" si="202"/>
        <v>9.9378070637422322E-2</v>
      </c>
      <c r="U106" s="123">
        <f t="shared" si="202"/>
        <v>9.2455702963725891E-2</v>
      </c>
      <c r="V106" s="123">
        <f t="shared" si="202"/>
        <v>8.490813181834754E-2</v>
      </c>
      <c r="W106" s="123">
        <f t="shared" ref="W106" si="203">IF(W5=0,0,W5/W$4)</f>
        <v>8.4458724306449767E-2</v>
      </c>
      <c r="DA106" s="203"/>
    </row>
    <row r="107" spans="1:105" ht="11.45" customHeight="1" x14ac:dyDescent="0.25">
      <c r="A107" s="109" t="s">
        <v>24</v>
      </c>
      <c r="B107" s="124">
        <f t="shared" si="199"/>
        <v>0.48597234496969555</v>
      </c>
      <c r="C107" s="124">
        <f t="shared" si="199"/>
        <v>0.4658412193559589</v>
      </c>
      <c r="D107" s="124">
        <f t="shared" si="199"/>
        <v>0.44750765839451323</v>
      </c>
      <c r="E107" s="124">
        <f t="shared" si="199"/>
        <v>0.43650286545685918</v>
      </c>
      <c r="F107" s="124">
        <f t="shared" si="199"/>
        <v>0.43408336192472363</v>
      </c>
      <c r="G107" s="124">
        <f t="shared" si="199"/>
        <v>0.42726637767248976</v>
      </c>
      <c r="H107" s="124">
        <f t="shared" si="199"/>
        <v>0.42868659920241836</v>
      </c>
      <c r="I107" s="124">
        <f t="shared" si="199"/>
        <v>0.40875141419381167</v>
      </c>
      <c r="J107" s="124">
        <f t="shared" si="199"/>
        <v>0.3920421021403947</v>
      </c>
      <c r="K107" s="124">
        <f t="shared" ref="K107:V107" si="204">IF(K6=0,0,K6/K$4)</f>
        <v>0.39694329075668966</v>
      </c>
      <c r="L107" s="124">
        <f t="shared" si="204"/>
        <v>0.39611979974938943</v>
      </c>
      <c r="M107" s="124">
        <f t="shared" si="204"/>
        <v>0.41952787503348926</v>
      </c>
      <c r="N107" s="124">
        <f t="shared" si="204"/>
        <v>0.42102752024719842</v>
      </c>
      <c r="O107" s="124">
        <f t="shared" si="204"/>
        <v>0.42141341277240935</v>
      </c>
      <c r="P107" s="124">
        <f t="shared" si="204"/>
        <v>0.41806910500681926</v>
      </c>
      <c r="Q107" s="124">
        <f t="shared" si="204"/>
        <v>0.42614032398416191</v>
      </c>
      <c r="R107" s="124">
        <f t="shared" si="204"/>
        <v>0.41693531714585408</v>
      </c>
      <c r="S107" s="124">
        <f t="shared" si="204"/>
        <v>0.37979642958723581</v>
      </c>
      <c r="T107" s="124">
        <f t="shared" si="204"/>
        <v>0.37441581406308827</v>
      </c>
      <c r="U107" s="124">
        <f t="shared" si="204"/>
        <v>0.37409745151013418</v>
      </c>
      <c r="V107" s="124">
        <f t="shared" si="204"/>
        <v>0.36306539005697352</v>
      </c>
      <c r="W107" s="124">
        <f t="shared" ref="W107" si="205">IF(W6=0,0,W6/W$4)</f>
        <v>0.36633493595823696</v>
      </c>
      <c r="DA107" s="176"/>
    </row>
    <row r="108" spans="1:105" ht="11.45" customHeight="1" x14ac:dyDescent="0.25">
      <c r="A108" s="111" t="s">
        <v>92</v>
      </c>
      <c r="B108" s="125">
        <f t="shared" si="199"/>
        <v>9.0075300732647787E-2</v>
      </c>
      <c r="C108" s="125">
        <f t="shared" si="199"/>
        <v>8.6484208511169947E-2</v>
      </c>
      <c r="D108" s="125">
        <f t="shared" si="199"/>
        <v>8.4641019175273571E-2</v>
      </c>
      <c r="E108" s="125">
        <f t="shared" si="199"/>
        <v>8.4008699082771629E-2</v>
      </c>
      <c r="F108" s="125">
        <f t="shared" si="199"/>
        <v>8.5003510000154506E-2</v>
      </c>
      <c r="G108" s="125">
        <f t="shared" si="199"/>
        <v>8.35166499231247E-2</v>
      </c>
      <c r="H108" s="125">
        <f t="shared" si="199"/>
        <v>8.3786158007508479E-2</v>
      </c>
      <c r="I108" s="125">
        <f t="shared" si="199"/>
        <v>7.6351885083025567E-2</v>
      </c>
      <c r="J108" s="125">
        <f t="shared" si="199"/>
        <v>7.1311680305036027E-2</v>
      </c>
      <c r="K108" s="125">
        <f t="shared" ref="K108:V108" si="206">IF(K7=0,0,K7/K$4)</f>
        <v>6.964533559214918E-2</v>
      </c>
      <c r="L108" s="125">
        <f t="shared" si="206"/>
        <v>6.7779894174295197E-2</v>
      </c>
      <c r="M108" s="125">
        <f t="shared" si="206"/>
        <v>7.1750660663808821E-2</v>
      </c>
      <c r="N108" s="125">
        <f t="shared" si="206"/>
        <v>6.9503788045488124E-2</v>
      </c>
      <c r="O108" s="125">
        <f t="shared" si="206"/>
        <v>6.7405421371771801E-2</v>
      </c>
      <c r="P108" s="125">
        <f t="shared" si="206"/>
        <v>6.3748447029211827E-2</v>
      </c>
      <c r="Q108" s="125">
        <f t="shared" si="206"/>
        <v>6.6339340276459102E-2</v>
      </c>
      <c r="R108" s="125">
        <f t="shared" si="206"/>
        <v>5.9001808441491263E-2</v>
      </c>
      <c r="S108" s="125">
        <f t="shared" si="206"/>
        <v>5.6534526330477647E-2</v>
      </c>
      <c r="T108" s="125">
        <f t="shared" si="206"/>
        <v>5.4029573386664781E-2</v>
      </c>
      <c r="U108" s="125">
        <f t="shared" si="206"/>
        <v>5.5179789027598902E-2</v>
      </c>
      <c r="V108" s="125">
        <f t="shared" si="206"/>
        <v>4.9279872881413438E-2</v>
      </c>
      <c r="W108" s="125">
        <f t="shared" ref="W108" si="207">IF(W7=0,0,W7/W$4)</f>
        <v>5.3144243472425218E-2</v>
      </c>
      <c r="DA108" s="171"/>
    </row>
    <row r="109" spans="1:105" ht="11.45" customHeight="1" x14ac:dyDescent="0.25">
      <c r="A109" s="111" t="s">
        <v>93</v>
      </c>
      <c r="B109" s="125">
        <f t="shared" si="199"/>
        <v>0.39589704423704775</v>
      </c>
      <c r="C109" s="125">
        <f t="shared" si="199"/>
        <v>0.3793570108447889</v>
      </c>
      <c r="D109" s="125">
        <f t="shared" si="199"/>
        <v>0.36286663921923962</v>
      </c>
      <c r="E109" s="125">
        <f t="shared" si="199"/>
        <v>0.35249416637408759</v>
      </c>
      <c r="F109" s="125">
        <f t="shared" si="199"/>
        <v>0.34907985192456914</v>
      </c>
      <c r="G109" s="125">
        <f t="shared" si="199"/>
        <v>0.34374972774936507</v>
      </c>
      <c r="H109" s="125">
        <f t="shared" si="199"/>
        <v>0.34490044119490992</v>
      </c>
      <c r="I109" s="125">
        <f t="shared" si="199"/>
        <v>0.33239952911078607</v>
      </c>
      <c r="J109" s="125">
        <f t="shared" si="199"/>
        <v>0.32073042183535866</v>
      </c>
      <c r="K109" s="125">
        <f t="shared" ref="K109:V109" si="208">IF(K8=0,0,K8/K$4)</f>
        <v>0.32729795516454047</v>
      </c>
      <c r="L109" s="125">
        <f t="shared" si="208"/>
        <v>0.32833990557509418</v>
      </c>
      <c r="M109" s="125">
        <f t="shared" si="208"/>
        <v>0.34777721436968045</v>
      </c>
      <c r="N109" s="125">
        <f t="shared" si="208"/>
        <v>0.35152373220171029</v>
      </c>
      <c r="O109" s="125">
        <f t="shared" si="208"/>
        <v>0.3540079914006376</v>
      </c>
      <c r="P109" s="125">
        <f t="shared" si="208"/>
        <v>0.35432065797760748</v>
      </c>
      <c r="Q109" s="125">
        <f t="shared" si="208"/>
        <v>0.3598009837077028</v>
      </c>
      <c r="R109" s="125">
        <f t="shared" si="208"/>
        <v>0.35793350870436286</v>
      </c>
      <c r="S109" s="125">
        <f t="shared" si="208"/>
        <v>0.32326190325675819</v>
      </c>
      <c r="T109" s="125">
        <f t="shared" si="208"/>
        <v>0.32038624067642352</v>
      </c>
      <c r="U109" s="125">
        <f t="shared" si="208"/>
        <v>0.31891766248253534</v>
      </c>
      <c r="V109" s="125">
        <f t="shared" si="208"/>
        <v>0.31378551717556014</v>
      </c>
      <c r="W109" s="125">
        <f t="shared" ref="W109" si="209">IF(W8=0,0,W8/W$4)</f>
        <v>0.31319069248581172</v>
      </c>
      <c r="DA109" s="171"/>
    </row>
    <row r="110" spans="1:105" ht="11.45" customHeight="1" x14ac:dyDescent="0.25">
      <c r="A110" s="112" t="s">
        <v>25</v>
      </c>
      <c r="B110" s="126">
        <f t="shared" si="199"/>
        <v>0.42054344807765326</v>
      </c>
      <c r="C110" s="126">
        <f t="shared" si="199"/>
        <v>0.44228665267515194</v>
      </c>
      <c r="D110" s="126">
        <f t="shared" si="199"/>
        <v>0.46035167336804972</v>
      </c>
      <c r="E110" s="126">
        <f t="shared" si="199"/>
        <v>0.46727374536580851</v>
      </c>
      <c r="F110" s="126">
        <f t="shared" si="199"/>
        <v>0.46407420950952305</v>
      </c>
      <c r="G110" s="126">
        <f t="shared" si="199"/>
        <v>0.47046205945913921</v>
      </c>
      <c r="H110" s="126">
        <f t="shared" si="199"/>
        <v>0.46957970141954408</v>
      </c>
      <c r="I110" s="126">
        <f t="shared" si="199"/>
        <v>0.49096434950719614</v>
      </c>
      <c r="J110" s="126">
        <f t="shared" si="199"/>
        <v>0.50711932909015911</v>
      </c>
      <c r="K110" s="126">
        <f t="shared" ref="K110:V110" si="210">IF(K9=0,0,K9/K$4)</f>
        <v>0.50912718448424554</v>
      </c>
      <c r="L110" s="126">
        <f t="shared" si="210"/>
        <v>0.50789655776441589</v>
      </c>
      <c r="M110" s="126">
        <f t="shared" si="210"/>
        <v>0.48643128435312527</v>
      </c>
      <c r="N110" s="126">
        <f t="shared" si="210"/>
        <v>0.48053184517588854</v>
      </c>
      <c r="O110" s="126">
        <f t="shared" si="210"/>
        <v>0.48268883380864203</v>
      </c>
      <c r="P110" s="126">
        <f t="shared" si="210"/>
        <v>0.48436121691830442</v>
      </c>
      <c r="Q110" s="126">
        <f t="shared" si="210"/>
        <v>0.47668558890918383</v>
      </c>
      <c r="R110" s="126">
        <f t="shared" si="210"/>
        <v>0.48498532089612784</v>
      </c>
      <c r="S110" s="126">
        <f t="shared" si="210"/>
        <v>0.52654093134831537</v>
      </c>
      <c r="T110" s="126">
        <f t="shared" si="210"/>
        <v>0.52620611529948946</v>
      </c>
      <c r="U110" s="126">
        <f t="shared" si="210"/>
        <v>0.53344684552613986</v>
      </c>
      <c r="V110" s="126">
        <f t="shared" si="210"/>
        <v>0.55202647812467887</v>
      </c>
      <c r="W110" s="126">
        <f t="shared" ref="W110" si="211">IF(W9=0,0,W9/W$4)</f>
        <v>0.5492063397353133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0.13449177004380206</v>
      </c>
      <c r="C112" s="125">
        <f t="shared" si="212"/>
        <v>0.1446225179602737</v>
      </c>
      <c r="D112" s="125">
        <f t="shared" si="212"/>
        <v>0.14240641986316638</v>
      </c>
      <c r="E112" s="125">
        <f t="shared" si="212"/>
        <v>0.14699799392852705</v>
      </c>
      <c r="F112" s="125">
        <f t="shared" si="212"/>
        <v>0.13813585590858812</v>
      </c>
      <c r="G112" s="125">
        <f t="shared" si="212"/>
        <v>0.12128929624332295</v>
      </c>
      <c r="H112" s="125">
        <f t="shared" si="212"/>
        <v>0.11697010748383499</v>
      </c>
      <c r="I112" s="125">
        <f t="shared" si="212"/>
        <v>0.11011260116390879</v>
      </c>
      <c r="J112" s="125">
        <f t="shared" si="212"/>
        <v>0.10990348614600649</v>
      </c>
      <c r="K112" s="125">
        <f t="shared" ref="K112:V112" si="215">IF(K11=0,0,K11/K$10)</f>
        <v>0.10497202420614628</v>
      </c>
      <c r="L112" s="125">
        <f t="shared" si="215"/>
        <v>0.10053184967121166</v>
      </c>
      <c r="M112" s="125">
        <f t="shared" si="215"/>
        <v>0.10343199935550486</v>
      </c>
      <c r="N112" s="125">
        <f t="shared" si="215"/>
        <v>9.4905608370307648E-2</v>
      </c>
      <c r="O112" s="125">
        <f t="shared" si="215"/>
        <v>9.3321213476692658E-2</v>
      </c>
      <c r="P112" s="125">
        <f t="shared" si="215"/>
        <v>9.0212456049637318E-2</v>
      </c>
      <c r="Q112" s="125">
        <f t="shared" si="215"/>
        <v>9.0499631879292552E-2</v>
      </c>
      <c r="R112" s="125">
        <f t="shared" si="215"/>
        <v>8.2646153342830778E-2</v>
      </c>
      <c r="S112" s="125">
        <f t="shared" si="215"/>
        <v>8.7259572857098094E-2</v>
      </c>
      <c r="T112" s="125">
        <f t="shared" si="215"/>
        <v>8.283571711102862E-2</v>
      </c>
      <c r="U112" s="125">
        <f t="shared" si="215"/>
        <v>8.3347398339361611E-2</v>
      </c>
      <c r="V112" s="125">
        <f t="shared" si="215"/>
        <v>8.4987033907953091E-2</v>
      </c>
      <c r="W112" s="125">
        <f t="shared" ref="W112" si="216">IF(W11=0,0,W11/W$10)</f>
        <v>8.7383740696885426E-2</v>
      </c>
      <c r="DA112" s="171"/>
    </row>
    <row r="113" spans="1:105" ht="11.45" customHeight="1" x14ac:dyDescent="0.25">
      <c r="A113" s="85" t="s">
        <v>93</v>
      </c>
      <c r="B113" s="127">
        <f t="shared" si="212"/>
        <v>0.86550822995619792</v>
      </c>
      <c r="C113" s="127">
        <f t="shared" si="212"/>
        <v>0.85537748203972641</v>
      </c>
      <c r="D113" s="127">
        <f t="shared" si="212"/>
        <v>0.85759358013683362</v>
      </c>
      <c r="E113" s="127">
        <f t="shared" si="212"/>
        <v>0.85300200607147292</v>
      </c>
      <c r="F113" s="127">
        <f t="shared" si="212"/>
        <v>0.86186414409141177</v>
      </c>
      <c r="G113" s="127">
        <f t="shared" si="212"/>
        <v>0.87871070375667704</v>
      </c>
      <c r="H113" s="127">
        <f t="shared" si="212"/>
        <v>0.88302989251616504</v>
      </c>
      <c r="I113" s="127">
        <f t="shared" si="212"/>
        <v>0.88988739883609114</v>
      </c>
      <c r="J113" s="127">
        <f t="shared" si="212"/>
        <v>0.89009651385399347</v>
      </c>
      <c r="K113" s="127">
        <f t="shared" ref="K113:V113" si="217">IF(K12=0,0,K12/K$10)</f>
        <v>0.89502797579385374</v>
      </c>
      <c r="L113" s="127">
        <f t="shared" si="217"/>
        <v>0.89946815032878835</v>
      </c>
      <c r="M113" s="127">
        <f t="shared" si="217"/>
        <v>0.89656800064449516</v>
      </c>
      <c r="N113" s="127">
        <f t="shared" si="217"/>
        <v>0.9050943916296923</v>
      </c>
      <c r="O113" s="127">
        <f t="shared" si="217"/>
        <v>0.90667878652330736</v>
      </c>
      <c r="P113" s="127">
        <f t="shared" si="217"/>
        <v>0.90978754395036265</v>
      </c>
      <c r="Q113" s="127">
        <f t="shared" si="217"/>
        <v>0.90950036812070745</v>
      </c>
      <c r="R113" s="127">
        <f t="shared" si="217"/>
        <v>0.91735384665716913</v>
      </c>
      <c r="S113" s="127">
        <f t="shared" si="217"/>
        <v>0.91274042714290193</v>
      </c>
      <c r="T113" s="127">
        <f t="shared" si="217"/>
        <v>0.91716428288897134</v>
      </c>
      <c r="U113" s="127">
        <f t="shared" si="217"/>
        <v>0.91665260166063844</v>
      </c>
      <c r="V113" s="127">
        <f t="shared" si="217"/>
        <v>0.91501296609204696</v>
      </c>
      <c r="W113" s="127">
        <f t="shared" ref="W113" si="218">IF(W12=0,0,W12/W$10)</f>
        <v>0.91261625930311452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0.18268160670206993</v>
      </c>
      <c r="C117" s="123">
        <f t="shared" si="219"/>
        <v>0.19770565718181596</v>
      </c>
      <c r="D117" s="123">
        <f t="shared" si="219"/>
        <v>0.19815009605965189</v>
      </c>
      <c r="E117" s="123">
        <f t="shared" si="219"/>
        <v>0.19321267828139585</v>
      </c>
      <c r="F117" s="123">
        <f t="shared" si="219"/>
        <v>0.19935199775589973</v>
      </c>
      <c r="G117" s="123">
        <f t="shared" si="219"/>
        <v>0.19786695720528075</v>
      </c>
      <c r="H117" s="123">
        <f t="shared" si="219"/>
        <v>0.19372780057879518</v>
      </c>
      <c r="I117" s="123">
        <f t="shared" si="219"/>
        <v>0.18981804267152186</v>
      </c>
      <c r="J117" s="123">
        <f t="shared" si="219"/>
        <v>0.19118383440580805</v>
      </c>
      <c r="K117" s="123">
        <f t="shared" ref="K117:V117" si="222">IF(K16=0,0,K16/K$15)</f>
        <v>0.17559292495988316</v>
      </c>
      <c r="L117" s="123">
        <f t="shared" si="222"/>
        <v>0.17709874122736433</v>
      </c>
      <c r="M117" s="123">
        <f t="shared" si="222"/>
        <v>0.17839051682275608</v>
      </c>
      <c r="N117" s="123">
        <f t="shared" si="222"/>
        <v>0.18085771335027964</v>
      </c>
      <c r="O117" s="123">
        <f t="shared" si="222"/>
        <v>0.17514969962044852</v>
      </c>
      <c r="P117" s="123">
        <f t="shared" si="222"/>
        <v>0.17714365800082316</v>
      </c>
      <c r="Q117" s="123">
        <f t="shared" si="222"/>
        <v>0.17323118613505162</v>
      </c>
      <c r="R117" s="123">
        <f t="shared" si="222"/>
        <v>0.17349901382458108</v>
      </c>
      <c r="S117" s="123">
        <f t="shared" si="222"/>
        <v>0.17589317035581117</v>
      </c>
      <c r="T117" s="123">
        <f t="shared" si="222"/>
        <v>0.18800305960896585</v>
      </c>
      <c r="U117" s="123">
        <f t="shared" si="222"/>
        <v>0.18213902270895294</v>
      </c>
      <c r="V117" s="123">
        <f t="shared" si="222"/>
        <v>0.16650708235757436</v>
      </c>
      <c r="W117" s="123">
        <f t="shared" ref="W117" si="223">IF(W16=0,0,W16/W$15)</f>
        <v>0.18191968186983787</v>
      </c>
      <c r="DA117" s="203"/>
    </row>
    <row r="118" spans="1:105" ht="11.45" customHeight="1" x14ac:dyDescent="0.25">
      <c r="A118" s="109" t="s">
        <v>24</v>
      </c>
      <c r="B118" s="124">
        <f t="shared" si="219"/>
        <v>0.61824164197734388</v>
      </c>
      <c r="C118" s="124">
        <f t="shared" si="219"/>
        <v>0.57137998994880779</v>
      </c>
      <c r="D118" s="124">
        <f t="shared" si="219"/>
        <v>0.56278594755716904</v>
      </c>
      <c r="E118" s="124">
        <f t="shared" si="219"/>
        <v>0.58045591066454438</v>
      </c>
      <c r="F118" s="124">
        <f t="shared" si="219"/>
        <v>0.57856660608925614</v>
      </c>
      <c r="G118" s="124">
        <f t="shared" si="219"/>
        <v>0.57986746288041846</v>
      </c>
      <c r="H118" s="124">
        <f t="shared" si="219"/>
        <v>0.58813209825714219</v>
      </c>
      <c r="I118" s="124">
        <f t="shared" si="219"/>
        <v>0.58544687582285748</v>
      </c>
      <c r="J118" s="124">
        <f t="shared" si="219"/>
        <v>0.58003401010554922</v>
      </c>
      <c r="K118" s="124">
        <f t="shared" ref="K118:V118" si="224">IF(K17=0,0,K17/K$15)</f>
        <v>0.59374470764690057</v>
      </c>
      <c r="L118" s="124">
        <f t="shared" si="224"/>
        <v>0.59762095542957061</v>
      </c>
      <c r="M118" s="124">
        <f t="shared" si="224"/>
        <v>0.60406286380992791</v>
      </c>
      <c r="N118" s="124">
        <f t="shared" si="224"/>
        <v>0.58791160383532381</v>
      </c>
      <c r="O118" s="124">
        <f t="shared" si="224"/>
        <v>0.59782299470279032</v>
      </c>
      <c r="P118" s="124">
        <f t="shared" si="224"/>
        <v>0.6023776568667798</v>
      </c>
      <c r="Q118" s="124">
        <f t="shared" si="224"/>
        <v>0.60207220327676181</v>
      </c>
      <c r="R118" s="124">
        <f t="shared" si="224"/>
        <v>0.6111743638884769</v>
      </c>
      <c r="S118" s="124">
        <f t="shared" si="224"/>
        <v>0.59861559046450674</v>
      </c>
      <c r="T118" s="124">
        <f t="shared" si="224"/>
        <v>0.59284221178712537</v>
      </c>
      <c r="U118" s="124">
        <f t="shared" si="224"/>
        <v>0.5888864802090189</v>
      </c>
      <c r="V118" s="124">
        <f t="shared" si="224"/>
        <v>0.60103451680419184</v>
      </c>
      <c r="W118" s="124">
        <f t="shared" ref="W118" si="225">IF(W17=0,0,W17/W$15)</f>
        <v>0.56244919056594955</v>
      </c>
      <c r="DA118" s="176"/>
    </row>
    <row r="119" spans="1:105" ht="11.45" customHeight="1" x14ac:dyDescent="0.25">
      <c r="A119" s="111" t="s">
        <v>92</v>
      </c>
      <c r="B119" s="125">
        <f t="shared" si="219"/>
        <v>0.17028770453212913</v>
      </c>
      <c r="C119" s="125">
        <f t="shared" si="219"/>
        <v>0.14150840172934354</v>
      </c>
      <c r="D119" s="125">
        <f t="shared" si="219"/>
        <v>0.14472401472955607</v>
      </c>
      <c r="E119" s="125">
        <f t="shared" si="219"/>
        <v>0.13546039470844123</v>
      </c>
      <c r="F119" s="125">
        <f t="shared" si="219"/>
        <v>0.13818504649868477</v>
      </c>
      <c r="G119" s="125">
        <f t="shared" si="219"/>
        <v>0.12709896235375887</v>
      </c>
      <c r="H119" s="125">
        <f t="shared" si="219"/>
        <v>0.12178544215909201</v>
      </c>
      <c r="I119" s="125">
        <f t="shared" si="219"/>
        <v>0.11253201405553528</v>
      </c>
      <c r="J119" s="125">
        <f t="shared" si="219"/>
        <v>0.11171396076178673</v>
      </c>
      <c r="K119" s="125">
        <f t="shared" ref="K119:V119" si="226">IF(K18=0,0,K18/K$15)</f>
        <v>0.1114240166880512</v>
      </c>
      <c r="L119" s="125">
        <f t="shared" si="226"/>
        <v>0.10758668180272428</v>
      </c>
      <c r="M119" s="125">
        <f t="shared" si="226"/>
        <v>0.11083984756657596</v>
      </c>
      <c r="N119" s="125">
        <f t="shared" si="226"/>
        <v>0.10341255418546418</v>
      </c>
      <c r="O119" s="125">
        <f t="shared" si="226"/>
        <v>0.10156731529736988</v>
      </c>
      <c r="P119" s="125">
        <f t="shared" si="226"/>
        <v>9.7669214343236152E-2</v>
      </c>
      <c r="Q119" s="125">
        <f t="shared" si="226"/>
        <v>9.7511769334745257E-2</v>
      </c>
      <c r="R119" s="125">
        <f t="shared" si="226"/>
        <v>8.7786545945715694E-2</v>
      </c>
      <c r="S119" s="125">
        <f t="shared" si="226"/>
        <v>9.4784447861534823E-2</v>
      </c>
      <c r="T119" s="125">
        <f t="shared" si="226"/>
        <v>8.9219749591827921E-2</v>
      </c>
      <c r="U119" s="125">
        <f t="shared" si="226"/>
        <v>9.0254206342719814E-2</v>
      </c>
      <c r="V119" s="125">
        <f t="shared" si="226"/>
        <v>9.2445501078950748E-2</v>
      </c>
      <c r="W119" s="125">
        <f t="shared" ref="W119" si="227">IF(W18=0,0,W18/W$15)</f>
        <v>9.6023301221427548E-2</v>
      </c>
      <c r="DA119" s="171"/>
    </row>
    <row r="120" spans="1:105" ht="11.45" customHeight="1" x14ac:dyDescent="0.25">
      <c r="A120" s="111" t="s">
        <v>93</v>
      </c>
      <c r="B120" s="125">
        <f t="shared" si="219"/>
        <v>0.44795393744521472</v>
      </c>
      <c r="C120" s="125">
        <f t="shared" si="219"/>
        <v>0.42987158821946425</v>
      </c>
      <c r="D120" s="125">
        <f t="shared" si="219"/>
        <v>0.418061932827613</v>
      </c>
      <c r="E120" s="125">
        <f t="shared" si="219"/>
        <v>0.4449955159561032</v>
      </c>
      <c r="F120" s="125">
        <f t="shared" si="219"/>
        <v>0.44038155959057129</v>
      </c>
      <c r="G120" s="125">
        <f t="shared" si="219"/>
        <v>0.45276850052665962</v>
      </c>
      <c r="H120" s="125">
        <f t="shared" si="219"/>
        <v>0.46634665609805015</v>
      </c>
      <c r="I120" s="125">
        <f t="shared" si="219"/>
        <v>0.47291486176732223</v>
      </c>
      <c r="J120" s="125">
        <f t="shared" si="219"/>
        <v>0.46832004934376253</v>
      </c>
      <c r="K120" s="125">
        <f t="shared" ref="K120:V120" si="228">IF(K19=0,0,K19/K$15)</f>
        <v>0.48232069095884944</v>
      </c>
      <c r="L120" s="125">
        <f t="shared" si="228"/>
        <v>0.49003427362684632</v>
      </c>
      <c r="M120" s="125">
        <f t="shared" si="228"/>
        <v>0.49322301624335202</v>
      </c>
      <c r="N120" s="125">
        <f t="shared" si="228"/>
        <v>0.48449904964985968</v>
      </c>
      <c r="O120" s="125">
        <f t="shared" si="228"/>
        <v>0.49625567940542054</v>
      </c>
      <c r="P120" s="125">
        <f t="shared" si="228"/>
        <v>0.50470844252354363</v>
      </c>
      <c r="Q120" s="125">
        <f t="shared" si="228"/>
        <v>0.50456043394201655</v>
      </c>
      <c r="R120" s="125">
        <f t="shared" si="228"/>
        <v>0.52338781794276124</v>
      </c>
      <c r="S120" s="125">
        <f t="shared" si="228"/>
        <v>0.5038311426029719</v>
      </c>
      <c r="T120" s="125">
        <f t="shared" si="228"/>
        <v>0.50362246219529738</v>
      </c>
      <c r="U120" s="125">
        <f t="shared" si="228"/>
        <v>0.49863227386629905</v>
      </c>
      <c r="V120" s="125">
        <f t="shared" si="228"/>
        <v>0.50858901572524107</v>
      </c>
      <c r="W120" s="125">
        <f t="shared" ref="W120" si="229">IF(W19=0,0,W19/W$15)</f>
        <v>0.466425889344522</v>
      </c>
      <c r="DA120" s="171"/>
    </row>
    <row r="121" spans="1:105" ht="11.45" customHeight="1" x14ac:dyDescent="0.25">
      <c r="A121" s="112" t="s">
        <v>25</v>
      </c>
      <c r="B121" s="126">
        <f t="shared" si="219"/>
        <v>0.19907675132058619</v>
      </c>
      <c r="C121" s="126">
        <f t="shared" si="219"/>
        <v>0.23091435286937614</v>
      </c>
      <c r="D121" s="126">
        <f t="shared" si="219"/>
        <v>0.23906395638317898</v>
      </c>
      <c r="E121" s="126">
        <f t="shared" si="219"/>
        <v>0.22633141105405979</v>
      </c>
      <c r="F121" s="126">
        <f t="shared" si="219"/>
        <v>0.22208139615484418</v>
      </c>
      <c r="G121" s="126">
        <f t="shared" si="219"/>
        <v>0.22226557991430074</v>
      </c>
      <c r="H121" s="126">
        <f t="shared" si="219"/>
        <v>0.21814010116406274</v>
      </c>
      <c r="I121" s="126">
        <f t="shared" si="219"/>
        <v>0.22473508150562066</v>
      </c>
      <c r="J121" s="126">
        <f t="shared" si="219"/>
        <v>0.22878215548864259</v>
      </c>
      <c r="K121" s="126">
        <f t="shared" ref="K121:V121" si="230">IF(K20=0,0,K20/K$15)</f>
        <v>0.23066236739321611</v>
      </c>
      <c r="L121" s="126">
        <f t="shared" si="230"/>
        <v>0.22528030334306506</v>
      </c>
      <c r="M121" s="126">
        <f t="shared" si="230"/>
        <v>0.21754661936731606</v>
      </c>
      <c r="N121" s="126">
        <f t="shared" si="230"/>
        <v>0.23123068281439649</v>
      </c>
      <c r="O121" s="126">
        <f t="shared" si="230"/>
        <v>0.22702730567676105</v>
      </c>
      <c r="P121" s="126">
        <f t="shared" si="230"/>
        <v>0.22047868513239699</v>
      </c>
      <c r="Q121" s="126">
        <f t="shared" si="230"/>
        <v>0.22469661058818646</v>
      </c>
      <c r="R121" s="126">
        <f t="shared" si="230"/>
        <v>0.21532662228694197</v>
      </c>
      <c r="S121" s="126">
        <f t="shared" si="230"/>
        <v>0.22549123917968203</v>
      </c>
      <c r="T121" s="126">
        <f t="shared" si="230"/>
        <v>0.21915472860390869</v>
      </c>
      <c r="U121" s="126">
        <f t="shared" si="230"/>
        <v>0.22897449708202824</v>
      </c>
      <c r="V121" s="126">
        <f t="shared" si="230"/>
        <v>0.2324584008382338</v>
      </c>
      <c r="W121" s="126">
        <f t="shared" ref="W121" si="231">IF(W20=0,0,W20/W$15)</f>
        <v>0.25563112756421252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0.15423064026357231</v>
      </c>
      <c r="C123" s="125">
        <f t="shared" si="232"/>
        <v>0.13442645030574513</v>
      </c>
      <c r="D123" s="125">
        <f t="shared" si="232"/>
        <v>0.13670865736521071</v>
      </c>
      <c r="E123" s="125">
        <f t="shared" si="232"/>
        <v>0.11516846623189853</v>
      </c>
      <c r="F123" s="125">
        <f t="shared" si="232"/>
        <v>9.5411031064174881E-2</v>
      </c>
      <c r="G123" s="125">
        <f t="shared" si="232"/>
        <v>9.0714596892806365E-2</v>
      </c>
      <c r="H123" s="125">
        <f t="shared" si="232"/>
        <v>8.5301153338653513E-2</v>
      </c>
      <c r="I123" s="125">
        <f t="shared" si="232"/>
        <v>8.5260686220786253E-2</v>
      </c>
      <c r="J123" s="125">
        <f t="shared" si="232"/>
        <v>8.9318703095466842E-2</v>
      </c>
      <c r="K123" s="125">
        <f t="shared" ref="K123:V123" si="235">IF(K22=0,0,K22/K$21)</f>
        <v>8.156845830352609E-2</v>
      </c>
      <c r="L123" s="125">
        <f t="shared" si="235"/>
        <v>7.6904845245458389E-2</v>
      </c>
      <c r="M123" s="125">
        <f t="shared" si="235"/>
        <v>8.5102235780657273E-2</v>
      </c>
      <c r="N123" s="125">
        <f t="shared" si="235"/>
        <v>7.3353191005654156E-2</v>
      </c>
      <c r="O123" s="125">
        <f t="shared" si="235"/>
        <v>6.7757927716858818E-2</v>
      </c>
      <c r="P123" s="125">
        <f t="shared" si="235"/>
        <v>6.4013598738094993E-2</v>
      </c>
      <c r="Q123" s="125">
        <f t="shared" si="235"/>
        <v>6.8336551575564217E-2</v>
      </c>
      <c r="R123" s="125">
        <f t="shared" si="235"/>
        <v>6.6968624755685824E-2</v>
      </c>
      <c r="S123" s="125">
        <f t="shared" si="235"/>
        <v>6.8603667042376762E-2</v>
      </c>
      <c r="T123" s="125">
        <f t="shared" si="235"/>
        <v>6.3167644455406166E-2</v>
      </c>
      <c r="U123" s="125">
        <f t="shared" si="235"/>
        <v>6.8799047160997634E-2</v>
      </c>
      <c r="V123" s="125">
        <f t="shared" si="235"/>
        <v>6.8833567996450795E-2</v>
      </c>
      <c r="W123" s="125">
        <f t="shared" ref="W123" si="236">IF(W22=0,0,W22/W$21)</f>
        <v>7.4054183101200696E-2</v>
      </c>
      <c r="DA123" s="171"/>
    </row>
    <row r="124" spans="1:105" ht="11.45" customHeight="1" x14ac:dyDescent="0.25">
      <c r="A124" s="85" t="s">
        <v>93</v>
      </c>
      <c r="B124" s="127">
        <f t="shared" si="232"/>
        <v>0.84576935973642764</v>
      </c>
      <c r="C124" s="127">
        <f t="shared" si="232"/>
        <v>0.86557354969425493</v>
      </c>
      <c r="D124" s="127">
        <f t="shared" si="232"/>
        <v>0.86329134263478935</v>
      </c>
      <c r="E124" s="127">
        <f t="shared" si="232"/>
        <v>0.88483153376810153</v>
      </c>
      <c r="F124" s="127">
        <f t="shared" si="232"/>
        <v>0.90458896893582508</v>
      </c>
      <c r="G124" s="127">
        <f t="shared" si="232"/>
        <v>0.90928540310719352</v>
      </c>
      <c r="H124" s="127">
        <f t="shared" si="232"/>
        <v>0.91469884666134649</v>
      </c>
      <c r="I124" s="127">
        <f t="shared" si="232"/>
        <v>0.9147393137792138</v>
      </c>
      <c r="J124" s="127">
        <f t="shared" si="232"/>
        <v>0.91068129690453314</v>
      </c>
      <c r="K124" s="127">
        <f t="shared" ref="K124:V124" si="237">IF(K23=0,0,K23/K$21)</f>
        <v>0.9184315416964739</v>
      </c>
      <c r="L124" s="127">
        <f t="shared" si="237"/>
        <v>0.92309515475454162</v>
      </c>
      <c r="M124" s="127">
        <f t="shared" si="237"/>
        <v>0.91489776421934277</v>
      </c>
      <c r="N124" s="127">
        <f t="shared" si="237"/>
        <v>0.92664680899434582</v>
      </c>
      <c r="O124" s="127">
        <f t="shared" si="237"/>
        <v>0.93224207228314115</v>
      </c>
      <c r="P124" s="127">
        <f t="shared" si="237"/>
        <v>0.93598640126190491</v>
      </c>
      <c r="Q124" s="127">
        <f t="shared" si="237"/>
        <v>0.93166344842443571</v>
      </c>
      <c r="R124" s="127">
        <f t="shared" si="237"/>
        <v>0.93303137524431412</v>
      </c>
      <c r="S124" s="127">
        <f t="shared" si="237"/>
        <v>0.93139633295762336</v>
      </c>
      <c r="T124" s="127">
        <f t="shared" si="237"/>
        <v>0.93683235554459376</v>
      </c>
      <c r="U124" s="127">
        <f t="shared" si="237"/>
        <v>0.93120095283900239</v>
      </c>
      <c r="V124" s="127">
        <f t="shared" si="237"/>
        <v>0.9311664320035492</v>
      </c>
      <c r="W124" s="127">
        <f t="shared" ref="W124" si="238">IF(W23=0,0,W23/W$21)</f>
        <v>0.92594581689879929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1181.2791917454856</v>
      </c>
      <c r="C4" s="146">
        <f t="shared" ref="C4:V4" si="0">SUM(C5,C8)</f>
        <v>1068.4102321582116</v>
      </c>
      <c r="D4" s="146">
        <f t="shared" si="0"/>
        <v>1086.0036113499568</v>
      </c>
      <c r="E4" s="146">
        <f t="shared" si="0"/>
        <v>1080.6447979363713</v>
      </c>
      <c r="F4" s="146">
        <f t="shared" si="0"/>
        <v>1100.0055889939811</v>
      </c>
      <c r="G4" s="146">
        <f t="shared" si="0"/>
        <v>1063.6049871023215</v>
      </c>
      <c r="H4" s="146">
        <f t="shared" si="0"/>
        <v>1066.8865004299225</v>
      </c>
      <c r="I4" s="146">
        <f t="shared" si="0"/>
        <v>1056.596732588134</v>
      </c>
      <c r="J4" s="146">
        <f t="shared" si="0"/>
        <v>1097.4251934651761</v>
      </c>
      <c r="K4" s="146">
        <f t="shared" si="0"/>
        <v>1050.8068787618229</v>
      </c>
      <c r="L4" s="146">
        <f t="shared" si="0"/>
        <v>1037.0204643164229</v>
      </c>
      <c r="M4" s="146">
        <f t="shared" si="0"/>
        <v>1018.1877901977643</v>
      </c>
      <c r="N4" s="146">
        <f t="shared" si="0"/>
        <v>1019.2185726569218</v>
      </c>
      <c r="O4" s="146">
        <f t="shared" si="0"/>
        <v>1024.5395528804816</v>
      </c>
      <c r="P4" s="146">
        <f t="shared" si="0"/>
        <v>988.17317282889076</v>
      </c>
      <c r="Q4" s="146">
        <f t="shared" si="0"/>
        <v>1000.9177987962166</v>
      </c>
      <c r="R4" s="146">
        <f t="shared" si="0"/>
        <v>963.76534823731708</v>
      </c>
      <c r="S4" s="146">
        <f t="shared" si="0"/>
        <v>966.10051590713658</v>
      </c>
      <c r="T4" s="146">
        <f t="shared" si="0"/>
        <v>906.57635425623391</v>
      </c>
      <c r="U4" s="146">
        <f t="shared" si="0"/>
        <v>901.93619948409275</v>
      </c>
      <c r="V4" s="146">
        <f t="shared" si="0"/>
        <v>736.73344797936375</v>
      </c>
      <c r="W4" s="146">
        <f t="shared" ref="W4" si="1">SUM(W5,W8)</f>
        <v>820.36852966466017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374.74436801375737</v>
      </c>
      <c r="C5" s="101">
        <f t="shared" ref="C5:V5" si="2">SUM(C6:C7)</f>
        <v>247.51599312123821</v>
      </c>
      <c r="D5" s="101">
        <f t="shared" si="2"/>
        <v>254.70524505588989</v>
      </c>
      <c r="E5" s="101">
        <f t="shared" si="2"/>
        <v>239.11427343078239</v>
      </c>
      <c r="F5" s="101">
        <f t="shared" si="2"/>
        <v>238.0967325881341</v>
      </c>
      <c r="G5" s="101">
        <f t="shared" si="2"/>
        <v>215.71160791057611</v>
      </c>
      <c r="H5" s="101">
        <f t="shared" si="2"/>
        <v>208.58899398108341</v>
      </c>
      <c r="I5" s="101">
        <f t="shared" si="2"/>
        <v>194.3439380911436</v>
      </c>
      <c r="J5" s="101">
        <f t="shared" si="2"/>
        <v>201.4664660361135</v>
      </c>
      <c r="K5" s="101">
        <f t="shared" si="2"/>
        <v>184.16887360275149</v>
      </c>
      <c r="L5" s="101">
        <f t="shared" si="2"/>
        <v>173.99380911435941</v>
      </c>
      <c r="M5" s="101">
        <f t="shared" si="2"/>
        <v>175.80902837489251</v>
      </c>
      <c r="N5" s="101">
        <f t="shared" si="2"/>
        <v>161.35331040412731</v>
      </c>
      <c r="O5" s="101">
        <f t="shared" si="2"/>
        <v>159.4647463456578</v>
      </c>
      <c r="P5" s="101">
        <f t="shared" si="2"/>
        <v>148.63852106620811</v>
      </c>
      <c r="Q5" s="101">
        <f t="shared" si="2"/>
        <v>151.0387790197764</v>
      </c>
      <c r="R5" s="101">
        <f t="shared" si="2"/>
        <v>132.71642304385205</v>
      </c>
      <c r="S5" s="101">
        <f t="shared" si="2"/>
        <v>140.52373172828894</v>
      </c>
      <c r="T5" s="101">
        <f t="shared" si="2"/>
        <v>125.12966466036117</v>
      </c>
      <c r="U5" s="101">
        <f t="shared" si="2"/>
        <v>125.26405846947546</v>
      </c>
      <c r="V5" s="101">
        <f t="shared" si="2"/>
        <v>104.34866723989681</v>
      </c>
      <c r="W5" s="101">
        <f t="shared" ref="W5" si="3">SUM(W6:W7)</f>
        <v>119.49750644883915</v>
      </c>
      <c r="DA5" s="175"/>
    </row>
    <row r="6" spans="1:105" ht="11.45" customHeight="1" x14ac:dyDescent="0.25">
      <c r="A6" s="164" t="s">
        <v>182</v>
      </c>
      <c r="B6" s="165">
        <v>374.74436801375737</v>
      </c>
      <c r="C6" s="165">
        <v>247.51599312123821</v>
      </c>
      <c r="D6" s="165">
        <v>254.70524505588989</v>
      </c>
      <c r="E6" s="165">
        <v>239.11427343078239</v>
      </c>
      <c r="F6" s="165">
        <v>238.0967325881341</v>
      </c>
      <c r="G6" s="165">
        <v>215.71160791057611</v>
      </c>
      <c r="H6" s="165">
        <v>208.58899398108341</v>
      </c>
      <c r="I6" s="165">
        <v>194.3439380911436</v>
      </c>
      <c r="J6" s="165">
        <v>201.4664660361135</v>
      </c>
      <c r="K6" s="165">
        <v>184.16887360275149</v>
      </c>
      <c r="L6" s="165">
        <v>173.99380911435941</v>
      </c>
      <c r="M6" s="165">
        <v>175.80902837489251</v>
      </c>
      <c r="N6" s="165">
        <v>161.35331040412731</v>
      </c>
      <c r="O6" s="165">
        <v>159.4647463456578</v>
      </c>
      <c r="P6" s="165">
        <v>148.63852106620811</v>
      </c>
      <c r="Q6" s="165">
        <v>151.0387790197764</v>
      </c>
      <c r="R6" s="165">
        <v>128.49595872742901</v>
      </c>
      <c r="S6" s="165">
        <v>133.58245915735171</v>
      </c>
      <c r="T6" s="165">
        <v>117.0520206362855</v>
      </c>
      <c r="U6" s="165">
        <v>116.15047291487529</v>
      </c>
      <c r="V6" s="165">
        <v>97.174978503869298</v>
      </c>
      <c r="W6" s="165">
        <v>110.70275150472909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4.220464316423044</v>
      </c>
      <c r="S7" s="167">
        <v>6.9412725709372314</v>
      </c>
      <c r="T7" s="167">
        <v>8.0776440240756653</v>
      </c>
      <c r="U7" s="167">
        <v>9.1135855546001707</v>
      </c>
      <c r="V7" s="167">
        <v>7.1736887360275148</v>
      </c>
      <c r="W7" s="167">
        <v>8.7947549441100605</v>
      </c>
      <c r="DA7" s="177" t="s">
        <v>1103</v>
      </c>
    </row>
    <row r="8" spans="1:105" ht="11.45" customHeight="1" x14ac:dyDescent="0.25">
      <c r="A8" s="85" t="s">
        <v>91</v>
      </c>
      <c r="B8" s="88">
        <v>806.53482373172824</v>
      </c>
      <c r="C8" s="88">
        <v>820.89423903697332</v>
      </c>
      <c r="D8" s="88">
        <v>831.29836629406702</v>
      </c>
      <c r="E8" s="88">
        <v>841.53052450558891</v>
      </c>
      <c r="F8" s="88">
        <v>861.9088564058469</v>
      </c>
      <c r="G8" s="88">
        <v>847.89337919174545</v>
      </c>
      <c r="H8" s="88">
        <v>858.29750644883916</v>
      </c>
      <c r="I8" s="88">
        <v>862.25279449699053</v>
      </c>
      <c r="J8" s="88">
        <v>895.95872742906272</v>
      </c>
      <c r="K8" s="88">
        <v>866.63800515907133</v>
      </c>
      <c r="L8" s="88">
        <v>863.02665520206358</v>
      </c>
      <c r="M8" s="88">
        <v>842.37876182287187</v>
      </c>
      <c r="N8" s="88">
        <v>857.86526225279442</v>
      </c>
      <c r="O8" s="88">
        <v>865.07480653482367</v>
      </c>
      <c r="P8" s="88">
        <v>839.53465176268264</v>
      </c>
      <c r="Q8" s="88">
        <v>849.87901977644026</v>
      </c>
      <c r="R8" s="88">
        <v>831.04892519346504</v>
      </c>
      <c r="S8" s="88">
        <v>825.57678417884767</v>
      </c>
      <c r="T8" s="88">
        <v>781.44668959587273</v>
      </c>
      <c r="U8" s="88">
        <v>776.6721410146173</v>
      </c>
      <c r="V8" s="88">
        <v>632.38478073946692</v>
      </c>
      <c r="W8" s="88">
        <v>700.87102321582108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1181.2791917454856</v>
      </c>
      <c r="C10" s="62">
        <f t="shared" ref="C10:V10" si="5">SUM(C11,C17)</f>
        <v>1068.4102321582116</v>
      </c>
      <c r="D10" s="62">
        <f t="shared" si="5"/>
        <v>1086.0036113499571</v>
      </c>
      <c r="E10" s="62">
        <f t="shared" si="5"/>
        <v>1080.6447979363711</v>
      </c>
      <c r="F10" s="62">
        <f t="shared" si="5"/>
        <v>1100.0055889939811</v>
      </c>
      <c r="G10" s="62">
        <f t="shared" si="5"/>
        <v>1063.6049871023217</v>
      </c>
      <c r="H10" s="62">
        <f t="shared" si="5"/>
        <v>1066.8865004299223</v>
      </c>
      <c r="I10" s="62">
        <f t="shared" si="5"/>
        <v>1056.5967325881343</v>
      </c>
      <c r="J10" s="62">
        <f t="shared" si="5"/>
        <v>1097.4251934651763</v>
      </c>
      <c r="K10" s="62">
        <f t="shared" si="5"/>
        <v>1050.8068787618229</v>
      </c>
      <c r="L10" s="62">
        <f t="shared" si="5"/>
        <v>1037.0204643164232</v>
      </c>
      <c r="M10" s="62">
        <f t="shared" si="5"/>
        <v>1018.1877901977645</v>
      </c>
      <c r="N10" s="62">
        <f t="shared" si="5"/>
        <v>1019.2185726569217</v>
      </c>
      <c r="O10" s="62">
        <f t="shared" si="5"/>
        <v>1024.5395528804816</v>
      </c>
      <c r="P10" s="62">
        <f t="shared" si="5"/>
        <v>988.17317282889076</v>
      </c>
      <c r="Q10" s="62">
        <f t="shared" si="5"/>
        <v>1000.9177987962167</v>
      </c>
      <c r="R10" s="62">
        <f t="shared" si="5"/>
        <v>963.76534823731708</v>
      </c>
      <c r="S10" s="62">
        <f t="shared" si="5"/>
        <v>966.10051590713681</v>
      </c>
      <c r="T10" s="62">
        <f t="shared" si="5"/>
        <v>906.57635425623391</v>
      </c>
      <c r="U10" s="62">
        <f t="shared" si="5"/>
        <v>901.93619948409287</v>
      </c>
      <c r="V10" s="62">
        <f t="shared" si="5"/>
        <v>736.73344797936375</v>
      </c>
      <c r="W10" s="62">
        <f t="shared" ref="W10" si="6">SUM(W11,W17)</f>
        <v>820.36852966466029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862.57085950040198</v>
      </c>
      <c r="C11" s="29">
        <f t="shared" ref="C11:V11" si="8">SUM(C12,C13,C16)</f>
        <v>781.02819239132884</v>
      </c>
      <c r="D11" s="29">
        <f t="shared" si="8"/>
        <v>798.21409599151229</v>
      </c>
      <c r="E11" s="29">
        <f t="shared" si="8"/>
        <v>801.72567247061465</v>
      </c>
      <c r="F11" s="29">
        <f t="shared" si="8"/>
        <v>851.82978149050177</v>
      </c>
      <c r="G11" s="29">
        <f t="shared" si="8"/>
        <v>862.373503191287</v>
      </c>
      <c r="H11" s="29">
        <f t="shared" si="8"/>
        <v>878.74328701504965</v>
      </c>
      <c r="I11" s="29">
        <f t="shared" si="8"/>
        <v>878.17108614442736</v>
      </c>
      <c r="J11" s="29">
        <f t="shared" si="8"/>
        <v>927.97574145355998</v>
      </c>
      <c r="K11" s="29">
        <f t="shared" si="8"/>
        <v>916.05454022774973</v>
      </c>
      <c r="L11" s="29">
        <f t="shared" si="8"/>
        <v>908.06232582408461</v>
      </c>
      <c r="M11" s="29">
        <f t="shared" si="8"/>
        <v>900.16625385430825</v>
      </c>
      <c r="N11" s="29">
        <f t="shared" si="8"/>
        <v>908.12665334228313</v>
      </c>
      <c r="O11" s="29">
        <f t="shared" si="8"/>
        <v>901.04155767712598</v>
      </c>
      <c r="P11" s="29">
        <f t="shared" si="8"/>
        <v>873.56281211140504</v>
      </c>
      <c r="Q11" s="29">
        <f t="shared" si="8"/>
        <v>886.82062784398772</v>
      </c>
      <c r="R11" s="29">
        <f t="shared" si="8"/>
        <v>857.45402179369614</v>
      </c>
      <c r="S11" s="29">
        <f t="shared" si="8"/>
        <v>852.60761212326361</v>
      </c>
      <c r="T11" s="29">
        <f t="shared" si="8"/>
        <v>799.34002183134055</v>
      </c>
      <c r="U11" s="29">
        <f t="shared" si="8"/>
        <v>797.12503855504087</v>
      </c>
      <c r="V11" s="29">
        <f t="shared" si="8"/>
        <v>624.4347712788641</v>
      </c>
      <c r="W11" s="29">
        <f t="shared" ref="W11" si="9">SUM(W12,W13,W16)</f>
        <v>700.32767888334286</v>
      </c>
      <c r="DA11" s="173" t="s">
        <v>394</v>
      </c>
    </row>
    <row r="12" spans="1:105" ht="11.45" customHeight="1" x14ac:dyDescent="0.25">
      <c r="A12" s="107" t="s">
        <v>23</v>
      </c>
      <c r="B12" s="115">
        <v>37.480566546140317</v>
      </c>
      <c r="C12" s="115">
        <v>39.164690672993132</v>
      </c>
      <c r="D12" s="115">
        <v>39.603383847226226</v>
      </c>
      <c r="E12" s="115">
        <v>40.558826477241382</v>
      </c>
      <c r="F12" s="115">
        <v>44.70063074592084</v>
      </c>
      <c r="G12" s="115">
        <v>43.772090109546149</v>
      </c>
      <c r="H12" s="115">
        <v>43.503079357880374</v>
      </c>
      <c r="I12" s="115">
        <v>42.321233048314376</v>
      </c>
      <c r="J12" s="115">
        <v>45.597437494317447</v>
      </c>
      <c r="K12" s="115">
        <v>40.745107046691984</v>
      </c>
      <c r="L12" s="115">
        <v>41.111492418627506</v>
      </c>
      <c r="M12" s="115">
        <v>41.51154047210909</v>
      </c>
      <c r="N12" s="115">
        <v>42.19635537386187</v>
      </c>
      <c r="O12" s="115">
        <v>40.749353385782072</v>
      </c>
      <c r="P12" s="115">
        <v>40.179855286320311</v>
      </c>
      <c r="Q12" s="115">
        <v>39.623687360795223</v>
      </c>
      <c r="R12" s="115">
        <v>38.986089870859217</v>
      </c>
      <c r="S12" s="115">
        <v>38.765024202297468</v>
      </c>
      <c r="T12" s="115">
        <v>39.427867806344977</v>
      </c>
      <c r="U12" s="115">
        <v>37.56532095425699</v>
      </c>
      <c r="V12" s="115">
        <v>26.51690492013925</v>
      </c>
      <c r="W12" s="115">
        <v>32.03681719050175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598.32255118093224</v>
      </c>
      <c r="C13" s="116">
        <f t="shared" ref="C13:V13" si="11">SUM(C14:C15)</f>
        <v>484.46953076868658</v>
      </c>
      <c r="D13" s="116">
        <f t="shared" si="11"/>
        <v>485.40452446968709</v>
      </c>
      <c r="E13" s="116">
        <f t="shared" si="11"/>
        <v>493.08995392939534</v>
      </c>
      <c r="F13" s="116">
        <f t="shared" si="11"/>
        <v>521.4169164029496</v>
      </c>
      <c r="G13" s="116">
        <f t="shared" si="11"/>
        <v>525.3231985672985</v>
      </c>
      <c r="H13" s="116">
        <f t="shared" si="11"/>
        <v>536.52928899492099</v>
      </c>
      <c r="I13" s="116">
        <f t="shared" si="11"/>
        <v>526.20321023738779</v>
      </c>
      <c r="J13" s="116">
        <f t="shared" si="11"/>
        <v>540.88386909792894</v>
      </c>
      <c r="K13" s="116">
        <f t="shared" si="11"/>
        <v>536.34696503750422</v>
      </c>
      <c r="L13" s="116">
        <f t="shared" si="11"/>
        <v>536.02577814118206</v>
      </c>
      <c r="M13" s="116">
        <f t="shared" si="11"/>
        <v>540.53773961839181</v>
      </c>
      <c r="N13" s="116">
        <f t="shared" si="11"/>
        <v>523.92093487335046</v>
      </c>
      <c r="O13" s="116">
        <f t="shared" si="11"/>
        <v>523.07352374758057</v>
      </c>
      <c r="P13" s="116">
        <f t="shared" si="11"/>
        <v>509.66955122940965</v>
      </c>
      <c r="Q13" s="116">
        <f t="shared" si="11"/>
        <v>510.73603239803811</v>
      </c>
      <c r="R13" s="116">
        <f t="shared" si="11"/>
        <v>499.02509478150068</v>
      </c>
      <c r="S13" s="116">
        <f t="shared" si="11"/>
        <v>483.65661464756096</v>
      </c>
      <c r="T13" s="116">
        <f t="shared" si="11"/>
        <v>453.08526670050304</v>
      </c>
      <c r="U13" s="116">
        <f t="shared" si="11"/>
        <v>443.16796295521402</v>
      </c>
      <c r="V13" s="116">
        <f t="shared" si="11"/>
        <v>349.23170524811042</v>
      </c>
      <c r="W13" s="116">
        <f t="shared" ref="W13" si="12">SUM(W14:W15)</f>
        <v>365.27079058481252</v>
      </c>
      <c r="DA13" s="176" t="s">
        <v>396</v>
      </c>
    </row>
    <row r="14" spans="1:105" ht="11.45" customHeight="1" x14ac:dyDescent="0.25">
      <c r="A14" s="111" t="s">
        <v>95</v>
      </c>
      <c r="B14" s="87">
        <v>262.65026279123515</v>
      </c>
      <c r="C14" s="87">
        <v>168.92031626084562</v>
      </c>
      <c r="D14" s="87">
        <v>174.36354494474224</v>
      </c>
      <c r="E14" s="87">
        <v>168.07801421510112</v>
      </c>
      <c r="F14" s="87">
        <v>182.99573139813478</v>
      </c>
      <c r="G14" s="87">
        <v>171.60420273871745</v>
      </c>
      <c r="H14" s="87">
        <v>168.36146361308809</v>
      </c>
      <c r="I14" s="87">
        <v>155.44709599522963</v>
      </c>
      <c r="J14" s="87">
        <v>162.21897819369036</v>
      </c>
      <c r="K14" s="87">
        <v>154.89474654117609</v>
      </c>
      <c r="L14" s="87">
        <v>147.26290645276796</v>
      </c>
      <c r="M14" s="87">
        <v>149.32309293868232</v>
      </c>
      <c r="N14" s="87">
        <v>139.46206366136732</v>
      </c>
      <c r="O14" s="87">
        <v>136.90213482622798</v>
      </c>
      <c r="P14" s="87">
        <v>128.43744967959256</v>
      </c>
      <c r="Q14" s="87">
        <v>129.73920679455145</v>
      </c>
      <c r="R14" s="87">
        <v>113.30208012803874</v>
      </c>
      <c r="S14" s="87">
        <v>119.44703578306341</v>
      </c>
      <c r="T14" s="87">
        <v>106.63113988423039</v>
      </c>
      <c r="U14" s="87">
        <v>105.81307398157439</v>
      </c>
      <c r="V14" s="87">
        <v>83.529715997550312</v>
      </c>
      <c r="W14" s="87">
        <v>95.806374412905399</v>
      </c>
      <c r="DA14" s="171" t="s">
        <v>1106</v>
      </c>
    </row>
    <row r="15" spans="1:105" ht="11.45" customHeight="1" x14ac:dyDescent="0.25">
      <c r="A15" s="111" t="s">
        <v>93</v>
      </c>
      <c r="B15" s="87">
        <v>335.67228838969709</v>
      </c>
      <c r="C15" s="87">
        <v>315.54921450784093</v>
      </c>
      <c r="D15" s="87">
        <v>311.04097952494482</v>
      </c>
      <c r="E15" s="87">
        <v>325.01193971429421</v>
      </c>
      <c r="F15" s="87">
        <v>338.42118500481484</v>
      </c>
      <c r="G15" s="87">
        <v>353.71899582858111</v>
      </c>
      <c r="H15" s="87">
        <v>368.16782538183293</v>
      </c>
      <c r="I15" s="87">
        <v>370.75611424215811</v>
      </c>
      <c r="J15" s="87">
        <v>378.66489090423852</v>
      </c>
      <c r="K15" s="87">
        <v>381.4522184963281</v>
      </c>
      <c r="L15" s="87">
        <v>388.76287168841407</v>
      </c>
      <c r="M15" s="87">
        <v>391.21464667970946</v>
      </c>
      <c r="N15" s="87">
        <v>384.45887121198314</v>
      </c>
      <c r="O15" s="87">
        <v>386.17138892135256</v>
      </c>
      <c r="P15" s="87">
        <v>381.23210154981706</v>
      </c>
      <c r="Q15" s="87">
        <v>380.99682560348663</v>
      </c>
      <c r="R15" s="87">
        <v>385.72301465346197</v>
      </c>
      <c r="S15" s="87">
        <v>364.20957886449753</v>
      </c>
      <c r="T15" s="87">
        <v>346.45412681627266</v>
      </c>
      <c r="U15" s="87">
        <v>337.35488897363962</v>
      </c>
      <c r="V15" s="87">
        <v>265.70198925056008</v>
      </c>
      <c r="W15" s="87">
        <v>269.46441617190715</v>
      </c>
      <c r="DA15" s="171" t="s">
        <v>1107</v>
      </c>
    </row>
    <row r="16" spans="1:105" ht="11.45" customHeight="1" x14ac:dyDescent="0.25">
      <c r="A16" s="112" t="s">
        <v>25</v>
      </c>
      <c r="B16" s="117">
        <v>226.76774177332945</v>
      </c>
      <c r="C16" s="117">
        <v>257.39397094964909</v>
      </c>
      <c r="D16" s="117">
        <v>273.20618767459888</v>
      </c>
      <c r="E16" s="117">
        <v>268.07689206397799</v>
      </c>
      <c r="F16" s="117">
        <v>285.71223434163124</v>
      </c>
      <c r="G16" s="117">
        <v>293.27821451444225</v>
      </c>
      <c r="H16" s="117">
        <v>298.71091866224839</v>
      </c>
      <c r="I16" s="117">
        <v>309.6466428587251</v>
      </c>
      <c r="J16" s="117">
        <v>341.49443486131361</v>
      </c>
      <c r="K16" s="117">
        <v>338.96246814355356</v>
      </c>
      <c r="L16" s="117">
        <v>330.92505526427499</v>
      </c>
      <c r="M16" s="117">
        <v>318.11697376380738</v>
      </c>
      <c r="N16" s="117">
        <v>342.00936309507091</v>
      </c>
      <c r="O16" s="117">
        <v>337.2186805437633</v>
      </c>
      <c r="P16" s="117">
        <v>323.71340559567511</v>
      </c>
      <c r="Q16" s="117">
        <v>336.46090808515447</v>
      </c>
      <c r="R16" s="117">
        <v>319.44283714133621</v>
      </c>
      <c r="S16" s="117">
        <v>330.18597327340507</v>
      </c>
      <c r="T16" s="117">
        <v>306.82688732449253</v>
      </c>
      <c r="U16" s="117">
        <v>316.39175464556985</v>
      </c>
      <c r="V16" s="117">
        <v>248.68616111061439</v>
      </c>
      <c r="W16" s="117">
        <v>303.02007110802856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318.70833224508362</v>
      </c>
      <c r="C17" s="29">
        <f t="shared" si="13"/>
        <v>287.38203976688271</v>
      </c>
      <c r="D17" s="29">
        <f t="shared" si="13"/>
        <v>287.78951535844476</v>
      </c>
      <c r="E17" s="29">
        <f t="shared" si="13"/>
        <v>278.91912546575651</v>
      </c>
      <c r="F17" s="29">
        <f t="shared" si="13"/>
        <v>248.17580750347935</v>
      </c>
      <c r="G17" s="29">
        <f t="shared" si="13"/>
        <v>201.23148391103464</v>
      </c>
      <c r="H17" s="29">
        <f t="shared" si="13"/>
        <v>188.14321341487275</v>
      </c>
      <c r="I17" s="29">
        <f t="shared" si="13"/>
        <v>178.425646443707</v>
      </c>
      <c r="J17" s="29">
        <f t="shared" si="13"/>
        <v>169.44945201161627</v>
      </c>
      <c r="K17" s="29">
        <f t="shared" si="13"/>
        <v>134.75233853407309</v>
      </c>
      <c r="L17" s="29">
        <f t="shared" si="13"/>
        <v>128.95813849233858</v>
      </c>
      <c r="M17" s="29">
        <f t="shared" si="13"/>
        <v>118.02153634345618</v>
      </c>
      <c r="N17" s="29">
        <f t="shared" si="13"/>
        <v>111.09191931463856</v>
      </c>
      <c r="O17" s="29">
        <f t="shared" si="13"/>
        <v>123.49799520335554</v>
      </c>
      <c r="P17" s="29">
        <f t="shared" si="13"/>
        <v>114.61036071748569</v>
      </c>
      <c r="Q17" s="29">
        <f t="shared" si="13"/>
        <v>114.09717095222904</v>
      </c>
      <c r="R17" s="29">
        <f t="shared" si="13"/>
        <v>106.31132644362094</v>
      </c>
      <c r="S17" s="29">
        <f t="shared" si="13"/>
        <v>113.4929037838732</v>
      </c>
      <c r="T17" s="29">
        <f t="shared" si="13"/>
        <v>107.23633242489339</v>
      </c>
      <c r="U17" s="29">
        <f t="shared" si="13"/>
        <v>104.81116092905205</v>
      </c>
      <c r="V17" s="29">
        <f t="shared" si="13"/>
        <v>112.29867670049964</v>
      </c>
      <c r="W17" s="29">
        <f t="shared" si="13"/>
        <v>120.04085078131743</v>
      </c>
      <c r="DA17" s="173" t="s">
        <v>401</v>
      </c>
    </row>
    <row r="18" spans="1:105" ht="11.45" customHeight="1" x14ac:dyDescent="0.25">
      <c r="A18" s="83" t="s">
        <v>95</v>
      </c>
      <c r="B18" s="87">
        <v>112.09410522252224</v>
      </c>
      <c r="C18" s="87">
        <v>78.595676860392601</v>
      </c>
      <c r="D18" s="87">
        <v>80.341700111147645</v>
      </c>
      <c r="E18" s="87">
        <v>71.036259215681255</v>
      </c>
      <c r="F18" s="87">
        <v>55.10100118999933</v>
      </c>
      <c r="G18" s="87">
        <v>44.107405171858659</v>
      </c>
      <c r="H18" s="87">
        <v>40.227530367995307</v>
      </c>
      <c r="I18" s="87">
        <v>38.896842095913968</v>
      </c>
      <c r="J18" s="87">
        <v>39.247487842423141</v>
      </c>
      <c r="K18" s="87">
        <v>29.274127061575413</v>
      </c>
      <c r="L18" s="87">
        <v>26.73090266159145</v>
      </c>
      <c r="M18" s="87">
        <v>26.485935436210188</v>
      </c>
      <c r="N18" s="87">
        <v>21.891246742759993</v>
      </c>
      <c r="O18" s="87">
        <v>22.562611519429829</v>
      </c>
      <c r="P18" s="87">
        <v>20.201071386615546</v>
      </c>
      <c r="Q18" s="87">
        <v>21.29957222522496</v>
      </c>
      <c r="R18" s="87">
        <v>19.414342915813304</v>
      </c>
      <c r="S18" s="87">
        <v>21.076695945225531</v>
      </c>
      <c r="T18" s="87">
        <v>18.498524776130786</v>
      </c>
      <c r="U18" s="87">
        <v>19.450984487901067</v>
      </c>
      <c r="V18" s="87">
        <v>20.818951242346508</v>
      </c>
      <c r="W18" s="87">
        <v>23.691132035933748</v>
      </c>
      <c r="DA18" s="171" t="s">
        <v>1108</v>
      </c>
    </row>
    <row r="19" spans="1:105" ht="11.45" customHeight="1" x14ac:dyDescent="0.25">
      <c r="A19" s="85" t="s">
        <v>93</v>
      </c>
      <c r="B19" s="88">
        <v>206.61422702256138</v>
      </c>
      <c r="C19" s="88">
        <v>208.7863629064901</v>
      </c>
      <c r="D19" s="88">
        <v>207.44781524729714</v>
      </c>
      <c r="E19" s="88">
        <v>207.88286625007527</v>
      </c>
      <c r="F19" s="88">
        <v>193.07480631348002</v>
      </c>
      <c r="G19" s="88">
        <v>157.12407873917599</v>
      </c>
      <c r="H19" s="88">
        <v>147.91568304687743</v>
      </c>
      <c r="I19" s="88">
        <v>139.52880434779303</v>
      </c>
      <c r="J19" s="88">
        <v>130.20196416919313</v>
      </c>
      <c r="K19" s="88">
        <v>105.47821147249766</v>
      </c>
      <c r="L19" s="88">
        <v>102.22723583074712</v>
      </c>
      <c r="M19" s="88">
        <v>91.535600907245993</v>
      </c>
      <c r="N19" s="88">
        <v>89.20067257187857</v>
      </c>
      <c r="O19" s="88">
        <v>100.93538368392571</v>
      </c>
      <c r="P19" s="88">
        <v>94.409289330870138</v>
      </c>
      <c r="Q19" s="88">
        <v>92.797598727004072</v>
      </c>
      <c r="R19" s="88">
        <v>86.896983527807635</v>
      </c>
      <c r="S19" s="88">
        <v>92.416207838647679</v>
      </c>
      <c r="T19" s="88">
        <v>88.737807648762598</v>
      </c>
      <c r="U19" s="88">
        <v>85.360176441150983</v>
      </c>
      <c r="V19" s="88">
        <v>91.47972545815314</v>
      </c>
      <c r="W19" s="88">
        <v>96.349718745383683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212.88718208810752</v>
      </c>
      <c r="C23" s="62">
        <f>IF(C10=0,0,C10/TrRail_act!C14*100)</f>
        <v>197.6627324133957</v>
      </c>
      <c r="D23" s="62">
        <f>IF(D10=0,0,D10/TrRail_act!D14*100)</f>
        <v>195.84744216647519</v>
      </c>
      <c r="E23" s="62">
        <f>IF(E10=0,0,E10/TrRail_act!E14*100)</f>
        <v>185.38923596353891</v>
      </c>
      <c r="F23" s="62">
        <f>IF(F10=0,0,F10/TrRail_act!F14*100)</f>
        <v>179.52482197066084</v>
      </c>
      <c r="G23" s="62">
        <f>IF(G10=0,0,G10/TrRail_act!G14*100)</f>
        <v>173.78579103624102</v>
      </c>
      <c r="H23" s="62">
        <f>IF(H10=0,0,H10/TrRail_act!H14*100)</f>
        <v>169.58663151458902</v>
      </c>
      <c r="I23" s="62">
        <f>IF(I10=0,0,I10/TrRail_act!I14*100)</f>
        <v>166.65593711472943</v>
      </c>
      <c r="J23" s="62">
        <f>IF(J10=0,0,J10/TrRail_act!J14*100)</f>
        <v>162.4646056374464</v>
      </c>
      <c r="K23" s="62">
        <f>IF(K10=0,0,K10/TrRail_act!K14*100)</f>
        <v>160.35272859662416</v>
      </c>
      <c r="L23" s="62">
        <f>IF(L10=0,0,L10/TrRail_act!L14*100)</f>
        <v>157.67073447642693</v>
      </c>
      <c r="M23" s="62">
        <f>IF(M10=0,0,M10/TrRail_act!M14*100)</f>
        <v>154.98972052356933</v>
      </c>
      <c r="N23" s="62">
        <f>IF(N10=0,0,N10/TrRail_act!N14*100)</f>
        <v>152.65317319729471</v>
      </c>
      <c r="O23" s="62">
        <f>IF(O10=0,0,O10/TrRail_act!O14*100)</f>
        <v>149.68217147825447</v>
      </c>
      <c r="P23" s="62">
        <f>IF(P10=0,0,P10/TrRail_act!P14*100)</f>
        <v>145.9824406314637</v>
      </c>
      <c r="Q23" s="62">
        <f>IF(Q10=0,0,Q10/TrRail_act!Q14*100)</f>
        <v>144.39142064427432</v>
      </c>
      <c r="R23" s="62">
        <f>IF(R10=0,0,R10/TrRail_act!R14*100)</f>
        <v>140.34008344433227</v>
      </c>
      <c r="S23" s="62">
        <f>IF(S10=0,0,S10/TrRail_act!S14*100)</f>
        <v>141.05858959117259</v>
      </c>
      <c r="T23" s="62">
        <f>IF(T10=0,0,T10/TrRail_act!T14*100)</f>
        <v>138.14213883975549</v>
      </c>
      <c r="U23" s="62">
        <f>IF(U10=0,0,U10/TrRail_act!U14*100)</f>
        <v>139.27709751705143</v>
      </c>
      <c r="V23" s="62">
        <f>IF(V10=0,0,V10/TrRail_act!V14*100)</f>
        <v>141.47678863699616</v>
      </c>
      <c r="W23" s="62">
        <f>IF(W10=0,0,W10/TrRail_act!W14*100)</f>
        <v>142.85194475303459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192.45955309861483</v>
      </c>
      <c r="C24" s="29">
        <f>IF(C11=0,0,C11/TrRail_act!C15*100)</f>
        <v>178.83476115844584</v>
      </c>
      <c r="D24" s="29">
        <f>IF(D11=0,0,D11/TrRail_act!D15*100)</f>
        <v>177.57939408914251</v>
      </c>
      <c r="E24" s="29">
        <f>IF(E11=0,0,E11/TrRail_act!E15*100)</f>
        <v>169.9353658165976</v>
      </c>
      <c r="F24" s="29">
        <f>IF(F11=0,0,F11/TrRail_act!F15*100)</f>
        <v>167.62660646370253</v>
      </c>
      <c r="G24" s="29">
        <f>IF(G11=0,0,G11/TrRail_act!G15*100)</f>
        <v>164.8313617176687</v>
      </c>
      <c r="H24" s="29">
        <f>IF(H11=0,0,H11/TrRail_act!H15*100)</f>
        <v>161.95690260656124</v>
      </c>
      <c r="I24" s="29">
        <f>IF(I11=0,0,I11/TrRail_act!I15*100)</f>
        <v>159.78537850227488</v>
      </c>
      <c r="J24" s="29">
        <f>IF(J11=0,0,J11/TrRail_act!J15*100)</f>
        <v>156.38085902999802</v>
      </c>
      <c r="K24" s="29">
        <f>IF(K11=0,0,K11/TrRail_act!K15*100)</f>
        <v>155.82622370066329</v>
      </c>
      <c r="L24" s="29">
        <f>IF(L11=0,0,L11/TrRail_act!L15*100)</f>
        <v>153.41260236192818</v>
      </c>
      <c r="M24" s="29">
        <f>IF(M11=0,0,M11/TrRail_act!M15*100)</f>
        <v>150.95734272097366</v>
      </c>
      <c r="N24" s="29">
        <f>IF(N11=0,0,N11/TrRail_act!N15*100)</f>
        <v>149.33032858438074</v>
      </c>
      <c r="O24" s="29">
        <f>IF(O11=0,0,O11/TrRail_act!O15*100)</f>
        <v>146.06035822127569</v>
      </c>
      <c r="P24" s="29">
        <f>IF(P11=0,0,P11/TrRail_act!P15*100)</f>
        <v>142.81681286947193</v>
      </c>
      <c r="Q24" s="29">
        <f>IF(Q11=0,0,Q11/TrRail_act!Q15*100)</f>
        <v>141.42606956707888</v>
      </c>
      <c r="R24" s="29">
        <f>IF(R11=0,0,R11/TrRail_act!R15*100)</f>
        <v>137.48697894176232</v>
      </c>
      <c r="S24" s="29">
        <f>IF(S11=0,0,S11/TrRail_act!S15*100)</f>
        <v>138.10270841820176</v>
      </c>
      <c r="T24" s="29">
        <f>IF(T11=0,0,T11/TrRail_act!T15*100)</f>
        <v>135.1209728355721</v>
      </c>
      <c r="U24" s="29">
        <f>IF(U11=0,0,U11/TrRail_act!U15*100)</f>
        <v>136.30477168371539</v>
      </c>
      <c r="V24" s="29">
        <f>IF(V11=0,0,V11/TrRail_act!V15*100)</f>
        <v>137.74315182059075</v>
      </c>
      <c r="W24" s="29">
        <f>IF(W11=0,0,W11/TrRail_act!W15*100)</f>
        <v>139.2941684706631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45.777915712718084</v>
      </c>
      <c r="C25" s="115">
        <f>IF(C12=0,0,C12/TrRail_act!C16*100)</f>
        <v>45.358724405658727</v>
      </c>
      <c r="D25" s="115">
        <f>IF(D12=0,0,D12/TrRail_act!D16*100)</f>
        <v>44.464271864035851</v>
      </c>
      <c r="E25" s="115">
        <f>IF(E12=0,0,E12/TrRail_act!E16*100)</f>
        <v>44.494644394312758</v>
      </c>
      <c r="F25" s="115">
        <f>IF(F12=0,0,F12/TrRail_act!F16*100)</f>
        <v>44.124844950112184</v>
      </c>
      <c r="G25" s="115">
        <f>IF(G12=0,0,G12/TrRail_act!G16*100)</f>
        <v>42.283258834540334</v>
      </c>
      <c r="H25" s="115">
        <f>IF(H12=0,0,H12/TrRail_act!H16*100)</f>
        <v>41.387147388985859</v>
      </c>
      <c r="I25" s="115">
        <f>IF(I12=0,0,I12/TrRail_act!I16*100)</f>
        <v>40.567544731844926</v>
      </c>
      <c r="J25" s="115">
        <f>IF(J12=0,0,J12/TrRail_act!J16*100)</f>
        <v>40.191687426221371</v>
      </c>
      <c r="K25" s="115">
        <f>IF(K12=0,0,K12/TrRail_act!K16*100)</f>
        <v>39.471866606358283</v>
      </c>
      <c r="L25" s="115">
        <f>IF(L12=0,0,L12/TrRail_act!L16*100)</f>
        <v>39.218695822824728</v>
      </c>
      <c r="M25" s="115">
        <f>IF(M12=0,0,M12/TrRail_act!M16*100)</f>
        <v>39.023714089421823</v>
      </c>
      <c r="N25" s="115">
        <f>IF(N12=0,0,N12/TrRail_act!N16*100)</f>
        <v>38.365379992286705</v>
      </c>
      <c r="O25" s="115">
        <f>IF(O12=0,0,O12/TrRail_act!O16*100)</f>
        <v>37.71367588750978</v>
      </c>
      <c r="P25" s="115">
        <f>IF(P12=0,0,P12/TrRail_act!P16*100)</f>
        <v>37.082410654705306</v>
      </c>
      <c r="Q25" s="115">
        <f>IF(Q12=0,0,Q12/TrRail_act!Q16*100)</f>
        <v>36.477284018268982</v>
      </c>
      <c r="R25" s="115">
        <f>IF(R12=0,0,R12/TrRail_act!R16*100)</f>
        <v>36.029928181593654</v>
      </c>
      <c r="S25" s="115">
        <f>IF(S12=0,0,S12/TrRail_act!S16*100)</f>
        <v>35.698015416404985</v>
      </c>
      <c r="T25" s="115">
        <f>IF(T12=0,0,T12/TrRail_act!T16*100)</f>
        <v>35.451088955129045</v>
      </c>
      <c r="U25" s="115">
        <f>IF(U12=0,0,U12/TrRail_act!U16*100)</f>
        <v>35.267015640204583</v>
      </c>
      <c r="V25" s="115">
        <f>IF(V12=0,0,V12/TrRail_act!V16*100)</f>
        <v>35.1295881480265</v>
      </c>
      <c r="W25" s="115">
        <f>IF(W12=0,0,W12/TrRail_act!W16*100)</f>
        <v>35.026869080078129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215.93438744213316</v>
      </c>
      <c r="C26" s="116">
        <f>IF(C13=0,0,C13/TrRail_act!C17*100)</f>
        <v>194.14520548718676</v>
      </c>
      <c r="D26" s="116">
        <f>IF(D13=0,0,D13/TrRail_act!D17*100)</f>
        <v>191.88178601969494</v>
      </c>
      <c r="E26" s="116">
        <f>IF(E13=0,0,E13/TrRail_act!E17*100)</f>
        <v>180.05902605794859</v>
      </c>
      <c r="F26" s="116">
        <f>IF(F13=0,0,F13/TrRail_act!F17*100)</f>
        <v>177.34619985932346</v>
      </c>
      <c r="G26" s="116">
        <f>IF(G13=0,0,G13/TrRail_act!G17*100)</f>
        <v>173.15788860798739</v>
      </c>
      <c r="H26" s="116">
        <f>IF(H13=0,0,H13/TrRail_act!H17*100)</f>
        <v>168.1341740001287</v>
      </c>
      <c r="I26" s="116">
        <f>IF(I13=0,0,I13/TrRail_act!I17*100)</f>
        <v>163.53996574526769</v>
      </c>
      <c r="J26" s="116">
        <f>IF(J13=0,0,J13/TrRail_act!J17*100)</f>
        <v>157.14390521783301</v>
      </c>
      <c r="K26" s="116">
        <f>IF(K13=0,0,K13/TrRail_act!K17*100)</f>
        <v>153.66157859153907</v>
      </c>
      <c r="L26" s="116">
        <f>IF(L13=0,0,L13/TrRail_act!L17*100)</f>
        <v>151.53230785695786</v>
      </c>
      <c r="M26" s="116">
        <f>IF(M13=0,0,M13/TrRail_act!M17*100)</f>
        <v>150.06361303232779</v>
      </c>
      <c r="N26" s="116">
        <f>IF(N13=0,0,N13/TrRail_act!N17*100)</f>
        <v>146.53970693206062</v>
      </c>
      <c r="O26" s="116">
        <f>IF(O13=0,0,O13/TrRail_act!O17*100)</f>
        <v>141.83312174712879</v>
      </c>
      <c r="P26" s="116">
        <f>IF(P13=0,0,P13/TrRail_act!P17*100)</f>
        <v>138.3263868768621</v>
      </c>
      <c r="Q26" s="116">
        <f>IF(Q13=0,0,Q13/TrRail_act!Q17*100)</f>
        <v>135.28249578890467</v>
      </c>
      <c r="R26" s="116">
        <f>IF(R13=0,0,R13/TrRail_act!R17*100)</f>
        <v>130.92059912016575</v>
      </c>
      <c r="S26" s="116">
        <f>IF(S13=0,0,S13/TrRail_act!S17*100)</f>
        <v>130.87060145609118</v>
      </c>
      <c r="T26" s="116">
        <f>IF(T13=0,0,T13/TrRail_act!T17*100)</f>
        <v>129.1909306055525</v>
      </c>
      <c r="U26" s="116">
        <f>IF(U13=0,0,U13/TrRail_act!U17*100)</f>
        <v>128.68306075036077</v>
      </c>
      <c r="V26" s="116">
        <f>IF(V13=0,0,V13/TrRail_act!V17*100)</f>
        <v>128.17318859052443</v>
      </c>
      <c r="W26" s="116">
        <f>IF(W13=0,0,W13/TrRail_act!W17*100)</f>
        <v>129.17048564933486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344.14323692998482</v>
      </c>
      <c r="C27" s="87">
        <f>IF(C14=0,0,C14/TrRail_act!C18*100)</f>
        <v>273.32848135151539</v>
      </c>
      <c r="D27" s="87">
        <f>IF(D14=0,0,D14/TrRail_act!D18*100)</f>
        <v>268.03299876103796</v>
      </c>
      <c r="E27" s="87">
        <f>IF(E14=0,0,E14/TrRail_act!E18*100)</f>
        <v>263.00048647919601</v>
      </c>
      <c r="F27" s="87">
        <f>IF(F14=0,0,F14/TrRail_act!F18*100)</f>
        <v>260.59737913937585</v>
      </c>
      <c r="G27" s="87">
        <f>IF(G14=0,0,G14/TrRail_act!G18*100)</f>
        <v>258.06574265282183</v>
      </c>
      <c r="H27" s="87">
        <f>IF(H14=0,0,H14/TrRail_act!H18*100)</f>
        <v>254.79139543911757</v>
      </c>
      <c r="I27" s="87">
        <f>IF(I14=0,0,I14/TrRail_act!I18*100)</f>
        <v>251.34162771493158</v>
      </c>
      <c r="J27" s="87">
        <f>IF(J14=0,0,J14/TrRail_act!J18*100)</f>
        <v>244.70406442567628</v>
      </c>
      <c r="K27" s="87">
        <f>IF(K14=0,0,K14/TrRail_act!K18*100)</f>
        <v>236.47056701601716</v>
      </c>
      <c r="L27" s="87">
        <f>IF(L14=0,0,L14/TrRail_act!L18*100)</f>
        <v>231.24919718245366</v>
      </c>
      <c r="M27" s="87">
        <f>IF(M14=0,0,M14/TrRail_act!M18*100)</f>
        <v>225.92410565050383</v>
      </c>
      <c r="N27" s="87">
        <f>IF(N14=0,0,N14/TrRail_act!N18*100)</f>
        <v>221.76061676246655</v>
      </c>
      <c r="O27" s="87">
        <f>IF(O14=0,0,O14/TrRail_act!O18*100)</f>
        <v>218.49614905336736</v>
      </c>
      <c r="P27" s="87">
        <f>IF(P14=0,0,P14/TrRail_act!P18*100)</f>
        <v>214.99045484547958</v>
      </c>
      <c r="Q27" s="87">
        <f>IF(Q14=0,0,Q14/TrRail_act!Q18*100)</f>
        <v>212.18168165888639</v>
      </c>
      <c r="R27" s="87">
        <f>IF(R14=0,0,R14/TrRail_act!R18*100)</f>
        <v>206.94772144765093</v>
      </c>
      <c r="S27" s="87">
        <f>IF(S14=0,0,S14/TrRail_act!S18*100)</f>
        <v>204.12268966705068</v>
      </c>
      <c r="T27" s="87">
        <f>IF(T14=0,0,T14/TrRail_act!T18*100)</f>
        <v>202.0292526001727</v>
      </c>
      <c r="U27" s="87">
        <f>IF(U14=0,0,U14/TrRail_act!U18*100)</f>
        <v>200.47327645412318</v>
      </c>
      <c r="V27" s="87">
        <f>IF(V14=0,0,V14/TrRail_act!V18*100)</f>
        <v>199.31416371969354</v>
      </c>
      <c r="W27" s="87">
        <f>IF(W14=0,0,W14/TrRail_act!W18*100)</f>
        <v>198.44922938252353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167.19636137519714</v>
      </c>
      <c r="C28" s="87">
        <f>IF(C15=0,0,C15/TrRail_act!C19*100)</f>
        <v>168.07905196988503</v>
      </c>
      <c r="D28" s="87">
        <f>IF(D15=0,0,D15/TrRail_act!D19*100)</f>
        <v>165.51988035679369</v>
      </c>
      <c r="E28" s="87">
        <f>IF(E15=0,0,E15/TrRail_act!E19*100)</f>
        <v>154.81094475488879</v>
      </c>
      <c r="F28" s="87">
        <f>IF(F15=0,0,F15/TrRail_act!F19*100)</f>
        <v>151.22324391498313</v>
      </c>
      <c r="G28" s="87">
        <f>IF(G15=0,0,G15/TrRail_act!G19*100)</f>
        <v>149.32297047161097</v>
      </c>
      <c r="H28" s="87">
        <f>IF(H15=0,0,H15/TrRail_act!H19*100)</f>
        <v>145.50382404216373</v>
      </c>
      <c r="I28" s="87">
        <f>IF(I15=0,0,I15/TrRail_act!I19*100)</f>
        <v>142.64720331030139</v>
      </c>
      <c r="J28" s="87">
        <f>IF(J15=0,0,J15/TrRail_act!J19*100)</f>
        <v>136.25713728264105</v>
      </c>
      <c r="K28" s="87">
        <f>IF(K15=0,0,K15/TrRail_act!K19*100)</f>
        <v>134.53133955952353</v>
      </c>
      <c r="L28" s="87">
        <f>IF(L15=0,0,L15/TrRail_act!L19*100)</f>
        <v>134.03052059891812</v>
      </c>
      <c r="M28" s="87">
        <f>IF(M15=0,0,M15/TrRail_act!M19*100)</f>
        <v>133.01581688086964</v>
      </c>
      <c r="N28" s="87">
        <f>IF(N15=0,0,N15/TrRail_act!N19*100)</f>
        <v>130.48438872382391</v>
      </c>
      <c r="O28" s="87">
        <f>IF(O15=0,0,O15/TrRail_act!O19*100)</f>
        <v>126.14270612227827</v>
      </c>
      <c r="P28" s="87">
        <f>IF(P15=0,0,P15/TrRail_act!P19*100)</f>
        <v>123.49065468777344</v>
      </c>
      <c r="Q28" s="87">
        <f>IF(Q15=0,0,Q15/TrRail_act!Q19*100)</f>
        <v>120.42089513583983</v>
      </c>
      <c r="R28" s="87">
        <f>IF(R15=0,0,R15/TrRail_act!R19*100)</f>
        <v>118.16875767770365</v>
      </c>
      <c r="S28" s="87">
        <f>IF(S15=0,0,S15/TrRail_act!S19*100)</f>
        <v>117.0898758345875</v>
      </c>
      <c r="T28" s="87">
        <f>IF(T15=0,0,T15/TrRail_act!T19*100)</f>
        <v>116.28718357901721</v>
      </c>
      <c r="U28" s="87">
        <f>IF(U15=0,0,U15/TrRail_act!U19*100)</f>
        <v>115.68877762609372</v>
      </c>
      <c r="V28" s="87">
        <f>IF(V15=0,0,V15/TrRail_act!V19*100)</f>
        <v>115.24199485704794</v>
      </c>
      <c r="W28" s="87">
        <f>IF(W15=0,0,W15/TrRail_act!W19*100)</f>
        <v>114.90804046842354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254.15895787684107</v>
      </c>
      <c r="C29" s="117">
        <f>IF(C16=0,0,C16/TrRail_act!C20*100)</f>
        <v>255.23055820768926</v>
      </c>
      <c r="D29" s="117">
        <f>IF(D16=0,0,D16/TrRail_act!D20*100)</f>
        <v>254.24335187770689</v>
      </c>
      <c r="E29" s="117">
        <f>IF(E16=0,0,E16/TrRail_act!E20*100)</f>
        <v>251.05711220341647</v>
      </c>
      <c r="F29" s="117">
        <f>IF(F16=0,0,F16/TrRail_act!F20*100)</f>
        <v>253.16682302191231</v>
      </c>
      <c r="G29" s="117">
        <f>IF(G16=0,0,G16/TrRail_act!G20*100)</f>
        <v>252.20403639702016</v>
      </c>
      <c r="H29" s="117">
        <f>IF(H16=0,0,H16/TrRail_act!H20*100)</f>
        <v>252.3788919756185</v>
      </c>
      <c r="I29" s="117">
        <f>IF(I16=0,0,I16/TrRail_act!I20*100)</f>
        <v>250.69946432076495</v>
      </c>
      <c r="J29" s="117">
        <f>IF(J16=0,0,J16/TrRail_act!J20*100)</f>
        <v>251.54080958173398</v>
      </c>
      <c r="K29" s="117">
        <f>IF(K16=0,0,K16/TrRail_act!K20*100)</f>
        <v>249.97356432199572</v>
      </c>
      <c r="L29" s="117">
        <f>IF(L16=0,0,L16/TrRail_act!L20*100)</f>
        <v>248.17144361735464</v>
      </c>
      <c r="M29" s="117">
        <f>IF(M16=0,0,M16/TrRail_act!M20*100)</f>
        <v>245.22571993716031</v>
      </c>
      <c r="N29" s="117">
        <f>IF(N16=0,0,N16/TrRail_act!N20*100)</f>
        <v>243.2171149376274</v>
      </c>
      <c r="O29" s="117">
        <f>IF(O16=0,0,O16/TrRail_act!O20*100)</f>
        <v>240.78036544604461</v>
      </c>
      <c r="P29" s="117">
        <f>IF(P16=0,0,P16/TrRail_act!P20*100)</f>
        <v>240.03759890484017</v>
      </c>
      <c r="Q29" s="117">
        <f>IF(Q16=0,0,Q16/TrRail_act!Q20*100)</f>
        <v>238.79860023142223</v>
      </c>
      <c r="R29" s="117">
        <f>IF(R16=0,0,R16/TrRail_act!R20*100)</f>
        <v>237.87354997220839</v>
      </c>
      <c r="S29" s="117">
        <f>IF(S16=0,0,S16/TrRail_act!S20*100)</f>
        <v>237.18211466077895</v>
      </c>
      <c r="T29" s="117">
        <f>IF(T16=0,0,T16/TrRail_act!T20*100)</f>
        <v>236.66485744072801</v>
      </c>
      <c r="U29" s="117">
        <f>IF(U16=0,0,U16/TrRail_act!U20*100)</f>
        <v>236.2776549475833</v>
      </c>
      <c r="V29" s="117">
        <f>IF(V16=0,0,V16/TrRail_act!V20*100)</f>
        <v>235.98766886491686</v>
      </c>
      <c r="W29" s="117">
        <f>IF(W16=0,0,W16/TrRail_act!W20*100)</f>
        <v>235.77041288565459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298.68971857638451</v>
      </c>
      <c r="C30" s="29">
        <f>IF(C17=0,0,C17/TrRail_act!C21*100)</f>
        <v>276.88776871101106</v>
      </c>
      <c r="D30" s="29">
        <f>IF(D17=0,0,D17/TrRail_act!D21*100)</f>
        <v>274.03812064381924</v>
      </c>
      <c r="E30" s="29">
        <f>IF(E17=0,0,E17/TrRail_act!E21*100)</f>
        <v>250.99992024105089</v>
      </c>
      <c r="F30" s="29">
        <f>IF(F17=0,0,F17/TrRail_act!F21*100)</f>
        <v>237.35079417828277</v>
      </c>
      <c r="G30" s="29">
        <f>IF(G17=0,0,G17/TrRail_act!G21*100)</f>
        <v>226.52184512989257</v>
      </c>
      <c r="H30" s="29">
        <f>IF(H17=0,0,H17/TrRail_act!H21*100)</f>
        <v>217.42729170673968</v>
      </c>
      <c r="I30" s="29">
        <f>IF(I17=0,0,I17/TrRail_act!I21*100)</f>
        <v>211.39300028209206</v>
      </c>
      <c r="J30" s="29">
        <f>IF(J17=0,0,J17/TrRail_act!J21*100)</f>
        <v>206.44876119333517</v>
      </c>
      <c r="K30" s="29">
        <f>IF(K17=0,0,K17/TrRail_act!K21*100)</f>
        <v>199.80973280448569</v>
      </c>
      <c r="L30" s="29">
        <f>IF(L17=0,0,L17/TrRail_act!L21*100)</f>
        <v>195.97264654373959</v>
      </c>
      <c r="M30" s="29">
        <f>IF(M17=0,0,M17/TrRail_act!M21*100)</f>
        <v>194.64622404162185</v>
      </c>
      <c r="N30" s="29">
        <f>IF(N17=0,0,N17/TrRail_act!N21*100)</f>
        <v>186.5941166805834</v>
      </c>
      <c r="O30" s="29">
        <f>IF(O17=0,0,O17/TrRail_act!O21*100)</f>
        <v>182.74352271066593</v>
      </c>
      <c r="P30" s="29">
        <f>IF(P17=0,0,P17/TrRail_act!P21*100)</f>
        <v>175.65962695135408</v>
      </c>
      <c r="Q30" s="29">
        <f>IF(Q17=0,0,Q17/TrRail_act!Q21*100)</f>
        <v>172.504466497278</v>
      </c>
      <c r="R30" s="29">
        <f>IF(R17=0,0,R17/TrRail_act!R21*100)</f>
        <v>168.55112107996811</v>
      </c>
      <c r="S30" s="29">
        <f>IF(S17=0,0,S17/TrRail_act!S21*100)</f>
        <v>168.0854348713452</v>
      </c>
      <c r="T30" s="29">
        <f>IF(T17=0,0,T17/TrRail_act!T21*100)</f>
        <v>165.77000794517701</v>
      </c>
      <c r="U30" s="29">
        <f>IF(U17=0,0,U17/TrRail_act!U21*100)</f>
        <v>166.96803140609615</v>
      </c>
      <c r="V30" s="29">
        <f>IF(V17=0,0,V17/TrRail_act!V21*100)</f>
        <v>166.58463316474953</v>
      </c>
      <c r="W30" s="29">
        <f>IF(W17=0,0,W17/TrRail_act!W21*100)</f>
        <v>167.86576745235192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681.14405283353801</v>
      </c>
      <c r="C31" s="87">
        <f>IF(C18=0,0,C18/TrRail_act!C22*100)</f>
        <v>563.32376896113453</v>
      </c>
      <c r="D31" s="87">
        <f>IF(D18=0,0,D18/TrRail_act!D22*100)</f>
        <v>559.60426034127181</v>
      </c>
      <c r="E31" s="87">
        <f>IF(E18=0,0,E18/TrRail_act!E22*100)</f>
        <v>555.06237406110768</v>
      </c>
      <c r="F31" s="87">
        <f>IF(F18=0,0,F18/TrRail_act!F22*100)</f>
        <v>552.32175104597263</v>
      </c>
      <c r="G31" s="87">
        <f>IF(G18=0,0,G18/TrRail_act!G22*100)</f>
        <v>547.32904427345761</v>
      </c>
      <c r="H31" s="87">
        <f>IF(H18=0,0,H18/TrRail_act!H22*100)</f>
        <v>544.99681858667282</v>
      </c>
      <c r="I31" s="87">
        <f>IF(I18=0,0,I18/TrRail_act!I22*100)</f>
        <v>540.50391487754257</v>
      </c>
      <c r="J31" s="87">
        <f>IF(J18=0,0,J18/TrRail_act!J22*100)</f>
        <v>535.35463567206773</v>
      </c>
      <c r="K31" s="87">
        <f>IF(K18=0,0,K18/TrRail_act!K22*100)</f>
        <v>532.15975527021214</v>
      </c>
      <c r="L31" s="87">
        <f>IF(L18=0,0,L18/TrRail_act!L22*100)</f>
        <v>528.21000623187217</v>
      </c>
      <c r="M31" s="87">
        <f>IF(M18=0,0,M18/TrRail_act!M22*100)</f>
        <v>513.28558242489271</v>
      </c>
      <c r="N31" s="87">
        <f>IF(N18=0,0,N18/TrRail_act!N22*100)</f>
        <v>501.26451441501587</v>
      </c>
      <c r="O31" s="87">
        <f>IF(O18=0,0,O18/TrRail_act!O22*100)</f>
        <v>492.73264384102794</v>
      </c>
      <c r="P31" s="87">
        <f>IF(P18=0,0,P18/TrRail_act!P22*100)</f>
        <v>483.6712095633863</v>
      </c>
      <c r="Q31" s="87">
        <f>IF(Q18=0,0,Q18/TrRail_act!Q22*100)</f>
        <v>471.2412398239274</v>
      </c>
      <c r="R31" s="87">
        <f>IF(R18=0,0,R18/TrRail_act!R22*100)</f>
        <v>459.62476879259304</v>
      </c>
      <c r="S31" s="87">
        <f>IF(S18=0,0,S18/TrRail_act!S22*100)</f>
        <v>455.00542438261721</v>
      </c>
      <c r="T31" s="87">
        <f>IF(T18=0,0,T18/TrRail_act!T22*100)</f>
        <v>452.69575217762934</v>
      </c>
      <c r="U31" s="87">
        <f>IF(U18=0,0,U18/TrRail_act!U22*100)</f>
        <v>450.38607997264143</v>
      </c>
      <c r="V31" s="87">
        <f>IF(V18=0,0,V18/TrRail_act!V22*100)</f>
        <v>448.66156238958501</v>
      </c>
      <c r="W31" s="87">
        <f>IF(W18=0,0,W18/TrRail_act!W22*100)</f>
        <v>447.37250889514621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228.94709174199397</v>
      </c>
      <c r="C32" s="88">
        <f>IF(C19=0,0,C19/TrRail_act!C23*100)</f>
        <v>232.40330547042274</v>
      </c>
      <c r="D32" s="88">
        <f>IF(D19=0,0,D19/TrRail_act!D23*100)</f>
        <v>228.81658114840894</v>
      </c>
      <c r="E32" s="88">
        <f>IF(E19=0,0,E19/TrRail_act!E23*100)</f>
        <v>211.42356575011667</v>
      </c>
      <c r="F32" s="88">
        <f>IF(F19=0,0,F19/TrRail_act!F23*100)</f>
        <v>204.12940326814447</v>
      </c>
      <c r="G32" s="88">
        <f>IF(G19=0,0,G19/TrRail_act!G23*100)</f>
        <v>194.51660711422414</v>
      </c>
      <c r="H32" s="88">
        <f>IF(H19=0,0,H19/TrRail_act!H23*100)</f>
        <v>186.87946873369893</v>
      </c>
      <c r="I32" s="88">
        <f>IF(I19=0,0,I19/TrRail_act!I23*100)</f>
        <v>180.71735094848151</v>
      </c>
      <c r="J32" s="88">
        <f>IF(J19=0,0,J19/TrRail_act!J23*100)</f>
        <v>174.19000475595504</v>
      </c>
      <c r="K32" s="88">
        <f>IF(K19=0,0,K19/TrRail_act!K23*100)</f>
        <v>170.29280343205048</v>
      </c>
      <c r="L32" s="88">
        <f>IF(L19=0,0,L19/TrRail_act!L23*100)</f>
        <v>168.29330861202911</v>
      </c>
      <c r="M32" s="88">
        <f>IF(M19=0,0,M19/TrRail_act!M23*100)</f>
        <v>165.00693223586629</v>
      </c>
      <c r="N32" s="88">
        <f>IF(N19=0,0,N19/TrRail_act!N23*100)</f>
        <v>161.68486585837522</v>
      </c>
      <c r="O32" s="88">
        <f>IF(O19=0,0,O19/TrRail_act!O23*100)</f>
        <v>160.21265751261438</v>
      </c>
      <c r="P32" s="88">
        <f>IF(P19=0,0,P19/TrRail_act!P23*100)</f>
        <v>154.59422490124985</v>
      </c>
      <c r="Q32" s="88">
        <f>IF(Q19=0,0,Q19/TrRail_act!Q23*100)</f>
        <v>150.59243275539617</v>
      </c>
      <c r="R32" s="88">
        <f>IF(R19=0,0,R19/TrRail_act!R23*100)</f>
        <v>147.65921711282522</v>
      </c>
      <c r="S32" s="88">
        <f>IF(S19=0,0,S19/TrRail_act!S23*100)</f>
        <v>146.95182855175801</v>
      </c>
      <c r="T32" s="88">
        <f>IF(T19=0,0,T19/TrRail_act!T23*100)</f>
        <v>146.42351196912549</v>
      </c>
      <c r="U32" s="88">
        <f>IF(U19=0,0,U19/TrRail_act!U23*100)</f>
        <v>146.02852137857701</v>
      </c>
      <c r="V32" s="88">
        <f>IF(V19=0,0,V19/TrRail_act!V23*100)</f>
        <v>145.73297784224138</v>
      </c>
      <c r="W32" s="88">
        <f>IF(W19=0,0,W19/TrRail_act!W23*100)</f>
        <v>145.51171278622789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10.439707700394395</v>
      </c>
      <c r="C35" s="29">
        <f>IF(C11=0,0,C11/TrRail_act!C4*1000)</f>
        <v>9.2353316452166982</v>
      </c>
      <c r="D35" s="29">
        <f>IF(D11=0,0,D11/TrRail_act!D4*1000)</f>
        <v>9.2196706843551226</v>
      </c>
      <c r="E35" s="29">
        <f>IF(E11=0,0,E11/TrRail_act!E4*1000)</f>
        <v>9.4592808234336321</v>
      </c>
      <c r="F35" s="29">
        <f>IF(F11=0,0,F11/TrRail_act!F4*1000)</f>
        <v>9.5396180526044159</v>
      </c>
      <c r="G35" s="29">
        <f>IF(G11=0,0,G11/TrRail_act!G4*1000)</f>
        <v>9.4067705618911539</v>
      </c>
      <c r="H35" s="29">
        <f>IF(H11=0,0,H11/TrRail_act!H4*1000)</f>
        <v>9.1998307881514219</v>
      </c>
      <c r="I35" s="29">
        <f>IF(I11=0,0,I11/TrRail_act!I4*1000)</f>
        <v>8.9886731448302264</v>
      </c>
      <c r="J35" s="29">
        <f>IF(J11=0,0,J11/TrRail_act!J4*1000)</f>
        <v>8.9527896548564101</v>
      </c>
      <c r="K35" s="29">
        <f>IF(K11=0,0,K11/TrRail_act!K4*1000)</f>
        <v>8.992524080290071</v>
      </c>
      <c r="L35" s="29">
        <f>IF(L11=0,0,L11/TrRail_act!L4*1000)</f>
        <v>8.8880341826408547</v>
      </c>
      <c r="M35" s="29">
        <f>IF(M11=0,0,M11/TrRail_act!M4*1000)</f>
        <v>8.524657393043757</v>
      </c>
      <c r="N35" s="29">
        <f>IF(N11=0,0,N11/TrRail_act!N4*1000)</f>
        <v>8.5421402416312073</v>
      </c>
      <c r="O35" s="29">
        <f>IF(O11=0,0,O11/TrRail_act!O4*1000)</f>
        <v>8.5638305574035023</v>
      </c>
      <c r="P35" s="29">
        <f>IF(P11=0,0,P11/TrRail_act!P4*1000)</f>
        <v>8.3523154173761078</v>
      </c>
      <c r="Q35" s="29">
        <f>IF(Q11=0,0,Q11/TrRail_act!Q4*1000)</f>
        <v>8.4580754950104726</v>
      </c>
      <c r="R35" s="29">
        <f>IF(R11=0,0,R11/TrRail_act!R4*1000)</f>
        <v>8.2283506581707417</v>
      </c>
      <c r="S35" s="29">
        <f>IF(S11=0,0,S11/TrRail_act!S4*1000)</f>
        <v>7.7030337364798642</v>
      </c>
      <c r="T35" s="29">
        <f>IF(T11=0,0,T11/TrRail_act!T4*1000)</f>
        <v>7.40419672742006</v>
      </c>
      <c r="U35" s="29">
        <f>IF(U11=0,0,U11/TrRail_act!U4*1000)</f>
        <v>7.0928564545560402</v>
      </c>
      <c r="V35" s="29">
        <f>IF(V11=0,0,V11/TrRail_act!V4*1000)</f>
        <v>9.6275423865395133</v>
      </c>
      <c r="W35" s="29">
        <f>IF(W11=0,0,W11/TrRail_act!W4*1000)</f>
        <v>8.0634046359507039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4.8524543199841093</v>
      </c>
      <c r="C36" s="115">
        <f>IF(C12=0,0,C12/TrRail_act!C5*1000)</f>
        <v>5.0407680062143907</v>
      </c>
      <c r="D36" s="115">
        <f>IF(D12=0,0,D12/TrRail_act!D5*1000)</f>
        <v>4.9645164429896749</v>
      </c>
      <c r="E36" s="115">
        <f>IF(E12=0,0,E12/TrRail_act!E5*1000)</f>
        <v>4.9732129904420379</v>
      </c>
      <c r="F36" s="115">
        <f>IF(F12=0,0,F12/TrRail_act!F5*1000)</f>
        <v>4.9154476051892635</v>
      </c>
      <c r="G36" s="115">
        <f>IF(G12=0,0,G12/TrRail_act!G5*1000)</f>
        <v>4.6686093892814338</v>
      </c>
      <c r="H36" s="115">
        <f>IF(H12=0,0,H12/TrRail_act!H5*1000)</f>
        <v>4.4768545167594205</v>
      </c>
      <c r="I36" s="115">
        <f>IF(I12=0,0,I12/TrRail_act!I5*1000)</f>
        <v>4.3195857090202754</v>
      </c>
      <c r="J36" s="115">
        <f>IF(J12=0,0,J12/TrRail_act!J5*1000)</f>
        <v>4.3625008166189234</v>
      </c>
      <c r="K36" s="115">
        <f>IF(K12=0,0,K12/TrRail_act!K5*1000)</f>
        <v>4.2582741295463897</v>
      </c>
      <c r="L36" s="115">
        <f>IF(L12=0,0,L12/TrRail_act!L5*1000)</f>
        <v>4.1923359198011569</v>
      </c>
      <c r="M36" s="115">
        <f>IF(M12=0,0,M12/TrRail_act!M5*1000)</f>
        <v>4.1802913697774731</v>
      </c>
      <c r="N36" s="115">
        <f>IF(N12=0,0,N12/TrRail_act!N5*1000)</f>
        <v>4.0320026747711157</v>
      </c>
      <c r="O36" s="115">
        <f>IF(O12=0,0,O12/TrRail_act!O5*1000)</f>
        <v>4.0386436280564233</v>
      </c>
      <c r="P36" s="115">
        <f>IF(P12=0,0,P12/TrRail_act!P5*1000)</f>
        <v>3.9373701562893721</v>
      </c>
      <c r="Q36" s="115">
        <f>IF(Q12=0,0,Q12/TrRail_act!Q5*1000)</f>
        <v>3.8890201177168948</v>
      </c>
      <c r="R36" s="115">
        <f>IF(R12=0,0,R12/TrRail_act!R5*1000)</f>
        <v>3.8144681870745152</v>
      </c>
      <c r="S36" s="115">
        <f>IF(S12=0,0,S12/TrRail_act!S5*1000)</f>
        <v>3.7392651611757901</v>
      </c>
      <c r="T36" s="115">
        <f>IF(T12=0,0,T12/TrRail_act!T5*1000)</f>
        <v>3.6750150515005475</v>
      </c>
      <c r="U36" s="115">
        <f>IF(U12=0,0,U12/TrRail_act!U5*1000)</f>
        <v>3.615331444109593</v>
      </c>
      <c r="V36" s="115">
        <f>IF(V12=0,0,V12/TrRail_act!V5*1000)</f>
        <v>4.8150622571058133</v>
      </c>
      <c r="W36" s="115">
        <f>IF(W12=0,0,W12/TrRail_act!W5*1000)</f>
        <v>4.3673903328160284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14.901067197492896</v>
      </c>
      <c r="C37" s="116">
        <f>IF(C13=0,0,C13/TrRail_act!C6*1000)</f>
        <v>12.297429453972143</v>
      </c>
      <c r="D37" s="116">
        <f>IF(D13=0,0,D13/TrRail_act!D6*1000)</f>
        <v>12.528508271466217</v>
      </c>
      <c r="E37" s="116">
        <f>IF(E13=0,0,E13/TrRail_act!E6*1000)</f>
        <v>13.328196397702328</v>
      </c>
      <c r="F37" s="116">
        <f>IF(F13=0,0,F13/TrRail_act!F6*1000)</f>
        <v>13.452101762156538</v>
      </c>
      <c r="G37" s="116">
        <f>IF(G13=0,0,G13/TrRail_act!G6*1000)</f>
        <v>13.411365804628504</v>
      </c>
      <c r="H37" s="116">
        <f>IF(H13=0,0,H13/TrRail_act!H6*1000)</f>
        <v>13.103018267392507</v>
      </c>
      <c r="I37" s="116">
        <f>IF(I13=0,0,I13/TrRail_act!I6*1000)</f>
        <v>13.176822012254915</v>
      </c>
      <c r="J37" s="116">
        <f>IF(J13=0,0,J13/TrRail_act!J6*1000)</f>
        <v>13.310460406977285</v>
      </c>
      <c r="K37" s="116">
        <f>IF(K13=0,0,K13/TrRail_act!K6*1000)</f>
        <v>13.264095485149475</v>
      </c>
      <c r="L37" s="116">
        <f>IF(L13=0,0,L13/TrRail_act!L6*1000)</f>
        <v>13.244915243359912</v>
      </c>
      <c r="M37" s="116">
        <f>IF(M13=0,0,M13/TrRail_act!M6*1000)</f>
        <v>12.201673644625545</v>
      </c>
      <c r="N37" s="116">
        <f>IF(N13=0,0,N13/TrRail_act!N6*1000)</f>
        <v>11.705111177750849</v>
      </c>
      <c r="O37" s="116">
        <f>IF(O13=0,0,O13/TrRail_act!O6*1000)</f>
        <v>11.79716429484658</v>
      </c>
      <c r="P37" s="116">
        <f>IF(P13=0,0,P13/TrRail_act!P6*1000)</f>
        <v>11.656102638319208</v>
      </c>
      <c r="Q37" s="116">
        <f>IF(Q13=0,0,Q13/TrRail_act!Q6*1000)</f>
        <v>11.430879259465339</v>
      </c>
      <c r="R37" s="116">
        <f>IF(R13=0,0,R13/TrRail_act!R6*1000)</f>
        <v>11.485651933628198</v>
      </c>
      <c r="S37" s="116">
        <f>IF(S13=0,0,S13/TrRail_act!S6*1000)</f>
        <v>11.50532386546473</v>
      </c>
      <c r="T37" s="116">
        <f>IF(T13=0,0,T13/TrRail_act!T6*1000)</f>
        <v>11.209136241744385</v>
      </c>
      <c r="U37" s="116">
        <f>IF(U13=0,0,U13/TrRail_act!U6*1000)</f>
        <v>10.540915389435613</v>
      </c>
      <c r="V37" s="116">
        <f>IF(V13=0,0,V13/TrRail_act!V6*1000)</f>
        <v>14.830547169491263</v>
      </c>
      <c r="W37" s="116">
        <f>IF(W13=0,0,W13/TrRail_act!W6*1000)</f>
        <v>11.480314081658697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35.291139054464558</v>
      </c>
      <c r="C38" s="87">
        <f>IF(C14=0,0,C14/TrRail_act!C7*1000)</f>
        <v>23.095685434826876</v>
      </c>
      <c r="D38" s="87">
        <f>IF(D14=0,0,D14/TrRail_act!D7*1000)</f>
        <v>23.794184336528566</v>
      </c>
      <c r="E38" s="87">
        <f>IF(E14=0,0,E14/TrRail_act!E7*1000)</f>
        <v>23.605813799768907</v>
      </c>
      <c r="F38" s="87">
        <f>IF(F14=0,0,F14/TrRail_act!F7*1000)</f>
        <v>24.109170443800124</v>
      </c>
      <c r="G38" s="87">
        <f>IF(G14=0,0,G14/TrRail_act!G7*1000)</f>
        <v>22.413000552827594</v>
      </c>
      <c r="H38" s="87">
        <f>IF(H14=0,0,H14/TrRail_act!H7*1000)</f>
        <v>21.037214505989521</v>
      </c>
      <c r="I38" s="87">
        <f>IF(I14=0,0,I14/TrRail_act!I7*1000)</f>
        <v>20.839116557540759</v>
      </c>
      <c r="J38" s="87">
        <f>IF(J14=0,0,J14/TrRail_act!J7*1000)</f>
        <v>21.946372651210833</v>
      </c>
      <c r="K38" s="87">
        <f>IF(K14=0,0,K14/TrRail_act!K7*1000)</f>
        <v>21.832573496829486</v>
      </c>
      <c r="L38" s="87">
        <f>IF(L14=0,0,L14/TrRail_act!L7*1000)</f>
        <v>21.265839883622736</v>
      </c>
      <c r="M38" s="87">
        <f>IF(M14=0,0,M14/TrRail_act!M7*1000)</f>
        <v>19.70857745803983</v>
      </c>
      <c r="N38" s="87">
        <f>IF(N14=0,0,N14/TrRail_act!N7*1000)</f>
        <v>18.874171083888122</v>
      </c>
      <c r="O38" s="87">
        <f>IF(O14=0,0,O14/TrRail_act!O7*1000)</f>
        <v>19.303614522470696</v>
      </c>
      <c r="P38" s="87">
        <f>IF(P14=0,0,P14/TrRail_act!P7*1000)</f>
        <v>19.263482955943918</v>
      </c>
      <c r="Q38" s="87">
        <f>IF(Q14=0,0,Q14/TrRail_act!Q7*1000)</f>
        <v>18.652448987537909</v>
      </c>
      <c r="R38" s="87">
        <f>IF(R14=0,0,R14/TrRail_act!R7*1000)</f>
        <v>18.427843254039875</v>
      </c>
      <c r="S38" s="87">
        <f>IF(S14=0,0,S14/TrRail_act!S7*1000)</f>
        <v>19.088605960640127</v>
      </c>
      <c r="T38" s="87">
        <f>IF(T14=0,0,T14/TrRail_act!T7*1000)</f>
        <v>18.280956057237891</v>
      </c>
      <c r="U38" s="87">
        <f>IF(U14=0,0,U14/TrRail_act!U7*1000)</f>
        <v>17.062945957981466</v>
      </c>
      <c r="V38" s="87">
        <f>IF(V14=0,0,V14/TrRail_act!V7*1000)</f>
        <v>26.133632930155475</v>
      </c>
      <c r="W38" s="87">
        <f>IF(W14=0,0,W14/TrRail_act!W7*1000)</f>
        <v>20.756558090789834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10.261876576566435</v>
      </c>
      <c r="C39" s="87">
        <f>IF(C15=0,0,C15/TrRail_act!C8*1000)</f>
        <v>9.8356886791659086</v>
      </c>
      <c r="D39" s="87">
        <f>IF(D15=0,0,D15/TrRail_act!D8*1000)</f>
        <v>9.9007155763398753</v>
      </c>
      <c r="E39" s="87">
        <f>IF(E15=0,0,E15/TrRail_act!E8*1000)</f>
        <v>10.878767868148261</v>
      </c>
      <c r="F39" s="87">
        <f>IF(F15=0,0,F15/TrRail_act!F8*1000)</f>
        <v>10.857027198964126</v>
      </c>
      <c r="G39" s="87">
        <f>IF(G15=0,0,G15/TrRail_act!G8*1000)</f>
        <v>11.224349154685669</v>
      </c>
      <c r="H39" s="87">
        <f>IF(H15=0,0,H15/TrRail_act!H8*1000)</f>
        <v>11.175575619286438</v>
      </c>
      <c r="I39" s="87">
        <f>IF(I15=0,0,I15/TrRail_act!I8*1000)</f>
        <v>11.416799565294792</v>
      </c>
      <c r="J39" s="87">
        <f>IF(J15=0,0,J15/TrRail_act!J8*1000)</f>
        <v>11.390338799619249</v>
      </c>
      <c r="K39" s="87">
        <f>IF(K15=0,0,K15/TrRail_act!K8*1000)</f>
        <v>11.440819423625038</v>
      </c>
      <c r="L39" s="87">
        <f>IF(L15=0,0,L15/TrRail_act!L8*1000)</f>
        <v>11.589138975943426</v>
      </c>
      <c r="M39" s="87">
        <f>IF(M15=0,0,M15/TrRail_act!M8*1000)</f>
        <v>10.652908268698436</v>
      </c>
      <c r="N39" s="87">
        <f>IF(N15=0,0,N15/TrRail_act!N8*1000)</f>
        <v>10.287634135501957</v>
      </c>
      <c r="O39" s="87">
        <f>IF(O15=0,0,O15/TrRail_act!O8*1000)</f>
        <v>10.367887405934166</v>
      </c>
      <c r="P39" s="87">
        <f>IF(P15=0,0,P15/TrRail_act!P8*1000)</f>
        <v>10.287402647815645</v>
      </c>
      <c r="Q39" s="87">
        <f>IF(Q15=0,0,Q15/TrRail_act!Q8*1000)</f>
        <v>10.099381589325629</v>
      </c>
      <c r="R39" s="87">
        <f>IF(R15=0,0,R15/TrRail_act!R8*1000)</f>
        <v>10.341300168592905</v>
      </c>
      <c r="S39" s="87">
        <f>IF(S15=0,0,S15/TrRail_act!S8*1000)</f>
        <v>10.179101205256561</v>
      </c>
      <c r="T39" s="87">
        <f>IF(T15=0,0,T15/TrRail_act!T8*1000)</f>
        <v>10.016552543731059</v>
      </c>
      <c r="U39" s="87">
        <f>IF(U15=0,0,U15/TrRail_act!U8*1000)</f>
        <v>9.41246026405158</v>
      </c>
      <c r="V39" s="87">
        <f>IF(V15=0,0,V15/TrRail_act!V8*1000)</f>
        <v>13.055402687148559</v>
      </c>
      <c r="W39" s="87">
        <f>IF(W15=0,0,W15/TrRail_act!W8*1000)</f>
        <v>9.9062603758538117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6.5262538283399847</v>
      </c>
      <c r="C40" s="117">
        <f>IF(C16=0,0,C16/TrRail_act!C9*1000)</f>
        <v>6.881455752049221</v>
      </c>
      <c r="D40" s="117">
        <f>IF(D16=0,0,D16/TrRail_act!D9*1000)</f>
        <v>6.8548320873795383</v>
      </c>
      <c r="E40" s="117">
        <f>IF(E16=0,0,E16/TrRail_act!E9*1000)</f>
        <v>6.7689347556806894</v>
      </c>
      <c r="F40" s="117">
        <f>IF(F16=0,0,F16/TrRail_act!F9*1000)</f>
        <v>6.8947666290603351</v>
      </c>
      <c r="G40" s="117">
        <f>IF(G16=0,0,G16/TrRail_act!G9*1000)</f>
        <v>6.7998658593656911</v>
      </c>
      <c r="H40" s="117">
        <f>IF(H16=0,0,H16/TrRail_act!H9*1000)</f>
        <v>6.6597756819443159</v>
      </c>
      <c r="I40" s="117">
        <f>IF(I16=0,0,I16/TrRail_act!I9*1000)</f>
        <v>6.4555444035092586</v>
      </c>
      <c r="J40" s="117">
        <f>IF(J16=0,0,J16/TrRail_act!J9*1000)</f>
        <v>6.4967360714807398</v>
      </c>
      <c r="K40" s="117">
        <f>IF(K16=0,0,K16/TrRail_act!K9*1000)</f>
        <v>6.5356021159870732</v>
      </c>
      <c r="L40" s="117">
        <f>IF(L16=0,0,L16/TrRail_act!L9*1000)</f>
        <v>6.37741147703876</v>
      </c>
      <c r="M40" s="117">
        <f>IF(M16=0,0,M16/TrRail_act!M9*1000)</f>
        <v>6.1932633848692182</v>
      </c>
      <c r="N40" s="117">
        <f>IF(N16=0,0,N16/TrRail_act!N9*1000)</f>
        <v>6.694776711722799</v>
      </c>
      <c r="O40" s="117">
        <f>IF(O16=0,0,O16/TrRail_act!O9*1000)</f>
        <v>6.6399929221392373</v>
      </c>
      <c r="P40" s="117">
        <f>IF(P16=0,0,P16/TrRail_act!P9*1000)</f>
        <v>6.3900472886491064</v>
      </c>
      <c r="Q40" s="117">
        <f>IF(Q16=0,0,Q16/TrRail_act!Q9*1000)</f>
        <v>6.7319109260735193</v>
      </c>
      <c r="R40" s="117">
        <f>IF(R16=0,0,R16/TrRail_act!R9*1000)</f>
        <v>6.3207193878259602</v>
      </c>
      <c r="S40" s="117">
        <f>IF(S16=0,0,S16/TrRail_act!S9*1000)</f>
        <v>5.6655108660501901</v>
      </c>
      <c r="T40" s="117">
        <f>IF(T16=0,0,T16/TrRail_act!T9*1000)</f>
        <v>5.4011210978117958</v>
      </c>
      <c r="U40" s="117">
        <f>IF(U16=0,0,U16/TrRail_act!U9*1000)</f>
        <v>5.277505873889841</v>
      </c>
      <c r="V40" s="117">
        <f>IF(V16=0,0,V16/TrRail_act!V9*1000)</f>
        <v>6.9457647500450896</v>
      </c>
      <c r="W40" s="117">
        <f>IF(W16=0,0,W16/TrRail_act!W9*1000)</f>
        <v>6.3526220358077268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5.5210769303994809</v>
      </c>
      <c r="C41" s="29">
        <f>IF(C17=0,0,C17/TrRail_act!C10*1000)</f>
        <v>5.5566796907827971</v>
      </c>
      <c r="D41" s="29">
        <f>IF(D17=0,0,D17/TrRail_act!D10*1000)</f>
        <v>5.6112235786214519</v>
      </c>
      <c r="E41" s="29">
        <f>IF(E17=0,0,E17/TrRail_act!E10*1000)</f>
        <v>5.803890497603847</v>
      </c>
      <c r="F41" s="29">
        <f>IF(F17=0,0,F17/TrRail_act!F10*1000)</f>
        <v>5.5002284413793872</v>
      </c>
      <c r="G41" s="29">
        <f>IF(G17=0,0,G17/TrRail_act!G10*1000)</f>
        <v>4.9441410262901311</v>
      </c>
      <c r="H41" s="29">
        <f>IF(H17=0,0,H17/TrRail_act!H10*1000)</f>
        <v>4.5689116640732594</v>
      </c>
      <c r="I41" s="29">
        <f>IF(I17=0,0,I17/TrRail_act!I10*1000)</f>
        <v>4.187215958971815</v>
      </c>
      <c r="J41" s="29">
        <f>IF(J17=0,0,J17/TrRail_act!J10*1000)</f>
        <v>4.1905592049563829</v>
      </c>
      <c r="K41" s="29">
        <f>IF(K17=0,0,K17/TrRail_act!K10*1000)</f>
        <v>4.1941031010636225</v>
      </c>
      <c r="L41" s="29">
        <f>IF(L17=0,0,L17/TrRail_act!L10*1000)</f>
        <v>4.3036255128429355</v>
      </c>
      <c r="M41" s="29">
        <f>IF(M17=0,0,M17/TrRail_act!M10*1000)</f>
        <v>3.4507203187958653</v>
      </c>
      <c r="N41" s="29">
        <f>IF(N17=0,0,N17/TrRail_act!N10*1000)</f>
        <v>3.4141159628334785</v>
      </c>
      <c r="O41" s="29">
        <f>IF(O17=0,0,O17/TrRail_act!O10*1000)</f>
        <v>3.8317714925024995</v>
      </c>
      <c r="P41" s="29">
        <f>IF(P17=0,0,P17/TrRail_act!P10*1000)</f>
        <v>3.516086658408569</v>
      </c>
      <c r="Q41" s="29">
        <f>IF(Q17=0,0,Q17/TrRail_act!Q10*1000)</f>
        <v>3.140750136319892</v>
      </c>
      <c r="R41" s="29">
        <f>IF(R17=0,0,R17/TrRail_act!R10*1000)</f>
        <v>3.0583506355864603</v>
      </c>
      <c r="S41" s="29">
        <f>IF(S17=0,0,S17/TrRail_act!S10*1000)</f>
        <v>3.1830852274259769</v>
      </c>
      <c r="T41" s="29">
        <f>IF(T17=0,0,T17/TrRail_act!T10*1000)</f>
        <v>3.148361246730671</v>
      </c>
      <c r="U41" s="29">
        <f>IF(U17=0,0,U17/TrRail_act!U10*1000)</f>
        <v>3.1128021421713652</v>
      </c>
      <c r="V41" s="29">
        <f>IF(V17=0,0,V17/TrRail_act!V10*1000)</f>
        <v>3.5583724674577661</v>
      </c>
      <c r="W41" s="29">
        <f>IF(W17=0,0,W17/TrRail_act!W10*1000)</f>
        <v>3.3576921143833021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14.438346037572657</v>
      </c>
      <c r="C42" s="87">
        <f>IF(C18=0,0,C18/TrRail_act!C11*1000)</f>
        <v>10.507961669222787</v>
      </c>
      <c r="D42" s="87">
        <f>IF(D18=0,0,D18/TrRail_act!D11*1000)</f>
        <v>11.000034694574541</v>
      </c>
      <c r="E42" s="87">
        <f>IF(E18=0,0,E18/TrRail_act!E11*1000)</f>
        <v>10.055637073727</v>
      </c>
      <c r="F42" s="87">
        <f>IF(F18=0,0,F18/TrRail_act!F11*1000)</f>
        <v>8.8404495668209346</v>
      </c>
      <c r="G42" s="87">
        <f>IF(G18=0,0,G18/TrRail_act!G11*1000)</f>
        <v>8.9347818478972361</v>
      </c>
      <c r="H42" s="87">
        <f>IF(H18=0,0,H18/TrRail_act!H11*1000)</f>
        <v>8.3516577075110021</v>
      </c>
      <c r="I42" s="87">
        <f>IF(I18=0,0,I18/TrRail_act!I11*1000)</f>
        <v>8.2898257807964644</v>
      </c>
      <c r="J42" s="87">
        <f>IF(J18=0,0,J18/TrRail_act!J11*1000)</f>
        <v>8.8314539196680002</v>
      </c>
      <c r="K42" s="87">
        <f>IF(K18=0,0,K18/TrRail_act!K11*1000)</f>
        <v>8.6798690473752131</v>
      </c>
      <c r="L42" s="87">
        <f>IF(L18=0,0,L18/TrRail_act!L11*1000)</f>
        <v>8.8735146219656649</v>
      </c>
      <c r="M42" s="87">
        <f>IF(M18=0,0,M18/TrRail_act!M11*1000)</f>
        <v>7.487018283022743</v>
      </c>
      <c r="N42" s="87">
        <f>IF(N18=0,0,N18/TrRail_act!N11*1000)</f>
        <v>7.0888276362947984</v>
      </c>
      <c r="O42" s="87">
        <f>IF(O18=0,0,O18/TrRail_act!O11*1000)</f>
        <v>7.5015098338566881</v>
      </c>
      <c r="P42" s="87">
        <f>IF(P18=0,0,P18/TrRail_act!P11*1000)</f>
        <v>6.8697919934312415</v>
      </c>
      <c r="Q42" s="87">
        <f>IF(Q18=0,0,Q18/TrRail_act!Q11*1000)</f>
        <v>6.4786210792769738</v>
      </c>
      <c r="R42" s="87">
        <f>IF(R18=0,0,R18/TrRail_act!R11*1000)</f>
        <v>6.7578382073731857</v>
      </c>
      <c r="S42" s="87">
        <f>IF(S18=0,0,S18/TrRail_act!S11*1000)</f>
        <v>6.7743714626741429</v>
      </c>
      <c r="T42" s="87">
        <f>IF(T18=0,0,T18/TrRail_act!T11*1000)</f>
        <v>6.5563490242643487</v>
      </c>
      <c r="U42" s="87">
        <f>IF(U18=0,0,U18/TrRail_act!U11*1000)</f>
        <v>6.9309621110153783</v>
      </c>
      <c r="V42" s="87">
        <f>IF(V18=0,0,V18/TrRail_act!V11*1000)</f>
        <v>7.7621662867569645</v>
      </c>
      <c r="W42" s="87">
        <f>IF(W18=0,0,W18/TrRail_act!W11*1000)</f>
        <v>7.5834527851105555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4.1354178867629701</v>
      </c>
      <c r="C43" s="88">
        <f>IF(C19=0,0,C19/TrRail_act!C12*1000)</f>
        <v>4.7195441782301524</v>
      </c>
      <c r="D43" s="88">
        <f>IF(D19=0,0,D19/TrRail_act!D12*1000)</f>
        <v>4.7163926049342777</v>
      </c>
      <c r="E43" s="88">
        <f>IF(E19=0,0,E19/TrRail_act!E12*1000)</f>
        <v>5.0711862214896142</v>
      </c>
      <c r="F43" s="88">
        <f>IF(F19=0,0,F19/TrRail_act!F12*1000)</f>
        <v>4.9648722518337216</v>
      </c>
      <c r="G43" s="88">
        <f>IF(G19=0,0,G19/TrRail_act!G12*1000)</f>
        <v>4.3933089779910688</v>
      </c>
      <c r="H43" s="88">
        <f>IF(H19=0,0,H19/TrRail_act!H12*1000)</f>
        <v>4.0678321252773912</v>
      </c>
      <c r="I43" s="88">
        <f>IF(I19=0,0,I19/TrRail_act!I12*1000)</f>
        <v>3.6795685424193754</v>
      </c>
      <c r="J43" s="88">
        <f>IF(J19=0,0,J19/TrRail_act!J12*1000)</f>
        <v>3.617530887190104</v>
      </c>
      <c r="K43" s="88">
        <f>IF(K19=0,0,K19/TrRail_act!K12*1000)</f>
        <v>3.6679967175378154</v>
      </c>
      <c r="L43" s="88">
        <f>IF(L19=0,0,L19/TrRail_act!L12*1000)</f>
        <v>3.792857672131178</v>
      </c>
      <c r="M43" s="88">
        <f>IF(M19=0,0,M19/TrRail_act!M12*1000)</f>
        <v>2.9850753614312997</v>
      </c>
      <c r="N43" s="88">
        <f>IF(N19=0,0,N19/TrRail_act!N12*1000)</f>
        <v>3.0287962103517896</v>
      </c>
      <c r="O43" s="88">
        <f>IF(O19=0,0,O19/TrRail_act!O12*1000)</f>
        <v>3.4540584145663642</v>
      </c>
      <c r="P43" s="88">
        <f>IF(P19=0,0,P19/TrRail_act!P12*1000)</f>
        <v>3.1835408930252673</v>
      </c>
      <c r="Q43" s="88">
        <f>IF(Q19=0,0,Q19/TrRail_act!Q12*1000)</f>
        <v>2.808616030401518</v>
      </c>
      <c r="R43" s="88">
        <f>IF(R19=0,0,R19/TrRail_act!R12*1000)</f>
        <v>2.7250567618408739</v>
      </c>
      <c r="S43" s="88">
        <f>IF(S19=0,0,S19/TrRail_act!S12*1000)</f>
        <v>2.8397520150730764</v>
      </c>
      <c r="T43" s="88">
        <f>IF(T19=0,0,T19/TrRail_act!T12*1000)</f>
        <v>2.8405613064970656</v>
      </c>
      <c r="U43" s="88">
        <f>IF(U19=0,0,U19/TrRail_act!U12*1000)</f>
        <v>2.7656327791322779</v>
      </c>
      <c r="V43" s="88">
        <f>IF(V19=0,0,V19/TrRail_act!V12*1000)</f>
        <v>3.1679212049049634</v>
      </c>
      <c r="W43" s="88">
        <f>IF(W19=0,0,W19/TrRail_act!W12*1000)</f>
        <v>2.9530721320701434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355449.8835964583</v>
      </c>
      <c r="C45" s="54">
        <f>IF(C10=0,0,1000000*C10/TrRail_act!C25)</f>
        <v>329572.11143569846</v>
      </c>
      <c r="D45" s="54">
        <f>IF(D10=0,0,1000000*D10/TrRail_act!D25)</f>
        <v>333123.22121762304</v>
      </c>
      <c r="E45" s="54">
        <f>IF(E10=0,0,1000000*E10/TrRail_act!E25)</f>
        <v>313481.1644160815</v>
      </c>
      <c r="F45" s="54">
        <f>IF(F10=0,0,1000000*F10/TrRail_act!F25)</f>
        <v>300507.03228340513</v>
      </c>
      <c r="G45" s="54">
        <f>IF(G10=0,0,1000000*G10/TrRail_act!G25)</f>
        <v>287665.44466980069</v>
      </c>
      <c r="H45" s="54">
        <f>IF(H10=0,0,1000000*H10/TrRail_act!H25)</f>
        <v>282168.37793217826</v>
      </c>
      <c r="I45" s="54">
        <f>IF(I10=0,0,1000000*I10/TrRail_act!I25)</f>
        <v>278789.72542238107</v>
      </c>
      <c r="J45" s="54">
        <f>IF(J10=0,0,1000000*J10/TrRail_act!J25)</f>
        <v>271768.46953749657</v>
      </c>
      <c r="K45" s="54">
        <f>IF(K10=0,0,1000000*K10/TrRail_act!K25)</f>
        <v>266549.01770986471</v>
      </c>
      <c r="L45" s="54">
        <f>IF(L10=0,0,1000000*L10/TrRail_act!L25)</f>
        <v>263433.42400187964</v>
      </c>
      <c r="M45" s="54">
        <f>IF(M10=0,0,1000000*M10/TrRail_act!M25)</f>
        <v>257126.97543425742</v>
      </c>
      <c r="N45" s="54">
        <f>IF(N10=0,0,1000000*N10/TrRail_act!N25)</f>
        <v>255215.53053400383</v>
      </c>
      <c r="O45" s="54">
        <f>IF(O10=0,0,1000000*O10/TrRail_act!O25)</f>
        <v>250497.00780112471</v>
      </c>
      <c r="P45" s="54">
        <f>IF(P10=0,0,1000000*P10/TrRail_act!P25)</f>
        <v>242955.30143061161</v>
      </c>
      <c r="Q45" s="54">
        <f>IF(Q10=0,0,1000000*Q10/TrRail_act!Q25)</f>
        <v>241289.34550368838</v>
      </c>
      <c r="R45" s="54">
        <f>IF(R10=0,0,1000000*R10/TrRail_act!R25)</f>
        <v>232873.42170366814</v>
      </c>
      <c r="S45" s="54">
        <f>IF(S10=0,0,1000000*S10/TrRail_act!S25)</f>
        <v>235752.0838713393</v>
      </c>
      <c r="T45" s="54">
        <f>IF(T10=0,0,1000000*T10/TrRail_act!T25)</f>
        <v>228811.11302490305</v>
      </c>
      <c r="U45" s="54">
        <f>IF(U10=0,0,1000000*U10/TrRail_act!U25)</f>
        <v>232716.516215412</v>
      </c>
      <c r="V45" s="54">
        <f>IF(V10=0,0,1000000*V10/TrRail_act!V25)</f>
        <v>203523.16347709164</v>
      </c>
      <c r="W45" s="54">
        <f>IF(W10=0,0,1000000*W10/TrRail_act!W25)</f>
        <v>236223.80513171427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309184.60794306226</v>
      </c>
      <c r="C46" s="28">
        <f>IF(C11=0,0,1000000*C11/TrRail_act!C26)</f>
        <v>287294.27354756609</v>
      </c>
      <c r="D46" s="28">
        <f>IF(D11=0,0,1000000*D11/TrRail_act!D26)</f>
        <v>291854.20600514091</v>
      </c>
      <c r="E46" s="28">
        <f>IF(E11=0,0,1000000*E11/TrRail_act!E26)</f>
        <v>277257.92590871861</v>
      </c>
      <c r="F46" s="28">
        <f>IF(F11=0,0,1000000*F11/TrRail_act!F26)</f>
        <v>271992.36781566485</v>
      </c>
      <c r="G46" s="28">
        <f>IF(G11=0,0,1000000*G11/TrRail_act!G26)</f>
        <v>267648.67865097534</v>
      </c>
      <c r="H46" s="28">
        <f>IF(H11=0,0,1000000*H11/TrRail_act!H26)</f>
        <v>262627.21058498858</v>
      </c>
      <c r="I46" s="28">
        <f>IF(I11=0,0,1000000*I11/TrRail_act!I26)</f>
        <v>260745.99034329053</v>
      </c>
      <c r="J46" s="28">
        <f>IF(J11=0,0,1000000*J11/TrRail_act!J26)</f>
        <v>255802.94359997529</v>
      </c>
      <c r="K46" s="28">
        <f>IF(K11=0,0,1000000*K11/TrRail_act!K26)</f>
        <v>255508.23814647555</v>
      </c>
      <c r="L46" s="28">
        <f>IF(L11=0,0,1000000*L11/TrRail_act!L26)</f>
        <v>251712.65952136941</v>
      </c>
      <c r="M46" s="28">
        <f>IF(M11=0,0,1000000*M11/TrRail_act!M26)</f>
        <v>246169.39602197905</v>
      </c>
      <c r="N46" s="28">
        <f>IF(N11=0,0,1000000*N11/TrRail_act!N26)</f>
        <v>245713.45306733032</v>
      </c>
      <c r="O46" s="28">
        <f>IF(O11=0,0,1000000*O11/TrRail_act!O26)</f>
        <v>240141.51988770586</v>
      </c>
      <c r="P46" s="28">
        <f>IF(P11=0,0,1000000*P11/TrRail_act!P26)</f>
        <v>233505.77067345302</v>
      </c>
      <c r="Q46" s="28">
        <f>IF(Q11=0,0,1000000*Q11/TrRail_act!Q26)</f>
        <v>232304.17058374401</v>
      </c>
      <c r="R46" s="28">
        <f>IF(R11=0,0,1000000*R11/TrRail_act!R26)</f>
        <v>224275.81987870749</v>
      </c>
      <c r="S46" s="28">
        <f>IF(S11=0,0,1000000*S11/TrRail_act!S26)</f>
        <v>226736.46073935204</v>
      </c>
      <c r="T46" s="28">
        <f>IF(T11=0,0,1000000*T11/TrRail_act!T26)</f>
        <v>219679.31594235747</v>
      </c>
      <c r="U46" s="28">
        <f>IF(U11=0,0,1000000*U11/TrRail_act!U26)</f>
        <v>223797.09670804962</v>
      </c>
      <c r="V46" s="28">
        <f>IF(V11=0,0,1000000*V11/TrRail_act!V26)</f>
        <v>190211.88577026184</v>
      </c>
      <c r="W46" s="28">
        <f>IF(W11=0,0,1000000*W11/TrRail_act!W26)</f>
        <v>224803.05423730577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50355.707239853196</v>
      </c>
      <c r="C47" s="108">
        <f>IF(C12=0,0,1000000*C12/TrRail_act!C27)</f>
        <v>49894.596813271499</v>
      </c>
      <c r="D47" s="108">
        <f>IF(D12=0,0,1000000*D12/TrRail_act!D27)</f>
        <v>48910.699026590468</v>
      </c>
      <c r="E47" s="108">
        <f>IF(E12=0,0,1000000*E12/TrRail_act!E27)</f>
        <v>48944.108818135202</v>
      </c>
      <c r="F47" s="108">
        <f>IF(F12=0,0,1000000*F12/TrRail_act!F27)</f>
        <v>48537.329427364239</v>
      </c>
      <c r="G47" s="108">
        <f>IF(G12=0,0,1000000*G12/TrRail_act!G27)</f>
        <v>46511.584679778331</v>
      </c>
      <c r="H47" s="108">
        <f>IF(H12=0,0,1000000*H12/TrRail_act!H27)</f>
        <v>45525.862109951442</v>
      </c>
      <c r="I47" s="108">
        <f>IF(I12=0,0,1000000*I12/TrRail_act!I27)</f>
        <v>44624.299198872897</v>
      </c>
      <c r="J47" s="108">
        <f>IF(J12=0,0,1000000*J12/TrRail_act!J27)</f>
        <v>44210.856127308587</v>
      </c>
      <c r="K47" s="108">
        <f>IF(K12=0,0,1000000*K12/TrRail_act!K27)</f>
        <v>42578.925994074038</v>
      </c>
      <c r="L47" s="108">
        <f>IF(L12=0,0,1000000*L12/TrRail_act!L27)</f>
        <v>43140.565382566034</v>
      </c>
      <c r="M47" s="108">
        <f>IF(M12=0,0,1000000*M12/TrRail_act!M27)</f>
        <v>42926.085484110394</v>
      </c>
      <c r="N47" s="108">
        <f>IF(N12=0,0,1000000*N12/TrRail_act!N27)</f>
        <v>42201.91796646711</v>
      </c>
      <c r="O47" s="108">
        <f>IF(O12=0,0,1000000*O12/TrRail_act!O27)</f>
        <v>41485.043463105838</v>
      </c>
      <c r="P47" s="108">
        <f>IF(P12=0,0,1000000*P12/TrRail_act!P27)</f>
        <v>40790.651690174011</v>
      </c>
      <c r="Q47" s="108">
        <f>IF(Q12=0,0,1000000*Q12/TrRail_act!Q27)</f>
        <v>40125.012395414502</v>
      </c>
      <c r="R47" s="108">
        <f>IF(R12=0,0,1000000*R12/TrRail_act!R27)</f>
        <v>39632.920978975562</v>
      </c>
      <c r="S47" s="108">
        <f>IF(S12=0,0,1000000*S12/TrRail_act!S27)</f>
        <v>39267.816948462067</v>
      </c>
      <c r="T47" s="108">
        <f>IF(T12=0,0,1000000*T12/TrRail_act!T27)</f>
        <v>38996.197834567327</v>
      </c>
      <c r="U47" s="108">
        <f>IF(U12=0,0,1000000*U12/TrRail_act!U27)</f>
        <v>38793.717181102373</v>
      </c>
      <c r="V47" s="108">
        <f>IF(V12=0,0,1000000*V12/TrRail_act!V27)</f>
        <v>29664.16745277878</v>
      </c>
      <c r="W47" s="108">
        <f>IF(W12=0,0,1000000*W12/TrRail_act!W27)</f>
        <v>38529.555959880243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323901.58105600381</v>
      </c>
      <c r="C48" s="110">
        <f>IF(C13=0,0,1000000*C13/TrRail_act!C28)</f>
        <v>283396.59931115346</v>
      </c>
      <c r="D48" s="110">
        <f>IF(D13=0,0,1000000*D13/TrRail_act!D28)</f>
        <v>287822.67885455466</v>
      </c>
      <c r="E48" s="110">
        <f>IF(E13=0,0,1000000*E13/TrRail_act!E28)</f>
        <v>270088.53900109557</v>
      </c>
      <c r="F48" s="110">
        <f>IF(F13=0,0,1000000*F13/TrRail_act!F28)</f>
        <v>266019.29968879721</v>
      </c>
      <c r="G48" s="110">
        <f>IF(G13=0,0,1000000*G13/TrRail_act!G28)</f>
        <v>259736.83267926439</v>
      </c>
      <c r="H48" s="110">
        <f>IF(H13=0,0,1000000*H13/TrRail_act!H28)</f>
        <v>252201.26083777618</v>
      </c>
      <c r="I48" s="110">
        <f>IF(I13=0,0,1000000*I13/TrRail_act!I28)</f>
        <v>245309.9485401597</v>
      </c>
      <c r="J48" s="110">
        <f>IF(J13=0,0,1000000*J13/TrRail_act!J28)</f>
        <v>235715.85765377412</v>
      </c>
      <c r="K48" s="110">
        <f>IF(K13=0,0,1000000*K13/TrRail_act!K28)</f>
        <v>230492.36780487603</v>
      </c>
      <c r="L48" s="110">
        <f>IF(L13=0,0,1000000*L13/TrRail_act!L28)</f>
        <v>227298.46161244111</v>
      </c>
      <c r="M48" s="110">
        <f>IF(M13=0,0,1000000*M13/TrRail_act!M28)</f>
        <v>225095.41942477017</v>
      </c>
      <c r="N48" s="110">
        <f>IF(N13=0,0,1000000*N13/TrRail_act!N28)</f>
        <v>219809.56029934884</v>
      </c>
      <c r="O48" s="110">
        <f>IF(O13=0,0,1000000*O13/TrRail_act!O28)</f>
        <v>212749.68250274847</v>
      </c>
      <c r="P48" s="110">
        <f>IF(P13=0,0,1000000*P13/TrRail_act!P28)</f>
        <v>207489.58024650364</v>
      </c>
      <c r="Q48" s="110">
        <f>IF(Q13=0,0,1000000*Q13/TrRail_act!Q28)</f>
        <v>202923.74359139681</v>
      </c>
      <c r="R48" s="110">
        <f>IF(R13=0,0,1000000*R13/TrRail_act!R28)</f>
        <v>196380.89864360713</v>
      </c>
      <c r="S48" s="110">
        <f>IF(S13=0,0,1000000*S13/TrRail_act!S28)</f>
        <v>196305.90206862963</v>
      </c>
      <c r="T48" s="110">
        <f>IF(T13=0,0,1000000*T13/TrRail_act!T28)</f>
        <v>193786.39583310022</v>
      </c>
      <c r="U48" s="110">
        <f>IF(U13=0,0,1000000*U13/TrRail_act!U28)</f>
        <v>193024.59109454008</v>
      </c>
      <c r="V48" s="110">
        <f>IF(V13=0,0,1000000*V13/TrRail_act!V28)</f>
        <v>165419.28775465759</v>
      </c>
      <c r="W48" s="110">
        <f>IF(W13=0,0,1000000*W13/TrRail_act!W28)</f>
        <v>182799.91128236227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516214.85505321488</v>
      </c>
      <c r="C49" s="84">
        <f>IF(C14=0,0,1000000*C14/TrRail_act!C29)</f>
        <v>368885.88247205463</v>
      </c>
      <c r="D49" s="84">
        <f>IF(D14=0,0,1000000*D14/TrRail_act!D29)</f>
        <v>402049.49798477418</v>
      </c>
      <c r="E49" s="84">
        <f>IF(E14=0,0,1000000*E14/TrRail_act!E29)</f>
        <v>394500.72961692681</v>
      </c>
      <c r="F49" s="84">
        <f>IF(F14=0,0,1000000*F14/TrRail_act!F29)</f>
        <v>390896.06813088368</v>
      </c>
      <c r="G49" s="84">
        <f>IF(G14=0,0,1000000*G14/TrRail_act!G29)</f>
        <v>387098.61321622645</v>
      </c>
      <c r="H49" s="84">
        <f>IF(H14=0,0,1000000*H14/TrRail_act!H29)</f>
        <v>382187.09278258123</v>
      </c>
      <c r="I49" s="84">
        <f>IF(I14=0,0,1000000*I14/TrRail_act!I29)</f>
        <v>377012.44122880971</v>
      </c>
      <c r="J49" s="84">
        <f>IF(J14=0,0,1000000*J14/TrRail_act!J29)</f>
        <v>367056.09604332002</v>
      </c>
      <c r="K49" s="84">
        <f>IF(K14=0,0,1000000*K14/TrRail_act!K29)</f>
        <v>354705.85020027595</v>
      </c>
      <c r="L49" s="84">
        <f>IF(L14=0,0,1000000*L14/TrRail_act!L29)</f>
        <v>346873.79508640652</v>
      </c>
      <c r="M49" s="84">
        <f>IF(M14=0,0,1000000*M14/TrRail_act!M29)</f>
        <v>338886.15791916806</v>
      </c>
      <c r="N49" s="84">
        <f>IF(N14=0,0,1000000*N14/TrRail_act!N29)</f>
        <v>332640.92442623642</v>
      </c>
      <c r="O49" s="84">
        <f>IF(O14=0,0,1000000*O14/TrRail_act!O29)</f>
        <v>327744.22315161012</v>
      </c>
      <c r="P49" s="84">
        <f>IF(P14=0,0,1000000*P14/TrRail_act!P29)</f>
        <v>322485.68201826554</v>
      </c>
      <c r="Q49" s="84">
        <f>IF(Q14=0,0,1000000*Q14/TrRail_act!Q29)</f>
        <v>318272.5223553137</v>
      </c>
      <c r="R49" s="84">
        <f>IF(R14=0,0,1000000*R14/TrRail_act!R29)</f>
        <v>310421.58210684691</v>
      </c>
      <c r="S49" s="84">
        <f>IF(S14=0,0,1000000*S14/TrRail_act!S29)</f>
        <v>306184.03379553655</v>
      </c>
      <c r="T49" s="84">
        <f>IF(T14=0,0,1000000*T14/TrRail_act!T29)</f>
        <v>303043.87876759726</v>
      </c>
      <c r="U49" s="84">
        <f>IF(U14=0,0,1000000*U14/TrRail_act!U29)</f>
        <v>300709.9144784204</v>
      </c>
      <c r="V49" s="84">
        <f>IF(V14=0,0,1000000*V14/TrRail_act!V29)</f>
        <v>277509.62829307857</v>
      </c>
      <c r="W49" s="84">
        <f>IF(W14=0,0,1000000*W14/TrRail_act!W29)</f>
        <v>297673.843366216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250794.54201136145</v>
      </c>
      <c r="C50" s="84">
        <f>IF(C15=0,0,1000000*C15/TrRail_act!C30)</f>
        <v>252118.57794464458</v>
      </c>
      <c r="D50" s="84">
        <f>IF(D15=0,0,1000000*D15/TrRail_act!D30)</f>
        <v>248279.82036550576</v>
      </c>
      <c r="E50" s="84">
        <f>IF(E15=0,0,1000000*E15/TrRail_act!E30)</f>
        <v>232216.4170543307</v>
      </c>
      <c r="F50" s="84">
        <f>IF(F15=0,0,1000000*F15/TrRail_act!F30)</f>
        <v>226834.86586551703</v>
      </c>
      <c r="G50" s="84">
        <f>IF(G15=0,0,1000000*G15/TrRail_act!G30)</f>
        <v>223984.45557433178</v>
      </c>
      <c r="H50" s="84">
        <f>IF(H15=0,0,1000000*H15/TrRail_act!H30)</f>
        <v>218255.73594207218</v>
      </c>
      <c r="I50" s="84">
        <f>IF(I15=0,0,1000000*I15/TrRail_act!I30)</f>
        <v>213970.80492790759</v>
      </c>
      <c r="J50" s="84">
        <f>IF(J15=0,0,1000000*J15/TrRail_act!J30)</f>
        <v>204385.70581725688</v>
      </c>
      <c r="K50" s="84">
        <f>IF(K15=0,0,1000000*K15/TrRail_act!K30)</f>
        <v>201797.00929299268</v>
      </c>
      <c r="L50" s="84">
        <f>IF(L15=0,0,1000000*L15/TrRail_act!L30)</f>
        <v>201045.78079922308</v>
      </c>
      <c r="M50" s="84">
        <f>IF(M15=0,0,1000000*M15/TrRail_act!M30)</f>
        <v>199523.72526063558</v>
      </c>
      <c r="N50" s="84">
        <f>IF(N15=0,0,1000000*N15/TrRail_act!N30)</f>
        <v>195726.58306915179</v>
      </c>
      <c r="O50" s="84">
        <f>IF(O15=0,0,1000000*O15/TrRail_act!O30)</f>
        <v>189214.0591076756</v>
      </c>
      <c r="P50" s="84">
        <f>IF(P15=0,0,1000000*P15/TrRail_act!P30)</f>
        <v>185235.98198614817</v>
      </c>
      <c r="Q50" s="84">
        <f>IF(Q15=0,0,1000000*Q15/TrRail_act!Q30)</f>
        <v>180631.34262067152</v>
      </c>
      <c r="R50" s="84">
        <f>IF(R15=0,0,1000000*R15/TrRail_act!R30)</f>
        <v>177253.13648412548</v>
      </c>
      <c r="S50" s="84">
        <f>IF(S15=0,0,1000000*S15/TrRail_act!S30)</f>
        <v>175634.81370517923</v>
      </c>
      <c r="T50" s="84">
        <f>IF(T15=0,0,1000000*T15/TrRail_act!T30)</f>
        <v>174430.77530234272</v>
      </c>
      <c r="U50" s="84">
        <f>IF(U15=0,0,1000000*U15/TrRail_act!U30)</f>
        <v>173533.16642740471</v>
      </c>
      <c r="V50" s="84">
        <f>IF(V15=0,0,1000000*V15/TrRail_act!V30)</f>
        <v>146780.9938512317</v>
      </c>
      <c r="W50" s="84">
        <f>IF(W15=0,0,1000000*W15/TrRail_act!W30)</f>
        <v>160744.73417829553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1143715.3081588654</v>
      </c>
      <c r="C51" s="113">
        <f>IF(C16=0,0,1000000*C16/TrRail_act!C31)</f>
        <v>1148537.5075896573</v>
      </c>
      <c r="D51" s="113">
        <f>IF(D16=0,0,1000000*D16/TrRail_act!D31)</f>
        <v>1144095.0788924212</v>
      </c>
      <c r="E51" s="113">
        <f>IF(E16=0,0,1000000*E16/TrRail_act!E31)</f>
        <v>1129757.0043701469</v>
      </c>
      <c r="F51" s="113">
        <f>IF(F16=0,0,1000000*F16/TrRail_act!F31)</f>
        <v>1139250.7006116961</v>
      </c>
      <c r="G51" s="113">
        <f>IF(G16=0,0,1000000*G16/TrRail_act!G31)</f>
        <v>1134918.1633014781</v>
      </c>
      <c r="H51" s="113">
        <f>IF(H16=0,0,1000000*H16/TrRail_act!H31)</f>
        <v>1135705.0116010797</v>
      </c>
      <c r="I51" s="113">
        <f>IF(I16=0,0,1000000*I16/TrRail_act!I31)</f>
        <v>1128147.5876954629</v>
      </c>
      <c r="J51" s="113">
        <f>IF(J16=0,0,1000000*J16/TrRail_act!J31)</f>
        <v>1131933.6427918433</v>
      </c>
      <c r="K51" s="113">
        <f>IF(K16=0,0,1000000*K16/TrRail_act!K31)</f>
        <v>1124881.0369427861</v>
      </c>
      <c r="L51" s="113">
        <f>IF(L16=0,0,1000000*L16/TrRail_act!L31)</f>
        <v>1116771.4954061883</v>
      </c>
      <c r="M51" s="113">
        <f>IF(M16=0,0,1000000*M16/TrRail_act!M31)</f>
        <v>1103515.7379565022</v>
      </c>
      <c r="N51" s="113">
        <f>IF(N16=0,0,1000000*N16/TrRail_act!N31)</f>
        <v>1094477.0156600841</v>
      </c>
      <c r="O51" s="113">
        <f>IF(O16=0,0,1000000*O16/TrRail_act!O31)</f>
        <v>1083511.642984991</v>
      </c>
      <c r="P51" s="113">
        <f>IF(P16=0,0,1000000*P16/TrRail_act!P31)</f>
        <v>1080169.1918555342</v>
      </c>
      <c r="Q51" s="113">
        <f>IF(Q16=0,0,1000000*Q16/TrRail_act!Q31)</f>
        <v>1074593.6981332467</v>
      </c>
      <c r="R51" s="113">
        <f>IF(R16=0,0,1000000*R16/TrRail_act!R31)</f>
        <v>1070430.971677786</v>
      </c>
      <c r="S51" s="113">
        <f>IF(S16=0,0,1000000*S16/TrRail_act!S31)</f>
        <v>1067319.5136244148</v>
      </c>
      <c r="T51" s="113">
        <f>IF(T16=0,0,1000000*T16/TrRail_act!T31)</f>
        <v>1059731.3090700901</v>
      </c>
      <c r="U51" s="113">
        <f>IF(U16=0,0,1000000*U16/TrRail_act!U31)</f>
        <v>1063249.4470574674</v>
      </c>
      <c r="V51" s="113">
        <f>IF(V16=0,0,1000000*V16/TrRail_act!V31)</f>
        <v>895381.34374095243</v>
      </c>
      <c r="W51" s="113">
        <f>IF(W16=0,0,1000000*W16/TrRail_act!W31)</f>
        <v>1060966.855794749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597379.43567931128</v>
      </c>
      <c r="C52" s="28">
        <f>IF(C17=0,0,1000000*C17/TrRail_act!C32)</f>
        <v>549230.28136840602</v>
      </c>
      <c r="D52" s="28">
        <f>IF(D17=0,0,1000000*D17/TrRail_act!D32)</f>
        <v>548076.24050710851</v>
      </c>
      <c r="E52" s="28">
        <f>IF(E17=0,0,1000000*E17/TrRail_act!E32)</f>
        <v>501999.83988177258</v>
      </c>
      <c r="F52" s="28">
        <f>IF(F17=0,0,1000000*F17/TrRail_act!F32)</f>
        <v>469422.1390250863</v>
      </c>
      <c r="G52" s="28">
        <f>IF(G17=0,0,1000000*G17/TrRail_act!G32)</f>
        <v>423348.81915968726</v>
      </c>
      <c r="H52" s="28">
        <f>IF(H17=0,0,1000000*H17/TrRail_act!H32)</f>
        <v>432457.56995133468</v>
      </c>
      <c r="I52" s="28">
        <f>IF(I17=0,0,1000000*I17/TrRail_act!I32)</f>
        <v>422785.99987521314</v>
      </c>
      <c r="J52" s="28">
        <f>IF(J17=0,0,1000000*J17/TrRail_act!J32)</f>
        <v>412897.52068629669</v>
      </c>
      <c r="K52" s="28">
        <f>IF(K17=0,0,1000000*K17/TrRail_act!K32)</f>
        <v>377415.25299913279</v>
      </c>
      <c r="L52" s="28">
        <f>IF(L17=0,0,1000000*L17/TrRail_act!L32)</f>
        <v>391945.29156290321</v>
      </c>
      <c r="M52" s="28">
        <f>IF(M17=0,0,1000000*M17/TrRail_act!M32)</f>
        <v>389292.44628662482</v>
      </c>
      <c r="N52" s="28">
        <f>IF(N17=0,0,1000000*N17/TrRail_act!N32)</f>
        <v>373188.23187968315</v>
      </c>
      <c r="O52" s="28">
        <f>IF(O17=0,0,1000000*O17/TrRail_act!O32)</f>
        <v>365487.04445434129</v>
      </c>
      <c r="P52" s="28">
        <f>IF(P17=0,0,1000000*P17/TrRail_act!P32)</f>
        <v>351319.25318745029</v>
      </c>
      <c r="Q52" s="28">
        <f>IF(Q17=0,0,1000000*Q17/TrRail_act!Q32)</f>
        <v>345008.93258810072</v>
      </c>
      <c r="R52" s="28">
        <f>IF(R17=0,0,1000000*R17/TrRail_act!R32)</f>
        <v>337102.24150001624</v>
      </c>
      <c r="S52" s="28">
        <f>IF(S17=0,0,1000000*S17/TrRail_act!S32)</f>
        <v>336170.86824982986</v>
      </c>
      <c r="T52" s="28">
        <f>IF(T17=0,0,1000000*T17/TrRail_act!T32)</f>
        <v>331540.01406494202</v>
      </c>
      <c r="U52" s="28">
        <f>IF(U17=0,0,1000000*U17/TrRail_act!U32)</f>
        <v>333936.06174665253</v>
      </c>
      <c r="V52" s="28">
        <f>IF(V17=0,0,1000000*V17/TrRail_act!V32)</f>
        <v>333169.26566281711</v>
      </c>
      <c r="W52" s="28">
        <f>IF(W17=0,0,1000000*W17/TrRail_act!W32)</f>
        <v>335731.53355354583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1362288.0986455672</v>
      </c>
      <c r="C53" s="84">
        <f>IF(C18=0,0,1000000*C18/TrRail_act!C33)</f>
        <v>1061310.1968540631</v>
      </c>
      <c r="D53" s="84">
        <f>IF(D18=0,0,1000000*D18/TrRail_act!D33)</f>
        <v>1119208.5091361457</v>
      </c>
      <c r="E53" s="84">
        <f>IF(E18=0,0,1000000*E18/TrRail_act!E33)</f>
        <v>1110124.7381725172</v>
      </c>
      <c r="F53" s="84">
        <f>IF(F18=0,0,1000000*F18/TrRail_act!F33)</f>
        <v>988162.56894212926</v>
      </c>
      <c r="G53" s="84">
        <f>IF(G18=0,0,1000000*G18/TrRail_act!G33)</f>
        <v>927938.15835828427</v>
      </c>
      <c r="H53" s="84">
        <f>IF(H18=0,0,1000000*H18/TrRail_act!H33)</f>
        <v>1023488.5416310072</v>
      </c>
      <c r="I53" s="84">
        <f>IF(I18=0,0,1000000*I18/TrRail_act!I33)</f>
        <v>1081007.8294364091</v>
      </c>
      <c r="J53" s="84">
        <f>IF(J18=0,0,1000000*J18/TrRail_act!J33)</f>
        <v>1070709.2499874956</v>
      </c>
      <c r="K53" s="84">
        <f>IF(K18=0,0,1000000*K18/TrRail_act!K33)</f>
        <v>1029791.8271023616</v>
      </c>
      <c r="L53" s="84">
        <f>IF(L18=0,0,1000000*L18/TrRail_act!L33)</f>
        <v>1056419.9993428306</v>
      </c>
      <c r="M53" s="84">
        <f>IF(M18=0,0,1000000*M18/TrRail_act!M33)</f>
        <v>1026571.1268787095</v>
      </c>
      <c r="N53" s="84">
        <f>IF(N18=0,0,1000000*N18/TrRail_act!N33)</f>
        <v>1002529.020177346</v>
      </c>
      <c r="O53" s="84">
        <f>IF(O18=0,0,1000000*O18/TrRail_act!O33)</f>
        <v>985465.2626327757</v>
      </c>
      <c r="P53" s="84">
        <f>IF(P18=0,0,1000000*P18/TrRail_act!P33)</f>
        <v>967342.40345671249</v>
      </c>
      <c r="Q53" s="84">
        <f>IF(Q18=0,0,1000000*Q18/TrRail_act!Q33)</f>
        <v>942482.46837774885</v>
      </c>
      <c r="R53" s="84">
        <f>IF(R18=0,0,1000000*R18/TrRail_act!R33)</f>
        <v>919249.51453381032</v>
      </c>
      <c r="S53" s="84">
        <f>IF(S18=0,0,1000000*S18/TrRail_act!S33)</f>
        <v>910010.81801276316</v>
      </c>
      <c r="T53" s="84">
        <f>IF(T18=0,0,1000000*T18/TrRail_act!T33)</f>
        <v>905391.46723979991</v>
      </c>
      <c r="U53" s="84">
        <f>IF(U18=0,0,1000000*U18/TrRail_act!U33)</f>
        <v>900772.1420653268</v>
      </c>
      <c r="V53" s="84">
        <f>IF(V18=0,0,1000000*V18/TrRail_act!V33)</f>
        <v>897323.10303350596</v>
      </c>
      <c r="W53" s="84">
        <f>IF(W18=0,0,1000000*W18/TrRail_act!W33)</f>
        <v>894744.98723845475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457894.18257899443</v>
      </c>
      <c r="C54" s="86">
        <f>IF(C19=0,0,1000000*C19/TrRail_act!C34)</f>
        <v>464806.61063731561</v>
      </c>
      <c r="D54" s="86">
        <f>IF(D19=0,0,1000000*D19/TrRail_act!D34)</f>
        <v>457633.16228952276</v>
      </c>
      <c r="E54" s="86">
        <f>IF(E19=0,0,1000000*E19/TrRail_act!E34)</f>
        <v>422847.13142202434</v>
      </c>
      <c r="F54" s="86">
        <f>IF(F19=0,0,1000000*F19/TrRail_act!F34)</f>
        <v>408258.80622260674</v>
      </c>
      <c r="G54" s="86">
        <f>IF(G19=0,0,1000000*G19/TrRail_act!G34)</f>
        <v>367284.0688398424</v>
      </c>
      <c r="H54" s="86">
        <f>IF(H19=0,0,1000000*H19/TrRail_act!H34)</f>
        <v>373758.93679196003</v>
      </c>
      <c r="I54" s="86">
        <f>IF(I19=0,0,1000000*I19/TrRail_act!I34)</f>
        <v>361434.70126300253</v>
      </c>
      <c r="J54" s="86">
        <f>IF(J19=0,0,1000000*J19/TrRail_act!J34)</f>
        <v>348380.00861805596</v>
      </c>
      <c r="K54" s="86">
        <f>IF(K19=0,0,1000000*K19/TrRail_act!K34)</f>
        <v>320980.26415516203</v>
      </c>
      <c r="L54" s="86">
        <f>IF(L19=0,0,1000000*L19/TrRail_act!L34)</f>
        <v>336586.61615402135</v>
      </c>
      <c r="M54" s="86">
        <f>IF(M19=0,0,1000000*M19/TrRail_act!M34)</f>
        <v>330013.86394245934</v>
      </c>
      <c r="N54" s="86">
        <f>IF(N19=0,0,1000000*N19/TrRail_act!N34)</f>
        <v>323369.73055234965</v>
      </c>
      <c r="O54" s="86">
        <f>IF(O19=0,0,1000000*O19/TrRail_act!O34)</f>
        <v>320425.31470782956</v>
      </c>
      <c r="P54" s="86">
        <f>IF(P19=0,0,1000000*P19/TrRail_act!P34)</f>
        <v>309188.44947250938</v>
      </c>
      <c r="Q54" s="86">
        <f>IF(Q19=0,0,1000000*Q19/TrRail_act!Q34)</f>
        <v>301184.8653941091</v>
      </c>
      <c r="R54" s="86">
        <f>IF(R19=0,0,1000000*R19/TrRail_act!R34)</f>
        <v>295318.43413756421</v>
      </c>
      <c r="S54" s="86">
        <f>IF(S19=0,0,1000000*S19/TrRail_act!S34)</f>
        <v>293903.65643378312</v>
      </c>
      <c r="T54" s="86">
        <f>IF(T19=0,0,1000000*T19/TrRail_act!T34)</f>
        <v>292847.02302661346</v>
      </c>
      <c r="U54" s="86">
        <f>IF(U19=0,0,1000000*U19/TrRail_act!U34)</f>
        <v>292057.04218470241</v>
      </c>
      <c r="V54" s="86">
        <f>IF(V19=0,0,1000000*V19/TrRail_act!V34)</f>
        <v>291465.95558027393</v>
      </c>
      <c r="W54" s="86">
        <f>IF(W19=0,0,1000000*W19/TrRail_act!W34)</f>
        <v>291023.42510230432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0.73020067188845272</v>
      </c>
      <c r="C57" s="31">
        <f t="shared" ref="C57:V57" si="17">IF(C11=0,0,C11/C$10)</f>
        <v>0.73101901206396647</v>
      </c>
      <c r="D57" s="31">
        <f t="shared" si="17"/>
        <v>0.73500132748112323</v>
      </c>
      <c r="E57" s="31">
        <f t="shared" si="17"/>
        <v>0.74189564785914108</v>
      </c>
      <c r="F57" s="31">
        <f t="shared" si="17"/>
        <v>0.77438677586133864</v>
      </c>
      <c r="G57" s="31">
        <f t="shared" si="17"/>
        <v>0.81080242538231373</v>
      </c>
      <c r="H57" s="31">
        <f t="shared" si="17"/>
        <v>0.82365208169842175</v>
      </c>
      <c r="I57" s="31">
        <f t="shared" si="17"/>
        <v>0.83113174502569853</v>
      </c>
      <c r="J57" s="31">
        <f t="shared" si="17"/>
        <v>0.84559361948255352</v>
      </c>
      <c r="K57" s="31">
        <f t="shared" si="17"/>
        <v>0.87176298399107044</v>
      </c>
      <c r="L57" s="31">
        <f t="shared" si="17"/>
        <v>0.87564552202222512</v>
      </c>
      <c r="M57" s="31">
        <f t="shared" si="17"/>
        <v>0.88408667096613613</v>
      </c>
      <c r="N57" s="31">
        <f t="shared" si="17"/>
        <v>0.89100285032577298</v>
      </c>
      <c r="O57" s="31">
        <f t="shared" si="17"/>
        <v>0.87946000244095768</v>
      </c>
      <c r="P57" s="31">
        <f t="shared" si="17"/>
        <v>0.88401793949800811</v>
      </c>
      <c r="Q57" s="31">
        <f t="shared" si="17"/>
        <v>0.88600745127177138</v>
      </c>
      <c r="R57" s="31">
        <f t="shared" si="17"/>
        <v>0.88969169037042106</v>
      </c>
      <c r="S57" s="31">
        <f t="shared" si="17"/>
        <v>0.88252474570173778</v>
      </c>
      <c r="T57" s="31">
        <f t="shared" si="17"/>
        <v>0.88171285085758566</v>
      </c>
      <c r="U57" s="31">
        <f t="shared" si="17"/>
        <v>0.88379315411777026</v>
      </c>
      <c r="V57" s="31">
        <f t="shared" si="17"/>
        <v>0.84757217551544484</v>
      </c>
      <c r="W57" s="31">
        <f t="shared" ref="W57" si="18">IF(W11=0,0,W11/W$10)</f>
        <v>0.85367448111352318</v>
      </c>
      <c r="DA57" s="173"/>
    </row>
    <row r="58" spans="1:105" ht="11.45" customHeight="1" x14ac:dyDescent="0.25">
      <c r="A58" s="107" t="s">
        <v>23</v>
      </c>
      <c r="B58" s="123">
        <f t="shared" si="14"/>
        <v>3.1728796044191855E-2</v>
      </c>
      <c r="C58" s="123">
        <f t="shared" ref="C58:V58" si="19">IF(C12=0,0,C12/C$10)</f>
        <v>3.6656978278726902E-2</v>
      </c>
      <c r="D58" s="123">
        <f t="shared" si="19"/>
        <v>3.6467083012732555E-2</v>
      </c>
      <c r="E58" s="123">
        <f t="shared" si="19"/>
        <v>3.7532061001629424E-2</v>
      </c>
      <c r="F58" s="123">
        <f t="shared" si="19"/>
        <v>4.0636730570434793E-2</v>
      </c>
      <c r="G58" s="123">
        <f t="shared" si="19"/>
        <v>4.1154461139561345E-2</v>
      </c>
      <c r="H58" s="123">
        <f t="shared" si="19"/>
        <v>4.0775733257802003E-2</v>
      </c>
      <c r="I58" s="123">
        <f t="shared" si="19"/>
        <v>4.0054291048817171E-2</v>
      </c>
      <c r="J58" s="123">
        <f t="shared" si="19"/>
        <v>4.1549472133349884E-2</v>
      </c>
      <c r="K58" s="123">
        <f t="shared" si="19"/>
        <v>3.8775066922575138E-2</v>
      </c>
      <c r="L58" s="123">
        <f t="shared" si="19"/>
        <v>3.9643858374315812E-2</v>
      </c>
      <c r="M58" s="123">
        <f t="shared" si="19"/>
        <v>4.0770023832289552E-2</v>
      </c>
      <c r="N58" s="123">
        <f t="shared" si="19"/>
        <v>4.1400693144615162E-2</v>
      </c>
      <c r="O58" s="123">
        <f t="shared" si="19"/>
        <v>3.9773333563565917E-2</v>
      </c>
      <c r="P58" s="123">
        <f t="shared" si="19"/>
        <v>4.0660742864831588E-2</v>
      </c>
      <c r="Q58" s="123">
        <f t="shared" si="19"/>
        <v>3.9587354134824872E-2</v>
      </c>
      <c r="R58" s="123">
        <f t="shared" si="19"/>
        <v>4.0451848514955431E-2</v>
      </c>
      <c r="S58" s="123">
        <f t="shared" si="19"/>
        <v>4.0125249458021844E-2</v>
      </c>
      <c r="T58" s="123">
        <f t="shared" si="19"/>
        <v>4.3490951006208485E-2</v>
      </c>
      <c r="U58" s="123">
        <f t="shared" si="19"/>
        <v>4.164964326273226E-2</v>
      </c>
      <c r="V58" s="123">
        <f t="shared" si="19"/>
        <v>3.5992535689627063E-2</v>
      </c>
      <c r="W58" s="123">
        <f t="shared" ref="W58" si="20">IF(W12=0,0,W12/W$10)</f>
        <v>3.9051738373724977E-2</v>
      </c>
      <c r="DA58" s="203"/>
    </row>
    <row r="59" spans="1:105" ht="11.45" customHeight="1" x14ac:dyDescent="0.25">
      <c r="A59" s="109" t="s">
        <v>24</v>
      </c>
      <c r="B59" s="124">
        <f t="shared" si="14"/>
        <v>0.50650392842088154</v>
      </c>
      <c r="C59" s="124">
        <f t="shared" ref="C59:V59" si="21">IF(C13=0,0,C13/C$10)</f>
        <v>0.45344898072536027</v>
      </c>
      <c r="D59" s="124">
        <f t="shared" si="21"/>
        <v>0.44696400582527057</v>
      </c>
      <c r="E59" s="124">
        <f t="shared" si="21"/>
        <v>0.4562923495962905</v>
      </c>
      <c r="F59" s="124">
        <f t="shared" si="21"/>
        <v>0.47401297013392052</v>
      </c>
      <c r="G59" s="124">
        <f t="shared" si="21"/>
        <v>0.4939081754387834</v>
      </c>
      <c r="H59" s="124">
        <f t="shared" si="21"/>
        <v>0.50289256521543413</v>
      </c>
      <c r="I59" s="124">
        <f t="shared" si="21"/>
        <v>0.49801707123251532</v>
      </c>
      <c r="J59" s="124">
        <f t="shared" si="21"/>
        <v>0.49286627673459943</v>
      </c>
      <c r="K59" s="124">
        <f t="shared" si="21"/>
        <v>0.51041440237761637</v>
      </c>
      <c r="L59" s="124">
        <f t="shared" si="21"/>
        <v>0.51689026068980837</v>
      </c>
      <c r="M59" s="124">
        <f t="shared" si="21"/>
        <v>0.53088216616052941</v>
      </c>
      <c r="N59" s="124">
        <f t="shared" si="21"/>
        <v>0.51404178547059021</v>
      </c>
      <c r="O59" s="124">
        <f t="shared" si="21"/>
        <v>0.51054497825580791</v>
      </c>
      <c r="P59" s="124">
        <f t="shared" si="21"/>
        <v>0.51576946758264464</v>
      </c>
      <c r="Q59" s="124">
        <f t="shared" si="21"/>
        <v>0.51026770930868637</v>
      </c>
      <c r="R59" s="124">
        <f t="shared" si="21"/>
        <v>0.5177869236471252</v>
      </c>
      <c r="S59" s="124">
        <f t="shared" si="21"/>
        <v>0.50062763313341485</v>
      </c>
      <c r="T59" s="124">
        <f t="shared" si="21"/>
        <v>0.49977617943964536</v>
      </c>
      <c r="U59" s="124">
        <f t="shared" si="21"/>
        <v>0.49135178653291212</v>
      </c>
      <c r="V59" s="124">
        <f t="shared" si="21"/>
        <v>0.47402721595706965</v>
      </c>
      <c r="W59" s="124">
        <f t="shared" ref="W59" si="22">IF(W13=0,0,W13/W$10)</f>
        <v>0.44525207559354235</v>
      </c>
      <c r="DA59" s="176"/>
    </row>
    <row r="60" spans="1:105" ht="11.45" customHeight="1" x14ac:dyDescent="0.25">
      <c r="A60" s="111" t="s">
        <v>92</v>
      </c>
      <c r="B60" s="125">
        <f t="shared" si="14"/>
        <v>0.22234393412376716</v>
      </c>
      <c r="C60" s="125">
        <f t="shared" ref="C60:V60" si="23">IF(C14=0,0,C14/C$10)</f>
        <v>0.15810436026957825</v>
      </c>
      <c r="D60" s="125">
        <f t="shared" si="23"/>
        <v>0.16055521650429835</v>
      </c>
      <c r="E60" s="125">
        <f t="shared" si="23"/>
        <v>0.15553493112266631</v>
      </c>
      <c r="F60" s="125">
        <f t="shared" si="23"/>
        <v>0.1663589105628954</v>
      </c>
      <c r="G60" s="125">
        <f t="shared" si="23"/>
        <v>0.16134204410439518</v>
      </c>
      <c r="H60" s="125">
        <f t="shared" si="23"/>
        <v>0.15780634917139136</v>
      </c>
      <c r="I60" s="125">
        <f t="shared" si="23"/>
        <v>0.14712055337750465</v>
      </c>
      <c r="J60" s="125">
        <f t="shared" si="23"/>
        <v>0.14781780039282277</v>
      </c>
      <c r="K60" s="125">
        <f t="shared" si="23"/>
        <v>0.14740553156988298</v>
      </c>
      <c r="L60" s="125">
        <f t="shared" si="23"/>
        <v>0.14200578630802607</v>
      </c>
      <c r="M60" s="125">
        <f t="shared" si="23"/>
        <v>0.14665574894556438</v>
      </c>
      <c r="N60" s="125">
        <f t="shared" si="23"/>
        <v>0.13683234136698913</v>
      </c>
      <c r="O60" s="125">
        <f t="shared" si="23"/>
        <v>0.13362308408819273</v>
      </c>
      <c r="P60" s="125">
        <f t="shared" si="23"/>
        <v>0.1299746372509876</v>
      </c>
      <c r="Q60" s="125">
        <f t="shared" si="23"/>
        <v>0.12962024149294391</v>
      </c>
      <c r="R60" s="125">
        <f t="shared" si="23"/>
        <v>0.11756189443339407</v>
      </c>
      <c r="S60" s="125">
        <f t="shared" si="23"/>
        <v>0.12363831073095594</v>
      </c>
      <c r="T60" s="125">
        <f t="shared" si="23"/>
        <v>0.11761959087462838</v>
      </c>
      <c r="U60" s="125">
        <f t="shared" si="23"/>
        <v>0.11731769280587633</v>
      </c>
      <c r="V60" s="125">
        <f t="shared" si="23"/>
        <v>0.11337847660730889</v>
      </c>
      <c r="W60" s="125">
        <f t="shared" ref="W60" si="24">IF(W14=0,0,W14/W$10)</f>
        <v>0.11678455590205039</v>
      </c>
      <c r="DA60" s="171"/>
    </row>
    <row r="61" spans="1:105" ht="11.45" customHeight="1" x14ac:dyDescent="0.25">
      <c r="A61" s="111" t="s">
        <v>93</v>
      </c>
      <c r="B61" s="125">
        <f t="shared" si="14"/>
        <v>0.28415999429711442</v>
      </c>
      <c r="C61" s="125">
        <f t="shared" ref="C61:V61" si="25">IF(C15=0,0,C15/C$10)</f>
        <v>0.29534462045578203</v>
      </c>
      <c r="D61" s="125">
        <f t="shared" si="25"/>
        <v>0.28640878932097219</v>
      </c>
      <c r="E61" s="125">
        <f t="shared" si="25"/>
        <v>0.30075741847362419</v>
      </c>
      <c r="F61" s="125">
        <f t="shared" si="25"/>
        <v>0.30765405957102515</v>
      </c>
      <c r="G61" s="125">
        <f t="shared" si="25"/>
        <v>0.33256613133438834</v>
      </c>
      <c r="H61" s="125">
        <f t="shared" si="25"/>
        <v>0.34508621604404277</v>
      </c>
      <c r="I61" s="125">
        <f t="shared" si="25"/>
        <v>0.35089651785501058</v>
      </c>
      <c r="J61" s="125">
        <f t="shared" si="25"/>
        <v>0.3450484763417766</v>
      </c>
      <c r="K61" s="125">
        <f t="shared" si="25"/>
        <v>0.36300887080773336</v>
      </c>
      <c r="L61" s="125">
        <f t="shared" si="25"/>
        <v>0.37488447438178224</v>
      </c>
      <c r="M61" s="125">
        <f t="shared" si="25"/>
        <v>0.38422641721496498</v>
      </c>
      <c r="N61" s="125">
        <f t="shared" si="25"/>
        <v>0.37720944410360108</v>
      </c>
      <c r="O61" s="125">
        <f t="shared" si="25"/>
        <v>0.37692189416761512</v>
      </c>
      <c r="P61" s="125">
        <f t="shared" si="25"/>
        <v>0.38579483033165696</v>
      </c>
      <c r="Q61" s="125">
        <f t="shared" si="25"/>
        <v>0.38064746781574238</v>
      </c>
      <c r="R61" s="125">
        <f t="shared" si="25"/>
        <v>0.4002250292137311</v>
      </c>
      <c r="S61" s="125">
        <f t="shared" si="25"/>
        <v>0.37698932240245897</v>
      </c>
      <c r="T61" s="125">
        <f t="shared" si="25"/>
        <v>0.382156588565017</v>
      </c>
      <c r="U61" s="125">
        <f t="shared" si="25"/>
        <v>0.37403409372703578</v>
      </c>
      <c r="V61" s="125">
        <f t="shared" si="25"/>
        <v>0.36064873934976077</v>
      </c>
      <c r="W61" s="125">
        <f t="shared" ref="W61" si="26">IF(W15=0,0,W15/W$10)</f>
        <v>0.32846751969149202</v>
      </c>
      <c r="DA61" s="171"/>
    </row>
    <row r="62" spans="1:105" ht="11.45" customHeight="1" x14ac:dyDescent="0.25">
      <c r="A62" s="112" t="s">
        <v>25</v>
      </c>
      <c r="B62" s="126">
        <f t="shared" si="14"/>
        <v>0.19196794742337936</v>
      </c>
      <c r="C62" s="126">
        <f t="shared" ref="C62:V62" si="27">IF(C16=0,0,C16/C$10)</f>
        <v>0.2409130530598792</v>
      </c>
      <c r="D62" s="126">
        <f t="shared" si="27"/>
        <v>0.25157023864312006</v>
      </c>
      <c r="E62" s="126">
        <f t="shared" si="27"/>
        <v>0.24807123726122124</v>
      </c>
      <c r="F62" s="126">
        <f t="shared" si="27"/>
        <v>0.25973707515698319</v>
      </c>
      <c r="G62" s="126">
        <f t="shared" si="27"/>
        <v>0.27573978880396888</v>
      </c>
      <c r="H62" s="126">
        <f t="shared" si="27"/>
        <v>0.27998378322518575</v>
      </c>
      <c r="I62" s="126">
        <f t="shared" si="27"/>
        <v>0.29306038274436597</v>
      </c>
      <c r="J62" s="126">
        <f t="shared" si="27"/>
        <v>0.31117787061460417</v>
      </c>
      <c r="K62" s="126">
        <f t="shared" si="27"/>
        <v>0.32257351469087897</v>
      </c>
      <c r="L62" s="126">
        <f t="shared" si="27"/>
        <v>0.31911140295810086</v>
      </c>
      <c r="M62" s="126">
        <f t="shared" si="27"/>
        <v>0.31243448097331727</v>
      </c>
      <c r="N62" s="126">
        <f t="shared" si="27"/>
        <v>0.33556037171056774</v>
      </c>
      <c r="O62" s="126">
        <f t="shared" si="27"/>
        <v>0.32914169062158383</v>
      </c>
      <c r="P62" s="126">
        <f t="shared" si="27"/>
        <v>0.32758772905053191</v>
      </c>
      <c r="Q62" s="126">
        <f t="shared" si="27"/>
        <v>0.33615238782826029</v>
      </c>
      <c r="R62" s="126">
        <f t="shared" si="27"/>
        <v>0.33145291820834044</v>
      </c>
      <c r="S62" s="126">
        <f t="shared" si="27"/>
        <v>0.34177186311030094</v>
      </c>
      <c r="T62" s="126">
        <f t="shared" si="27"/>
        <v>0.33844572041173188</v>
      </c>
      <c r="U62" s="126">
        <f t="shared" si="27"/>
        <v>0.35079172432212591</v>
      </c>
      <c r="V62" s="126">
        <f t="shared" si="27"/>
        <v>0.33755242386874801</v>
      </c>
      <c r="W62" s="126">
        <f t="shared" ref="W62" si="28">IF(W16=0,0,W16/W$10)</f>
        <v>0.36937066714625588</v>
      </c>
      <c r="DA62" s="204"/>
    </row>
    <row r="63" spans="1:105" ht="11.45" customHeight="1" x14ac:dyDescent="0.25">
      <c r="A63" s="27" t="s">
        <v>34</v>
      </c>
      <c r="B63" s="31">
        <f t="shared" si="14"/>
        <v>0.26979932811154728</v>
      </c>
      <c r="C63" s="31">
        <f t="shared" ref="C63:V63" si="29">IF(C17=0,0,C17/C$10)</f>
        <v>0.26898098793603353</v>
      </c>
      <c r="D63" s="31">
        <f t="shared" si="29"/>
        <v>0.26499867251887677</v>
      </c>
      <c r="E63" s="31">
        <f t="shared" si="29"/>
        <v>0.25810435214085897</v>
      </c>
      <c r="F63" s="31">
        <f t="shared" si="29"/>
        <v>0.22561322413866144</v>
      </c>
      <c r="G63" s="31">
        <f t="shared" si="29"/>
        <v>0.18919757461768616</v>
      </c>
      <c r="H63" s="31">
        <f t="shared" si="29"/>
        <v>0.17634791830157834</v>
      </c>
      <c r="I63" s="31">
        <f t="shared" si="29"/>
        <v>0.16886825497430158</v>
      </c>
      <c r="J63" s="31">
        <f t="shared" si="29"/>
        <v>0.15440638051744643</v>
      </c>
      <c r="K63" s="31">
        <f t="shared" si="29"/>
        <v>0.12823701600892948</v>
      </c>
      <c r="L63" s="31">
        <f t="shared" si="29"/>
        <v>0.12435447797777494</v>
      </c>
      <c r="M63" s="31">
        <f t="shared" si="29"/>
        <v>0.11591332903386382</v>
      </c>
      <c r="N63" s="31">
        <f t="shared" si="29"/>
        <v>0.10899714967422706</v>
      </c>
      <c r="O63" s="31">
        <f t="shared" si="29"/>
        <v>0.12053999755904231</v>
      </c>
      <c r="P63" s="31">
        <f t="shared" si="29"/>
        <v>0.11598206050199189</v>
      </c>
      <c r="Q63" s="31">
        <f t="shared" si="29"/>
        <v>0.11399254872822859</v>
      </c>
      <c r="R63" s="31">
        <f t="shared" si="29"/>
        <v>0.11030830962957894</v>
      </c>
      <c r="S63" s="31">
        <f t="shared" si="29"/>
        <v>0.11747525429826219</v>
      </c>
      <c r="T63" s="31">
        <f t="shared" si="29"/>
        <v>0.11828714914241434</v>
      </c>
      <c r="U63" s="31">
        <f t="shared" si="29"/>
        <v>0.11620684588222979</v>
      </c>
      <c r="V63" s="31">
        <f t="shared" si="29"/>
        <v>0.15242782448455522</v>
      </c>
      <c r="W63" s="31">
        <f t="shared" ref="W63" si="30">IF(W17=0,0,W17/W$10)</f>
        <v>0.14632551888647677</v>
      </c>
      <c r="DA63" s="173"/>
    </row>
    <row r="64" spans="1:105" ht="11.45" customHeight="1" x14ac:dyDescent="0.25">
      <c r="A64" s="83" t="s">
        <v>92</v>
      </c>
      <c r="B64" s="125">
        <f t="shared" si="14"/>
        <v>9.489213558133483E-2</v>
      </c>
      <c r="C64" s="125">
        <f t="shared" ref="C64:V64" si="31">IF(C18=0,0,C18/C$10)</f>
        <v>7.3563201188767774E-2</v>
      </c>
      <c r="D64" s="125">
        <f t="shared" si="31"/>
        <v>7.3979220024212325E-2</v>
      </c>
      <c r="E64" s="125">
        <f t="shared" si="31"/>
        <v>6.5735067944003467E-2</v>
      </c>
      <c r="F64" s="125">
        <f t="shared" si="31"/>
        <v>5.0091564753223114E-2</v>
      </c>
      <c r="G64" s="125">
        <f t="shared" si="31"/>
        <v>4.1469723916982164E-2</v>
      </c>
      <c r="H64" s="125">
        <f t="shared" si="31"/>
        <v>3.7705538828905281E-2</v>
      </c>
      <c r="I64" s="125">
        <f t="shared" si="31"/>
        <v>3.6813328014592785E-2</v>
      </c>
      <c r="J64" s="125">
        <f t="shared" si="31"/>
        <v>3.5763246621391284E-2</v>
      </c>
      <c r="K64" s="125">
        <f t="shared" si="31"/>
        <v>2.7858712817020605E-2</v>
      </c>
      <c r="L64" s="125">
        <f t="shared" si="31"/>
        <v>2.5776639498827792E-2</v>
      </c>
      <c r="M64" s="125">
        <f t="shared" si="31"/>
        <v>2.6012819728535318E-2</v>
      </c>
      <c r="N64" s="125">
        <f t="shared" si="31"/>
        <v>2.147846137231723E-2</v>
      </c>
      <c r="O64" s="125">
        <f t="shared" si="31"/>
        <v>2.2022196659948656E-2</v>
      </c>
      <c r="P64" s="125">
        <f t="shared" si="31"/>
        <v>2.0442845385880058E-2</v>
      </c>
      <c r="Q64" s="125">
        <f t="shared" si="31"/>
        <v>2.1280041428818147E-2</v>
      </c>
      <c r="R64" s="125">
        <f t="shared" si="31"/>
        <v>2.0144263280809226E-2</v>
      </c>
      <c r="S64" s="125">
        <f t="shared" si="31"/>
        <v>2.1816255760338975E-2</v>
      </c>
      <c r="T64" s="125">
        <f t="shared" si="31"/>
        <v>2.0404817188627425E-2</v>
      </c>
      <c r="U64" s="125">
        <f t="shared" si="31"/>
        <v>2.1565809753535808E-2</v>
      </c>
      <c r="V64" s="125">
        <f t="shared" si="31"/>
        <v>2.8258458061659306E-2</v>
      </c>
      <c r="W64" s="125">
        <f t="shared" ref="W64" si="32">IF(W18=0,0,W18/W$10)</f>
        <v>2.8878645607746441E-2</v>
      </c>
      <c r="DA64" s="171"/>
    </row>
    <row r="65" spans="1:105" ht="11.45" customHeight="1" x14ac:dyDescent="0.25">
      <c r="A65" s="85" t="s">
        <v>93</v>
      </c>
      <c r="B65" s="127">
        <f t="shared" si="14"/>
        <v>0.17490719253021245</v>
      </c>
      <c r="C65" s="127">
        <f t="shared" ref="C65:V65" si="33">IF(C19=0,0,C19/C$10)</f>
        <v>0.19541778674726576</v>
      </c>
      <c r="D65" s="127">
        <f t="shared" si="33"/>
        <v>0.19101945249466443</v>
      </c>
      <c r="E65" s="127">
        <f t="shared" si="33"/>
        <v>0.19236928419685551</v>
      </c>
      <c r="F65" s="127">
        <f t="shared" si="33"/>
        <v>0.17552165938543834</v>
      </c>
      <c r="G65" s="127">
        <f t="shared" si="33"/>
        <v>0.14772785070070399</v>
      </c>
      <c r="H65" s="127">
        <f t="shared" si="33"/>
        <v>0.13864237947267305</v>
      </c>
      <c r="I65" s="127">
        <f t="shared" si="33"/>
        <v>0.13205492695970877</v>
      </c>
      <c r="J65" s="127">
        <f t="shared" si="33"/>
        <v>0.11864313389605514</v>
      </c>
      <c r="K65" s="127">
        <f t="shared" si="33"/>
        <v>0.10037830319190885</v>
      </c>
      <c r="L65" s="127">
        <f t="shared" si="33"/>
        <v>9.8577838478947133E-2</v>
      </c>
      <c r="M65" s="127">
        <f t="shared" si="33"/>
        <v>8.9900509305328502E-2</v>
      </c>
      <c r="N65" s="127">
        <f t="shared" si="33"/>
        <v>8.7518688301909842E-2</v>
      </c>
      <c r="O65" s="127">
        <f t="shared" si="33"/>
        <v>9.8517800899093649E-2</v>
      </c>
      <c r="P65" s="127">
        <f t="shared" si="33"/>
        <v>9.5539215116111825E-2</v>
      </c>
      <c r="Q65" s="127">
        <f t="shared" si="33"/>
        <v>9.271250729941044E-2</v>
      </c>
      <c r="R65" s="127">
        <f t="shared" si="33"/>
        <v>9.0164046348769705E-2</v>
      </c>
      <c r="S65" s="127">
        <f t="shared" si="33"/>
        <v>9.5658998537923229E-2</v>
      </c>
      <c r="T65" s="127">
        <f t="shared" si="33"/>
        <v>9.78823319537869E-2</v>
      </c>
      <c r="U65" s="127">
        <f t="shared" si="33"/>
        <v>9.4641036128693984E-2</v>
      </c>
      <c r="V65" s="127">
        <f t="shared" si="33"/>
        <v>0.12416936642289592</v>
      </c>
      <c r="W65" s="127">
        <f t="shared" ref="W65" si="34">IF(W19=0,0,W19/W$10)</f>
        <v>0.11744687327873034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1162.8806072399998</v>
      </c>
      <c r="C4" s="26">
        <f t="shared" ref="C4:W4" si="0">SUM(C5:C6)</f>
        <v>767.89827036000008</v>
      </c>
      <c r="D4" s="26">
        <f t="shared" si="0"/>
        <v>790.20234071999982</v>
      </c>
      <c r="E4" s="26">
        <f t="shared" si="0"/>
        <v>741.83261723999976</v>
      </c>
      <c r="F4" s="26">
        <f t="shared" si="0"/>
        <v>738.6757793999999</v>
      </c>
      <c r="G4" s="26">
        <f t="shared" si="0"/>
        <v>669.22774776000006</v>
      </c>
      <c r="H4" s="26">
        <f t="shared" si="0"/>
        <v>647.13041640000006</v>
      </c>
      <c r="I4" s="26">
        <f t="shared" si="0"/>
        <v>602.93628720000004</v>
      </c>
      <c r="J4" s="26">
        <f t="shared" si="0"/>
        <v>625.03335179999999</v>
      </c>
      <c r="K4" s="26">
        <f t="shared" si="0"/>
        <v>571.36897583999996</v>
      </c>
      <c r="L4" s="26">
        <f t="shared" si="0"/>
        <v>539.80166448</v>
      </c>
      <c r="M4" s="26">
        <f t="shared" si="0"/>
        <v>545.43323483999995</v>
      </c>
      <c r="N4" s="26">
        <f t="shared" si="0"/>
        <v>500.5855436400002</v>
      </c>
      <c r="O4" s="26">
        <f t="shared" si="0"/>
        <v>494.72642700000006</v>
      </c>
      <c r="P4" s="26">
        <f t="shared" si="0"/>
        <v>461.13894216000011</v>
      </c>
      <c r="Q4" s="26">
        <f t="shared" si="0"/>
        <v>468.5855475599999</v>
      </c>
      <c r="R4" s="26">
        <f t="shared" si="0"/>
        <v>398.64827807999984</v>
      </c>
      <c r="S4" s="26">
        <f t="shared" si="0"/>
        <v>414.42873264000013</v>
      </c>
      <c r="T4" s="26">
        <f t="shared" si="0"/>
        <v>363.14438940000014</v>
      </c>
      <c r="U4" s="26">
        <f t="shared" si="0"/>
        <v>360.34741079999992</v>
      </c>
      <c r="V4" s="26">
        <f t="shared" si="0"/>
        <v>301.4774802</v>
      </c>
      <c r="W4" s="26">
        <f t="shared" si="0"/>
        <v>343.44629747999983</v>
      </c>
      <c r="DA4" s="202" t="s">
        <v>1135</v>
      </c>
    </row>
    <row r="5" spans="1:105" ht="11.45" customHeight="1" x14ac:dyDescent="0.25">
      <c r="A5" s="107" t="s">
        <v>92</v>
      </c>
      <c r="B5" s="129">
        <v>1162.8806072399998</v>
      </c>
      <c r="C5" s="129">
        <v>767.89827036000008</v>
      </c>
      <c r="D5" s="129">
        <v>790.20234071999982</v>
      </c>
      <c r="E5" s="129">
        <v>741.83261723999976</v>
      </c>
      <c r="F5" s="129">
        <v>738.6757793999999</v>
      </c>
      <c r="G5" s="129">
        <v>669.22774776000006</v>
      </c>
      <c r="H5" s="129">
        <v>647.13041640000006</v>
      </c>
      <c r="I5" s="129">
        <v>602.93628720000004</v>
      </c>
      <c r="J5" s="129">
        <v>625.03335179999999</v>
      </c>
      <c r="K5" s="129">
        <v>571.36897583999996</v>
      </c>
      <c r="L5" s="129">
        <v>539.80166448</v>
      </c>
      <c r="M5" s="129">
        <v>545.43323483999995</v>
      </c>
      <c r="N5" s="129">
        <v>500.5855436400002</v>
      </c>
      <c r="O5" s="129">
        <v>494.72642700000006</v>
      </c>
      <c r="P5" s="129">
        <v>461.13894216000011</v>
      </c>
      <c r="Q5" s="129">
        <v>468.5855475599999</v>
      </c>
      <c r="R5" s="129">
        <v>398.64827807999984</v>
      </c>
      <c r="S5" s="129">
        <v>414.42873264000013</v>
      </c>
      <c r="T5" s="129">
        <v>363.14438940000014</v>
      </c>
      <c r="U5" s="129">
        <v>360.34741079999992</v>
      </c>
      <c r="V5" s="129">
        <v>301.4774802</v>
      </c>
      <c r="W5" s="129">
        <v>343.44629747999983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1162.8806072399998</v>
      </c>
      <c r="C8" s="79">
        <f t="shared" si="1"/>
        <v>767.89827036000008</v>
      </c>
      <c r="D8" s="79">
        <f t="shared" si="1"/>
        <v>790.20234071999994</v>
      </c>
      <c r="E8" s="79">
        <f t="shared" si="1"/>
        <v>741.83261723999965</v>
      </c>
      <c r="F8" s="79">
        <f t="shared" si="1"/>
        <v>738.6757793999999</v>
      </c>
      <c r="G8" s="79">
        <f t="shared" si="1"/>
        <v>669.22774776000006</v>
      </c>
      <c r="H8" s="79">
        <f t="shared" si="1"/>
        <v>647.13041639999994</v>
      </c>
      <c r="I8" s="79">
        <f t="shared" si="1"/>
        <v>602.93628720000004</v>
      </c>
      <c r="J8" s="79">
        <f t="shared" si="1"/>
        <v>625.03335179999999</v>
      </c>
      <c r="K8" s="79">
        <f t="shared" si="1"/>
        <v>571.36897584000008</v>
      </c>
      <c r="L8" s="79">
        <f t="shared" si="1"/>
        <v>539.80166448</v>
      </c>
      <c r="M8" s="79">
        <f t="shared" si="1"/>
        <v>545.43323484000007</v>
      </c>
      <c r="N8" s="79">
        <f t="shared" si="1"/>
        <v>500.5855436400002</v>
      </c>
      <c r="O8" s="79">
        <f t="shared" si="1"/>
        <v>494.72642700000011</v>
      </c>
      <c r="P8" s="79">
        <f t="shared" si="1"/>
        <v>461.13894216000011</v>
      </c>
      <c r="Q8" s="79">
        <f t="shared" si="1"/>
        <v>468.5855475599999</v>
      </c>
      <c r="R8" s="79">
        <f t="shared" si="1"/>
        <v>398.6482780799999</v>
      </c>
      <c r="S8" s="79">
        <f t="shared" si="1"/>
        <v>414.42873264000008</v>
      </c>
      <c r="T8" s="79">
        <f t="shared" si="1"/>
        <v>363.14438940000014</v>
      </c>
      <c r="U8" s="79">
        <f t="shared" si="1"/>
        <v>360.34741079999992</v>
      </c>
      <c r="V8" s="79">
        <f t="shared" si="1"/>
        <v>301.4774802</v>
      </c>
      <c r="W8" s="79">
        <f t="shared" si="1"/>
        <v>343.44629747999988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815.03799164555892</v>
      </c>
      <c r="C9" s="32">
        <f t="shared" si="2"/>
        <v>524.0615648695931</v>
      </c>
      <c r="D9" s="32">
        <f t="shared" si="2"/>
        <v>540.94873987121332</v>
      </c>
      <c r="E9" s="32">
        <f t="shared" si="2"/>
        <v>521.44839116759692</v>
      </c>
      <c r="F9" s="32">
        <f t="shared" si="2"/>
        <v>567.72939740932361</v>
      </c>
      <c r="G9" s="32">
        <f t="shared" si="2"/>
        <v>532.38810473560852</v>
      </c>
      <c r="H9" s="32">
        <f t="shared" si="2"/>
        <v>522.32776990876039</v>
      </c>
      <c r="I9" s="32">
        <f t="shared" si="2"/>
        <v>482.26199302100514</v>
      </c>
      <c r="J9" s="32">
        <f t="shared" si="2"/>
        <v>503.27120766489497</v>
      </c>
      <c r="K9" s="32">
        <f t="shared" si="2"/>
        <v>480.54837369057969</v>
      </c>
      <c r="L9" s="32">
        <f t="shared" si="2"/>
        <v>456.87120952170869</v>
      </c>
      <c r="M9" s="32">
        <f t="shared" si="2"/>
        <v>463.26277080711532</v>
      </c>
      <c r="N9" s="32">
        <f t="shared" si="2"/>
        <v>432.66972818982282</v>
      </c>
      <c r="O9" s="32">
        <f t="shared" si="2"/>
        <v>424.72775684502443</v>
      </c>
      <c r="P9" s="32">
        <f t="shared" si="2"/>
        <v>398.46675851002198</v>
      </c>
      <c r="Q9" s="32">
        <f t="shared" si="2"/>
        <v>402.50535425650418</v>
      </c>
      <c r="R9" s="32">
        <f t="shared" si="2"/>
        <v>340.33225210568366</v>
      </c>
      <c r="S9" s="32">
        <f t="shared" si="2"/>
        <v>352.26991945314506</v>
      </c>
      <c r="T9" s="32">
        <f t="shared" si="2"/>
        <v>309.45899431113423</v>
      </c>
      <c r="U9" s="32">
        <f t="shared" si="2"/>
        <v>304.39271810230082</v>
      </c>
      <c r="V9" s="32">
        <f t="shared" si="2"/>
        <v>241.32870085316097</v>
      </c>
      <c r="W9" s="32">
        <f t="shared" si="2"/>
        <v>275.35590946562888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815.03799164555892</v>
      </c>
      <c r="C11" s="130">
        <f t="shared" si="3"/>
        <v>524.0615648695931</v>
      </c>
      <c r="D11" s="130">
        <f t="shared" si="3"/>
        <v>540.94873987121332</v>
      </c>
      <c r="E11" s="130">
        <f t="shared" si="3"/>
        <v>521.44839116759692</v>
      </c>
      <c r="F11" s="130">
        <f t="shared" si="3"/>
        <v>567.72939740932361</v>
      </c>
      <c r="G11" s="130">
        <f t="shared" si="3"/>
        <v>532.38810473560852</v>
      </c>
      <c r="H11" s="130">
        <f t="shared" si="3"/>
        <v>522.32776990876039</v>
      </c>
      <c r="I11" s="130">
        <f t="shared" si="3"/>
        <v>482.26199302100514</v>
      </c>
      <c r="J11" s="130">
        <f t="shared" si="3"/>
        <v>503.27120766489497</v>
      </c>
      <c r="K11" s="130">
        <f t="shared" si="3"/>
        <v>480.54837369057969</v>
      </c>
      <c r="L11" s="130">
        <f t="shared" si="3"/>
        <v>456.87120952170869</v>
      </c>
      <c r="M11" s="130">
        <f t="shared" si="3"/>
        <v>463.26277080711532</v>
      </c>
      <c r="N11" s="130">
        <f t="shared" si="3"/>
        <v>432.66972818982282</v>
      </c>
      <c r="O11" s="130">
        <f t="shared" si="3"/>
        <v>424.72775684502443</v>
      </c>
      <c r="P11" s="130">
        <f t="shared" si="3"/>
        <v>398.46675851002198</v>
      </c>
      <c r="Q11" s="130">
        <f t="shared" si="3"/>
        <v>402.50535425650418</v>
      </c>
      <c r="R11" s="130">
        <f t="shared" si="3"/>
        <v>340.33225210568366</v>
      </c>
      <c r="S11" s="130">
        <f t="shared" si="3"/>
        <v>352.26991945314506</v>
      </c>
      <c r="T11" s="130">
        <f t="shared" si="3"/>
        <v>309.45899431113423</v>
      </c>
      <c r="U11" s="130">
        <f t="shared" si="3"/>
        <v>304.39271810230082</v>
      </c>
      <c r="V11" s="130">
        <f t="shared" si="3"/>
        <v>241.32870085316097</v>
      </c>
      <c r="W11" s="130">
        <f t="shared" si="3"/>
        <v>275.35590946562888</v>
      </c>
      <c r="DA11" s="176" t="s">
        <v>408</v>
      </c>
    </row>
    <row r="12" spans="1:105" ht="11.45" customHeight="1" x14ac:dyDescent="0.25">
      <c r="A12" s="111" t="s">
        <v>92</v>
      </c>
      <c r="B12" s="96">
        <v>815.03799164555892</v>
      </c>
      <c r="C12" s="96">
        <v>524.0615648695931</v>
      </c>
      <c r="D12" s="96">
        <v>540.94873987121332</v>
      </c>
      <c r="E12" s="96">
        <v>521.44839116759692</v>
      </c>
      <c r="F12" s="96">
        <v>567.72939740932361</v>
      </c>
      <c r="G12" s="96">
        <v>532.38810473560852</v>
      </c>
      <c r="H12" s="96">
        <v>522.32776990876039</v>
      </c>
      <c r="I12" s="96">
        <v>482.26199302100514</v>
      </c>
      <c r="J12" s="96">
        <v>503.27120766489497</v>
      </c>
      <c r="K12" s="96">
        <v>480.54837369057969</v>
      </c>
      <c r="L12" s="96">
        <v>456.87120952170869</v>
      </c>
      <c r="M12" s="96">
        <v>463.26277080711532</v>
      </c>
      <c r="N12" s="96">
        <v>432.66972818982282</v>
      </c>
      <c r="O12" s="96">
        <v>424.72775684502443</v>
      </c>
      <c r="P12" s="96">
        <v>398.46675851002198</v>
      </c>
      <c r="Q12" s="96">
        <v>402.50535425650418</v>
      </c>
      <c r="R12" s="96">
        <v>340.33225210568366</v>
      </c>
      <c r="S12" s="96">
        <v>352.26991945314506</v>
      </c>
      <c r="T12" s="96">
        <v>309.45899431113423</v>
      </c>
      <c r="U12" s="96">
        <v>304.39271810230082</v>
      </c>
      <c r="V12" s="96">
        <v>241.32870085316097</v>
      </c>
      <c r="W12" s="96">
        <v>275.35590946562888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347.84261559444093</v>
      </c>
      <c r="C15" s="32">
        <f t="shared" si="4"/>
        <v>243.83670549040696</v>
      </c>
      <c r="D15" s="32">
        <f t="shared" si="4"/>
        <v>249.25360084878656</v>
      </c>
      <c r="E15" s="32">
        <f t="shared" si="4"/>
        <v>220.38422607240275</v>
      </c>
      <c r="F15" s="32">
        <f t="shared" si="4"/>
        <v>170.94638199067631</v>
      </c>
      <c r="G15" s="32">
        <f t="shared" si="4"/>
        <v>136.83964302439153</v>
      </c>
      <c r="H15" s="32">
        <f t="shared" si="4"/>
        <v>124.80264649123957</v>
      </c>
      <c r="I15" s="32">
        <f t="shared" si="4"/>
        <v>120.6742941789949</v>
      </c>
      <c r="J15" s="32">
        <f t="shared" si="4"/>
        <v>121.76214413510498</v>
      </c>
      <c r="K15" s="32">
        <f t="shared" si="4"/>
        <v>90.820602149420324</v>
      </c>
      <c r="L15" s="32">
        <f t="shared" si="4"/>
        <v>82.930454958291364</v>
      </c>
      <c r="M15" s="32">
        <f t="shared" si="4"/>
        <v>82.170464032884695</v>
      </c>
      <c r="N15" s="32">
        <f t="shared" si="4"/>
        <v>67.915815450177362</v>
      </c>
      <c r="O15" s="32">
        <f t="shared" si="4"/>
        <v>69.99867015497567</v>
      </c>
      <c r="P15" s="32">
        <f t="shared" si="4"/>
        <v>62.672183649978138</v>
      </c>
      <c r="Q15" s="32">
        <f t="shared" si="4"/>
        <v>66.080193303495747</v>
      </c>
      <c r="R15" s="32">
        <f t="shared" si="4"/>
        <v>58.316025974316233</v>
      </c>
      <c r="S15" s="32">
        <f t="shared" si="4"/>
        <v>62.158813186855035</v>
      </c>
      <c r="T15" s="32">
        <f t="shared" si="4"/>
        <v>53.685395088865889</v>
      </c>
      <c r="U15" s="32">
        <f t="shared" si="4"/>
        <v>55.954692697699102</v>
      </c>
      <c r="V15" s="32">
        <f t="shared" si="4"/>
        <v>60.148779346839042</v>
      </c>
      <c r="W15" s="32">
        <f t="shared" si="4"/>
        <v>68.090388014370987</v>
      </c>
      <c r="DA15" s="173" t="s">
        <v>413</v>
      </c>
    </row>
    <row r="16" spans="1:105" ht="11.45" customHeight="1" x14ac:dyDescent="0.25">
      <c r="A16" s="83" t="s">
        <v>92</v>
      </c>
      <c r="B16" s="96">
        <v>347.84261559444093</v>
      </c>
      <c r="C16" s="96">
        <v>243.83670549040696</v>
      </c>
      <c r="D16" s="96">
        <v>249.25360084878656</v>
      </c>
      <c r="E16" s="96">
        <v>220.38422607240275</v>
      </c>
      <c r="F16" s="96">
        <v>170.94638199067631</v>
      </c>
      <c r="G16" s="96">
        <v>136.83964302439153</v>
      </c>
      <c r="H16" s="96">
        <v>124.80264649123957</v>
      </c>
      <c r="I16" s="96">
        <v>120.6742941789949</v>
      </c>
      <c r="J16" s="96">
        <v>121.76214413510498</v>
      </c>
      <c r="K16" s="96">
        <v>90.820602149420324</v>
      </c>
      <c r="L16" s="96">
        <v>82.930454958291364</v>
      </c>
      <c r="M16" s="96">
        <v>82.170464032884695</v>
      </c>
      <c r="N16" s="96">
        <v>67.915815450177362</v>
      </c>
      <c r="O16" s="96">
        <v>69.99867015497567</v>
      </c>
      <c r="P16" s="96">
        <v>62.672183649978138</v>
      </c>
      <c r="Q16" s="96">
        <v>66.080193303495747</v>
      </c>
      <c r="R16" s="96">
        <v>58.316025974316233</v>
      </c>
      <c r="S16" s="96">
        <v>62.158813186855035</v>
      </c>
      <c r="T16" s="96">
        <v>53.685395088865889</v>
      </c>
      <c r="U16" s="96">
        <v>55.954692697699102</v>
      </c>
      <c r="V16" s="96">
        <v>60.148779346839042</v>
      </c>
      <c r="W16" s="96">
        <v>68.090388014370987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0.98442486362745485</v>
      </c>
      <c r="C22" s="134">
        <f>IF(C4=0,0,C4/TrRail_ene!C4)</f>
        <v>0.7187297980185281</v>
      </c>
      <c r="D22" s="134">
        <f>IF(D4=0,0,D4/TrRail_ene!D4)</f>
        <v>0.72762404513345846</v>
      </c>
      <c r="E22" s="134">
        <f>IF(E4=0,0,E4/TrRail_ene!E4)</f>
        <v>0.68647220498041861</v>
      </c>
      <c r="F22" s="134">
        <f>IF(F4=0,0,F4/TrRail_ene!F4)</f>
        <v>0.67152002388966203</v>
      </c>
      <c r="G22" s="134">
        <f>IF(G4=0,0,G4/TrRail_ene!G4)</f>
        <v>0.62920704197076005</v>
      </c>
      <c r="H22" s="134">
        <f>IF(H4=0,0,H4/TrRail_ene!H4)</f>
        <v>0.60655975695561459</v>
      </c>
      <c r="I22" s="134">
        <f>IF(I4=0,0,I4/TrRail_ene!I4)</f>
        <v>0.57063993158781345</v>
      </c>
      <c r="J22" s="134">
        <f>IF(J4=0,0,J4/TrRail_ene!J4)</f>
        <v>0.56954529158058165</v>
      </c>
      <c r="K22" s="134">
        <f>IF(K4=0,0,K4/TrRail_ene!K4)</f>
        <v>0.54374308675372418</v>
      </c>
      <c r="L22" s="134">
        <f>IF(L4=0,0,L4/TrRail_ene!L4)</f>
        <v>0.52053135213278867</v>
      </c>
      <c r="M22" s="134">
        <f>IF(M4=0,0,M4/TrRail_ene!M4)</f>
        <v>0.53569021362361802</v>
      </c>
      <c r="N22" s="134">
        <f>IF(N4=0,0,N4/TrRail_ene!N4)</f>
        <v>0.49114641066151554</v>
      </c>
      <c r="O22" s="134">
        <f>IF(O4=0,0,O4/TrRail_ene!O4)</f>
        <v>0.48287684512431189</v>
      </c>
      <c r="P22" s="134">
        <f>IF(P4=0,0,P4/TrRail_ene!P4)</f>
        <v>0.46665802598129186</v>
      </c>
      <c r="Q22" s="134">
        <f>IF(Q4=0,0,Q4/TrRail_ene!Q4)</f>
        <v>0.46815587466179354</v>
      </c>
      <c r="R22" s="134">
        <f>IF(R4=0,0,R4/TrRail_ene!R4)</f>
        <v>0.41363624331286591</v>
      </c>
      <c r="S22" s="134">
        <f>IF(S4=0,0,S4/TrRail_ene!S4)</f>
        <v>0.42897061518579688</v>
      </c>
      <c r="T22" s="134">
        <f>IF(T4=0,0,T4/TrRail_ene!T4)</f>
        <v>0.40056680024257652</v>
      </c>
      <c r="U22" s="134">
        <f>IF(U4=0,0,U4/TrRail_ene!U4)</f>
        <v>0.39952649755727571</v>
      </c>
      <c r="V22" s="134">
        <f>IF(V4=0,0,V4/TrRail_ene!V4)</f>
        <v>0.40920835212092138</v>
      </c>
      <c r="W22" s="134">
        <f>IF(W4=0,0,W4/TrRail_ene!W4)</f>
        <v>0.41864879631644264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1.5515651554732757</v>
      </c>
      <c r="C23" s="129">
        <f>IF(C5=0,0,C5/SUM(TrRail_ene!C5:C7))</f>
        <v>1.5512093999999998</v>
      </c>
      <c r="D23" s="129">
        <f>IF(D5=0,0,D5/SUM(TrRail_ene!D5:D7))</f>
        <v>1.5512094000000001</v>
      </c>
      <c r="E23" s="129">
        <f>IF(E5=0,0,E5/SUM(TrRail_ene!E5:E7))</f>
        <v>1.5512093999999998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1.5512093999999998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1.5018799819080373</v>
      </c>
      <c r="S23" s="129">
        <f>IF(S5=0,0,S5/SUM(TrRail_ene!S5:S7))</f>
        <v>1.4745862764352247</v>
      </c>
      <c r="T23" s="129">
        <f>IF(T5=0,0,T5/SUM(TrRail_ene!T5:T7))</f>
        <v>1.4510723351879875</v>
      </c>
      <c r="U23" s="129">
        <f>IF(U5=0,0,U5/SUM(TrRail_ene!U5:U7))</f>
        <v>1.4383511727260934</v>
      </c>
      <c r="V23" s="129">
        <f>IF(V5=0,0,V5/SUM(TrRail_ene!V5:V7))</f>
        <v>1.4445679478919722</v>
      </c>
      <c r="W23" s="129">
        <f>IF(W5=0,0,W5/SUM(TrRail_ene!W5:W7))</f>
        <v>1.4370437831145899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2095.7143519511842</v>
      </c>
      <c r="C26" s="54">
        <f>IF(C8=0,0,C8/TrRail_act!C14*1000)</f>
        <v>1420.6609574327024</v>
      </c>
      <c r="D26" s="54">
        <f>IF(D8=0,0,D8/TrRail_act!D14*1000)</f>
        <v>1425.0330809821171</v>
      </c>
      <c r="E26" s="54">
        <f>IF(E8=0,0,E8/TrRail_act!E14*1000)</f>
        <v>1272.6455759152568</v>
      </c>
      <c r="F26" s="54">
        <f>IF(F8=0,0,F8/TrRail_act!F14*1000)</f>
        <v>1205.5451273852548</v>
      </c>
      <c r="G26" s="54">
        <f>IF(G8=0,0,G8/TrRail_act!G14*1000)</f>
        <v>1093.4724351446182</v>
      </c>
      <c r="H26" s="54">
        <f>IF(H8=0,0,H8/TrRail_act!H14*1000)</f>
        <v>1028.644259944105</v>
      </c>
      <c r="I26" s="54">
        <f>IF(I8=0,0,I8/TrRail_act!I14*1000)</f>
        <v>951.00532553852122</v>
      </c>
      <c r="J26" s="54">
        <f>IF(J8=0,0,J8/TrRail_act!J14*1000)</f>
        <v>925.30951189303596</v>
      </c>
      <c r="K26" s="54">
        <f>IF(K8=0,0,K8/TrRail_act!K14*1000)</f>
        <v>871.90687616510604</v>
      </c>
      <c r="L26" s="54">
        <f>IF(L8=0,0,L8/TrRail_act!L14*1000)</f>
        <v>820.72560608784397</v>
      </c>
      <c r="M26" s="54">
        <f>IF(M8=0,0,M8/TrRail_act!M14*1000)</f>
        <v>830.26476496735722</v>
      </c>
      <c r="N26" s="54">
        <f>IF(N8=0,0,N8/TrRail_act!N14*1000)</f>
        <v>749.75058091941958</v>
      </c>
      <c r="O26" s="54">
        <f>IF(O8=0,0,O8/TrRail_act!O14*1000)</f>
        <v>722.78054734775799</v>
      </c>
      <c r="P26" s="54">
        <f>IF(P8=0,0,P8/TrRail_act!P14*1000)</f>
        <v>681.23877573009986</v>
      </c>
      <c r="Q26" s="54">
        <f>IF(Q8=0,0,Q8/TrRail_act!Q14*1000)</f>
        <v>675.97691825379195</v>
      </c>
      <c r="R26" s="54">
        <f>IF(R8=0,0,R8/TrRail_act!R14*1000)</f>
        <v>580.49744902127736</v>
      </c>
      <c r="S26" s="54">
        <f>IF(S8=0,0,S8/TrRail_act!S14*1000)</f>
        <v>605.09989954166133</v>
      </c>
      <c r="T26" s="54">
        <f>IF(T8=0,0,T8/TrRail_act!T14*1000)</f>
        <v>553.35154533706611</v>
      </c>
      <c r="U26" s="54">
        <f>IF(U8=0,0,U8/TrRail_act!U14*1000)</f>
        <v>556.44890960930707</v>
      </c>
      <c r="V26" s="54">
        <f>IF(V8=0,0,V8/TrRail_act!V14*1000)</f>
        <v>578.934835415051</v>
      </c>
      <c r="W26" s="54">
        <f>IF(W8=0,0,W8/TrRail_act!W14*1000)</f>
        <v>598.04794722320889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1818.5386847099226</v>
      </c>
      <c r="C27" s="28">
        <f>IF(C9=0,0,C9/TrRail_act!C15*1000)</f>
        <v>1199.9621229910365</v>
      </c>
      <c r="D27" s="28">
        <f>IF(D9=0,0,D9/TrRail_act!D15*1000)</f>
        <v>1203.4534336341346</v>
      </c>
      <c r="E27" s="28">
        <f>IF(E9=0,0,E9/TrRail_act!E15*1000)</f>
        <v>1105.2723662256151</v>
      </c>
      <c r="F27" s="28">
        <f>IF(F9=0,0,F9/TrRail_act!F15*1000)</f>
        <v>1117.2015154352619</v>
      </c>
      <c r="G27" s="28">
        <f>IF(G9=0,0,G9/TrRail_act!G15*1000)</f>
        <v>1017.5898951106108</v>
      </c>
      <c r="H27" s="28">
        <f>IF(H9=0,0,H9/TrRail_act!H15*1000)</f>
        <v>962.67691611243731</v>
      </c>
      <c r="I27" s="28">
        <f>IF(I9=0,0,I9/TrRail_act!I15*1000)</f>
        <v>877.48749996363961</v>
      </c>
      <c r="J27" s="28">
        <f>IF(J9=0,0,J9/TrRail_act!J15*1000)</f>
        <v>848.103891772255</v>
      </c>
      <c r="K27" s="28">
        <f>IF(K9=0,0,K9/TrRail_act!K15*1000)</f>
        <v>817.44083009600092</v>
      </c>
      <c r="L27" s="28">
        <f>IF(L9=0,0,L9/TrRail_act!L15*1000)</f>
        <v>771.86112895234567</v>
      </c>
      <c r="M27" s="28">
        <f>IF(M9=0,0,M9/TrRail_act!M15*1000)</f>
        <v>776.88889761375344</v>
      </c>
      <c r="N27" s="28">
        <f>IF(N9=0,0,N9/TrRail_act!N15*1000)</f>
        <v>711.47248504717584</v>
      </c>
      <c r="O27" s="28">
        <f>IF(O9=0,0,O9/TrRail_act!O15*1000)</f>
        <v>688.49086685003635</v>
      </c>
      <c r="P27" s="28">
        <f>IF(P9=0,0,P9/TrRail_act!P15*1000)</f>
        <v>651.44431168360506</v>
      </c>
      <c r="Q27" s="28">
        <f>IF(Q9=0,0,Q9/TrRail_act!Q15*1000)</f>
        <v>641.89700199685103</v>
      </c>
      <c r="R27" s="28">
        <f>IF(R9=0,0,R9/TrRail_act!R15*1000)</f>
        <v>545.69985082785774</v>
      </c>
      <c r="S27" s="28">
        <f>IF(S9=0,0,S9/TrRail_act!S15*1000)</f>
        <v>570.59577323721737</v>
      </c>
      <c r="T27" s="28">
        <f>IF(T9=0,0,T9/TrRail_act!T15*1000)</f>
        <v>523.11155730997552</v>
      </c>
      <c r="U27" s="28">
        <f>IF(U9=0,0,U9/TrRail_act!U15*1000)</f>
        <v>520.49776304015563</v>
      </c>
      <c r="V27" s="28">
        <f>IF(V9=0,0,V9/TrRail_act!V15*1000)</f>
        <v>532.343447374069</v>
      </c>
      <c r="W27" s="28">
        <f>IF(W9=0,0,W9/TrRail_act!W15*1000)</f>
        <v>547.67894514257841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2941.4690975742537</v>
      </c>
      <c r="C29" s="110">
        <f>IF(C11=0,0,C11/TrRail_act!C17*1000)</f>
        <v>2100.1122617166652</v>
      </c>
      <c r="D29" s="110">
        <f>IF(D11=0,0,D11/TrRail_act!D17*1000)</f>
        <v>2138.3857199310851</v>
      </c>
      <c r="E29" s="110">
        <f>IF(E11=0,0,E11/TrRail_act!E17*1000)</f>
        <v>1904.1452518938536</v>
      </c>
      <c r="F29" s="110">
        <f>IF(F11=0,0,F11/TrRail_act!F17*1000)</f>
        <v>1930.9816772641559</v>
      </c>
      <c r="G29" s="110">
        <f>IF(G11=0,0,G11/TrRail_act!G17*1000)</f>
        <v>1754.8663448986449</v>
      </c>
      <c r="H29" s="110">
        <f>IF(H11=0,0,H11/TrRail_act!H17*1000)</f>
        <v>1636.8379127158898</v>
      </c>
      <c r="I29" s="110">
        <f>IF(I11=0,0,I11/TrRail_act!I17*1000)</f>
        <v>1498.8336879077422</v>
      </c>
      <c r="J29" s="110">
        <f>IF(J11=0,0,J11/TrRail_act!J17*1000)</f>
        <v>1462.1623508213333</v>
      </c>
      <c r="K29" s="110">
        <f>IF(K11=0,0,K11/TrRail_act!K17*1000)</f>
        <v>1376.7547223042066</v>
      </c>
      <c r="L29" s="110">
        <f>IF(L11=0,0,L11/TrRail_act!L17*1000)</f>
        <v>1291.5563317178712</v>
      </c>
      <c r="M29" s="110">
        <f>IF(M11=0,0,M11/TrRail_act!M17*1000)</f>
        <v>1286.1060398809855</v>
      </c>
      <c r="N29" s="110">
        <f>IF(N11=0,0,N11/TrRail_act!N17*1000)</f>
        <v>1210.1691485689093</v>
      </c>
      <c r="O29" s="110">
        <f>IF(O11=0,0,O11/TrRail_act!O17*1000)</f>
        <v>1151.6634069793884</v>
      </c>
      <c r="P29" s="110">
        <f>IF(P11=0,0,P11/TrRail_act!P17*1000)</f>
        <v>1081.4549714078732</v>
      </c>
      <c r="Q29" s="110">
        <f>IF(Q11=0,0,Q11/TrRail_act!Q17*1000)</f>
        <v>1066.1462171868154</v>
      </c>
      <c r="R29" s="110">
        <f>IF(R11=0,0,R11/TrRail_act!R17*1000)</f>
        <v>892.87097605984263</v>
      </c>
      <c r="S29" s="110">
        <f>IF(S11=0,0,S11/TrRail_act!S17*1000)</f>
        <v>953.19230291755866</v>
      </c>
      <c r="T29" s="110">
        <f>IF(T11=0,0,T11/TrRail_act!T17*1000)</f>
        <v>882.37906631690998</v>
      </c>
      <c r="U29" s="110">
        <f>IF(U11=0,0,U11/TrRail_act!U17*1000)</f>
        <v>883.86774112289118</v>
      </c>
      <c r="V29" s="110">
        <f>IF(V11=0,0,V11/TrRail_act!V17*1000)</f>
        <v>885.71193914891023</v>
      </c>
      <c r="W29" s="110">
        <f>IF(W11=0,0,W11/TrRail_act!W17*1000)</f>
        <v>973.73941385086016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10679.213098246964</v>
      </c>
      <c r="C30" s="84">
        <f>IF(C12=0,0,C12/TrRail_act!C18*1000)</f>
        <v>8479.7941912039078</v>
      </c>
      <c r="D30" s="84">
        <f>IF(D12=0,0,D12/TrRail_act!D18*1000)</f>
        <v>8315.506143766208</v>
      </c>
      <c r="E30" s="84">
        <f>IF(E12=0,0,E12/TrRail_act!E18*1000)</f>
        <v>8159.3765366220341</v>
      </c>
      <c r="F30" s="84">
        <f>IF(F12=0,0,F12/TrRail_act!F18*1000)</f>
        <v>8084.8220827272744</v>
      </c>
      <c r="G30" s="84">
        <f>IF(G12=0,0,G12/TrRail_act!G18*1000)</f>
        <v>8006.2801164207631</v>
      </c>
      <c r="H30" s="84">
        <f>IF(H12=0,0,H12/TrRail_act!H18*1000)</f>
        <v>7904.6961528855254</v>
      </c>
      <c r="I30" s="84">
        <f>IF(I12=0,0,I12/TrRail_act!I18*1000)</f>
        <v>7797.6699104540485</v>
      </c>
      <c r="J30" s="84">
        <f>IF(J12=0,0,J12/TrRail_act!J18*1000)</f>
        <v>7591.7448991062929</v>
      </c>
      <c r="K30" s="84">
        <f>IF(K12=0,0,K12/TrRail_act!K18*1000)</f>
        <v>7336.3073275715151</v>
      </c>
      <c r="L30" s="84">
        <f>IF(L12=0,0,L12/TrRail_act!L18*1000)</f>
        <v>7174.3185682375124</v>
      </c>
      <c r="M30" s="84">
        <f>IF(M12=0,0,M12/TrRail_act!M18*1000)</f>
        <v>7009.111927433094</v>
      </c>
      <c r="N30" s="84">
        <f>IF(N12=0,0,N12/TrRail_act!N18*1000)</f>
        <v>6879.9430654347134</v>
      </c>
      <c r="O30" s="84">
        <f>IF(O12=0,0,O12/TrRail_act!O18*1000)</f>
        <v>6778.665605507691</v>
      </c>
      <c r="P30" s="84">
        <f>IF(P12=0,0,P12/TrRail_act!P18*1000)</f>
        <v>6669.9042893316691</v>
      </c>
      <c r="Q30" s="84">
        <f>IF(Q12=0,0,Q12/TrRail_act!Q18*1000)</f>
        <v>6582.7643819414443</v>
      </c>
      <c r="R30" s="84">
        <f>IF(R12=0,0,R12/TrRail_act!R18*1000)</f>
        <v>6216.2128028741517</v>
      </c>
      <c r="S30" s="84">
        <f>IF(S12=0,0,S12/TrRail_act!S18*1000)</f>
        <v>6019.9303378415834</v>
      </c>
      <c r="T30" s="84">
        <f>IF(T12=0,0,T12/TrRail_act!T18*1000)</f>
        <v>5863.1811869363264</v>
      </c>
      <c r="U30" s="84">
        <f>IF(U12=0,0,U12/TrRail_act!U18*1000)</f>
        <v>5767.0194457606085</v>
      </c>
      <c r="V30" s="84">
        <f>IF(V12=0,0,V12/TrRail_act!V18*1000)</f>
        <v>5758.457049407245</v>
      </c>
      <c r="W30" s="84">
        <f>IF(W12=0,0,W12/TrRail_act!W18*1000)</f>
        <v>5703.6046269607341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3259.9402792168376</v>
      </c>
      <c r="C33" s="28">
        <f>IF(C15=0,0,C15/TrRail_act!C21*1000)</f>
        <v>2349.3257048300434</v>
      </c>
      <c r="D33" s="28">
        <f>IF(D15=0,0,D15/TrRail_act!D21*1000)</f>
        <v>2373.4356081468632</v>
      </c>
      <c r="E33" s="28">
        <f>IF(E15=0,0,E15/TrRail_act!E21*1000)</f>
        <v>1983.2423851963542</v>
      </c>
      <c r="F33" s="28">
        <f>IF(F15=0,0,F15/TrRail_act!F21*1000)</f>
        <v>1634.8998693928813</v>
      </c>
      <c r="G33" s="28">
        <f>IF(G15=0,0,G15/TrRail_act!G21*1000)</f>
        <v>1540.373694133518</v>
      </c>
      <c r="H33" s="28">
        <f>IF(H15=0,0,H15/TrRail_act!H21*1000)</f>
        <v>1442.2790454092878</v>
      </c>
      <c r="I33" s="28">
        <f>IF(I15=0,0,I15/TrRail_act!I21*1000)</f>
        <v>1429.7104486865233</v>
      </c>
      <c r="J33" s="28">
        <f>IF(J15=0,0,J15/TrRail_act!J21*1000)</f>
        <v>1483.4892363779072</v>
      </c>
      <c r="K33" s="28">
        <f>IF(K15=0,0,K15/TrRail_act!K21*1000)</f>
        <v>1346.6809144859194</v>
      </c>
      <c r="L33" s="28">
        <f>IF(L15=0,0,L15/TrRail_act!L21*1000)</f>
        <v>1260.2617351070317</v>
      </c>
      <c r="M33" s="28">
        <f>IF(M15=0,0,M15/TrRail_act!M21*1000)</f>
        <v>1355.1908445933157</v>
      </c>
      <c r="N33" s="28">
        <f>IF(N15=0,0,N15/TrRail_act!N21*1000)</f>
        <v>1140.7392788556749</v>
      </c>
      <c r="O33" s="28">
        <f>IF(O15=0,0,O15/TrRail_act!O21*1000)</f>
        <v>1035.7903825174519</v>
      </c>
      <c r="P33" s="28">
        <f>IF(P15=0,0,P15/TrRail_act!P21*1000)</f>
        <v>960.55647423700259</v>
      </c>
      <c r="Q33" s="28">
        <f>IF(Q15=0,0,Q15/TrRail_act!Q21*1000)</f>
        <v>999.07196617777663</v>
      </c>
      <c r="R33" s="28">
        <f>IF(R15=0,0,R15/TrRail_act!R21*1000)</f>
        <v>924.57049344710993</v>
      </c>
      <c r="S33" s="28">
        <f>IF(S15=0,0,S15/TrRail_act!S21*1000)</f>
        <v>920.58541082846477</v>
      </c>
      <c r="T33" s="28">
        <f>IF(T15=0,0,T15/TrRail_act!T21*1000)</f>
        <v>829.88928930913255</v>
      </c>
      <c r="U33" s="28">
        <f>IF(U15=0,0,U15/TrRail_act!U21*1000)</f>
        <v>891.3788192835716</v>
      </c>
      <c r="V33" s="28">
        <f>IF(V15=0,0,V15/TrRail_act!V21*1000)</f>
        <v>892.25114998670904</v>
      </c>
      <c r="W33" s="28">
        <f>IF(W15=0,0,W15/TrRail_act!W21*1000)</f>
        <v>952.17962599942905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21136.787564687311</v>
      </c>
      <c r="C34" s="84">
        <f>IF(C16=0,0,C16/TrRail_act!C22*1000)</f>
        <v>17476.662513118801</v>
      </c>
      <c r="D34" s="84">
        <f>IF(D16=0,0,D16/TrRail_act!D22*1000)</f>
        <v>17361.267778428562</v>
      </c>
      <c r="E34" s="84">
        <f>IF(E16=0,0,E16/TrRail_act!E22*1000)</f>
        <v>17220.359444598129</v>
      </c>
      <c r="F34" s="84">
        <f>IF(F16=0,0,F16/TrRail_act!F22*1000)</f>
        <v>17135.333840939453</v>
      </c>
      <c r="G34" s="84">
        <f>IF(G16=0,0,G16/TrRail_act!G22*1000)</f>
        <v>16980.439167400073</v>
      </c>
      <c r="H34" s="84">
        <f>IF(H16=0,0,H16/TrRail_act!H22*1000)</f>
        <v>16908.083759234836</v>
      </c>
      <c r="I34" s="84">
        <f>IF(I16=0,0,I16/TrRail_act!I22*1000)</f>
        <v>16768.695069896883</v>
      </c>
      <c r="J34" s="84">
        <f>IF(J16=0,0,J16/TrRail_act!J22*1000)</f>
        <v>16608.942863761738</v>
      </c>
      <c r="K34" s="84">
        <f>IF(K16=0,0,K16/TrRail_act!K22*1000)</f>
        <v>16509.824293537054</v>
      </c>
      <c r="L34" s="84">
        <f>IF(L16=0,0,L16/TrRail_act!L22*1000)</f>
        <v>16387.286536818774</v>
      </c>
      <c r="M34" s="84">
        <f>IF(M16=0,0,M16/TrRail_act!M22*1000)</f>
        <v>15924.268406839368</v>
      </c>
      <c r="N34" s="84">
        <f>IF(N16=0,0,N16/TrRail_act!N22*1000)</f>
        <v>15551.324532940162</v>
      </c>
      <c r="O34" s="84">
        <f>IF(O16=0,0,O16/TrRail_act!O22*1000)</f>
        <v>15286.630176261095</v>
      </c>
      <c r="P34" s="84">
        <f>IF(P16=0,0,P16/TrRail_act!P22*1000)</f>
        <v>15005.506535681894</v>
      </c>
      <c r="Q34" s="84">
        <f>IF(Q16=0,0,Q16/TrRail_act!Q22*1000)</f>
        <v>14619.876817650609</v>
      </c>
      <c r="R34" s="84">
        <f>IF(R16=0,0,R16/TrRail_act!R22*1000)</f>
        <v>13806.024788774108</v>
      </c>
      <c r="S34" s="84">
        <f>IF(S16=0,0,S16/TrRail_act!S22*1000)</f>
        <v>13418.895089963857</v>
      </c>
      <c r="T34" s="84">
        <f>IF(T16=0,0,T16/TrRail_act!T22*1000)</f>
        <v>13137.885644841503</v>
      </c>
      <c r="U34" s="84">
        <f>IF(U16=0,0,U16/TrRail_act!U22*1000)</f>
        <v>12956.266926163138</v>
      </c>
      <c r="V34" s="84">
        <f>IF(V16=0,0,V16/TrRail_act!V22*1000)</f>
        <v>12962.442249582578</v>
      </c>
      <c r="W34" s="84">
        <f>IF(W16=0,0,W16/TrRail_act!W22*1000)</f>
        <v>12857.877652882929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9.8644167070800037</v>
      </c>
      <c r="C38" s="29">
        <f>IF(C9=0,0,C9/TrRail_act!C4*1000)</f>
        <v>6.1968087723739256</v>
      </c>
      <c r="D38" s="29">
        <f>IF(D9=0,0,D9/TrRail_act!D4*1000)</f>
        <v>6.2481598154870257</v>
      </c>
      <c r="E38" s="29">
        <f>IF(E9=0,0,E9/TrRail_act!E4*1000)</f>
        <v>6.1523872021982173</v>
      </c>
      <c r="F38" s="29">
        <f>IF(F9=0,0,F9/TrRail_act!F4*1000)</f>
        <v>6.3579857457479596</v>
      </c>
      <c r="G38" s="29">
        <f>IF(G9=0,0,G9/TrRail_act!G4*1000)</f>
        <v>5.8072896866557455</v>
      </c>
      <c r="H38" s="29">
        <f>IF(H9=0,0,H9/TrRail_act!H4*1000)</f>
        <v>5.4684083168771771</v>
      </c>
      <c r="I38" s="29">
        <f>IF(I9=0,0,I9/TrRail_act!I4*1000)</f>
        <v>4.9362766479506677</v>
      </c>
      <c r="J38" s="29">
        <f>IF(J9=0,0,J9/TrRail_act!J4*1000)</f>
        <v>4.855386903230646</v>
      </c>
      <c r="K38" s="29">
        <f>IF(K9=0,0,K9/TrRail_act!K4*1000)</f>
        <v>4.7173422895566857</v>
      </c>
      <c r="L38" s="29">
        <f>IF(L9=0,0,L9/TrRail_act!L4*1000)</f>
        <v>4.4718152177586106</v>
      </c>
      <c r="M38" s="29">
        <f>IF(M9=0,0,M9/TrRail_act!M4*1000)</f>
        <v>4.3871411388434272</v>
      </c>
      <c r="N38" s="29">
        <f>IF(N9=0,0,N9/TrRail_act!N4*1000)</f>
        <v>4.0698348439651904</v>
      </c>
      <c r="O38" s="29">
        <f>IF(O9=0,0,O9/TrRail_act!O4*1000)</f>
        <v>4.0367689055583291</v>
      </c>
      <c r="P38" s="29">
        <f>IF(P9=0,0,P9/TrRail_act!P4*1000)</f>
        <v>3.8098234085435241</v>
      </c>
      <c r="Q38" s="29">
        <f>IF(Q9=0,0,Q9/TrRail_act!Q4*1000)</f>
        <v>3.8389055988967855</v>
      </c>
      <c r="R38" s="29">
        <f>IF(R9=0,0,R9/TrRail_act!R4*1000)</f>
        <v>3.2659163517041665</v>
      </c>
      <c r="S38" s="29">
        <f>IF(S9=0,0,S9/TrRail_act!S4*1000)</f>
        <v>3.1826446718403409</v>
      </c>
      <c r="T38" s="29">
        <f>IF(T9=0,0,T9/TrRail_act!T4*1000)</f>
        <v>2.8664838621487951</v>
      </c>
      <c r="U38" s="29">
        <f>IF(U9=0,0,U9/TrRail_act!U4*1000)</f>
        <v>2.7085008635852597</v>
      </c>
      <c r="V38" s="29">
        <f>IF(V9=0,0,V9/TrRail_act!V4*1000)</f>
        <v>3.7208086471448616</v>
      </c>
      <c r="W38" s="29">
        <f>IF(W9=0,0,W9/TrRail_act!W4*1000)</f>
        <v>3.1703817853691056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20.298308760131469</v>
      </c>
      <c r="C40" s="116">
        <f>IF(C11=0,0,C11/TrRail_act!C6*1000)</f>
        <v>13.302405443943373</v>
      </c>
      <c r="D40" s="116">
        <f>IF(D11=0,0,D11/TrRail_act!D6*1000)</f>
        <v>13.962129358641683</v>
      </c>
      <c r="E40" s="116">
        <f>IF(E11=0,0,E11/TrRail_act!E6*1000)</f>
        <v>14.094723515179936</v>
      </c>
      <c r="F40" s="116">
        <f>IF(F11=0,0,F11/TrRail_act!F6*1000)</f>
        <v>14.646923387150062</v>
      </c>
      <c r="G40" s="116">
        <f>IF(G11=0,0,G11/TrRail_act!G6*1000)</f>
        <v>13.591731037416608</v>
      </c>
      <c r="H40" s="116">
        <f>IF(H11=0,0,H11/TrRail_act!H6*1000)</f>
        <v>12.756191415946477</v>
      </c>
      <c r="I40" s="116">
        <f>IF(I11=0,0,I11/TrRail_act!I6*1000)</f>
        <v>12.076476010943185</v>
      </c>
      <c r="J40" s="116">
        <f>IF(J11=0,0,J11/TrRail_act!J6*1000)</f>
        <v>12.384860903260531</v>
      </c>
      <c r="K40" s="116">
        <f>IF(K11=0,0,K11/TrRail_act!K6*1000)</f>
        <v>11.884171868893553</v>
      </c>
      <c r="L40" s="116">
        <f>IF(L11=0,0,L11/TrRail_act!L6*1000)</f>
        <v>11.289047456319439</v>
      </c>
      <c r="M40" s="116">
        <f>IF(M11=0,0,M11/TrRail_act!M6*1000)</f>
        <v>10.457329297828466</v>
      </c>
      <c r="N40" s="116">
        <f>IF(N11=0,0,N11/TrRail_act!N6*1000)</f>
        <v>9.6664342548811604</v>
      </c>
      <c r="O40" s="116">
        <f>IF(O11=0,0,O11/TrRail_act!O6*1000)</f>
        <v>9.5791182321442783</v>
      </c>
      <c r="P40" s="116">
        <f>IF(P11=0,0,P11/TrRail_act!P6*1000)</f>
        <v>9.1129034958978394</v>
      </c>
      <c r="Q40" s="116">
        <f>IF(Q11=0,0,Q11/TrRail_act!Q6*1000)</f>
        <v>9.0085480834230189</v>
      </c>
      <c r="R40" s="116">
        <f>IF(R11=0,0,R11/TrRail_act!R6*1000)</f>
        <v>7.8331487341036876</v>
      </c>
      <c r="S40" s="116">
        <f>IF(S11=0,0,S11/TrRail_act!S6*1000)</f>
        <v>8.3798699089911164</v>
      </c>
      <c r="T40" s="116">
        <f>IF(T11=0,0,T11/TrRail_act!T6*1000)</f>
        <v>7.6558835243689751</v>
      </c>
      <c r="U40" s="116">
        <f>IF(U11=0,0,U11/TrRail_act!U6*1000)</f>
        <v>7.2400943996056251</v>
      </c>
      <c r="V40" s="116">
        <f>IF(V11=0,0,V11/TrRail_act!V6*1000)</f>
        <v>10.24831545237892</v>
      </c>
      <c r="W40" s="116">
        <f>IF(W11=0,0,W11/TrRail_act!W6*1000)</f>
        <v>8.6543255206501417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109.51300330773857</v>
      </c>
      <c r="C41" s="87">
        <f>IF(C12=0,0,C12/TrRail_act!C7*1000)</f>
        <v>71.652488691893069</v>
      </c>
      <c r="D41" s="87">
        <f>IF(D12=0,0,D12/TrRail_act!D7*1000)</f>
        <v>73.819524816311755</v>
      </c>
      <c r="E41" s="87">
        <f>IF(E12=0,0,E12/TrRail_act!E7*1000)</f>
        <v>73.235120521702484</v>
      </c>
      <c r="F41" s="87">
        <f>IF(F12=0,0,F12/TrRail_act!F7*1000)</f>
        <v>74.796743637249847</v>
      </c>
      <c r="G41" s="87">
        <f>IF(G12=0,0,G12/TrRail_act!G7*1000)</f>
        <v>69.53451427950273</v>
      </c>
      <c r="H41" s="87">
        <f>IF(H12=0,0,H12/TrRail_act!H7*1000)</f>
        <v>65.266249783014601</v>
      </c>
      <c r="I41" s="87">
        <f>IF(I12=0,0,I12/TrRail_act!I7*1000)</f>
        <v>64.651666983505734</v>
      </c>
      <c r="J41" s="87">
        <f>IF(J12=0,0,J12/TrRail_act!J7*1000)</f>
        <v>68.086839104922333</v>
      </c>
      <c r="K41" s="87">
        <f>IF(K12=0,0,K12/TrRail_act!K7*1000)</f>
        <v>67.733786468945539</v>
      </c>
      <c r="L41" s="87">
        <f>IF(L12=0,0,L12/TrRail_act!L7*1000)</f>
        <v>65.975541452740998</v>
      </c>
      <c r="M41" s="87">
        <f>IF(M12=0,0,M12/TrRail_act!M7*1000)</f>
        <v>61.144261227078985</v>
      </c>
      <c r="N41" s="87">
        <f>IF(N12=0,0,N12/TrRail_act!N7*1000)</f>
        <v>58.555583205070882</v>
      </c>
      <c r="O41" s="87">
        <f>IF(O12=0,0,O12/TrRail_act!O7*1000)</f>
        <v>59.887896602466114</v>
      </c>
      <c r="P41" s="87">
        <f>IF(P12=0,0,P12/TrRail_act!P7*1000)</f>
        <v>59.763391675999976</v>
      </c>
      <c r="Q41" s="87">
        <f>IF(Q12=0,0,Q12/TrRail_act!Q7*1000)</f>
        <v>57.867708404978572</v>
      </c>
      <c r="R41" s="87">
        <f>IF(R12=0,0,R12/TrRail_act!R7*1000)</f>
        <v>55.352817785963119</v>
      </c>
      <c r="S41" s="87">
        <f>IF(S12=0,0,S12/TrRail_act!S7*1000)</f>
        <v>56.295592771679132</v>
      </c>
      <c r="T41" s="87">
        <f>IF(T12=0,0,T12/TrRail_act!T7*1000)</f>
        <v>53.053979190890324</v>
      </c>
      <c r="U41" s="87">
        <f>IF(U12=0,0,U12/TrRail_act!U7*1000)</f>
        <v>49.085016657649184</v>
      </c>
      <c r="V41" s="87">
        <f>IF(V12=0,0,V12/TrRail_act!V7*1000)</f>
        <v>75.50361698575351</v>
      </c>
      <c r="W41" s="87">
        <f>IF(W12=0,0,W12/TrRail_act!W7*1000)</f>
        <v>59.65616552645276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6.0257785757903024</v>
      </c>
      <c r="C44" s="29">
        <f>IF(C15=0,0,C15/TrRail_act!C10*1000)</f>
        <v>4.7147082342550375</v>
      </c>
      <c r="D44" s="29">
        <f>IF(D15=0,0,D15/TrRail_act!D10*1000)</f>
        <v>4.8598632246800886</v>
      </c>
      <c r="E44" s="29">
        <f>IF(E15=0,0,E15/TrRail_act!E10*1000)</f>
        <v>4.585866650010102</v>
      </c>
      <c r="F44" s="29">
        <f>IF(F15=0,0,F15/TrRail_act!F10*1000)</f>
        <v>3.788621306945243</v>
      </c>
      <c r="G44" s="29">
        <f>IF(G15=0,0,G15/TrRail_act!G10*1000)</f>
        <v>3.3620707851008955</v>
      </c>
      <c r="H44" s="29">
        <f>IF(H15=0,0,H15/TrRail_act!H10*1000)</f>
        <v>3.0307352410510107</v>
      </c>
      <c r="I44" s="29">
        <f>IF(I15=0,0,I15/TrRail_act!I10*1000)</f>
        <v>2.8319321829295712</v>
      </c>
      <c r="J44" s="29">
        <f>IF(J15=0,0,J15/TrRail_act!J10*1000)</f>
        <v>3.0112311834777175</v>
      </c>
      <c r="K44" s="29">
        <f>IF(K15=0,0,K15/TrRail_act!K10*1000)</f>
        <v>2.8267484873298372</v>
      </c>
      <c r="L44" s="29">
        <f>IF(L15=0,0,L15/TrRail_act!L10*1000)</f>
        <v>2.7675773388383571</v>
      </c>
      <c r="M44" s="29">
        <f>IF(M15=0,0,M15/TrRail_act!M10*1000)</f>
        <v>2.4025046498124287</v>
      </c>
      <c r="N44" s="29">
        <f>IF(N15=0,0,N15/TrRail_act!N10*1000)</f>
        <v>2.0872127431751855</v>
      </c>
      <c r="O44" s="29">
        <f>IF(O15=0,0,O15/TrRail_act!O10*1000)</f>
        <v>2.171848282810291</v>
      </c>
      <c r="P44" s="29">
        <f>IF(P15=0,0,P15/TrRail_act!P10*1000)</f>
        <v>1.922695534727517</v>
      </c>
      <c r="Q44" s="29">
        <f>IF(Q15=0,0,Q15/TrRail_act!Q10*1000)</f>
        <v>1.8189879240116644</v>
      </c>
      <c r="R44" s="29">
        <f>IF(R15=0,0,R15/TrRail_act!R10*1000)</f>
        <v>1.6776279731399049</v>
      </c>
      <c r="S44" s="29">
        <f>IF(S15=0,0,S15/TrRail_act!S10*1000)</f>
        <v>1.7433407148185398</v>
      </c>
      <c r="T44" s="29">
        <f>IF(T15=0,0,T15/TrRail_act!T10*1000)</f>
        <v>1.5761544020688143</v>
      </c>
      <c r="U44" s="29">
        <f>IF(U15=0,0,U15/TrRail_act!U10*1000)</f>
        <v>1.6618066792699682</v>
      </c>
      <c r="V44" s="29">
        <f>IF(V15=0,0,V15/TrRail_act!V10*1000)</f>
        <v>1.9059152491155942</v>
      </c>
      <c r="W44" s="29">
        <f>IF(W15=0,0,W15/TrRail_act!W10*1000)</f>
        <v>1.9045729633960167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44.804069229126753</v>
      </c>
      <c r="C45" s="87">
        <f>IF(C16=0,0,C16/TrRail_act!C11*1000)</f>
        <v>32.600097832276155</v>
      </c>
      <c r="D45" s="87">
        <f>IF(D16=0,0,D16/TrRail_act!D11*1000)</f>
        <v>34.126714437100311</v>
      </c>
      <c r="E45" s="87">
        <f>IF(E16=0,0,E16/TrRail_act!E11*1000)</f>
        <v>31.196797503507629</v>
      </c>
      <c r="F45" s="87">
        <f>IF(F16=0,0,F16/TrRail_act!F11*1000)</f>
        <v>27.426776936557125</v>
      </c>
      <c r="G45" s="87">
        <f>IF(G16=0,0,G16/TrRail_act!G11*1000)</f>
        <v>27.719435178815125</v>
      </c>
      <c r="H45" s="87">
        <f>IF(H16=0,0,H16/TrRail_act!H11*1000)</f>
        <v>25.910339882947031</v>
      </c>
      <c r="I45" s="87">
        <f>IF(I16=0,0,I16/TrRail_act!I11*1000)</f>
        <v>25.718511351067633</v>
      </c>
      <c r="J45" s="87">
        <f>IF(J16=0,0,J16/TrRail_act!J11*1000)</f>
        <v>27.398868671711693</v>
      </c>
      <c r="K45" s="87">
        <f>IF(K16=0,0,K16/TrRail_act!K11*1000)</f>
        <v>26.92858891411495</v>
      </c>
      <c r="L45" s="87">
        <f>IF(L16=0,0,L16/TrRail_act!L11*1000)</f>
        <v>27.529358585261178</v>
      </c>
      <c r="M45" s="87">
        <f>IF(M16=0,0,M16/TrRail_act!M11*1000)</f>
        <v>23.227866277193481</v>
      </c>
      <c r="N45" s="87">
        <f>IF(N16=0,0,N16/TrRail_act!N11*1000)</f>
        <v>21.992512128800545</v>
      </c>
      <c r="O45" s="87">
        <f>IF(O16=0,0,O16/TrRail_act!O11*1000)</f>
        <v>23.272825136941869</v>
      </c>
      <c r="P45" s="87">
        <f>IF(P16=0,0,P16/TrRail_act!P11*1000)</f>
        <v>21.312971832510559</v>
      </c>
      <c r="Q45" s="87">
        <f>IF(Q16=0,0,Q16/TrRail_act!Q11*1000)</f>
        <v>20.099395834425174</v>
      </c>
      <c r="R45" s="87">
        <f>IF(R16=0,0,R16/TrRail_act!R11*1000)</f>
        <v>20.298923849254166</v>
      </c>
      <c r="S45" s="87">
        <f>IF(S16=0,0,S16/TrRail_act!S11*1000)</f>
        <v>19.978790380667423</v>
      </c>
      <c r="T45" s="87">
        <f>IF(T16=0,0,T16/TrRail_act!T11*1000)</f>
        <v>19.027473377893504</v>
      </c>
      <c r="U45" s="87">
        <f>IF(U16=0,0,U16/TrRail_act!U11*1000)</f>
        <v>19.938314960998181</v>
      </c>
      <c r="V45" s="87">
        <f>IF(V16=0,0,V16/TrRail_act!V11*1000)</f>
        <v>22.425953248113519</v>
      </c>
      <c r="W45" s="87">
        <f>IF(W16=0,0,W16/TrRail_act!W11*1000)</f>
        <v>21.795507358772294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349.91370318583819</v>
      </c>
      <c r="C48" s="62">
        <f>IF(C8=0,0,1000000*C8/TrRail_act!C25/1000)</f>
        <v>236.87329708471938</v>
      </c>
      <c r="D48" s="62">
        <f>IF(D8=0,0,1000000*D8/TrRail_act!D25/1000)</f>
        <v>242.38846575025477</v>
      </c>
      <c r="E48" s="62">
        <f>IF(E8=0,0,1000000*E8/TrRail_act!E25/1000)</f>
        <v>215.19610615653664</v>
      </c>
      <c r="F48" s="62">
        <f>IF(F8=0,0,1000000*F8/TrRail_act!F25/1000)</f>
        <v>201.79648949796362</v>
      </c>
      <c r="G48" s="62">
        <f>IF(G8=0,0,1000000*G8/TrRail_act!G25/1000)</f>
        <v>181.0011235178886</v>
      </c>
      <c r="H48" s="62">
        <f>IF(H8=0,0,1000000*H8/TrRail_act!H25/1000)</f>
        <v>171.1519827391021</v>
      </c>
      <c r="I48" s="62">
        <f>IF(I8=0,0,1000000*I8/TrRail_act!I25/1000)</f>
        <v>159.08854984241279</v>
      </c>
      <c r="J48" s="62">
        <f>IF(J8=0,0,1000000*J8/TrRail_act!J25/1000)</f>
        <v>154.78445222514188</v>
      </c>
      <c r="K48" s="62">
        <f>IF(K8=0,0,1000000*K8/TrRail_act!K25/1000)</f>
        <v>144.93418566073495</v>
      </c>
      <c r="L48" s="62">
        <f>IF(L8=0,0,1000000*L8/TrRail_act!L25/1000)</f>
        <v>137.12535639266861</v>
      </c>
      <c r="M48" s="62">
        <f>IF(M8=0,0,1000000*M8/TrRail_act!M25/1000)</f>
        <v>137.74040439877214</v>
      </c>
      <c r="N48" s="62">
        <f>IF(N8=0,0,1000000*N8/TrRail_act!N25/1000)</f>
        <v>125.34819176685043</v>
      </c>
      <c r="O48" s="62">
        <f>IF(O8=0,0,1000000*O8/TrRail_act!O25/1000)</f>
        <v>120.95920484008725</v>
      </c>
      <c r="P48" s="62">
        <f>IF(P8=0,0,1000000*P8/TrRail_act!P25/1000)</f>
        <v>113.37704136729894</v>
      </c>
      <c r="Q48" s="62">
        <f>IF(Q8=0,0,1000000*Q8/TrRail_act!Q25/1000)</f>
        <v>112.96102459085093</v>
      </c>
      <c r="R48" s="62">
        <f>IF(R8=0,0,1000000*R8/TrRail_act!R25/1000)</f>
        <v>96.324887320918123</v>
      </c>
      <c r="S48" s="62">
        <f>IF(S8=0,0,1000000*S8/TrRail_act!S25/1000)</f>
        <v>101.13071644962197</v>
      </c>
      <c r="T48" s="62">
        <f>IF(T8=0,0,1000000*T8/TrRail_act!T25/1000)</f>
        <v>91.654135404327945</v>
      </c>
      <c r="U48" s="62">
        <f>IF(U8=0,0,1000000*U8/TrRail_act!U25/1000)</f>
        <v>92.97641464727451</v>
      </c>
      <c r="V48" s="62">
        <f>IF(V8=0,0,1000000*V8/TrRail_act!V25/1000)</f>
        <v>83.283378344897557</v>
      </c>
      <c r="W48" s="62">
        <f>IF(W8=0,0,1000000*W8/TrRail_act!W25/1000)</f>
        <v>98.894811679682078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292.14666729129817</v>
      </c>
      <c r="C49" s="29">
        <f>IF(C9=0,0,1000000*C9/TrRail_act!C26/1000)</f>
        <v>192.77138525874545</v>
      </c>
      <c r="D49" s="29">
        <f>IF(D9=0,0,1000000*D9/TrRail_act!D26/1000)</f>
        <v>197.78924696698573</v>
      </c>
      <c r="E49" s="29">
        <f>IF(E9=0,0,1000000*E9/TrRail_act!E26/1000)</f>
        <v>180.33063473948465</v>
      </c>
      <c r="F49" s="29">
        <f>IF(F9=0,0,1000000*F9/TrRail_act!F26/1000)</f>
        <v>181.27807507472585</v>
      </c>
      <c r="G49" s="29">
        <f>IF(G9=0,0,1000000*G9/TrRail_act!G26/1000)</f>
        <v>165.23347741399201</v>
      </c>
      <c r="H49" s="29">
        <f>IF(H9=0,0,1000000*H9/TrRail_act!H26/1000)</f>
        <v>156.10643887611985</v>
      </c>
      <c r="I49" s="29">
        <f>IF(I9=0,0,1000000*I9/TrRail_act!I26/1000)</f>
        <v>143.19291873669144</v>
      </c>
      <c r="J49" s="29">
        <f>IF(J9=0,0,1000000*J9/TrRail_act!J26/1000)</f>
        <v>138.73019584341927</v>
      </c>
      <c r="K49" s="29">
        <f>IF(K9=0,0,1000000*K9/TrRail_act!K26/1000)</f>
        <v>134.03576197035991</v>
      </c>
      <c r="L49" s="29">
        <f>IF(L9=0,0,1000000*L9/TrRail_act!L26/1000)</f>
        <v>126.64358374640094</v>
      </c>
      <c r="M49" s="29">
        <f>IF(M9=0,0,1000000*M9/TrRail_act!M26/1000)</f>
        <v>126.68894884779097</v>
      </c>
      <c r="N49" s="29">
        <f>IF(N9=0,0,1000000*N9/TrRail_act!N26/1000)</f>
        <v>117.06822232333943</v>
      </c>
      <c r="O49" s="29">
        <f>IF(O9=0,0,1000000*O9/TrRail_act!O26/1000)</f>
        <v>113.19652040267864</v>
      </c>
      <c r="P49" s="29">
        <f>IF(P9=0,0,1000000*P9/TrRail_act!P26/1000)</f>
        <v>106.51127342377011</v>
      </c>
      <c r="Q49" s="29">
        <f>IF(Q9=0,0,1000000*Q9/TrRail_act!Q26/1000)</f>
        <v>105.43696159097769</v>
      </c>
      <c r="R49" s="29">
        <f>IF(R9=0,0,1000000*R9/TrRail_act!R26/1000)</f>
        <v>89.017361785182473</v>
      </c>
      <c r="S49" s="29">
        <f>IF(S9=0,0,1000000*S9/TrRail_act!S26/1000)</f>
        <v>93.680180221280239</v>
      </c>
      <c r="T49" s="29">
        <f>IF(T9=0,0,1000000*T9/TrRail_act!T26/1000)</f>
        <v>85.047336960220278</v>
      </c>
      <c r="U49" s="29">
        <f>IF(U9=0,0,1000000*U9/TrRail_act!U26/1000)</f>
        <v>85.459875521979257</v>
      </c>
      <c r="V49" s="29">
        <f>IF(V9=0,0,1000000*V9/TrRail_act!V26/1000)</f>
        <v>73.512221598030166</v>
      </c>
      <c r="W49" s="29">
        <f>IF(W9=0,0,1000000*W9/TrRail_act!W26/1000)</f>
        <v>88.388409192770965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441.22036449011523</v>
      </c>
      <c r="C51" s="116">
        <f>IF(C11=0,0,1000000*C11/TrRail_act!C28/1000)</f>
        <v>306.5564620298789</v>
      </c>
      <c r="D51" s="116">
        <f>IF(D11=0,0,1000000*D11/TrRail_act!D28/1000)</f>
        <v>320.75785779465133</v>
      </c>
      <c r="E51" s="116">
        <f>IF(E11=0,0,1000000*E11/TrRail_act!E28/1000)</f>
        <v>285.62178769331462</v>
      </c>
      <c r="F51" s="116">
        <f>IF(F11=0,0,1000000*F11/TrRail_act!F28/1000)</f>
        <v>289.64725148053662</v>
      </c>
      <c r="G51" s="116">
        <f>IF(G11=0,0,1000000*G11/TrRail_act!G28/1000)</f>
        <v>263.2299514989503</v>
      </c>
      <c r="H51" s="116">
        <f>IF(H11=0,0,1000000*H11/TrRail_act!H28/1000)</f>
        <v>245.5256867492657</v>
      </c>
      <c r="I51" s="116">
        <f>IF(I11=0,0,1000000*I11/TrRail_act!I28/1000)</f>
        <v>224.82505311491147</v>
      </c>
      <c r="J51" s="116">
        <f>IF(J11=0,0,1000000*J11/TrRail_act!J28/1000)</f>
        <v>219.32435246225322</v>
      </c>
      <c r="K51" s="116">
        <f>IF(K11=0,0,1000000*K11/TrRail_act!K28/1000)</f>
        <v>206.51320827177423</v>
      </c>
      <c r="L51" s="116">
        <f>IF(L11=0,0,1000000*L11/TrRail_act!L28/1000)</f>
        <v>193.73344961023116</v>
      </c>
      <c r="M51" s="116">
        <f>IF(M11=0,0,1000000*M11/TrRail_act!M28/1000)</f>
        <v>192.91590587611347</v>
      </c>
      <c r="N51" s="116">
        <f>IF(N11=0,0,1000000*N11/TrRail_act!N28/1000)</f>
        <v>181.52537220379222</v>
      </c>
      <c r="O51" s="116">
        <f>IF(O11=0,0,1000000*O11/TrRail_act!O28/1000)</f>
        <v>172.74951095113892</v>
      </c>
      <c r="P51" s="116">
        <f>IF(P11=0,0,1000000*P11/TrRail_act!P28/1000)</f>
        <v>162.21824565740042</v>
      </c>
      <c r="Q51" s="116">
        <f>IF(Q11=0,0,1000000*Q11/TrRail_act!Q28/1000)</f>
        <v>159.92193250554951</v>
      </c>
      <c r="R51" s="116">
        <f>IF(R11=0,0,1000000*R11/TrRail_act!R28/1000)</f>
        <v>133.9306463839871</v>
      </c>
      <c r="S51" s="116">
        <f>IF(S11=0,0,1000000*S11/TrRail_act!S28/1000)</f>
        <v>142.97884535350454</v>
      </c>
      <c r="T51" s="116">
        <f>IF(T11=0,0,1000000*T11/TrRail_act!T28/1000)</f>
        <v>132.35685989615513</v>
      </c>
      <c r="U51" s="116">
        <f>IF(U11=0,0,1000000*U11/TrRail_act!U28/1000)</f>
        <v>132.58016114714042</v>
      </c>
      <c r="V51" s="116">
        <f>IF(V11=0,0,1000000*V11/TrRail_act!V28/1000)</f>
        <v>114.30927149505339</v>
      </c>
      <c r="W51" s="116">
        <f>IF(W11=0,0,1000000*W11/TrRail_act!W28/1000)</f>
        <v>137.80197354626361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1601.8819636765118</v>
      </c>
      <c r="C52" s="87">
        <f>IF(C12=0,0,1000000*C12/TrRail_act!C29/1000)</f>
        <v>1144.4384968358925</v>
      </c>
      <c r="D52" s="87">
        <f>IF(D12=0,0,1000000*D12/TrRail_act!D29/1000)</f>
        <v>1247.3259210785257</v>
      </c>
      <c r="E52" s="87">
        <f>IF(E12=0,0,1000000*E12/TrRail_act!E29/1000)</f>
        <v>1223.9064801772704</v>
      </c>
      <c r="F52" s="87">
        <f>IF(F12=0,0,1000000*F12/TrRail_act!F29/1000)</f>
        <v>1212.7233106153342</v>
      </c>
      <c r="G52" s="87">
        <f>IF(G12=0,0,1000000*G12/TrRail_act!G29/1000)</f>
        <v>1200.9420150959497</v>
      </c>
      <c r="H52" s="87">
        <f>IF(H12=0,0,1000000*H12/TrRail_act!H29/1000)</f>
        <v>1185.7044217660241</v>
      </c>
      <c r="I52" s="87">
        <f>IF(I12=0,0,1000000*I12/TrRail_act!I29/1000)</f>
        <v>1169.6504855021547</v>
      </c>
      <c r="J52" s="87">
        <f>IF(J12=0,0,1000000*J12/TrRail_act!J29/1000)</f>
        <v>1138.7617330194016</v>
      </c>
      <c r="K52" s="87">
        <f>IF(K12=0,0,1000000*K12/TrRail_act!K29/1000)</f>
        <v>1100.4460981313202</v>
      </c>
      <c r="L52" s="87">
        <f>IF(L12=0,0,1000000*L12/TrRail_act!L29/1000)</f>
        <v>1076.1477831034153</v>
      </c>
      <c r="M52" s="87">
        <f>IF(M12=0,0,1000000*M12/TrRail_act!M29/1000)</f>
        <v>1051.3667873881959</v>
      </c>
      <c r="N52" s="87">
        <f>IF(N12=0,0,1000000*N12/TrRail_act!N29/1000)</f>
        <v>1031.9914575893349</v>
      </c>
      <c r="O52" s="87">
        <f>IF(O12=0,0,1000000*O12/TrRail_act!O29/1000)</f>
        <v>1016.7998394969504</v>
      </c>
      <c r="P52" s="87">
        <f>IF(P12=0,0,1000000*P12/TrRail_act!P29/1000)</f>
        <v>1000.4856426242891</v>
      </c>
      <c r="Q52" s="87">
        <f>IF(Q12=0,0,1000000*Q12/TrRail_act!Q29/1000)</f>
        <v>987.41465687854566</v>
      </c>
      <c r="R52" s="87">
        <f>IF(R12=0,0,1000000*R12/TrRail_act!R29/1000)</f>
        <v>932.43192023699135</v>
      </c>
      <c r="S52" s="87">
        <f>IF(S12=0,0,1000000*S12/TrRail_act!S29/1000)</f>
        <v>902.98954859695459</v>
      </c>
      <c r="T52" s="87">
        <f>IF(T12=0,0,1000000*T12/TrRail_act!T29/1000)</f>
        <v>879.4771776554453</v>
      </c>
      <c r="U52" s="87">
        <f>IF(U12=0,0,1000000*U12/TrRail_act!U29/1000)</f>
        <v>865.05291628079851</v>
      </c>
      <c r="V52" s="87">
        <f>IF(V12=0,0,1000000*V12/TrRail_act!V29/1000)</f>
        <v>801.763028527193</v>
      </c>
      <c r="W52" s="87">
        <f>IF(W12=0,0,1000000*W12/TrRail_act!W29/1000)</f>
        <v>855.54069201049379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651.98805423521571</v>
      </c>
      <c r="C55" s="29">
        <f>IF(C15=0,0,1000000*C15/TrRail_act!C32/1000)</f>
        <v>466.00860120930321</v>
      </c>
      <c r="D55" s="29">
        <f>IF(D15=0,0,1000000*D15/TrRail_act!D32/1000)</f>
        <v>474.68712095335809</v>
      </c>
      <c r="E55" s="29">
        <f>IF(E15=0,0,1000000*E15/TrRail_act!E32/1000)</f>
        <v>396.64847656492873</v>
      </c>
      <c r="F55" s="29">
        <f>IF(F15=0,0,1000000*F15/TrRail_act!F32/1000)</f>
        <v>323.34342778974434</v>
      </c>
      <c r="G55" s="29">
        <f>IF(G15=0,0,1000000*G15/TrRail_act!G32/1000)</f>
        <v>287.88189682197446</v>
      </c>
      <c r="H55" s="29">
        <f>IF(H15=0,0,1000000*H15/TrRail_act!H32/1000)</f>
        <v>286.86577764611764</v>
      </c>
      <c r="I55" s="29">
        <f>IF(I15=0,0,1000000*I15/TrRail_act!I32/1000)</f>
        <v>285.94208927133417</v>
      </c>
      <c r="J55" s="29">
        <f>IF(J15=0,0,1000000*J15/TrRail_act!J32/1000)</f>
        <v>296.69784605373542</v>
      </c>
      <c r="K55" s="29">
        <f>IF(K15=0,0,1000000*K15/TrRail_act!K32/1000)</f>
        <v>254.37095126248846</v>
      </c>
      <c r="L55" s="29">
        <f>IF(L15=0,0,1000000*L15/TrRail_act!L32/1000)</f>
        <v>252.05234604098135</v>
      </c>
      <c r="M55" s="29">
        <f>IF(M15=0,0,1000000*M15/TrRail_act!M32/1000)</f>
        <v>271.03816766779812</v>
      </c>
      <c r="N55" s="29">
        <f>IF(N15=0,0,1000000*N15/TrRail_act!N32/1000)</f>
        <v>228.14785486543303</v>
      </c>
      <c r="O55" s="29">
        <f>IF(O15=0,0,1000000*O15/TrRail_act!O32/1000)</f>
        <v>207.15807595540011</v>
      </c>
      <c r="P55" s="29">
        <f>IF(P15=0,0,1000000*P15/TrRail_act!P32/1000)</f>
        <v>192.11129445627731</v>
      </c>
      <c r="Q55" s="29">
        <f>IF(Q15=0,0,1000000*Q15/TrRail_act!Q32/1000)</f>
        <v>199.81439300015381</v>
      </c>
      <c r="R55" s="29">
        <f>IF(R15=0,0,1000000*R15/TrRail_act!R32/1000)</f>
        <v>184.9140983274294</v>
      </c>
      <c r="S55" s="29">
        <f>IF(S15=0,0,1000000*S15/TrRail_act!S32/1000)</f>
        <v>184.11708134806972</v>
      </c>
      <c r="T55" s="29">
        <f>IF(T15=0,0,1000000*T15/TrRail_act!T32/1000)</f>
        <v>165.97785694797608</v>
      </c>
      <c r="U55" s="29">
        <f>IF(U15=0,0,1000000*U15/TrRail_act!U32/1000)</f>
        <v>178.27576328786313</v>
      </c>
      <c r="V55" s="29">
        <f>IF(V15=0,0,1000000*V15/TrRail_act!V32/1000)</f>
        <v>178.45022964025739</v>
      </c>
      <c r="W55" s="29">
        <f>IF(W15=0,0,1000000*W15/TrRail_act!W32/1000)</f>
        <v>190.43592443347279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4227.3574911488049</v>
      </c>
      <c r="C56" s="87">
        <f>IF(C16=0,0,1000000*C16/TrRail_act!C33/1000)</f>
        <v>3292.628707351746</v>
      </c>
      <c r="D56" s="87">
        <f>IF(D16=0,0,1000000*D16/TrRail_act!D33/1000)</f>
        <v>3472.2535198639503</v>
      </c>
      <c r="E56" s="87">
        <f>IF(E16=0,0,1000000*E16/TrRail_act!E33/1000)</f>
        <v>3444.071858051494</v>
      </c>
      <c r="F56" s="87">
        <f>IF(F16=0,0,1000000*F16/TrRail_act!F33/1000)</f>
        <v>3065.6941313423586</v>
      </c>
      <c r="G56" s="87">
        <f>IF(G16=0,0,1000000*G16/TrRail_act!G33/1000)</f>
        <v>2878.8527877281181</v>
      </c>
      <c r="H56" s="87">
        <f>IF(H16=0,0,1000000*H16/TrRail_act!H33/1000)</f>
        <v>3175.2900931406198</v>
      </c>
      <c r="I56" s="87">
        <f>IF(I16=0,0,1000000*I16/TrRail_act!I33/1000)</f>
        <v>3353.7390129907085</v>
      </c>
      <c r="J56" s="87">
        <f>IF(J16=0,0,1000000*J16/TrRail_act!J33/1000)</f>
        <v>3321.7885064951056</v>
      </c>
      <c r="K56" s="87">
        <f>IF(K16=0,0,1000000*K16/TrRail_act!K33/1000)</f>
        <v>3194.8455244887164</v>
      </c>
      <c r="L56" s="87">
        <f>IF(L16=0,0,1000000*L16/TrRail_act!L33/1000)</f>
        <v>3277.4572666571853</v>
      </c>
      <c r="M56" s="87">
        <f>IF(M16=0,0,1000000*M16/TrRail_act!M33/1000)</f>
        <v>3184.8535635656945</v>
      </c>
      <c r="N56" s="87">
        <f>IF(N16=0,0,1000000*N16/TrRail_act!N33/1000)</f>
        <v>3110.2648797437773</v>
      </c>
      <c r="O56" s="87">
        <f>IF(O16=0,0,1000000*O16/TrRail_act!O33/1000)</f>
        <v>3057.3259575388611</v>
      </c>
      <c r="P56" s="87">
        <f>IF(P16=0,0,1000000*P16/TrRail_act!P33/1000)</f>
        <v>3001.1012585212902</v>
      </c>
      <c r="Q56" s="87">
        <f>IF(Q16=0,0,1000000*Q16/TrRail_act!Q33/1000)</f>
        <v>2923.9753285655338</v>
      </c>
      <c r="R56" s="87">
        <f>IF(R16=0,0,1000000*R16/TrRail_act!R33/1000)</f>
        <v>2761.2048885140221</v>
      </c>
      <c r="S56" s="87">
        <f>IF(S16=0,0,1000000*S16/TrRail_act!S33/1000)</f>
        <v>2683.7789272984269</v>
      </c>
      <c r="T56" s="87">
        <f>IF(T16=0,0,1000000*T16/TrRail_act!T33/1000)</f>
        <v>2627.57702125387</v>
      </c>
      <c r="U56" s="87">
        <f>IF(U16=0,0,1000000*U16/TrRail_act!U33/1000)</f>
        <v>2591.2533337973159</v>
      </c>
      <c r="V56" s="87">
        <f>IF(V16=0,0,1000000*V16/TrRail_act!V33/1000)</f>
        <v>2592.4883870903368</v>
      </c>
      <c r="W56" s="87">
        <f>IF(W16=0,0,1000000*W16/TrRail_act!W33/1000)</f>
        <v>2571.5754427679299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0.70087847933072311</v>
      </c>
      <c r="C60" s="31">
        <f t="shared" ref="C60:V60" si="8">IF(C9=0,0,C9/C$8)</f>
        <v>0.68246222852397709</v>
      </c>
      <c r="D60" s="31">
        <f t="shared" si="8"/>
        <v>0.68456990316976662</v>
      </c>
      <c r="E60" s="31">
        <f t="shared" si="8"/>
        <v>0.70291920178389322</v>
      </c>
      <c r="F60" s="31">
        <f t="shared" si="8"/>
        <v>0.7685772476125724</v>
      </c>
      <c r="G60" s="31">
        <f t="shared" si="8"/>
        <v>0.79552604702597407</v>
      </c>
      <c r="H60" s="31">
        <f t="shared" si="8"/>
        <v>0.8071445209058179</v>
      </c>
      <c r="I60" s="31">
        <f t="shared" si="8"/>
        <v>0.79985564521352814</v>
      </c>
      <c r="J60" s="31">
        <f t="shared" si="8"/>
        <v>0.80519096495499198</v>
      </c>
      <c r="K60" s="31">
        <f t="shared" si="8"/>
        <v>0.84104736870618468</v>
      </c>
      <c r="L60" s="31">
        <f t="shared" si="8"/>
        <v>0.84636865646166615</v>
      </c>
      <c r="M60" s="31">
        <f t="shared" si="8"/>
        <v>0.8493482633910473</v>
      </c>
      <c r="N60" s="31">
        <f t="shared" si="8"/>
        <v>0.86432725372704822</v>
      </c>
      <c r="O60" s="31">
        <f t="shared" si="8"/>
        <v>0.85851034766942891</v>
      </c>
      <c r="P60" s="31">
        <f t="shared" si="8"/>
        <v>0.86409262389244723</v>
      </c>
      <c r="Q60" s="31">
        <f t="shared" si="8"/>
        <v>0.85897944644774926</v>
      </c>
      <c r="R60" s="31">
        <f t="shared" si="8"/>
        <v>0.85371559547382891</v>
      </c>
      <c r="S60" s="31">
        <f t="shared" si="8"/>
        <v>0.85001326333989924</v>
      </c>
      <c r="T60" s="31">
        <f t="shared" si="8"/>
        <v>0.85216515343231158</v>
      </c>
      <c r="U60" s="31">
        <f t="shared" si="8"/>
        <v>0.84472014777773696</v>
      </c>
      <c r="V60" s="31">
        <f t="shared" si="8"/>
        <v>0.80048665888100046</v>
      </c>
      <c r="W60" s="31">
        <f t="shared" ref="W60" si="9">IF(W9=0,0,W9/W$8)</f>
        <v>0.80174371214953588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0.70087847933072311</v>
      </c>
      <c r="C62" s="124">
        <f t="shared" ref="C62:V62" si="12">IF(C11=0,0,C11/C$8)</f>
        <v>0.68246222852397709</v>
      </c>
      <c r="D62" s="124">
        <f t="shared" si="12"/>
        <v>0.68456990316976662</v>
      </c>
      <c r="E62" s="124">
        <f t="shared" si="12"/>
        <v>0.70291920178389322</v>
      </c>
      <c r="F62" s="124">
        <f t="shared" si="12"/>
        <v>0.7685772476125724</v>
      </c>
      <c r="G62" s="124">
        <f t="shared" si="12"/>
        <v>0.79552604702597407</v>
      </c>
      <c r="H62" s="124">
        <f t="shared" si="12"/>
        <v>0.8071445209058179</v>
      </c>
      <c r="I62" s="124">
        <f t="shared" si="12"/>
        <v>0.79985564521352814</v>
      </c>
      <c r="J62" s="124">
        <f t="shared" si="12"/>
        <v>0.80519096495499198</v>
      </c>
      <c r="K62" s="124">
        <f t="shared" si="12"/>
        <v>0.84104736870618468</v>
      </c>
      <c r="L62" s="124">
        <f t="shared" si="12"/>
        <v>0.84636865646166615</v>
      </c>
      <c r="M62" s="124">
        <f t="shared" si="12"/>
        <v>0.8493482633910473</v>
      </c>
      <c r="N62" s="124">
        <f t="shared" si="12"/>
        <v>0.86432725372704822</v>
      </c>
      <c r="O62" s="124">
        <f t="shared" si="12"/>
        <v>0.85851034766942891</v>
      </c>
      <c r="P62" s="124">
        <f t="shared" si="12"/>
        <v>0.86409262389244723</v>
      </c>
      <c r="Q62" s="124">
        <f t="shared" si="12"/>
        <v>0.85897944644774926</v>
      </c>
      <c r="R62" s="124">
        <f t="shared" si="12"/>
        <v>0.85371559547382891</v>
      </c>
      <c r="S62" s="124">
        <f t="shared" si="12"/>
        <v>0.85001326333989924</v>
      </c>
      <c r="T62" s="124">
        <f t="shared" si="12"/>
        <v>0.85216515343231158</v>
      </c>
      <c r="U62" s="124">
        <f t="shared" si="12"/>
        <v>0.84472014777773696</v>
      </c>
      <c r="V62" s="124">
        <f t="shared" si="12"/>
        <v>0.80048665888100046</v>
      </c>
      <c r="W62" s="124">
        <f t="shared" ref="W62" si="13">IF(W11=0,0,W11/W$8)</f>
        <v>0.80174371214953588</v>
      </c>
      <c r="DA62" s="176"/>
    </row>
    <row r="63" spans="1:105" ht="11.45" customHeight="1" x14ac:dyDescent="0.25">
      <c r="A63" s="111" t="s">
        <v>92</v>
      </c>
      <c r="B63" s="125">
        <f t="shared" si="5"/>
        <v>0.70087847933072311</v>
      </c>
      <c r="C63" s="125">
        <f t="shared" ref="C63:V63" si="14">IF(C12=0,0,C12/C$8)</f>
        <v>0.68246222852397709</v>
      </c>
      <c r="D63" s="125">
        <f t="shared" si="14"/>
        <v>0.68456990316976662</v>
      </c>
      <c r="E63" s="125">
        <f t="shared" si="14"/>
        <v>0.70291920178389322</v>
      </c>
      <c r="F63" s="125">
        <f t="shared" si="14"/>
        <v>0.7685772476125724</v>
      </c>
      <c r="G63" s="125">
        <f t="shared" si="14"/>
        <v>0.79552604702597407</v>
      </c>
      <c r="H63" s="125">
        <f t="shared" si="14"/>
        <v>0.8071445209058179</v>
      </c>
      <c r="I63" s="125">
        <f t="shared" si="14"/>
        <v>0.79985564521352814</v>
      </c>
      <c r="J63" s="125">
        <f t="shared" si="14"/>
        <v>0.80519096495499198</v>
      </c>
      <c r="K63" s="125">
        <f t="shared" si="14"/>
        <v>0.84104736870618468</v>
      </c>
      <c r="L63" s="125">
        <f t="shared" si="14"/>
        <v>0.84636865646166615</v>
      </c>
      <c r="M63" s="125">
        <f t="shared" si="14"/>
        <v>0.8493482633910473</v>
      </c>
      <c r="N63" s="125">
        <f t="shared" si="14"/>
        <v>0.86432725372704822</v>
      </c>
      <c r="O63" s="125">
        <f t="shared" si="14"/>
        <v>0.85851034766942891</v>
      </c>
      <c r="P63" s="125">
        <f t="shared" si="14"/>
        <v>0.86409262389244723</v>
      </c>
      <c r="Q63" s="125">
        <f t="shared" si="14"/>
        <v>0.85897944644774926</v>
      </c>
      <c r="R63" s="125">
        <f t="shared" si="14"/>
        <v>0.85371559547382891</v>
      </c>
      <c r="S63" s="125">
        <f t="shared" si="14"/>
        <v>0.85001326333989924</v>
      </c>
      <c r="T63" s="125">
        <f t="shared" si="14"/>
        <v>0.85216515343231158</v>
      </c>
      <c r="U63" s="125">
        <f t="shared" si="14"/>
        <v>0.84472014777773696</v>
      </c>
      <c r="V63" s="125">
        <f t="shared" si="14"/>
        <v>0.80048665888100046</v>
      </c>
      <c r="W63" s="125">
        <f t="shared" ref="W63" si="15">IF(W12=0,0,W12/W$8)</f>
        <v>0.80174371214953588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0.29912152066927694</v>
      </c>
      <c r="C66" s="31">
        <f t="shared" ref="C66:V66" si="20">IF(C15=0,0,C15/C$8)</f>
        <v>0.31753777147602291</v>
      </c>
      <c r="D66" s="31">
        <f t="shared" si="20"/>
        <v>0.31543009683023326</v>
      </c>
      <c r="E66" s="31">
        <f t="shared" si="20"/>
        <v>0.29708079821610683</v>
      </c>
      <c r="F66" s="31">
        <f t="shared" si="20"/>
        <v>0.23142275238742765</v>
      </c>
      <c r="G66" s="31">
        <f t="shared" si="20"/>
        <v>0.20447395297402593</v>
      </c>
      <c r="H66" s="31">
        <f t="shared" si="20"/>
        <v>0.19285547909418213</v>
      </c>
      <c r="I66" s="31">
        <f t="shared" si="20"/>
        <v>0.20014435478647186</v>
      </c>
      <c r="J66" s="31">
        <f t="shared" si="20"/>
        <v>0.19480903504500793</v>
      </c>
      <c r="K66" s="31">
        <f t="shared" si="20"/>
        <v>0.15895263129381518</v>
      </c>
      <c r="L66" s="31">
        <f t="shared" si="20"/>
        <v>0.15363134353833396</v>
      </c>
      <c r="M66" s="31">
        <f t="shared" si="20"/>
        <v>0.15065173660895262</v>
      </c>
      <c r="N66" s="31">
        <f t="shared" si="20"/>
        <v>0.13567274627295176</v>
      </c>
      <c r="O66" s="31">
        <f t="shared" si="20"/>
        <v>0.14148965233057109</v>
      </c>
      <c r="P66" s="31">
        <f t="shared" si="20"/>
        <v>0.13590737610755271</v>
      </c>
      <c r="Q66" s="31">
        <f t="shared" si="20"/>
        <v>0.14102055355225085</v>
      </c>
      <c r="R66" s="31">
        <f t="shared" si="20"/>
        <v>0.14628440452617106</v>
      </c>
      <c r="S66" s="31">
        <f t="shared" si="20"/>
        <v>0.14998673666010084</v>
      </c>
      <c r="T66" s="31">
        <f t="shared" si="20"/>
        <v>0.14783484656768833</v>
      </c>
      <c r="U66" s="31">
        <f t="shared" si="20"/>
        <v>0.15527985222226304</v>
      </c>
      <c r="V66" s="31">
        <f t="shared" si="20"/>
        <v>0.19951334111899957</v>
      </c>
      <c r="W66" s="31">
        <f t="shared" ref="W66" si="21">IF(W15=0,0,W15/W$8)</f>
        <v>0.19825628785046412</v>
      </c>
      <c r="DA66" s="173"/>
    </row>
    <row r="67" spans="1:105" ht="11.45" customHeight="1" x14ac:dyDescent="0.25">
      <c r="A67" s="83" t="s">
        <v>92</v>
      </c>
      <c r="B67" s="125">
        <f t="shared" si="5"/>
        <v>0.29912152066927694</v>
      </c>
      <c r="C67" s="125">
        <f t="shared" ref="C67:V67" si="22">IF(C16=0,0,C16/C$8)</f>
        <v>0.31753777147602291</v>
      </c>
      <c r="D67" s="125">
        <f t="shared" si="22"/>
        <v>0.31543009683023326</v>
      </c>
      <c r="E67" s="125">
        <f t="shared" si="22"/>
        <v>0.29708079821610683</v>
      </c>
      <c r="F67" s="125">
        <f t="shared" si="22"/>
        <v>0.23142275238742765</v>
      </c>
      <c r="G67" s="125">
        <f t="shared" si="22"/>
        <v>0.20447395297402593</v>
      </c>
      <c r="H67" s="125">
        <f t="shared" si="22"/>
        <v>0.19285547909418213</v>
      </c>
      <c r="I67" s="125">
        <f t="shared" si="22"/>
        <v>0.20014435478647186</v>
      </c>
      <c r="J67" s="125">
        <f t="shared" si="22"/>
        <v>0.19480903504500793</v>
      </c>
      <c r="K67" s="125">
        <f t="shared" si="22"/>
        <v>0.15895263129381518</v>
      </c>
      <c r="L67" s="125">
        <f t="shared" si="22"/>
        <v>0.15363134353833396</v>
      </c>
      <c r="M67" s="125">
        <f t="shared" si="22"/>
        <v>0.15065173660895262</v>
      </c>
      <c r="N67" s="125">
        <f t="shared" si="22"/>
        <v>0.13567274627295176</v>
      </c>
      <c r="O67" s="125">
        <f t="shared" si="22"/>
        <v>0.14148965233057109</v>
      </c>
      <c r="P67" s="125">
        <f t="shared" si="22"/>
        <v>0.13590737610755271</v>
      </c>
      <c r="Q67" s="125">
        <f t="shared" si="22"/>
        <v>0.14102055355225085</v>
      </c>
      <c r="R67" s="125">
        <f t="shared" si="22"/>
        <v>0.14628440452617106</v>
      </c>
      <c r="S67" s="125">
        <f t="shared" si="22"/>
        <v>0.14998673666010084</v>
      </c>
      <c r="T67" s="125">
        <f t="shared" si="22"/>
        <v>0.14783484656768833</v>
      </c>
      <c r="U67" s="125">
        <f t="shared" si="22"/>
        <v>0.15527985222226304</v>
      </c>
      <c r="V67" s="125">
        <f t="shared" si="22"/>
        <v>0.19951334111899957</v>
      </c>
      <c r="W67" s="125">
        <f t="shared" ref="W67" si="23">IF(W16=0,0,W16/W$8)</f>
        <v>0.19825628785046412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117992.36096708277</v>
      </c>
      <c r="C4" s="11">
        <f t="shared" si="0"/>
        <v>119576.30506718336</v>
      </c>
      <c r="D4" s="11">
        <f t="shared" ref="D4:V4" si="1">SUM(D5:D7)</f>
        <v>122740.52384062813</v>
      </c>
      <c r="E4" s="11">
        <f t="shared" si="1"/>
        <v>121211.94794793433</v>
      </c>
      <c r="F4" s="11">
        <f t="shared" si="1"/>
        <v>130972.01038334671</v>
      </c>
      <c r="G4" s="11">
        <f t="shared" si="1"/>
        <v>140363.95654458762</v>
      </c>
      <c r="H4" s="11">
        <f t="shared" si="1"/>
        <v>144949.90910474228</v>
      </c>
      <c r="I4" s="11">
        <f t="shared" si="1"/>
        <v>152194.79815628304</v>
      </c>
      <c r="J4" s="11">
        <f t="shared" si="1"/>
        <v>154215.17525988893</v>
      </c>
      <c r="K4" s="11">
        <f t="shared" si="1"/>
        <v>149824.94945555032</v>
      </c>
      <c r="L4" s="11">
        <f t="shared" si="1"/>
        <v>153461.69463727158</v>
      </c>
      <c r="M4" s="11">
        <f t="shared" si="1"/>
        <v>165504.07530891331</v>
      </c>
      <c r="N4" s="11">
        <f t="shared" si="1"/>
        <v>165336.639377621</v>
      </c>
      <c r="O4" s="11">
        <f t="shared" si="1"/>
        <v>170298.91387951616</v>
      </c>
      <c r="P4" s="11">
        <f t="shared" si="1"/>
        <v>178251.73724755354</v>
      </c>
      <c r="Q4" s="11">
        <f t="shared" si="1"/>
        <v>180371.75711133523</v>
      </c>
      <c r="R4" s="11">
        <f t="shared" si="1"/>
        <v>181736.11359900609</v>
      </c>
      <c r="S4" s="11">
        <f t="shared" si="1"/>
        <v>191858.784697978</v>
      </c>
      <c r="T4" s="11">
        <f t="shared" si="1"/>
        <v>206424.60015647579</v>
      </c>
      <c r="U4" s="11">
        <f t="shared" si="1"/>
        <v>216557.17531537509</v>
      </c>
      <c r="V4" s="11">
        <f t="shared" si="1"/>
        <v>69530.434638354593</v>
      </c>
      <c r="W4" s="11">
        <f t="shared" ref="W4" si="2">SUM(W5:W7)</f>
        <v>83615.872518064338</v>
      </c>
      <c r="DA4" s="189" t="s">
        <v>189</v>
      </c>
    </row>
    <row r="5" spans="1:105" ht="11.45" customHeight="1" x14ac:dyDescent="0.25">
      <c r="A5" s="83" t="s">
        <v>27</v>
      </c>
      <c r="B5" s="84">
        <v>20787.74207320877</v>
      </c>
      <c r="C5" s="84">
        <v>21513.94526882541</v>
      </c>
      <c r="D5" s="84">
        <v>22615.484213964002</v>
      </c>
      <c r="E5" s="84">
        <v>21657.32458217999</v>
      </c>
      <c r="F5" s="84">
        <v>21398.064324103038</v>
      </c>
      <c r="G5" s="84">
        <v>21387.762558745126</v>
      </c>
      <c r="H5" s="84">
        <v>21733.998101190686</v>
      </c>
      <c r="I5" s="84">
        <v>22516.875963797589</v>
      </c>
      <c r="J5" s="84">
        <v>22171.45771792133</v>
      </c>
      <c r="K5" s="84">
        <v>22782.440731202754</v>
      </c>
      <c r="L5" s="84">
        <v>23498.15113405259</v>
      </c>
      <c r="M5" s="84">
        <v>25170.66472807603</v>
      </c>
      <c r="N5" s="84">
        <v>24971.179573544196</v>
      </c>
      <c r="O5" s="84">
        <v>25807.125891834763</v>
      </c>
      <c r="P5" s="84">
        <v>25928.865397446192</v>
      </c>
      <c r="Q5" s="84">
        <v>26249.115138845966</v>
      </c>
      <c r="R5" s="84">
        <v>27300.51145645446</v>
      </c>
      <c r="S5" s="84">
        <v>29168.98262054897</v>
      </c>
      <c r="T5" s="84">
        <v>31211.334694070156</v>
      </c>
      <c r="U5" s="84">
        <v>32166.957837528422</v>
      </c>
      <c r="V5" s="84">
        <v>16172.383249630395</v>
      </c>
      <c r="W5" s="84">
        <v>21803.20846591092</v>
      </c>
      <c r="DA5" s="171" t="s">
        <v>190</v>
      </c>
    </row>
    <row r="6" spans="1:105" ht="11.45" customHeight="1" x14ac:dyDescent="0.25">
      <c r="A6" s="83" t="s">
        <v>173</v>
      </c>
      <c r="B6" s="84">
        <v>22412.547426268189</v>
      </c>
      <c r="C6" s="84">
        <v>22684.864806315527</v>
      </c>
      <c r="D6" s="84">
        <v>23037.288936059078</v>
      </c>
      <c r="E6" s="84">
        <v>23309.359435993236</v>
      </c>
      <c r="F6" s="84">
        <v>24490.508744385163</v>
      </c>
      <c r="G6" s="84">
        <v>25817.854320337363</v>
      </c>
      <c r="H6" s="84">
        <v>26770.196476341851</v>
      </c>
      <c r="I6" s="84">
        <v>27938.822402953763</v>
      </c>
      <c r="J6" s="84">
        <v>27754.389763828971</v>
      </c>
      <c r="K6" s="84">
        <v>26239.417478177253</v>
      </c>
      <c r="L6" s="84">
        <v>26327.748319201801</v>
      </c>
      <c r="M6" s="84">
        <v>29062.032228583364</v>
      </c>
      <c r="N6" s="84">
        <v>29989.605615055098</v>
      </c>
      <c r="O6" s="84">
        <v>30263.339533269205</v>
      </c>
      <c r="P6" s="84">
        <v>32263.07301493554</v>
      </c>
      <c r="Q6" s="84">
        <v>33966.742047048872</v>
      </c>
      <c r="R6" s="84">
        <v>36185.618687748327</v>
      </c>
      <c r="S6" s="84">
        <v>38430.666627361585</v>
      </c>
      <c r="T6" s="84">
        <v>40550.15623772885</v>
      </c>
      <c r="U6" s="84">
        <v>42190.042368684073</v>
      </c>
      <c r="V6" s="84">
        <v>11962.787103059145</v>
      </c>
      <c r="W6" s="84">
        <v>17164.661076437907</v>
      </c>
      <c r="DA6" s="171" t="s">
        <v>191</v>
      </c>
    </row>
    <row r="7" spans="1:105" ht="11.45" customHeight="1" x14ac:dyDescent="0.25">
      <c r="A7" s="83" t="s">
        <v>174</v>
      </c>
      <c r="B7" s="84">
        <v>74792.071467605812</v>
      </c>
      <c r="C7" s="84">
        <v>75377.494992042426</v>
      </c>
      <c r="D7" s="84">
        <v>77087.750690605055</v>
      </c>
      <c r="E7" s="84">
        <v>76245.263929761102</v>
      </c>
      <c r="F7" s="84">
        <v>85083.437314858515</v>
      </c>
      <c r="G7" s="84">
        <v>93158.339665505118</v>
      </c>
      <c r="H7" s="84">
        <v>96445.714527209755</v>
      </c>
      <c r="I7" s="84">
        <v>101739.09978953168</v>
      </c>
      <c r="J7" s="84">
        <v>104289.32777813863</v>
      </c>
      <c r="K7" s="84">
        <v>100803.09124617031</v>
      </c>
      <c r="L7" s="84">
        <v>103635.79518401717</v>
      </c>
      <c r="M7" s="84">
        <v>111271.37835225393</v>
      </c>
      <c r="N7" s="84">
        <v>110375.8541890217</v>
      </c>
      <c r="O7" s="84">
        <v>114228.44845441218</v>
      </c>
      <c r="P7" s="84">
        <v>120059.79883517182</v>
      </c>
      <c r="Q7" s="84">
        <v>120155.89992544039</v>
      </c>
      <c r="R7" s="84">
        <v>118249.98345480328</v>
      </c>
      <c r="S7" s="84">
        <v>124259.13545006744</v>
      </c>
      <c r="T7" s="84">
        <v>134663.10922467677</v>
      </c>
      <c r="U7" s="84">
        <v>142200.17510916261</v>
      </c>
      <c r="V7" s="84">
        <v>41395.264285665049</v>
      </c>
      <c r="W7" s="84">
        <v>44648.002975715521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5453.1828387265268</v>
      </c>
      <c r="C8" s="13">
        <f t="shared" si="3"/>
        <v>5580.180115950996</v>
      </c>
      <c r="D8" s="13">
        <f t="shared" ref="D8:V8" si="4">SUM(D9:D11)</f>
        <v>5334.4844171535924</v>
      </c>
      <c r="E8" s="13">
        <f t="shared" si="4"/>
        <v>5105.4109913406364</v>
      </c>
      <c r="F8" s="13">
        <f t="shared" si="4"/>
        <v>5268.7133776892824</v>
      </c>
      <c r="G8" s="13">
        <f t="shared" si="4"/>
        <v>5323.3393526299296</v>
      </c>
      <c r="H8" s="13">
        <f t="shared" si="4"/>
        <v>5288.099347301697</v>
      </c>
      <c r="I8" s="13">
        <f t="shared" si="4"/>
        <v>5545.1727269912171</v>
      </c>
      <c r="J8" s="13">
        <f t="shared" si="4"/>
        <v>5367.6143248450699</v>
      </c>
      <c r="K8" s="13">
        <f t="shared" si="4"/>
        <v>4573.4721265353264</v>
      </c>
      <c r="L8" s="13">
        <f t="shared" si="4"/>
        <v>4845.581975554478</v>
      </c>
      <c r="M8" s="13">
        <f t="shared" si="4"/>
        <v>6019.6943132678871</v>
      </c>
      <c r="N8" s="13">
        <f t="shared" si="4"/>
        <v>5862.6428698255659</v>
      </c>
      <c r="O8" s="13">
        <f t="shared" si="4"/>
        <v>5561.4610093777083</v>
      </c>
      <c r="P8" s="13">
        <f t="shared" si="4"/>
        <v>7941.6736263154125</v>
      </c>
      <c r="Q8" s="13">
        <f t="shared" si="4"/>
        <v>7772.9910299679359</v>
      </c>
      <c r="R8" s="13">
        <f t="shared" si="4"/>
        <v>7218.9685778909979</v>
      </c>
      <c r="S8" s="13">
        <f t="shared" si="4"/>
        <v>7173.1983806309454</v>
      </c>
      <c r="T8" s="13">
        <f t="shared" si="4"/>
        <v>7232.6400150302625</v>
      </c>
      <c r="U8" s="13">
        <f t="shared" si="4"/>
        <v>6994.5727208223216</v>
      </c>
      <c r="V8" s="13">
        <f t="shared" si="4"/>
        <v>5448.5194350540205</v>
      </c>
      <c r="W8" s="13">
        <f t="shared" ref="W8" si="5">SUM(W9:W11)</f>
        <v>5492.7757969153699</v>
      </c>
      <c r="DA8" s="193" t="s">
        <v>193</v>
      </c>
    </row>
    <row r="9" spans="1:105" ht="11.45" customHeight="1" x14ac:dyDescent="0.25">
      <c r="A9" s="92" t="s">
        <v>27</v>
      </c>
      <c r="B9" s="102">
        <v>177.13653954431908</v>
      </c>
      <c r="C9" s="102">
        <v>204.87606230433727</v>
      </c>
      <c r="D9" s="102">
        <v>184.94115543087554</v>
      </c>
      <c r="E9" s="102">
        <v>165.73911140841673</v>
      </c>
      <c r="F9" s="102">
        <v>156.85025718121389</v>
      </c>
      <c r="G9" s="102">
        <v>150.97201258546872</v>
      </c>
      <c r="H9" s="102">
        <v>133.21169701744108</v>
      </c>
      <c r="I9" s="102">
        <v>118.3505509503557</v>
      </c>
      <c r="J9" s="102">
        <v>95.731951298106878</v>
      </c>
      <c r="K9" s="102">
        <v>96.370836474369014</v>
      </c>
      <c r="L9" s="102">
        <v>74.095405183458325</v>
      </c>
      <c r="M9" s="102">
        <v>83.604513894785015</v>
      </c>
      <c r="N9" s="102">
        <v>84.169374410508411</v>
      </c>
      <c r="O9" s="102">
        <v>81.197547304997627</v>
      </c>
      <c r="P9" s="102">
        <v>109.58919417779521</v>
      </c>
      <c r="Q9" s="102">
        <v>107.7455056093426</v>
      </c>
      <c r="R9" s="102">
        <v>106.87807958363454</v>
      </c>
      <c r="S9" s="102">
        <v>104.44852641132901</v>
      </c>
      <c r="T9" s="102">
        <v>106.49087119824216</v>
      </c>
      <c r="U9" s="102">
        <v>115.74569626301056</v>
      </c>
      <c r="V9" s="102">
        <v>104.73356964792873</v>
      </c>
      <c r="W9" s="102">
        <v>123.33905014750164</v>
      </c>
      <c r="DA9" s="175" t="s">
        <v>194</v>
      </c>
    </row>
    <row r="10" spans="1:105" ht="11.45" customHeight="1" x14ac:dyDescent="0.25">
      <c r="A10" s="92" t="s">
        <v>173</v>
      </c>
      <c r="B10" s="102">
        <v>137.54398906493108</v>
      </c>
      <c r="C10" s="102">
        <v>163.64207802210339</v>
      </c>
      <c r="D10" s="102">
        <v>138.59549873532248</v>
      </c>
      <c r="E10" s="102">
        <v>137.15751766348686</v>
      </c>
      <c r="F10" s="102">
        <v>136.32600701368131</v>
      </c>
      <c r="G10" s="102">
        <v>127.37211563239782</v>
      </c>
      <c r="H10" s="102">
        <v>139.63798484709076</v>
      </c>
      <c r="I10" s="102">
        <v>164.42316463064623</v>
      </c>
      <c r="J10" s="102">
        <v>161.81854448662463</v>
      </c>
      <c r="K10" s="102">
        <v>150.88653221838533</v>
      </c>
      <c r="L10" s="102">
        <v>154.36232014542799</v>
      </c>
      <c r="M10" s="102">
        <v>199.03305944454272</v>
      </c>
      <c r="N10" s="102">
        <v>210.2286698998133</v>
      </c>
      <c r="O10" s="102">
        <v>219.93758653925863</v>
      </c>
      <c r="P10" s="102">
        <v>314.55232574537553</v>
      </c>
      <c r="Q10" s="102">
        <v>308.31783517382314</v>
      </c>
      <c r="R10" s="102">
        <v>299.01493048632796</v>
      </c>
      <c r="S10" s="102">
        <v>287.5897505760455</v>
      </c>
      <c r="T10" s="102">
        <v>252.06974292344199</v>
      </c>
      <c r="U10" s="102">
        <v>269.50916550573908</v>
      </c>
      <c r="V10" s="102">
        <v>243.38330994023033</v>
      </c>
      <c r="W10" s="102">
        <v>279.34902483841392</v>
      </c>
      <c r="DA10" s="175" t="s">
        <v>195</v>
      </c>
    </row>
    <row r="11" spans="1:105" ht="11.45" customHeight="1" x14ac:dyDescent="0.25">
      <c r="A11" s="85" t="s">
        <v>174</v>
      </c>
      <c r="B11" s="86">
        <v>5138.5023101172765</v>
      </c>
      <c r="C11" s="86">
        <v>5211.6619756245555</v>
      </c>
      <c r="D11" s="86">
        <v>5010.9477629873945</v>
      </c>
      <c r="E11" s="86">
        <v>4802.5143622687328</v>
      </c>
      <c r="F11" s="86">
        <v>4975.5371134943871</v>
      </c>
      <c r="G11" s="86">
        <v>5044.9952244120632</v>
      </c>
      <c r="H11" s="86">
        <v>5015.2496654371653</v>
      </c>
      <c r="I11" s="86">
        <v>5262.3990114102153</v>
      </c>
      <c r="J11" s="86">
        <v>5110.0638290603383</v>
      </c>
      <c r="K11" s="86">
        <v>4326.214757842572</v>
      </c>
      <c r="L11" s="86">
        <v>4617.1242502255918</v>
      </c>
      <c r="M11" s="86">
        <v>5737.0567399285592</v>
      </c>
      <c r="N11" s="86">
        <v>5568.244825515244</v>
      </c>
      <c r="O11" s="86">
        <v>5260.3258755334518</v>
      </c>
      <c r="P11" s="86">
        <v>7517.532106392242</v>
      </c>
      <c r="Q11" s="86">
        <v>7356.9276891847703</v>
      </c>
      <c r="R11" s="86">
        <v>6813.0755678210353</v>
      </c>
      <c r="S11" s="86">
        <v>6781.1601036435704</v>
      </c>
      <c r="T11" s="86">
        <v>6874.0794009085785</v>
      </c>
      <c r="U11" s="86">
        <v>6609.3178590535717</v>
      </c>
      <c r="V11" s="86">
        <v>5100.402555465861</v>
      </c>
      <c r="W11" s="86">
        <v>5090.0877219294543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1287.7404139936491</v>
      </c>
      <c r="C13" s="54">
        <f t="shared" si="6"/>
        <v>1286.3637385056825</v>
      </c>
      <c r="D13" s="54">
        <f t="shared" ref="D13:V13" si="7">SUM(D14,D18)</f>
        <v>1300.3233637659441</v>
      </c>
      <c r="E13" s="54">
        <f t="shared" si="7"/>
        <v>1286.1815722279982</v>
      </c>
      <c r="F13" s="54">
        <f t="shared" si="7"/>
        <v>1293.8856854800786</v>
      </c>
      <c r="G13" s="54">
        <f t="shared" si="7"/>
        <v>1326.33204694597</v>
      </c>
      <c r="H13" s="54">
        <f t="shared" si="7"/>
        <v>1371.1789749282232</v>
      </c>
      <c r="I13" s="54">
        <f t="shared" si="7"/>
        <v>1430.5518973135659</v>
      </c>
      <c r="J13" s="54">
        <f t="shared" si="7"/>
        <v>1427.8014189736925</v>
      </c>
      <c r="K13" s="54">
        <f t="shared" si="7"/>
        <v>1314.802179302183</v>
      </c>
      <c r="L13" s="54">
        <f t="shared" si="7"/>
        <v>1191.8326710952422</v>
      </c>
      <c r="M13" s="54">
        <f t="shared" si="7"/>
        <v>1273.0509050286234</v>
      </c>
      <c r="N13" s="54">
        <f t="shared" si="7"/>
        <v>1201.4252483767436</v>
      </c>
      <c r="O13" s="54">
        <f t="shared" si="7"/>
        <v>1190.9321148131098</v>
      </c>
      <c r="P13" s="54">
        <f t="shared" si="7"/>
        <v>1241.6499023668359</v>
      </c>
      <c r="Q13" s="54">
        <f t="shared" si="7"/>
        <v>1243.6119931346591</v>
      </c>
      <c r="R13" s="54">
        <f t="shared" si="7"/>
        <v>1247.2361834923063</v>
      </c>
      <c r="S13" s="54">
        <f t="shared" si="7"/>
        <v>1274.714762176211</v>
      </c>
      <c r="T13" s="54">
        <f t="shared" si="7"/>
        <v>1315.319215129319</v>
      </c>
      <c r="U13" s="54">
        <f t="shared" si="7"/>
        <v>1352.826120261009</v>
      </c>
      <c r="V13" s="54">
        <f t="shared" si="7"/>
        <v>591.80327914191093</v>
      </c>
      <c r="W13" s="54">
        <f t="shared" ref="W13" si="8">SUM(W14,W18)</f>
        <v>737.33896629956473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1205.618889700645</v>
      </c>
      <c r="C14" s="11">
        <f t="shared" si="9"/>
        <v>1202.6722129456268</v>
      </c>
      <c r="D14" s="11">
        <f t="shared" ref="D14:V14" si="10">SUM(D15:D17)</f>
        <v>1218.5250364301464</v>
      </c>
      <c r="E14" s="11">
        <f t="shared" si="10"/>
        <v>1203.9493197031045</v>
      </c>
      <c r="F14" s="11">
        <f t="shared" si="10"/>
        <v>1206.8939317346981</v>
      </c>
      <c r="G14" s="11">
        <f t="shared" si="10"/>
        <v>1234.6140625280409</v>
      </c>
      <c r="H14" s="11">
        <f t="shared" si="10"/>
        <v>1276.8133777918683</v>
      </c>
      <c r="I14" s="11">
        <f t="shared" si="10"/>
        <v>1330.942513232143</v>
      </c>
      <c r="J14" s="11">
        <f t="shared" si="10"/>
        <v>1330.5824099722847</v>
      </c>
      <c r="K14" s="11">
        <f t="shared" si="10"/>
        <v>1237.9695667609512</v>
      </c>
      <c r="L14" s="11">
        <f t="shared" si="10"/>
        <v>1114.6234284354041</v>
      </c>
      <c r="M14" s="11">
        <f t="shared" si="10"/>
        <v>1182.2522920493889</v>
      </c>
      <c r="N14" s="11">
        <f t="shared" si="10"/>
        <v>1119.4231733388744</v>
      </c>
      <c r="O14" s="11">
        <f t="shared" si="10"/>
        <v>1113.0238841619334</v>
      </c>
      <c r="P14" s="11">
        <f t="shared" si="10"/>
        <v>1144.2601902858821</v>
      </c>
      <c r="Q14" s="11">
        <f t="shared" si="10"/>
        <v>1147.6807395059877</v>
      </c>
      <c r="R14" s="11">
        <f t="shared" si="10"/>
        <v>1164.5742902593447</v>
      </c>
      <c r="S14" s="11">
        <f t="shared" si="10"/>
        <v>1190.1754348448389</v>
      </c>
      <c r="T14" s="11">
        <f t="shared" si="10"/>
        <v>1232.6820254648906</v>
      </c>
      <c r="U14" s="11">
        <f t="shared" si="10"/>
        <v>1274.9846617461617</v>
      </c>
      <c r="V14" s="11">
        <f t="shared" si="10"/>
        <v>502.93827632921864</v>
      </c>
      <c r="W14" s="11">
        <f t="shared" ref="W14" si="11">SUM(W15:W17)</f>
        <v>639.18360660728672</v>
      </c>
      <c r="DA14" s="189" t="s">
        <v>198</v>
      </c>
    </row>
    <row r="15" spans="1:105" ht="11.45" customHeight="1" x14ac:dyDescent="0.25">
      <c r="A15" s="83" t="s">
        <v>27</v>
      </c>
      <c r="B15" s="84">
        <v>297.5400144492329</v>
      </c>
      <c r="C15" s="84">
        <v>303.78089438181729</v>
      </c>
      <c r="D15" s="84">
        <v>315.0619362813739</v>
      </c>
      <c r="E15" s="84">
        <v>305.31051445433252</v>
      </c>
      <c r="F15" s="84">
        <v>282.9707023986972</v>
      </c>
      <c r="G15" s="84">
        <v>279.32548707243319</v>
      </c>
      <c r="H15" s="84">
        <v>285.52828790842267</v>
      </c>
      <c r="I15" s="84">
        <v>288.96547773600753</v>
      </c>
      <c r="J15" s="84">
        <v>288.56554906310083</v>
      </c>
      <c r="K15" s="84">
        <v>284.23566123403566</v>
      </c>
      <c r="L15" s="84">
        <v>252.88374910978186</v>
      </c>
      <c r="M15" s="84">
        <v>267.24016306415268</v>
      </c>
      <c r="N15" s="84">
        <v>263.14611155404708</v>
      </c>
      <c r="O15" s="84">
        <v>263.40315747738407</v>
      </c>
      <c r="P15" s="84">
        <v>255.43218362511689</v>
      </c>
      <c r="Q15" s="84">
        <v>254.30099653554342</v>
      </c>
      <c r="R15" s="84">
        <v>257.40932796126407</v>
      </c>
      <c r="S15" s="84">
        <v>266.80422513795855</v>
      </c>
      <c r="T15" s="84">
        <v>274.40178052455536</v>
      </c>
      <c r="U15" s="84">
        <v>279.5569435690366</v>
      </c>
      <c r="V15" s="84">
        <v>154.75850667367314</v>
      </c>
      <c r="W15" s="84">
        <v>197.1003166933728</v>
      </c>
      <c r="DA15" s="171" t="s">
        <v>199</v>
      </c>
    </row>
    <row r="16" spans="1:105" ht="11.45" customHeight="1" x14ac:dyDescent="0.25">
      <c r="A16" s="83" t="s">
        <v>173</v>
      </c>
      <c r="B16" s="84">
        <v>288.69948433439509</v>
      </c>
      <c r="C16" s="84">
        <v>285.77973253620672</v>
      </c>
      <c r="D16" s="84">
        <v>287.23303063067999</v>
      </c>
      <c r="E16" s="84">
        <v>288.23324568634069</v>
      </c>
      <c r="F16" s="84">
        <v>292.68666262572549</v>
      </c>
      <c r="G16" s="84">
        <v>293.62375178794184</v>
      </c>
      <c r="H16" s="84">
        <v>311.62777749341672</v>
      </c>
      <c r="I16" s="84">
        <v>329.31472904286227</v>
      </c>
      <c r="J16" s="84">
        <v>334.383284125915</v>
      </c>
      <c r="K16" s="84">
        <v>304.13476896862829</v>
      </c>
      <c r="L16" s="84">
        <v>273.24787711867253</v>
      </c>
      <c r="M16" s="84">
        <v>289.73626241835404</v>
      </c>
      <c r="N16" s="84">
        <v>285.53536442591457</v>
      </c>
      <c r="O16" s="84">
        <v>274.2846612977915</v>
      </c>
      <c r="P16" s="84">
        <v>280.96332425621813</v>
      </c>
      <c r="Q16" s="84">
        <v>290.6203714500424</v>
      </c>
      <c r="R16" s="84">
        <v>305.13620220468221</v>
      </c>
      <c r="S16" s="84">
        <v>311.33301733667537</v>
      </c>
      <c r="T16" s="84">
        <v>318.07732392631772</v>
      </c>
      <c r="U16" s="84">
        <v>327.13180320117573</v>
      </c>
      <c r="V16" s="84">
        <v>110.90808651834784</v>
      </c>
      <c r="W16" s="84">
        <v>152.39398005529836</v>
      </c>
      <c r="DA16" s="171" t="s">
        <v>200</v>
      </c>
    </row>
    <row r="17" spans="1:105" ht="11.45" customHeight="1" x14ac:dyDescent="0.25">
      <c r="A17" s="83" t="s">
        <v>174</v>
      </c>
      <c r="B17" s="84">
        <v>619.37939091701696</v>
      </c>
      <c r="C17" s="84">
        <v>613.11158602760281</v>
      </c>
      <c r="D17" s="84">
        <v>616.23006951809236</v>
      </c>
      <c r="E17" s="84">
        <v>610.40555956243134</v>
      </c>
      <c r="F17" s="84">
        <v>631.23656671027527</v>
      </c>
      <c r="G17" s="84">
        <v>661.66482366766593</v>
      </c>
      <c r="H17" s="84">
        <v>679.65731239002878</v>
      </c>
      <c r="I17" s="84">
        <v>712.66230645327323</v>
      </c>
      <c r="J17" s="84">
        <v>707.63357678326884</v>
      </c>
      <c r="K17" s="84">
        <v>649.59913655828734</v>
      </c>
      <c r="L17" s="84">
        <v>588.49180220694973</v>
      </c>
      <c r="M17" s="84">
        <v>625.2758665668822</v>
      </c>
      <c r="N17" s="84">
        <v>570.7416973589128</v>
      </c>
      <c r="O17" s="84">
        <v>575.33606538675792</v>
      </c>
      <c r="P17" s="84">
        <v>607.86468240454712</v>
      </c>
      <c r="Q17" s="84">
        <v>602.75937152040206</v>
      </c>
      <c r="R17" s="84">
        <v>602.02876009339843</v>
      </c>
      <c r="S17" s="84">
        <v>612.03819237020514</v>
      </c>
      <c r="T17" s="84">
        <v>640.20292101401731</v>
      </c>
      <c r="U17" s="84">
        <v>668.29591497594924</v>
      </c>
      <c r="V17" s="84">
        <v>237.27168313719767</v>
      </c>
      <c r="W17" s="84">
        <v>289.68930985861562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82.121524293004114</v>
      </c>
      <c r="C18" s="13">
        <f t="shared" si="12"/>
        <v>83.691525560055652</v>
      </c>
      <c r="D18" s="13">
        <f t="shared" ref="D18:V18" si="13">SUM(D19:D21)</f>
        <v>81.798327335797595</v>
      </c>
      <c r="E18" s="13">
        <f t="shared" si="13"/>
        <v>82.232252524893752</v>
      </c>
      <c r="F18" s="13">
        <f t="shared" si="13"/>
        <v>86.991753745380493</v>
      </c>
      <c r="G18" s="13">
        <f t="shared" si="13"/>
        <v>91.717984417929003</v>
      </c>
      <c r="H18" s="13">
        <f t="shared" si="13"/>
        <v>94.365597136354921</v>
      </c>
      <c r="I18" s="13">
        <f t="shared" si="13"/>
        <v>99.609384081422718</v>
      </c>
      <c r="J18" s="13">
        <f t="shared" si="13"/>
        <v>97.219009001407898</v>
      </c>
      <c r="K18" s="13">
        <f t="shared" si="13"/>
        <v>76.832612541231754</v>
      </c>
      <c r="L18" s="13">
        <f t="shared" si="13"/>
        <v>77.209242659838083</v>
      </c>
      <c r="M18" s="13">
        <f t="shared" si="13"/>
        <v>90.798612979234591</v>
      </c>
      <c r="N18" s="13">
        <f t="shared" si="13"/>
        <v>82.002075037869304</v>
      </c>
      <c r="O18" s="13">
        <f t="shared" si="13"/>
        <v>77.908230651176297</v>
      </c>
      <c r="P18" s="13">
        <f t="shared" si="13"/>
        <v>97.389712080953871</v>
      </c>
      <c r="Q18" s="13">
        <f t="shared" si="13"/>
        <v>95.931253628671428</v>
      </c>
      <c r="R18" s="13">
        <f t="shared" si="13"/>
        <v>82.661893232961631</v>
      </c>
      <c r="S18" s="13">
        <f t="shared" si="13"/>
        <v>84.539327331372078</v>
      </c>
      <c r="T18" s="13">
        <f t="shared" si="13"/>
        <v>82.637189664428334</v>
      </c>
      <c r="U18" s="13">
        <f t="shared" si="13"/>
        <v>77.841458514847361</v>
      </c>
      <c r="V18" s="13">
        <f t="shared" si="13"/>
        <v>88.865002812692282</v>
      </c>
      <c r="W18" s="13">
        <f t="shared" ref="W18" si="14">SUM(W19:W21)</f>
        <v>98.155359692277983</v>
      </c>
      <c r="DA18" s="193" t="s">
        <v>202</v>
      </c>
    </row>
    <row r="19" spans="1:105" ht="11.45" customHeight="1" x14ac:dyDescent="0.25">
      <c r="A19" s="92" t="s">
        <v>27</v>
      </c>
      <c r="B19" s="102">
        <v>16.371142807682894</v>
      </c>
      <c r="C19" s="102">
        <v>19.080339215237029</v>
      </c>
      <c r="D19" s="102">
        <v>16.749287467546218</v>
      </c>
      <c r="E19" s="102">
        <v>14.111518384632936</v>
      </c>
      <c r="F19" s="102">
        <v>14.182105387807423</v>
      </c>
      <c r="G19" s="102">
        <v>13.948668320671885</v>
      </c>
      <c r="H19" s="102">
        <v>12.795333537917207</v>
      </c>
      <c r="I19" s="102">
        <v>11.41024675080242</v>
      </c>
      <c r="J19" s="102">
        <v>9.5932320241864257</v>
      </c>
      <c r="K19" s="102">
        <v>9.5745422342886872</v>
      </c>
      <c r="L19" s="102">
        <v>6.8827003541633625</v>
      </c>
      <c r="M19" s="102">
        <v>7.0923475782703127</v>
      </c>
      <c r="N19" s="102">
        <v>7.0517162774070536</v>
      </c>
      <c r="O19" s="102">
        <v>6.6473762372929466</v>
      </c>
      <c r="P19" s="102">
        <v>8.0184043384854338</v>
      </c>
      <c r="Q19" s="102">
        <v>7.687239548362057</v>
      </c>
      <c r="R19" s="102">
        <v>6.650864165022969</v>
      </c>
      <c r="S19" s="102">
        <v>7.0651569284631544</v>
      </c>
      <c r="T19" s="102">
        <v>7.0601282751251171</v>
      </c>
      <c r="U19" s="102">
        <v>6.9636436497934717</v>
      </c>
      <c r="V19" s="102">
        <v>6.8222291063233147</v>
      </c>
      <c r="W19" s="102">
        <v>7.8999770775913687</v>
      </c>
      <c r="DA19" s="175" t="s">
        <v>203</v>
      </c>
    </row>
    <row r="20" spans="1:105" ht="11.45" customHeight="1" x14ac:dyDescent="0.25">
      <c r="A20" s="92" t="s">
        <v>173</v>
      </c>
      <c r="B20" s="102">
        <v>5.4795930965910999</v>
      </c>
      <c r="C20" s="102">
        <v>6.2580785248349811</v>
      </c>
      <c r="D20" s="102">
        <v>5.641497415301405</v>
      </c>
      <c r="E20" s="102">
        <v>5.4687774320297811</v>
      </c>
      <c r="F20" s="102">
        <v>5.9399531174766516</v>
      </c>
      <c r="G20" s="102">
        <v>5.6722142311988488</v>
      </c>
      <c r="H20" s="102">
        <v>7.4283534418415584</v>
      </c>
      <c r="I20" s="102">
        <v>9.0858121678283688</v>
      </c>
      <c r="J20" s="102">
        <v>9.2208439891710317</v>
      </c>
      <c r="K20" s="102">
        <v>8.4003078769431063</v>
      </c>
      <c r="L20" s="102">
        <v>8.5399624383177954</v>
      </c>
      <c r="M20" s="102">
        <v>10.462712030061081</v>
      </c>
      <c r="N20" s="102">
        <v>10.181338666930223</v>
      </c>
      <c r="O20" s="102">
        <v>10.673862850999026</v>
      </c>
      <c r="P20" s="102">
        <v>13.198494912426963</v>
      </c>
      <c r="Q20" s="102">
        <v>13.005756435670762</v>
      </c>
      <c r="R20" s="102">
        <v>11.436595328117019</v>
      </c>
      <c r="S20" s="102">
        <v>12.060719923903189</v>
      </c>
      <c r="T20" s="102">
        <v>10.404613251121411</v>
      </c>
      <c r="U20" s="102">
        <v>10.609594959751604</v>
      </c>
      <c r="V20" s="102">
        <v>11.355443853538448</v>
      </c>
      <c r="W20" s="102">
        <v>14.058675072296591</v>
      </c>
      <c r="DA20" s="175" t="s">
        <v>204</v>
      </c>
    </row>
    <row r="21" spans="1:105" ht="11.45" customHeight="1" x14ac:dyDescent="0.25">
      <c r="A21" s="85" t="s">
        <v>174</v>
      </c>
      <c r="B21" s="86">
        <v>60.270788388730125</v>
      </c>
      <c r="C21" s="86">
        <v>58.353107819983641</v>
      </c>
      <c r="D21" s="86">
        <v>59.407542452949976</v>
      </c>
      <c r="E21" s="86">
        <v>62.65195670823104</v>
      </c>
      <c r="F21" s="86">
        <v>66.869695240096419</v>
      </c>
      <c r="G21" s="86">
        <v>72.097101866058267</v>
      </c>
      <c r="H21" s="86">
        <v>74.141910156596154</v>
      </c>
      <c r="I21" s="86">
        <v>79.113325162791924</v>
      </c>
      <c r="J21" s="86">
        <v>78.404932988050447</v>
      </c>
      <c r="K21" s="86">
        <v>58.857762429999958</v>
      </c>
      <c r="L21" s="86">
        <v>61.786579867356927</v>
      </c>
      <c r="M21" s="86">
        <v>73.2435533709032</v>
      </c>
      <c r="N21" s="86">
        <v>64.769020093532021</v>
      </c>
      <c r="O21" s="86">
        <v>60.586991562884322</v>
      </c>
      <c r="P21" s="86">
        <v>76.17281283004148</v>
      </c>
      <c r="Q21" s="86">
        <v>75.238257644638608</v>
      </c>
      <c r="R21" s="86">
        <v>64.574433739821643</v>
      </c>
      <c r="S21" s="86">
        <v>65.413450479005732</v>
      </c>
      <c r="T21" s="86">
        <v>65.172448138181807</v>
      </c>
      <c r="U21" s="86">
        <v>60.268219905302288</v>
      </c>
      <c r="V21" s="86">
        <v>70.687329852830516</v>
      </c>
      <c r="W21" s="86">
        <v>76.196707542390016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892320</v>
      </c>
      <c r="C23" s="54">
        <f t="shared" si="15"/>
        <v>899822</v>
      </c>
      <c r="D23" s="54">
        <f t="shared" ref="D23:V23" si="16">SUM(D24,D28)</f>
        <v>913817</v>
      </c>
      <c r="E23" s="54">
        <f t="shared" si="16"/>
        <v>897923</v>
      </c>
      <c r="F23" s="54">
        <f t="shared" si="16"/>
        <v>878720</v>
      </c>
      <c r="G23" s="54">
        <f t="shared" si="16"/>
        <v>882491</v>
      </c>
      <c r="H23" s="54">
        <f t="shared" si="16"/>
        <v>916628</v>
      </c>
      <c r="I23" s="54">
        <f t="shared" si="16"/>
        <v>936384</v>
      </c>
      <c r="J23" s="54">
        <f t="shared" si="16"/>
        <v>939852</v>
      </c>
      <c r="K23" s="54">
        <f t="shared" si="16"/>
        <v>863876</v>
      </c>
      <c r="L23" s="54">
        <f t="shared" si="16"/>
        <v>770530</v>
      </c>
      <c r="M23" s="54">
        <f t="shared" si="16"/>
        <v>807567</v>
      </c>
      <c r="N23" s="54">
        <f t="shared" si="16"/>
        <v>795246</v>
      </c>
      <c r="O23" s="54">
        <f t="shared" si="16"/>
        <v>778235</v>
      </c>
      <c r="P23" s="54">
        <f t="shared" si="16"/>
        <v>772104</v>
      </c>
      <c r="Q23" s="54">
        <f t="shared" si="16"/>
        <v>775709</v>
      </c>
      <c r="R23" s="54">
        <f t="shared" si="16"/>
        <v>782090</v>
      </c>
      <c r="S23" s="54">
        <f t="shared" si="16"/>
        <v>793674</v>
      </c>
      <c r="T23" s="54">
        <f t="shared" si="16"/>
        <v>796258</v>
      </c>
      <c r="U23" s="54">
        <f t="shared" si="16"/>
        <v>811057</v>
      </c>
      <c r="V23" s="54">
        <f t="shared" si="16"/>
        <v>342708</v>
      </c>
      <c r="W23" s="54">
        <f t="shared" ref="W23" si="17">SUM(W24,W28)</f>
        <v>428712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855823</v>
      </c>
      <c r="C24" s="11">
        <f t="shared" si="18"/>
        <v>859485</v>
      </c>
      <c r="D24" s="11">
        <f t="shared" ref="D24:V24" si="19">SUM(D25:D27)</f>
        <v>876822</v>
      </c>
      <c r="E24" s="11">
        <f t="shared" si="19"/>
        <v>863706</v>
      </c>
      <c r="F24" s="11">
        <f t="shared" si="19"/>
        <v>843135</v>
      </c>
      <c r="G24" s="11">
        <f t="shared" si="19"/>
        <v>846572</v>
      </c>
      <c r="H24" s="11">
        <f t="shared" si="19"/>
        <v>877948</v>
      </c>
      <c r="I24" s="11">
        <f t="shared" si="19"/>
        <v>895553</v>
      </c>
      <c r="J24" s="11">
        <f t="shared" si="19"/>
        <v>899834</v>
      </c>
      <c r="K24" s="11">
        <f t="shared" si="19"/>
        <v>827512</v>
      </c>
      <c r="L24" s="11">
        <f t="shared" si="19"/>
        <v>736560</v>
      </c>
      <c r="M24" s="11">
        <f t="shared" si="19"/>
        <v>769781</v>
      </c>
      <c r="N24" s="11">
        <f t="shared" si="19"/>
        <v>758855</v>
      </c>
      <c r="O24" s="11">
        <f t="shared" si="19"/>
        <v>742575</v>
      </c>
      <c r="P24" s="11">
        <f t="shared" si="19"/>
        <v>728723</v>
      </c>
      <c r="Q24" s="11">
        <f t="shared" si="19"/>
        <v>732677</v>
      </c>
      <c r="R24" s="11">
        <f t="shared" si="19"/>
        <v>744469</v>
      </c>
      <c r="S24" s="11">
        <f t="shared" si="19"/>
        <v>754406</v>
      </c>
      <c r="T24" s="11">
        <f t="shared" si="19"/>
        <v>759290</v>
      </c>
      <c r="U24" s="11">
        <f t="shared" si="19"/>
        <v>774584</v>
      </c>
      <c r="V24" s="11">
        <f t="shared" si="19"/>
        <v>306387</v>
      </c>
      <c r="W24" s="11">
        <f t="shared" ref="W24" si="20">SUM(W25:W27)</f>
        <v>387219</v>
      </c>
      <c r="DA24" s="189" t="s">
        <v>207</v>
      </c>
    </row>
    <row r="25" spans="1:105" ht="11.45" customHeight="1" x14ac:dyDescent="0.25">
      <c r="A25" s="83" t="s">
        <v>27</v>
      </c>
      <c r="B25" s="84">
        <v>396235</v>
      </c>
      <c r="C25" s="84">
        <v>404546</v>
      </c>
      <c r="D25" s="84">
        <v>419569</v>
      </c>
      <c r="E25" s="84">
        <v>406583</v>
      </c>
      <c r="F25" s="84">
        <v>376833</v>
      </c>
      <c r="G25" s="84">
        <v>375111</v>
      </c>
      <c r="H25" s="84">
        <v>382729</v>
      </c>
      <c r="I25" s="84">
        <v>376328</v>
      </c>
      <c r="J25" s="84">
        <v>376034</v>
      </c>
      <c r="K25" s="84">
        <v>349367</v>
      </c>
      <c r="L25" s="84">
        <v>305173</v>
      </c>
      <c r="M25" s="84">
        <v>318635</v>
      </c>
      <c r="N25" s="84">
        <v>317391</v>
      </c>
      <c r="O25" s="84">
        <v>312283</v>
      </c>
      <c r="P25" s="84">
        <v>293741</v>
      </c>
      <c r="Q25" s="84">
        <v>290275</v>
      </c>
      <c r="R25" s="84">
        <v>288571</v>
      </c>
      <c r="S25" s="84">
        <v>290237</v>
      </c>
      <c r="T25" s="84">
        <v>287815</v>
      </c>
      <c r="U25" s="84">
        <v>289491</v>
      </c>
      <c r="V25" s="84">
        <v>144201</v>
      </c>
      <c r="W25" s="84">
        <v>180218</v>
      </c>
      <c r="DA25" s="171" t="s">
        <v>208</v>
      </c>
    </row>
    <row r="26" spans="1:105" ht="11.45" customHeight="1" x14ac:dyDescent="0.25">
      <c r="A26" s="83" t="s">
        <v>173</v>
      </c>
      <c r="B26" s="84">
        <v>298908</v>
      </c>
      <c r="C26" s="84">
        <v>295885</v>
      </c>
      <c r="D26" s="84">
        <v>297390</v>
      </c>
      <c r="E26" s="84">
        <v>298771</v>
      </c>
      <c r="F26" s="84">
        <v>302546</v>
      </c>
      <c r="G26" s="84">
        <v>301264</v>
      </c>
      <c r="H26" s="84">
        <v>319754</v>
      </c>
      <c r="I26" s="84">
        <v>333997</v>
      </c>
      <c r="J26" s="84">
        <v>336258</v>
      </c>
      <c r="K26" s="84">
        <v>303577</v>
      </c>
      <c r="L26" s="84">
        <v>270155</v>
      </c>
      <c r="M26" s="84">
        <v>288232</v>
      </c>
      <c r="N26" s="84">
        <v>284602</v>
      </c>
      <c r="O26" s="84">
        <v>271650</v>
      </c>
      <c r="P26" s="84">
        <v>272665</v>
      </c>
      <c r="Q26" s="84">
        <v>279632</v>
      </c>
      <c r="R26" s="84">
        <v>291902</v>
      </c>
      <c r="S26" s="84">
        <v>295997</v>
      </c>
      <c r="T26" s="84">
        <v>299063</v>
      </c>
      <c r="U26" s="84">
        <v>306416</v>
      </c>
      <c r="V26" s="84">
        <v>103414</v>
      </c>
      <c r="W26" s="84">
        <v>133397</v>
      </c>
      <c r="DA26" s="171" t="s">
        <v>209</v>
      </c>
    </row>
    <row r="27" spans="1:105" ht="11.45" customHeight="1" x14ac:dyDescent="0.25">
      <c r="A27" s="83" t="s">
        <v>174</v>
      </c>
      <c r="B27" s="84">
        <v>160680</v>
      </c>
      <c r="C27" s="84">
        <v>159054</v>
      </c>
      <c r="D27" s="84">
        <v>159863</v>
      </c>
      <c r="E27" s="84">
        <v>158352</v>
      </c>
      <c r="F27" s="84">
        <v>163756</v>
      </c>
      <c r="G27" s="84">
        <v>170197</v>
      </c>
      <c r="H27" s="84">
        <v>175465</v>
      </c>
      <c r="I27" s="84">
        <v>185228</v>
      </c>
      <c r="J27" s="84">
        <v>187542</v>
      </c>
      <c r="K27" s="84">
        <v>174568</v>
      </c>
      <c r="L27" s="84">
        <v>161232</v>
      </c>
      <c r="M27" s="84">
        <v>162914</v>
      </c>
      <c r="N27" s="84">
        <v>156862</v>
      </c>
      <c r="O27" s="84">
        <v>158642</v>
      </c>
      <c r="P27" s="84">
        <v>162317</v>
      </c>
      <c r="Q27" s="84">
        <v>162770</v>
      </c>
      <c r="R27" s="84">
        <v>163996</v>
      </c>
      <c r="S27" s="84">
        <v>168172</v>
      </c>
      <c r="T27" s="84">
        <v>172412</v>
      </c>
      <c r="U27" s="84">
        <v>178677</v>
      </c>
      <c r="V27" s="84">
        <v>58772</v>
      </c>
      <c r="W27" s="84">
        <v>73604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36497</v>
      </c>
      <c r="C28" s="13">
        <f t="shared" si="21"/>
        <v>40337</v>
      </c>
      <c r="D28" s="13">
        <f t="shared" ref="D28:V28" si="22">SUM(D29:D31)</f>
        <v>36995</v>
      </c>
      <c r="E28" s="13">
        <f t="shared" si="22"/>
        <v>34217</v>
      </c>
      <c r="F28" s="13">
        <f t="shared" si="22"/>
        <v>35585</v>
      </c>
      <c r="G28" s="13">
        <f t="shared" si="22"/>
        <v>35919</v>
      </c>
      <c r="H28" s="13">
        <f t="shared" si="22"/>
        <v>38680</v>
      </c>
      <c r="I28" s="13">
        <f t="shared" si="22"/>
        <v>40831</v>
      </c>
      <c r="J28" s="13">
        <f t="shared" si="22"/>
        <v>40018</v>
      </c>
      <c r="K28" s="13">
        <f t="shared" si="22"/>
        <v>36364</v>
      </c>
      <c r="L28" s="13">
        <f t="shared" si="22"/>
        <v>33970</v>
      </c>
      <c r="M28" s="13">
        <f t="shared" si="22"/>
        <v>37786</v>
      </c>
      <c r="N28" s="13">
        <f t="shared" si="22"/>
        <v>36391</v>
      </c>
      <c r="O28" s="13">
        <f t="shared" si="22"/>
        <v>35660</v>
      </c>
      <c r="P28" s="13">
        <f t="shared" si="22"/>
        <v>43381</v>
      </c>
      <c r="Q28" s="13">
        <f t="shared" si="22"/>
        <v>43032</v>
      </c>
      <c r="R28" s="13">
        <f t="shared" si="22"/>
        <v>37621</v>
      </c>
      <c r="S28" s="13">
        <f t="shared" si="22"/>
        <v>39268</v>
      </c>
      <c r="T28" s="13">
        <f t="shared" si="22"/>
        <v>36968</v>
      </c>
      <c r="U28" s="13">
        <f t="shared" si="22"/>
        <v>36473</v>
      </c>
      <c r="V28" s="13">
        <f t="shared" si="22"/>
        <v>36321</v>
      </c>
      <c r="W28" s="13">
        <f t="shared" ref="W28" si="23">SUM(W29:W31)</f>
        <v>41493</v>
      </c>
      <c r="DA28" s="193" t="s">
        <v>211</v>
      </c>
    </row>
    <row r="29" spans="1:105" ht="11.45" customHeight="1" x14ac:dyDescent="0.25">
      <c r="A29" s="92" t="s">
        <v>27</v>
      </c>
      <c r="B29" s="102">
        <v>19482</v>
      </c>
      <c r="C29" s="102">
        <v>22706</v>
      </c>
      <c r="D29" s="102">
        <v>19932</v>
      </c>
      <c r="E29" s="102">
        <v>16793</v>
      </c>
      <c r="F29" s="102">
        <v>16877</v>
      </c>
      <c r="G29" s="102">
        <v>16724</v>
      </c>
      <c r="H29" s="102">
        <v>16926</v>
      </c>
      <c r="I29" s="102">
        <v>16340</v>
      </c>
      <c r="J29" s="102">
        <v>15514</v>
      </c>
      <c r="K29" s="102">
        <v>16365</v>
      </c>
      <c r="L29" s="102">
        <v>13219</v>
      </c>
      <c r="M29" s="102">
        <v>13516</v>
      </c>
      <c r="N29" s="102">
        <v>13850</v>
      </c>
      <c r="O29" s="102">
        <v>13041</v>
      </c>
      <c r="P29" s="102">
        <v>15360</v>
      </c>
      <c r="Q29" s="102">
        <v>14935</v>
      </c>
      <c r="R29" s="102">
        <v>12868</v>
      </c>
      <c r="S29" s="102">
        <v>13323</v>
      </c>
      <c r="T29" s="102">
        <v>12822</v>
      </c>
      <c r="U29" s="102">
        <v>12621</v>
      </c>
      <c r="V29" s="102">
        <v>10348</v>
      </c>
      <c r="W29" s="102">
        <v>11622</v>
      </c>
      <c r="DA29" s="175" t="s">
        <v>212</v>
      </c>
    </row>
    <row r="30" spans="1:105" ht="11.45" customHeight="1" x14ac:dyDescent="0.25">
      <c r="A30" s="92" t="s">
        <v>173</v>
      </c>
      <c r="B30" s="102">
        <v>6612</v>
      </c>
      <c r="C30" s="102">
        <v>7559</v>
      </c>
      <c r="D30" s="102">
        <v>6809</v>
      </c>
      <c r="E30" s="102">
        <v>6610</v>
      </c>
      <c r="F30" s="102">
        <v>7166</v>
      </c>
      <c r="G30" s="102">
        <v>6821</v>
      </c>
      <c r="H30" s="102">
        <v>8906</v>
      </c>
      <c r="I30" s="102">
        <v>10619</v>
      </c>
      <c r="J30" s="102">
        <v>10471</v>
      </c>
      <c r="K30" s="102">
        <v>9285</v>
      </c>
      <c r="L30" s="102">
        <v>9268</v>
      </c>
      <c r="M30" s="102">
        <v>11407</v>
      </c>
      <c r="N30" s="102">
        <v>11016</v>
      </c>
      <c r="O30" s="102">
        <v>11652</v>
      </c>
      <c r="P30" s="102">
        <v>14319</v>
      </c>
      <c r="Q30" s="102">
        <v>14251</v>
      </c>
      <c r="R30" s="102">
        <v>12611</v>
      </c>
      <c r="S30" s="102">
        <v>13373</v>
      </c>
      <c r="T30" s="102">
        <v>11597</v>
      </c>
      <c r="U30" s="102">
        <v>11916</v>
      </c>
      <c r="V30" s="102">
        <v>12751</v>
      </c>
      <c r="W30" s="102">
        <v>15343</v>
      </c>
      <c r="DA30" s="175" t="s">
        <v>213</v>
      </c>
    </row>
    <row r="31" spans="1:105" ht="11.45" customHeight="1" x14ac:dyDescent="0.25">
      <c r="A31" s="85" t="s">
        <v>174</v>
      </c>
      <c r="B31" s="86">
        <v>10403</v>
      </c>
      <c r="C31" s="86">
        <v>10072</v>
      </c>
      <c r="D31" s="86">
        <v>10254</v>
      </c>
      <c r="E31" s="86">
        <v>10814</v>
      </c>
      <c r="F31" s="86">
        <v>11542</v>
      </c>
      <c r="G31" s="86">
        <v>12374</v>
      </c>
      <c r="H31" s="86">
        <v>12848</v>
      </c>
      <c r="I31" s="86">
        <v>13872</v>
      </c>
      <c r="J31" s="86">
        <v>14033</v>
      </c>
      <c r="K31" s="86">
        <v>10714</v>
      </c>
      <c r="L31" s="86">
        <v>11483</v>
      </c>
      <c r="M31" s="86">
        <v>12863</v>
      </c>
      <c r="N31" s="86">
        <v>11525</v>
      </c>
      <c r="O31" s="86">
        <v>10967</v>
      </c>
      <c r="P31" s="86">
        <v>13702</v>
      </c>
      <c r="Q31" s="86">
        <v>13846</v>
      </c>
      <c r="R31" s="86">
        <v>12142</v>
      </c>
      <c r="S31" s="86">
        <v>12572</v>
      </c>
      <c r="T31" s="86">
        <v>12549</v>
      </c>
      <c r="U31" s="86">
        <v>11936</v>
      </c>
      <c r="V31" s="86">
        <v>13222</v>
      </c>
      <c r="W31" s="86">
        <v>14528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58792001</v>
      </c>
      <c r="C34" s="11">
        <f t="shared" si="24"/>
        <v>59975273</v>
      </c>
      <c r="D34" s="11">
        <f t="shared" ref="D34:V34" si="25">SUM(D35:D37)</f>
        <v>62142631</v>
      </c>
      <c r="E34" s="11">
        <f t="shared" si="25"/>
        <v>61498526</v>
      </c>
      <c r="F34" s="11">
        <f t="shared" si="25"/>
        <v>64383525</v>
      </c>
      <c r="G34" s="11">
        <f t="shared" si="25"/>
        <v>67217470</v>
      </c>
      <c r="H34" s="11">
        <f t="shared" si="25"/>
        <v>70110354</v>
      </c>
      <c r="I34" s="11">
        <f t="shared" si="25"/>
        <v>73518196</v>
      </c>
      <c r="J34" s="11">
        <f t="shared" si="25"/>
        <v>74592960</v>
      </c>
      <c r="K34" s="11">
        <f t="shared" si="25"/>
        <v>71622497</v>
      </c>
      <c r="L34" s="11">
        <f t="shared" si="25"/>
        <v>72853515</v>
      </c>
      <c r="M34" s="11">
        <f t="shared" si="25"/>
        <v>77199413</v>
      </c>
      <c r="N34" s="11">
        <f t="shared" si="25"/>
        <v>79387716</v>
      </c>
      <c r="O34" s="11">
        <f t="shared" si="25"/>
        <v>80958805</v>
      </c>
      <c r="P34" s="11">
        <f t="shared" si="25"/>
        <v>82476782</v>
      </c>
      <c r="Q34" s="11">
        <f t="shared" si="25"/>
        <v>84825164</v>
      </c>
      <c r="R34" s="11">
        <f t="shared" si="25"/>
        <v>87293421</v>
      </c>
      <c r="S34" s="11">
        <f t="shared" si="25"/>
        <v>92317501</v>
      </c>
      <c r="T34" s="11">
        <f t="shared" si="25"/>
        <v>96575669</v>
      </c>
      <c r="U34" s="11">
        <f t="shared" si="25"/>
        <v>100284207</v>
      </c>
      <c r="V34" s="11">
        <f t="shared" si="25"/>
        <v>32362690</v>
      </c>
      <c r="W34" s="11">
        <f t="shared" ref="W34" si="26">SUM(W35:W37)</f>
        <v>42280863</v>
      </c>
      <c r="DA34" s="189" t="s">
        <v>215</v>
      </c>
    </row>
    <row r="35" spans="1:105" ht="11.45" customHeight="1" x14ac:dyDescent="0.25">
      <c r="A35" s="83" t="s">
        <v>27</v>
      </c>
      <c r="B35" s="84">
        <v>25644524</v>
      </c>
      <c r="C35" s="84">
        <v>26540395</v>
      </c>
      <c r="D35" s="84">
        <v>27899294</v>
      </c>
      <c r="E35" s="84">
        <v>26717273</v>
      </c>
      <c r="F35" s="84">
        <v>26397440</v>
      </c>
      <c r="G35" s="84">
        <v>26606911</v>
      </c>
      <c r="H35" s="84">
        <v>26987442</v>
      </c>
      <c r="I35" s="84">
        <v>27164929</v>
      </c>
      <c r="J35" s="84">
        <v>26764353</v>
      </c>
      <c r="K35" s="84">
        <v>25940804</v>
      </c>
      <c r="L35" s="84">
        <v>26268710</v>
      </c>
      <c r="M35" s="84">
        <v>27738977</v>
      </c>
      <c r="N35" s="84">
        <v>28239587</v>
      </c>
      <c r="O35" s="84">
        <v>28736405</v>
      </c>
      <c r="P35" s="84">
        <v>28071823</v>
      </c>
      <c r="Q35" s="84">
        <v>28303711</v>
      </c>
      <c r="R35" s="84">
        <v>29065709</v>
      </c>
      <c r="S35" s="84">
        <v>30128981</v>
      </c>
      <c r="T35" s="84">
        <v>31010245</v>
      </c>
      <c r="U35" s="84">
        <v>31670491</v>
      </c>
      <c r="V35" s="84">
        <v>14297265</v>
      </c>
      <c r="W35" s="84">
        <v>18813676</v>
      </c>
      <c r="DA35" s="171" t="s">
        <v>216</v>
      </c>
    </row>
    <row r="36" spans="1:105" ht="11.45" customHeight="1" x14ac:dyDescent="0.25">
      <c r="A36" s="83" t="s">
        <v>173</v>
      </c>
      <c r="B36" s="84">
        <v>18335307</v>
      </c>
      <c r="C36" s="84">
        <v>18506768</v>
      </c>
      <c r="D36" s="84">
        <v>18976520</v>
      </c>
      <c r="E36" s="84">
        <v>19681286</v>
      </c>
      <c r="F36" s="84">
        <v>21135765</v>
      </c>
      <c r="G36" s="84">
        <v>22317192</v>
      </c>
      <c r="H36" s="84">
        <v>24114690</v>
      </c>
      <c r="I36" s="84">
        <v>26166406</v>
      </c>
      <c r="J36" s="84">
        <v>26728336</v>
      </c>
      <c r="K36" s="84">
        <v>25001666</v>
      </c>
      <c r="L36" s="84">
        <v>24908829</v>
      </c>
      <c r="M36" s="84">
        <v>27443067</v>
      </c>
      <c r="N36" s="84">
        <v>28390399</v>
      </c>
      <c r="O36" s="84">
        <v>28652563</v>
      </c>
      <c r="P36" s="84">
        <v>30100972</v>
      </c>
      <c r="Q36" s="84">
        <v>31743664</v>
      </c>
      <c r="R36" s="84">
        <v>33437948</v>
      </c>
      <c r="S36" s="84">
        <v>35591127</v>
      </c>
      <c r="T36" s="84">
        <v>37305885</v>
      </c>
      <c r="U36" s="84">
        <v>38899979</v>
      </c>
      <c r="V36" s="84">
        <v>10213474</v>
      </c>
      <c r="W36" s="84">
        <v>14042651</v>
      </c>
      <c r="DA36" s="171" t="s">
        <v>217</v>
      </c>
    </row>
    <row r="37" spans="1:105" ht="11.45" customHeight="1" x14ac:dyDescent="0.25">
      <c r="A37" s="83" t="s">
        <v>174</v>
      </c>
      <c r="B37" s="84">
        <v>14812170</v>
      </c>
      <c r="C37" s="84">
        <v>14928110</v>
      </c>
      <c r="D37" s="84">
        <v>15266817</v>
      </c>
      <c r="E37" s="84">
        <v>15099967</v>
      </c>
      <c r="F37" s="84">
        <v>16850320</v>
      </c>
      <c r="G37" s="84">
        <v>18293367</v>
      </c>
      <c r="H37" s="84">
        <v>19008222</v>
      </c>
      <c r="I37" s="84">
        <v>20186861</v>
      </c>
      <c r="J37" s="84">
        <v>21100271</v>
      </c>
      <c r="K37" s="84">
        <v>20680027</v>
      </c>
      <c r="L37" s="84">
        <v>21675976</v>
      </c>
      <c r="M37" s="84">
        <v>22017369</v>
      </c>
      <c r="N37" s="84">
        <v>22757730</v>
      </c>
      <c r="O37" s="84">
        <v>23569837</v>
      </c>
      <c r="P37" s="84">
        <v>24303987</v>
      </c>
      <c r="Q37" s="84">
        <v>24777789</v>
      </c>
      <c r="R37" s="84">
        <v>24789764</v>
      </c>
      <c r="S37" s="84">
        <v>26597393</v>
      </c>
      <c r="T37" s="84">
        <v>28259539</v>
      </c>
      <c r="U37" s="84">
        <v>29713737</v>
      </c>
      <c r="V37" s="84">
        <v>7851951</v>
      </c>
      <c r="W37" s="84">
        <v>9424536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843867.45155211771</v>
      </c>
      <c r="C38" s="13">
        <f t="shared" si="27"/>
        <v>890960.57415838027</v>
      </c>
      <c r="D38" s="13">
        <f t="shared" ref="D38:V38" si="28">SUM(D39:D41)</f>
        <v>857148.34374576865</v>
      </c>
      <c r="E38" s="13">
        <f t="shared" si="28"/>
        <v>823054.89432495087</v>
      </c>
      <c r="F38" s="13">
        <f t="shared" si="28"/>
        <v>842476.14031113032</v>
      </c>
      <c r="G38" s="13">
        <f t="shared" si="28"/>
        <v>818358.93635147647</v>
      </c>
      <c r="H38" s="13">
        <f t="shared" si="28"/>
        <v>868057.12271328911</v>
      </c>
      <c r="I38" s="13">
        <f t="shared" si="28"/>
        <v>929908.07384329557</v>
      </c>
      <c r="J38" s="13">
        <f t="shared" si="28"/>
        <v>916676.69223271043</v>
      </c>
      <c r="K38" s="13">
        <f t="shared" si="28"/>
        <v>813729.11007073103</v>
      </c>
      <c r="L38" s="13">
        <f t="shared" si="28"/>
        <v>868693.01848510001</v>
      </c>
      <c r="M38" s="13">
        <f t="shared" si="28"/>
        <v>1032260.6965565396</v>
      </c>
      <c r="N38" s="13">
        <f t="shared" si="28"/>
        <v>1013402.0207954787</v>
      </c>
      <c r="O38" s="13">
        <f t="shared" si="28"/>
        <v>993210.64579452923</v>
      </c>
      <c r="P38" s="13">
        <f t="shared" si="28"/>
        <v>1364323.143179704</v>
      </c>
      <c r="Q38" s="13">
        <f t="shared" si="28"/>
        <v>1369723.9436523952</v>
      </c>
      <c r="R38" s="13">
        <f t="shared" si="28"/>
        <v>1342349.7845689363</v>
      </c>
      <c r="S38" s="13">
        <f t="shared" si="28"/>
        <v>1359020.6587596461</v>
      </c>
      <c r="T38" s="13">
        <f t="shared" si="28"/>
        <v>1321213.4842165615</v>
      </c>
      <c r="U38" s="13">
        <f t="shared" si="28"/>
        <v>1325919.8011123391</v>
      </c>
      <c r="V38" s="13">
        <f t="shared" si="28"/>
        <v>1038274.7168167173</v>
      </c>
      <c r="W38" s="13">
        <f t="shared" ref="W38" si="29">SUM(W39:W41)</f>
        <v>1215824.3871277964</v>
      </c>
      <c r="DA38" s="193" t="s">
        <v>219</v>
      </c>
    </row>
    <row r="39" spans="1:105" ht="11.45" customHeight="1" x14ac:dyDescent="0.25">
      <c r="A39" s="92" t="s">
        <v>27</v>
      </c>
      <c r="B39" s="102">
        <v>195273.16530626535</v>
      </c>
      <c r="C39" s="102">
        <v>225852.87758566593</v>
      </c>
      <c r="D39" s="102">
        <v>203876.8788714507</v>
      </c>
      <c r="E39" s="102">
        <v>182708.77924467868</v>
      </c>
      <c r="F39" s="102">
        <v>172909.81452877607</v>
      </c>
      <c r="G39" s="102">
        <v>167680.94919255606</v>
      </c>
      <c r="H39" s="102">
        <v>163239.38654036837</v>
      </c>
      <c r="I39" s="102">
        <v>157002.71682774709</v>
      </c>
      <c r="J39" s="102">
        <v>143415.34351742742</v>
      </c>
      <c r="K39" s="102">
        <v>152589.09130929329</v>
      </c>
      <c r="L39" s="102">
        <v>131828.97796239128</v>
      </c>
      <c r="M39" s="102">
        <v>147262.40985197449</v>
      </c>
      <c r="N39" s="102">
        <v>154999.63475445428</v>
      </c>
      <c r="O39" s="102">
        <v>149612.8771583343</v>
      </c>
      <c r="P39" s="102">
        <v>197637.40712773759</v>
      </c>
      <c r="Q39" s="102">
        <v>197742.99940799922</v>
      </c>
      <c r="R39" s="102">
        <v>196382.75576009616</v>
      </c>
      <c r="S39" s="102">
        <v>187018.95273892255</v>
      </c>
      <c r="T39" s="102">
        <v>183198.50201121162</v>
      </c>
      <c r="U39" s="102">
        <v>199453.70286415934</v>
      </c>
      <c r="V39" s="102">
        <v>150723.58888751102</v>
      </c>
      <c r="W39" s="102">
        <v>171237.17294137788</v>
      </c>
      <c r="DA39" s="175" t="s">
        <v>220</v>
      </c>
    </row>
    <row r="40" spans="1:105" ht="11.45" customHeight="1" x14ac:dyDescent="0.25">
      <c r="A40" s="92" t="s">
        <v>173</v>
      </c>
      <c r="B40" s="102">
        <v>106295.01092435115</v>
      </c>
      <c r="C40" s="102">
        <v>122843.12278957528</v>
      </c>
      <c r="D40" s="102">
        <v>110958.74661676631</v>
      </c>
      <c r="E40" s="102">
        <v>113477.20983800662</v>
      </c>
      <c r="F40" s="102">
        <v>114864.4121508121</v>
      </c>
      <c r="G40" s="102">
        <v>103549.75088533062</v>
      </c>
      <c r="H40" s="102">
        <v>124552.8461731092</v>
      </c>
      <c r="I40" s="102">
        <v>146071.08950962016</v>
      </c>
      <c r="J40" s="102">
        <v>142998.51984298023</v>
      </c>
      <c r="K40" s="102">
        <v>126524.46934016263</v>
      </c>
      <c r="L40" s="102">
        <v>133651.8526237917</v>
      </c>
      <c r="M40" s="102">
        <v>176691.04824899018</v>
      </c>
      <c r="N40" s="102">
        <v>181343.43242877893</v>
      </c>
      <c r="O40" s="102">
        <v>192747.88707240962</v>
      </c>
      <c r="P40" s="102">
        <v>260573.6253505105</v>
      </c>
      <c r="Q40" s="102">
        <v>259022.83788878514</v>
      </c>
      <c r="R40" s="102">
        <v>259452.55911933878</v>
      </c>
      <c r="S40" s="102">
        <v>255800.00210586592</v>
      </c>
      <c r="T40" s="102">
        <v>220470.85045458481</v>
      </c>
      <c r="U40" s="102">
        <v>232274.30843946183</v>
      </c>
      <c r="V40" s="102">
        <v>223386.86544474037</v>
      </c>
      <c r="W40" s="102">
        <v>270808.99420132104</v>
      </c>
      <c r="DA40" s="175" t="s">
        <v>221</v>
      </c>
    </row>
    <row r="41" spans="1:105" ht="11.45" customHeight="1" x14ac:dyDescent="0.25">
      <c r="A41" s="85" t="s">
        <v>174</v>
      </c>
      <c r="B41" s="86">
        <v>542299.27532150119</v>
      </c>
      <c r="C41" s="86">
        <v>542264.57378313912</v>
      </c>
      <c r="D41" s="86">
        <v>542312.71825755166</v>
      </c>
      <c r="E41" s="86">
        <v>526868.90524226555</v>
      </c>
      <c r="F41" s="86">
        <v>554701.91363154212</v>
      </c>
      <c r="G41" s="86">
        <v>547128.23627358978</v>
      </c>
      <c r="H41" s="86">
        <v>580264.88999981154</v>
      </c>
      <c r="I41" s="86">
        <v>626834.26750592829</v>
      </c>
      <c r="J41" s="86">
        <v>630262.82887230278</v>
      </c>
      <c r="K41" s="86">
        <v>534615.54942127503</v>
      </c>
      <c r="L41" s="86">
        <v>603212.18789891701</v>
      </c>
      <c r="M41" s="86">
        <v>708307.23845557496</v>
      </c>
      <c r="N41" s="86">
        <v>677058.9536122455</v>
      </c>
      <c r="O41" s="86">
        <v>650849.88156378537</v>
      </c>
      <c r="P41" s="86">
        <v>906112.11070145573</v>
      </c>
      <c r="Q41" s="86">
        <v>912958.10635561089</v>
      </c>
      <c r="R41" s="86">
        <v>886514.46968950145</v>
      </c>
      <c r="S41" s="86">
        <v>916201.70391485759</v>
      </c>
      <c r="T41" s="86">
        <v>917544.13175076502</v>
      </c>
      <c r="U41" s="86">
        <v>894191.78980871791</v>
      </c>
      <c r="V41" s="86">
        <v>664164.26248446584</v>
      </c>
      <c r="W41" s="86">
        <v>773778.21998509753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844.02947459124709</v>
      </c>
      <c r="C43" s="54">
        <f t="shared" si="30"/>
        <v>845.59315411327179</v>
      </c>
      <c r="D43" s="54">
        <f t="shared" ref="D43:V43" si="31">SUM(D44,D48)</f>
        <v>855.17467305767684</v>
      </c>
      <c r="E43" s="54">
        <f t="shared" si="31"/>
        <v>845.19145659201286</v>
      </c>
      <c r="F43" s="54">
        <f t="shared" si="31"/>
        <v>844.49356295653536</v>
      </c>
      <c r="G43" s="54">
        <f t="shared" si="31"/>
        <v>861.56151101225475</v>
      </c>
      <c r="H43" s="54">
        <f t="shared" si="31"/>
        <v>892.58848111878274</v>
      </c>
      <c r="I43" s="54">
        <f t="shared" si="31"/>
        <v>926.52445319520973</v>
      </c>
      <c r="J43" s="54">
        <f t="shared" si="31"/>
        <v>925.11670205747521</v>
      </c>
      <c r="K43" s="54">
        <f t="shared" si="31"/>
        <v>859.0618746945737</v>
      </c>
      <c r="L43" s="54">
        <f t="shared" si="31"/>
        <v>776.83828318366329</v>
      </c>
      <c r="M43" s="54">
        <f t="shared" si="31"/>
        <v>815.00960199357178</v>
      </c>
      <c r="N43" s="54">
        <f t="shared" si="31"/>
        <v>779.05746728567635</v>
      </c>
      <c r="O43" s="54">
        <f t="shared" si="31"/>
        <v>768.60000507093798</v>
      </c>
      <c r="P43" s="54">
        <f t="shared" si="31"/>
        <v>792.06541798134128</v>
      </c>
      <c r="Q43" s="54">
        <f t="shared" si="31"/>
        <v>793.63051944747713</v>
      </c>
      <c r="R43" s="54">
        <f t="shared" si="31"/>
        <v>797.72751733649147</v>
      </c>
      <c r="S43" s="54">
        <f t="shared" si="31"/>
        <v>809.92565218785057</v>
      </c>
      <c r="T43" s="54">
        <f t="shared" si="31"/>
        <v>829.40585376149863</v>
      </c>
      <c r="U43" s="54">
        <f t="shared" si="31"/>
        <v>849.65266001083796</v>
      </c>
      <c r="V43" s="54">
        <f t="shared" si="31"/>
        <v>802.09003869431297</v>
      </c>
      <c r="W43" s="54">
        <f t="shared" ref="W43" si="32">SUM(W44,W48)</f>
        <v>756.16529490347466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788.07962593905302</v>
      </c>
      <c r="C44" s="11">
        <f t="shared" si="33"/>
        <v>787.03154948760266</v>
      </c>
      <c r="D44" s="11">
        <f t="shared" ref="D44:V44" si="34">SUM(D45:D47)</f>
        <v>798.32257210895</v>
      </c>
      <c r="E44" s="11">
        <f t="shared" si="34"/>
        <v>788.53324664986155</v>
      </c>
      <c r="F44" s="11">
        <f t="shared" si="34"/>
        <v>786.68812577993071</v>
      </c>
      <c r="G44" s="11">
        <f t="shared" si="34"/>
        <v>801.48754527331016</v>
      </c>
      <c r="H44" s="11">
        <f t="shared" si="34"/>
        <v>829.73822817154019</v>
      </c>
      <c r="I44" s="11">
        <f t="shared" si="34"/>
        <v>860.08993166046162</v>
      </c>
      <c r="J44" s="11">
        <f t="shared" si="34"/>
        <v>860.1506725129916</v>
      </c>
      <c r="K44" s="11">
        <f t="shared" si="34"/>
        <v>797.49212548867877</v>
      </c>
      <c r="L44" s="11">
        <f t="shared" si="34"/>
        <v>720.63358593354724</v>
      </c>
      <c r="M44" s="11">
        <f t="shared" si="34"/>
        <v>754.06164907251537</v>
      </c>
      <c r="N44" s="11">
        <f t="shared" si="34"/>
        <v>721.55680734132352</v>
      </c>
      <c r="O44" s="11">
        <f t="shared" si="34"/>
        <v>714.47805537887541</v>
      </c>
      <c r="P44" s="11">
        <f t="shared" si="34"/>
        <v>725.25417272592381</v>
      </c>
      <c r="Q44" s="11">
        <f t="shared" si="34"/>
        <v>727.61186028267377</v>
      </c>
      <c r="R44" s="11">
        <f t="shared" si="34"/>
        <v>737.13967558287209</v>
      </c>
      <c r="S44" s="11">
        <f t="shared" si="34"/>
        <v>750.95969015714718</v>
      </c>
      <c r="T44" s="11">
        <f t="shared" si="34"/>
        <v>771.48593758735103</v>
      </c>
      <c r="U44" s="11">
        <f t="shared" si="34"/>
        <v>795.03084436081849</v>
      </c>
      <c r="V44" s="11">
        <f t="shared" si="34"/>
        <v>742.49220263154825</v>
      </c>
      <c r="W44" s="11">
        <f t="shared" ref="W44" si="35">SUM(W45:W47)</f>
        <v>689.95356090227801</v>
      </c>
      <c r="DA44" s="189" t="s">
        <v>224</v>
      </c>
    </row>
    <row r="45" spans="1:105" ht="11.45" customHeight="1" x14ac:dyDescent="0.25">
      <c r="A45" s="83" t="s">
        <v>27</v>
      </c>
      <c r="B45" s="84">
        <v>222.7290612703766</v>
      </c>
      <c r="C45" s="84">
        <v>227.40078695896571</v>
      </c>
      <c r="D45" s="84">
        <v>235.84541877459247</v>
      </c>
      <c r="E45" s="84">
        <v>228.54581225407532</v>
      </c>
      <c r="F45" s="84">
        <v>211.822934232715</v>
      </c>
      <c r="G45" s="84">
        <v>210.02855543113102</v>
      </c>
      <c r="H45" s="84">
        <v>214.41400560224091</v>
      </c>
      <c r="I45" s="84">
        <v>213.70130607609312</v>
      </c>
      <c r="J45" s="84">
        <v>213.41316685584562</v>
      </c>
      <c r="K45" s="84">
        <v>203.8313885647608</v>
      </c>
      <c r="L45" s="84">
        <v>181.55848243772314</v>
      </c>
      <c r="M45" s="84">
        <v>188.54142011834318</v>
      </c>
      <c r="N45" s="84">
        <v>186.81047675103002</v>
      </c>
      <c r="O45" s="84">
        <v>185.33115727002968</v>
      </c>
      <c r="P45" s="84">
        <v>176.95240963855423</v>
      </c>
      <c r="Q45" s="84">
        <v>175.4987908101572</v>
      </c>
      <c r="R45" s="84">
        <v>176.06528370957901</v>
      </c>
      <c r="S45" s="84">
        <v>179.71331269349847</v>
      </c>
      <c r="T45" s="84">
        <v>181.58675078864354</v>
      </c>
      <c r="U45" s="84">
        <v>183.80380952380952</v>
      </c>
      <c r="V45" s="84">
        <v>168.95520543911775</v>
      </c>
      <c r="W45" s="84">
        <v>154.10660135442598</v>
      </c>
      <c r="DA45" s="171" t="s">
        <v>225</v>
      </c>
    </row>
    <row r="46" spans="1:105" ht="11.45" customHeight="1" x14ac:dyDescent="0.25">
      <c r="A46" s="83" t="s">
        <v>173</v>
      </c>
      <c r="B46" s="84">
        <v>209.07562010104897</v>
      </c>
      <c r="C46" s="84">
        <v>206.96113946876994</v>
      </c>
      <c r="D46" s="84">
        <v>208.01373870021118</v>
      </c>
      <c r="E46" s="84">
        <v>208.87435235587489</v>
      </c>
      <c r="F46" s="84">
        <v>211.76984786650618</v>
      </c>
      <c r="G46" s="84">
        <v>211.55497198503633</v>
      </c>
      <c r="H46" s="84">
        <v>224.53357668956664</v>
      </c>
      <c r="I46" s="84">
        <v>235.68352580609803</v>
      </c>
      <c r="J46" s="84">
        <v>238.14927036302839</v>
      </c>
      <c r="K46" s="84">
        <v>217.43659899288343</v>
      </c>
      <c r="L46" s="84">
        <v>196.75663215824446</v>
      </c>
      <c r="M46" s="84">
        <v>205.09102541434916</v>
      </c>
      <c r="N46" s="84">
        <v>202.41158482758161</v>
      </c>
      <c r="O46" s="84">
        <v>193.75154927163641</v>
      </c>
      <c r="P46" s="84">
        <v>196.20414920450628</v>
      </c>
      <c r="Q46" s="84">
        <v>202.07005871982838</v>
      </c>
      <c r="R46" s="84">
        <v>211.40275008224833</v>
      </c>
      <c r="S46" s="84">
        <v>214.94976729415708</v>
      </c>
      <c r="T46" s="84">
        <v>218.32160059181092</v>
      </c>
      <c r="U46" s="84">
        <v>224.48028159025569</v>
      </c>
      <c r="V46" s="84">
        <v>210.54190691685241</v>
      </c>
      <c r="W46" s="84">
        <v>196.60353224344917</v>
      </c>
      <c r="DA46" s="171" t="s">
        <v>226</v>
      </c>
    </row>
    <row r="47" spans="1:105" ht="11.45" customHeight="1" x14ac:dyDescent="0.25">
      <c r="A47" s="83" t="s">
        <v>174</v>
      </c>
      <c r="B47" s="84">
        <v>356.27494456762747</v>
      </c>
      <c r="C47" s="84">
        <v>352.66962305986698</v>
      </c>
      <c r="D47" s="84">
        <v>354.46341463414632</v>
      </c>
      <c r="E47" s="84">
        <v>351.11308203991132</v>
      </c>
      <c r="F47" s="84">
        <v>363.09534368070956</v>
      </c>
      <c r="G47" s="84">
        <v>379.90401785714283</v>
      </c>
      <c r="H47" s="84">
        <v>390.79064587973272</v>
      </c>
      <c r="I47" s="84">
        <v>410.70509977827049</v>
      </c>
      <c r="J47" s="84">
        <v>408.58823529411762</v>
      </c>
      <c r="K47" s="84">
        <v>376.22413793103448</v>
      </c>
      <c r="L47" s="84">
        <v>342.31847133757964</v>
      </c>
      <c r="M47" s="84">
        <v>360.42920353982299</v>
      </c>
      <c r="N47" s="84">
        <v>332.33474576271186</v>
      </c>
      <c r="O47" s="84">
        <v>335.39534883720933</v>
      </c>
      <c r="P47" s="84">
        <v>352.09761388286336</v>
      </c>
      <c r="Q47" s="84">
        <v>350.04301075268819</v>
      </c>
      <c r="R47" s="84">
        <v>349.67164179104475</v>
      </c>
      <c r="S47" s="84">
        <v>356.29661016949154</v>
      </c>
      <c r="T47" s="84">
        <v>371.57758620689657</v>
      </c>
      <c r="U47" s="84">
        <v>386.74675324675326</v>
      </c>
      <c r="V47" s="84">
        <v>362.99509027557809</v>
      </c>
      <c r="W47" s="84">
        <v>339.24342730440293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55.94984865219412</v>
      </c>
      <c r="C48" s="13">
        <f t="shared" si="36"/>
        <v>58.561604625669148</v>
      </c>
      <c r="D48" s="13">
        <f t="shared" ref="D48:V48" si="37">SUM(D49:D51)</f>
        <v>56.852100948726886</v>
      </c>
      <c r="E48" s="13">
        <f t="shared" si="37"/>
        <v>56.658209942151316</v>
      </c>
      <c r="F48" s="13">
        <f t="shared" si="37"/>
        <v>57.805437176604684</v>
      </c>
      <c r="G48" s="13">
        <f t="shared" si="37"/>
        <v>60.073965738944629</v>
      </c>
      <c r="H48" s="13">
        <f t="shared" si="37"/>
        <v>62.850252947242502</v>
      </c>
      <c r="I48" s="13">
        <f t="shared" si="37"/>
        <v>66.434521534748129</v>
      </c>
      <c r="J48" s="13">
        <f t="shared" si="37"/>
        <v>64.96602954448359</v>
      </c>
      <c r="K48" s="13">
        <f t="shared" si="37"/>
        <v>61.569749205894951</v>
      </c>
      <c r="L48" s="13">
        <f t="shared" si="37"/>
        <v>56.20469725011607</v>
      </c>
      <c r="M48" s="13">
        <f t="shared" si="37"/>
        <v>60.947952921056412</v>
      </c>
      <c r="N48" s="13">
        <f t="shared" si="37"/>
        <v>57.500659944352861</v>
      </c>
      <c r="O48" s="13">
        <f t="shared" si="37"/>
        <v>54.121949692062621</v>
      </c>
      <c r="P48" s="13">
        <f t="shared" si="37"/>
        <v>66.811245255417489</v>
      </c>
      <c r="Q48" s="13">
        <f t="shared" si="37"/>
        <v>66.018659164803324</v>
      </c>
      <c r="R48" s="13">
        <f t="shared" si="37"/>
        <v>60.58784175361933</v>
      </c>
      <c r="S48" s="13">
        <f t="shared" si="37"/>
        <v>58.965962030703444</v>
      </c>
      <c r="T48" s="13">
        <f t="shared" si="37"/>
        <v>57.919916174147552</v>
      </c>
      <c r="U48" s="13">
        <f t="shared" si="37"/>
        <v>54.621815650019443</v>
      </c>
      <c r="V48" s="13">
        <f t="shared" si="37"/>
        <v>59.597836062764678</v>
      </c>
      <c r="W48" s="13">
        <f t="shared" ref="W48" si="38">SUM(W49:W51)</f>
        <v>66.211734001196675</v>
      </c>
      <c r="DA48" s="193" t="s">
        <v>228</v>
      </c>
    </row>
    <row r="49" spans="1:105" ht="11.45" customHeight="1" x14ac:dyDescent="0.25">
      <c r="A49" s="92" t="s">
        <v>27</v>
      </c>
      <c r="B49" s="102">
        <v>17.134564643799472</v>
      </c>
      <c r="C49" s="102">
        <v>19.970096745822339</v>
      </c>
      <c r="D49" s="102">
        <v>18.25664028144239</v>
      </c>
      <c r="E49" s="102">
        <v>16.543183817062442</v>
      </c>
      <c r="F49" s="102">
        <v>14.843447669305188</v>
      </c>
      <c r="G49" s="102">
        <v>14.670175438596491</v>
      </c>
      <c r="H49" s="102">
        <v>14.380628717077315</v>
      </c>
      <c r="I49" s="102">
        <v>13.548922056384743</v>
      </c>
      <c r="J49" s="102">
        <v>12.431089743589743</v>
      </c>
      <c r="K49" s="102">
        <v>12.916337805840568</v>
      </c>
      <c r="L49" s="102">
        <v>11.202881341460621</v>
      </c>
      <c r="M49" s="102">
        <v>10.380952380952381</v>
      </c>
      <c r="N49" s="102">
        <v>10.564454614797864</v>
      </c>
      <c r="O49" s="102">
        <v>9.9473684210526319</v>
      </c>
      <c r="P49" s="102">
        <v>11.779141104294478</v>
      </c>
      <c r="Q49" s="102">
        <v>11.418195718654435</v>
      </c>
      <c r="R49" s="102">
        <v>9.8454475899005356</v>
      </c>
      <c r="S49" s="102">
        <v>10.25635103926097</v>
      </c>
      <c r="T49" s="102">
        <v>9.9627039627039622</v>
      </c>
      <c r="U49" s="102">
        <v>9.8141524105754279</v>
      </c>
      <c r="V49" s="102">
        <v>8.6718481009887967</v>
      </c>
      <c r="W49" s="102">
        <v>9.5654320987654327</v>
      </c>
      <c r="DA49" s="175" t="s">
        <v>229</v>
      </c>
    </row>
    <row r="50" spans="1:105" ht="11.45" customHeight="1" x14ac:dyDescent="0.25">
      <c r="A50" s="92" t="s">
        <v>173</v>
      </c>
      <c r="B50" s="102">
        <v>5.7898871829978278</v>
      </c>
      <c r="C50" s="102">
        <v>6.6169047052436314</v>
      </c>
      <c r="D50" s="102">
        <v>6.0430797149035467</v>
      </c>
      <c r="E50" s="102">
        <v>5.7848673949301492</v>
      </c>
      <c r="F50" s="102">
        <v>6.3207196660296594</v>
      </c>
      <c r="G50" s="102">
        <v>5.9961469882462284</v>
      </c>
      <c r="H50" s="102">
        <v>7.8113963820639176</v>
      </c>
      <c r="I50" s="102">
        <v>9.3997060614354879</v>
      </c>
      <c r="J50" s="102">
        <v>9.356478262432308</v>
      </c>
      <c r="K50" s="102">
        <v>8.7774895441325267</v>
      </c>
      <c r="L50" s="102">
        <v>8.4284337352732699</v>
      </c>
      <c r="M50" s="102">
        <v>10.370125540104031</v>
      </c>
      <c r="N50" s="102">
        <v>10.041870012094682</v>
      </c>
      <c r="O50" s="102">
        <v>10.582785636089355</v>
      </c>
      <c r="P50" s="102">
        <v>13.001429304497247</v>
      </c>
      <c r="Q50" s="102">
        <v>12.895644169040446</v>
      </c>
      <c r="R50" s="102">
        <v>12.340114569150037</v>
      </c>
      <c r="S50" s="102">
        <v>12.056549766952678</v>
      </c>
      <c r="T50" s="102">
        <v>11.477561048652895</v>
      </c>
      <c r="U50" s="102">
        <v>10.898572330353112</v>
      </c>
      <c r="V50" s="102">
        <v>11.574797485585405</v>
      </c>
      <c r="W50" s="102">
        <v>14.042196330583742</v>
      </c>
      <c r="DA50" s="175" t="s">
        <v>230</v>
      </c>
    </row>
    <row r="51" spans="1:105" ht="11.45" customHeight="1" x14ac:dyDescent="0.25">
      <c r="A51" s="85" t="s">
        <v>174</v>
      </c>
      <c r="B51" s="86">
        <v>33.025396825396825</v>
      </c>
      <c r="C51" s="86">
        <v>31.974603174603175</v>
      </c>
      <c r="D51" s="86">
        <v>32.55238095238095</v>
      </c>
      <c r="E51" s="86">
        <v>34.330158730158729</v>
      </c>
      <c r="F51" s="86">
        <v>36.641269841269839</v>
      </c>
      <c r="G51" s="86">
        <v>39.407643312101911</v>
      </c>
      <c r="H51" s="86">
        <v>40.658227848101269</v>
      </c>
      <c r="I51" s="86">
        <v>43.485893416927901</v>
      </c>
      <c r="J51" s="86">
        <v>43.178461538461541</v>
      </c>
      <c r="K51" s="86">
        <v>39.87592185592186</v>
      </c>
      <c r="L51" s="86">
        <v>36.573382173382178</v>
      </c>
      <c r="M51" s="86">
        <v>40.196874999999999</v>
      </c>
      <c r="N51" s="86">
        <v>36.894335317460317</v>
      </c>
      <c r="O51" s="86">
        <v>33.591795634920636</v>
      </c>
      <c r="P51" s="86">
        <v>42.030674846625764</v>
      </c>
      <c r="Q51" s="86">
        <v>41.704819277108435</v>
      </c>
      <c r="R51" s="86">
        <v>38.402279594568753</v>
      </c>
      <c r="S51" s="86">
        <v>36.653061224489797</v>
      </c>
      <c r="T51" s="86">
        <v>36.479651162790695</v>
      </c>
      <c r="U51" s="86">
        <v>33.909090909090907</v>
      </c>
      <c r="V51" s="86">
        <v>39.351190476190474</v>
      </c>
      <c r="W51" s="86">
        <v>42.604105571847505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65.773004847463923</v>
      </c>
      <c r="C53" s="54">
        <f t="shared" si="39"/>
        <v>29.750117992467608</v>
      </c>
      <c r="D53" s="54">
        <f t="shared" ref="D53:V53" si="40">SUM(D54,D58)</f>
        <v>39.170726730519142</v>
      </c>
      <c r="E53" s="54">
        <f t="shared" si="40"/>
        <v>19.526506658162592</v>
      </c>
      <c r="F53" s="54">
        <f t="shared" si="40"/>
        <v>37.704747943815306</v>
      </c>
      <c r="G53" s="54">
        <f t="shared" si="40"/>
        <v>45.782521059192099</v>
      </c>
      <c r="H53" s="54">
        <f t="shared" si="40"/>
        <v>59.21476306728988</v>
      </c>
      <c r="I53" s="54">
        <f t="shared" si="40"/>
        <v>62.290958372299357</v>
      </c>
      <c r="J53" s="54">
        <f t="shared" si="40"/>
        <v>27.423362397786232</v>
      </c>
      <c r="K53" s="54">
        <f t="shared" si="40"/>
        <v>1.1509179537778245</v>
      </c>
      <c r="L53" s="54">
        <f t="shared" si="40"/>
        <v>3.7008755712498065E-2</v>
      </c>
      <c r="M53" s="54">
        <f t="shared" si="40"/>
        <v>66.717600868126041</v>
      </c>
      <c r="N53" s="54">
        <f t="shared" si="40"/>
        <v>10.971824713132097</v>
      </c>
      <c r="O53" s="54">
        <f t="shared" si="40"/>
        <v>22.937279939123215</v>
      </c>
      <c r="P53" s="54">
        <f t="shared" si="40"/>
        <v>52.450572780355763</v>
      </c>
      <c r="Q53" s="54">
        <f t="shared" si="40"/>
        <v>29.811262384160706</v>
      </c>
      <c r="R53" s="54">
        <f t="shared" si="40"/>
        <v>35.782216916221991</v>
      </c>
      <c r="S53" s="54">
        <f t="shared" si="40"/>
        <v>41.272859116228176</v>
      </c>
      <c r="T53" s="54">
        <f t="shared" si="40"/>
        <v>48.025065272215869</v>
      </c>
      <c r="U53" s="54">
        <f t="shared" si="40"/>
        <v>50.486996515540376</v>
      </c>
      <c r="V53" s="54">
        <f t="shared" si="40"/>
        <v>7.4064295609803281</v>
      </c>
      <c r="W53" s="54">
        <f t="shared" ref="W53" si="41">SUM(W54,W58)</f>
        <v>8.567672668607468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61.432057093583111</v>
      </c>
      <c r="C54" s="11">
        <f t="shared" si="42"/>
        <v>25.186308531470587</v>
      </c>
      <c r="D54" s="11">
        <f t="shared" ref="D54:V54" si="43">SUM(D55:D57)</f>
        <v>37.525407604268366</v>
      </c>
      <c r="E54" s="11">
        <f t="shared" si="43"/>
        <v>16.57897927691937</v>
      </c>
      <c r="F54" s="11">
        <f t="shared" si="43"/>
        <v>33.532115902384575</v>
      </c>
      <c r="G54" s="11">
        <f t="shared" si="43"/>
        <v>41.419235342206434</v>
      </c>
      <c r="H54" s="11">
        <f t="shared" si="43"/>
        <v>54.485067881151096</v>
      </c>
      <c r="I54" s="11">
        <f t="shared" si="43"/>
        <v>56.586088471842416</v>
      </c>
      <c r="J54" s="11">
        <f t="shared" si="43"/>
        <v>26.465297343345007</v>
      </c>
      <c r="K54" s="11">
        <f t="shared" si="43"/>
        <v>0</v>
      </c>
      <c r="L54" s="11">
        <f t="shared" si="43"/>
        <v>3.7008755712498065E-2</v>
      </c>
      <c r="M54" s="11">
        <f t="shared" si="43"/>
        <v>59.862590155375756</v>
      </c>
      <c r="N54" s="11">
        <f t="shared" si="43"/>
        <v>10.068346926844315</v>
      </c>
      <c r="O54" s="11">
        <f t="shared" si="43"/>
        <v>22.123774641865079</v>
      </c>
      <c r="P54" s="11">
        <f t="shared" si="43"/>
        <v>37.809223729478894</v>
      </c>
      <c r="Q54" s="11">
        <f t="shared" si="43"/>
        <v>28.648889596800281</v>
      </c>
      <c r="R54" s="11">
        <f t="shared" si="43"/>
        <v>35.76220028311932</v>
      </c>
      <c r="S54" s="11">
        <f t="shared" si="43"/>
        <v>40.065442431961081</v>
      </c>
      <c r="T54" s="11">
        <f t="shared" si="43"/>
        <v>46.760632413124974</v>
      </c>
      <c r="U54" s="11">
        <f t="shared" si="43"/>
        <v>49.969878176141911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21.568783961027265</v>
      </c>
      <c r="C55" s="84">
        <v>12.251751920555108</v>
      </c>
      <c r="D55" s="84">
        <v>16.024658047592766</v>
      </c>
      <c r="E55" s="84">
        <v>0.28041971144884315</v>
      </c>
      <c r="F55" s="84">
        <v>0</v>
      </c>
      <c r="G55" s="84">
        <v>5.7856474303820278</v>
      </c>
      <c r="H55" s="84">
        <v>11.965476403075883</v>
      </c>
      <c r="I55" s="84">
        <v>6.8673267058182148</v>
      </c>
      <c r="J55" s="84">
        <v>7.2918870117185008</v>
      </c>
      <c r="K55" s="84">
        <v>0</v>
      </c>
      <c r="L55" s="84">
        <v>0</v>
      </c>
      <c r="M55" s="84">
        <v>14.562963912586042</v>
      </c>
      <c r="N55" s="84">
        <v>5.8490828646528428</v>
      </c>
      <c r="O55" s="84">
        <v>6.1007067509656565</v>
      </c>
      <c r="P55" s="84">
        <v>0</v>
      </c>
      <c r="Q55" s="84">
        <v>6.126407403568976</v>
      </c>
      <c r="R55" s="84">
        <v>8.1465191313878051</v>
      </c>
      <c r="S55" s="84">
        <v>11.228055215885462</v>
      </c>
      <c r="T55" s="84">
        <v>9.4534643271110781</v>
      </c>
      <c r="U55" s="84">
        <v>9.7970849671319797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14.741765372023293</v>
      </c>
      <c r="C56" s="84">
        <v>4.7842240166799561</v>
      </c>
      <c r="D56" s="84">
        <v>7.9513038804002472</v>
      </c>
      <c r="E56" s="84">
        <v>7.8932380577095103</v>
      </c>
      <c r="F56" s="84">
        <v>9.7942001595903143</v>
      </c>
      <c r="G56" s="84">
        <v>7.0692596333951236</v>
      </c>
      <c r="H56" s="84">
        <v>19.877309353489309</v>
      </c>
      <c r="I56" s="84">
        <v>18.048653765490418</v>
      </c>
      <c r="J56" s="84">
        <v>9.5346207137833616</v>
      </c>
      <c r="K56" s="84">
        <v>0</v>
      </c>
      <c r="L56" s="84">
        <v>3.7008755712498065E-2</v>
      </c>
      <c r="M56" s="84">
        <v>15.433239938550342</v>
      </c>
      <c r="N56" s="84">
        <v>4.2192640621914723</v>
      </c>
      <c r="O56" s="84">
        <v>1.2068107144059423</v>
      </c>
      <c r="P56" s="84">
        <v>9.3513045818288489</v>
      </c>
      <c r="Q56" s="84">
        <v>12.821431221410457</v>
      </c>
      <c r="R56" s="84">
        <v>16.231396011378941</v>
      </c>
      <c r="S56" s="84">
        <v>10.45676473563281</v>
      </c>
      <c r="T56" s="84">
        <v>10.270537946612853</v>
      </c>
      <c r="U56" s="84">
        <v>13.247972067157228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25.121507760532552</v>
      </c>
      <c r="C57" s="84">
        <v>8.1503325942355218</v>
      </c>
      <c r="D57" s="84">
        <v>13.549445676275354</v>
      </c>
      <c r="E57" s="84">
        <v>8.4053215077610162</v>
      </c>
      <c r="F57" s="84">
        <v>23.737915742794257</v>
      </c>
      <c r="G57" s="84">
        <v>28.564328278429286</v>
      </c>
      <c r="H57" s="84">
        <v>22.642282124585904</v>
      </c>
      <c r="I57" s="84">
        <v>31.670108000533787</v>
      </c>
      <c r="J57" s="84">
        <v>9.6387896178431447</v>
      </c>
      <c r="K57" s="84">
        <v>0</v>
      </c>
      <c r="L57" s="84">
        <v>0</v>
      </c>
      <c r="M57" s="84">
        <v>29.86638630423937</v>
      </c>
      <c r="N57" s="84">
        <v>0</v>
      </c>
      <c r="O57" s="84">
        <v>14.81625717649348</v>
      </c>
      <c r="P57" s="84">
        <v>28.457919147650045</v>
      </c>
      <c r="Q57" s="84">
        <v>9.7010509718208482</v>
      </c>
      <c r="R57" s="84">
        <v>11.384285140352574</v>
      </c>
      <c r="S57" s="84">
        <v>18.38062248044281</v>
      </c>
      <c r="T57" s="84">
        <v>27.036630139401041</v>
      </c>
      <c r="U57" s="84">
        <v>26.924821141852703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4.3409477538808154</v>
      </c>
      <c r="C58" s="13">
        <f t="shared" si="45"/>
        <v>4.5638094609970219</v>
      </c>
      <c r="D58" s="13">
        <f t="shared" ref="D58:V58" si="46">SUM(D59:D61)</f>
        <v>1.6453191262507778</v>
      </c>
      <c r="E58" s="13">
        <f t="shared" si="46"/>
        <v>2.9475273812432237</v>
      </c>
      <c r="F58" s="13">
        <f t="shared" si="46"/>
        <v>4.1726320414307336</v>
      </c>
      <c r="G58" s="13">
        <f t="shared" si="46"/>
        <v>4.3632857169856658</v>
      </c>
      <c r="H58" s="13">
        <f t="shared" si="46"/>
        <v>4.7296951861387821</v>
      </c>
      <c r="I58" s="13">
        <f t="shared" si="46"/>
        <v>5.7048699004569441</v>
      </c>
      <c r="J58" s="13">
        <f t="shared" si="46"/>
        <v>0.95806505444122592</v>
      </c>
      <c r="K58" s="13">
        <f t="shared" si="46"/>
        <v>1.1509179537778245</v>
      </c>
      <c r="L58" s="13">
        <f t="shared" si="46"/>
        <v>0</v>
      </c>
      <c r="M58" s="13">
        <f t="shared" si="46"/>
        <v>6.8550107127502802</v>
      </c>
      <c r="N58" s="13">
        <f t="shared" si="46"/>
        <v>0.90347778628778297</v>
      </c>
      <c r="O58" s="13">
        <f t="shared" si="46"/>
        <v>0.81350529725813625</v>
      </c>
      <c r="P58" s="13">
        <f t="shared" si="46"/>
        <v>14.641349050876869</v>
      </c>
      <c r="Q58" s="13">
        <f t="shared" si="46"/>
        <v>1.1623727873604262</v>
      </c>
      <c r="R58" s="13">
        <f t="shared" si="46"/>
        <v>2.0016633102674174E-2</v>
      </c>
      <c r="S58" s="13">
        <f t="shared" si="46"/>
        <v>1.2074166842670953</v>
      </c>
      <c r="T58" s="13">
        <f t="shared" si="46"/>
        <v>1.264432859090892</v>
      </c>
      <c r="U58" s="13">
        <f t="shared" si="46"/>
        <v>0.51711833939846485</v>
      </c>
      <c r="V58" s="13">
        <f t="shared" si="46"/>
        <v>7.4064295609803281</v>
      </c>
      <c r="W58" s="13">
        <f t="shared" ref="W58" si="47">SUM(W59:W61)</f>
        <v>8.567672668607468</v>
      </c>
      <c r="DA58" s="193" t="s">
        <v>237</v>
      </c>
    </row>
    <row r="59" spans="1:105" ht="11.45" customHeight="1" x14ac:dyDescent="0.25">
      <c r="A59" s="92" t="s">
        <v>27</v>
      </c>
      <c r="B59" s="102">
        <v>2.5311052477275258</v>
      </c>
      <c r="C59" s="102">
        <v>3.5012019935498664</v>
      </c>
      <c r="D59" s="102">
        <v>0</v>
      </c>
      <c r="E59" s="102">
        <v>0</v>
      </c>
      <c r="F59" s="102">
        <v>0</v>
      </c>
      <c r="G59" s="102">
        <v>0.49239766081830183</v>
      </c>
      <c r="H59" s="102">
        <v>0.37612317000782269</v>
      </c>
      <c r="I59" s="102">
        <v>0</v>
      </c>
      <c r="J59" s="102">
        <v>0</v>
      </c>
      <c r="K59" s="102">
        <v>1.1509179537778245</v>
      </c>
      <c r="L59" s="102">
        <v>0</v>
      </c>
      <c r="M59" s="102">
        <v>0</v>
      </c>
      <c r="N59" s="102">
        <v>0.84917212537248155</v>
      </c>
      <c r="O59" s="102">
        <v>4.8583697781767299E-2</v>
      </c>
      <c r="P59" s="102">
        <v>2.4974425747688453</v>
      </c>
      <c r="Q59" s="102">
        <v>0.30472450588695565</v>
      </c>
      <c r="R59" s="102">
        <v>0</v>
      </c>
      <c r="S59" s="102">
        <v>1.0765733408874336</v>
      </c>
      <c r="T59" s="102">
        <v>0.37202281496999134</v>
      </c>
      <c r="U59" s="102">
        <v>0.51711833939846485</v>
      </c>
      <c r="V59" s="102">
        <v>0</v>
      </c>
      <c r="W59" s="102">
        <v>1.5592538893036352</v>
      </c>
      <c r="DA59" s="175" t="s">
        <v>238</v>
      </c>
    </row>
    <row r="60" spans="1:105" ht="11.45" customHeight="1" x14ac:dyDescent="0.25">
      <c r="A60" s="92" t="s">
        <v>173</v>
      </c>
      <c r="B60" s="102">
        <v>0.77576843207931956</v>
      </c>
      <c r="C60" s="102">
        <v>1.047581012420804</v>
      </c>
      <c r="D60" s="102">
        <v>1.7212426529999991E-3</v>
      </c>
      <c r="E60" s="102">
        <v>0.10392949764544313</v>
      </c>
      <c r="F60" s="102">
        <v>0.79570082449962154</v>
      </c>
      <c r="G60" s="102">
        <v>3.8694479515290259E-2</v>
      </c>
      <c r="H60" s="102">
        <v>2.0371673743115983</v>
      </c>
      <c r="I60" s="102">
        <v>1.8113842258103103</v>
      </c>
      <c r="J60" s="102">
        <v>0.19967682708758422</v>
      </c>
      <c r="K60" s="102">
        <v>0</v>
      </c>
      <c r="L60" s="102">
        <v>0</v>
      </c>
      <c r="M60" s="102">
        <v>2.1656977803124575</v>
      </c>
      <c r="N60" s="102">
        <v>5.4305660915301424E-2</v>
      </c>
      <c r="O60" s="102">
        <v>0.76492159947636895</v>
      </c>
      <c r="P60" s="102">
        <v>2.6392071585828925</v>
      </c>
      <c r="Q60" s="102">
        <v>0.11768374517079838</v>
      </c>
      <c r="R60" s="102">
        <v>2.0016633102674174E-2</v>
      </c>
      <c r="S60" s="102">
        <v>0.13084334337966164</v>
      </c>
      <c r="T60" s="102">
        <v>0</v>
      </c>
      <c r="U60" s="102">
        <v>0</v>
      </c>
      <c r="V60" s="102">
        <v>0.89850988806075804</v>
      </c>
      <c r="W60" s="102">
        <v>2.6896835778268011</v>
      </c>
      <c r="DA60" s="175" t="s">
        <v>239</v>
      </c>
    </row>
    <row r="61" spans="1:105" ht="11.45" customHeight="1" x14ac:dyDescent="0.25">
      <c r="A61" s="85" t="s">
        <v>174</v>
      </c>
      <c r="B61" s="86">
        <v>1.0340740740739705</v>
      </c>
      <c r="C61" s="86">
        <v>1.5026455026351471E-2</v>
      </c>
      <c r="D61" s="86">
        <v>1.6435978835977778</v>
      </c>
      <c r="E61" s="86">
        <v>2.8435978835977807</v>
      </c>
      <c r="F61" s="86">
        <v>3.3769312169311121</v>
      </c>
      <c r="G61" s="86">
        <v>3.8321935766520738</v>
      </c>
      <c r="H61" s="86">
        <v>2.3164046418193607</v>
      </c>
      <c r="I61" s="86">
        <v>3.8934856746466338</v>
      </c>
      <c r="J61" s="86">
        <v>0.75838822735364175</v>
      </c>
      <c r="K61" s="86">
        <v>0</v>
      </c>
      <c r="L61" s="86">
        <v>0</v>
      </c>
      <c r="M61" s="86">
        <v>4.6893129324378222</v>
      </c>
      <c r="N61" s="86">
        <v>0</v>
      </c>
      <c r="O61" s="86">
        <v>0</v>
      </c>
      <c r="P61" s="86">
        <v>9.5046993175251302</v>
      </c>
      <c r="Q61" s="86">
        <v>0.73996453630267212</v>
      </c>
      <c r="R61" s="86">
        <v>0</v>
      </c>
      <c r="S61" s="86">
        <v>0</v>
      </c>
      <c r="T61" s="86">
        <v>0.89241004412090064</v>
      </c>
      <c r="U61" s="86">
        <v>0</v>
      </c>
      <c r="V61" s="86">
        <v>6.5079196729195701</v>
      </c>
      <c r="W61" s="86">
        <v>4.3187352014770326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68.696448915254678</v>
      </c>
      <c r="C66" s="14">
        <f t="shared" si="48"/>
        <v>69.780476680803034</v>
      </c>
      <c r="D66" s="14">
        <f t="shared" ref="D66:V66" si="49">IF(D34=0,0,D34/D24)</f>
        <v>70.872572768475237</v>
      </c>
      <c r="E66" s="14">
        <f t="shared" si="49"/>
        <v>71.203078362313107</v>
      </c>
      <c r="F66" s="14">
        <f t="shared" si="49"/>
        <v>76.362059456670636</v>
      </c>
      <c r="G66" s="14">
        <f t="shared" si="49"/>
        <v>79.39959034789716</v>
      </c>
      <c r="H66" s="14">
        <f t="shared" si="49"/>
        <v>79.857068983584455</v>
      </c>
      <c r="I66" s="14">
        <f t="shared" si="49"/>
        <v>82.092512670941872</v>
      </c>
      <c r="J66" s="14">
        <f t="shared" si="49"/>
        <v>82.896356439076541</v>
      </c>
      <c r="K66" s="14">
        <f t="shared" si="49"/>
        <v>86.551611336149804</v>
      </c>
      <c r="L66" s="14">
        <f t="shared" si="49"/>
        <v>98.91049608993157</v>
      </c>
      <c r="M66" s="14">
        <f t="shared" si="49"/>
        <v>100.28750125035562</v>
      </c>
      <c r="N66" s="14">
        <f t="shared" si="49"/>
        <v>104.61513200809114</v>
      </c>
      <c r="O66" s="14">
        <f t="shared" si="49"/>
        <v>109.02441504225162</v>
      </c>
      <c r="P66" s="14">
        <f t="shared" si="49"/>
        <v>113.17988042095556</v>
      </c>
      <c r="Q66" s="14">
        <f t="shared" si="49"/>
        <v>115.7742961768965</v>
      </c>
      <c r="R66" s="14">
        <f t="shared" si="49"/>
        <v>117.25595155741878</v>
      </c>
      <c r="S66" s="14">
        <f t="shared" si="49"/>
        <v>122.37111184163435</v>
      </c>
      <c r="T66" s="14">
        <f t="shared" si="49"/>
        <v>127.19207285753797</v>
      </c>
      <c r="U66" s="14">
        <f t="shared" si="49"/>
        <v>129.46847210889973</v>
      </c>
      <c r="V66" s="14">
        <f t="shared" si="49"/>
        <v>105.62683795330742</v>
      </c>
      <c r="W66" s="14">
        <f t="shared" ref="W66" si="50">IF(W34=0,0,W34/W24)</f>
        <v>109.19108566470138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64.720491627443309</v>
      </c>
      <c r="C67" s="87">
        <f t="shared" si="48"/>
        <v>65.60538232982158</v>
      </c>
      <c r="D67" s="87">
        <f t="shared" ref="D67:V67" si="51">IF(D35=0,0,D35/D25)</f>
        <v>66.495127142377058</v>
      </c>
      <c r="E67" s="87">
        <f t="shared" si="51"/>
        <v>65.71173167594317</v>
      </c>
      <c r="F67" s="87">
        <f t="shared" si="51"/>
        <v>70.050765193069608</v>
      </c>
      <c r="G67" s="87">
        <f t="shared" si="51"/>
        <v>70.930767159587433</v>
      </c>
      <c r="H67" s="87">
        <f t="shared" si="51"/>
        <v>70.513188182761169</v>
      </c>
      <c r="I67" s="87">
        <f t="shared" si="51"/>
        <v>72.184182415339805</v>
      </c>
      <c r="J67" s="87">
        <f t="shared" si="51"/>
        <v>71.175353824388225</v>
      </c>
      <c r="K67" s="87">
        <f t="shared" si="51"/>
        <v>74.250870860728114</v>
      </c>
      <c r="L67" s="87">
        <f t="shared" si="51"/>
        <v>86.078093409312089</v>
      </c>
      <c r="M67" s="87">
        <f t="shared" si="51"/>
        <v>87.055649881525881</v>
      </c>
      <c r="N67" s="87">
        <f t="shared" si="51"/>
        <v>88.974126550532304</v>
      </c>
      <c r="O67" s="87">
        <f t="shared" si="51"/>
        <v>92.02039496226179</v>
      </c>
      <c r="P67" s="87">
        <f t="shared" si="51"/>
        <v>95.566580763325518</v>
      </c>
      <c r="Q67" s="87">
        <f t="shared" si="51"/>
        <v>97.506540349668413</v>
      </c>
      <c r="R67" s="87">
        <f t="shared" si="51"/>
        <v>100.72290354886665</v>
      </c>
      <c r="S67" s="87">
        <f t="shared" si="51"/>
        <v>103.80820157319708</v>
      </c>
      <c r="T67" s="87">
        <f t="shared" si="51"/>
        <v>107.74367215051335</v>
      </c>
      <c r="U67" s="87">
        <f t="shared" si="51"/>
        <v>109.40060658189719</v>
      </c>
      <c r="V67" s="87">
        <f t="shared" si="51"/>
        <v>99.148168181912752</v>
      </c>
      <c r="W67" s="87">
        <f t="shared" ref="W67" si="52">IF(W35=0,0,W35/W25)</f>
        <v>104.39398950160361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61.340971134931152</v>
      </c>
      <c r="C68" s="87">
        <f t="shared" si="48"/>
        <v>62.547165283809591</v>
      </c>
      <c r="D68" s="87">
        <f t="shared" ref="D68:V68" si="53">IF(D36=0,0,D36/D26)</f>
        <v>63.810215541881028</v>
      </c>
      <c r="E68" s="87">
        <f t="shared" si="53"/>
        <v>65.874151105696342</v>
      </c>
      <c r="F68" s="87">
        <f t="shared" si="53"/>
        <v>69.85967423135655</v>
      </c>
      <c r="G68" s="87">
        <f t="shared" si="53"/>
        <v>74.078522491900785</v>
      </c>
      <c r="H68" s="87">
        <f t="shared" si="53"/>
        <v>75.416382594119227</v>
      </c>
      <c r="I68" s="87">
        <f t="shared" si="53"/>
        <v>78.343236615897752</v>
      </c>
      <c r="J68" s="87">
        <f t="shared" si="53"/>
        <v>79.4875839385234</v>
      </c>
      <c r="K68" s="87">
        <f t="shared" si="53"/>
        <v>82.356917684804841</v>
      </c>
      <c r="L68" s="87">
        <f t="shared" si="53"/>
        <v>92.201991449353145</v>
      </c>
      <c r="M68" s="87">
        <f t="shared" si="53"/>
        <v>95.211728746287719</v>
      </c>
      <c r="N68" s="87">
        <f t="shared" si="53"/>
        <v>99.754741709474985</v>
      </c>
      <c r="O68" s="87">
        <f t="shared" si="53"/>
        <v>105.47602797717651</v>
      </c>
      <c r="P68" s="87">
        <f t="shared" si="53"/>
        <v>110.39543762492436</v>
      </c>
      <c r="Q68" s="87">
        <f t="shared" si="53"/>
        <v>113.51942553069749</v>
      </c>
      <c r="R68" s="87">
        <f t="shared" si="53"/>
        <v>114.55196607080458</v>
      </c>
      <c r="S68" s="87">
        <f t="shared" si="53"/>
        <v>120.2415125828978</v>
      </c>
      <c r="T68" s="87">
        <f t="shared" si="53"/>
        <v>124.74256260386608</v>
      </c>
      <c r="U68" s="87">
        <f t="shared" si="53"/>
        <v>126.95152668267976</v>
      </c>
      <c r="V68" s="87">
        <f t="shared" si="53"/>
        <v>98.762972131432875</v>
      </c>
      <c r="W68" s="87">
        <f t="shared" ref="W68" si="54">IF(W36=0,0,W36/W26)</f>
        <v>105.2696162582367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92.184279312920083</v>
      </c>
      <c r="C69" s="87">
        <f t="shared" si="48"/>
        <v>93.855608786952857</v>
      </c>
      <c r="D69" s="87">
        <f t="shared" ref="D69:V69" si="55">IF(D37=0,0,D37/D27)</f>
        <v>95.499377592063198</v>
      </c>
      <c r="E69" s="87">
        <f t="shared" si="55"/>
        <v>95.356970546630293</v>
      </c>
      <c r="F69" s="87">
        <f t="shared" si="55"/>
        <v>102.89894721414788</v>
      </c>
      <c r="G69" s="87">
        <f t="shared" si="55"/>
        <v>107.48348678296327</v>
      </c>
      <c r="H69" s="87">
        <f t="shared" si="55"/>
        <v>108.33056165047161</v>
      </c>
      <c r="I69" s="87">
        <f t="shared" si="55"/>
        <v>108.98385233334054</v>
      </c>
      <c r="J69" s="87">
        <f t="shared" si="55"/>
        <v>112.50957652152584</v>
      </c>
      <c r="K69" s="87">
        <f t="shared" si="55"/>
        <v>118.46401975161541</v>
      </c>
      <c r="L69" s="87">
        <f t="shared" si="55"/>
        <v>134.43966458271311</v>
      </c>
      <c r="M69" s="87">
        <f t="shared" si="55"/>
        <v>135.14718808696614</v>
      </c>
      <c r="N69" s="87">
        <f t="shared" si="55"/>
        <v>145.08121788578495</v>
      </c>
      <c r="O69" s="87">
        <f t="shared" si="55"/>
        <v>148.57249026109102</v>
      </c>
      <c r="P69" s="87">
        <f t="shared" si="55"/>
        <v>149.73161776030852</v>
      </c>
      <c r="Q69" s="87">
        <f t="shared" si="55"/>
        <v>152.22577256251151</v>
      </c>
      <c r="R69" s="87">
        <f t="shared" si="55"/>
        <v>151.16078440937585</v>
      </c>
      <c r="S69" s="87">
        <f t="shared" si="55"/>
        <v>158.15589396570178</v>
      </c>
      <c r="T69" s="87">
        <f t="shared" si="55"/>
        <v>163.90703083312067</v>
      </c>
      <c r="U69" s="87">
        <f t="shared" si="55"/>
        <v>166.29861146090431</v>
      </c>
      <c r="V69" s="87">
        <f t="shared" si="55"/>
        <v>133.60020077587967</v>
      </c>
      <c r="W69" s="87">
        <f t="shared" ref="W69" si="56">IF(W37=0,0,W37/W27)</f>
        <v>128.0438019672844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23.121556608820388</v>
      </c>
      <c r="C70" s="15">
        <f t="shared" si="48"/>
        <v>22.087923597649311</v>
      </c>
      <c r="D70" s="15">
        <f t="shared" ref="D70:V70" si="57">IF(D38=0,0,D38/D28)</f>
        <v>23.169302439404479</v>
      </c>
      <c r="E70" s="15">
        <f t="shared" si="57"/>
        <v>24.053975927899899</v>
      </c>
      <c r="F70" s="15">
        <f t="shared" si="57"/>
        <v>23.675035557429545</v>
      </c>
      <c r="G70" s="15">
        <f t="shared" si="57"/>
        <v>22.783455451195092</v>
      </c>
      <c r="H70" s="15">
        <f t="shared" si="57"/>
        <v>22.44201454791337</v>
      </c>
      <c r="I70" s="15">
        <f t="shared" si="57"/>
        <v>22.774560354713223</v>
      </c>
      <c r="J70" s="15">
        <f t="shared" si="57"/>
        <v>22.906609331618533</v>
      </c>
      <c r="K70" s="15">
        <f t="shared" si="57"/>
        <v>22.377326753677565</v>
      </c>
      <c r="L70" s="15">
        <f t="shared" si="57"/>
        <v>25.572358507068003</v>
      </c>
      <c r="M70" s="15">
        <f t="shared" si="57"/>
        <v>27.318602036641604</v>
      </c>
      <c r="N70" s="15">
        <f t="shared" si="57"/>
        <v>27.84760025268552</v>
      </c>
      <c r="O70" s="15">
        <f t="shared" si="57"/>
        <v>27.85223347713206</v>
      </c>
      <c r="P70" s="15">
        <f t="shared" si="57"/>
        <v>31.4497854632144</v>
      </c>
      <c r="Q70" s="15">
        <f t="shared" si="57"/>
        <v>31.830357493316487</v>
      </c>
      <c r="R70" s="15">
        <f t="shared" si="57"/>
        <v>35.680864000662829</v>
      </c>
      <c r="S70" s="15">
        <f t="shared" si="57"/>
        <v>34.608858581023888</v>
      </c>
      <c r="T70" s="15">
        <f t="shared" si="57"/>
        <v>35.739382282421595</v>
      </c>
      <c r="U70" s="15">
        <f t="shared" si="57"/>
        <v>36.353461495142682</v>
      </c>
      <c r="V70" s="15">
        <f t="shared" si="57"/>
        <v>28.586071881741066</v>
      </c>
      <c r="W70" s="15">
        <f t="shared" ref="W70" si="58">IF(W38=0,0,W38/W28)</f>
        <v>29.301915675603027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14.037300363200671</v>
      </c>
      <c r="T71" s="41">
        <f t="shared" si="59"/>
        <v>14.287825769085293</v>
      </c>
      <c r="U71" s="41">
        <f t="shared" si="59"/>
        <v>15.803320090655204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17.167505270500243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13.755635136041073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52.887918691003676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55.065477606746093</v>
      </c>
      <c r="N73" s="40">
        <f t="shared" si="63"/>
        <v>58.746980790650369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1443.1374551659146</v>
      </c>
      <c r="C75" s="62">
        <f t="shared" si="65"/>
        <v>1429.5757811052435</v>
      </c>
      <c r="D75" s="62">
        <f t="shared" ref="D75:V75" si="66">IF(D13=0,0,D13*1000000/D23)</f>
        <v>1422.9581675170675</v>
      </c>
      <c r="E75" s="62">
        <f t="shared" si="66"/>
        <v>1432.3962881316083</v>
      </c>
      <c r="F75" s="62">
        <f t="shared" si="66"/>
        <v>1472.4664119174236</v>
      </c>
      <c r="G75" s="62">
        <f t="shared" si="66"/>
        <v>1502.9411596786483</v>
      </c>
      <c r="H75" s="62">
        <f t="shared" si="66"/>
        <v>1495.8947085712232</v>
      </c>
      <c r="I75" s="62">
        <f t="shared" si="66"/>
        <v>1527.7406462664526</v>
      </c>
      <c r="J75" s="62">
        <f t="shared" si="66"/>
        <v>1519.1768693088832</v>
      </c>
      <c r="K75" s="62">
        <f t="shared" si="66"/>
        <v>1521.980213945269</v>
      </c>
      <c r="L75" s="62">
        <f t="shared" si="66"/>
        <v>1546.7699779310894</v>
      </c>
      <c r="M75" s="62">
        <f t="shared" si="66"/>
        <v>1576.4028310079825</v>
      </c>
      <c r="N75" s="62">
        <f t="shared" si="66"/>
        <v>1510.7592472979977</v>
      </c>
      <c r="O75" s="62">
        <f t="shared" si="66"/>
        <v>1530.2988362295578</v>
      </c>
      <c r="P75" s="62">
        <f t="shared" si="66"/>
        <v>1608.1381554386919</v>
      </c>
      <c r="Q75" s="62">
        <f t="shared" si="66"/>
        <v>1603.193972397715</v>
      </c>
      <c r="R75" s="62">
        <f t="shared" si="66"/>
        <v>1594.747642205253</v>
      </c>
      <c r="S75" s="62">
        <f t="shared" si="66"/>
        <v>1606.0936381640461</v>
      </c>
      <c r="T75" s="62">
        <f t="shared" si="66"/>
        <v>1651.875667345658</v>
      </c>
      <c r="U75" s="62">
        <f t="shared" si="66"/>
        <v>1667.9790942695877</v>
      </c>
      <c r="V75" s="62">
        <f t="shared" si="66"/>
        <v>1726.8440746697215</v>
      </c>
      <c r="W75" s="62">
        <f t="shared" ref="W75" si="67">IF(W13=0,0,W13*1000000/W23)</f>
        <v>1719.8934629764615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1408.7245723714425</v>
      </c>
      <c r="C76" s="14">
        <f t="shared" si="65"/>
        <v>1399.2940108851542</v>
      </c>
      <c r="D76" s="14">
        <f t="shared" ref="D76:V76" si="68">IF(D14=0,0,D14*1000000/D24)</f>
        <v>1389.7062761086588</v>
      </c>
      <c r="E76" s="14">
        <f t="shared" si="68"/>
        <v>1393.9341855945247</v>
      </c>
      <c r="F76" s="14">
        <f t="shared" si="68"/>
        <v>1431.4361658983414</v>
      </c>
      <c r="G76" s="14">
        <f t="shared" si="68"/>
        <v>1458.3686473543194</v>
      </c>
      <c r="H76" s="14">
        <f t="shared" si="68"/>
        <v>1454.3154922522388</v>
      </c>
      <c r="I76" s="14">
        <f t="shared" si="68"/>
        <v>1486.1683375882196</v>
      </c>
      <c r="J76" s="14">
        <f t="shared" si="68"/>
        <v>1478.6976375334616</v>
      </c>
      <c r="K76" s="14">
        <f t="shared" si="68"/>
        <v>1496.0140357613561</v>
      </c>
      <c r="L76" s="14">
        <f t="shared" si="68"/>
        <v>1513.2825953559848</v>
      </c>
      <c r="M76" s="14">
        <f t="shared" si="68"/>
        <v>1535.8294008937462</v>
      </c>
      <c r="N76" s="14">
        <f t="shared" si="68"/>
        <v>1475.1476544779625</v>
      </c>
      <c r="O76" s="14">
        <f t="shared" si="68"/>
        <v>1498.8706651340719</v>
      </c>
      <c r="P76" s="14">
        <f t="shared" si="68"/>
        <v>1570.22653365666</v>
      </c>
      <c r="Q76" s="14">
        <f t="shared" si="68"/>
        <v>1566.4211371531899</v>
      </c>
      <c r="R76" s="14">
        <f t="shared" si="68"/>
        <v>1564.3019256132154</v>
      </c>
      <c r="S76" s="14">
        <f t="shared" si="68"/>
        <v>1577.6325146470717</v>
      </c>
      <c r="T76" s="14">
        <f t="shared" si="68"/>
        <v>1623.466693180327</v>
      </c>
      <c r="U76" s="14">
        <f t="shared" si="68"/>
        <v>1646.0250427922106</v>
      </c>
      <c r="V76" s="14">
        <f t="shared" si="68"/>
        <v>1641.5131070483365</v>
      </c>
      <c r="W76" s="14">
        <f t="shared" ref="W76" si="69">IF(W14=0,0,W14*1000000/W24)</f>
        <v>1650.703107562611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750.91805229026431</v>
      </c>
      <c r="C77" s="39">
        <f t="shared" si="65"/>
        <v>750.91805229026431</v>
      </c>
      <c r="D77" s="39">
        <f t="shared" ref="D77:V77" si="70">IF(D15=0,0,D15*1000000/D25)</f>
        <v>750.91805229026431</v>
      </c>
      <c r="E77" s="39">
        <f t="shared" si="70"/>
        <v>750.91805229026431</v>
      </c>
      <c r="F77" s="39">
        <f t="shared" si="70"/>
        <v>750.91805229026443</v>
      </c>
      <c r="G77" s="39">
        <f t="shared" si="70"/>
        <v>744.64754985173238</v>
      </c>
      <c r="H77" s="39">
        <f t="shared" si="70"/>
        <v>746.03253975638802</v>
      </c>
      <c r="I77" s="39">
        <f t="shared" si="70"/>
        <v>767.85537545972534</v>
      </c>
      <c r="J77" s="39">
        <f t="shared" si="70"/>
        <v>767.39217481158835</v>
      </c>
      <c r="K77" s="39">
        <f t="shared" si="70"/>
        <v>813.5732946558652</v>
      </c>
      <c r="L77" s="39">
        <f t="shared" si="70"/>
        <v>828.65702113156101</v>
      </c>
      <c r="M77" s="39">
        <f t="shared" si="70"/>
        <v>838.7031024970662</v>
      </c>
      <c r="N77" s="39">
        <f t="shared" si="70"/>
        <v>829.0912834769955</v>
      </c>
      <c r="O77" s="39">
        <f t="shared" si="70"/>
        <v>843.475813532546</v>
      </c>
      <c r="P77" s="39">
        <f t="shared" si="70"/>
        <v>869.58301233098848</v>
      </c>
      <c r="Q77" s="39">
        <f t="shared" si="70"/>
        <v>876.06923274668304</v>
      </c>
      <c r="R77" s="39">
        <f t="shared" si="70"/>
        <v>892.0138474110845</v>
      </c>
      <c r="S77" s="39">
        <f t="shared" si="70"/>
        <v>919.26330942629147</v>
      </c>
      <c r="T77" s="39">
        <f t="shared" si="70"/>
        <v>953.39638491585004</v>
      </c>
      <c r="U77" s="39">
        <f t="shared" si="70"/>
        <v>965.68440320782543</v>
      </c>
      <c r="V77" s="39">
        <f t="shared" si="70"/>
        <v>1073.2138242707967</v>
      </c>
      <c r="W77" s="39">
        <f t="shared" ref="W77" si="71">IF(W15=0,0,W15*1000000/W25)</f>
        <v>1093.6771948050296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965.84729861494213</v>
      </c>
      <c r="C78" s="39">
        <f t="shared" si="65"/>
        <v>965.8473141126002</v>
      </c>
      <c r="D78" s="39">
        <f t="shared" ref="D78:V78" si="72">IF(D16=0,0,D16*1000000/D26)</f>
        <v>965.84629823020259</v>
      </c>
      <c r="E78" s="39">
        <f t="shared" si="72"/>
        <v>964.72966146761462</v>
      </c>
      <c r="F78" s="39">
        <f t="shared" si="72"/>
        <v>967.4121046906107</v>
      </c>
      <c r="G78" s="39">
        <f t="shared" si="72"/>
        <v>974.63935879475082</v>
      </c>
      <c r="H78" s="39">
        <f t="shared" si="72"/>
        <v>974.5860176680095</v>
      </c>
      <c r="I78" s="39">
        <f t="shared" si="72"/>
        <v>985.98109876095384</v>
      </c>
      <c r="J78" s="39">
        <f t="shared" si="72"/>
        <v>994.42476945058559</v>
      </c>
      <c r="K78" s="39">
        <f t="shared" si="72"/>
        <v>1001.8373228822614</v>
      </c>
      <c r="L78" s="39">
        <f t="shared" si="72"/>
        <v>1011.4485281363386</v>
      </c>
      <c r="M78" s="39">
        <f t="shared" si="72"/>
        <v>1005.2189292596034</v>
      </c>
      <c r="N78" s="39">
        <f t="shared" si="72"/>
        <v>1003.2795427506293</v>
      </c>
      <c r="O78" s="39">
        <f t="shared" si="72"/>
        <v>1009.6987347608742</v>
      </c>
      <c r="P78" s="39">
        <f t="shared" si="72"/>
        <v>1030.4341380676585</v>
      </c>
      <c r="Q78" s="39">
        <f t="shared" si="72"/>
        <v>1039.2958296977542</v>
      </c>
      <c r="R78" s="39">
        <f t="shared" si="72"/>
        <v>1045.3378264098301</v>
      </c>
      <c r="S78" s="39">
        <f t="shared" si="72"/>
        <v>1051.8113944961447</v>
      </c>
      <c r="T78" s="39">
        <f t="shared" si="72"/>
        <v>1063.5796602264998</v>
      </c>
      <c r="U78" s="39">
        <f t="shared" si="72"/>
        <v>1067.6067933827728</v>
      </c>
      <c r="V78" s="39">
        <f t="shared" si="72"/>
        <v>1072.4668470260106</v>
      </c>
      <c r="W78" s="39">
        <f t="shared" ref="W78" si="73">IF(W16=0,0,W16*1000000/W26)</f>
        <v>1142.4093499501364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3854.7385543752612</v>
      </c>
      <c r="C79" s="39">
        <f t="shared" si="65"/>
        <v>3854.7385543752612</v>
      </c>
      <c r="D79" s="39">
        <f t="shared" ref="D79:V79" si="74">IF(D17=0,0,D17*1000000/D27)</f>
        <v>3854.7385543752612</v>
      </c>
      <c r="E79" s="39">
        <f t="shared" si="74"/>
        <v>3854.7385543752612</v>
      </c>
      <c r="F79" s="39">
        <f t="shared" si="74"/>
        <v>3854.7385543752612</v>
      </c>
      <c r="G79" s="39">
        <f t="shared" si="74"/>
        <v>3887.6409317888442</v>
      </c>
      <c r="H79" s="39">
        <f t="shared" si="74"/>
        <v>3873.4637243326524</v>
      </c>
      <c r="I79" s="39">
        <f t="shared" si="74"/>
        <v>3847.4869158727256</v>
      </c>
      <c r="J79" s="39">
        <f t="shared" si="74"/>
        <v>3773.200545921814</v>
      </c>
      <c r="K79" s="39">
        <f t="shared" si="74"/>
        <v>3721.1810673106606</v>
      </c>
      <c r="L79" s="39">
        <f t="shared" si="74"/>
        <v>3649.9690024743832</v>
      </c>
      <c r="M79" s="39">
        <f t="shared" si="74"/>
        <v>3838.0732568525864</v>
      </c>
      <c r="N79" s="39">
        <f t="shared" si="74"/>
        <v>3638.4956035171858</v>
      </c>
      <c r="O79" s="39">
        <f t="shared" si="74"/>
        <v>3626.6314430400398</v>
      </c>
      <c r="P79" s="39">
        <f t="shared" si="74"/>
        <v>3744.9230974238503</v>
      </c>
      <c r="Q79" s="39">
        <f t="shared" si="74"/>
        <v>3703.1355380008727</v>
      </c>
      <c r="R79" s="39">
        <f t="shared" si="74"/>
        <v>3670.9966102429235</v>
      </c>
      <c r="S79" s="39">
        <f t="shared" si="74"/>
        <v>3639.3584685334372</v>
      </c>
      <c r="T79" s="39">
        <f t="shared" si="74"/>
        <v>3713.2155593231178</v>
      </c>
      <c r="U79" s="39">
        <f t="shared" si="74"/>
        <v>3740.2458904948553</v>
      </c>
      <c r="V79" s="39">
        <f t="shared" si="74"/>
        <v>4037.1551612536186</v>
      </c>
      <c r="W79" s="39">
        <f t="shared" ref="W79" si="75">IF(W17=0,0,W17*1000000/W27)</f>
        <v>3935.7821566574594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2250.0897140314028</v>
      </c>
      <c r="C80" s="15">
        <f t="shared" si="65"/>
        <v>2074.8078825905659</v>
      </c>
      <c r="D80" s="15">
        <f t="shared" ref="D80:V80" si="76">IF(D18=0,0,D18*1000000/D28)</f>
        <v>2211.0643961561723</v>
      </c>
      <c r="E80" s="15">
        <f t="shared" si="76"/>
        <v>2403.2572266678476</v>
      </c>
      <c r="F80" s="15">
        <f t="shared" si="76"/>
        <v>2444.6186242905856</v>
      </c>
      <c r="G80" s="15">
        <f t="shared" si="76"/>
        <v>2553.4670903401825</v>
      </c>
      <c r="H80" s="15">
        <f t="shared" si="76"/>
        <v>2439.6483230701892</v>
      </c>
      <c r="I80" s="15">
        <f t="shared" si="76"/>
        <v>2439.5528907306389</v>
      </c>
      <c r="J80" s="15">
        <f t="shared" si="76"/>
        <v>2429.3820031337873</v>
      </c>
      <c r="K80" s="15">
        <f t="shared" si="76"/>
        <v>2112.8757161267117</v>
      </c>
      <c r="L80" s="15">
        <f t="shared" si="76"/>
        <v>2272.8655478315595</v>
      </c>
      <c r="M80" s="15">
        <f t="shared" si="76"/>
        <v>2402.9696972221086</v>
      </c>
      <c r="N80" s="15">
        <f t="shared" si="76"/>
        <v>2253.3614090810725</v>
      </c>
      <c r="O80" s="15">
        <f t="shared" si="76"/>
        <v>2184.7512801788084</v>
      </c>
      <c r="P80" s="15">
        <f t="shared" si="76"/>
        <v>2244.9854102246113</v>
      </c>
      <c r="Q80" s="15">
        <f t="shared" si="76"/>
        <v>2229.300372482604</v>
      </c>
      <c r="R80" s="15">
        <f t="shared" si="76"/>
        <v>2197.2274323638826</v>
      </c>
      <c r="S80" s="15">
        <f t="shared" si="76"/>
        <v>2152.8809038242866</v>
      </c>
      <c r="T80" s="15">
        <f t="shared" si="76"/>
        <v>2235.370852208081</v>
      </c>
      <c r="U80" s="15">
        <f t="shared" si="76"/>
        <v>2134.2214381829672</v>
      </c>
      <c r="V80" s="15">
        <f t="shared" si="76"/>
        <v>2446.6562818394946</v>
      </c>
      <c r="W80" s="15">
        <f t="shared" ref="W80" si="77">IF(W18=0,0,W18*1000000/W28)</f>
        <v>2365.5884050870745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840.32146636294499</v>
      </c>
      <c r="C81" s="41">
        <f t="shared" si="65"/>
        <v>840.32146636294499</v>
      </c>
      <c r="D81" s="41">
        <f t="shared" ref="D81:V81" si="78">IF(D19=0,0,D19*1000000/D29)</f>
        <v>840.32146636294488</v>
      </c>
      <c r="E81" s="41">
        <f t="shared" si="78"/>
        <v>840.32146636294499</v>
      </c>
      <c r="F81" s="41">
        <f t="shared" si="78"/>
        <v>840.32146636294499</v>
      </c>
      <c r="G81" s="41">
        <f t="shared" si="78"/>
        <v>834.05096392441305</v>
      </c>
      <c r="H81" s="41">
        <f t="shared" si="78"/>
        <v>755.95731643136048</v>
      </c>
      <c r="I81" s="41">
        <f t="shared" si="78"/>
        <v>698.30151473699016</v>
      </c>
      <c r="J81" s="41">
        <f t="shared" si="78"/>
        <v>618.35967669114507</v>
      </c>
      <c r="K81" s="41">
        <f t="shared" si="78"/>
        <v>585.06215913771382</v>
      </c>
      <c r="L81" s="41">
        <f t="shared" si="78"/>
        <v>520.66724821570187</v>
      </c>
      <c r="M81" s="41">
        <f t="shared" si="78"/>
        <v>524.73716915287901</v>
      </c>
      <c r="N81" s="41">
        <f t="shared" si="78"/>
        <v>509.14918970448042</v>
      </c>
      <c r="O81" s="41">
        <f t="shared" si="78"/>
        <v>509.72902670753365</v>
      </c>
      <c r="P81" s="41">
        <f t="shared" si="78"/>
        <v>522.0315324534788</v>
      </c>
      <c r="Q81" s="41">
        <f t="shared" si="78"/>
        <v>514.71305981667604</v>
      </c>
      <c r="R81" s="41">
        <f t="shared" si="78"/>
        <v>516.85298142858016</v>
      </c>
      <c r="S81" s="41">
        <f t="shared" si="78"/>
        <v>530.29775039128981</v>
      </c>
      <c r="T81" s="41">
        <f t="shared" si="78"/>
        <v>550.62613282835105</v>
      </c>
      <c r="U81" s="41">
        <f t="shared" si="78"/>
        <v>551.75054669150404</v>
      </c>
      <c r="V81" s="41">
        <f t="shared" si="78"/>
        <v>659.27996775447571</v>
      </c>
      <c r="W81" s="41">
        <f t="shared" ref="W81" si="79">IF(W19=0,0,W19*1000000/W29)</f>
        <v>679.7433382887084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828.73458811117666</v>
      </c>
      <c r="C82" s="41">
        <f t="shared" si="65"/>
        <v>827.89767493517411</v>
      </c>
      <c r="D82" s="41">
        <f t="shared" ref="D82:V82" si="80">IF(D20=0,0,D20*1000000/D30)</f>
        <v>828.53538189182041</v>
      </c>
      <c r="E82" s="41">
        <f t="shared" si="80"/>
        <v>827.3490820014797</v>
      </c>
      <c r="F82" s="41">
        <f t="shared" si="80"/>
        <v>828.90777525490535</v>
      </c>
      <c r="G82" s="41">
        <f t="shared" si="80"/>
        <v>831.58103374854852</v>
      </c>
      <c r="H82" s="41">
        <f t="shared" si="80"/>
        <v>834.08415021800568</v>
      </c>
      <c r="I82" s="41">
        <f t="shared" si="80"/>
        <v>855.6184356180778</v>
      </c>
      <c r="J82" s="41">
        <f t="shared" si="80"/>
        <v>880.60777281740343</v>
      </c>
      <c r="K82" s="41">
        <f t="shared" si="80"/>
        <v>904.71813429651115</v>
      </c>
      <c r="L82" s="41">
        <f t="shared" si="80"/>
        <v>921.44609822160078</v>
      </c>
      <c r="M82" s="41">
        <f t="shared" si="80"/>
        <v>917.21855264846863</v>
      </c>
      <c r="N82" s="41">
        <f t="shared" si="80"/>
        <v>924.23190513164695</v>
      </c>
      <c r="O82" s="41">
        <f t="shared" si="80"/>
        <v>916.05414100575229</v>
      </c>
      <c r="P82" s="41">
        <f t="shared" si="80"/>
        <v>921.74697342181457</v>
      </c>
      <c r="Q82" s="41">
        <f t="shared" si="80"/>
        <v>912.62061860015172</v>
      </c>
      <c r="R82" s="41">
        <f t="shared" si="80"/>
        <v>906.87457997914669</v>
      </c>
      <c r="S82" s="41">
        <f t="shared" si="80"/>
        <v>901.87092828110292</v>
      </c>
      <c r="T82" s="41">
        <f t="shared" si="80"/>
        <v>897.18144788491952</v>
      </c>
      <c r="U82" s="41">
        <f t="shared" si="80"/>
        <v>890.36547161393116</v>
      </c>
      <c r="V82" s="41">
        <f t="shared" si="80"/>
        <v>890.55320002654287</v>
      </c>
      <c r="W82" s="41">
        <f t="shared" ref="W82" si="81">IF(W20=0,0,W20*1000000/W30)</f>
        <v>916.2924507786347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5793.5968844304643</v>
      </c>
      <c r="C83" s="40">
        <f t="shared" si="65"/>
        <v>5793.5968844304643</v>
      </c>
      <c r="D83" s="40">
        <f t="shared" ref="D83:V83" si="82">IF(D21=0,0,D21*1000000/D31)</f>
        <v>5793.5968844304643</v>
      </c>
      <c r="E83" s="40">
        <f t="shared" si="82"/>
        <v>5793.5968844304643</v>
      </c>
      <c r="F83" s="40">
        <f t="shared" si="82"/>
        <v>5793.5968844304643</v>
      </c>
      <c r="G83" s="40">
        <f t="shared" si="82"/>
        <v>5826.4992618440492</v>
      </c>
      <c r="H83" s="40">
        <f t="shared" si="82"/>
        <v>5770.6966186640839</v>
      </c>
      <c r="I83" s="40">
        <f t="shared" si="82"/>
        <v>5703.0943744803863</v>
      </c>
      <c r="J83" s="40">
        <f t="shared" si="82"/>
        <v>5587.1825688057042</v>
      </c>
      <c r="K83" s="40">
        <f t="shared" si="82"/>
        <v>5493.5376544707815</v>
      </c>
      <c r="L83" s="40">
        <f t="shared" si="82"/>
        <v>5380.7001539107314</v>
      </c>
      <c r="M83" s="40">
        <f t="shared" si="82"/>
        <v>5694.1268266270072</v>
      </c>
      <c r="N83" s="40">
        <f t="shared" si="82"/>
        <v>5619.871591629676</v>
      </c>
      <c r="O83" s="40">
        <f t="shared" si="82"/>
        <v>5524.4817692061933</v>
      </c>
      <c r="P83" s="40">
        <f t="shared" si="82"/>
        <v>5559.2477616436636</v>
      </c>
      <c r="Q83" s="40">
        <f t="shared" si="82"/>
        <v>5433.9345402743475</v>
      </c>
      <c r="R83" s="40">
        <f t="shared" si="82"/>
        <v>5318.2699505700575</v>
      </c>
      <c r="S83" s="40">
        <f t="shared" si="82"/>
        <v>5203.1061469142323</v>
      </c>
      <c r="T83" s="40">
        <f t="shared" si="82"/>
        <v>5193.4375757575745</v>
      </c>
      <c r="U83" s="40">
        <f t="shared" si="82"/>
        <v>5049.2811582860495</v>
      </c>
      <c r="V83" s="40">
        <f t="shared" si="82"/>
        <v>5346.1904290448128</v>
      </c>
      <c r="W83" s="40">
        <f t="shared" ref="W83" si="83">IF(W21=0,0,W21*1000000/W31)</f>
        <v>5244.8174244486518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137870.05136235271</v>
      </c>
      <c r="C86" s="11">
        <f t="shared" si="84"/>
        <v>139125.5287377713</v>
      </c>
      <c r="D86" s="11">
        <f t="shared" ref="D86:V86" si="85">IF(D4=0,0,D4*1000000/D24)</f>
        <v>139983.39895740314</v>
      </c>
      <c r="E86" s="11">
        <f t="shared" si="85"/>
        <v>140339.36078704367</v>
      </c>
      <c r="F86" s="11">
        <f t="shared" si="85"/>
        <v>155339.31147840703</v>
      </c>
      <c r="G86" s="11">
        <f t="shared" si="85"/>
        <v>165802.73921720494</v>
      </c>
      <c r="H86" s="11">
        <f t="shared" si="85"/>
        <v>165100.79082672583</v>
      </c>
      <c r="I86" s="11">
        <f t="shared" si="85"/>
        <v>169945.0486529363</v>
      </c>
      <c r="J86" s="11">
        <f t="shared" si="85"/>
        <v>171381.8051550496</v>
      </c>
      <c r="K86" s="11">
        <f t="shared" si="85"/>
        <v>181054.71516491642</v>
      </c>
      <c r="L86" s="11">
        <f t="shared" si="85"/>
        <v>208349.21070553869</v>
      </c>
      <c r="M86" s="11">
        <f t="shared" si="85"/>
        <v>215001.50732339887</v>
      </c>
      <c r="N86" s="11">
        <f t="shared" si="85"/>
        <v>217876.45779183242</v>
      </c>
      <c r="O86" s="11">
        <f t="shared" si="85"/>
        <v>229335.6413554404</v>
      </c>
      <c r="P86" s="11">
        <f t="shared" si="85"/>
        <v>244608.35907135293</v>
      </c>
      <c r="Q86" s="11">
        <f t="shared" si="85"/>
        <v>246181.81969863287</v>
      </c>
      <c r="R86" s="11">
        <f t="shared" si="85"/>
        <v>244115.08551599339</v>
      </c>
      <c r="S86" s="11">
        <f t="shared" si="85"/>
        <v>254317.68132541099</v>
      </c>
      <c r="T86" s="11">
        <f t="shared" si="85"/>
        <v>271865.29541608057</v>
      </c>
      <c r="U86" s="11">
        <f t="shared" si="85"/>
        <v>279578.68393276271</v>
      </c>
      <c r="V86" s="11">
        <f t="shared" si="85"/>
        <v>226936.63451241274</v>
      </c>
      <c r="W86" s="11">
        <f t="shared" ref="W86" si="86">IF(W4=0,0,W4*1000000/W24)</f>
        <v>215939.48777840016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52463.164720957946</v>
      </c>
      <c r="C87" s="36">
        <f t="shared" si="84"/>
        <v>53180.467162758767</v>
      </c>
      <c r="D87" s="36">
        <f t="shared" ref="D87:V87" si="87">IF(D5=0,0,D5*1000000/D25)</f>
        <v>53901.704401335657</v>
      </c>
      <c r="E87" s="36">
        <f t="shared" si="87"/>
        <v>53266.675149182302</v>
      </c>
      <c r="F87" s="36">
        <f t="shared" si="87"/>
        <v>56783.944941401198</v>
      </c>
      <c r="G87" s="36">
        <f t="shared" si="87"/>
        <v>57017.156411689139</v>
      </c>
      <c r="H87" s="36">
        <f t="shared" si="87"/>
        <v>56786.912152438636</v>
      </c>
      <c r="I87" s="36">
        <f t="shared" si="87"/>
        <v>59833.113570602211</v>
      </c>
      <c r="J87" s="36">
        <f t="shared" si="87"/>
        <v>58961.311258879061</v>
      </c>
      <c r="K87" s="36">
        <f t="shared" si="87"/>
        <v>65210.625878239087</v>
      </c>
      <c r="L87" s="36">
        <f t="shared" si="87"/>
        <v>76999.443378190699</v>
      </c>
      <c r="M87" s="36">
        <f t="shared" si="87"/>
        <v>78995.291565823063</v>
      </c>
      <c r="N87" s="36">
        <f t="shared" si="87"/>
        <v>78676.394647435489</v>
      </c>
      <c r="O87" s="36">
        <f t="shared" si="87"/>
        <v>82640.188200557706</v>
      </c>
      <c r="P87" s="36">
        <f t="shared" si="87"/>
        <v>88271.182427533757</v>
      </c>
      <c r="Q87" s="36">
        <f t="shared" si="87"/>
        <v>90428.439027976798</v>
      </c>
      <c r="R87" s="36">
        <f t="shared" si="87"/>
        <v>94605.873273663878</v>
      </c>
      <c r="S87" s="36">
        <f t="shared" si="87"/>
        <v>100500.56547080135</v>
      </c>
      <c r="T87" s="36">
        <f t="shared" si="87"/>
        <v>108442.34905779808</v>
      </c>
      <c r="U87" s="36">
        <f t="shared" si="87"/>
        <v>111115.57125274507</v>
      </c>
      <c r="V87" s="36">
        <f t="shared" si="87"/>
        <v>112151.67196919851</v>
      </c>
      <c r="W87" s="36">
        <f t="shared" ref="W87" si="88">IF(W5=0,0,W5*1000000/W25)</f>
        <v>120982.41277736363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74981.423803538841</v>
      </c>
      <c r="C88" s="36">
        <f t="shared" si="84"/>
        <v>76667.843271255813</v>
      </c>
      <c r="D88" s="36">
        <f t="shared" ref="D88:V88" si="89">IF(D6=0,0,D6*1000000/D26)</f>
        <v>77464.907818215404</v>
      </c>
      <c r="E88" s="36">
        <f t="shared" si="89"/>
        <v>78017.47638155389</v>
      </c>
      <c r="F88" s="36">
        <f t="shared" si="89"/>
        <v>80948.05003002903</v>
      </c>
      <c r="G88" s="36">
        <f t="shared" si="89"/>
        <v>85698.438314360043</v>
      </c>
      <c r="H88" s="36">
        <f t="shared" si="89"/>
        <v>83721.224680041065</v>
      </c>
      <c r="I88" s="36">
        <f t="shared" si="89"/>
        <v>83649.920217707826</v>
      </c>
      <c r="J88" s="36">
        <f t="shared" si="89"/>
        <v>82538.972348104639</v>
      </c>
      <c r="K88" s="36">
        <f t="shared" si="89"/>
        <v>86434.141842686542</v>
      </c>
      <c r="L88" s="36">
        <f t="shared" si="89"/>
        <v>97454.23301142604</v>
      </c>
      <c r="M88" s="36">
        <f t="shared" si="89"/>
        <v>100828.61107921175</v>
      </c>
      <c r="N88" s="36">
        <f t="shared" si="89"/>
        <v>105373.84001185902</v>
      </c>
      <c r="O88" s="36">
        <f t="shared" si="89"/>
        <v>111405.63052924427</v>
      </c>
      <c r="P88" s="36">
        <f t="shared" si="89"/>
        <v>118324.9519187851</v>
      </c>
      <c r="Q88" s="36">
        <f t="shared" si="89"/>
        <v>121469.43857301337</v>
      </c>
      <c r="R88" s="36">
        <f t="shared" si="89"/>
        <v>123964.95634750131</v>
      </c>
      <c r="S88" s="36">
        <f t="shared" si="89"/>
        <v>129834.64909225967</v>
      </c>
      <c r="T88" s="36">
        <f t="shared" si="89"/>
        <v>135590.68235699116</v>
      </c>
      <c r="U88" s="36">
        <f t="shared" si="89"/>
        <v>137688.77071916635</v>
      </c>
      <c r="V88" s="36">
        <f t="shared" si="89"/>
        <v>115678.60350686702</v>
      </c>
      <c r="W88" s="36">
        <f t="shared" ref="W88" si="90">IF(W6=0,0,W6*1000000/W26)</f>
        <v>128673.51646917028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465472.18986560754</v>
      </c>
      <c r="C89" s="36">
        <f t="shared" si="84"/>
        <v>473911.34452476783</v>
      </c>
      <c r="D89" s="36">
        <f t="shared" ref="D89:V89" si="91">IF(D7=0,0,D7*1000000/D27)</f>
        <v>482211.33527210832</v>
      </c>
      <c r="E89" s="36">
        <f t="shared" si="91"/>
        <v>481492.26994140336</v>
      </c>
      <c r="F89" s="36">
        <f t="shared" si="91"/>
        <v>519574.47247648035</v>
      </c>
      <c r="G89" s="36">
        <f t="shared" si="91"/>
        <v>547355.94437919068</v>
      </c>
      <c r="H89" s="36">
        <f t="shared" si="91"/>
        <v>549657.84929877613</v>
      </c>
      <c r="I89" s="36">
        <f t="shared" si="91"/>
        <v>549264.14899222401</v>
      </c>
      <c r="J89" s="36">
        <f t="shared" si="91"/>
        <v>556085.18506861734</v>
      </c>
      <c r="K89" s="36">
        <f t="shared" si="91"/>
        <v>577443.12386101868</v>
      </c>
      <c r="L89" s="36">
        <f t="shared" si="91"/>
        <v>642774.35734852368</v>
      </c>
      <c r="M89" s="36">
        <f t="shared" si="91"/>
        <v>683006.85240221187</v>
      </c>
      <c r="N89" s="36">
        <f t="shared" si="91"/>
        <v>703649.41278972407</v>
      </c>
      <c r="O89" s="36">
        <f t="shared" si="91"/>
        <v>720039.13499837485</v>
      </c>
      <c r="P89" s="36">
        <f t="shared" si="91"/>
        <v>739662.50506830355</v>
      </c>
      <c r="Q89" s="36">
        <f t="shared" si="91"/>
        <v>738194.3842565607</v>
      </c>
      <c r="R89" s="36">
        <f t="shared" si="91"/>
        <v>721054.0711651704</v>
      </c>
      <c r="S89" s="36">
        <f t="shared" si="91"/>
        <v>738881.23736452812</v>
      </c>
      <c r="T89" s="36">
        <f t="shared" si="91"/>
        <v>781054.15646635252</v>
      </c>
      <c r="U89" s="36">
        <f t="shared" si="91"/>
        <v>795850.47381119337</v>
      </c>
      <c r="V89" s="36">
        <f t="shared" si="91"/>
        <v>704336.49162296753</v>
      </c>
      <c r="W89" s="36">
        <f t="shared" ref="W89" si="92">IF(W7=0,0,W7*1000000/W27)</f>
        <v>606597.50795765885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149414.55020211326</v>
      </c>
      <c r="C90" s="13">
        <f t="shared" si="84"/>
        <v>138338.99685031103</v>
      </c>
      <c r="D90" s="13">
        <f t="shared" ref="D90:V90" si="93">IF(D8=0,0,D8*1000000/D28)</f>
        <v>144194.74029337996</v>
      </c>
      <c r="E90" s="13">
        <f t="shared" si="93"/>
        <v>149206.85598797779</v>
      </c>
      <c r="F90" s="13">
        <f t="shared" si="93"/>
        <v>148059.95160009223</v>
      </c>
      <c r="G90" s="13">
        <f t="shared" si="93"/>
        <v>148203.99656532559</v>
      </c>
      <c r="H90" s="13">
        <f t="shared" si="93"/>
        <v>136714.04724151234</v>
      </c>
      <c r="I90" s="13">
        <f t="shared" si="93"/>
        <v>135807.90886804674</v>
      </c>
      <c r="J90" s="13">
        <f t="shared" si="93"/>
        <v>134129.99962129717</v>
      </c>
      <c r="K90" s="13">
        <f t="shared" si="93"/>
        <v>125769.22578746358</v>
      </c>
      <c r="L90" s="13">
        <f t="shared" si="93"/>
        <v>142642.97837958427</v>
      </c>
      <c r="M90" s="13">
        <f t="shared" si="93"/>
        <v>159310.1760775919</v>
      </c>
      <c r="N90" s="13">
        <f t="shared" si="93"/>
        <v>161101.4500790186</v>
      </c>
      <c r="O90" s="13">
        <f t="shared" si="93"/>
        <v>155957.96436841582</v>
      </c>
      <c r="P90" s="13">
        <f t="shared" si="93"/>
        <v>183068.01655829541</v>
      </c>
      <c r="Q90" s="13">
        <f t="shared" si="93"/>
        <v>180632.80883918796</v>
      </c>
      <c r="R90" s="13">
        <f t="shared" si="93"/>
        <v>191886.67440767121</v>
      </c>
      <c r="S90" s="13">
        <f t="shared" si="93"/>
        <v>182672.87309338254</v>
      </c>
      <c r="T90" s="13">
        <f t="shared" si="93"/>
        <v>195645.96448361455</v>
      </c>
      <c r="U90" s="13">
        <f t="shared" si="93"/>
        <v>191773.9895490451</v>
      </c>
      <c r="V90" s="13">
        <f t="shared" si="93"/>
        <v>150010.17138994028</v>
      </c>
      <c r="W90" s="13">
        <f t="shared" ref="W90" si="94">IF(W8=0,0,W8*1000000/W28)</f>
        <v>132378.37218122021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9092.3180137726649</v>
      </c>
      <c r="C91" s="34">
        <f t="shared" si="84"/>
        <v>9022.992262148211</v>
      </c>
      <c r="D91" s="34">
        <f t="shared" ref="D91:V91" si="95">IF(D9=0,0,D9*1000000/D29)</f>
        <v>9278.6050286411573</v>
      </c>
      <c r="E91" s="34">
        <f t="shared" si="95"/>
        <v>9869.5356046219695</v>
      </c>
      <c r="F91" s="34">
        <f t="shared" si="95"/>
        <v>9293.7285762406755</v>
      </c>
      <c r="G91" s="34">
        <f t="shared" si="95"/>
        <v>9027.2669567967423</v>
      </c>
      <c r="H91" s="34">
        <f t="shared" si="95"/>
        <v>7870.2408730616262</v>
      </c>
      <c r="I91" s="34">
        <f t="shared" si="95"/>
        <v>7242.995774195575</v>
      </c>
      <c r="J91" s="34">
        <f t="shared" si="95"/>
        <v>6170.6814037712311</v>
      </c>
      <c r="K91" s="34">
        <f t="shared" si="95"/>
        <v>5888.8381591426223</v>
      </c>
      <c r="L91" s="34">
        <f t="shared" si="95"/>
        <v>5605.2201515589932</v>
      </c>
      <c r="M91" s="34">
        <f t="shared" si="95"/>
        <v>6185.5958785724342</v>
      </c>
      <c r="N91" s="34">
        <f t="shared" si="95"/>
        <v>6077.21114877317</v>
      </c>
      <c r="O91" s="34">
        <f t="shared" si="95"/>
        <v>6226.3282957593456</v>
      </c>
      <c r="P91" s="34">
        <f t="shared" si="95"/>
        <v>7134.7131626168748</v>
      </c>
      <c r="Q91" s="34">
        <f t="shared" si="95"/>
        <v>7214.2956551283969</v>
      </c>
      <c r="R91" s="34">
        <f t="shared" si="95"/>
        <v>8305.7257991633924</v>
      </c>
      <c r="S91" s="34">
        <f t="shared" si="95"/>
        <v>7839.7152601763128</v>
      </c>
      <c r="T91" s="34">
        <f t="shared" si="95"/>
        <v>8305.3245358167333</v>
      </c>
      <c r="U91" s="34">
        <f t="shared" si="95"/>
        <v>9170.8815674677571</v>
      </c>
      <c r="V91" s="34">
        <f t="shared" si="95"/>
        <v>10121.141249316654</v>
      </c>
      <c r="W91" s="34">
        <f t="shared" ref="W91" si="96">IF(W9=0,0,W9*1000000/W29)</f>
        <v>10612.549487824956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20802.176204617528</v>
      </c>
      <c r="C92" s="34">
        <f t="shared" si="84"/>
        <v>21648.641093015398</v>
      </c>
      <c r="D92" s="34">
        <f t="shared" ref="D92:V92" si="97">IF(D10=0,0,D10*1000000/D30)</f>
        <v>20354.750879031057</v>
      </c>
      <c r="E92" s="34">
        <f t="shared" si="97"/>
        <v>20750.002672237046</v>
      </c>
      <c r="F92" s="34">
        <f t="shared" si="97"/>
        <v>19024.003211510088</v>
      </c>
      <c r="G92" s="34">
        <f t="shared" si="97"/>
        <v>18673.525235654277</v>
      </c>
      <c r="H92" s="34">
        <f t="shared" si="97"/>
        <v>15679.091045036015</v>
      </c>
      <c r="I92" s="34">
        <f t="shared" si="97"/>
        <v>15483.865206765819</v>
      </c>
      <c r="J92" s="34">
        <f t="shared" si="97"/>
        <v>15453.972350933494</v>
      </c>
      <c r="K92" s="34">
        <f t="shared" si="97"/>
        <v>16250.568898049039</v>
      </c>
      <c r="L92" s="34">
        <f t="shared" si="97"/>
        <v>16655.407870676303</v>
      </c>
      <c r="M92" s="34">
        <f t="shared" si="97"/>
        <v>17448.32641751054</v>
      </c>
      <c r="N92" s="34">
        <f t="shared" si="97"/>
        <v>19083.938807172595</v>
      </c>
      <c r="O92" s="34">
        <f t="shared" si="97"/>
        <v>18875.522360046227</v>
      </c>
      <c r="P92" s="34">
        <f t="shared" si="97"/>
        <v>21967.478577091664</v>
      </c>
      <c r="Q92" s="34">
        <f t="shared" si="97"/>
        <v>21634.821077385666</v>
      </c>
      <c r="R92" s="34">
        <f t="shared" si="97"/>
        <v>23710.643920888742</v>
      </c>
      <c r="S92" s="34">
        <f t="shared" si="97"/>
        <v>21505.253165037426</v>
      </c>
      <c r="T92" s="34">
        <f t="shared" si="97"/>
        <v>21735.771572255067</v>
      </c>
      <c r="U92" s="34">
        <f t="shared" si="97"/>
        <v>22617.419058890489</v>
      </c>
      <c r="V92" s="34">
        <f t="shared" si="97"/>
        <v>19087.390003939327</v>
      </c>
      <c r="W92" s="34">
        <f t="shared" ref="W92" si="98">IF(W10=0,0,W10*1000000/W30)</f>
        <v>18206.936377397768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493944.2766622394</v>
      </c>
      <c r="C93" s="35">
        <f t="shared" si="84"/>
        <v>517440.62506200909</v>
      </c>
      <c r="D93" s="35">
        <f t="shared" ref="D93:V93" si="99">IF(D11=0,0,D11*1000000/D31)</f>
        <v>488682.24721936748</v>
      </c>
      <c r="E93" s="35">
        <f t="shared" si="99"/>
        <v>444101.56854713638</v>
      </c>
      <c r="F93" s="35">
        <f t="shared" si="99"/>
        <v>431081.01832389418</v>
      </c>
      <c r="G93" s="35">
        <f t="shared" si="99"/>
        <v>407709.32797899336</v>
      </c>
      <c r="H93" s="35">
        <f t="shared" si="99"/>
        <v>390352.55801970465</v>
      </c>
      <c r="I93" s="35">
        <f t="shared" si="99"/>
        <v>379354.02331388521</v>
      </c>
      <c r="J93" s="35">
        <f t="shared" si="99"/>
        <v>364146.21456996637</v>
      </c>
      <c r="K93" s="35">
        <f t="shared" si="99"/>
        <v>403790.8118202886</v>
      </c>
      <c r="L93" s="35">
        <f t="shared" si="99"/>
        <v>402083.44946665433</v>
      </c>
      <c r="M93" s="35">
        <f t="shared" si="99"/>
        <v>446012.3408169602</v>
      </c>
      <c r="N93" s="35">
        <f t="shared" si="99"/>
        <v>483144.88724644197</v>
      </c>
      <c r="O93" s="35">
        <f t="shared" si="99"/>
        <v>479650.39441355446</v>
      </c>
      <c r="P93" s="35">
        <f t="shared" si="99"/>
        <v>548644.87712686043</v>
      </c>
      <c r="Q93" s="35">
        <f t="shared" si="99"/>
        <v>531339.57021412475</v>
      </c>
      <c r="R93" s="35">
        <f t="shared" si="99"/>
        <v>561116.41968547483</v>
      </c>
      <c r="S93" s="35">
        <f t="shared" si="99"/>
        <v>539385.94524686376</v>
      </c>
      <c r="T93" s="35">
        <f t="shared" si="99"/>
        <v>547779.05816468073</v>
      </c>
      <c r="U93" s="35">
        <f t="shared" si="99"/>
        <v>553729.71339255793</v>
      </c>
      <c r="V93" s="35">
        <f t="shared" si="99"/>
        <v>385751.2142993391</v>
      </c>
      <c r="W93" s="35">
        <f t="shared" ref="W93" si="100">IF(W11=0,0,W11*1000000/W31)</f>
        <v>350363.9676438226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1057.2142642674171</v>
      </c>
      <c r="C95" s="62">
        <f t="shared" si="101"/>
        <v>1064.1311316475771</v>
      </c>
      <c r="D95" s="62">
        <f t="shared" ref="D95:V95" si="102">IF(D23=0,0,D23/D43)</f>
        <v>1068.5735076000879</v>
      </c>
      <c r="E95" s="62">
        <f t="shared" si="102"/>
        <v>1062.3900573020599</v>
      </c>
      <c r="F95" s="62">
        <f t="shared" si="102"/>
        <v>1040.5289495915627</v>
      </c>
      <c r="G95" s="62">
        <f t="shared" si="102"/>
        <v>1024.2925069426035</v>
      </c>
      <c r="H95" s="62">
        <f t="shared" si="102"/>
        <v>1026.9323651265204</v>
      </c>
      <c r="I95" s="62">
        <f t="shared" si="102"/>
        <v>1010.6414318270702</v>
      </c>
      <c r="J95" s="62">
        <f t="shared" si="102"/>
        <v>1015.9280422780751</v>
      </c>
      <c r="K95" s="62">
        <f t="shared" si="102"/>
        <v>1005.6039331359431</v>
      </c>
      <c r="L95" s="62">
        <f t="shared" si="102"/>
        <v>991.87954131481456</v>
      </c>
      <c r="M95" s="62">
        <f t="shared" si="102"/>
        <v>990.86808060252713</v>
      </c>
      <c r="N95" s="62">
        <f t="shared" si="102"/>
        <v>1020.7796387225789</v>
      </c>
      <c r="O95" s="62">
        <f t="shared" si="102"/>
        <v>1012.5357726587222</v>
      </c>
      <c r="P95" s="62">
        <f t="shared" si="102"/>
        <v>974.79827104153219</v>
      </c>
      <c r="Q95" s="62">
        <f t="shared" si="102"/>
        <v>977.41830863566838</v>
      </c>
      <c r="R95" s="62">
        <f t="shared" si="102"/>
        <v>980.39742017587264</v>
      </c>
      <c r="S95" s="62">
        <f t="shared" si="102"/>
        <v>979.9343900962391</v>
      </c>
      <c r="T95" s="62">
        <f t="shared" si="102"/>
        <v>960.03421773409559</v>
      </c>
      <c r="U95" s="62">
        <f t="shared" si="102"/>
        <v>954.57477881568025</v>
      </c>
      <c r="V95" s="62">
        <f t="shared" si="102"/>
        <v>427.26873975131178</v>
      </c>
      <c r="W95" s="62">
        <f t="shared" ref="W95" si="103">IF(W23=0,0,W23/W43)</f>
        <v>566.95540365248519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1085.9600627033417</v>
      </c>
      <c r="C96" s="11">
        <f t="shared" si="104"/>
        <v>1092.0591437021403</v>
      </c>
      <c r="D96" s="11">
        <f t="shared" ref="D96:V96" si="105">IF(D24=0,0,D24/D44)</f>
        <v>1098.3304626896318</v>
      </c>
      <c r="E96" s="11">
        <f t="shared" si="105"/>
        <v>1095.3323828380289</v>
      </c>
      <c r="F96" s="11">
        <f t="shared" si="105"/>
        <v>1071.7525438230141</v>
      </c>
      <c r="G96" s="11">
        <f t="shared" si="105"/>
        <v>1056.2509735710439</v>
      </c>
      <c r="H96" s="11">
        <f t="shared" si="105"/>
        <v>1058.1023872248211</v>
      </c>
      <c r="I96" s="11">
        <f t="shared" si="105"/>
        <v>1041.2318142953661</v>
      </c>
      <c r="J96" s="11">
        <f t="shared" si="105"/>
        <v>1046.1353211188812</v>
      </c>
      <c r="K96" s="11">
        <f t="shared" si="105"/>
        <v>1037.642847561568</v>
      </c>
      <c r="L96" s="11">
        <f t="shared" si="105"/>
        <v>1022.1005714656233</v>
      </c>
      <c r="M96" s="11">
        <f t="shared" si="105"/>
        <v>1020.846241082303</v>
      </c>
      <c r="N96" s="11">
        <f t="shared" si="105"/>
        <v>1051.6912768048117</v>
      </c>
      <c r="O96" s="11">
        <f t="shared" si="105"/>
        <v>1039.325133094851</v>
      </c>
      <c r="P96" s="11">
        <f t="shared" si="105"/>
        <v>1004.782912535392</v>
      </c>
      <c r="Q96" s="11">
        <f t="shared" si="105"/>
        <v>1006.9613209924291</v>
      </c>
      <c r="R96" s="11">
        <f t="shared" si="105"/>
        <v>1009.9429248755773</v>
      </c>
      <c r="S96" s="11">
        <f t="shared" si="105"/>
        <v>1004.5892075007803</v>
      </c>
      <c r="T96" s="11">
        <f t="shared" si="105"/>
        <v>984.19162684223238</v>
      </c>
      <c r="U96" s="11">
        <f t="shared" si="105"/>
        <v>974.28169673434854</v>
      </c>
      <c r="V96" s="11">
        <f t="shared" si="105"/>
        <v>412.64675765496276</v>
      </c>
      <c r="W96" s="11">
        <f t="shared" ref="W96" si="106">IF(W24=0,0,W24/W44)</f>
        <v>561.22472865219981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1779</v>
      </c>
      <c r="C97" s="36">
        <f t="shared" si="104"/>
        <v>1779</v>
      </c>
      <c r="D97" s="36">
        <f t="shared" ref="D97:V97" si="107">IF(D25=0,0,D25/D45)</f>
        <v>1779</v>
      </c>
      <c r="E97" s="36">
        <f t="shared" si="107"/>
        <v>1779</v>
      </c>
      <c r="F97" s="36">
        <f t="shared" si="107"/>
        <v>1779</v>
      </c>
      <c r="G97" s="36">
        <f t="shared" si="107"/>
        <v>1786</v>
      </c>
      <c r="H97" s="36">
        <f t="shared" si="107"/>
        <v>1785</v>
      </c>
      <c r="I97" s="36">
        <f t="shared" si="107"/>
        <v>1761</v>
      </c>
      <c r="J97" s="36">
        <f t="shared" si="107"/>
        <v>1762</v>
      </c>
      <c r="K97" s="36">
        <f t="shared" si="107"/>
        <v>1714</v>
      </c>
      <c r="L97" s="36">
        <f t="shared" si="107"/>
        <v>1680.8523397119613</v>
      </c>
      <c r="M97" s="36">
        <f t="shared" si="107"/>
        <v>1690</v>
      </c>
      <c r="N97" s="36">
        <f t="shared" si="107"/>
        <v>1699</v>
      </c>
      <c r="O97" s="36">
        <f t="shared" si="107"/>
        <v>1685</v>
      </c>
      <c r="P97" s="36">
        <f t="shared" si="107"/>
        <v>1659.9999999999998</v>
      </c>
      <c r="Q97" s="36">
        <f t="shared" si="107"/>
        <v>1654</v>
      </c>
      <c r="R97" s="36">
        <f t="shared" si="107"/>
        <v>1639</v>
      </c>
      <c r="S97" s="36">
        <f t="shared" si="107"/>
        <v>1614.9999999999998</v>
      </c>
      <c r="T97" s="36">
        <f t="shared" si="107"/>
        <v>1585</v>
      </c>
      <c r="U97" s="36">
        <f t="shared" si="107"/>
        <v>1575</v>
      </c>
      <c r="V97" s="36">
        <f t="shared" si="107"/>
        <v>853.48657725708358</v>
      </c>
      <c r="W97" s="36">
        <f t="shared" ref="W97" si="108">IF(W25=0,0,W25/W45)</f>
        <v>1169.4372493850608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1429.6645388665302</v>
      </c>
      <c r="C98" s="36">
        <f t="shared" si="104"/>
        <v>1429.6645290970121</v>
      </c>
      <c r="D98" s="36">
        <f t="shared" ref="D98:V98" si="109">IF(D26=0,0,D26/D46)</f>
        <v>1429.6651839357478</v>
      </c>
      <c r="E98" s="36">
        <f t="shared" si="109"/>
        <v>1430.3862423997441</v>
      </c>
      <c r="F98" s="36">
        <f t="shared" si="109"/>
        <v>1428.6547544328246</v>
      </c>
      <c r="G98" s="36">
        <f t="shared" si="109"/>
        <v>1424.0459450005692</v>
      </c>
      <c r="H98" s="36">
        <f t="shared" si="109"/>
        <v>1424.0809981042712</v>
      </c>
      <c r="I98" s="36">
        <f t="shared" si="109"/>
        <v>1417.1419018688077</v>
      </c>
      <c r="J98" s="36">
        <f t="shared" si="109"/>
        <v>1411.9631753959072</v>
      </c>
      <c r="K98" s="36">
        <f t="shared" si="109"/>
        <v>1396.1633018824762</v>
      </c>
      <c r="L98" s="36">
        <f t="shared" si="109"/>
        <v>1373.0413914725061</v>
      </c>
      <c r="M98" s="36">
        <f t="shared" si="109"/>
        <v>1405.3857277161669</v>
      </c>
      <c r="N98" s="36">
        <f t="shared" si="109"/>
        <v>1406.055884807334</v>
      </c>
      <c r="O98" s="36">
        <f t="shared" si="109"/>
        <v>1402.0533049733258</v>
      </c>
      <c r="P98" s="36">
        <f t="shared" si="109"/>
        <v>1389.7004783308507</v>
      </c>
      <c r="Q98" s="36">
        <f t="shared" si="109"/>
        <v>1383.8368819782045</v>
      </c>
      <c r="R98" s="36">
        <f t="shared" si="109"/>
        <v>1380.7862002099434</v>
      </c>
      <c r="S98" s="36">
        <f t="shared" si="109"/>
        <v>1377.0519676577755</v>
      </c>
      <c r="T98" s="36">
        <f t="shared" si="109"/>
        <v>1369.8278099341564</v>
      </c>
      <c r="U98" s="36">
        <f t="shared" si="109"/>
        <v>1365.0018515180845</v>
      </c>
      <c r="V98" s="36">
        <f t="shared" si="109"/>
        <v>491.18012425355511</v>
      </c>
      <c r="W98" s="36">
        <f t="shared" ref="W98" si="110">IF(W26=0,0,W26/W46)</f>
        <v>678.50764672334515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451.00000000000006</v>
      </c>
      <c r="C99" s="36">
        <f t="shared" si="104"/>
        <v>451</v>
      </c>
      <c r="D99" s="36">
        <f t="shared" ref="D99:V99" si="111">IF(D27=0,0,D27/D47)</f>
        <v>451.00000000000006</v>
      </c>
      <c r="E99" s="36">
        <f t="shared" si="111"/>
        <v>451</v>
      </c>
      <c r="F99" s="36">
        <f t="shared" si="111"/>
        <v>450.99999999999994</v>
      </c>
      <c r="G99" s="36">
        <f t="shared" si="111"/>
        <v>448.00000000000006</v>
      </c>
      <c r="H99" s="36">
        <f t="shared" si="111"/>
        <v>449</v>
      </c>
      <c r="I99" s="36">
        <f t="shared" si="111"/>
        <v>451</v>
      </c>
      <c r="J99" s="36">
        <f t="shared" si="111"/>
        <v>459</v>
      </c>
      <c r="K99" s="36">
        <f t="shared" si="111"/>
        <v>464</v>
      </c>
      <c r="L99" s="36">
        <f t="shared" si="111"/>
        <v>471</v>
      </c>
      <c r="M99" s="36">
        <f t="shared" si="111"/>
        <v>452</v>
      </c>
      <c r="N99" s="36">
        <f t="shared" si="111"/>
        <v>472</v>
      </c>
      <c r="O99" s="36">
        <f t="shared" si="111"/>
        <v>472.99999999999994</v>
      </c>
      <c r="P99" s="36">
        <f t="shared" si="111"/>
        <v>461</v>
      </c>
      <c r="Q99" s="36">
        <f t="shared" si="111"/>
        <v>465</v>
      </c>
      <c r="R99" s="36">
        <f t="shared" si="111"/>
        <v>469.00000000000006</v>
      </c>
      <c r="S99" s="36">
        <f t="shared" si="111"/>
        <v>472</v>
      </c>
      <c r="T99" s="36">
        <f t="shared" si="111"/>
        <v>464</v>
      </c>
      <c r="U99" s="36">
        <f t="shared" si="111"/>
        <v>462</v>
      </c>
      <c r="V99" s="36">
        <f t="shared" si="111"/>
        <v>161.90852596761448</v>
      </c>
      <c r="W99" s="36">
        <f t="shared" ref="W99" si="112">IF(W27=0,0,W27/W47)</f>
        <v>216.96514678221067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652.31633112860516</v>
      </c>
      <c r="C100" s="13">
        <f t="shared" si="104"/>
        <v>688.79601673891284</v>
      </c>
      <c r="D100" s="13">
        <f t="shared" ref="D100:V100" si="113">IF(D28=0,0,D28/D48)</f>
        <v>650.72353321409571</v>
      </c>
      <c r="E100" s="13">
        <f t="shared" si="113"/>
        <v>603.91953849117283</v>
      </c>
      <c r="F100" s="13">
        <f t="shared" si="113"/>
        <v>615.59953073760585</v>
      </c>
      <c r="G100" s="13">
        <f t="shared" si="113"/>
        <v>597.91291548968775</v>
      </c>
      <c r="H100" s="13">
        <f t="shared" si="113"/>
        <v>615.43109512174283</v>
      </c>
      <c r="I100" s="13">
        <f t="shared" si="113"/>
        <v>614.60516395295508</v>
      </c>
      <c r="J100" s="13">
        <f t="shared" si="113"/>
        <v>615.98346521390602</v>
      </c>
      <c r="K100" s="13">
        <f t="shared" si="113"/>
        <v>590.61471695126465</v>
      </c>
      <c r="L100" s="13">
        <f t="shared" si="113"/>
        <v>604.39788241951339</v>
      </c>
      <c r="M100" s="13">
        <f t="shared" si="113"/>
        <v>619.97160181807556</v>
      </c>
      <c r="N100" s="13">
        <f t="shared" si="113"/>
        <v>632.87969277601235</v>
      </c>
      <c r="O100" s="13">
        <f t="shared" si="113"/>
        <v>658.88239804542366</v>
      </c>
      <c r="P100" s="13">
        <f t="shared" si="113"/>
        <v>649.30686195348812</v>
      </c>
      <c r="Q100" s="13">
        <f t="shared" si="113"/>
        <v>651.81572216694985</v>
      </c>
      <c r="R100" s="13">
        <f t="shared" si="113"/>
        <v>620.93315937850912</v>
      </c>
      <c r="S100" s="13">
        <f t="shared" si="113"/>
        <v>665.94351465941043</v>
      </c>
      <c r="T100" s="13">
        <f t="shared" si="113"/>
        <v>638.26059224340861</v>
      </c>
      <c r="U100" s="13">
        <f t="shared" si="113"/>
        <v>667.73686604808086</v>
      </c>
      <c r="V100" s="13">
        <f t="shared" si="113"/>
        <v>609.43487883937621</v>
      </c>
      <c r="W100" s="13">
        <f t="shared" ref="W100" si="114">IF(W28=0,0,W28/W48)</f>
        <v>626.67139935120986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1137</v>
      </c>
      <c r="C101" s="34">
        <f t="shared" si="104"/>
        <v>1137</v>
      </c>
      <c r="D101" s="34">
        <f t="shared" ref="D101:V101" si="115">IF(D29=0,0,D29/D49)</f>
        <v>1091.7671429534923</v>
      </c>
      <c r="E101" s="34">
        <f t="shared" si="115"/>
        <v>1015.1008527560397</v>
      </c>
      <c r="F101" s="34">
        <f t="shared" si="115"/>
        <v>1137</v>
      </c>
      <c r="G101" s="34">
        <f t="shared" si="115"/>
        <v>1140</v>
      </c>
      <c r="H101" s="34">
        <f t="shared" si="115"/>
        <v>1177</v>
      </c>
      <c r="I101" s="34">
        <f t="shared" si="115"/>
        <v>1206</v>
      </c>
      <c r="J101" s="34">
        <f t="shared" si="115"/>
        <v>1248</v>
      </c>
      <c r="K101" s="34">
        <f t="shared" si="115"/>
        <v>1267</v>
      </c>
      <c r="L101" s="34">
        <f t="shared" si="115"/>
        <v>1179.9642964241662</v>
      </c>
      <c r="M101" s="34">
        <f t="shared" si="115"/>
        <v>1302</v>
      </c>
      <c r="N101" s="34">
        <f t="shared" si="115"/>
        <v>1311</v>
      </c>
      <c r="O101" s="34">
        <f t="shared" si="115"/>
        <v>1311</v>
      </c>
      <c r="P101" s="34">
        <f t="shared" si="115"/>
        <v>1304</v>
      </c>
      <c r="Q101" s="34">
        <f t="shared" si="115"/>
        <v>1308</v>
      </c>
      <c r="R101" s="34">
        <f t="shared" si="115"/>
        <v>1307</v>
      </c>
      <c r="S101" s="34">
        <f t="shared" si="115"/>
        <v>1299</v>
      </c>
      <c r="T101" s="34">
        <f t="shared" si="115"/>
        <v>1287</v>
      </c>
      <c r="U101" s="34">
        <f t="shared" si="115"/>
        <v>1286</v>
      </c>
      <c r="V101" s="34">
        <f t="shared" si="115"/>
        <v>1193.2865843003042</v>
      </c>
      <c r="W101" s="34">
        <f t="shared" ref="W101" si="116">IF(W29=0,0,W29/W49)</f>
        <v>1215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1141.9911633885251</v>
      </c>
      <c r="C102" s="34">
        <f t="shared" si="104"/>
        <v>1142.3770383166914</v>
      </c>
      <c r="D102" s="34">
        <f t="shared" ref="D102:V102" si="117">IF(D30=0,0,D30/D50)</f>
        <v>1126.7433694788979</v>
      </c>
      <c r="E102" s="34">
        <f t="shared" si="117"/>
        <v>1142.6363905580613</v>
      </c>
      <c r="F102" s="34">
        <f t="shared" si="117"/>
        <v>1133.7316601008665</v>
      </c>
      <c r="G102" s="34">
        <f t="shared" si="117"/>
        <v>1137.5638411417642</v>
      </c>
      <c r="H102" s="34">
        <f t="shared" si="117"/>
        <v>1140.1290581603885</v>
      </c>
      <c r="I102" s="34">
        <f t="shared" si="117"/>
        <v>1129.7161773565401</v>
      </c>
      <c r="J102" s="34">
        <f t="shared" si="117"/>
        <v>1119.117653705526</v>
      </c>
      <c r="K102" s="34">
        <f t="shared" si="117"/>
        <v>1057.8195454766139</v>
      </c>
      <c r="L102" s="34">
        <f t="shared" si="117"/>
        <v>1099.6111841293973</v>
      </c>
      <c r="M102" s="34">
        <f t="shared" si="117"/>
        <v>1099.9866834674374</v>
      </c>
      <c r="N102" s="34">
        <f t="shared" si="117"/>
        <v>1097.0068310715087</v>
      </c>
      <c r="O102" s="34">
        <f t="shared" si="117"/>
        <v>1101.033357442715</v>
      </c>
      <c r="P102" s="34">
        <f t="shared" si="117"/>
        <v>1101.3404499339931</v>
      </c>
      <c r="Q102" s="34">
        <f t="shared" si="117"/>
        <v>1105.1018323081107</v>
      </c>
      <c r="R102" s="34">
        <f t="shared" si="117"/>
        <v>1021.9516139280562</v>
      </c>
      <c r="S102" s="34">
        <f t="shared" si="117"/>
        <v>1109.189632066692</v>
      </c>
      <c r="T102" s="34">
        <f t="shared" si="117"/>
        <v>1010.406300680154</v>
      </c>
      <c r="U102" s="34">
        <f t="shared" si="117"/>
        <v>1093.3542154703416</v>
      </c>
      <c r="V102" s="34">
        <f t="shared" si="117"/>
        <v>1101.6175458688906</v>
      </c>
      <c r="W102" s="34">
        <f t="shared" ref="W102" si="118">IF(W30=0,0,W30/W50)</f>
        <v>1092.6353427051238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315</v>
      </c>
      <c r="C103" s="35">
        <f t="shared" si="104"/>
        <v>315</v>
      </c>
      <c r="D103" s="35">
        <f t="shared" ref="D103:V103" si="119">IF(D31=0,0,D31/D51)</f>
        <v>315</v>
      </c>
      <c r="E103" s="35">
        <f t="shared" si="119"/>
        <v>315</v>
      </c>
      <c r="F103" s="35">
        <f t="shared" si="119"/>
        <v>315</v>
      </c>
      <c r="G103" s="35">
        <f t="shared" si="119"/>
        <v>314</v>
      </c>
      <c r="H103" s="35">
        <f t="shared" si="119"/>
        <v>316</v>
      </c>
      <c r="I103" s="35">
        <f t="shared" si="119"/>
        <v>319</v>
      </c>
      <c r="J103" s="35">
        <f t="shared" si="119"/>
        <v>325</v>
      </c>
      <c r="K103" s="35">
        <f t="shared" si="119"/>
        <v>268.68344357558453</v>
      </c>
      <c r="L103" s="35">
        <f t="shared" si="119"/>
        <v>313.97150926766727</v>
      </c>
      <c r="M103" s="35">
        <f t="shared" si="119"/>
        <v>320</v>
      </c>
      <c r="N103" s="35">
        <f t="shared" si="119"/>
        <v>312.37857792618291</v>
      </c>
      <c r="O103" s="35">
        <f t="shared" si="119"/>
        <v>326.47852824512785</v>
      </c>
      <c r="P103" s="35">
        <f t="shared" si="119"/>
        <v>326</v>
      </c>
      <c r="Q103" s="35">
        <f t="shared" si="119"/>
        <v>332</v>
      </c>
      <c r="R103" s="35">
        <f t="shared" si="119"/>
        <v>316.1791468680741</v>
      </c>
      <c r="S103" s="35">
        <f t="shared" si="119"/>
        <v>343</v>
      </c>
      <c r="T103" s="35">
        <f t="shared" si="119"/>
        <v>344</v>
      </c>
      <c r="U103" s="35">
        <f t="shared" si="119"/>
        <v>352</v>
      </c>
      <c r="V103" s="35">
        <f t="shared" si="119"/>
        <v>336</v>
      </c>
      <c r="W103" s="35">
        <f t="shared" ref="W103" si="120">IF(W31=0,0,W31/W51)</f>
        <v>341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0.17617871108628877</v>
      </c>
      <c r="C107" s="43">
        <f t="shared" si="124"/>
        <v>0.1799181305756011</v>
      </c>
      <c r="D107" s="43">
        <f t="shared" ref="D107:V107" si="125">IF(D5=0,0,D5/D$4)</f>
        <v>0.18425442149268464</v>
      </c>
      <c r="E107" s="43">
        <f t="shared" si="125"/>
        <v>0.17867318320371131</v>
      </c>
      <c r="F107" s="43">
        <f t="shared" si="125"/>
        <v>0.16337891020739675</v>
      </c>
      <c r="G107" s="43">
        <f t="shared" si="125"/>
        <v>0.15237360847655465</v>
      </c>
      <c r="H107" s="43">
        <f t="shared" si="125"/>
        <v>0.14994144001487766</v>
      </c>
      <c r="I107" s="43">
        <f t="shared" si="125"/>
        <v>0.14794773695665911</v>
      </c>
      <c r="J107" s="43">
        <f t="shared" si="125"/>
        <v>0.14376962371282331</v>
      </c>
      <c r="K107" s="43">
        <f t="shared" si="125"/>
        <v>0.15206039323885631</v>
      </c>
      <c r="L107" s="43">
        <f t="shared" si="125"/>
        <v>0.1531206285033786</v>
      </c>
      <c r="M107" s="43">
        <f t="shared" si="125"/>
        <v>0.15208486365725432</v>
      </c>
      <c r="N107" s="43">
        <f t="shared" si="125"/>
        <v>0.15103234024559561</v>
      </c>
      <c r="O107" s="43">
        <f t="shared" si="125"/>
        <v>0.15154016725023217</v>
      </c>
      <c r="P107" s="43">
        <f t="shared" si="125"/>
        <v>0.14546206279850471</v>
      </c>
      <c r="Q107" s="43">
        <f t="shared" si="125"/>
        <v>0.14552785624106099</v>
      </c>
      <c r="R107" s="43">
        <f t="shared" si="125"/>
        <v>0.15022061887320873</v>
      </c>
      <c r="S107" s="43">
        <f t="shared" si="125"/>
        <v>0.1520336046455546</v>
      </c>
      <c r="T107" s="43">
        <f t="shared" si="125"/>
        <v>0.15119968584369822</v>
      </c>
      <c r="U107" s="43">
        <f t="shared" si="125"/>
        <v>0.14853794519014785</v>
      </c>
      <c r="V107" s="43">
        <f t="shared" si="125"/>
        <v>0.23259430684918134</v>
      </c>
      <c r="W107" s="43">
        <f t="shared" ref="W107" si="126">IF(W5=0,0,W5/W$4)</f>
        <v>0.26075442149097428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0.18994913944065234</v>
      </c>
      <c r="C108" s="43">
        <f t="shared" si="127"/>
        <v>0.1897103677318859</v>
      </c>
      <c r="D108" s="43">
        <f t="shared" ref="D108:V108" si="128">IF(D6=0,0,D6/D$4)</f>
        <v>0.18769097780592611</v>
      </c>
      <c r="E108" s="43">
        <f t="shared" si="128"/>
        <v>0.1923024902298047</v>
      </c>
      <c r="F108" s="43">
        <f t="shared" si="128"/>
        <v>0.18699040102311179</v>
      </c>
      <c r="G108" s="43">
        <f t="shared" si="128"/>
        <v>0.18393507105320259</v>
      </c>
      <c r="H108" s="43">
        <f t="shared" si="128"/>
        <v>0.18468584521151671</v>
      </c>
      <c r="I108" s="43">
        <f t="shared" si="128"/>
        <v>0.18357278133950708</v>
      </c>
      <c r="J108" s="43">
        <f t="shared" si="128"/>
        <v>0.17997184594224452</v>
      </c>
      <c r="K108" s="43">
        <f t="shared" si="128"/>
        <v>0.175133831671753</v>
      </c>
      <c r="L108" s="43">
        <f t="shared" si="128"/>
        <v>0.17155908763702341</v>
      </c>
      <c r="M108" s="43">
        <f t="shared" si="128"/>
        <v>0.17559707925221232</v>
      </c>
      <c r="N108" s="43">
        <f t="shared" si="128"/>
        <v>0.18138511661991791</v>
      </c>
      <c r="O108" s="43">
        <f t="shared" si="128"/>
        <v>0.17770717877085257</v>
      </c>
      <c r="P108" s="43">
        <f t="shared" si="128"/>
        <v>0.18099724307387272</v>
      </c>
      <c r="Q108" s="43">
        <f t="shared" si="128"/>
        <v>0.1883151918627857</v>
      </c>
      <c r="R108" s="43">
        <f t="shared" si="128"/>
        <v>0.19911077645024663</v>
      </c>
      <c r="S108" s="43">
        <f t="shared" si="128"/>
        <v>0.20030704712249023</v>
      </c>
      <c r="T108" s="43">
        <f t="shared" si="128"/>
        <v>0.19644052214218008</v>
      </c>
      <c r="U108" s="43">
        <f t="shared" si="128"/>
        <v>0.19482172459648198</v>
      </c>
      <c r="V108" s="43">
        <f t="shared" si="128"/>
        <v>0.17205109050850367</v>
      </c>
      <c r="W108" s="43">
        <f t="shared" ref="W108" si="129">IF(W6=0,0,W6/W$4)</f>
        <v>0.20527993740338787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0.63387214947305892</v>
      </c>
      <c r="C109" s="43">
        <f t="shared" si="130"/>
        <v>0.63037150169251299</v>
      </c>
      <c r="D109" s="43">
        <f t="shared" ref="D109:V109" si="131">IF(D7=0,0,D7/D$4)</f>
        <v>0.6280546007013893</v>
      </c>
      <c r="E109" s="43">
        <f t="shared" si="131"/>
        <v>0.62902432656648399</v>
      </c>
      <c r="F109" s="43">
        <f t="shared" si="131"/>
        <v>0.64963068876949148</v>
      </c>
      <c r="G109" s="43">
        <f t="shared" si="131"/>
        <v>0.66369132047024271</v>
      </c>
      <c r="H109" s="43">
        <f t="shared" si="131"/>
        <v>0.66537271477360571</v>
      </c>
      <c r="I109" s="43">
        <f t="shared" si="131"/>
        <v>0.66847948170383376</v>
      </c>
      <c r="J109" s="43">
        <f t="shared" si="131"/>
        <v>0.67625853034493211</v>
      </c>
      <c r="K109" s="43">
        <f t="shared" si="131"/>
        <v>0.67280577508939066</v>
      </c>
      <c r="L109" s="43">
        <f t="shared" si="131"/>
        <v>0.67532028385959786</v>
      </c>
      <c r="M109" s="43">
        <f t="shared" si="131"/>
        <v>0.67231805709053349</v>
      </c>
      <c r="N109" s="43">
        <f t="shared" si="131"/>
        <v>0.66758254313448639</v>
      </c>
      <c r="O109" s="43">
        <f t="shared" si="131"/>
        <v>0.67075265397891526</v>
      </c>
      <c r="P109" s="43">
        <f t="shared" si="131"/>
        <v>0.67354069412762263</v>
      </c>
      <c r="Q109" s="43">
        <f t="shared" si="131"/>
        <v>0.66615695189615332</v>
      </c>
      <c r="R109" s="43">
        <f t="shared" si="131"/>
        <v>0.65066860467654453</v>
      </c>
      <c r="S109" s="43">
        <f t="shared" si="131"/>
        <v>0.64765934823195515</v>
      </c>
      <c r="T109" s="43">
        <f t="shared" si="131"/>
        <v>0.65235979201412164</v>
      </c>
      <c r="U109" s="43">
        <f t="shared" si="131"/>
        <v>0.6566403302133702</v>
      </c>
      <c r="V109" s="43">
        <f t="shared" si="131"/>
        <v>0.59535460264231499</v>
      </c>
      <c r="W109" s="43">
        <f t="shared" ref="W109" si="132">IF(W7=0,0,W7/W$4)</f>
        <v>0.53396564110563793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3.248314695893921E-2</v>
      </c>
      <c r="C111" s="44">
        <f t="shared" si="136"/>
        <v>3.671495508159265E-2</v>
      </c>
      <c r="D111" s="44">
        <f t="shared" ref="D111:V111" si="137">IF(D9=0,0,D9/D$8)</f>
        <v>3.4668984098290348E-2</v>
      </c>
      <c r="E111" s="44">
        <f t="shared" si="137"/>
        <v>3.2463421982976359E-2</v>
      </c>
      <c r="F111" s="44">
        <f t="shared" si="137"/>
        <v>2.9770125253995926E-2</v>
      </c>
      <c r="G111" s="44">
        <f t="shared" si="137"/>
        <v>2.8360396094395685E-2</v>
      </c>
      <c r="H111" s="44">
        <f t="shared" si="137"/>
        <v>2.5190846137452698E-2</v>
      </c>
      <c r="I111" s="44">
        <f t="shared" si="137"/>
        <v>2.134298727509109E-2</v>
      </c>
      <c r="J111" s="44">
        <f t="shared" si="137"/>
        <v>1.7835102431818267E-2</v>
      </c>
      <c r="K111" s="44">
        <f t="shared" si="137"/>
        <v>2.1071700845234097E-2</v>
      </c>
      <c r="L111" s="44">
        <f t="shared" si="137"/>
        <v>1.5291332508099735E-2</v>
      </c>
      <c r="M111" s="44">
        <f t="shared" si="137"/>
        <v>1.3888498243260291E-2</v>
      </c>
      <c r="N111" s="44">
        <f t="shared" si="137"/>
        <v>1.4356899487041882E-2</v>
      </c>
      <c r="O111" s="44">
        <f t="shared" si="137"/>
        <v>1.4600038940861534E-2</v>
      </c>
      <c r="P111" s="44">
        <f t="shared" si="137"/>
        <v>1.3799256848665006E-2</v>
      </c>
      <c r="Q111" s="44">
        <f t="shared" si="137"/>
        <v>1.3861524501178673E-2</v>
      </c>
      <c r="R111" s="44">
        <f t="shared" si="137"/>
        <v>1.4805173125557319E-2</v>
      </c>
      <c r="S111" s="44">
        <f t="shared" si="137"/>
        <v>1.4560942116610172E-2</v>
      </c>
      <c r="T111" s="44">
        <f t="shared" si="137"/>
        <v>1.4723651526543809E-2</v>
      </c>
      <c r="U111" s="44">
        <f t="shared" si="137"/>
        <v>1.6547929499459525E-2</v>
      </c>
      <c r="V111" s="44">
        <f t="shared" si="137"/>
        <v>1.9222390760709532E-2</v>
      </c>
      <c r="W111" s="44">
        <f t="shared" ref="W111" si="138">IF(W9=0,0,W9/W$8)</f>
        <v>2.2454776001737831E-2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2.5222698950811542E-2</v>
      </c>
      <c r="C112" s="44">
        <f t="shared" si="139"/>
        <v>2.9325590683772197E-2</v>
      </c>
      <c r="D112" s="44">
        <f t="shared" ref="D112:V112" si="140">IF(D10=0,0,D10/D$8)</f>
        <v>2.5981048569502643E-2</v>
      </c>
      <c r="E112" s="44">
        <f t="shared" si="140"/>
        <v>2.6865127586421889E-2</v>
      </c>
      <c r="F112" s="44">
        <f t="shared" si="140"/>
        <v>2.5874629580527737E-2</v>
      </c>
      <c r="G112" s="44">
        <f t="shared" si="140"/>
        <v>2.3927108004014663E-2</v>
      </c>
      <c r="H112" s="44">
        <f t="shared" si="140"/>
        <v>2.6406081973165345E-2</v>
      </c>
      <c r="I112" s="44">
        <f t="shared" si="140"/>
        <v>2.9651585753192832E-2</v>
      </c>
      <c r="J112" s="44">
        <f t="shared" si="140"/>
        <v>3.0147200356332483E-2</v>
      </c>
      <c r="K112" s="44">
        <f t="shared" si="140"/>
        <v>3.2991680728289632E-2</v>
      </c>
      <c r="L112" s="44">
        <f t="shared" si="140"/>
        <v>3.1856301456496226E-2</v>
      </c>
      <c r="M112" s="44">
        <f t="shared" si="140"/>
        <v>3.3063648930786727E-2</v>
      </c>
      <c r="N112" s="44">
        <f t="shared" si="140"/>
        <v>3.5859027160231635E-2</v>
      </c>
      <c r="O112" s="44">
        <f t="shared" si="140"/>
        <v>3.9546728129245347E-2</v>
      </c>
      <c r="P112" s="44">
        <f t="shared" si="140"/>
        <v>3.9607813232601194E-2</v>
      </c>
      <c r="Q112" s="44">
        <f t="shared" si="140"/>
        <v>3.9665276080357831E-2</v>
      </c>
      <c r="R112" s="44">
        <f t="shared" si="140"/>
        <v>4.1420727526380832E-2</v>
      </c>
      <c r="S112" s="44">
        <f t="shared" si="140"/>
        <v>4.0092262240034336E-2</v>
      </c>
      <c r="T112" s="44">
        <f t="shared" si="140"/>
        <v>3.4851692106839541E-2</v>
      </c>
      <c r="U112" s="44">
        <f t="shared" si="140"/>
        <v>3.8531183570860647E-2</v>
      </c>
      <c r="V112" s="44">
        <f t="shared" si="140"/>
        <v>4.4669623159344987E-2</v>
      </c>
      <c r="W112" s="44">
        <f t="shared" ref="W112" si="141">IF(W10=0,0,W10/W$8)</f>
        <v>5.0857532724217613E-2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0.94229415409024919</v>
      </c>
      <c r="C113" s="45">
        <f t="shared" si="142"/>
        <v>0.93395945423463522</v>
      </c>
      <c r="D113" s="45">
        <f t="shared" ref="D113:V113" si="143">IF(D11=0,0,D11/D$8)</f>
        <v>0.93934996733220699</v>
      </c>
      <c r="E113" s="45">
        <f t="shared" si="143"/>
        <v>0.94067145043060174</v>
      </c>
      <c r="F113" s="45">
        <f t="shared" si="143"/>
        <v>0.94435524516547631</v>
      </c>
      <c r="G113" s="45">
        <f t="shared" si="143"/>
        <v>0.94771249590158968</v>
      </c>
      <c r="H113" s="45">
        <f t="shared" si="143"/>
        <v>0.948403071889382</v>
      </c>
      <c r="I113" s="45">
        <f t="shared" si="143"/>
        <v>0.94900542697171608</v>
      </c>
      <c r="J113" s="45">
        <f t="shared" si="143"/>
        <v>0.95201769721184926</v>
      </c>
      <c r="K113" s="45">
        <f t="shared" si="143"/>
        <v>0.94593661842647625</v>
      </c>
      <c r="L113" s="45">
        <f t="shared" si="143"/>
        <v>0.95285236603540402</v>
      </c>
      <c r="M113" s="45">
        <f t="shared" si="143"/>
        <v>0.95304785282595295</v>
      </c>
      <c r="N113" s="45">
        <f t="shared" si="143"/>
        <v>0.94978407335272641</v>
      </c>
      <c r="O113" s="45">
        <f t="shared" si="143"/>
        <v>0.9458532329298931</v>
      </c>
      <c r="P113" s="45">
        <f t="shared" si="143"/>
        <v>0.94659292991873378</v>
      </c>
      <c r="Q113" s="45">
        <f t="shared" si="143"/>
        <v>0.94647319941846353</v>
      </c>
      <c r="R113" s="45">
        <f t="shared" si="143"/>
        <v>0.94377409934806178</v>
      </c>
      <c r="S113" s="45">
        <f t="shared" si="143"/>
        <v>0.94534679564335544</v>
      </c>
      <c r="T113" s="45">
        <f t="shared" si="143"/>
        <v>0.95042465636661666</v>
      </c>
      <c r="U113" s="45">
        <f t="shared" si="143"/>
        <v>0.94492088692967979</v>
      </c>
      <c r="V113" s="45">
        <f t="shared" si="143"/>
        <v>0.93610798607994539</v>
      </c>
      <c r="W113" s="45">
        <f t="shared" ref="W113" si="144">IF(W11=0,0,W11/W$8)</f>
        <v>0.9266876912740446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0.24679441985444675</v>
      </c>
      <c r="C117" s="43">
        <f t="shared" si="148"/>
        <v>0.25258827061264388</v>
      </c>
      <c r="D117" s="43">
        <f t="shared" ref="D117:V117" si="149">IF(D15=0,0,D15/D$14)</f>
        <v>0.25856008441516765</v>
      </c>
      <c r="E117" s="43">
        <f t="shared" si="149"/>
        <v>0.25359083597441001</v>
      </c>
      <c r="F117" s="43">
        <f t="shared" si="149"/>
        <v>0.23446194811169238</v>
      </c>
      <c r="G117" s="43">
        <f t="shared" si="149"/>
        <v>0.22624518507465896</v>
      </c>
      <c r="H117" s="43">
        <f t="shared" si="149"/>
        <v>0.22362570198177095</v>
      </c>
      <c r="I117" s="43">
        <f t="shared" si="149"/>
        <v>0.21711341764436234</v>
      </c>
      <c r="J117" s="43">
        <f t="shared" si="149"/>
        <v>0.21687160968038913</v>
      </c>
      <c r="K117" s="43">
        <f t="shared" si="149"/>
        <v>0.22959826223977026</v>
      </c>
      <c r="L117" s="43">
        <f t="shared" si="149"/>
        <v>0.22687819281239632</v>
      </c>
      <c r="M117" s="43">
        <f t="shared" si="149"/>
        <v>0.22604326069937419</v>
      </c>
      <c r="N117" s="43">
        <f t="shared" si="149"/>
        <v>0.23507295348296928</v>
      </c>
      <c r="O117" s="43">
        <f t="shared" si="149"/>
        <v>0.23665544039579806</v>
      </c>
      <c r="P117" s="43">
        <f t="shared" si="149"/>
        <v>0.22322910977205251</v>
      </c>
      <c r="Q117" s="43">
        <f t="shared" si="149"/>
        <v>0.22157816872051522</v>
      </c>
      <c r="R117" s="43">
        <f t="shared" si="149"/>
        <v>0.22103298184947937</v>
      </c>
      <c r="S117" s="43">
        <f t="shared" si="149"/>
        <v>0.22417218279483422</v>
      </c>
      <c r="T117" s="43">
        <f t="shared" si="149"/>
        <v>0.22260548532057015</v>
      </c>
      <c r="U117" s="43">
        <f t="shared" si="149"/>
        <v>0.21926298563166083</v>
      </c>
      <c r="V117" s="43">
        <f t="shared" si="149"/>
        <v>0.30770874669393761</v>
      </c>
      <c r="W117" s="43">
        <f t="shared" ref="W117" si="150">IF(W15=0,0,W15/W$14)</f>
        <v>0.3083625966872941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0.23946164646282136</v>
      </c>
      <c r="C118" s="43">
        <f t="shared" si="151"/>
        <v>0.2376206330037883</v>
      </c>
      <c r="D118" s="43">
        <f t="shared" ref="D118:V118" si="152">IF(D16=0,0,D16/D$14)</f>
        <v>0.23572189494946499</v>
      </c>
      <c r="E118" s="43">
        <f t="shared" si="152"/>
        <v>0.23940646086117595</v>
      </c>
      <c r="F118" s="43">
        <f t="shared" si="152"/>
        <v>0.2425123326331087</v>
      </c>
      <c r="G118" s="43">
        <f t="shared" si="152"/>
        <v>0.23782634646709525</v>
      </c>
      <c r="H118" s="43">
        <f t="shared" si="152"/>
        <v>0.24406681737024746</v>
      </c>
      <c r="I118" s="43">
        <f t="shared" si="152"/>
        <v>0.24742971673745248</v>
      </c>
      <c r="J118" s="43">
        <f t="shared" si="152"/>
        <v>0.2513059556625884</v>
      </c>
      <c r="K118" s="43">
        <f t="shared" si="152"/>
        <v>0.24567225005730367</v>
      </c>
      <c r="L118" s="43">
        <f t="shared" si="152"/>
        <v>0.24514815510582827</v>
      </c>
      <c r="M118" s="43">
        <f t="shared" si="152"/>
        <v>0.24507143218653218</v>
      </c>
      <c r="N118" s="43">
        <f t="shared" si="152"/>
        <v>0.25507365867213166</v>
      </c>
      <c r="O118" s="43">
        <f t="shared" si="152"/>
        <v>0.24643196359107594</v>
      </c>
      <c r="P118" s="43">
        <f t="shared" si="152"/>
        <v>0.2455414656923634</v>
      </c>
      <c r="Q118" s="43">
        <f t="shared" si="152"/>
        <v>0.2532240556508234</v>
      </c>
      <c r="R118" s="43">
        <f t="shared" si="152"/>
        <v>0.26201523145142586</v>
      </c>
      <c r="S118" s="43">
        <f t="shared" si="152"/>
        <v>0.26158582022595961</v>
      </c>
      <c r="T118" s="43">
        <f t="shared" si="152"/>
        <v>0.25803679891118625</v>
      </c>
      <c r="U118" s="43">
        <f t="shared" si="152"/>
        <v>0.25657704991772273</v>
      </c>
      <c r="V118" s="43">
        <f t="shared" si="152"/>
        <v>0.22052027403408139</v>
      </c>
      <c r="W118" s="43">
        <f t="shared" ref="W118" si="153">IF(W16=0,0,W16/W$14)</f>
        <v>0.23841972553737434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0.51374393368273186</v>
      </c>
      <c r="C119" s="43">
        <f t="shared" si="154"/>
        <v>0.50979109638356779</v>
      </c>
      <c r="D119" s="43">
        <f t="shared" ref="D119:V119" si="155">IF(D17=0,0,D17/D$14)</f>
        <v>0.50571802063536719</v>
      </c>
      <c r="E119" s="43">
        <f t="shared" si="155"/>
        <v>0.50700270316441409</v>
      </c>
      <c r="F119" s="43">
        <f t="shared" si="155"/>
        <v>0.52302571925519881</v>
      </c>
      <c r="G119" s="43">
        <f t="shared" si="155"/>
        <v>0.53592846845824582</v>
      </c>
      <c r="H119" s="43">
        <f t="shared" si="155"/>
        <v>0.5323074806479815</v>
      </c>
      <c r="I119" s="43">
        <f t="shared" si="155"/>
        <v>0.53545686561818517</v>
      </c>
      <c r="J119" s="43">
        <f t="shared" si="155"/>
        <v>0.53182243465702239</v>
      </c>
      <c r="K119" s="43">
        <f t="shared" si="155"/>
        <v>0.52472948770292616</v>
      </c>
      <c r="L119" s="43">
        <f t="shared" si="155"/>
        <v>0.52797365208177538</v>
      </c>
      <c r="M119" s="43">
        <f t="shared" si="155"/>
        <v>0.52888530711409365</v>
      </c>
      <c r="N119" s="43">
        <f t="shared" si="155"/>
        <v>0.50985338784489909</v>
      </c>
      <c r="O119" s="43">
        <f t="shared" si="155"/>
        <v>0.51691259601312611</v>
      </c>
      <c r="P119" s="43">
        <f t="shared" si="155"/>
        <v>0.53122942453558408</v>
      </c>
      <c r="Q119" s="43">
        <f t="shared" si="155"/>
        <v>0.52519777562866155</v>
      </c>
      <c r="R119" s="43">
        <f t="shared" si="155"/>
        <v>0.51695178669909481</v>
      </c>
      <c r="S119" s="43">
        <f t="shared" si="155"/>
        <v>0.51424199697920625</v>
      </c>
      <c r="T119" s="43">
        <f t="shared" si="155"/>
        <v>0.51935771576824352</v>
      </c>
      <c r="U119" s="43">
        <f t="shared" si="155"/>
        <v>0.52415996445061641</v>
      </c>
      <c r="V119" s="43">
        <f t="shared" si="155"/>
        <v>0.47177097927198103</v>
      </c>
      <c r="W119" s="43">
        <f t="shared" ref="W119" si="156">IF(W17=0,0,W17/W$14)</f>
        <v>0.45321767777533162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0.19935264169320274</v>
      </c>
      <c r="C121" s="44">
        <f t="shared" si="160"/>
        <v>0.22798412488663852</v>
      </c>
      <c r="D121" s="44">
        <f t="shared" ref="D121:V121" si="161">IF(D19=0,0,D19/D$18)</f>
        <v>0.20476320253820382</v>
      </c>
      <c r="E121" s="44">
        <f t="shared" si="161"/>
        <v>0.17160564074735796</v>
      </c>
      <c r="F121" s="44">
        <f t="shared" si="161"/>
        <v>0.16302815815528415</v>
      </c>
      <c r="G121" s="44">
        <f t="shared" si="161"/>
        <v>0.15208215061849095</v>
      </c>
      <c r="H121" s="44">
        <f t="shared" si="161"/>
        <v>0.13559320267351677</v>
      </c>
      <c r="I121" s="44">
        <f t="shared" si="161"/>
        <v>0.11454991772136101</v>
      </c>
      <c r="J121" s="44">
        <f t="shared" si="161"/>
        <v>9.8676504962599443E-2</v>
      </c>
      <c r="K121" s="44">
        <f t="shared" si="161"/>
        <v>0.12461560159952348</v>
      </c>
      <c r="L121" s="44">
        <f t="shared" si="161"/>
        <v>8.914347708973884E-2</v>
      </c>
      <c r="M121" s="44">
        <f t="shared" si="161"/>
        <v>7.8110748012112416E-2</v>
      </c>
      <c r="N121" s="44">
        <f t="shared" si="161"/>
        <v>8.5994363851774572E-2</v>
      </c>
      <c r="O121" s="44">
        <f t="shared" si="161"/>
        <v>8.5323157537175842E-2</v>
      </c>
      <c r="P121" s="44">
        <f t="shared" si="161"/>
        <v>8.233317634023031E-2</v>
      </c>
      <c r="Q121" s="44">
        <f t="shared" si="161"/>
        <v>8.0132795700946988E-2</v>
      </c>
      <c r="R121" s="44">
        <f t="shared" si="161"/>
        <v>8.0458647931994379E-2</v>
      </c>
      <c r="S121" s="44">
        <f t="shared" si="161"/>
        <v>8.3572428968704524E-2</v>
      </c>
      <c r="T121" s="44">
        <f t="shared" si="161"/>
        <v>8.5435241733107861E-2</v>
      </c>
      <c r="U121" s="44">
        <f t="shared" si="161"/>
        <v>8.9459316187725818E-2</v>
      </c>
      <c r="V121" s="44">
        <f t="shared" si="161"/>
        <v>7.6770707144443132E-2</v>
      </c>
      <c r="W121" s="44">
        <f t="shared" ref="W121" si="162">IF(W19=0,0,W19/W$18)</f>
        <v>8.0484418806657076E-2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6.6725418746981333E-2</v>
      </c>
      <c r="C122" s="44">
        <f t="shared" si="163"/>
        <v>7.4775534117182366E-2</v>
      </c>
      <c r="D122" s="44">
        <f t="shared" ref="D122:V122" si="164">IF(D20=0,0,D20/D$18)</f>
        <v>6.896837134752147E-2</v>
      </c>
      <c r="E122" s="44">
        <f t="shared" si="164"/>
        <v>6.6504045117507224E-2</v>
      </c>
      <c r="F122" s="44">
        <f t="shared" si="164"/>
        <v>6.828179524765679E-2</v>
      </c>
      <c r="G122" s="44">
        <f t="shared" si="164"/>
        <v>6.1844078532650858E-2</v>
      </c>
      <c r="H122" s="44">
        <f t="shared" si="164"/>
        <v>7.8718872844177029E-2</v>
      </c>
      <c r="I122" s="44">
        <f t="shared" si="164"/>
        <v>9.1214419721754758E-2</v>
      </c>
      <c r="J122" s="44">
        <f t="shared" si="164"/>
        <v>9.4846101435137012E-2</v>
      </c>
      <c r="K122" s="44">
        <f t="shared" si="164"/>
        <v>0.10933258155754019</v>
      </c>
      <c r="L122" s="44">
        <f t="shared" si="164"/>
        <v>0.1106080327188603</v>
      </c>
      <c r="M122" s="44">
        <f t="shared" si="164"/>
        <v>0.11522986625857243</v>
      </c>
      <c r="N122" s="44">
        <f t="shared" si="164"/>
        <v>0.1241595247709084</v>
      </c>
      <c r="O122" s="44">
        <f t="shared" si="164"/>
        <v>0.13700558672407567</v>
      </c>
      <c r="P122" s="44">
        <f t="shared" si="164"/>
        <v>0.13552247594135913</v>
      </c>
      <c r="Q122" s="44">
        <f t="shared" si="164"/>
        <v>0.13557371496481382</v>
      </c>
      <c r="R122" s="44">
        <f t="shared" si="164"/>
        <v>0.13835390021718796</v>
      </c>
      <c r="S122" s="44">
        <f t="shared" si="164"/>
        <v>0.14266401572641238</v>
      </c>
      <c r="T122" s="44">
        <f t="shared" si="164"/>
        <v>0.12590715261944754</v>
      </c>
      <c r="U122" s="44">
        <f t="shared" si="164"/>
        <v>0.13629748417069992</v>
      </c>
      <c r="V122" s="44">
        <f t="shared" si="164"/>
        <v>0.12778308101191652</v>
      </c>
      <c r="W122" s="44">
        <f t="shared" ref="W122" si="165">IF(W20=0,0,W20/W$18)</f>
        <v>0.14322880702970525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0.73392193955981599</v>
      </c>
      <c r="C123" s="45">
        <f t="shared" si="166"/>
        <v>0.69724034099617904</v>
      </c>
      <c r="D123" s="45">
        <f t="shared" ref="D123:V123" si="167">IF(D21=0,0,D21/D$18)</f>
        <v>0.72626842611427478</v>
      </c>
      <c r="E123" s="45">
        <f t="shared" si="167"/>
        <v>0.76189031413513486</v>
      </c>
      <c r="F123" s="45">
        <f t="shared" si="167"/>
        <v>0.76869004659705908</v>
      </c>
      <c r="G123" s="45">
        <f t="shared" si="167"/>
        <v>0.78607377084885821</v>
      </c>
      <c r="H123" s="45">
        <f t="shared" si="167"/>
        <v>0.78568792448230618</v>
      </c>
      <c r="I123" s="45">
        <f t="shared" si="167"/>
        <v>0.79423566255688416</v>
      </c>
      <c r="J123" s="45">
        <f t="shared" si="167"/>
        <v>0.80647739360226367</v>
      </c>
      <c r="K123" s="45">
        <f t="shared" si="167"/>
        <v>0.76605181684293633</v>
      </c>
      <c r="L123" s="45">
        <f t="shared" si="167"/>
        <v>0.80024849019140087</v>
      </c>
      <c r="M123" s="45">
        <f t="shared" si="167"/>
        <v>0.80665938572931517</v>
      </c>
      <c r="N123" s="45">
        <f t="shared" si="167"/>
        <v>0.78984611137731697</v>
      </c>
      <c r="O123" s="45">
        <f t="shared" si="167"/>
        <v>0.7776712557387484</v>
      </c>
      <c r="P123" s="45">
        <f t="shared" si="167"/>
        <v>0.78214434771841057</v>
      </c>
      <c r="Q123" s="45">
        <f t="shared" si="167"/>
        <v>0.78429348933423915</v>
      </c>
      <c r="R123" s="45">
        <f t="shared" si="167"/>
        <v>0.78118745185081762</v>
      </c>
      <c r="S123" s="45">
        <f t="shared" si="167"/>
        <v>0.77376355530488306</v>
      </c>
      <c r="T123" s="45">
        <f t="shared" si="167"/>
        <v>0.78865760564744458</v>
      </c>
      <c r="U123" s="45">
        <f t="shared" si="167"/>
        <v>0.77424319964157429</v>
      </c>
      <c r="V123" s="45">
        <f t="shared" si="167"/>
        <v>0.79544621184364028</v>
      </c>
      <c r="W123" s="45">
        <f t="shared" ref="W123" si="168">IF(W21=0,0,W21/W$18)</f>
        <v>0.77628677416363756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6271.5343078245905</v>
      </c>
      <c r="C3" s="79">
        <f t="shared" si="0"/>
        <v>6234.6637145313816</v>
      </c>
      <c r="D3" s="79">
        <f t="shared" ref="D3" si="1">SUM(D4:D5)</f>
        <v>6183.0466895958707</v>
      </c>
      <c r="E3" s="79">
        <f t="shared" ref="E3" si="2">SUM(E4:E5)</f>
        <v>5950.8797936371438</v>
      </c>
      <c r="F3" s="79">
        <f t="shared" ref="F3" si="3">SUM(F4:F5)</f>
        <v>6255.8956147893396</v>
      </c>
      <c r="G3" s="79">
        <f t="shared" ref="G3" si="4">SUM(G4:G5)</f>
        <v>6313.4309544282032</v>
      </c>
      <c r="H3" s="79">
        <f t="shared" ref="H3" si="5">SUM(H4:H5)</f>
        <v>6565.04350816853</v>
      </c>
      <c r="I3" s="79">
        <f t="shared" ref="I3" si="6">SUM(I4:I5)</f>
        <v>6773.5223559759224</v>
      </c>
      <c r="J3" s="79">
        <f t="shared" ref="J3" si="7">SUM(J4:J5)</f>
        <v>6809.4190885640601</v>
      </c>
      <c r="K3" s="79">
        <f t="shared" ref="K3" si="8">SUM(K4:K5)</f>
        <v>6237.5055030094591</v>
      </c>
      <c r="L3" s="79">
        <f t="shared" ref="L3" si="9">SUM(L4:L5)</f>
        <v>6315.4610490111781</v>
      </c>
      <c r="M3" s="79">
        <f t="shared" ref="M3" si="10">SUM(M4:M5)</f>
        <v>7079.4575236457413</v>
      </c>
      <c r="N3" s="79">
        <f t="shared" ref="N3" si="11">SUM(N4:N5)</f>
        <v>6925.9922613929493</v>
      </c>
      <c r="O3" s="79">
        <f t="shared" ref="O3" si="12">SUM(O4:O5)</f>
        <v>6842.799914015477</v>
      </c>
      <c r="P3" s="79">
        <f t="shared" ref="P3" si="13">SUM(P4:P5)</f>
        <v>6824.7720550300928</v>
      </c>
      <c r="Q3" s="79">
        <f t="shared" ref="Q3" si="14">SUM(Q4:Q5)</f>
        <v>7142.6482373172812</v>
      </c>
      <c r="R3" s="79">
        <f t="shared" ref="R3" si="15">SUM(R4:R5)</f>
        <v>7092.8950988822035</v>
      </c>
      <c r="S3" s="79">
        <f t="shared" ref="S3" si="16">SUM(S4:S5)</f>
        <v>7229.2135855546003</v>
      </c>
      <c r="T3" s="79">
        <f t="shared" ref="T3" si="17">SUM(T4:T5)</f>
        <v>7506.1772141014608</v>
      </c>
      <c r="U3" s="79">
        <f t="shared" ref="U3" si="18">SUM(U4:U5)</f>
        <v>7830.0855546001703</v>
      </c>
      <c r="V3" s="79">
        <f t="shared" ref="V3:W3" si="19">SUM(V4:V5)</f>
        <v>3660.6575236457438</v>
      </c>
      <c r="W3" s="79">
        <f t="shared" si="19"/>
        <v>3923.8583834909723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1055.5411865864144</v>
      </c>
      <c r="C4" s="96">
        <f t="shared" si="20"/>
        <v>1076.6026655202061</v>
      </c>
      <c r="D4" s="96">
        <f t="shared" ref="D4:V4" si="21">SUM(D7,D11)</f>
        <v>1003.9194325021494</v>
      </c>
      <c r="E4" s="96">
        <f t="shared" si="21"/>
        <v>928.90068787618225</v>
      </c>
      <c r="F4" s="96">
        <f t="shared" si="21"/>
        <v>886.79406706792781</v>
      </c>
      <c r="G4" s="96">
        <f t="shared" si="21"/>
        <v>879.6290627687016</v>
      </c>
      <c r="H4" s="96">
        <f t="shared" si="21"/>
        <v>877.57515047291497</v>
      </c>
      <c r="I4" s="96">
        <f t="shared" si="21"/>
        <v>877.57515047291497</v>
      </c>
      <c r="J4" s="96">
        <f t="shared" si="21"/>
        <v>878.55425623387794</v>
      </c>
      <c r="K4" s="96">
        <f t="shared" si="21"/>
        <v>834.51332760103173</v>
      </c>
      <c r="L4" s="96">
        <f t="shared" si="21"/>
        <v>807.71590713671537</v>
      </c>
      <c r="M4" s="96">
        <f t="shared" si="21"/>
        <v>1500.3715391229578</v>
      </c>
      <c r="N4" s="96">
        <f t="shared" si="21"/>
        <v>1505.0780739466898</v>
      </c>
      <c r="O4" s="96">
        <f t="shared" si="21"/>
        <v>1485.3803955288047</v>
      </c>
      <c r="P4" s="96">
        <f t="shared" si="21"/>
        <v>1422.7770421324158</v>
      </c>
      <c r="Q4" s="96">
        <f t="shared" si="21"/>
        <v>1420.902063628547</v>
      </c>
      <c r="R4" s="96">
        <f t="shared" si="21"/>
        <v>1465.3166809974205</v>
      </c>
      <c r="S4" s="96">
        <f t="shared" si="21"/>
        <v>1514.7611349957006</v>
      </c>
      <c r="T4" s="96">
        <f t="shared" si="21"/>
        <v>1593.2527944969902</v>
      </c>
      <c r="U4" s="96">
        <f t="shared" si="21"/>
        <v>1619.2818572656915</v>
      </c>
      <c r="V4" s="96">
        <f t="shared" si="21"/>
        <v>996.63112639724829</v>
      </c>
      <c r="W4" s="96">
        <f t="shared" ref="W4" si="22">SUM(W7,W11)</f>
        <v>1227.4551160791063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5215.9931212381762</v>
      </c>
      <c r="C5" s="96">
        <f t="shared" si="23"/>
        <v>5158.0610490111758</v>
      </c>
      <c r="D5" s="96">
        <f t="shared" ref="D5:V5" si="24">SUM(D8:D9,D12:D13)</f>
        <v>5179.1272570937217</v>
      </c>
      <c r="E5" s="96">
        <f t="shared" si="24"/>
        <v>5021.9791057609618</v>
      </c>
      <c r="F5" s="96">
        <f t="shared" si="24"/>
        <v>5369.1015477214114</v>
      </c>
      <c r="G5" s="96">
        <f t="shared" si="24"/>
        <v>5433.801891659502</v>
      </c>
      <c r="H5" s="96">
        <f t="shared" si="24"/>
        <v>5687.4683576956149</v>
      </c>
      <c r="I5" s="96">
        <f t="shared" si="24"/>
        <v>5895.9472055030074</v>
      </c>
      <c r="J5" s="96">
        <f t="shared" si="24"/>
        <v>5930.8648323301823</v>
      </c>
      <c r="K5" s="96">
        <f t="shared" si="24"/>
        <v>5402.9921754084271</v>
      </c>
      <c r="L5" s="96">
        <f t="shared" si="24"/>
        <v>5507.7451418744631</v>
      </c>
      <c r="M5" s="96">
        <f t="shared" si="24"/>
        <v>5579.0859845227833</v>
      </c>
      <c r="N5" s="96">
        <f t="shared" si="24"/>
        <v>5420.9141874462593</v>
      </c>
      <c r="O5" s="96">
        <f t="shared" si="24"/>
        <v>5357.4195184866721</v>
      </c>
      <c r="P5" s="96">
        <f t="shared" si="24"/>
        <v>5401.995012897677</v>
      </c>
      <c r="Q5" s="96">
        <f t="shared" si="24"/>
        <v>5721.7461736887344</v>
      </c>
      <c r="R5" s="96">
        <f t="shared" si="24"/>
        <v>5627.5784178847825</v>
      </c>
      <c r="S5" s="96">
        <f t="shared" si="24"/>
        <v>5714.4524505588997</v>
      </c>
      <c r="T5" s="96">
        <f t="shared" si="24"/>
        <v>5912.924419604471</v>
      </c>
      <c r="U5" s="96">
        <f t="shared" si="24"/>
        <v>6210.8036973344788</v>
      </c>
      <c r="V5" s="96">
        <f t="shared" si="24"/>
        <v>2664.0263972484954</v>
      </c>
      <c r="W5" s="96">
        <f t="shared" ref="W5" si="25">SUM(W8:W9,W12:W13)</f>
        <v>2696.4032674118657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5821.3643677544678</v>
      </c>
      <c r="C6" s="21">
        <f t="shared" si="26"/>
        <v>5782.788421518494</v>
      </c>
      <c r="D6" s="21">
        <f t="shared" ref="D6:V6" si="27">SUM(D7:D9)</f>
        <v>5742.9567481518698</v>
      </c>
      <c r="E6" s="21">
        <f t="shared" si="27"/>
        <v>5514.4638547236182</v>
      </c>
      <c r="F6" s="21">
        <f t="shared" si="27"/>
        <v>5776.6750537634352</v>
      </c>
      <c r="G6" s="21">
        <f t="shared" si="27"/>
        <v>5824.1987014439446</v>
      </c>
      <c r="H6" s="21">
        <f t="shared" si="27"/>
        <v>6062.3999977362946</v>
      </c>
      <c r="I6" s="21">
        <f t="shared" si="27"/>
        <v>6253.1720334237034</v>
      </c>
      <c r="J6" s="21">
        <f t="shared" si="27"/>
        <v>6287.8143449344316</v>
      </c>
      <c r="K6" s="21">
        <f t="shared" si="27"/>
        <v>5829.1940564165088</v>
      </c>
      <c r="L6" s="21">
        <f t="shared" si="27"/>
        <v>5845.350764611122</v>
      </c>
      <c r="M6" s="21">
        <f t="shared" si="27"/>
        <v>6564.0005803503245</v>
      </c>
      <c r="N6" s="21">
        <f t="shared" si="27"/>
        <v>6411.3218673357069</v>
      </c>
      <c r="O6" s="21">
        <f t="shared" si="27"/>
        <v>6363.9401139732872</v>
      </c>
      <c r="P6" s="21">
        <f t="shared" si="27"/>
        <v>6273.0128574644896</v>
      </c>
      <c r="Q6" s="21">
        <f t="shared" si="27"/>
        <v>6558.1248956478739</v>
      </c>
      <c r="R6" s="21">
        <f t="shared" si="27"/>
        <v>6590.8047061171219</v>
      </c>
      <c r="S6" s="21">
        <f t="shared" si="27"/>
        <v>6716.4823026624508</v>
      </c>
      <c r="T6" s="21">
        <f t="shared" si="27"/>
        <v>7009.4051203546906</v>
      </c>
      <c r="U6" s="21">
        <f t="shared" si="27"/>
        <v>7358.410922956964</v>
      </c>
      <c r="V6" s="21">
        <f t="shared" si="27"/>
        <v>3118.2760999247148</v>
      </c>
      <c r="W6" s="21">
        <f t="shared" ref="W6" si="28">SUM(W7:W9)</f>
        <v>3416.2379957886324</v>
      </c>
      <c r="DA6" s="189" t="s">
        <v>279</v>
      </c>
    </row>
    <row r="7" spans="1:105" ht="11.45" customHeight="1" x14ac:dyDescent="0.25">
      <c r="A7" s="83" t="s">
        <v>27</v>
      </c>
      <c r="B7" s="96">
        <v>991.91601876818868</v>
      </c>
      <c r="C7" s="96">
        <v>1003.1493110344252</v>
      </c>
      <c r="D7" s="96">
        <v>945.33190961141861</v>
      </c>
      <c r="E7" s="96">
        <v>881.40772572160085</v>
      </c>
      <c r="F7" s="96">
        <v>837.84085546052256</v>
      </c>
      <c r="G7" s="96">
        <v>831.2786360901805</v>
      </c>
      <c r="H7" s="96">
        <v>836.50280401207397</v>
      </c>
      <c r="I7" s="96">
        <v>843.26343998337165</v>
      </c>
      <c r="J7" s="96">
        <v>851.06056649281436</v>
      </c>
      <c r="K7" s="96">
        <v>810.00183490385416</v>
      </c>
      <c r="L7" s="96">
        <v>789.77701444016168</v>
      </c>
      <c r="M7" s="96">
        <v>1467.7478006262638</v>
      </c>
      <c r="N7" s="96">
        <v>1471.4570790586156</v>
      </c>
      <c r="O7" s="96">
        <v>1454.221509911149</v>
      </c>
      <c r="P7" s="96">
        <v>1386.324407914728</v>
      </c>
      <c r="Q7" s="96">
        <v>1385.759347108117</v>
      </c>
      <c r="R7" s="96">
        <v>1434.4093006055266</v>
      </c>
      <c r="S7" s="96">
        <v>1482.5191437043732</v>
      </c>
      <c r="T7" s="96">
        <v>1560.9451657043564</v>
      </c>
      <c r="U7" s="96">
        <v>1587.9577075378197</v>
      </c>
      <c r="V7" s="96">
        <v>965.28909039473467</v>
      </c>
      <c r="W7" s="96">
        <v>1192.6551163680228</v>
      </c>
      <c r="DA7" s="171" t="s">
        <v>280</v>
      </c>
    </row>
    <row r="8" spans="1:105" ht="11.45" customHeight="1" x14ac:dyDescent="0.25">
      <c r="A8" s="83" t="s">
        <v>173</v>
      </c>
      <c r="B8" s="96">
        <v>1194.7340744263026</v>
      </c>
      <c r="C8" s="96">
        <v>1182.4174397927654</v>
      </c>
      <c r="D8" s="96">
        <v>1186.865971014583</v>
      </c>
      <c r="E8" s="96">
        <v>1157.3805139519711</v>
      </c>
      <c r="F8" s="96">
        <v>1216.9422108004246</v>
      </c>
      <c r="G8" s="96">
        <v>1230.6590115312629</v>
      </c>
      <c r="H8" s="96">
        <v>1317.6633093631056</v>
      </c>
      <c r="I8" s="96">
        <v>1391.1656176593024</v>
      </c>
      <c r="J8" s="96">
        <v>1365.0653730806389</v>
      </c>
      <c r="K8" s="96">
        <v>1204.3010925696237</v>
      </c>
      <c r="L8" s="96">
        <v>1185.0563896388612</v>
      </c>
      <c r="M8" s="96">
        <v>1205.9382233581298</v>
      </c>
      <c r="N8" s="96">
        <v>1149.4925417753218</v>
      </c>
      <c r="O8" s="96">
        <v>1136.1524651253956</v>
      </c>
      <c r="P8" s="96">
        <v>1141.4077666101978</v>
      </c>
      <c r="Q8" s="96">
        <v>1211.7183173078522</v>
      </c>
      <c r="R8" s="96">
        <v>1271.4553577259489</v>
      </c>
      <c r="S8" s="96">
        <v>1329.2575169058975</v>
      </c>
      <c r="T8" s="96">
        <v>1361.8366675731509</v>
      </c>
      <c r="U8" s="96">
        <v>1387.6146108634948</v>
      </c>
      <c r="V8" s="96">
        <v>420.61872888723332</v>
      </c>
      <c r="W8" s="96">
        <v>486.15169320852067</v>
      </c>
      <c r="DA8" s="171" t="s">
        <v>281</v>
      </c>
    </row>
    <row r="9" spans="1:105" ht="11.45" customHeight="1" x14ac:dyDescent="0.25">
      <c r="A9" s="83" t="s">
        <v>174</v>
      </c>
      <c r="B9" s="96">
        <v>3634.7142745599772</v>
      </c>
      <c r="C9" s="96">
        <v>3597.2216706913032</v>
      </c>
      <c r="D9" s="96">
        <v>3610.7588675258685</v>
      </c>
      <c r="E9" s="96">
        <v>3475.675615050046</v>
      </c>
      <c r="F9" s="96">
        <v>3721.8919875024881</v>
      </c>
      <c r="G9" s="96">
        <v>3762.2610538225013</v>
      </c>
      <c r="H9" s="96">
        <v>3908.2338843611155</v>
      </c>
      <c r="I9" s="96">
        <v>4018.7429757810291</v>
      </c>
      <c r="J9" s="96">
        <v>4071.6884053609788</v>
      </c>
      <c r="K9" s="96">
        <v>3814.8911289430312</v>
      </c>
      <c r="L9" s="96">
        <v>3870.5173605320992</v>
      </c>
      <c r="M9" s="96">
        <v>3890.3145563659305</v>
      </c>
      <c r="N9" s="96">
        <v>3790.3722465017695</v>
      </c>
      <c r="O9" s="96">
        <v>3773.5661389367428</v>
      </c>
      <c r="P9" s="96">
        <v>3745.2806829395636</v>
      </c>
      <c r="Q9" s="96">
        <v>3960.6472312319047</v>
      </c>
      <c r="R9" s="96">
        <v>3884.9400477856461</v>
      </c>
      <c r="S9" s="96">
        <v>3904.7056420521803</v>
      </c>
      <c r="T9" s="96">
        <v>4086.6232870771832</v>
      </c>
      <c r="U9" s="96">
        <v>4382.8386045556499</v>
      </c>
      <c r="V9" s="96">
        <v>1732.3682806427471</v>
      </c>
      <c r="W9" s="96">
        <v>1737.431186212089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450.16994007012295</v>
      </c>
      <c r="C10" s="22">
        <f t="shared" si="29"/>
        <v>451.87529301288839</v>
      </c>
      <c r="D10" s="22">
        <f t="shared" ref="D10:V10" si="30">SUM(D11:D13)</f>
        <v>440.08994144400117</v>
      </c>
      <c r="E10" s="22">
        <f t="shared" si="30"/>
        <v>436.41593891352653</v>
      </c>
      <c r="F10" s="22">
        <f t="shared" si="30"/>
        <v>479.22056102590335</v>
      </c>
      <c r="G10" s="22">
        <f t="shared" si="30"/>
        <v>489.23225298425808</v>
      </c>
      <c r="H10" s="22">
        <f t="shared" si="30"/>
        <v>502.64351043223428</v>
      </c>
      <c r="I10" s="22">
        <f t="shared" si="30"/>
        <v>520.35032255221938</v>
      </c>
      <c r="J10" s="22">
        <f t="shared" si="30"/>
        <v>521.60474362962691</v>
      </c>
      <c r="K10" s="22">
        <f t="shared" si="30"/>
        <v>408.31144659294898</v>
      </c>
      <c r="L10" s="22">
        <f t="shared" si="30"/>
        <v>470.11028440005578</v>
      </c>
      <c r="M10" s="22">
        <f t="shared" si="30"/>
        <v>515.45694329541766</v>
      </c>
      <c r="N10" s="22">
        <f t="shared" si="30"/>
        <v>514.67039405724222</v>
      </c>
      <c r="O10" s="22">
        <f t="shared" si="30"/>
        <v>478.85980004218919</v>
      </c>
      <c r="P10" s="22">
        <f t="shared" si="30"/>
        <v>551.75919756560393</v>
      </c>
      <c r="Q10" s="22">
        <f t="shared" si="30"/>
        <v>584.52334166940841</v>
      </c>
      <c r="R10" s="22">
        <f t="shared" si="30"/>
        <v>502.09039276508088</v>
      </c>
      <c r="S10" s="22">
        <f t="shared" si="30"/>
        <v>512.73128289214867</v>
      </c>
      <c r="T10" s="22">
        <f t="shared" si="30"/>
        <v>496.77209374677085</v>
      </c>
      <c r="U10" s="22">
        <f t="shared" si="30"/>
        <v>471.67463164320571</v>
      </c>
      <c r="V10" s="22">
        <f t="shared" si="30"/>
        <v>542.38142372102868</v>
      </c>
      <c r="W10" s="22">
        <f t="shared" ref="W10" si="31">SUM(W11:W13)</f>
        <v>507.62038770233966</v>
      </c>
      <c r="DA10" s="193" t="s">
        <v>283</v>
      </c>
    </row>
    <row r="11" spans="1:105" ht="11.45" customHeight="1" x14ac:dyDescent="0.25">
      <c r="A11" s="92" t="s">
        <v>27</v>
      </c>
      <c r="B11" s="97">
        <v>63.625167818225719</v>
      </c>
      <c r="C11" s="97">
        <v>73.453354485780835</v>
      </c>
      <c r="D11" s="97">
        <v>58.587522890730881</v>
      </c>
      <c r="E11" s="97">
        <v>47.492962154581349</v>
      </c>
      <c r="F11" s="97">
        <v>48.953211607405258</v>
      </c>
      <c r="G11" s="97">
        <v>48.350426678521139</v>
      </c>
      <c r="H11" s="97">
        <v>41.072346460841018</v>
      </c>
      <c r="I11" s="97">
        <v>34.311710489543358</v>
      </c>
      <c r="J11" s="97">
        <v>27.493689741063616</v>
      </c>
      <c r="K11" s="97">
        <v>24.511492697177609</v>
      </c>
      <c r="L11" s="97">
        <v>17.938892696553673</v>
      </c>
      <c r="M11" s="97">
        <v>32.623738496693917</v>
      </c>
      <c r="N11" s="97">
        <v>33.620994888074129</v>
      </c>
      <c r="O11" s="97">
        <v>31.158885617655635</v>
      </c>
      <c r="P11" s="97">
        <v>36.45263421768783</v>
      </c>
      <c r="Q11" s="97">
        <v>35.142716520429936</v>
      </c>
      <c r="R11" s="97">
        <v>30.907380391893756</v>
      </c>
      <c r="S11" s="97">
        <v>32.241991291327324</v>
      </c>
      <c r="T11" s="97">
        <v>32.307628792633842</v>
      </c>
      <c r="U11" s="97">
        <v>31.324149727871919</v>
      </c>
      <c r="V11" s="97">
        <v>31.342036002513666</v>
      </c>
      <c r="W11" s="97">
        <v>34.799999711083487</v>
      </c>
      <c r="DA11" s="175" t="s">
        <v>284</v>
      </c>
    </row>
    <row r="12" spans="1:105" ht="11.45" customHeight="1" x14ac:dyDescent="0.25">
      <c r="A12" s="92" t="s">
        <v>173</v>
      </c>
      <c r="B12" s="97">
        <v>24.437631510856857</v>
      </c>
      <c r="C12" s="97">
        <v>27.905524634782967</v>
      </c>
      <c r="D12" s="97">
        <v>25.121963492639381</v>
      </c>
      <c r="E12" s="97">
        <v>23.688230995817403</v>
      </c>
      <c r="F12" s="97">
        <v>26.605550726857306</v>
      </c>
      <c r="G12" s="97">
        <v>25.52237635563683</v>
      </c>
      <c r="H12" s="97">
        <v>33.663650136054443</v>
      </c>
      <c r="I12" s="97">
        <v>40.809806867881193</v>
      </c>
      <c r="J12" s="97">
        <v>39.703019785422448</v>
      </c>
      <c r="K12" s="97">
        <v>34.922126301514858</v>
      </c>
      <c r="L12" s="97">
        <v>38.91277197864644</v>
      </c>
      <c r="M12" s="97">
        <v>45.460842607511083</v>
      </c>
      <c r="N12" s="97">
        <v>42.68012009454273</v>
      </c>
      <c r="O12" s="97">
        <v>46.164839133029837</v>
      </c>
      <c r="P12" s="97">
        <v>56.092481900733624</v>
      </c>
      <c r="Q12" s="97">
        <v>56.988396993585745</v>
      </c>
      <c r="R12" s="97">
        <v>50.046214280553372</v>
      </c>
      <c r="S12" s="97">
        <v>54.421259347340786</v>
      </c>
      <c r="T12" s="97">
        <v>47.223342549654397</v>
      </c>
      <c r="U12" s="97">
        <v>47.94307194533129</v>
      </c>
      <c r="V12" s="97">
        <v>45.737860108290448</v>
      </c>
      <c r="W12" s="97">
        <v>46.692236433158911</v>
      </c>
      <c r="DA12" s="175" t="s">
        <v>285</v>
      </c>
    </row>
    <row r="13" spans="1:105" ht="11.45" customHeight="1" x14ac:dyDescent="0.25">
      <c r="A13" s="85" t="s">
        <v>174</v>
      </c>
      <c r="B13" s="98">
        <v>362.10714074104038</v>
      </c>
      <c r="C13" s="98">
        <v>350.51641389232458</v>
      </c>
      <c r="D13" s="98">
        <v>356.38045506063094</v>
      </c>
      <c r="E13" s="98">
        <v>365.23474576312776</v>
      </c>
      <c r="F13" s="98">
        <v>403.6617986916408</v>
      </c>
      <c r="G13" s="98">
        <v>415.3594499501001</v>
      </c>
      <c r="H13" s="98">
        <v>427.90751383533882</v>
      </c>
      <c r="I13" s="98">
        <v>445.2288051947948</v>
      </c>
      <c r="J13" s="98">
        <v>454.40803410314089</v>
      </c>
      <c r="K13" s="98">
        <v>348.87782759425653</v>
      </c>
      <c r="L13" s="98">
        <v>413.25861972485569</v>
      </c>
      <c r="M13" s="98">
        <v>437.37236219121263</v>
      </c>
      <c r="N13" s="98">
        <v>438.36927907462541</v>
      </c>
      <c r="O13" s="98">
        <v>401.53607529150372</v>
      </c>
      <c r="P13" s="98">
        <v>459.21408144718242</v>
      </c>
      <c r="Q13" s="98">
        <v>492.39222815539279</v>
      </c>
      <c r="R13" s="98">
        <v>421.13679809263374</v>
      </c>
      <c r="S13" s="98">
        <v>426.06803225348057</v>
      </c>
      <c r="T13" s="98">
        <v>417.24112240448261</v>
      </c>
      <c r="U13" s="98">
        <v>392.4074099700025</v>
      </c>
      <c r="V13" s="98">
        <v>465.30152761022453</v>
      </c>
      <c r="W13" s="98">
        <v>426.12815155809727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487.01852016702497</v>
      </c>
      <c r="C17" s="62">
        <f>IF(C3=0,0,C3/TrAvia_act!C13*100)</f>
        <v>484.67346582498834</v>
      </c>
      <c r="D17" s="62">
        <f>IF(D3=0,0,D3/TrAvia_act!D13*100)</f>
        <v>475.50069943285342</v>
      </c>
      <c r="E17" s="62">
        <f>IF(E3=0,0,E3/TrAvia_act!E13*100)</f>
        <v>462.67804811794065</v>
      </c>
      <c r="F17" s="62">
        <f>IF(F3=0,0,F3/TrAvia_act!F13*100)</f>
        <v>483.49677911987834</v>
      </c>
      <c r="G17" s="62">
        <f>IF(G3=0,0,G3/TrAvia_act!G13*100)</f>
        <v>476.00681661621576</v>
      </c>
      <c r="H17" s="62">
        <f>IF(H3=0,0,H3/TrAvia_act!H13*100)</f>
        <v>478.78822737288465</v>
      </c>
      <c r="I17" s="62">
        <f>IF(I3=0,0,I3/TrAvia_act!I13*100)</f>
        <v>473.49015220600688</v>
      </c>
      <c r="J17" s="62">
        <f>IF(J3=0,0,J3/TrAvia_act!J13*100)</f>
        <v>476.9163973417738</v>
      </c>
      <c r="K17" s="62">
        <f>IF(K3=0,0,K3/TrAvia_act!K13*100)</f>
        <v>474.40638608615234</v>
      </c>
      <c r="L17" s="62">
        <f>IF(L3=0,0,L3/TrAvia_act!L13*100)</f>
        <v>529.89494265227222</v>
      </c>
      <c r="M17" s="62">
        <f>IF(M3=0,0,M3/TrAvia_act!M13*100)</f>
        <v>556.10168420457353</v>
      </c>
      <c r="N17" s="62">
        <f>IF(N3=0,0,N3/TrAvia_act!N13*100)</f>
        <v>576.48133088186046</v>
      </c>
      <c r="O17" s="62">
        <f>IF(O3=0,0,O3/TrAvia_act!O13*100)</f>
        <v>574.57514403239531</v>
      </c>
      <c r="P17" s="62">
        <f>IF(P3=0,0,P3/TrAvia_act!P13*100)</f>
        <v>549.65349266493695</v>
      </c>
      <c r="Q17" s="62">
        <f>IF(Q3=0,0,Q3/TrAvia_act!Q13*100)</f>
        <v>574.34700507458604</v>
      </c>
      <c r="R17" s="62">
        <f>IF(R3=0,0,R3/TrAvia_act!R13*100)</f>
        <v>568.68900956848779</v>
      </c>
      <c r="S17" s="62">
        <f>IF(S3=0,0,S3/TrAvia_act!S13*100)</f>
        <v>567.12401864812364</v>
      </c>
      <c r="T17" s="62">
        <f>IF(T3=0,0,T3/TrAvia_act!T13*100)</f>
        <v>570.673424957414</v>
      </c>
      <c r="U17" s="62">
        <f>IF(U3=0,0,U3/TrAvia_act!U13*100)</f>
        <v>578.79467562981881</v>
      </c>
      <c r="V17" s="62">
        <f>IF(V3=0,0,V3/TrAvia_act!V13*100)</f>
        <v>618.55985809229355</v>
      </c>
      <c r="W17" s="62">
        <f>IF(W3=0,0,W3/TrAvia_act!W13*100)</f>
        <v>532.16479296942441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482.85278353592417</v>
      </c>
      <c r="C18" s="14">
        <f>IF(C6=0,0,C6/TrAvia_act!C14*100)</f>
        <v>480.82830544118804</v>
      </c>
      <c r="D18" s="14">
        <f>IF(D6=0,0,D6/TrAvia_act!D14*100)</f>
        <v>471.30395982480024</v>
      </c>
      <c r="E18" s="14">
        <f>IF(E6=0,0,E6/TrAvia_act!E14*100)</f>
        <v>458.03122809882836</v>
      </c>
      <c r="F18" s="14">
        <f>IF(F6=0,0,F6/TrAvia_act!F14*100)</f>
        <v>478.63982922347452</v>
      </c>
      <c r="G18" s="14">
        <f>IF(G6=0,0,G6/TrAvia_act!G14*100)</f>
        <v>471.74245606097361</v>
      </c>
      <c r="H18" s="14">
        <f>IF(H6=0,0,H6/TrAvia_act!H14*100)</f>
        <v>474.80705506239758</v>
      </c>
      <c r="I18" s="14">
        <f>IF(I6=0,0,I6/TrAvia_act!I14*100)</f>
        <v>469.83036241273214</v>
      </c>
      <c r="J18" s="14">
        <f>IF(J6=0,0,J6/TrAvia_act!J14*100)</f>
        <v>472.56106031533989</v>
      </c>
      <c r="K18" s="14">
        <f>IF(K6=0,0,K6/TrAvia_act!K14*100)</f>
        <v>470.86731474895061</v>
      </c>
      <c r="L18" s="14">
        <f>IF(L6=0,0,L6/TrAvia_act!L14*100)</f>
        <v>524.4238202328329</v>
      </c>
      <c r="M18" s="14">
        <f>IF(M6=0,0,M6/TrAvia_act!M14*100)</f>
        <v>555.21149119295694</v>
      </c>
      <c r="N18" s="14">
        <f>IF(N6=0,0,N6/TrAvia_act!N14*100)</f>
        <v>572.73442430290447</v>
      </c>
      <c r="O18" s="14">
        <f>IF(O6=0,0,O6/TrAvia_act!O14*100)</f>
        <v>571.77031010121618</v>
      </c>
      <c r="P18" s="14">
        <f>IF(P6=0,0,P6/TrAvia_act!P14*100)</f>
        <v>548.21559910226711</v>
      </c>
      <c r="Q18" s="14">
        <f>IF(Q6=0,0,Q6/TrAvia_act!Q14*100)</f>
        <v>571.42414871149447</v>
      </c>
      <c r="R18" s="14">
        <f>IF(R6=0,0,R6/TrAvia_act!R14*100)</f>
        <v>565.94111352478706</v>
      </c>
      <c r="S18" s="14">
        <f>IF(S6=0,0,S6/TrAvia_act!S14*100)</f>
        <v>564.32708204383891</v>
      </c>
      <c r="T18" s="14">
        <f>IF(T6=0,0,T6/TrAvia_act!T14*100)</f>
        <v>568.6304314943817</v>
      </c>
      <c r="U18" s="14">
        <f>IF(U6=0,0,U6/TrAvia_act!U14*100)</f>
        <v>577.13721142960378</v>
      </c>
      <c r="V18" s="14">
        <f>IF(V6=0,0,V6/TrAvia_act!V14*100)</f>
        <v>620.01168864775775</v>
      </c>
      <c r="W18" s="14">
        <f>IF(W6=0,0,W6/TrAvia_act!W14*100)</f>
        <v>534.46896329548122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333.3723098065629</v>
      </c>
      <c r="C19" s="87">
        <f>IF(C7=0,0,C7/TrAvia_act!C15*100)</f>
        <v>330.22133043481762</v>
      </c>
      <c r="D19" s="87">
        <f>IF(D7=0,0,D7/TrAvia_act!D15*100)</f>
        <v>300.04637207814477</v>
      </c>
      <c r="E19" s="87">
        <f>IF(E7=0,0,E7/TrAvia_act!E15*100)</f>
        <v>288.69222774620141</v>
      </c>
      <c r="F19" s="87">
        <f>IF(F7=0,0,F7/TrAvia_act!F15*100)</f>
        <v>296.08749187045873</v>
      </c>
      <c r="G19" s="87">
        <f>IF(G7=0,0,G7/TrAvia_act!G15*100)</f>
        <v>297.60214322104372</v>
      </c>
      <c r="H19" s="87">
        <f>IF(H7=0,0,H7/TrAvia_act!H15*100)</f>
        <v>292.9667004764043</v>
      </c>
      <c r="I19" s="87">
        <f>IF(I7=0,0,I7/TrAvia_act!I15*100)</f>
        <v>291.82151673971191</v>
      </c>
      <c r="J19" s="87">
        <f>IF(J7=0,0,J7/TrAvia_act!J15*100)</f>
        <v>294.92798750786164</v>
      </c>
      <c r="K19" s="87">
        <f>IF(K7=0,0,K7/TrAvia_act!K15*100)</f>
        <v>284.9754430486152</v>
      </c>
      <c r="L19" s="87">
        <f>IF(L7=0,0,L7/TrAvia_act!L15*100)</f>
        <v>312.30833029816552</v>
      </c>
      <c r="M19" s="87">
        <f>IF(M7=0,0,M7/TrAvia_act!M15*100)</f>
        <v>549.22425723633535</v>
      </c>
      <c r="N19" s="87">
        <f>IF(N7=0,0,N7/TrAvia_act!N15*100)</f>
        <v>559.17872788190368</v>
      </c>
      <c r="O19" s="87">
        <f>IF(O7=0,0,O7/TrAvia_act!O15*100)</f>
        <v>552.08962710935202</v>
      </c>
      <c r="P19" s="87">
        <f>IF(P7=0,0,P7/TrAvia_act!P15*100)</f>
        <v>542.73677977453167</v>
      </c>
      <c r="Q19" s="87">
        <f>IF(Q7=0,0,Q7/TrAvia_act!Q15*100)</f>
        <v>544.92879146638757</v>
      </c>
      <c r="R19" s="87">
        <f>IF(R7=0,0,R7/TrAvia_act!R15*100)</f>
        <v>557.24837633754362</v>
      </c>
      <c r="S19" s="87">
        <f>IF(S7=0,0,S7/TrAvia_act!S15*100)</f>
        <v>555.65804587157322</v>
      </c>
      <c r="T19" s="87">
        <f>IF(T7=0,0,T7/TrAvia_act!T15*100)</f>
        <v>568.85387650196833</v>
      </c>
      <c r="U19" s="87">
        <f>IF(U7=0,0,U7/TrAvia_act!U15*100)</f>
        <v>568.02656634628488</v>
      </c>
      <c r="V19" s="87">
        <f>IF(V7=0,0,V7/TrAvia_act!V15*100)</f>
        <v>623.73895376889516</v>
      </c>
      <c r="W19" s="87">
        <f>IF(W7=0,0,W7/TrAvia_act!W15*100)</f>
        <v>605.10055812006931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413.83311687611643</v>
      </c>
      <c r="C20" s="87">
        <f>IF(C8=0,0,C8/TrAvia_act!C16*100)</f>
        <v>413.75132844417493</v>
      </c>
      <c r="D20" s="87">
        <f>IF(D8=0,0,D8/TrAvia_act!D16*100)</f>
        <v>413.20664563144823</v>
      </c>
      <c r="E20" s="87">
        <f>IF(E8=0,0,E8/TrAvia_act!E16*100)</f>
        <v>401.54303199688775</v>
      </c>
      <c r="F20" s="87">
        <f>IF(F8=0,0,F8/TrAvia_act!F16*100)</f>
        <v>415.78328164430076</v>
      </c>
      <c r="G20" s="87">
        <f>IF(G8=0,0,G8/TrAvia_act!G16*100)</f>
        <v>419.12788186837753</v>
      </c>
      <c r="H20" s="87">
        <f>IF(H8=0,0,H8/TrAvia_act!H16*100)</f>
        <v>422.8324316791502</v>
      </c>
      <c r="I20" s="87">
        <f>IF(I8=0,0,I8/TrAvia_act!I16*100)</f>
        <v>422.4425739178626</v>
      </c>
      <c r="J20" s="87">
        <f>IF(J8=0,0,J8/TrAvia_act!J16*100)</f>
        <v>408.23373592042697</v>
      </c>
      <c r="K20" s="87">
        <f>IF(K8=0,0,K8/TrAvia_act!K16*100)</f>
        <v>395.97613145435804</v>
      </c>
      <c r="L20" s="87">
        <f>IF(L8=0,0,L8/TrAvia_act!L16*100)</f>
        <v>433.69280747392116</v>
      </c>
      <c r="M20" s="87">
        <f>IF(M8=0,0,M8/TrAvia_act!M16*100)</f>
        <v>416.2192931228123</v>
      </c>
      <c r="N20" s="87">
        <f>IF(N8=0,0,N8/TrAvia_act!N16*100)</f>
        <v>402.57449163484296</v>
      </c>
      <c r="O20" s="87">
        <f>IF(O8=0,0,O8/TrAvia_act!O16*100)</f>
        <v>414.22384312328433</v>
      </c>
      <c r="P20" s="87">
        <f>IF(P8=0,0,P8/TrAvia_act!P16*100)</f>
        <v>406.24795767625415</v>
      </c>
      <c r="Q20" s="87">
        <f>IF(Q8=0,0,Q8/TrAvia_act!Q16*100)</f>
        <v>416.94197528618406</v>
      </c>
      <c r="R20" s="87">
        <f>IF(R8=0,0,R8/TrAvia_act!R16*100)</f>
        <v>416.68453252658298</v>
      </c>
      <c r="S20" s="87">
        <f>IF(S8=0,0,S8/TrAvia_act!S16*100)</f>
        <v>426.95680923184545</v>
      </c>
      <c r="T20" s="87">
        <f>IF(T8=0,0,T8/TrAvia_act!T16*100)</f>
        <v>428.14641759518162</v>
      </c>
      <c r="U20" s="87">
        <f>IF(U8=0,0,U8/TrAvia_act!U16*100)</f>
        <v>424.17600407079823</v>
      </c>
      <c r="V20" s="87">
        <f>IF(V8=0,0,V8/TrAvia_act!V16*100)</f>
        <v>379.24982937799501</v>
      </c>
      <c r="W20" s="87">
        <f>IF(W8=0,0,W8/TrAvia_act!W16*100)</f>
        <v>319.00977521035514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586.83164597689176</v>
      </c>
      <c r="C21" s="87">
        <f>IF(C9=0,0,C9/TrAvia_act!C17*100)</f>
        <v>586.71565709563231</v>
      </c>
      <c r="D21" s="87">
        <f>IF(D9=0,0,D9/TrAvia_act!D17*100)</f>
        <v>585.9433101584242</v>
      </c>
      <c r="E21" s="87">
        <f>IF(E9=0,0,E9/TrAvia_act!E17*100)</f>
        <v>569.4043182604006</v>
      </c>
      <c r="F21" s="87">
        <f>IF(F9=0,0,F9/TrAvia_act!F17*100)</f>
        <v>589.61919885271175</v>
      </c>
      <c r="G21" s="87">
        <f>IF(G9=0,0,G9/TrAvia_act!G17*100)</f>
        <v>568.60526950306337</v>
      </c>
      <c r="H21" s="87">
        <f>IF(H9=0,0,H9/TrAvia_act!H17*100)</f>
        <v>575.03006487456616</v>
      </c>
      <c r="I21" s="87">
        <f>IF(I9=0,0,I9/TrAvia_act!I17*100)</f>
        <v>563.9056449865044</v>
      </c>
      <c r="J21" s="87">
        <f>IF(J9=0,0,J9/TrAvia_act!J17*100)</f>
        <v>575.39502631713572</v>
      </c>
      <c r="K21" s="87">
        <f>IF(K9=0,0,K9/TrAvia_act!K17*100)</f>
        <v>587.26850364289669</v>
      </c>
      <c r="L21" s="87">
        <f>IF(L9=0,0,L9/TrAvia_act!L17*100)</f>
        <v>657.70115165869186</v>
      </c>
      <c r="M21" s="87">
        <f>IF(M9=0,0,M9/TrAvia_act!M17*100)</f>
        <v>622.17570905558136</v>
      </c>
      <c r="N21" s="87">
        <f>IF(N9=0,0,N9/TrAvia_act!N17*100)</f>
        <v>664.11342714954674</v>
      </c>
      <c r="O21" s="87">
        <f>IF(O9=0,0,O9/TrAvia_act!O17*100)</f>
        <v>655.8890300749772</v>
      </c>
      <c r="P21" s="87">
        <f>IF(P9=0,0,P9/TrAvia_act!P17*100)</f>
        <v>616.13724096031592</v>
      </c>
      <c r="Q21" s="87">
        <f>IF(Q9=0,0,Q9/TrAvia_act!Q17*100)</f>
        <v>657.08596470952511</v>
      </c>
      <c r="R21" s="87">
        <f>IF(R9=0,0,R9/TrAvia_act!R17*100)</f>
        <v>645.30804926710448</v>
      </c>
      <c r="S21" s="87">
        <f>IF(S9=0,0,S9/TrAvia_act!S17*100)</f>
        <v>637.98398379856837</v>
      </c>
      <c r="T21" s="87">
        <f>IF(T9=0,0,T9/TrAvia_act!T17*100)</f>
        <v>638.33249629732722</v>
      </c>
      <c r="U21" s="87">
        <f>IF(U9=0,0,U9/TrAvia_act!U17*100)</f>
        <v>655.82304280782273</v>
      </c>
      <c r="V21" s="87">
        <f>IF(V9=0,0,V9/TrAvia_act!V17*100)</f>
        <v>730.12011283328718</v>
      </c>
      <c r="W21" s="87">
        <f>IF(W9=0,0,W9/TrAvia_act!W17*100)</f>
        <v>599.75674872505692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548.17533398910939</v>
      </c>
      <c r="C22" s="15">
        <f>IF(C10=0,0,C10/TrAvia_act!C18*100)</f>
        <v>539.92956872154298</v>
      </c>
      <c r="D22" s="15">
        <f>IF(D10=0,0,D10/TrAvia_act!D18*100)</f>
        <v>538.01826489354573</v>
      </c>
      <c r="E22" s="15">
        <f>IF(E10=0,0,E10/TrAvia_act!E18*100)</f>
        <v>530.71140034916664</v>
      </c>
      <c r="F22" s="15">
        <f>IF(F10=0,0,F10/TrAvia_act!F18*100)</f>
        <v>550.88044601164427</v>
      </c>
      <c r="G22" s="15">
        <f>IF(G10=0,0,G10/TrAvia_act!G18*100)</f>
        <v>533.40929381416186</v>
      </c>
      <c r="H22" s="15">
        <f>IF(H10=0,0,H10/TrAvia_act!H18*100)</f>
        <v>532.65546521782971</v>
      </c>
      <c r="I22" s="15">
        <f>IF(I10=0,0,I10/TrAvia_act!I18*100)</f>
        <v>522.39086442586029</v>
      </c>
      <c r="J22" s="15">
        <f>IF(J10=0,0,J10/TrAvia_act!J18*100)</f>
        <v>536.52546861702035</v>
      </c>
      <c r="K22" s="15">
        <f>IF(K10=0,0,K10/TrAvia_act!K18*100)</f>
        <v>531.42986173199711</v>
      </c>
      <c r="L22" s="15">
        <f>IF(L10=0,0,L10/TrAvia_act!L18*100)</f>
        <v>608.87824851647326</v>
      </c>
      <c r="M22" s="15">
        <f>IF(M10=0,0,M10/TrAvia_act!M18*100)</f>
        <v>567.69253007565362</v>
      </c>
      <c r="N22" s="15">
        <f>IF(N10=0,0,N10/TrAvia_act!N18*100)</f>
        <v>627.63093960678771</v>
      </c>
      <c r="O22" s="15">
        <f>IF(O10=0,0,O10/TrAvia_act!O18*100)</f>
        <v>614.6459700595949</v>
      </c>
      <c r="P22" s="15">
        <f>IF(P10=0,0,P10/TrAvia_act!P18*100)</f>
        <v>566.54772437047734</v>
      </c>
      <c r="Q22" s="15">
        <f>IF(Q10=0,0,Q10/TrAvia_act!Q18*100)</f>
        <v>609.31481614111749</v>
      </c>
      <c r="R22" s="15">
        <f>IF(R10=0,0,R10/TrAvia_act!R18*100)</f>
        <v>607.40248393545278</v>
      </c>
      <c r="S22" s="15">
        <f>IF(S10=0,0,S10/TrAvia_act!S18*100)</f>
        <v>606.50031065704604</v>
      </c>
      <c r="T22" s="15">
        <f>IF(T10=0,0,T10/TrAvia_act!T18*100)</f>
        <v>601.1483398262385</v>
      </c>
      <c r="U22" s="15">
        <f>IF(U10=0,0,U10/TrAvia_act!U18*100)</f>
        <v>605.9426951169462</v>
      </c>
      <c r="V22" s="15">
        <f>IF(V10=0,0,V10/TrAvia_act!V18*100)</f>
        <v>610.34311208457211</v>
      </c>
      <c r="W22" s="15">
        <f>IF(W10=0,0,W10/TrAvia_act!W18*100)</f>
        <v>517.16013195179073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388.64218928178155</v>
      </c>
      <c r="C23" s="101">
        <f>IF(C11=0,0,C11/TrAvia_act!C19*100)</f>
        <v>384.96880824384414</v>
      </c>
      <c r="D23" s="101">
        <f>IF(D11=0,0,D11/TrAvia_act!D19*100)</f>
        <v>349.79113591698354</v>
      </c>
      <c r="E23" s="101">
        <f>IF(E11=0,0,E11/TrAvia_act!E19*100)</f>
        <v>336.55458512742263</v>
      </c>
      <c r="F23" s="101">
        <f>IF(F11=0,0,F11/TrAvia_act!F19*100)</f>
        <v>345.17591195938439</v>
      </c>
      <c r="G23" s="101">
        <f>IF(G11=0,0,G11/TrAvia_act!G19*100)</f>
        <v>346.63113042028499</v>
      </c>
      <c r="H23" s="101">
        <f>IF(H11=0,0,H11/TrAvia_act!H19*100)</f>
        <v>320.99473092380737</v>
      </c>
      <c r="I23" s="101">
        <f>IF(I11=0,0,I11/TrAvia_act!I19*100)</f>
        <v>300.70962739811392</v>
      </c>
      <c r="J23" s="101">
        <f>IF(J11=0,0,J11/TrAvia_act!J19*100)</f>
        <v>286.59464997559337</v>
      </c>
      <c r="K23" s="101">
        <f>IF(K11=0,0,K11/TrAvia_act!K19*100)</f>
        <v>256.00694108796336</v>
      </c>
      <c r="L23" s="101">
        <f>IF(L11=0,0,L11/TrAvia_act!L19*100)</f>
        <v>260.63742097536459</v>
      </c>
      <c r="M23" s="101">
        <f>IF(M11=0,0,M11/TrAvia_act!M19*100)</f>
        <v>459.98504919086639</v>
      </c>
      <c r="N23" s="101">
        <f>IF(N11=0,0,N11/TrAvia_act!N19*100)</f>
        <v>476.7774760846832</v>
      </c>
      <c r="O23" s="101">
        <f>IF(O11=0,0,O11/TrAvia_act!O19*100)</f>
        <v>468.73961252334152</v>
      </c>
      <c r="P23" s="101">
        <f>IF(P11=0,0,P11/TrAvia_act!P19*100)</f>
        <v>454.61207341126959</v>
      </c>
      <c r="Q23" s="101">
        <f>IF(Q11=0,0,Q11/TrAvia_act!Q19*100)</f>
        <v>457.15651631954017</v>
      </c>
      <c r="R23" s="101">
        <f>IF(R11=0,0,R11/TrAvia_act!R19*100)</f>
        <v>464.71224828852024</v>
      </c>
      <c r="S23" s="101">
        <f>IF(S11=0,0,S11/TrAvia_act!S19*100)</f>
        <v>456.35208980900518</v>
      </c>
      <c r="T23" s="101">
        <f>IF(T11=0,0,T11/TrAvia_act!T19*100)</f>
        <v>457.60682431880173</v>
      </c>
      <c r="U23" s="101">
        <f>IF(U11=0,0,U11/TrAvia_act!U19*100)</f>
        <v>449.8241337895131</v>
      </c>
      <c r="V23" s="101">
        <f>IF(V11=0,0,V11/TrAvia_act!V19*100)</f>
        <v>459.41048759948114</v>
      </c>
      <c r="W23" s="101">
        <f>IF(W11=0,0,W11/TrAvia_act!W19*100)</f>
        <v>440.50760362071441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445.97529561199917</v>
      </c>
      <c r="C24" s="101">
        <f>IF(C12=0,0,C12/TrAvia_act!C20*100)</f>
        <v>445.91202433847388</v>
      </c>
      <c r="D24" s="101">
        <f>IF(D12=0,0,D12/TrAvia_act!D20*100)</f>
        <v>445.30665607505557</v>
      </c>
      <c r="E24" s="101">
        <f>IF(E12=0,0,E12/TrAvia_act!E20*100)</f>
        <v>433.15405116103483</v>
      </c>
      <c r="F24" s="101">
        <f>IF(F12=0,0,F12/TrAvia_act!F20*100)</f>
        <v>447.90842958975395</v>
      </c>
      <c r="G24" s="101">
        <f>IF(G12=0,0,G12/TrAvia_act!G20*100)</f>
        <v>449.95437963637272</v>
      </c>
      <c r="H24" s="101">
        <f>IF(H12=0,0,H12/TrAvia_act!H20*100)</f>
        <v>453.17781927873517</v>
      </c>
      <c r="I24" s="101">
        <f>IF(I12=0,0,I12/TrAvia_act!I20*100)</f>
        <v>449.15970211648437</v>
      </c>
      <c r="J24" s="101">
        <f>IF(J12=0,0,J12/TrAvia_act!J20*100)</f>
        <v>430.57902109665571</v>
      </c>
      <c r="K24" s="101">
        <f>IF(K12=0,0,K12/TrAvia_act!K20*100)</f>
        <v>415.72436169117066</v>
      </c>
      <c r="L24" s="101">
        <f>IF(L12=0,0,L12/TrAvia_act!L20*100)</f>
        <v>455.65507178403345</v>
      </c>
      <c r="M24" s="101">
        <f>IF(M12=0,0,M12/TrAvia_act!M20*100)</f>
        <v>434.50342967382312</v>
      </c>
      <c r="N24" s="101">
        <f>IF(N12=0,0,N12/TrAvia_act!N20*100)</f>
        <v>419.19949321763619</v>
      </c>
      <c r="O24" s="101">
        <f>IF(O12=0,0,O12/TrAvia_act!O20*100)</f>
        <v>432.50358166920807</v>
      </c>
      <c r="P24" s="101">
        <f>IF(P12=0,0,P12/TrAvia_act!P20*100)</f>
        <v>424.99150299266387</v>
      </c>
      <c r="Q24" s="101">
        <f>IF(Q12=0,0,Q12/TrAvia_act!Q20*100)</f>
        <v>438.17825803106859</v>
      </c>
      <c r="R24" s="101">
        <f>IF(R12=0,0,R12/TrAvia_act!R20*100)</f>
        <v>437.59714184792483</v>
      </c>
      <c r="S24" s="101">
        <f>IF(S12=0,0,S12/TrAvia_act!S20*100)</f>
        <v>451.22728734860243</v>
      </c>
      <c r="T24" s="101">
        <f>IF(T12=0,0,T12/TrAvia_act!T20*100)</f>
        <v>453.86927327226363</v>
      </c>
      <c r="U24" s="101">
        <f>IF(U12=0,0,U12/TrAvia_act!U20*100)</f>
        <v>451.88409291030797</v>
      </c>
      <c r="V24" s="101">
        <f>IF(V12=0,0,V12/TrAvia_act!V20*100)</f>
        <v>402.78355208491615</v>
      </c>
      <c r="W24" s="101">
        <f>IF(W12=0,0,W12/TrAvia_act!W20*100)</f>
        <v>332.12401732769672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600.80040500805831</v>
      </c>
      <c r="C25" s="88">
        <f>IF(C13=0,0,C13/TrAvia_act!C21*100)</f>
        <v>600.68165516333738</v>
      </c>
      <c r="D25" s="88">
        <f>IF(D13=0,0,D13/TrAvia_act!D21*100)</f>
        <v>599.89092351847364</v>
      </c>
      <c r="E25" s="88">
        <f>IF(E13=0,0,E13/TrAvia_act!E21*100)</f>
        <v>582.95824257176662</v>
      </c>
      <c r="F25" s="88">
        <f>IF(F13=0,0,F13/TrAvia_act!F21*100)</f>
        <v>603.65431193052166</v>
      </c>
      <c r="G25" s="88">
        <f>IF(G13=0,0,G13/TrAvia_act!G21*100)</f>
        <v>576.11116008761826</v>
      </c>
      <c r="H25" s="88">
        <f>IF(H13=0,0,H13/TrAvia_act!H21*100)</f>
        <v>577.14660025827425</v>
      </c>
      <c r="I25" s="88">
        <f>IF(I13=0,0,I13/TrAvia_act!I21*100)</f>
        <v>562.7734699289216</v>
      </c>
      <c r="J25" s="88">
        <f>IF(J13=0,0,J13/TrAvia_act!J21*100)</f>
        <v>579.56561760265311</v>
      </c>
      <c r="K25" s="88">
        <f>IF(K13=0,0,K13/TrAvia_act!K21*100)</f>
        <v>592.74735088541627</v>
      </c>
      <c r="L25" s="88">
        <f>IF(L13=0,0,L13/TrAvia_act!L21*100)</f>
        <v>668.84851145999164</v>
      </c>
      <c r="M25" s="88">
        <f>IF(M13=0,0,M13/TrAvia_act!M21*100)</f>
        <v>597.14792915135058</v>
      </c>
      <c r="N25" s="88">
        <f>IF(N13=0,0,N13/TrAvia_act!N21*100)</f>
        <v>676.81937821752217</v>
      </c>
      <c r="O25" s="88">
        <f>IF(O13=0,0,O13/TrAvia_act!O21*100)</f>
        <v>662.74304918200505</v>
      </c>
      <c r="P25" s="88">
        <f>IF(P13=0,0,P13/TrAvia_act!P21*100)</f>
        <v>602.85824349402901</v>
      </c>
      <c r="Q25" s="88">
        <f>IF(Q13=0,0,Q13/TrAvia_act!Q21*100)</f>
        <v>654.44395387388408</v>
      </c>
      <c r="R25" s="88">
        <f>IF(R13=0,0,R13/TrAvia_act!R21*100)</f>
        <v>652.17265363788681</v>
      </c>
      <c r="S25" s="88">
        <f>IF(S13=0,0,S13/TrAvia_act!S21*100)</f>
        <v>651.34621264204054</v>
      </c>
      <c r="T25" s="88">
        <f>IF(T13=0,0,T13/TrAvia_act!T21*100)</f>
        <v>640.21090863400991</v>
      </c>
      <c r="U25" s="88">
        <f>IF(U13=0,0,U13/TrAvia_act!U21*100)</f>
        <v>651.10170930314666</v>
      </c>
      <c r="V25" s="88">
        <f>IF(V13=0,0,V13/TrAvia_act!V21*100)</f>
        <v>658.25308238261675</v>
      </c>
      <c r="W25" s="88">
        <f>IF(W13=0,0,W13/TrAvia_act!W21*100)</f>
        <v>559.24746003104156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49.33679028067332</v>
      </c>
      <c r="C28" s="14">
        <f>IF(C6=0,0,C6/TrAvia_act!C4*1000)</f>
        <v>48.360654882833707</v>
      </c>
      <c r="D28" s="14">
        <f>IF(D6=0,0,D6/TrAvia_act!D4*1000)</f>
        <v>46.78941044449823</v>
      </c>
      <c r="E28" s="14">
        <f>IF(E6=0,0,E6/TrAvia_act!E4*1000)</f>
        <v>45.494391832497527</v>
      </c>
      <c r="F28" s="14">
        <f>IF(F6=0,0,F6/TrAvia_act!F4*1000)</f>
        <v>44.106179914742675</v>
      </c>
      <c r="G28" s="14">
        <f>IF(G6=0,0,G6/TrAvia_act!G4*1000)</f>
        <v>41.493548948186323</v>
      </c>
      <c r="H28" s="14">
        <f>IF(H6=0,0,H6/TrAvia_act!H4*1000)</f>
        <v>41.824103479468498</v>
      </c>
      <c r="I28" s="14">
        <f>IF(I6=0,0,I6/TrAvia_act!I4*1000)</f>
        <v>41.086634426247343</v>
      </c>
      <c r="J28" s="14">
        <f>IF(J6=0,0,J6/TrAvia_act!J4*1000)</f>
        <v>40.772993541900028</v>
      </c>
      <c r="K28" s="14">
        <f>IF(K6=0,0,K6/TrAvia_act!K4*1000)</f>
        <v>38.906697967189366</v>
      </c>
      <c r="L28" s="14">
        <f>IF(L6=0,0,L6/TrAvia_act!L4*1000)</f>
        <v>38.089966218784667</v>
      </c>
      <c r="M28" s="14">
        <f>IF(M6=0,0,M6/TrAvia_act!M4*1000)</f>
        <v>39.660658313691791</v>
      </c>
      <c r="N28" s="14">
        <f>IF(N6=0,0,N6/TrAvia_act!N4*1000)</f>
        <v>38.777381054011585</v>
      </c>
      <c r="O28" s="14">
        <f>IF(O6=0,0,O6/TrAvia_act!O4*1000)</f>
        <v>37.369234888225279</v>
      </c>
      <c r="P28" s="14">
        <f>IF(P6=0,0,P6/TrAvia_act!P4*1000)</f>
        <v>35.191875009625385</v>
      </c>
      <c r="Q28" s="14">
        <f>IF(Q6=0,0,Q6/TrAvia_act!Q4*1000)</f>
        <v>36.358934462227609</v>
      </c>
      <c r="R28" s="14">
        <f>IF(R6=0,0,R6/TrAvia_act!R4*1000)</f>
        <v>36.265795364478222</v>
      </c>
      <c r="S28" s="14">
        <f>IF(S6=0,0,S6/TrAvia_act!S4*1000)</f>
        <v>35.00742649462449</v>
      </c>
      <c r="T28" s="14">
        <f>IF(T6=0,0,T6/TrAvia_act!T4*1000)</f>
        <v>33.956248988935236</v>
      </c>
      <c r="U28" s="14">
        <f>IF(U6=0,0,U6/TrAvia_act!U4*1000)</f>
        <v>33.97906770921265</v>
      </c>
      <c r="V28" s="14">
        <f>IF(V6=0,0,V6/TrAvia_act!V4*1000)</f>
        <v>44.84764285084163</v>
      </c>
      <c r="W28" s="14">
        <f>IF(W6=0,0,W6/TrAvia_act!W4*1000)</f>
        <v>40.856333766661223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47.716390518745634</v>
      </c>
      <c r="C29" s="87">
        <f>IF(C7=0,0,C7/TrAvia_act!C5*1000)</f>
        <v>46.627863857589603</v>
      </c>
      <c r="D29" s="87">
        <f>IF(D7=0,0,D7/TrAvia_act!D5*1000)</f>
        <v>41.800206472153285</v>
      </c>
      <c r="E29" s="87">
        <f>IF(E7=0,0,E7/TrAvia_act!E5*1000)</f>
        <v>40.697904414603357</v>
      </c>
      <c r="F29" s="87">
        <f>IF(F7=0,0,F7/TrAvia_act!F5*1000)</f>
        <v>39.15498349618327</v>
      </c>
      <c r="G29" s="87">
        <f>IF(G7=0,0,G7/TrAvia_act!G5*1000)</f>
        <v>38.867021915309394</v>
      </c>
      <c r="H29" s="87">
        <f>IF(H7=0,0,H7/TrAvia_act!H5*1000)</f>
        <v>38.488215565190771</v>
      </c>
      <c r="I29" s="87">
        <f>IF(I7=0,0,I7/TrAvia_act!I5*1000)</f>
        <v>37.450285791828414</v>
      </c>
      <c r="J29" s="87">
        <f>IF(J7=0,0,J7/TrAvia_act!J5*1000)</f>
        <v>38.385413233560037</v>
      </c>
      <c r="K29" s="87">
        <f>IF(K7=0,0,K7/TrAvia_act!K5*1000)</f>
        <v>35.553777773883482</v>
      </c>
      <c r="L29" s="87">
        <f>IF(L7=0,0,L7/TrAvia_act!L5*1000)</f>
        <v>33.610176814960056</v>
      </c>
      <c r="M29" s="87">
        <f>IF(M7=0,0,M7/TrAvia_act!M5*1000)</f>
        <v>58.3118410452267</v>
      </c>
      <c r="N29" s="87">
        <f>IF(N7=0,0,N7/TrAvia_act!N5*1000)</f>
        <v>58.926214307375211</v>
      </c>
      <c r="O29" s="87">
        <f>IF(O7=0,0,O7/TrAvia_act!O5*1000)</f>
        <v>56.349611189026554</v>
      </c>
      <c r="P29" s="87">
        <f>IF(P7=0,0,P7/TrAvia_act!P5*1000)</f>
        <v>53.466450871053965</v>
      </c>
      <c r="Q29" s="87">
        <f>IF(Q7=0,0,Q7/TrAvia_act!Q5*1000)</f>
        <v>52.792611856745488</v>
      </c>
      <c r="R29" s="87">
        <f>IF(R7=0,0,R7/TrAvia_act!R5*1000)</f>
        <v>52.541480876410461</v>
      </c>
      <c r="S29" s="87">
        <f>IF(S7=0,0,S7/TrAvia_act!S5*1000)</f>
        <v>50.825192053834883</v>
      </c>
      <c r="T29" s="87">
        <f>IF(T7=0,0,T7/TrAvia_act!T5*1000)</f>
        <v>50.012124793910864</v>
      </c>
      <c r="U29" s="87">
        <f>IF(U7=0,0,U7/TrAvia_act!U5*1000)</f>
        <v>49.366113996804117</v>
      </c>
      <c r="V29" s="87">
        <f>IF(V7=0,0,V7/TrAvia_act!V5*1000)</f>
        <v>59.687497847096559</v>
      </c>
      <c r="W29" s="87">
        <f>IF(W7=0,0,W7/TrAvia_act!W5*1000)</f>
        <v>54.700899559471999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53.306482824261103</v>
      </c>
      <c r="C30" s="87">
        <f>IF(C8=0,0,C8/TrAvia_act!C6*1000)</f>
        <v>52.123627356314557</v>
      </c>
      <c r="D30" s="87">
        <f>IF(D8=0,0,D8/TrAvia_act!D6*1000)</f>
        <v>51.519342154746475</v>
      </c>
      <c r="E30" s="87">
        <f>IF(E8=0,0,E8/TrAvia_act!E6*1000)</f>
        <v>49.65303817679338</v>
      </c>
      <c r="F30" s="87">
        <f>IF(F8=0,0,F8/TrAvia_act!F6*1000)</f>
        <v>49.69036060059095</v>
      </c>
      <c r="G30" s="87">
        <f>IF(G8=0,0,G8/TrAvia_act!G6*1000)</f>
        <v>47.666974809825398</v>
      </c>
      <c r="H30" s="87">
        <f>IF(H8=0,0,H8/TrAvia_act!H6*1000)</f>
        <v>49.221278989401135</v>
      </c>
      <c r="I30" s="87">
        <f>IF(I8=0,0,I8/TrAvia_act!I6*1000)</f>
        <v>49.793280389377642</v>
      </c>
      <c r="J30" s="87">
        <f>IF(J8=0,0,J8/TrAvia_act!J6*1000)</f>
        <v>49.183764611523408</v>
      </c>
      <c r="K30" s="87">
        <f>IF(K8=0,0,K8/TrAvia_act!K6*1000)</f>
        <v>45.896639800453443</v>
      </c>
      <c r="L30" s="87">
        <f>IF(L8=0,0,L8/TrAvia_act!L6*1000)</f>
        <v>45.01168786905167</v>
      </c>
      <c r="M30" s="87">
        <f>IF(M8=0,0,M8/TrAvia_act!M6*1000)</f>
        <v>41.49531642773605</v>
      </c>
      <c r="N30" s="87">
        <f>IF(N8=0,0,N8/TrAvia_act!N6*1000)</f>
        <v>38.329698513883237</v>
      </c>
      <c r="O30" s="87">
        <f>IF(O8=0,0,O8/TrAvia_act!O6*1000)</f>
        <v>37.542203955263972</v>
      </c>
      <c r="P30" s="87">
        <f>IF(P8=0,0,P8/TrAvia_act!P6*1000)</f>
        <v>35.378147831169279</v>
      </c>
      <c r="Q30" s="87">
        <f>IF(Q8=0,0,Q8/TrAvia_act!Q6*1000)</f>
        <v>35.673669132866678</v>
      </c>
      <c r="R30" s="87">
        <f>IF(R8=0,0,R8/TrAvia_act!R6*1000)</f>
        <v>35.137035204442597</v>
      </c>
      <c r="S30" s="87">
        <f>IF(S8=0,0,S8/TrAvia_act!S6*1000)</f>
        <v>34.58845847757172</v>
      </c>
      <c r="T30" s="87">
        <f>IF(T8=0,0,T8/TrAvia_act!T6*1000)</f>
        <v>33.584005437346875</v>
      </c>
      <c r="U30" s="87">
        <f>IF(U8=0,0,U8/TrAvia_act!U6*1000)</f>
        <v>32.889623545234073</v>
      </c>
      <c r="V30" s="87">
        <f>IF(V8=0,0,V8/TrAvia_act!V6*1000)</f>
        <v>35.160596378052396</v>
      </c>
      <c r="W30" s="87">
        <f>IF(W8=0,0,W8/TrAvia_act!W6*1000)</f>
        <v>28.32282507901456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48.597587996132141</v>
      </c>
      <c r="C31" s="87">
        <f>IF(C9=0,0,C9/TrAvia_act!C7*1000)</f>
        <v>47.722754265992265</v>
      </c>
      <c r="D31" s="87">
        <f>IF(D9=0,0,D9/TrAvia_act!D7*1000)</f>
        <v>46.83959299860495</v>
      </c>
      <c r="E31" s="87">
        <f>IF(E9=0,0,E9/TrAvia_act!E7*1000)</f>
        <v>45.5854624393709</v>
      </c>
      <c r="F31" s="87">
        <f>IF(F9=0,0,F9/TrAvia_act!F7*1000)</f>
        <v>43.744024747487686</v>
      </c>
      <c r="G31" s="87">
        <f>IF(G9=0,0,G9/TrAvia_act!G7*1000)</f>
        <v>40.385660235372356</v>
      </c>
      <c r="H31" s="87">
        <f>IF(H9=0,0,H9/TrAvia_act!H7*1000)</f>
        <v>40.522628750482269</v>
      </c>
      <c r="I31" s="87">
        <f>IF(I9=0,0,I9/TrAvia_act!I7*1000)</f>
        <v>39.50047704466256</v>
      </c>
      <c r="J31" s="87">
        <f>IF(J9=0,0,J9/TrAvia_act!J7*1000)</f>
        <v>39.04223463807287</v>
      </c>
      <c r="K31" s="87">
        <f>IF(K9=0,0,K9/TrAvia_act!K7*1000)</f>
        <v>37.844981555443773</v>
      </c>
      <c r="L31" s="87">
        <f>IF(L9=0,0,L9/TrAvia_act!L7*1000)</f>
        <v>37.347302190903768</v>
      </c>
      <c r="M31" s="87">
        <f>IF(M9=0,0,M9/TrAvia_act!M7*1000)</f>
        <v>34.962401059239937</v>
      </c>
      <c r="N31" s="87">
        <f>IF(N9=0,0,N9/TrAvia_act!N7*1000)</f>
        <v>34.340592644571089</v>
      </c>
      <c r="O31" s="87">
        <f>IF(O9=0,0,O9/TrAvia_act!O7*1000)</f>
        <v>33.035256890867672</v>
      </c>
      <c r="P31" s="87">
        <f>IF(P9=0,0,P9/TrAvia_act!P7*1000)</f>
        <v>31.19512708897172</v>
      </c>
      <c r="Q31" s="87">
        <f>IF(Q9=0,0,Q9/TrAvia_act!Q7*1000)</f>
        <v>32.962569742223074</v>
      </c>
      <c r="R31" s="87">
        <f>IF(R9=0,0,R9/TrAvia_act!R7*1000)</f>
        <v>32.853620222877424</v>
      </c>
      <c r="S31" s="87">
        <f>IF(S9=0,0,S9/TrAvia_act!S7*1000)</f>
        <v>31.423891916753725</v>
      </c>
      <c r="T31" s="87">
        <f>IF(T9=0,0,T9/TrAvia_act!T7*1000)</f>
        <v>30.347014194206032</v>
      </c>
      <c r="U31" s="87">
        <f>IF(U9=0,0,U9/TrAvia_act!U7*1000)</f>
        <v>30.821611866448702</v>
      </c>
      <c r="V31" s="87">
        <f>IF(V9=0,0,V9/TrAvia_act!V7*1000)</f>
        <v>41.849431584439877</v>
      </c>
      <c r="W31" s="87">
        <f>IF(W9=0,0,W9/TrAvia_act!W7*1000)</f>
        <v>38.91397308760024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82.551778178640788</v>
      </c>
      <c r="C32" s="15">
        <f>IF(C10=0,0,C10/TrAvia_act!C8*1000)</f>
        <v>80.978621410659983</v>
      </c>
      <c r="D32" s="15">
        <f>IF(D10=0,0,D10/TrAvia_act!D8*1000)</f>
        <v>82.499058396130266</v>
      </c>
      <c r="E32" s="15">
        <f>IF(E10=0,0,E10/TrAvia_act!E8*1000)</f>
        <v>85.481059145627668</v>
      </c>
      <c r="F32" s="15">
        <f>IF(F10=0,0,F10/TrAvia_act!F8*1000)</f>
        <v>90.955898845284452</v>
      </c>
      <c r="G32" s="15">
        <f>IF(G10=0,0,G10/TrAvia_act!G8*1000)</f>
        <v>91.90326232772648</v>
      </c>
      <c r="H32" s="15">
        <f>IF(H10=0,0,H10/TrAvia_act!H8*1000)</f>
        <v>95.051828156124358</v>
      </c>
      <c r="I32" s="15">
        <f>IF(I10=0,0,I10/TrAvia_act!I8*1000)</f>
        <v>93.838433565722113</v>
      </c>
      <c r="J32" s="15">
        <f>IF(J10=0,0,J10/TrAvia_act!J8*1000)</f>
        <v>97.176270883561003</v>
      </c>
      <c r="K32" s="15">
        <f>IF(K10=0,0,K10/TrAvia_act!K8*1000)</f>
        <v>89.2782191070811</v>
      </c>
      <c r="L32" s="15">
        <f>IF(L10=0,0,L10/TrAvia_act!L8*1000)</f>
        <v>97.018332735204879</v>
      </c>
      <c r="M32" s="15">
        <f>IF(M10=0,0,M10/TrAvia_act!M8*1000)</f>
        <v>85.628425044658727</v>
      </c>
      <c r="N32" s="15">
        <f>IF(N10=0,0,N10/TrAvia_act!N8*1000)</f>
        <v>87.788119707273836</v>
      </c>
      <c r="O32" s="15">
        <f>IF(O10=0,0,O10/TrAvia_act!O8*1000)</f>
        <v>86.103237842491069</v>
      </c>
      <c r="P32" s="15">
        <f>IF(P10=0,0,P10/TrAvia_act!P8*1000)</f>
        <v>69.47643828339946</v>
      </c>
      <c r="Q32" s="15">
        <f>IF(Q10=0,0,Q10/TrAvia_act!Q8*1000)</f>
        <v>75.199281642786048</v>
      </c>
      <c r="R32" s="15">
        <f>IF(R10=0,0,R10/TrAvia_act!R8*1000)</f>
        <v>69.55154151838201</v>
      </c>
      <c r="S32" s="15">
        <f>IF(S10=0,0,S10/TrAvia_act!S8*1000)</f>
        <v>71.478754062709953</v>
      </c>
      <c r="T32" s="15">
        <f>IF(T10=0,0,T10/TrAvia_act!T8*1000)</f>
        <v>68.684753107360663</v>
      </c>
      <c r="U32" s="15">
        <f>IF(U10=0,0,U10/TrAvia_act!U8*1000)</f>
        <v>67.434373830879693</v>
      </c>
      <c r="V32" s="15">
        <f>IF(V10=0,0,V10/TrAvia_act!V8*1000)</f>
        <v>99.546570437378122</v>
      </c>
      <c r="W32" s="15">
        <f>IF(W10=0,0,W10/TrAvia_act!W8*1000)</f>
        <v>92.416003578265261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359.18714445873479</v>
      </c>
      <c r="C33" s="101">
        <f>IF(C11=0,0,C11/TrAvia_act!C9*1000)</f>
        <v>358.52580169501732</v>
      </c>
      <c r="D33" s="101">
        <f>IF(D11=0,0,D11/TrAvia_act!D9*1000)</f>
        <v>316.79007711525207</v>
      </c>
      <c r="E33" s="101">
        <f>IF(E11=0,0,E11/TrAvia_act!E9*1000)</f>
        <v>286.55253277875067</v>
      </c>
      <c r="F33" s="101">
        <f>IF(F11=0,0,F11/TrAvia_act!F9*1000)</f>
        <v>312.10157054985325</v>
      </c>
      <c r="G33" s="101">
        <f>IF(G11=0,0,G11/TrAvia_act!G9*1000)</f>
        <v>320.26086060917316</v>
      </c>
      <c r="H33" s="101">
        <f>IF(H11=0,0,H11/TrAvia_act!H9*1000)</f>
        <v>308.32387380714408</v>
      </c>
      <c r="I33" s="101">
        <f>IF(I11=0,0,I11/TrAvia_act!I9*1000)</f>
        <v>289.91593375797663</v>
      </c>
      <c r="J33" s="101">
        <f>IF(J11=0,0,J11/TrAvia_act!J9*1000)</f>
        <v>287.19449847469383</v>
      </c>
      <c r="K33" s="101">
        <f>IF(K11=0,0,K11/TrAvia_act!K9*1000)</f>
        <v>254.34554263412184</v>
      </c>
      <c r="L33" s="101">
        <f>IF(L11=0,0,L11/TrAvia_act!L9*1000)</f>
        <v>242.10533233656574</v>
      </c>
      <c r="M33" s="101">
        <f>IF(M11=0,0,M11/TrAvia_act!M9*1000)</f>
        <v>390.21503716594043</v>
      </c>
      <c r="N33" s="101">
        <f>IF(N11=0,0,N11/TrAvia_act!N9*1000)</f>
        <v>399.44451439188316</v>
      </c>
      <c r="O33" s="101">
        <f>IF(O11=0,0,O11/TrAvia_act!O9*1000)</f>
        <v>383.74170959395269</v>
      </c>
      <c r="P33" s="101">
        <f>IF(P11=0,0,P11/TrAvia_act!P9*1000)</f>
        <v>332.62982259498909</v>
      </c>
      <c r="Q33" s="101">
        <f>IF(Q11=0,0,Q11/TrAvia_act!Q9*1000)</f>
        <v>326.16410607277072</v>
      </c>
      <c r="R33" s="101">
        <f>IF(R11=0,0,R11/TrAvia_act!R9*1000)</f>
        <v>289.18353054526978</v>
      </c>
      <c r="S33" s="101">
        <f>IF(S11=0,0,S11/TrAvia_act!S9*1000)</f>
        <v>308.68785227620208</v>
      </c>
      <c r="T33" s="101">
        <f>IF(T11=0,0,T11/TrAvia_act!T9*1000)</f>
        <v>303.38402183310473</v>
      </c>
      <c r="U33" s="101">
        <f>IF(U11=0,0,U11/TrAvia_act!U9*1000)</f>
        <v>270.62906647253317</v>
      </c>
      <c r="V33" s="101">
        <f>IF(V11=0,0,V11/TrAvia_act!V9*1000)</f>
        <v>299.25491996379697</v>
      </c>
      <c r="W33" s="101">
        <f>IF(W11=0,0,W11/TrAvia_act!W9*1000)</f>
        <v>282.14908149094742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177.67138845537232</v>
      </c>
      <c r="C34" s="101">
        <f>IF(C12=0,0,C12/TrAvia_act!C10*1000)</f>
        <v>170.5278066134905</v>
      </c>
      <c r="D34" s="101">
        <f>IF(D12=0,0,D12/TrAvia_act!D10*1000)</f>
        <v>181.26103460701205</v>
      </c>
      <c r="E34" s="101">
        <f>IF(E12=0,0,E12/TrAvia_act!E10*1000)</f>
        <v>172.70822189955339</v>
      </c>
      <c r="F34" s="101">
        <f>IF(F12=0,0,F12/TrAvia_act!F10*1000)</f>
        <v>195.16122645759916</v>
      </c>
      <c r="G34" s="101">
        <f>IF(G12=0,0,G12/TrAvia_act!G10*1000)</f>
        <v>200.3764813744294</v>
      </c>
      <c r="H34" s="101">
        <f>IF(H12=0,0,H12/TrAvia_act!H10*1000)</f>
        <v>241.07802882516171</v>
      </c>
      <c r="I34" s="101">
        <f>IF(I12=0,0,I12/TrAvia_act!I10*1000)</f>
        <v>248.19986258964636</v>
      </c>
      <c r="J34" s="101">
        <f>IF(J12=0,0,J12/TrAvia_act!J10*1000)</f>
        <v>245.35519035461454</v>
      </c>
      <c r="K34" s="101">
        <f>IF(K12=0,0,K12/TrAvia_act!K10*1000)</f>
        <v>231.44627812752955</v>
      </c>
      <c r="L34" s="101">
        <f>IF(L12=0,0,L12/TrAvia_act!L10*1000)</f>
        <v>252.08724474979323</v>
      </c>
      <c r="M34" s="101">
        <f>IF(M12=0,0,M12/TrAvia_act!M10*1000)</f>
        <v>228.40850024806053</v>
      </c>
      <c r="N34" s="101">
        <f>IF(N12=0,0,N12/TrAvia_act!N10*1000)</f>
        <v>203.01760038191932</v>
      </c>
      <c r="O34" s="101">
        <f>IF(O12=0,0,O12/TrAvia_act!O10*1000)</f>
        <v>209.89972591514939</v>
      </c>
      <c r="P34" s="101">
        <f>IF(P12=0,0,P12/TrAvia_act!P10*1000)</f>
        <v>178.32480420487968</v>
      </c>
      <c r="Q34" s="101">
        <f>IF(Q12=0,0,Q12/TrAvia_act!Q10*1000)</f>
        <v>184.83652417141835</v>
      </c>
      <c r="R34" s="101">
        <f>IF(R12=0,0,R12/TrAvia_act!R10*1000)</f>
        <v>167.370285487606</v>
      </c>
      <c r="S34" s="101">
        <f>IF(S12=0,0,S12/TrAvia_act!S10*1000)</f>
        <v>189.23226310511552</v>
      </c>
      <c r="T34" s="101">
        <f>IF(T12=0,0,T12/TrAvia_act!T10*1000)</f>
        <v>187.34236803659911</v>
      </c>
      <c r="U34" s="101">
        <f>IF(U12=0,0,U12/TrAvia_act!U10*1000)</f>
        <v>177.89032092977322</v>
      </c>
      <c r="V34" s="101">
        <f>IF(V12=0,0,V12/TrAvia_act!V10*1000)</f>
        <v>187.92521196101194</v>
      </c>
      <c r="W34" s="101">
        <f>IF(W12=0,0,W12/TrAvia_act!W10*1000)</f>
        <v>167.14658825162348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70.46939339271718</v>
      </c>
      <c r="C35" s="88">
        <f>IF(C13=0,0,C13/TrAvia_act!C11*1000)</f>
        <v>67.256168096036077</v>
      </c>
      <c r="D35" s="88">
        <f>IF(D13=0,0,D13/TrAvia_act!D11*1000)</f>
        <v>71.120369222960392</v>
      </c>
      <c r="E35" s="88">
        <f>IF(E13=0,0,E13/TrAvia_act!E11*1000)</f>
        <v>76.050734721923661</v>
      </c>
      <c r="F35" s="88">
        <f>IF(F13=0,0,F13/TrAvia_act!F11*1000)</f>
        <v>81.129291066255092</v>
      </c>
      <c r="G35" s="88">
        <f>IF(G13=0,0,G13/TrAvia_act!G11*1000)</f>
        <v>82.33098971833131</v>
      </c>
      <c r="H35" s="88">
        <f>IF(H13=0,0,H13/TrAvia_act!H11*1000)</f>
        <v>85.321278576475279</v>
      </c>
      <c r="I35" s="88">
        <f>IF(I13=0,0,I13/TrAvia_act!I11*1000)</f>
        <v>84.605672095450359</v>
      </c>
      <c r="J35" s="88">
        <f>IF(J13=0,0,J13/TrAvia_act!J11*1000)</f>
        <v>88.92414053988432</v>
      </c>
      <c r="K35" s="88">
        <f>IF(K13=0,0,K13/TrAvia_act!K11*1000)</f>
        <v>80.642743627511791</v>
      </c>
      <c r="L35" s="88">
        <f>IF(L13=0,0,L13/TrAvia_act!L11*1000)</f>
        <v>89.505631065627909</v>
      </c>
      <c r="M35" s="88">
        <f>IF(M13=0,0,M13/TrAvia_act!M11*1000)</f>
        <v>76.236366837232808</v>
      </c>
      <c r="N35" s="88">
        <f>IF(N13=0,0,N13/TrAvia_act!N11*1000)</f>
        <v>78.726653157543581</v>
      </c>
      <c r="O35" s="88">
        <f>IF(O13=0,0,O13/TrAvia_act!O11*1000)</f>
        <v>76.332927805691085</v>
      </c>
      <c r="P35" s="88">
        <f>IF(P13=0,0,P13/TrAvia_act!P11*1000)</f>
        <v>61.085749278903322</v>
      </c>
      <c r="Q35" s="88">
        <f>IF(Q13=0,0,Q13/TrAvia_act!Q11*1000)</f>
        <v>66.929056388476653</v>
      </c>
      <c r="R35" s="88">
        <f>IF(R13=0,0,R13/TrAvia_act!R11*1000)</f>
        <v>61.813023193477093</v>
      </c>
      <c r="S35" s="88">
        <f>IF(S13=0,0,S13/TrAvia_act!S11*1000)</f>
        <v>62.831141831402995</v>
      </c>
      <c r="T35" s="88">
        <f>IF(T13=0,0,T13/TrAvia_act!T11*1000)</f>
        <v>60.697745555475244</v>
      </c>
      <c r="U35" s="88">
        <f>IF(U13=0,0,U13/TrAvia_act!U11*1000)</f>
        <v>59.371847191836174</v>
      </c>
      <c r="V35" s="88">
        <f>IF(V13=0,0,V13/TrAvia_act!V11*1000)</f>
        <v>91.228392769034045</v>
      </c>
      <c r="W35" s="88">
        <f>IF(W13=0,0,W13/TrAvia_act!W11*1000)</f>
        <v>83.717251025404465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7028.3466781251018</v>
      </c>
      <c r="C37" s="62">
        <f>IF(C3=0,0,C3/TrAvia_act!C23*1000000)</f>
        <v>6928.7744848774328</v>
      </c>
      <c r="D37" s="62">
        <f>IF(D3=0,0,D3/TrAvia_act!D23*1000000)</f>
        <v>6766.1760391805701</v>
      </c>
      <c r="E37" s="62">
        <f>IF(E3=0,0,E3/TrAvia_act!E23*1000000)</f>
        <v>6627.3831872411602</v>
      </c>
      <c r="F37" s="62">
        <f>IF(F3=0,0,F3/TrAvia_act!F23*1000000)</f>
        <v>7119.3276752427846</v>
      </c>
      <c r="G37" s="62">
        <f>IF(G3=0,0,G3/TrAvia_act!G23*1000000)</f>
        <v>7154.1023698011686</v>
      </c>
      <c r="H37" s="62">
        <f>IF(H3=0,0,H3/TrAvia_act!H23*1000000)</f>
        <v>7162.167758532938</v>
      </c>
      <c r="I37" s="62">
        <f>IF(I3=0,0,I3/TrAvia_act!I23*1000000)</f>
        <v>7233.7015113200596</v>
      </c>
      <c r="J37" s="62">
        <f>IF(J3=0,0,J3/TrAvia_act!J23*1000000)</f>
        <v>7245.2035943574738</v>
      </c>
      <c r="K37" s="62">
        <f>IF(K3=0,0,K3/TrAvia_act!K23*1000000)</f>
        <v>7220.3713299240389</v>
      </c>
      <c r="L37" s="62">
        <f>IF(L3=0,0,L3/TrAvia_act!L23*1000000)</f>
        <v>8196.2558875205104</v>
      </c>
      <c r="M37" s="62">
        <f>IF(M3=0,0,M3/TrAvia_act!M23*1000000)</f>
        <v>8766.4026930839682</v>
      </c>
      <c r="N37" s="62">
        <f>IF(N3=0,0,N3/TrAvia_act!N23*1000000)</f>
        <v>8709.2450152442761</v>
      </c>
      <c r="O37" s="62">
        <f>IF(O3=0,0,O3/TrAvia_act!O23*1000000)</f>
        <v>8792.7167423920491</v>
      </c>
      <c r="P37" s="62">
        <f>IF(P3=0,0,P3/TrAvia_act!P23*1000000)</f>
        <v>8839.187538246264</v>
      </c>
      <c r="Q37" s="62">
        <f>IF(Q3=0,0,Q3/TrAvia_act!Q23*1000000)</f>
        <v>9207.8965660025606</v>
      </c>
      <c r="R37" s="62">
        <f>IF(R3=0,0,R3/TrAvia_act!R23*1000000)</f>
        <v>9069.1545715738648</v>
      </c>
      <c r="S37" s="62">
        <f>IF(S3=0,0,S3/TrAvia_act!S23*1000000)</f>
        <v>9108.5427840077919</v>
      </c>
      <c r="T37" s="62">
        <f>IF(T3=0,0,T3/TrAvia_act!T23*1000000)</f>
        <v>9426.8154468796056</v>
      </c>
      <c r="U37" s="62">
        <f>IF(U3=0,0,U3/TrAvia_act!U23*1000000)</f>
        <v>9654.1741882508504</v>
      </c>
      <c r="V37" s="62">
        <f>IF(V3=0,0,V3/TrAvia_act!V23*1000000)</f>
        <v>10681.564257752209</v>
      </c>
      <c r="W37" s="62">
        <f>IF(W3=0,0,W3/TrAvia_act!W23*1000000)</f>
        <v>9152.6674865433488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6802.0658100500541</v>
      </c>
      <c r="C38" s="14">
        <f>IF(C6=0,0,C6/TrAvia_act!C24*1000000)</f>
        <v>6728.2016806791207</v>
      </c>
      <c r="D38" s="14">
        <f>IF(D6=0,0,D6/TrAvia_act!D24*1000000)</f>
        <v>6549.7407092338808</v>
      </c>
      <c r="E38" s="14">
        <f>IF(E6=0,0,E6/TrAvia_act!E24*1000000)</f>
        <v>6384.6538691680016</v>
      </c>
      <c r="F38" s="14">
        <f>IF(F6=0,0,F6/TrAvia_act!F24*1000000)</f>
        <v>6851.4236198988719</v>
      </c>
      <c r="G38" s="14">
        <f>IF(G6=0,0,G6/TrAvia_act!G24*1000000)</f>
        <v>6879.7440754524659</v>
      </c>
      <c r="H38" s="14">
        <f>IF(H6=0,0,H6/TrAvia_act!H24*1000000)</f>
        <v>6905.1925600790646</v>
      </c>
      <c r="I38" s="14">
        <f>IF(I6=0,0,I6/TrAvia_act!I24*1000000)</f>
        <v>6982.4700865540099</v>
      </c>
      <c r="J38" s="14">
        <f>IF(J6=0,0,J6/TrAvia_act!J24*1000000)</f>
        <v>6987.7492347860061</v>
      </c>
      <c r="K38" s="14">
        <f>IF(K6=0,0,K6/TrAvia_act!K24*1000000)</f>
        <v>7044.2411184569028</v>
      </c>
      <c r="L38" s="14">
        <f>IF(L6=0,0,L6/TrAvia_act!L24*1000000)</f>
        <v>7936.0143974844168</v>
      </c>
      <c r="M38" s="14">
        <f>IF(M6=0,0,M6/TrAvia_act!M24*1000000)</f>
        <v>8527.1013188820252</v>
      </c>
      <c r="N38" s="14">
        <f>IF(N6=0,0,N6/TrAvia_act!N24*1000000)</f>
        <v>8448.6784264921589</v>
      </c>
      <c r="O38" s="14">
        <f>IF(O6=0,0,O6/TrAvia_act!O24*1000000)</f>
        <v>8570.0974500532429</v>
      </c>
      <c r="P38" s="14">
        <f>IF(P6=0,0,P6/TrAvia_act!P24*1000000)</f>
        <v>8608.2267987486193</v>
      </c>
      <c r="Q38" s="14">
        <f>IF(Q6=0,0,Q6/TrAvia_act!Q24*1000000)</f>
        <v>8950.9086482145267</v>
      </c>
      <c r="R38" s="14">
        <f>IF(R6=0,0,R6/TrAvia_act!R24*1000000)</f>
        <v>8853.0277367051167</v>
      </c>
      <c r="S38" s="14">
        <f>IF(S6=0,0,S6/TrAvia_act!S24*1000000)</f>
        <v>8903.0075352826607</v>
      </c>
      <c r="T38" s="14">
        <f>IF(T6=0,0,T6/TrAvia_act!T24*1000000)</f>
        <v>9231.5256625988623</v>
      </c>
      <c r="U38" s="14">
        <f>IF(U6=0,0,U6/TrAvia_act!U24*1000000)</f>
        <v>9499.8230314039065</v>
      </c>
      <c r="V38" s="14">
        <f>IF(V6=0,0,V6/TrAvia_act!V24*1000000)</f>
        <v>10177.573134384667</v>
      </c>
      <c r="W38" s="14">
        <f>IF(W6=0,0,W6/TrAvia_act!W24*1000000)</f>
        <v>8822.4957860761788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2503.3528556745082</v>
      </c>
      <c r="C39" s="87">
        <f>IF(C7=0,0,C7/TrAvia_act!C25*1000000)</f>
        <v>2479.6915827481307</v>
      </c>
      <c r="D39" s="87">
        <f>IF(D7=0,0,D7/TrAvia_act!D25*1000000)</f>
        <v>2253.1023731768046</v>
      </c>
      <c r="E39" s="87">
        <f>IF(E7=0,0,E7/TrAvia_act!E25*1000000)</f>
        <v>2167.8420537051497</v>
      </c>
      <c r="F39" s="87">
        <f>IF(F7=0,0,F7/TrAvia_act!F25*1000000)</f>
        <v>2223.3744270287439</v>
      </c>
      <c r="G39" s="87">
        <f>IF(G7=0,0,G7/TrAvia_act!G25*1000000)</f>
        <v>2216.0870678017454</v>
      </c>
      <c r="H39" s="87">
        <f>IF(H7=0,0,H7/TrAvia_act!H25*1000000)</f>
        <v>2185.6269162046096</v>
      </c>
      <c r="I39" s="87">
        <f>IF(I7=0,0,I7/TrAvia_act!I25*1000000)</f>
        <v>2240.76720303398</v>
      </c>
      <c r="J39" s="87">
        <f>IF(J7=0,0,J7/TrAvia_act!J25*1000000)</f>
        <v>2263.254297464629</v>
      </c>
      <c r="K39" s="87">
        <f>IF(K7=0,0,K7/TrAvia_act!K25*1000000)</f>
        <v>2318.4841009707679</v>
      </c>
      <c r="L39" s="87">
        <f>IF(L7=0,0,L7/TrAvia_act!L25*1000000)</f>
        <v>2587.9649065944946</v>
      </c>
      <c r="M39" s="87">
        <f>IF(M7=0,0,M7/TrAvia_act!M25*1000000)</f>
        <v>4606.3608851076115</v>
      </c>
      <c r="N39" s="87">
        <f>IF(N7=0,0,N7/TrAvia_act!N25*1000000)</f>
        <v>4636.102091926411</v>
      </c>
      <c r="O39" s="87">
        <f>IF(O7=0,0,O7/TrAvia_act!O25*1000000)</f>
        <v>4656.7424736894063</v>
      </c>
      <c r="P39" s="87">
        <f>IF(P7=0,0,P7/TrAvia_act!P25*1000000)</f>
        <v>4719.5468385915756</v>
      </c>
      <c r="Q39" s="87">
        <f>IF(Q7=0,0,Q7/TrAvia_act!Q25*1000000)</f>
        <v>4773.9534824153543</v>
      </c>
      <c r="R39" s="87">
        <f>IF(R7=0,0,R7/TrAvia_act!R25*1000000)</f>
        <v>4970.7326814043217</v>
      </c>
      <c r="S39" s="87">
        <f>IF(S7=0,0,S7/TrAvia_act!S25*1000000)</f>
        <v>5107.9605415724845</v>
      </c>
      <c r="T39" s="87">
        <f>IF(T7=0,0,T7/TrAvia_act!T25*1000000)</f>
        <v>5423.4322940234397</v>
      </c>
      <c r="U39" s="87">
        <f>IF(U7=0,0,U7/TrAvia_act!U25*1000000)</f>
        <v>5485.343957283023</v>
      </c>
      <c r="V39" s="87">
        <f>IF(V7=0,0,V7/TrAvia_act!V25*1000000)</f>
        <v>6694.0526792098162</v>
      </c>
      <c r="W39" s="87">
        <f>IF(W7=0,0,W7/TrAvia_act!W25*1000000)</f>
        <v>6617.8468097971509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3996.9959801219857</v>
      </c>
      <c r="C40" s="87">
        <f>IF(C8=0,0,C8/TrAvia_act!C26*1000000)</f>
        <v>3996.2060928832666</v>
      </c>
      <c r="D40" s="87">
        <f>IF(D8=0,0,D8/TrAvia_act!D26*1000000)</f>
        <v>3990.9410908725349</v>
      </c>
      <c r="E40" s="87">
        <f>IF(E8=0,0,E8/TrAvia_act!E26*1000000)</f>
        <v>3873.8047332303709</v>
      </c>
      <c r="F40" s="87">
        <f>IF(F8=0,0,F8/TrAvia_act!F26*1000000)</f>
        <v>4022.3377959068198</v>
      </c>
      <c r="G40" s="87">
        <f>IF(G8=0,0,G8/TrAvia_act!G26*1000000)</f>
        <v>4084.9853003719759</v>
      </c>
      <c r="H40" s="87">
        <f>IF(H8=0,0,H8/TrAvia_act!H26*1000000)</f>
        <v>4120.8657573106375</v>
      </c>
      <c r="I40" s="87">
        <f>IF(I8=0,0,I8/TrAvia_act!I26*1000000)</f>
        <v>4165.2039319493961</v>
      </c>
      <c r="J40" s="87">
        <f>IF(J8=0,0,J8/TrAvia_act!J26*1000000)</f>
        <v>4059.5773872462187</v>
      </c>
      <c r="K40" s="87">
        <f>IF(K8=0,0,K8/TrAvia_act!K26*1000000)</f>
        <v>3967.0366746150853</v>
      </c>
      <c r="L40" s="87">
        <f>IF(L8=0,0,L8/TrAvia_act!L26*1000000)</f>
        <v>4386.5795178281405</v>
      </c>
      <c r="M40" s="87">
        <f>IF(M8=0,0,M8/TrAvia_act!M26*1000000)</f>
        <v>4183.9151217010249</v>
      </c>
      <c r="N40" s="87">
        <f>IF(N8=0,0,N8/TrAvia_act!N26*1000000)</f>
        <v>4038.9475189047225</v>
      </c>
      <c r="O40" s="87">
        <f>IF(O8=0,0,O8/TrAvia_act!O26*1000000)</f>
        <v>4182.4129030936701</v>
      </c>
      <c r="P40" s="87">
        <f>IF(P8=0,0,P8/TrAvia_act!P26*1000000)</f>
        <v>4186.1176410987764</v>
      </c>
      <c r="Q40" s="87">
        <f>IF(Q8=0,0,Q8/TrAvia_act!Q26*1000000)</f>
        <v>4333.2605614087524</v>
      </c>
      <c r="R40" s="87">
        <f>IF(R8=0,0,R8/TrAvia_act!R26*1000000)</f>
        <v>4355.7610352993443</v>
      </c>
      <c r="S40" s="87">
        <f>IF(S8=0,0,S8/TrAvia_act!S26*1000000)</f>
        <v>4490.7803690777191</v>
      </c>
      <c r="T40" s="87">
        <f>IF(T8=0,0,T8/TrAvia_act!T26*1000000)</f>
        <v>4553.678213530764</v>
      </c>
      <c r="U40" s="87">
        <f>IF(U8=0,0,U8/TrAvia_act!U26*1000000)</f>
        <v>4528.5318353594294</v>
      </c>
      <c r="V40" s="87">
        <f>IF(V8=0,0,V8/TrAvia_act!V26*1000000)</f>
        <v>4067.3286874817072</v>
      </c>
      <c r="W40" s="87">
        <f>IF(W8=0,0,W8/TrAvia_act!W26*1000000)</f>
        <v>3644.3974992580092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22620.825706746185</v>
      </c>
      <c r="C41" s="87">
        <f>IF(C9=0,0,C9/TrAvia_act!C27*1000000)</f>
        <v>22616.354638621495</v>
      </c>
      <c r="D41" s="87">
        <f>IF(D9=0,0,D9/TrAvia_act!D27*1000000)</f>
        <v>22586.58268345939</v>
      </c>
      <c r="E41" s="87">
        <f>IF(E9=0,0,E9/TrAvia_act!E27*1000000)</f>
        <v>21949.047786261279</v>
      </c>
      <c r="F41" s="87">
        <f>IF(F9=0,0,F9/TrAvia_act!F27*1000000)</f>
        <v>22728.278582174014</v>
      </c>
      <c r="G41" s="87">
        <f>IF(G9=0,0,G9/TrAvia_act!G27*1000000)</f>
        <v>22105.331197509364</v>
      </c>
      <c r="H41" s="87">
        <f>IF(H9=0,0,H9/TrAvia_act!H27*1000000)</f>
        <v>22273.580966922837</v>
      </c>
      <c r="I41" s="87">
        <f>IF(I9=0,0,I9/TrAvia_act!I27*1000000)</f>
        <v>21696.195908723457</v>
      </c>
      <c r="J41" s="87">
        <f>IF(J9=0,0,J9/TrAvia_act!J27*1000000)</f>
        <v>21710.808274205134</v>
      </c>
      <c r="K41" s="87">
        <f>IF(K9=0,0,K9/TrAvia_act!K27*1000000)</f>
        <v>21853.324371838087</v>
      </c>
      <c r="L41" s="87">
        <f>IF(L9=0,0,L9/TrAvia_act!L27*1000000)</f>
        <v>24005.888164459284</v>
      </c>
      <c r="M41" s="87">
        <f>IF(M9=0,0,M9/TrAvia_act!M27*1000000)</f>
        <v>23879.559499895226</v>
      </c>
      <c r="N41" s="87">
        <f>IF(N9=0,0,N9/TrAvia_act!N27*1000000)</f>
        <v>24163.737849203564</v>
      </c>
      <c r="O41" s="87">
        <f>IF(O9=0,0,O9/TrAvia_act!O27*1000000)</f>
        <v>23786.677796149463</v>
      </c>
      <c r="P41" s="87">
        <f>IF(P9=0,0,P9/TrAvia_act!P27*1000000)</f>
        <v>23073.865848552916</v>
      </c>
      <c r="Q41" s="87">
        <f>IF(Q9=0,0,Q9/TrAvia_act!Q27*1000000)</f>
        <v>24332.783874374298</v>
      </c>
      <c r="R41" s="87">
        <f>IF(R9=0,0,R9/TrAvia_act!R27*1000000)</f>
        <v>23689.236614220139</v>
      </c>
      <c r="S41" s="87">
        <f>IF(S9=0,0,S9/TrAvia_act!S27*1000000)</f>
        <v>23218.524142260187</v>
      </c>
      <c r="T41" s="87">
        <f>IF(T9=0,0,T9/TrAvia_act!T27*1000000)</f>
        <v>23702.661572728019</v>
      </c>
      <c r="U41" s="87">
        <f>IF(U9=0,0,U9/TrAvia_act!U27*1000000)</f>
        <v>24529.394407537904</v>
      </c>
      <c r="V41" s="87">
        <f>IF(V9=0,0,V9/TrAvia_act!V27*1000000)</f>
        <v>29476.081818599792</v>
      </c>
      <c r="W41" s="87">
        <f>IF(W9=0,0,W9/TrAvia_act!W27*1000000)</f>
        <v>23605.119099669704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12334.436804946241</v>
      </c>
      <c r="C42" s="15">
        <f>IF(C10=0,0,C10/TrAvia_act!C28*1000000)</f>
        <v>11202.501252271821</v>
      </c>
      <c r="D42" s="15">
        <f>IF(D10=0,0,D10/TrAvia_act!D28*1000000)</f>
        <v>11895.930299878393</v>
      </c>
      <c r="E42" s="15">
        <f>IF(E10=0,0,E10/TrAvia_act!E28*1000000)</f>
        <v>12754.360081641482</v>
      </c>
      <c r="F42" s="15">
        <f>IF(F10=0,0,F10/TrAvia_act!F28*1000000)</f>
        <v>13466.925980775701</v>
      </c>
      <c r="G42" s="15">
        <f>IF(G10=0,0,G10/TrAvia_act!G28*1000000)</f>
        <v>13620.430774360591</v>
      </c>
      <c r="H42" s="15">
        <f>IF(H10=0,0,H10/TrAvia_act!H28*1000000)</f>
        <v>12994.920124928498</v>
      </c>
      <c r="I42" s="15">
        <f>IF(I10=0,0,I10/TrAvia_act!I28*1000000)</f>
        <v>12744.001434013848</v>
      </c>
      <c r="J42" s="15">
        <f>IF(J10=0,0,J10/TrAvia_act!J28*1000000)</f>
        <v>13034.253176811108</v>
      </c>
      <c r="K42" s="15">
        <f>IF(K10=0,0,K10/TrAvia_act!K28*1000000)</f>
        <v>11228.45249678113</v>
      </c>
      <c r="L42" s="15">
        <f>IF(L10=0,0,L10/TrAvia_act!L28*1000000)</f>
        <v>13838.983938771145</v>
      </c>
      <c r="M42" s="15">
        <f>IF(M10=0,0,M10/TrAvia_act!M28*1000000)</f>
        <v>13641.479471111461</v>
      </c>
      <c r="N42" s="15">
        <f>IF(N10=0,0,N10/TrAvia_act!N28*1000000)</f>
        <v>14142.793384552286</v>
      </c>
      <c r="O42" s="15">
        <f>IF(O10=0,0,O10/TrAvia_act!O28*1000000)</f>
        <v>13428.485699444453</v>
      </c>
      <c r="P42" s="15">
        <f>IF(P10=0,0,P10/TrAvia_act!P28*1000000)</f>
        <v>12718.913754076759</v>
      </c>
      <c r="Q42" s="15">
        <f>IF(Q10=0,0,Q10/TrAvia_act!Q28*1000000)</f>
        <v>13583.457465825628</v>
      </c>
      <c r="R42" s="15">
        <f>IF(R10=0,0,R10/TrAvia_act!R28*1000000)</f>
        <v>13346.014001889393</v>
      </c>
      <c r="S42" s="15">
        <f>IF(S10=0,0,S10/TrAvia_act!S28*1000000)</f>
        <v>13057.229369770517</v>
      </c>
      <c r="T42" s="15">
        <f>IF(T10=0,0,T10/TrAvia_act!T28*1000000)</f>
        <v>13437.894767008516</v>
      </c>
      <c r="U42" s="15">
        <f>IF(U10=0,0,U10/TrAvia_act!U28*1000000)</f>
        <v>12932.158902289522</v>
      </c>
      <c r="V42" s="15">
        <f>IF(V10=0,0,V10/TrAvia_act!V28*1000000)</f>
        <v>14932.998092591852</v>
      </c>
      <c r="W42" s="15">
        <f>IF(W10=0,0,W10/TrAvia_act!W28*1000000)</f>
        <v>12233.880117184577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3265.8437438777191</v>
      </c>
      <c r="C43" s="101">
        <f>IF(C11=0,0,C11/TrAvia_act!C29*1000000)</f>
        <v>3234.975534474625</v>
      </c>
      <c r="D43" s="101">
        <f>IF(D11=0,0,D11/TrAvia_act!D29*1000000)</f>
        <v>2939.3700025451976</v>
      </c>
      <c r="E43" s="101">
        <f>IF(E11=0,0,E11/TrAvia_act!E29*1000000)</f>
        <v>2828.1404248544841</v>
      </c>
      <c r="F43" s="101">
        <f>IF(F11=0,0,F11/TrAvia_act!F29*1000000)</f>
        <v>2900.5872849087668</v>
      </c>
      <c r="G43" s="101">
        <f>IF(G11=0,0,G11/TrAvia_act!G29*1000000)</f>
        <v>2891.0802845324765</v>
      </c>
      <c r="H43" s="101">
        <f>IF(H11=0,0,H11/TrAvia_act!H29*1000000)</f>
        <v>2426.5831537776803</v>
      </c>
      <c r="I43" s="101">
        <f>IF(I11=0,0,I11/TrAvia_act!I29*1000000)</f>
        <v>2099.8598830809888</v>
      </c>
      <c r="J43" s="101">
        <f>IF(J11=0,0,J11/TrAvia_act!J29*1000000)</f>
        <v>1772.1857510031982</v>
      </c>
      <c r="K43" s="101">
        <f>IF(K11=0,0,K11/TrAvia_act!K29*1000000)</f>
        <v>1497.7997370716535</v>
      </c>
      <c r="L43" s="101">
        <f>IF(L11=0,0,L11/TrAvia_act!L29*1000000)</f>
        <v>1357.0536876128053</v>
      </c>
      <c r="M43" s="101">
        <f>IF(M11=0,0,M11/TrAvia_act!M29*1000000)</f>
        <v>2413.7125256506306</v>
      </c>
      <c r="N43" s="101">
        <f>IF(N11=0,0,N11/TrAvia_act!N29*1000000)</f>
        <v>2427.5086561786375</v>
      </c>
      <c r="O43" s="101">
        <f>IF(O11=0,0,O11/TrAvia_act!O29*1000000)</f>
        <v>2389.3018647078934</v>
      </c>
      <c r="P43" s="101">
        <f>IF(P11=0,0,P11/TrAvia_act!P29*1000000)</f>
        <v>2373.2183735473845</v>
      </c>
      <c r="Q43" s="101">
        <f>IF(Q11=0,0,Q11/TrAvia_act!Q29*1000000)</f>
        <v>2353.0442932996275</v>
      </c>
      <c r="R43" s="101">
        <f>IF(R11=0,0,R11/TrAvia_act!R29*1000000)</f>
        <v>2401.8791103430026</v>
      </c>
      <c r="S43" s="101">
        <f>IF(S11=0,0,S11/TrAvia_act!S29*1000000)</f>
        <v>2420.0248661207929</v>
      </c>
      <c r="T43" s="101">
        <f>IF(T11=0,0,T11/TrAvia_act!T29*1000000)</f>
        <v>2519.7027603052443</v>
      </c>
      <c r="U43" s="101">
        <f>IF(U11=0,0,U11/TrAvia_act!U29*1000000)</f>
        <v>2481.9071173339607</v>
      </c>
      <c r="V43" s="101">
        <f>IF(V11=0,0,V11/TrAvia_act!V29*1000000)</f>
        <v>3028.8013145065393</v>
      </c>
      <c r="W43" s="101">
        <f>IF(W11=0,0,W11/TrAvia_act!W29*1000000)</f>
        <v>2994.3210902670353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3695.9515291677039</v>
      </c>
      <c r="C44" s="101">
        <f>IF(C12=0,0,C12/TrAvia_act!C30*1000000)</f>
        <v>3691.695281754593</v>
      </c>
      <c r="D44" s="101">
        <f>IF(D12=0,0,D12/TrAvia_act!D30*1000000)</f>
        <v>3689.5232035011572</v>
      </c>
      <c r="E44" s="101">
        <f>IF(E12=0,0,E12/TrAvia_act!E30*1000000)</f>
        <v>3583.6960659330412</v>
      </c>
      <c r="F44" s="101">
        <f>IF(F12=0,0,F12/TrAvia_act!F30*1000000)</f>
        <v>3712.7477988916139</v>
      </c>
      <c r="G44" s="101">
        <f>IF(G12=0,0,G12/TrAvia_act!G30*1000000)</f>
        <v>3741.7352815770164</v>
      </c>
      <c r="H44" s="101">
        <f>IF(H12=0,0,H12/TrAvia_act!H30*1000000)</f>
        <v>3779.8843629075277</v>
      </c>
      <c r="I44" s="101">
        <f>IF(I12=0,0,I12/TrAvia_act!I30*1000000)</f>
        <v>3843.0932166758821</v>
      </c>
      <c r="J44" s="101">
        <f>IF(J12=0,0,J12/TrAvia_act!J30*1000000)</f>
        <v>3791.7123278982376</v>
      </c>
      <c r="K44" s="101">
        <f>IF(K12=0,0,K12/TrAvia_act!K30*1000000)</f>
        <v>3761.1336889084391</v>
      </c>
      <c r="L44" s="101">
        <f>IF(L12=0,0,L12/TrAvia_act!L30*1000000)</f>
        <v>4198.6158803028102</v>
      </c>
      <c r="M44" s="101">
        <f>IF(M12=0,0,M12/TrAvia_act!M30*1000000)</f>
        <v>3985.3460688621972</v>
      </c>
      <c r="N44" s="101">
        <f>IF(N12=0,0,N12/TrAvia_act!N30*1000000)</f>
        <v>3874.375462467568</v>
      </c>
      <c r="O44" s="101">
        <f>IF(O12=0,0,O12/TrAvia_act!O30*1000000)</f>
        <v>3961.9669698789767</v>
      </c>
      <c r="P44" s="101">
        <f>IF(P12=0,0,P12/TrAvia_act!P30*1000000)</f>
        <v>3917.3463161347595</v>
      </c>
      <c r="Q44" s="101">
        <f>IF(Q12=0,0,Q12/TrAvia_act!Q30*1000000)</f>
        <v>3998.9051290145071</v>
      </c>
      <c r="R44" s="101">
        <f>IF(R12=0,0,R12/TrAvia_act!R30*1000000)</f>
        <v>3968.457242134119</v>
      </c>
      <c r="S44" s="101">
        <f>IF(S12=0,0,S12/TrAvia_act!S30*1000000)</f>
        <v>4069.4877250684804</v>
      </c>
      <c r="T44" s="101">
        <f>IF(T12=0,0,T12/TrAvia_act!T30*1000000)</f>
        <v>4072.0309174488571</v>
      </c>
      <c r="U44" s="101">
        <f>IF(U12=0,0,U12/TrAvia_act!U30*1000000)</f>
        <v>4023.4199349891983</v>
      </c>
      <c r="V44" s="101">
        <f>IF(V12=0,0,V12/TrAvia_act!V30*1000000)</f>
        <v>3587.0018122727979</v>
      </c>
      <c r="W44" s="101">
        <f>IF(W12=0,0,W12/TrAvia_act!W30*1000000)</f>
        <v>3043.2272979964096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34807.953546192482</v>
      </c>
      <c r="C45" s="88">
        <f>IF(C13=0,0,C13/TrAvia_act!C31*1000000)</f>
        <v>34801.073658888461</v>
      </c>
      <c r="D45" s="88">
        <f>IF(D13=0,0,D13/TrAvia_act!D31*1000000)</f>
        <v>34755.261854947428</v>
      </c>
      <c r="E45" s="88">
        <f>IF(E13=0,0,E13/TrAvia_act!E31*1000000)</f>
        <v>33774.25057916846</v>
      </c>
      <c r="F45" s="88">
        <f>IF(F13=0,0,F13/TrAvia_act!F31*1000000)</f>
        <v>34973.297408736857</v>
      </c>
      <c r="G45" s="88">
        <f>IF(G13=0,0,G13/TrAvia_act!G31*1000000)</f>
        <v>33567.112489906263</v>
      </c>
      <c r="H45" s="88">
        <f>IF(H13=0,0,H13/TrAvia_act!H31*1000000)</f>
        <v>33305.379345838948</v>
      </c>
      <c r="I45" s="88">
        <f>IF(I13=0,0,I13/TrAvia_act!I31*1000000)</f>
        <v>32095.502104584401</v>
      </c>
      <c r="J45" s="88">
        <f>IF(J13=0,0,J13/TrAvia_act!J31*1000000)</f>
        <v>32381.389161486557</v>
      </c>
      <c r="K45" s="88">
        <f>IF(K13=0,0,K13/TrAvia_act!K31*1000000)</f>
        <v>32562.798916768388</v>
      </c>
      <c r="L45" s="88">
        <f>IF(L13=0,0,L13/TrAvia_act!L31*1000000)</f>
        <v>35988.732885557409</v>
      </c>
      <c r="M45" s="88">
        <f>IF(M13=0,0,M13/TrAvia_act!M31*1000000)</f>
        <v>34002.360428454682</v>
      </c>
      <c r="N45" s="88">
        <f>IF(N13=0,0,N13/TrAvia_act!N31*1000000)</f>
        <v>38036.379963091145</v>
      </c>
      <c r="O45" s="88">
        <f>IF(O13=0,0,O13/TrAvia_act!O31*1000000)</f>
        <v>36613.118928741103</v>
      </c>
      <c r="P45" s="88">
        <f>IF(P13=0,0,P13/TrAvia_act!P31*1000000)</f>
        <v>33514.38340732611</v>
      </c>
      <c r="Q45" s="88">
        <f>IF(Q13=0,0,Q13/TrAvia_act!Q31*1000000)</f>
        <v>35562.056056290108</v>
      </c>
      <c r="R45" s="88">
        <f>IF(R13=0,0,R13/TrAvia_act!R31*1000000)</f>
        <v>34684.30226425908</v>
      </c>
      <c r="S45" s="88">
        <f>IF(S13=0,0,S13/TrAvia_act!S31*1000000)</f>
        <v>33890.234827671062</v>
      </c>
      <c r="T45" s="88">
        <f>IF(T13=0,0,T13/TrAvia_act!T31*1000000)</f>
        <v>33248.953893097663</v>
      </c>
      <c r="U45" s="88">
        <f>IF(U13=0,0,U13/TrAvia_act!U31*1000000)</f>
        <v>32875.955929122196</v>
      </c>
      <c r="V45" s="88">
        <f>IF(V13=0,0,V13/TrAvia_act!V31*1000000)</f>
        <v>35191.463289231928</v>
      </c>
      <c r="W45" s="88">
        <f>IF(W13=0,0,W13/TrAvia_act!W31*1000000)</f>
        <v>29331.508229494582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0.92822012637187135</v>
      </c>
      <c r="C48" s="16">
        <f t="shared" si="35"/>
        <v>0.92752210645143796</v>
      </c>
      <c r="D48" s="16">
        <f t="shared" ref="D48:V48" si="36">IF(D6=0,0,D6/D$3)</f>
        <v>0.92882312498391217</v>
      </c>
      <c r="E48" s="16">
        <f t="shared" si="36"/>
        <v>0.92666362722027174</v>
      </c>
      <c r="F48" s="16">
        <f t="shared" si="36"/>
        <v>0.92339696974914409</v>
      </c>
      <c r="G48" s="16">
        <f t="shared" si="36"/>
        <v>0.92250928908296459</v>
      </c>
      <c r="H48" s="16">
        <f t="shared" si="36"/>
        <v>0.92343637786911492</v>
      </c>
      <c r="I48" s="16">
        <f t="shared" si="36"/>
        <v>0.92317876944878741</v>
      </c>
      <c r="J48" s="16">
        <f t="shared" si="36"/>
        <v>0.92339952397618952</v>
      </c>
      <c r="K48" s="16">
        <f t="shared" si="36"/>
        <v>0.93453930479164327</v>
      </c>
      <c r="L48" s="16">
        <f t="shared" si="36"/>
        <v>0.92556200081803019</v>
      </c>
      <c r="M48" s="16">
        <f t="shared" si="36"/>
        <v>0.92718976820275212</v>
      </c>
      <c r="N48" s="16">
        <f t="shared" si="36"/>
        <v>0.92569001312257715</v>
      </c>
      <c r="O48" s="16">
        <f t="shared" si="36"/>
        <v>0.93001990324729711</v>
      </c>
      <c r="P48" s="16">
        <f t="shared" si="36"/>
        <v>0.91915346137327214</v>
      </c>
      <c r="Q48" s="16">
        <f t="shared" si="36"/>
        <v>0.91816433873706349</v>
      </c>
      <c r="R48" s="16">
        <f t="shared" si="36"/>
        <v>0.92921220661444603</v>
      </c>
      <c r="S48" s="16">
        <f t="shared" si="36"/>
        <v>0.92907509553782064</v>
      </c>
      <c r="T48" s="16">
        <f t="shared" si="36"/>
        <v>0.93381823002879405</v>
      </c>
      <c r="U48" s="16">
        <f t="shared" si="36"/>
        <v>0.93976124164236008</v>
      </c>
      <c r="V48" s="16">
        <f t="shared" si="36"/>
        <v>0.8518349722098949</v>
      </c>
      <c r="W48" s="16">
        <f t="shared" ref="W48" si="37">IF(W6=0,0,W6/W$3)</f>
        <v>0.87063233733458012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0.15816161884511079</v>
      </c>
      <c r="C49" s="103">
        <f t="shared" si="38"/>
        <v>0.16089870391827946</v>
      </c>
      <c r="D49" s="103">
        <f t="shared" ref="D49:V49" si="39">IF(D7=0,0,D7/D$3)</f>
        <v>0.1528909544225367</v>
      </c>
      <c r="E49" s="103">
        <f t="shared" si="39"/>
        <v>0.14811385144496247</v>
      </c>
      <c r="F49" s="103">
        <f t="shared" si="39"/>
        <v>0.13392820261895241</v>
      </c>
      <c r="G49" s="103">
        <f t="shared" si="39"/>
        <v>0.13166828656091131</v>
      </c>
      <c r="H49" s="103">
        <f t="shared" si="39"/>
        <v>0.12741770910904987</v>
      </c>
      <c r="I49" s="103">
        <f t="shared" si="39"/>
        <v>0.12449408087350664</v>
      </c>
      <c r="J49" s="103">
        <f t="shared" si="39"/>
        <v>0.12498284441357276</v>
      </c>
      <c r="K49" s="103">
        <f t="shared" si="39"/>
        <v>0.12985989904346315</v>
      </c>
      <c r="L49" s="103">
        <f t="shared" si="39"/>
        <v>0.12505453019361401</v>
      </c>
      <c r="M49" s="103">
        <f t="shared" si="39"/>
        <v>0.20732489681927083</v>
      </c>
      <c r="N49" s="103">
        <f t="shared" si="39"/>
        <v>0.21245433484828605</v>
      </c>
      <c r="O49" s="103">
        <f t="shared" si="39"/>
        <v>0.21251849070328668</v>
      </c>
      <c r="P49" s="103">
        <f t="shared" si="39"/>
        <v>0.20313123965700203</v>
      </c>
      <c r="Q49" s="103">
        <f t="shared" si="39"/>
        <v>0.19401198282005788</v>
      </c>
      <c r="R49" s="103">
        <f t="shared" si="39"/>
        <v>0.20223185040923286</v>
      </c>
      <c r="S49" s="103">
        <f t="shared" si="39"/>
        <v>0.2050733632585901</v>
      </c>
      <c r="T49" s="103">
        <f t="shared" si="39"/>
        <v>0.20795474462978183</v>
      </c>
      <c r="U49" s="103">
        <f t="shared" si="39"/>
        <v>0.20280208900206659</v>
      </c>
      <c r="V49" s="103">
        <f t="shared" si="39"/>
        <v>0.2636928158833548</v>
      </c>
      <c r="W49" s="103">
        <f t="shared" ref="W49" si="40">IF(W7=0,0,W7/W$3)</f>
        <v>0.30394958222394952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0.19050108247605529</v>
      </c>
      <c r="C50" s="103">
        <f t="shared" si="41"/>
        <v>0.18965215991310927</v>
      </c>
      <c r="D50" s="103">
        <f t="shared" ref="D50:V50" si="42">IF(D8=0,0,D8/D$3)</f>
        <v>0.19195487768379726</v>
      </c>
      <c r="E50" s="103">
        <f t="shared" si="42"/>
        <v>0.19448897542670524</v>
      </c>
      <c r="F50" s="103">
        <f t="shared" si="42"/>
        <v>0.19452725648482608</v>
      </c>
      <c r="G50" s="103">
        <f t="shared" si="42"/>
        <v>0.19492713556455163</v>
      </c>
      <c r="H50" s="103">
        <f t="shared" si="42"/>
        <v>0.20070899876346715</v>
      </c>
      <c r="I50" s="103">
        <f t="shared" si="42"/>
        <v>0.20538289305739874</v>
      </c>
      <c r="J50" s="103">
        <f t="shared" si="42"/>
        <v>0.20046722860297586</v>
      </c>
      <c r="K50" s="103">
        <f t="shared" si="42"/>
        <v>0.19307415311915557</v>
      </c>
      <c r="L50" s="103">
        <f t="shared" si="42"/>
        <v>0.18764368593871819</v>
      </c>
      <c r="M50" s="103">
        <f t="shared" si="42"/>
        <v>0.17034330940333153</v>
      </c>
      <c r="N50" s="103">
        <f t="shared" si="42"/>
        <v>0.16596792176376715</v>
      </c>
      <c r="O50" s="103">
        <f t="shared" si="42"/>
        <v>0.16603619562195865</v>
      </c>
      <c r="P50" s="103">
        <f t="shared" si="42"/>
        <v>0.16724481893412702</v>
      </c>
      <c r="Q50" s="103">
        <f t="shared" si="42"/>
        <v>0.16964552600772673</v>
      </c>
      <c r="R50" s="103">
        <f t="shared" si="42"/>
        <v>0.17925760073997463</v>
      </c>
      <c r="S50" s="103">
        <f t="shared" si="42"/>
        <v>0.18387304527314247</v>
      </c>
      <c r="T50" s="103">
        <f t="shared" si="42"/>
        <v>0.18142879241043494</v>
      </c>
      <c r="U50" s="103">
        <f t="shared" si="42"/>
        <v>0.17721576618639526</v>
      </c>
      <c r="V50" s="103">
        <f t="shared" si="42"/>
        <v>0.1149025075878522</v>
      </c>
      <c r="W50" s="103">
        <f t="shared" ref="W50" si="43">IF(W8=0,0,W8/W$3)</f>
        <v>0.12389634020787518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0.57955742505070529</v>
      </c>
      <c r="C51" s="103">
        <f t="shared" si="44"/>
        <v>0.57697124262004928</v>
      </c>
      <c r="D51" s="103">
        <f t="shared" ref="D51:V51" si="45">IF(D9=0,0,D9/D$3)</f>
        <v>0.58397729287757827</v>
      </c>
      <c r="E51" s="103">
        <f t="shared" si="45"/>
        <v>0.58406080034860408</v>
      </c>
      <c r="F51" s="103">
        <f t="shared" si="45"/>
        <v>0.5949415106453656</v>
      </c>
      <c r="G51" s="103">
        <f t="shared" si="45"/>
        <v>0.5959138669575017</v>
      </c>
      <c r="H51" s="103">
        <f t="shared" si="45"/>
        <v>0.59530966999659796</v>
      </c>
      <c r="I51" s="103">
        <f t="shared" si="45"/>
        <v>0.59330179551788198</v>
      </c>
      <c r="J51" s="103">
        <f t="shared" si="45"/>
        <v>0.59794945095964103</v>
      </c>
      <c r="K51" s="103">
        <f t="shared" si="45"/>
        <v>0.61160525262902454</v>
      </c>
      <c r="L51" s="103">
        <f t="shared" si="45"/>
        <v>0.61286378468569802</v>
      </c>
      <c r="M51" s="103">
        <f t="shared" si="45"/>
        <v>0.54952156198014968</v>
      </c>
      <c r="N51" s="103">
        <f t="shared" si="45"/>
        <v>0.54726775651052395</v>
      </c>
      <c r="O51" s="103">
        <f t="shared" si="45"/>
        <v>0.55146521692205186</v>
      </c>
      <c r="P51" s="103">
        <f t="shared" si="45"/>
        <v>0.54877740278214304</v>
      </c>
      <c r="Q51" s="103">
        <f t="shared" si="45"/>
        <v>0.55450682990927891</v>
      </c>
      <c r="R51" s="103">
        <f t="shared" si="45"/>
        <v>0.54772275546523852</v>
      </c>
      <c r="S51" s="103">
        <f t="shared" si="45"/>
        <v>0.54012868700608807</v>
      </c>
      <c r="T51" s="103">
        <f t="shared" si="45"/>
        <v>0.54443469298857727</v>
      </c>
      <c r="U51" s="103">
        <f t="shared" si="45"/>
        <v>0.55974338645389832</v>
      </c>
      <c r="V51" s="103">
        <f t="shared" si="45"/>
        <v>0.47323964873868796</v>
      </c>
      <c r="W51" s="103">
        <f t="shared" ref="W51" si="46">IF(W9=0,0,W9/W$3)</f>
        <v>0.44278641490275544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7.1779873628128738E-2</v>
      </c>
      <c r="C52" s="17">
        <f t="shared" si="47"/>
        <v>7.2477893548562128E-2</v>
      </c>
      <c r="D52" s="17">
        <f t="shared" ref="D52:V52" si="48">IF(D10=0,0,D10/D$3)</f>
        <v>7.1176875016087882E-2</v>
      </c>
      <c r="E52" s="17">
        <f t="shared" si="48"/>
        <v>7.3336372779728362E-2</v>
      </c>
      <c r="F52" s="17">
        <f t="shared" si="48"/>
        <v>7.6603030250855714E-2</v>
      </c>
      <c r="G52" s="17">
        <f t="shared" si="48"/>
        <v>7.7490710917035285E-2</v>
      </c>
      <c r="H52" s="17">
        <f t="shared" si="48"/>
        <v>7.6563622130884898E-2</v>
      </c>
      <c r="I52" s="17">
        <f t="shared" si="48"/>
        <v>7.6821230551212649E-2</v>
      </c>
      <c r="J52" s="17">
        <f t="shared" si="48"/>
        <v>7.6600476023810218E-2</v>
      </c>
      <c r="K52" s="17">
        <f t="shared" si="48"/>
        <v>6.5460695208356567E-2</v>
      </c>
      <c r="L52" s="17">
        <f t="shared" si="48"/>
        <v>7.4437999181969736E-2</v>
      </c>
      <c r="M52" s="17">
        <f t="shared" si="48"/>
        <v>7.2810231797247993E-2</v>
      </c>
      <c r="N52" s="17">
        <f t="shared" si="48"/>
        <v>7.4309986877422837E-2</v>
      </c>
      <c r="O52" s="17">
        <f t="shared" si="48"/>
        <v>6.9980096752702753E-2</v>
      </c>
      <c r="P52" s="17">
        <f t="shared" si="48"/>
        <v>8.0846538626727957E-2</v>
      </c>
      <c r="Q52" s="17">
        <f t="shared" si="48"/>
        <v>8.1835661262936621E-2</v>
      </c>
      <c r="R52" s="17">
        <f t="shared" si="48"/>
        <v>7.078779338555384E-2</v>
      </c>
      <c r="S52" s="17">
        <f t="shared" si="48"/>
        <v>7.0924904462179292E-2</v>
      </c>
      <c r="T52" s="17">
        <f t="shared" si="48"/>
        <v>6.6181769971206006E-2</v>
      </c>
      <c r="U52" s="17">
        <f t="shared" si="48"/>
        <v>6.0238758357639803E-2</v>
      </c>
      <c r="V52" s="17">
        <f t="shared" si="48"/>
        <v>0.14816502779010501</v>
      </c>
      <c r="W52" s="17">
        <f t="shared" ref="W52" si="49">IF(W10=0,0,W10/W$3)</f>
        <v>0.12936766266541982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1.0145072113987273E-2</v>
      </c>
      <c r="C53" s="104">
        <f t="shared" si="50"/>
        <v>1.1781446097017253E-2</v>
      </c>
      <c r="D53" s="104">
        <f t="shared" ref="D53:V53" si="51">IF(D11=0,0,D11/D$3)</f>
        <v>9.4755103482099395E-3</v>
      </c>
      <c r="E53" s="104">
        <f t="shared" si="51"/>
        <v>7.9808303648415523E-3</v>
      </c>
      <c r="F53" s="104">
        <f t="shared" si="51"/>
        <v>7.8251324225546079E-3</v>
      </c>
      <c r="G53" s="104">
        <f t="shared" si="51"/>
        <v>7.6583440965024624E-3</v>
      </c>
      <c r="H53" s="104">
        <f t="shared" si="51"/>
        <v>6.2562184713226823E-3</v>
      </c>
      <c r="I53" s="104">
        <f t="shared" si="51"/>
        <v>5.0655639246945045E-3</v>
      </c>
      <c r="J53" s="104">
        <f t="shared" si="51"/>
        <v>4.0375969496777384E-3</v>
      </c>
      <c r="K53" s="104">
        <f t="shared" si="51"/>
        <v>3.9296947610469209E-3</v>
      </c>
      <c r="L53" s="104">
        <f t="shared" si="51"/>
        <v>2.8404723831464995E-3</v>
      </c>
      <c r="M53" s="104">
        <f t="shared" si="51"/>
        <v>4.6082257556781725E-3</v>
      </c>
      <c r="N53" s="104">
        <f t="shared" si="51"/>
        <v>4.8543217519149097E-3</v>
      </c>
      <c r="O53" s="104">
        <f t="shared" si="51"/>
        <v>4.5535286738160735E-3</v>
      </c>
      <c r="P53" s="104">
        <f t="shared" si="51"/>
        <v>5.3412236956428428E-3</v>
      </c>
      <c r="Q53" s="104">
        <f t="shared" si="51"/>
        <v>4.9201242106288083E-3</v>
      </c>
      <c r="R53" s="104">
        <f t="shared" si="51"/>
        <v>4.3575126885444238E-3</v>
      </c>
      <c r="S53" s="104">
        <f t="shared" si="51"/>
        <v>4.4599583218502773E-3</v>
      </c>
      <c r="T53" s="104">
        <f t="shared" si="51"/>
        <v>4.3041388274099365E-3</v>
      </c>
      <c r="U53" s="104">
        <f t="shared" si="51"/>
        <v>4.0004862666499219E-3</v>
      </c>
      <c r="V53" s="104">
        <f t="shared" si="51"/>
        <v>8.5618596659376434E-3</v>
      </c>
      <c r="W53" s="104">
        <f t="shared" ref="W53" si="52">IF(W11=0,0,W11/W$3)</f>
        <v>8.8688215297216405E-3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3.8965953642902972E-3</v>
      </c>
      <c r="C54" s="104">
        <f t="shared" si="53"/>
        <v>4.4758668490398994E-3</v>
      </c>
      <c r="D54" s="104">
        <f t="shared" ref="D54:V54" si="54">IF(D12=0,0,D12/D$3)</f>
        <v>4.0630395909692502E-3</v>
      </c>
      <c r="E54" s="104">
        <f t="shared" si="54"/>
        <v>3.9806267001302161E-3</v>
      </c>
      <c r="F54" s="104">
        <f t="shared" si="54"/>
        <v>4.2528763849511925E-3</v>
      </c>
      <c r="G54" s="104">
        <f t="shared" si="54"/>
        <v>4.0425525423281273E-3</v>
      </c>
      <c r="H54" s="104">
        <f t="shared" si="54"/>
        <v>5.1277116586003696E-3</v>
      </c>
      <c r="I54" s="104">
        <f t="shared" si="54"/>
        <v>6.024901775348368E-3</v>
      </c>
      <c r="J54" s="104">
        <f t="shared" si="54"/>
        <v>5.8306030615887447E-3</v>
      </c>
      <c r="K54" s="104">
        <f t="shared" si="54"/>
        <v>5.5987327441499972E-3</v>
      </c>
      <c r="L54" s="104">
        <f t="shared" si="54"/>
        <v>6.1615092986345111E-3</v>
      </c>
      <c r="M54" s="104">
        <f t="shared" si="54"/>
        <v>6.4215149897671681E-3</v>
      </c>
      <c r="N54" s="104">
        <f t="shared" si="54"/>
        <v>6.162311259348555E-3</v>
      </c>
      <c r="O54" s="104">
        <f t="shared" si="54"/>
        <v>6.7464838535574662E-3</v>
      </c>
      <c r="P54" s="104">
        <f t="shared" si="54"/>
        <v>8.2189531677312987E-3</v>
      </c>
      <c r="Q54" s="104">
        <f t="shared" si="54"/>
        <v>7.9786089276867572E-3</v>
      </c>
      <c r="R54" s="104">
        <f t="shared" si="54"/>
        <v>7.0558232686171191E-3</v>
      </c>
      <c r="S54" s="104">
        <f t="shared" si="54"/>
        <v>7.5279639622330757E-3</v>
      </c>
      <c r="T54" s="104">
        <f t="shared" si="54"/>
        <v>6.2912640086538836E-3</v>
      </c>
      <c r="U54" s="104">
        <f t="shared" si="54"/>
        <v>6.1229307918819311E-3</v>
      </c>
      <c r="V54" s="104">
        <f t="shared" si="54"/>
        <v>1.2494438447970114E-2</v>
      </c>
      <c r="W54" s="104">
        <f t="shared" ref="W54" si="55">IF(W12=0,0,W12/W$3)</f>
        <v>1.1899572275495283E-2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5.7738206149851173E-2</v>
      </c>
      <c r="C55" s="105">
        <f t="shared" si="56"/>
        <v>5.6220580602504969E-2</v>
      </c>
      <c r="D55" s="105">
        <f t="shared" ref="D55:V55" si="57">IF(D13=0,0,D13/D$3)</f>
        <v>5.7638325076908692E-2</v>
      </c>
      <c r="E55" s="105">
        <f t="shared" si="57"/>
        <v>6.1374915714756582E-2</v>
      </c>
      <c r="F55" s="105">
        <f t="shared" si="57"/>
        <v>6.4525021443349914E-2</v>
      </c>
      <c r="G55" s="105">
        <f t="shared" si="57"/>
        <v>6.5789814278204697E-2</v>
      </c>
      <c r="H55" s="105">
        <f t="shared" si="57"/>
        <v>6.5179692000961839E-2</v>
      </c>
      <c r="I55" s="105">
        <f t="shared" si="57"/>
        <v>6.5730764851169771E-2</v>
      </c>
      <c r="J55" s="105">
        <f t="shared" si="57"/>
        <v>6.6732276012543737E-2</v>
      </c>
      <c r="K55" s="105">
        <f t="shared" si="57"/>
        <v>5.5932267703159649E-2</v>
      </c>
      <c r="L55" s="105">
        <f t="shared" si="57"/>
        <v>6.5436017500188723E-2</v>
      </c>
      <c r="M55" s="105">
        <f t="shared" si="57"/>
        <v>6.1780491051802645E-2</v>
      </c>
      <c r="N55" s="105">
        <f t="shared" si="57"/>
        <v>6.3293353866159391E-2</v>
      </c>
      <c r="O55" s="105">
        <f t="shared" si="57"/>
        <v>5.8680084225329221E-2</v>
      </c>
      <c r="P55" s="105">
        <f t="shared" si="57"/>
        <v>6.7286361763353814E-2</v>
      </c>
      <c r="Q55" s="105">
        <f t="shared" si="57"/>
        <v>6.8936928124621072E-2</v>
      </c>
      <c r="R55" s="105">
        <f t="shared" si="57"/>
        <v>5.9374457428392292E-2</v>
      </c>
      <c r="S55" s="105">
        <f t="shared" si="57"/>
        <v>5.8936982178095947E-2</v>
      </c>
      <c r="T55" s="105">
        <f t="shared" si="57"/>
        <v>5.5586367135142194E-2</v>
      </c>
      <c r="U55" s="105">
        <f t="shared" si="57"/>
        <v>5.0115341299107954E-2</v>
      </c>
      <c r="V55" s="105">
        <f t="shared" si="57"/>
        <v>0.12710872967619727</v>
      </c>
      <c r="W55" s="105">
        <f t="shared" ref="W55" si="58">IF(W13=0,0,W13/W$3)</f>
        <v>0.10859926886020291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589.31499476057081</v>
      </c>
      <c r="C57" s="62">
        <v>588.43737553532287</v>
      </c>
      <c r="D57" s="62">
        <v>588.17632754237616</v>
      </c>
      <c r="E57" s="62">
        <v>588.53874637802346</v>
      </c>
      <c r="F57" s="62">
        <v>591.55660778973879</v>
      </c>
      <c r="G57" s="62">
        <v>600.49173428241772</v>
      </c>
      <c r="H57" s="62">
        <v>602.19756570271818</v>
      </c>
      <c r="I57" s="62">
        <v>602.36008718368691</v>
      </c>
      <c r="J57" s="62">
        <v>595.79198221135039</v>
      </c>
      <c r="K57" s="62">
        <v>588.57664643579233</v>
      </c>
      <c r="L57" s="62">
        <v>585.33366867528287</v>
      </c>
      <c r="M57" s="62">
        <v>614.62096912489017</v>
      </c>
      <c r="N57" s="62">
        <v>584.04590858536835</v>
      </c>
      <c r="O57" s="62">
        <v>580.23220526870602</v>
      </c>
      <c r="P57" s="62">
        <v>595.03375440603008</v>
      </c>
      <c r="Q57" s="62">
        <v>583.55006549723805</v>
      </c>
      <c r="R57" s="62">
        <v>571.44745820983019</v>
      </c>
      <c r="S57" s="62">
        <v>562.77025761624054</v>
      </c>
      <c r="T57" s="62">
        <v>568.60204941160237</v>
      </c>
      <c r="U57" s="62">
        <v>568.17191895453971</v>
      </c>
      <c r="V57" s="62">
        <v>611.66218517510197</v>
      </c>
      <c r="W57" s="62">
        <v>587.95653686148773</v>
      </c>
      <c r="DA57" s="172" t="s">
        <v>313</v>
      </c>
    </row>
    <row r="58" spans="1:105" ht="11.45" customHeight="1" x14ac:dyDescent="0.25">
      <c r="A58" s="10" t="s">
        <v>33</v>
      </c>
      <c r="B58" s="14">
        <v>578.9853121293786</v>
      </c>
      <c r="C58" s="14">
        <v>578.54215632374894</v>
      </c>
      <c r="D58" s="14">
        <v>578.08585102462507</v>
      </c>
      <c r="E58" s="14">
        <v>577.69770726099819</v>
      </c>
      <c r="F58" s="14">
        <v>580.21807835809932</v>
      </c>
      <c r="G58" s="14">
        <v>588.857160168566</v>
      </c>
      <c r="H58" s="14">
        <v>591.24933589880754</v>
      </c>
      <c r="I58" s="14">
        <v>591.65899928576243</v>
      </c>
      <c r="J58" s="14">
        <v>585.25221729467933</v>
      </c>
      <c r="K58" s="14">
        <v>580.27682802047445</v>
      </c>
      <c r="L58" s="14">
        <v>575.81537842087744</v>
      </c>
      <c r="M58" s="14">
        <v>605.19267665345035</v>
      </c>
      <c r="N58" s="14">
        <v>573.92180658089046</v>
      </c>
      <c r="O58" s="14">
        <v>571.72883746290984</v>
      </c>
      <c r="P58" s="14">
        <v>585.70881782407116</v>
      </c>
      <c r="Q58" s="14">
        <v>573.95297425839215</v>
      </c>
      <c r="R58" s="14">
        <v>562.97570241861808</v>
      </c>
      <c r="S58" s="14">
        <v>554.4498046713918</v>
      </c>
      <c r="T58" s="14">
        <v>560.75957474390464</v>
      </c>
      <c r="U58" s="14">
        <v>561.66174497419877</v>
      </c>
      <c r="V58" s="14">
        <v>596.87560272643384</v>
      </c>
      <c r="W58" s="14">
        <v>573.47003357877986</v>
      </c>
      <c r="DA58" s="189" t="s">
        <v>314</v>
      </c>
    </row>
    <row r="59" spans="1:105" ht="11.45" customHeight="1" x14ac:dyDescent="0.25">
      <c r="A59" s="83" t="s">
        <v>27</v>
      </c>
      <c r="B59" s="87">
        <v>521.42296554263919</v>
      </c>
      <c r="C59" s="87">
        <v>521.42296554263919</v>
      </c>
      <c r="D59" s="87">
        <v>521.42296554263908</v>
      </c>
      <c r="E59" s="87">
        <v>521.42296554263908</v>
      </c>
      <c r="F59" s="87">
        <v>521.42296554263908</v>
      </c>
      <c r="G59" s="87">
        <v>523.68171968951708</v>
      </c>
      <c r="H59" s="87">
        <v>534.29690443945913</v>
      </c>
      <c r="I59" s="87">
        <v>537.46027728272691</v>
      </c>
      <c r="J59" s="87">
        <v>548.58257344749165</v>
      </c>
      <c r="K59" s="87">
        <v>543.811801619775</v>
      </c>
      <c r="L59" s="87">
        <v>549.71677061955779</v>
      </c>
      <c r="M59" s="87">
        <v>547.56645048118139</v>
      </c>
      <c r="N59" s="87">
        <v>551.36745910722539</v>
      </c>
      <c r="O59" s="87">
        <v>553.98549499928413</v>
      </c>
      <c r="P59" s="87">
        <v>553.37305698614261</v>
      </c>
      <c r="Q59" s="87">
        <v>558.41967219392848</v>
      </c>
      <c r="R59" s="87">
        <v>560.91136141694221</v>
      </c>
      <c r="S59" s="87">
        <v>560.6739399718648</v>
      </c>
      <c r="T59" s="87">
        <v>559.28915414588096</v>
      </c>
      <c r="U59" s="87">
        <v>560.81303152054397</v>
      </c>
      <c r="V59" s="87">
        <v>541.03563208506523</v>
      </c>
      <c r="W59" s="87">
        <v>537.99887685982924</v>
      </c>
      <c r="DA59" s="171" t="s">
        <v>315</v>
      </c>
    </row>
    <row r="60" spans="1:105" ht="11.45" customHeight="1" x14ac:dyDescent="0.25">
      <c r="A60" s="83" t="s">
        <v>173</v>
      </c>
      <c r="B60" s="87">
        <v>340.83373483349936</v>
      </c>
      <c r="C60" s="87">
        <v>340.83373679547748</v>
      </c>
      <c r="D60" s="87">
        <v>340.8338201816436</v>
      </c>
      <c r="E60" s="87">
        <v>340.93895173717044</v>
      </c>
      <c r="F60" s="87">
        <v>340.678776264943</v>
      </c>
      <c r="G60" s="87">
        <v>339.78341062156102</v>
      </c>
      <c r="H60" s="87">
        <v>339.94083773679728</v>
      </c>
      <c r="I60" s="87">
        <v>338.76311160882892</v>
      </c>
      <c r="J60" s="87">
        <v>337.87816090774248</v>
      </c>
      <c r="K60" s="87">
        <v>337.05111383190911</v>
      </c>
      <c r="L60" s="87">
        <v>336.36262944420446</v>
      </c>
      <c r="M60" s="87">
        <v>337.56881806325913</v>
      </c>
      <c r="N60" s="87">
        <v>338.2636655428808</v>
      </c>
      <c r="O60" s="87">
        <v>337.8936870768681</v>
      </c>
      <c r="P60" s="87">
        <v>336.07455995241327</v>
      </c>
      <c r="Q60" s="87">
        <v>335.61119609821253</v>
      </c>
      <c r="R60" s="87">
        <v>335.53895166071715</v>
      </c>
      <c r="S60" s="87">
        <v>335.10958020596979</v>
      </c>
      <c r="T60" s="87">
        <v>334.22908538791103</v>
      </c>
      <c r="U60" s="87">
        <v>333.34651002220414</v>
      </c>
      <c r="V60" s="87">
        <v>332.99245133557292</v>
      </c>
      <c r="W60" s="87">
        <v>327.89566953347628</v>
      </c>
      <c r="DA60" s="171" t="s">
        <v>316</v>
      </c>
    </row>
    <row r="61" spans="1:105" ht="11.45" customHeight="1" x14ac:dyDescent="0.25">
      <c r="A61" s="83" t="s">
        <v>174</v>
      </c>
      <c r="B61" s="87">
        <v>717.64239412679945</v>
      </c>
      <c r="C61" s="87">
        <v>717.64239412679933</v>
      </c>
      <c r="D61" s="87">
        <v>717.64239412679933</v>
      </c>
      <c r="E61" s="87">
        <v>717.64239412679933</v>
      </c>
      <c r="F61" s="87">
        <v>717.64239412679933</v>
      </c>
      <c r="G61" s="87">
        <v>726.90157057646957</v>
      </c>
      <c r="H61" s="87">
        <v>730.40216670065081</v>
      </c>
      <c r="I61" s="87">
        <v>730.49600445176964</v>
      </c>
      <c r="J61" s="87">
        <v>717.09919057856655</v>
      </c>
      <c r="K61" s="87">
        <v>710.1077537968373</v>
      </c>
      <c r="L61" s="87">
        <v>698.21278284575635</v>
      </c>
      <c r="M61" s="87">
        <v>753.8316751666091</v>
      </c>
      <c r="N61" s="87">
        <v>702.21771058859838</v>
      </c>
      <c r="O61" s="87">
        <v>691.33032186840796</v>
      </c>
      <c r="P61" s="87">
        <v>714.68104998229887</v>
      </c>
      <c r="Q61" s="87">
        <v>695.42285719156439</v>
      </c>
      <c r="R61" s="87">
        <v>679.13388560427518</v>
      </c>
      <c r="S61" s="87">
        <v>663.31103121038211</v>
      </c>
      <c r="T61" s="87">
        <v>673.93884258842741</v>
      </c>
      <c r="U61" s="87">
        <v>673.77740596834417</v>
      </c>
      <c r="V61" s="87">
        <v>756.64387070147063</v>
      </c>
      <c r="W61" s="87">
        <v>726.79095170611834</v>
      </c>
      <c r="DA61" s="171" t="s">
        <v>317</v>
      </c>
    </row>
    <row r="62" spans="1:105" ht="11.45" customHeight="1" x14ac:dyDescent="0.25">
      <c r="A62" s="12" t="s">
        <v>34</v>
      </c>
      <c r="B62" s="15">
        <v>778.72318104703834</v>
      </c>
      <c r="C62" s="15">
        <v>772.62692319745156</v>
      </c>
      <c r="D62" s="15">
        <v>777.19523222249086</v>
      </c>
      <c r="E62" s="15">
        <v>780.14064019999682</v>
      </c>
      <c r="F62" s="15">
        <v>779.5042586098059</v>
      </c>
      <c r="G62" s="15">
        <v>785.19451339034481</v>
      </c>
      <c r="H62" s="15">
        <v>773.56940710792969</v>
      </c>
      <c r="I62" s="15">
        <v>763.84163056650266</v>
      </c>
      <c r="J62" s="15">
        <v>755.83650663264154</v>
      </c>
      <c r="K62" s="15">
        <v>741.34526678000475</v>
      </c>
      <c r="L62" s="15">
        <v>736.19149515700417</v>
      </c>
      <c r="M62" s="15">
        <v>747.78448240645548</v>
      </c>
      <c r="N62" s="15">
        <v>735.25471639480452</v>
      </c>
      <c r="O62" s="15">
        <v>713.0463785130421</v>
      </c>
      <c r="P62" s="15">
        <v>714.42502188555659</v>
      </c>
      <c r="Q62" s="15">
        <v>708.36756031429115</v>
      </c>
      <c r="R62" s="15">
        <v>701.2442667622189</v>
      </c>
      <c r="S62" s="15">
        <v>690.59090610129556</v>
      </c>
      <c r="T62" s="15">
        <v>696.51490260177854</v>
      </c>
      <c r="U62" s="15">
        <v>685.28009992819318</v>
      </c>
      <c r="V62" s="15">
        <v>702.30683251661173</v>
      </c>
      <c r="W62" s="15">
        <v>690.54914848333158</v>
      </c>
      <c r="DA62" s="193" t="s">
        <v>318</v>
      </c>
    </row>
    <row r="63" spans="1:105" ht="11.45" customHeight="1" x14ac:dyDescent="0.25">
      <c r="A63" s="92" t="s">
        <v>27</v>
      </c>
      <c r="B63" s="101">
        <v>607.86981074665346</v>
      </c>
      <c r="C63" s="101">
        <v>607.86981074665346</v>
      </c>
      <c r="D63" s="101">
        <v>607.86981074665357</v>
      </c>
      <c r="E63" s="101">
        <v>607.86981074665357</v>
      </c>
      <c r="F63" s="101">
        <v>607.86981074665357</v>
      </c>
      <c r="G63" s="101">
        <v>609.95658334889436</v>
      </c>
      <c r="H63" s="101">
        <v>585.41291824317977</v>
      </c>
      <c r="I63" s="101">
        <v>553.82989413741927</v>
      </c>
      <c r="J63" s="101">
        <v>533.08209895035213</v>
      </c>
      <c r="K63" s="101">
        <v>488.53190426117828</v>
      </c>
      <c r="L63" s="101">
        <v>458.7670179159137</v>
      </c>
      <c r="M63" s="101">
        <v>458.59660665255683</v>
      </c>
      <c r="N63" s="101">
        <v>470.11728529824694</v>
      </c>
      <c r="O63" s="101">
        <v>470.34925765428727</v>
      </c>
      <c r="P63" s="101">
        <v>463.52132779892372</v>
      </c>
      <c r="Q63" s="101">
        <v>468.4744061650897</v>
      </c>
      <c r="R63" s="101">
        <v>467.76696159765964</v>
      </c>
      <c r="S63" s="101">
        <v>460.47155459843026</v>
      </c>
      <c r="T63" s="101">
        <v>449.91261249453714</v>
      </c>
      <c r="U63" s="101">
        <v>444.11168608584143</v>
      </c>
      <c r="V63" s="101">
        <v>398.49594456623862</v>
      </c>
      <c r="W63" s="101">
        <v>391.65820096489335</v>
      </c>
      <c r="DA63" s="175" t="s">
        <v>319</v>
      </c>
    </row>
    <row r="64" spans="1:105" ht="11.45" customHeight="1" x14ac:dyDescent="0.25">
      <c r="A64" s="92" t="s">
        <v>173</v>
      </c>
      <c r="B64" s="101">
        <v>364.73931251387233</v>
      </c>
      <c r="C64" s="101">
        <v>364.8306087436045</v>
      </c>
      <c r="D64" s="101">
        <v>364.7614514744223</v>
      </c>
      <c r="E64" s="101">
        <v>365.18891598838013</v>
      </c>
      <c r="F64" s="101">
        <v>364.58491918335812</v>
      </c>
      <c r="G64" s="101">
        <v>364.02264764140136</v>
      </c>
      <c r="H64" s="101">
        <v>364.59373699933332</v>
      </c>
      <c r="I64" s="101">
        <v>361.64061289138493</v>
      </c>
      <c r="J64" s="101">
        <v>358.61337241115098</v>
      </c>
      <c r="K64" s="101">
        <v>355.81089130026498</v>
      </c>
      <c r="L64" s="101">
        <v>354.55014545543435</v>
      </c>
      <c r="M64" s="101">
        <v>354.9678991738574</v>
      </c>
      <c r="N64" s="101">
        <v>354.10334355839439</v>
      </c>
      <c r="O64" s="101">
        <v>354.73328163329887</v>
      </c>
      <c r="P64" s="101">
        <v>353.4240119179974</v>
      </c>
      <c r="Q64" s="101">
        <v>354.22358114091918</v>
      </c>
      <c r="R64" s="101">
        <v>354.6965364288564</v>
      </c>
      <c r="S64" s="101">
        <v>355.09486061231758</v>
      </c>
      <c r="T64" s="101">
        <v>355.07763725497676</v>
      </c>
      <c r="U64" s="101">
        <v>355.96834095975311</v>
      </c>
      <c r="V64" s="101">
        <v>355.85313198160782</v>
      </c>
      <c r="W64" s="101">
        <v>352.06287284745582</v>
      </c>
      <c r="DA64" s="175" t="s">
        <v>320</v>
      </c>
    </row>
    <row r="65" spans="1:105" ht="11.45" customHeight="1" x14ac:dyDescent="0.25">
      <c r="A65" s="85" t="s">
        <v>174</v>
      </c>
      <c r="B65" s="88">
        <v>816.36103528387775</v>
      </c>
      <c r="C65" s="88">
        <v>816.36103528387775</v>
      </c>
      <c r="D65" s="88">
        <v>816.36103528387775</v>
      </c>
      <c r="E65" s="88">
        <v>816.36103528387775</v>
      </c>
      <c r="F65" s="88">
        <v>816.36103528387775</v>
      </c>
      <c r="G65" s="88">
        <v>818.33006237704285</v>
      </c>
      <c r="H65" s="88">
        <v>814.54509576046121</v>
      </c>
      <c r="I65" s="88">
        <v>810.03262168950266</v>
      </c>
      <c r="J65" s="88">
        <v>802.55209466973781</v>
      </c>
      <c r="K65" s="88">
        <v>796.36957143355835</v>
      </c>
      <c r="L65" s="88">
        <v>788.94085915088681</v>
      </c>
      <c r="M65" s="88">
        <v>803.89763642265473</v>
      </c>
      <c r="N65" s="88">
        <v>795.16964493022044</v>
      </c>
      <c r="O65" s="88">
        <v>776.17189036225648</v>
      </c>
      <c r="P65" s="88">
        <v>776.97581680065139</v>
      </c>
      <c r="Q65" s="88">
        <v>769.58522378069586</v>
      </c>
      <c r="R65" s="88">
        <v>762.62035516384276</v>
      </c>
      <c r="S65" s="88">
        <v>752.44857926468137</v>
      </c>
      <c r="T65" s="88">
        <v>751.02448137226997</v>
      </c>
      <c r="U65" s="88">
        <v>743.25201918561106</v>
      </c>
      <c r="V65" s="88">
        <v>757.96228806241663</v>
      </c>
      <c r="W65" s="88">
        <v>753.00156564255394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0.82641460763253238</v>
      </c>
      <c r="C67" s="59">
        <f t="shared" ref="C67:W67" si="60">IF(C3=0,0,C17/C57)</f>
        <v>0.82366193239180852</v>
      </c>
      <c r="D67" s="59">
        <f t="shared" si="60"/>
        <v>0.80843222885163657</v>
      </c>
      <c r="E67" s="59">
        <f t="shared" si="60"/>
        <v>0.78614713298885952</v>
      </c>
      <c r="F67" s="59">
        <f t="shared" si="60"/>
        <v>0.81732969043552817</v>
      </c>
      <c r="G67" s="59">
        <f t="shared" si="60"/>
        <v>0.79269503548627473</v>
      </c>
      <c r="H67" s="59">
        <f t="shared" si="60"/>
        <v>0.79506835404453302</v>
      </c>
      <c r="I67" s="59">
        <f t="shared" si="60"/>
        <v>0.78605831010449778</v>
      </c>
      <c r="J67" s="59">
        <f t="shared" si="60"/>
        <v>0.80047468173647418</v>
      </c>
      <c r="K67" s="59">
        <f t="shared" si="60"/>
        <v>0.80602312198247439</v>
      </c>
      <c r="L67" s="59">
        <f t="shared" si="60"/>
        <v>0.9052869688010966</v>
      </c>
      <c r="M67" s="59">
        <f t="shared" si="60"/>
        <v>0.90478801105071704</v>
      </c>
      <c r="N67" s="59">
        <f t="shared" si="60"/>
        <v>0.98704797415355539</v>
      </c>
      <c r="O67" s="59">
        <f t="shared" si="60"/>
        <v>0.99025034945502388</v>
      </c>
      <c r="P67" s="59">
        <f t="shared" si="60"/>
        <v>0.92373497905779767</v>
      </c>
      <c r="Q67" s="59">
        <f t="shared" si="60"/>
        <v>0.98422918449197638</v>
      </c>
      <c r="R67" s="59">
        <f t="shared" si="60"/>
        <v>0.99517287442316438</v>
      </c>
      <c r="S67" s="59">
        <f t="shared" si="60"/>
        <v>1.0077363026438615</v>
      </c>
      <c r="T67" s="59">
        <f t="shared" si="60"/>
        <v>1.0036429266267244</v>
      </c>
      <c r="U67" s="59">
        <f t="shared" si="60"/>
        <v>1.0186963774887456</v>
      </c>
      <c r="V67" s="59">
        <f t="shared" si="60"/>
        <v>1.0112769320784756</v>
      </c>
      <c r="W67" s="59">
        <f t="shared" si="60"/>
        <v>0.9051090677724587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0.83396378702613294</v>
      </c>
      <c r="C68" s="23">
        <f t="shared" ref="C68:W68" si="62">IF(C6=0,0,C18/C58)</f>
        <v>0.83110331751195532</v>
      </c>
      <c r="D68" s="23">
        <f t="shared" si="62"/>
        <v>0.81528367973275961</v>
      </c>
      <c r="E68" s="23">
        <f t="shared" si="62"/>
        <v>0.7928562331854544</v>
      </c>
      <c r="F68" s="23">
        <f t="shared" si="62"/>
        <v>0.82493091317997047</v>
      </c>
      <c r="G68" s="23">
        <f t="shared" si="62"/>
        <v>0.80111525845407539</v>
      </c>
      <c r="H68" s="23">
        <f t="shared" si="62"/>
        <v>0.80305723192162859</v>
      </c>
      <c r="I68" s="23">
        <f t="shared" si="62"/>
        <v>0.7940897763405963</v>
      </c>
      <c r="J68" s="23">
        <f t="shared" si="62"/>
        <v>0.80744856038264523</v>
      </c>
      <c r="K68" s="23">
        <f t="shared" si="62"/>
        <v>0.81145289973966794</v>
      </c>
      <c r="L68" s="23">
        <f t="shared" si="62"/>
        <v>0.91074993806351379</v>
      </c>
      <c r="M68" s="23">
        <f t="shared" si="62"/>
        <v>0.91741277218211614</v>
      </c>
      <c r="N68" s="23">
        <f t="shared" si="62"/>
        <v>0.99793110792381323</v>
      </c>
      <c r="O68" s="23">
        <f t="shared" si="62"/>
        <v>1.0000725390002896</v>
      </c>
      <c r="P68" s="23">
        <f t="shared" si="62"/>
        <v>0.93598658995592265</v>
      </c>
      <c r="Q68" s="23">
        <f t="shared" si="62"/>
        <v>0.99559401961429816</v>
      </c>
      <c r="R68" s="23">
        <f t="shared" si="62"/>
        <v>1.0052673873728994</v>
      </c>
      <c r="S68" s="23">
        <f t="shared" si="62"/>
        <v>1.0178145565012888</v>
      </c>
      <c r="T68" s="23">
        <f t="shared" si="62"/>
        <v>1.0140360630562066</v>
      </c>
      <c r="U68" s="23">
        <f t="shared" si="62"/>
        <v>1.0275530007052838</v>
      </c>
      <c r="V68" s="23">
        <f t="shared" si="62"/>
        <v>1.0387619896267193</v>
      </c>
      <c r="W68" s="23">
        <f t="shared" si="62"/>
        <v>0.93199109282152071</v>
      </c>
      <c r="DA68" s="189"/>
    </row>
    <row r="69" spans="1:105" ht="11.45" customHeight="1" x14ac:dyDescent="0.25">
      <c r="A69" s="83" t="s">
        <v>27</v>
      </c>
      <c r="B69" s="91">
        <f t="shared" si="61"/>
        <v>0.63935102946535161</v>
      </c>
      <c r="C69" s="91">
        <f t="shared" ref="C69:W69" si="63">IF(C7=0,0,C19/C59)</f>
        <v>0.63330799035895913</v>
      </c>
      <c r="D69" s="91">
        <f t="shared" si="63"/>
        <v>0.57543758504363118</v>
      </c>
      <c r="E69" s="91">
        <f t="shared" si="63"/>
        <v>0.55366227961547998</v>
      </c>
      <c r="F69" s="91">
        <f t="shared" si="63"/>
        <v>0.5678451304160026</v>
      </c>
      <c r="G69" s="91">
        <f t="shared" si="63"/>
        <v>0.56828820260804125</v>
      </c>
      <c r="H69" s="91">
        <f t="shared" si="63"/>
        <v>0.54832191248377371</v>
      </c>
      <c r="I69" s="91">
        <f t="shared" si="63"/>
        <v>0.54296387858669859</v>
      </c>
      <c r="J69" s="91">
        <f t="shared" si="63"/>
        <v>0.53761822154580541</v>
      </c>
      <c r="K69" s="91">
        <f t="shared" si="63"/>
        <v>0.5240332081793726</v>
      </c>
      <c r="L69" s="91">
        <f t="shared" si="63"/>
        <v>0.56812589134979219</v>
      </c>
      <c r="M69" s="91">
        <f t="shared" si="63"/>
        <v>1.0030275900828056</v>
      </c>
      <c r="N69" s="91">
        <f t="shared" si="63"/>
        <v>1.0141670833953935</v>
      </c>
      <c r="O69" s="91">
        <f t="shared" si="63"/>
        <v>0.99657776619235394</v>
      </c>
      <c r="P69" s="91">
        <f t="shared" si="63"/>
        <v>0.98077919212485742</v>
      </c>
      <c r="Q69" s="91">
        <f t="shared" si="63"/>
        <v>0.97584096442280099</v>
      </c>
      <c r="R69" s="91">
        <f t="shared" si="63"/>
        <v>0.99346958301906141</v>
      </c>
      <c r="S69" s="91">
        <f t="shared" si="63"/>
        <v>0.99105381266597969</v>
      </c>
      <c r="T69" s="91">
        <f t="shared" si="63"/>
        <v>1.0171015695283669</v>
      </c>
      <c r="U69" s="91">
        <f t="shared" si="63"/>
        <v>1.0128626376712087</v>
      </c>
      <c r="V69" s="91">
        <f t="shared" si="63"/>
        <v>1.1528611366410462</v>
      </c>
      <c r="W69" s="91">
        <f t="shared" si="63"/>
        <v>1.1247245749877706</v>
      </c>
      <c r="DA69" s="171"/>
    </row>
    <row r="70" spans="1:105" ht="11.45" customHeight="1" x14ac:dyDescent="0.25">
      <c r="A70" s="83" t="s">
        <v>173</v>
      </c>
      <c r="B70" s="91">
        <f t="shared" si="61"/>
        <v>1.2141788637156998</v>
      </c>
      <c r="C70" s="91">
        <f t="shared" ref="C70:W70" si="64">IF(C8=0,0,C20/C60)</f>
        <v>1.2139388909509647</v>
      </c>
      <c r="D70" s="91">
        <f t="shared" si="64"/>
        <v>1.2123405048572771</v>
      </c>
      <c r="E70" s="91">
        <f t="shared" si="64"/>
        <v>1.1777563987655977</v>
      </c>
      <c r="F70" s="91">
        <f t="shared" si="64"/>
        <v>1.220455486551794</v>
      </c>
      <c r="G70" s="91">
        <f t="shared" si="64"/>
        <v>1.2335148473013229</v>
      </c>
      <c r="H70" s="91">
        <f t="shared" si="64"/>
        <v>1.2438412357109403</v>
      </c>
      <c r="I70" s="91">
        <f t="shared" si="64"/>
        <v>1.2470146820639039</v>
      </c>
      <c r="J70" s="91">
        <f t="shared" si="64"/>
        <v>1.2082276487585566</v>
      </c>
      <c r="K70" s="91">
        <f t="shared" si="64"/>
        <v>1.1748251680658603</v>
      </c>
      <c r="L70" s="91">
        <f t="shared" si="64"/>
        <v>1.2893608549515212</v>
      </c>
      <c r="M70" s="91">
        <f t="shared" si="64"/>
        <v>1.2329909365171707</v>
      </c>
      <c r="N70" s="91">
        <f t="shared" si="64"/>
        <v>1.1901204079626744</v>
      </c>
      <c r="O70" s="91">
        <f t="shared" si="64"/>
        <v>1.2258999175354577</v>
      </c>
      <c r="P70" s="91">
        <f t="shared" si="64"/>
        <v>1.2088030636230755</v>
      </c>
      <c r="Q70" s="91">
        <f t="shared" si="64"/>
        <v>1.2423363109857963</v>
      </c>
      <c r="R70" s="91">
        <f t="shared" si="64"/>
        <v>1.2418365452483049</v>
      </c>
      <c r="S70" s="91">
        <f t="shared" si="64"/>
        <v>1.2740811795634825</v>
      </c>
      <c r="T70" s="91">
        <f t="shared" si="64"/>
        <v>1.2809968860078973</v>
      </c>
      <c r="U70" s="91">
        <f t="shared" si="64"/>
        <v>1.2724777110837127</v>
      </c>
      <c r="V70" s="91">
        <f t="shared" si="64"/>
        <v>1.1389141941713454</v>
      </c>
      <c r="W70" s="91">
        <f t="shared" si="64"/>
        <v>0.97290023886023314</v>
      </c>
      <c r="DA70" s="171"/>
    </row>
    <row r="71" spans="1:105" ht="11.45" customHeight="1" x14ac:dyDescent="0.25">
      <c r="A71" s="83" t="s">
        <v>174</v>
      </c>
      <c r="B71" s="91">
        <f t="shared" si="61"/>
        <v>0.81772154318018886</v>
      </c>
      <c r="C71" s="91">
        <f t="shared" ref="C71:W71" si="65">IF(C9=0,0,C21/C61)</f>
        <v>0.8175599182786939</v>
      </c>
      <c r="D71" s="91">
        <f t="shared" si="65"/>
        <v>0.81648369014121347</v>
      </c>
      <c r="E71" s="91">
        <f t="shared" si="65"/>
        <v>0.79343740408930363</v>
      </c>
      <c r="F71" s="91">
        <f t="shared" si="65"/>
        <v>0.82160586341911768</v>
      </c>
      <c r="G71" s="91">
        <f t="shared" si="65"/>
        <v>0.78223144992262261</v>
      </c>
      <c r="H71" s="91">
        <f t="shared" si="65"/>
        <v>0.78727869534132611</v>
      </c>
      <c r="I71" s="91">
        <f t="shared" si="65"/>
        <v>0.77194897925514361</v>
      </c>
      <c r="J71" s="91">
        <f t="shared" si="65"/>
        <v>0.80239251958002944</v>
      </c>
      <c r="K71" s="91">
        <f t="shared" si="65"/>
        <v>0.82701322510965702</v>
      </c>
      <c r="L71" s="91">
        <f t="shared" si="65"/>
        <v>0.94197810154384698</v>
      </c>
      <c r="M71" s="91">
        <f t="shared" si="65"/>
        <v>0.82535097628800269</v>
      </c>
      <c r="N71" s="91">
        <f t="shared" si="65"/>
        <v>0.94573722242477665</v>
      </c>
      <c r="O71" s="91">
        <f t="shared" si="65"/>
        <v>0.94873464873109259</v>
      </c>
      <c r="P71" s="91">
        <f t="shared" si="65"/>
        <v>0.86211498258639474</v>
      </c>
      <c r="Q71" s="91">
        <f t="shared" si="65"/>
        <v>0.94487254468905268</v>
      </c>
      <c r="R71" s="91">
        <f t="shared" si="65"/>
        <v>0.95019268357214515</v>
      </c>
      <c r="S71" s="91">
        <f t="shared" si="65"/>
        <v>0.96181723773597128</v>
      </c>
      <c r="T71" s="91">
        <f t="shared" si="65"/>
        <v>0.94716679906095735</v>
      </c>
      <c r="U71" s="91">
        <f t="shared" si="65"/>
        <v>0.97335267849369678</v>
      </c>
      <c r="V71" s="91">
        <f t="shared" si="65"/>
        <v>0.9649455194243578</v>
      </c>
      <c r="W71" s="91">
        <f t="shared" si="65"/>
        <v>0.82521218421493459</v>
      </c>
      <c r="DA71" s="171"/>
    </row>
    <row r="72" spans="1:105" ht="11.45" customHeight="1" x14ac:dyDescent="0.25">
      <c r="A72" s="12" t="s">
        <v>34</v>
      </c>
      <c r="B72" s="24">
        <f t="shared" si="61"/>
        <v>0.70394120443680119</v>
      </c>
      <c r="C72" s="24">
        <f t="shared" ref="C72:W72" si="66">IF(C10=0,0,C22/C62)</f>
        <v>0.69882313508709981</v>
      </c>
      <c r="D72" s="24">
        <f t="shared" si="66"/>
        <v>0.69225626018704789</v>
      </c>
      <c r="E72" s="24">
        <f t="shared" si="66"/>
        <v>0.680276571943635</v>
      </c>
      <c r="F72" s="24">
        <f t="shared" si="66"/>
        <v>0.70670614037965995</v>
      </c>
      <c r="G72" s="24">
        <f t="shared" si="66"/>
        <v>0.6793339544757967</v>
      </c>
      <c r="H72" s="24">
        <f t="shared" si="66"/>
        <v>0.68856842104087079</v>
      </c>
      <c r="I72" s="24">
        <f t="shared" si="66"/>
        <v>0.68389944135203706</v>
      </c>
      <c r="J72" s="24">
        <f t="shared" si="66"/>
        <v>0.70984328476976744</v>
      </c>
      <c r="K72" s="24">
        <f t="shared" si="66"/>
        <v>0.71684528862001851</v>
      </c>
      <c r="L72" s="24">
        <f t="shared" si="66"/>
        <v>0.82706504017221849</v>
      </c>
      <c r="M72" s="24">
        <f t="shared" si="66"/>
        <v>0.75916596751079202</v>
      </c>
      <c r="N72" s="24">
        <f t="shared" si="66"/>
        <v>0.85362381989777425</v>
      </c>
      <c r="O72" s="24">
        <f t="shared" si="66"/>
        <v>0.86199998847389503</v>
      </c>
      <c r="P72" s="24">
        <f t="shared" si="66"/>
        <v>0.79301215245122303</v>
      </c>
      <c r="Q72" s="24">
        <f t="shared" si="66"/>
        <v>0.86016758851968667</v>
      </c>
      <c r="R72" s="24">
        <f t="shared" si="66"/>
        <v>0.86617818173394578</v>
      </c>
      <c r="S72" s="24">
        <f t="shared" si="66"/>
        <v>0.87823385060342052</v>
      </c>
      <c r="T72" s="24">
        <f t="shared" si="66"/>
        <v>0.86308036996867477</v>
      </c>
      <c r="U72" s="24">
        <f t="shared" si="66"/>
        <v>0.88422631151909947</v>
      </c>
      <c r="V72" s="24">
        <f t="shared" si="66"/>
        <v>0.86905478321704299</v>
      </c>
      <c r="W72" s="24">
        <f t="shared" si="66"/>
        <v>0.74891140346438922</v>
      </c>
      <c r="DA72" s="193"/>
    </row>
    <row r="73" spans="1:105" ht="11.45" customHeight="1" x14ac:dyDescent="0.25">
      <c r="A73" s="92" t="s">
        <v>27</v>
      </c>
      <c r="B73" s="93">
        <f t="shared" si="61"/>
        <v>0.63935102946535194</v>
      </c>
      <c r="C73" s="93">
        <f t="shared" ref="C73:W73" si="67">IF(C11=0,0,C23/C63)</f>
        <v>0.63330799035895946</v>
      </c>
      <c r="D73" s="93">
        <f t="shared" si="67"/>
        <v>0.57543758504363129</v>
      </c>
      <c r="E73" s="93">
        <f t="shared" si="67"/>
        <v>0.55366227961547998</v>
      </c>
      <c r="F73" s="93">
        <f t="shared" si="67"/>
        <v>0.56784513041600271</v>
      </c>
      <c r="G73" s="93">
        <f t="shared" si="67"/>
        <v>0.56828820260804114</v>
      </c>
      <c r="H73" s="93">
        <f t="shared" si="67"/>
        <v>0.54832191248377371</v>
      </c>
      <c r="I73" s="93">
        <f t="shared" si="67"/>
        <v>0.5429638785866987</v>
      </c>
      <c r="J73" s="93">
        <f t="shared" si="67"/>
        <v>0.53761822154580541</v>
      </c>
      <c r="K73" s="93">
        <f t="shared" si="67"/>
        <v>0.5240332081793726</v>
      </c>
      <c r="L73" s="93">
        <f t="shared" si="67"/>
        <v>0.5681258913497923</v>
      </c>
      <c r="M73" s="93">
        <f t="shared" si="67"/>
        <v>1.0030275900828056</v>
      </c>
      <c r="N73" s="93">
        <f t="shared" si="67"/>
        <v>1.0141670833953935</v>
      </c>
      <c r="O73" s="93">
        <f t="shared" si="67"/>
        <v>0.99657776619235394</v>
      </c>
      <c r="P73" s="93">
        <f t="shared" si="67"/>
        <v>0.98077919212485731</v>
      </c>
      <c r="Q73" s="93">
        <f t="shared" si="67"/>
        <v>0.9758409644228011</v>
      </c>
      <c r="R73" s="93">
        <f t="shared" si="67"/>
        <v>0.99346958301906141</v>
      </c>
      <c r="S73" s="93">
        <f t="shared" si="67"/>
        <v>0.99105381266597981</v>
      </c>
      <c r="T73" s="93">
        <f t="shared" si="67"/>
        <v>1.0171015695283669</v>
      </c>
      <c r="U73" s="93">
        <f t="shared" si="67"/>
        <v>1.0128626376712084</v>
      </c>
      <c r="V73" s="93">
        <f t="shared" si="67"/>
        <v>1.1528611366410462</v>
      </c>
      <c r="W73" s="93">
        <f t="shared" si="67"/>
        <v>1.1247245749877703</v>
      </c>
      <c r="DA73" s="175"/>
    </row>
    <row r="74" spans="1:105" ht="11.45" customHeight="1" x14ac:dyDescent="0.25">
      <c r="A74" s="92" t="s">
        <v>173</v>
      </c>
      <c r="B74" s="93">
        <f t="shared" si="61"/>
        <v>1.2227234090513266</v>
      </c>
      <c r="C74" s="93">
        <f t="shared" ref="C74:W74" si="68">IF(C12=0,0,C24/C64)</f>
        <v>1.2222440048933825</v>
      </c>
      <c r="D74" s="93">
        <f t="shared" si="68"/>
        <v>1.2208161094738961</v>
      </c>
      <c r="E74" s="93">
        <f t="shared" si="68"/>
        <v>1.1861095235837258</v>
      </c>
      <c r="F74" s="93">
        <f t="shared" si="68"/>
        <v>1.2285434915767608</v>
      </c>
      <c r="G74" s="93">
        <f t="shared" si="68"/>
        <v>1.2360614993373233</v>
      </c>
      <c r="H74" s="93">
        <f t="shared" si="68"/>
        <v>1.2429665495860227</v>
      </c>
      <c r="I74" s="93">
        <f t="shared" si="68"/>
        <v>1.2420056987664294</v>
      </c>
      <c r="J74" s="93">
        <f t="shared" si="68"/>
        <v>1.2006775380450565</v>
      </c>
      <c r="K74" s="93">
        <f t="shared" si="68"/>
        <v>1.168385712342755</v>
      </c>
      <c r="L74" s="93">
        <f t="shared" si="68"/>
        <v>1.2851639679874496</v>
      </c>
      <c r="M74" s="93">
        <f t="shared" si="68"/>
        <v>1.2240640088443899</v>
      </c>
      <c r="N74" s="93">
        <f t="shared" si="68"/>
        <v>1.1838337616501691</v>
      </c>
      <c r="O74" s="93">
        <f t="shared" si="68"/>
        <v>1.2192359839421645</v>
      </c>
      <c r="P74" s="93">
        <f t="shared" si="68"/>
        <v>1.2024975345797155</v>
      </c>
      <c r="Q74" s="93">
        <f t="shared" si="68"/>
        <v>1.2370104119543359</v>
      </c>
      <c r="R74" s="93">
        <f t="shared" si="68"/>
        <v>1.2337226245672581</v>
      </c>
      <c r="S74" s="93">
        <f t="shared" si="68"/>
        <v>1.2707232275074787</v>
      </c>
      <c r="T74" s="93">
        <f t="shared" si="68"/>
        <v>1.2782254517097225</v>
      </c>
      <c r="U74" s="93">
        <f t="shared" si="68"/>
        <v>1.2694502317030474</v>
      </c>
      <c r="V74" s="93">
        <f t="shared" si="68"/>
        <v>1.1318814305271703</v>
      </c>
      <c r="W74" s="93">
        <f t="shared" si="68"/>
        <v>0.94336563989694433</v>
      </c>
      <c r="DA74" s="175"/>
    </row>
    <row r="75" spans="1:105" ht="11.45" customHeight="1" x14ac:dyDescent="0.25">
      <c r="A75" s="85" t="s">
        <v>174</v>
      </c>
      <c r="B75" s="94">
        <f t="shared" si="61"/>
        <v>0.7359493888621701</v>
      </c>
      <c r="C75" s="94">
        <f t="shared" ref="C75:W75" si="69">IF(C13=0,0,C25/C65)</f>
        <v>0.7358039264508246</v>
      </c>
      <c r="D75" s="94">
        <f t="shared" si="69"/>
        <v>0.73483532112709204</v>
      </c>
      <c r="E75" s="94">
        <f t="shared" si="69"/>
        <v>0.71409366368037308</v>
      </c>
      <c r="F75" s="94">
        <f t="shared" si="69"/>
        <v>0.73944527707720586</v>
      </c>
      <c r="G75" s="94">
        <f t="shared" si="69"/>
        <v>0.70400830493036071</v>
      </c>
      <c r="H75" s="94">
        <f t="shared" si="69"/>
        <v>0.70855082580719342</v>
      </c>
      <c r="I75" s="94">
        <f t="shared" si="69"/>
        <v>0.69475408132962935</v>
      </c>
      <c r="J75" s="94">
        <f t="shared" si="69"/>
        <v>0.72215326762202647</v>
      </c>
      <c r="K75" s="94">
        <f t="shared" si="69"/>
        <v>0.7443119025986914</v>
      </c>
      <c r="L75" s="94">
        <f t="shared" si="69"/>
        <v>0.84778029138946243</v>
      </c>
      <c r="M75" s="94">
        <f t="shared" si="69"/>
        <v>0.74281587865920273</v>
      </c>
      <c r="N75" s="94">
        <f t="shared" si="69"/>
        <v>0.8511635001822988</v>
      </c>
      <c r="O75" s="94">
        <f t="shared" si="69"/>
        <v>0.85386118385798315</v>
      </c>
      <c r="P75" s="94">
        <f t="shared" si="69"/>
        <v>0.77590348432775524</v>
      </c>
      <c r="Q75" s="94">
        <f t="shared" si="69"/>
        <v>0.85038529022014731</v>
      </c>
      <c r="R75" s="94">
        <f t="shared" si="69"/>
        <v>0.85517341521493073</v>
      </c>
      <c r="S75" s="94">
        <f t="shared" si="69"/>
        <v>0.86563551396237393</v>
      </c>
      <c r="T75" s="94">
        <f t="shared" si="69"/>
        <v>0.85245011915486191</v>
      </c>
      <c r="U75" s="94">
        <f t="shared" si="69"/>
        <v>0.87601741064432703</v>
      </c>
      <c r="V75" s="94">
        <f t="shared" si="69"/>
        <v>0.86845096748192174</v>
      </c>
      <c r="W75" s="94">
        <f t="shared" si="69"/>
        <v>0.74269096579344096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18877.069008000006</v>
      </c>
      <c r="C3" s="79">
        <f t="shared" si="0"/>
        <v>18766.161288000003</v>
      </c>
      <c r="D3" s="79">
        <f t="shared" ref="D3" si="1">SUM(D4:D5)</f>
        <v>18610.862256</v>
      </c>
      <c r="E3" s="79">
        <f t="shared" ref="E3" si="2">SUM(E4:E5)</f>
        <v>17912.232629640002</v>
      </c>
      <c r="F3" s="79">
        <f t="shared" ref="F3" si="3">SUM(F4:F5)</f>
        <v>18830.424562199998</v>
      </c>
      <c r="G3" s="79">
        <f t="shared" ref="G3" si="4">SUM(G4:G5)</f>
        <v>19003.540125959997</v>
      </c>
      <c r="H3" s="79">
        <f t="shared" ref="H3" si="5">SUM(H4:H5)</f>
        <v>19760.971711320002</v>
      </c>
      <c r="I3" s="79">
        <f t="shared" ref="I3" si="6">SUM(I4:I5)</f>
        <v>20388.557504879998</v>
      </c>
      <c r="J3" s="79">
        <f t="shared" ref="J3" si="7">SUM(J4:J5)</f>
        <v>20496.784966200001</v>
      </c>
      <c r="K3" s="79">
        <f t="shared" ref="K3" si="8">SUM(K4:K5)</f>
        <v>18774.730245599996</v>
      </c>
      <c r="L3" s="79">
        <f t="shared" ref="L3" si="9">SUM(L4:L5)</f>
        <v>19009.734936839999</v>
      </c>
      <c r="M3" s="79">
        <f t="shared" ref="M3" si="10">SUM(M4:M5)</f>
        <v>21309.182560800004</v>
      </c>
      <c r="N3" s="79">
        <f t="shared" ref="N3" si="11">SUM(N4:N5)</f>
        <v>20847.539063880002</v>
      </c>
      <c r="O3" s="79">
        <f t="shared" ref="O3" si="12">SUM(O4:O5)</f>
        <v>20597.104375200001</v>
      </c>
      <c r="P3" s="79">
        <f t="shared" ref="P3" si="13">SUM(P4:P5)</f>
        <v>20543.169339360004</v>
      </c>
      <c r="Q3" s="79">
        <f t="shared" ref="Q3" si="14">SUM(Q4:Q5)</f>
        <v>21499.991336880004</v>
      </c>
      <c r="R3" s="79">
        <f t="shared" ref="R3" si="15">SUM(R4:R5)</f>
        <v>21350.386203480008</v>
      </c>
      <c r="S3" s="79">
        <f t="shared" ref="S3" si="16">SUM(S4:S5)</f>
        <v>21760.746998040006</v>
      </c>
      <c r="T3" s="79">
        <f t="shared" ref="T3" si="17">SUM(T4:T5)</f>
        <v>22594.518738720002</v>
      </c>
      <c r="U3" s="79">
        <f t="shared" ref="U3" si="18">SUM(U4:U5)</f>
        <v>23569.593611759996</v>
      </c>
      <c r="V3" s="79">
        <f t="shared" ref="V3:W3" si="19">SUM(V4:V5)</f>
        <v>11018.467413719998</v>
      </c>
      <c r="W3" s="79">
        <f t="shared" si="19"/>
        <v>11810.406526920004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3175.3169280000002</v>
      </c>
      <c r="C4" s="96">
        <f t="shared" si="20"/>
        <v>3238.8026579999996</v>
      </c>
      <c r="D4" s="96">
        <f t="shared" ref="D4:V4" si="21">SUM(D7,D11)</f>
        <v>3020.0878260000004</v>
      </c>
      <c r="E4" s="96">
        <f t="shared" si="21"/>
        <v>2794.5227253600001</v>
      </c>
      <c r="F4" s="96">
        <f t="shared" si="21"/>
        <v>2667.7687773600001</v>
      </c>
      <c r="G4" s="96">
        <f t="shared" si="21"/>
        <v>2646.1163005200001</v>
      </c>
      <c r="H4" s="96">
        <f t="shared" si="21"/>
        <v>2639.9333894400006</v>
      </c>
      <c r="I4" s="96">
        <f t="shared" si="21"/>
        <v>2639.9333894400006</v>
      </c>
      <c r="J4" s="96">
        <f t="shared" si="21"/>
        <v>2643.0479974800005</v>
      </c>
      <c r="K4" s="96">
        <f t="shared" si="21"/>
        <v>2510.0531924400002</v>
      </c>
      <c r="L4" s="96">
        <f t="shared" si="21"/>
        <v>2429.7190649999998</v>
      </c>
      <c r="M4" s="96">
        <f t="shared" si="21"/>
        <v>4514.4086940000007</v>
      </c>
      <c r="N4" s="96">
        <f t="shared" si="21"/>
        <v>4528.9112130000012</v>
      </c>
      <c r="O4" s="96">
        <f t="shared" si="21"/>
        <v>4469.6151104400005</v>
      </c>
      <c r="P4" s="96">
        <f t="shared" si="21"/>
        <v>4281.4940536799995</v>
      </c>
      <c r="Q4" s="96">
        <f t="shared" si="21"/>
        <v>4275.7661901599995</v>
      </c>
      <c r="R4" s="96">
        <f t="shared" si="21"/>
        <v>4409.6351184000014</v>
      </c>
      <c r="S4" s="96">
        <f t="shared" si="21"/>
        <v>4558.4782131600005</v>
      </c>
      <c r="T4" s="96">
        <f t="shared" si="21"/>
        <v>4794.7879594800006</v>
      </c>
      <c r="U4" s="96">
        <f t="shared" si="21"/>
        <v>4873.1541022799984</v>
      </c>
      <c r="V4" s="96">
        <f t="shared" si="21"/>
        <v>2998.9242410400002</v>
      </c>
      <c r="W4" s="96">
        <f t="shared" ref="W4" si="22">SUM(W7,W11)</f>
        <v>3693.3989641200023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15701.752080000006</v>
      </c>
      <c r="C5" s="96">
        <f t="shared" si="23"/>
        <v>15527.358630000002</v>
      </c>
      <c r="D5" s="96">
        <f t="shared" ref="D5:V5" si="24">SUM(D8:D9,D12:D13)</f>
        <v>15590.774429999999</v>
      </c>
      <c r="E5" s="96">
        <f t="shared" si="24"/>
        <v>15117.709904280004</v>
      </c>
      <c r="F5" s="96">
        <f t="shared" si="24"/>
        <v>16162.655784839999</v>
      </c>
      <c r="G5" s="96">
        <f t="shared" si="24"/>
        <v>16357.423825439997</v>
      </c>
      <c r="H5" s="96">
        <f t="shared" si="24"/>
        <v>17121.038321880002</v>
      </c>
      <c r="I5" s="96">
        <f t="shared" si="24"/>
        <v>17748.624115439998</v>
      </c>
      <c r="J5" s="96">
        <f t="shared" si="24"/>
        <v>17853.736968720001</v>
      </c>
      <c r="K5" s="96">
        <f t="shared" si="24"/>
        <v>16264.677053159998</v>
      </c>
      <c r="L5" s="96">
        <f t="shared" si="24"/>
        <v>16580.015871839998</v>
      </c>
      <c r="M5" s="96">
        <f t="shared" si="24"/>
        <v>16794.773866800002</v>
      </c>
      <c r="N5" s="96">
        <f t="shared" si="24"/>
        <v>16318.627850880002</v>
      </c>
      <c r="O5" s="96">
        <f t="shared" si="24"/>
        <v>16127.489264760001</v>
      </c>
      <c r="P5" s="96">
        <f t="shared" si="24"/>
        <v>16261.675285680003</v>
      </c>
      <c r="Q5" s="96">
        <f t="shared" si="24"/>
        <v>17224.225146720004</v>
      </c>
      <c r="R5" s="96">
        <f t="shared" si="24"/>
        <v>16940.751085080006</v>
      </c>
      <c r="S5" s="96">
        <f t="shared" si="24"/>
        <v>17202.268784880005</v>
      </c>
      <c r="T5" s="96">
        <f t="shared" si="24"/>
        <v>17799.730779240002</v>
      </c>
      <c r="U5" s="96">
        <f t="shared" si="24"/>
        <v>18696.439509479998</v>
      </c>
      <c r="V5" s="96">
        <f t="shared" si="24"/>
        <v>8019.5431726799989</v>
      </c>
      <c r="W5" s="96">
        <f t="shared" ref="W5" si="25">SUM(W8:W9,W12:W13)</f>
        <v>8117.0075628000022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17522.05020769883</v>
      </c>
      <c r="C6" s="21">
        <f t="shared" si="26"/>
        <v>17406.020502876767</v>
      </c>
      <c r="D6" s="21">
        <f t="shared" ref="D6:V6" si="27">SUM(D7:D9)</f>
        <v>17286.173345734205</v>
      </c>
      <c r="E6" s="21">
        <f t="shared" si="27"/>
        <v>16598.575472278557</v>
      </c>
      <c r="F6" s="21">
        <f t="shared" si="27"/>
        <v>17387.919409808921</v>
      </c>
      <c r="G6" s="21">
        <f t="shared" si="27"/>
        <v>17530.900866655975</v>
      </c>
      <c r="H6" s="21">
        <f t="shared" si="27"/>
        <v>18247.945404054411</v>
      </c>
      <c r="I6" s="21">
        <f t="shared" si="27"/>
        <v>18822.214049725873</v>
      </c>
      <c r="J6" s="21">
        <f t="shared" si="27"/>
        <v>18926.645730495769</v>
      </c>
      <c r="K6" s="21">
        <f t="shared" si="27"/>
        <v>17545.647928037728</v>
      </c>
      <c r="L6" s="21">
        <f t="shared" si="27"/>
        <v>17594.596612672976</v>
      </c>
      <c r="M6" s="21">
        <f t="shared" si="27"/>
        <v>19757.545043451362</v>
      </c>
      <c r="N6" s="21">
        <f t="shared" si="27"/>
        <v>19298.263125517056</v>
      </c>
      <c r="O6" s="21">
        <f t="shared" si="27"/>
        <v>19155.626893751891</v>
      </c>
      <c r="P6" s="21">
        <f t="shared" si="27"/>
        <v>18882.242103992445</v>
      </c>
      <c r="Q6" s="21">
        <f t="shared" si="27"/>
        <v>19740.434628343828</v>
      </c>
      <c r="R6" s="21">
        <f t="shared" si="27"/>
        <v>19838.968851061993</v>
      </c>
      <c r="S6" s="21">
        <f t="shared" si="27"/>
        <v>20217.297549850337</v>
      </c>
      <c r="T6" s="21">
        <f t="shared" si="27"/>
        <v>21099.109433990285</v>
      </c>
      <c r="U6" s="21">
        <f t="shared" si="27"/>
        <v>22149.733920229592</v>
      </c>
      <c r="V6" s="21">
        <f t="shared" si="27"/>
        <v>9385.7707329357927</v>
      </c>
      <c r="W6" s="21">
        <f t="shared" ref="W6" si="28">SUM(W7:W9)</f>
        <v>10282.358146052389</v>
      </c>
      <c r="DA6" s="189" t="s">
        <v>326</v>
      </c>
    </row>
    <row r="7" spans="1:105" ht="11.45" customHeight="1" x14ac:dyDescent="0.25">
      <c r="A7" s="83" t="s">
        <v>27</v>
      </c>
      <c r="B7" s="96">
        <v>2983.9174118206161</v>
      </c>
      <c r="C7" s="96">
        <v>3017.8289159067535</v>
      </c>
      <c r="D7" s="96">
        <v>2843.839156127367</v>
      </c>
      <c r="E7" s="96">
        <v>2651.6439830273957</v>
      </c>
      <c r="F7" s="96">
        <v>2520.5013853830424</v>
      </c>
      <c r="G7" s="96">
        <v>2500.6676590569405</v>
      </c>
      <c r="H7" s="96">
        <v>2516.3790035322054</v>
      </c>
      <c r="I7" s="96">
        <v>2536.7164397333786</v>
      </c>
      <c r="J7" s="96">
        <v>2560.3358131182072</v>
      </c>
      <c r="K7" s="96">
        <v>2436.3274070497464</v>
      </c>
      <c r="L7" s="96">
        <v>2375.7564412548318</v>
      </c>
      <c r="M7" s="96">
        <v>4416.2484151224444</v>
      </c>
      <c r="N7" s="96">
        <v>4427.7427066104729</v>
      </c>
      <c r="O7" s="96">
        <v>4375.8558105324746</v>
      </c>
      <c r="P7" s="96">
        <v>4171.7989067790577</v>
      </c>
      <c r="Q7" s="96">
        <v>4170.0150318115429</v>
      </c>
      <c r="R7" s="96">
        <v>4316.6243230127056</v>
      </c>
      <c r="S7" s="96">
        <v>4461.4500999777674</v>
      </c>
      <c r="T7" s="96">
        <v>4697.560306674799</v>
      </c>
      <c r="U7" s="96">
        <v>4778.885517683756</v>
      </c>
      <c r="V7" s="96">
        <v>2904.6141306672062</v>
      </c>
      <c r="W7" s="96">
        <v>3588.6861471700354</v>
      </c>
      <c r="DA7" s="171" t="s">
        <v>327</v>
      </c>
    </row>
    <row r="8" spans="1:105" ht="11.45" customHeight="1" x14ac:dyDescent="0.25">
      <c r="A8" s="83" t="s">
        <v>173</v>
      </c>
      <c r="B8" s="96">
        <v>3596.5189757989847</v>
      </c>
      <c r="C8" s="96">
        <v>3559.4420972486096</v>
      </c>
      <c r="D8" s="96">
        <v>3572.8335517121332</v>
      </c>
      <c r="E8" s="96">
        <v>3484.0732090503484</v>
      </c>
      <c r="F8" s="96">
        <v>3663.3723330408561</v>
      </c>
      <c r="G8" s="96">
        <v>3704.6641444754664</v>
      </c>
      <c r="H8" s="96">
        <v>3966.5739826782028</v>
      </c>
      <c r="I8" s="96">
        <v>4187.8386575634813</v>
      </c>
      <c r="J8" s="96">
        <v>4109.2688511860797</v>
      </c>
      <c r="K8" s="96">
        <v>3625.3186585323897</v>
      </c>
      <c r="L8" s="96">
        <v>3567.3861522486482</v>
      </c>
      <c r="M8" s="96">
        <v>3630.2469284066351</v>
      </c>
      <c r="N8" s="96">
        <v>3460.3279738376364</v>
      </c>
      <c r="O8" s="96">
        <v>3420.170218369658</v>
      </c>
      <c r="P8" s="96">
        <v>3435.9903007781327</v>
      </c>
      <c r="Q8" s="96">
        <v>3647.6467984003484</v>
      </c>
      <c r="R8" s="96">
        <v>3827.4737607517159</v>
      </c>
      <c r="S8" s="96">
        <v>4001.4761323109801</v>
      </c>
      <c r="T8" s="96">
        <v>4099.5494492927983</v>
      </c>
      <c r="U8" s="96">
        <v>4177.1490291367982</v>
      </c>
      <c r="V8" s="96">
        <v>1266.192429261544</v>
      </c>
      <c r="W8" s="96">
        <v>1463.466914661188</v>
      </c>
      <c r="DA8" s="171" t="s">
        <v>328</v>
      </c>
    </row>
    <row r="9" spans="1:105" ht="11.45" customHeight="1" x14ac:dyDescent="0.25">
      <c r="A9" s="83" t="s">
        <v>174</v>
      </c>
      <c r="B9" s="96">
        <v>10941.61382007923</v>
      </c>
      <c r="C9" s="96">
        <v>10828.749489721406</v>
      </c>
      <c r="D9" s="96">
        <v>10869.500637894704</v>
      </c>
      <c r="E9" s="96">
        <v>10462.858280200815</v>
      </c>
      <c r="F9" s="96">
        <v>11204.045691385023</v>
      </c>
      <c r="G9" s="96">
        <v>11325.56906312357</v>
      </c>
      <c r="H9" s="96">
        <v>11764.992417844003</v>
      </c>
      <c r="I9" s="96">
        <v>12097.658952429012</v>
      </c>
      <c r="J9" s="96">
        <v>12257.041066191483</v>
      </c>
      <c r="K9" s="96">
        <v>11484.001862455592</v>
      </c>
      <c r="L9" s="96">
        <v>11651.454019169494</v>
      </c>
      <c r="M9" s="96">
        <v>11711.049699922285</v>
      </c>
      <c r="N9" s="96">
        <v>11410.192445068946</v>
      </c>
      <c r="O9" s="96">
        <v>11359.600864849757</v>
      </c>
      <c r="P9" s="96">
        <v>11274.452896435256</v>
      </c>
      <c r="Q9" s="96">
        <v>11922.772798131935</v>
      </c>
      <c r="R9" s="96">
        <v>11694.870767297571</v>
      </c>
      <c r="S9" s="96">
        <v>11754.371317561589</v>
      </c>
      <c r="T9" s="96">
        <v>12301.999678022685</v>
      </c>
      <c r="U9" s="96">
        <v>13193.699373409036</v>
      </c>
      <c r="V9" s="96">
        <v>5214.9641730070425</v>
      </c>
      <c r="W9" s="96">
        <v>5230.2050842211665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1355.0188003011758</v>
      </c>
      <c r="C10" s="22">
        <f t="shared" si="29"/>
        <v>1360.1407851232329</v>
      </c>
      <c r="D10" s="22">
        <f t="shared" ref="D10:V10" si="30">SUM(D11:D13)</f>
        <v>1324.6889102657938</v>
      </c>
      <c r="E10" s="22">
        <f t="shared" si="30"/>
        <v>1313.6571573614435</v>
      </c>
      <c r="F10" s="22">
        <f t="shared" si="30"/>
        <v>1442.505152391077</v>
      </c>
      <c r="G10" s="22">
        <f t="shared" si="30"/>
        <v>1472.6392593040214</v>
      </c>
      <c r="H10" s="22">
        <f t="shared" si="30"/>
        <v>1513.0263072655891</v>
      </c>
      <c r="I10" s="22">
        <f t="shared" si="30"/>
        <v>1566.3434551541268</v>
      </c>
      <c r="J10" s="22">
        <f t="shared" si="30"/>
        <v>1570.1392357042309</v>
      </c>
      <c r="K10" s="22">
        <f t="shared" si="30"/>
        <v>1229.0823175622704</v>
      </c>
      <c r="L10" s="22">
        <f t="shared" si="30"/>
        <v>1415.1383241670244</v>
      </c>
      <c r="M10" s="22">
        <f t="shared" si="30"/>
        <v>1551.637517348639</v>
      </c>
      <c r="N10" s="22">
        <f t="shared" si="30"/>
        <v>1549.275938362948</v>
      </c>
      <c r="O10" s="22">
        <f t="shared" si="30"/>
        <v>1441.4774814481127</v>
      </c>
      <c r="P10" s="22">
        <f t="shared" si="30"/>
        <v>1660.9272353675567</v>
      </c>
      <c r="Q10" s="22">
        <f t="shared" si="30"/>
        <v>1759.5567085361786</v>
      </c>
      <c r="R10" s="22">
        <f t="shared" si="30"/>
        <v>1511.4173524180148</v>
      </c>
      <c r="S10" s="22">
        <f t="shared" si="30"/>
        <v>1543.4494481896681</v>
      </c>
      <c r="T10" s="22">
        <f t="shared" si="30"/>
        <v>1495.4093047297174</v>
      </c>
      <c r="U10" s="22">
        <f t="shared" si="30"/>
        <v>1419.8596915304061</v>
      </c>
      <c r="V10" s="22">
        <f t="shared" si="30"/>
        <v>1632.6966807842066</v>
      </c>
      <c r="W10" s="22">
        <f t="shared" ref="W10" si="31">SUM(W11:W13)</f>
        <v>1528.0483808676156</v>
      </c>
      <c r="DA10" s="193" t="s">
        <v>330</v>
      </c>
    </row>
    <row r="11" spans="1:105" ht="11.45" customHeight="1" x14ac:dyDescent="0.25">
      <c r="A11" s="92" t="s">
        <v>27</v>
      </c>
      <c r="B11" s="97">
        <v>191.39951617938436</v>
      </c>
      <c r="C11" s="97">
        <v>220.97374209324596</v>
      </c>
      <c r="D11" s="97">
        <v>176.24866987263329</v>
      </c>
      <c r="E11" s="97">
        <v>142.87874233260439</v>
      </c>
      <c r="F11" s="97">
        <v>147.26739197695753</v>
      </c>
      <c r="G11" s="97">
        <v>145.44864146305943</v>
      </c>
      <c r="H11" s="97">
        <v>123.55438590779528</v>
      </c>
      <c r="I11" s="97">
        <v>103.21694970662215</v>
      </c>
      <c r="J11" s="97">
        <v>82.712184361793206</v>
      </c>
      <c r="K11" s="97">
        <v>73.725785390254018</v>
      </c>
      <c r="L11" s="97">
        <v>53.962623745168123</v>
      </c>
      <c r="M11" s="97">
        <v>98.160278877556038</v>
      </c>
      <c r="N11" s="97">
        <v>101.1685063895283</v>
      </c>
      <c r="O11" s="97">
        <v>93.759299907526298</v>
      </c>
      <c r="P11" s="97">
        <v>109.69514690094158</v>
      </c>
      <c r="Q11" s="97">
        <v>105.75115834845687</v>
      </c>
      <c r="R11" s="97">
        <v>93.010795387295701</v>
      </c>
      <c r="S11" s="97">
        <v>97.028113182232687</v>
      </c>
      <c r="T11" s="97">
        <v>97.227652805201302</v>
      </c>
      <c r="U11" s="97">
        <v>94.268584596242761</v>
      </c>
      <c r="V11" s="97">
        <v>94.310110372794171</v>
      </c>
      <c r="W11" s="97">
        <v>104.71281694996713</v>
      </c>
      <c r="DA11" s="175" t="s">
        <v>331</v>
      </c>
    </row>
    <row r="12" spans="1:105" ht="11.45" customHeight="1" x14ac:dyDescent="0.25">
      <c r="A12" s="92" t="s">
        <v>173</v>
      </c>
      <c r="B12" s="97">
        <v>73.564826963342298</v>
      </c>
      <c r="C12" s="97">
        <v>84.004257538913848</v>
      </c>
      <c r="D12" s="97">
        <v>75.624877823956467</v>
      </c>
      <c r="E12" s="97">
        <v>71.308899698434317</v>
      </c>
      <c r="F12" s="97">
        <v>80.090934124125226</v>
      </c>
      <c r="G12" s="97">
        <v>76.830244349236025</v>
      </c>
      <c r="H12" s="97">
        <v>101.33799571014595</v>
      </c>
      <c r="I12" s="97">
        <v>122.85013706460596</v>
      </c>
      <c r="J12" s="97">
        <v>119.51836572783921</v>
      </c>
      <c r="K12" s="97">
        <v>105.12639808901217</v>
      </c>
      <c r="L12" s="97">
        <v>117.13947548482157</v>
      </c>
      <c r="M12" s="97">
        <v>136.85119274114271</v>
      </c>
      <c r="N12" s="97">
        <v>128.48035817770688</v>
      </c>
      <c r="O12" s="97">
        <v>138.97043995867978</v>
      </c>
      <c r="P12" s="97">
        <v>168.85571431661194</v>
      </c>
      <c r="Q12" s="97">
        <v>171.55269576304354</v>
      </c>
      <c r="R12" s="97">
        <v>150.65457927392123</v>
      </c>
      <c r="S12" s="97">
        <v>163.82481768888599</v>
      </c>
      <c r="T12" s="97">
        <v>142.15686253197609</v>
      </c>
      <c r="U12" s="97">
        <v>144.32347055329268</v>
      </c>
      <c r="V12" s="97">
        <v>137.68510107229972</v>
      </c>
      <c r="W12" s="97">
        <v>140.55806890331351</v>
      </c>
      <c r="DA12" s="175" t="s">
        <v>332</v>
      </c>
    </row>
    <row r="13" spans="1:105" ht="11.45" customHeight="1" x14ac:dyDescent="0.25">
      <c r="A13" s="85" t="s">
        <v>174</v>
      </c>
      <c r="B13" s="98">
        <v>1090.0544571584492</v>
      </c>
      <c r="C13" s="98">
        <v>1055.162785491073</v>
      </c>
      <c r="D13" s="98">
        <v>1072.8153625692041</v>
      </c>
      <c r="E13" s="98">
        <v>1099.4695153304049</v>
      </c>
      <c r="F13" s="98">
        <v>1215.1468262899941</v>
      </c>
      <c r="G13" s="98">
        <v>1250.3603734917258</v>
      </c>
      <c r="H13" s="98">
        <v>1288.1339256476479</v>
      </c>
      <c r="I13" s="98">
        <v>1340.2763683828987</v>
      </c>
      <c r="J13" s="98">
        <v>1367.9086856145987</v>
      </c>
      <c r="K13" s="98">
        <v>1050.2301340830043</v>
      </c>
      <c r="L13" s="98">
        <v>1244.0362249370346</v>
      </c>
      <c r="M13" s="98">
        <v>1316.6260457299402</v>
      </c>
      <c r="N13" s="98">
        <v>1319.6270737957127</v>
      </c>
      <c r="O13" s="98">
        <v>1208.7477415819067</v>
      </c>
      <c r="P13" s="98">
        <v>1382.3763741500031</v>
      </c>
      <c r="Q13" s="98">
        <v>1482.2528544246782</v>
      </c>
      <c r="R13" s="98">
        <v>1267.7519777567979</v>
      </c>
      <c r="S13" s="98">
        <v>1282.5965173185496</v>
      </c>
      <c r="T13" s="98">
        <v>1256.02478939254</v>
      </c>
      <c r="U13" s="98">
        <v>1181.2676363808705</v>
      </c>
      <c r="V13" s="98">
        <v>1400.7014693391127</v>
      </c>
      <c r="W13" s="98">
        <v>1282.777495014335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3.0082359346572454</v>
      </c>
      <c r="C18" s="97">
        <f>IF(C4=0,0,C4/TrAvia_ene!C4)</f>
        <v>3.0083546713448226</v>
      </c>
      <c r="D18" s="97">
        <f>IF(D4=0,0,D4/TrAvia_ene!D4)</f>
        <v>3.0082970089270926</v>
      </c>
      <c r="E18" s="97">
        <f>IF(E4=0,0,E4/TrAvia_ene!E4)</f>
        <v>3.0084192657337074</v>
      </c>
      <c r="F18" s="97">
        <f>IF(F4=0,0,F4/TrAvia_ene!F4)</f>
        <v>3.0083295281627667</v>
      </c>
      <c r="G18" s="97">
        <f>IF(G4=0,0,G4/TrAvia_ene!G4)</f>
        <v>3.0082183644446001</v>
      </c>
      <c r="H18" s="97">
        <f>IF(H4=0,0,H4/TrAvia_ene!H4)</f>
        <v>3.008213470968693</v>
      </c>
      <c r="I18" s="97">
        <f>IF(I4=0,0,I4/TrAvia_ene!I4)</f>
        <v>3.008213470968693</v>
      </c>
      <c r="J18" s="97">
        <f>IF(J4=0,0,J4/TrAvia_ene!J4)</f>
        <v>3.0084061157588891</v>
      </c>
      <c r="K18" s="97">
        <f>IF(K4=0,0,K4/TrAvia_ene!K4)</f>
        <v>3.0078048000211433</v>
      </c>
      <c r="L18" s="97">
        <f>IF(L4=0,0,L4/TrAvia_ene!L4)</f>
        <v>3.0081357114943401</v>
      </c>
      <c r="M18" s="97">
        <f>IF(M4=0,0,M4/TrAvia_ene!M4)</f>
        <v>3.008860523066772</v>
      </c>
      <c r="N18" s="97">
        <f>IF(N4=0,0,N4/TrAvia_ene!N4)</f>
        <v>3.0090872303548131</v>
      </c>
      <c r="O18" s="97">
        <f>IF(O4=0,0,O4/TrAvia_ene!O4)</f>
        <v>3.0090710257750439</v>
      </c>
      <c r="P18" s="97">
        <f>IF(P4=0,0,P4/TrAvia_ene!P4)</f>
        <v>3.0092515741349213</v>
      </c>
      <c r="Q18" s="97">
        <f>IF(Q4=0,0,Q4/TrAvia_ene!Q4)</f>
        <v>3.0091913437306208</v>
      </c>
      <c r="R18" s="97">
        <f>IF(R4=0,0,R4/TrAvia_ene!R4)</f>
        <v>3.0093393295696496</v>
      </c>
      <c r="S18" s="97">
        <f>IF(S4=0,0,S4/TrAvia_ene!S4)</f>
        <v>3.0093709878375901</v>
      </c>
      <c r="T18" s="97">
        <f>IF(T4=0,0,T4/TrAvia_ene!T4)</f>
        <v>3.0094332651045343</v>
      </c>
      <c r="U18" s="97">
        <f>IF(U4=0,0,U4/TrAvia_ene!U4)</f>
        <v>3.0094539010699308</v>
      </c>
      <c r="V18" s="97">
        <f>IF(V4=0,0,V4/TrAvia_ene!V4)</f>
        <v>3.0090613885208475</v>
      </c>
      <c r="W18" s="97">
        <f>IF(W4=0,0,W4/TrAvia_ene!W4)</f>
        <v>3.0089890177963725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3.0103092000000018</v>
      </c>
      <c r="D19" s="98">
        <f>IF(D5=0,0,D5/TrAvia_ene!D5)</f>
        <v>3.0103092000000009</v>
      </c>
      <c r="E19" s="98">
        <f>IF(E5=0,0,E5/TrAvia_ene!E5)</f>
        <v>3.0103092000000014</v>
      </c>
      <c r="F19" s="98">
        <f>IF(F5=0,0,F5/TrAvia_ene!F5)</f>
        <v>3.0103091999999991</v>
      </c>
      <c r="G19" s="98">
        <f>IF(G5=0,0,G5/TrAvia_ene!G5)</f>
        <v>3.0103091999999991</v>
      </c>
      <c r="H19" s="98">
        <f>IF(H5=0,0,H5/TrAvia_ene!H5)</f>
        <v>3.0103092</v>
      </c>
      <c r="I19" s="98">
        <f>IF(I5=0,0,I5/TrAvia_ene!I5)</f>
        <v>3.0103092000000005</v>
      </c>
      <c r="J19" s="98">
        <f>IF(J5=0,0,J5/TrAvia_ene!J5)</f>
        <v>3.0103091999999991</v>
      </c>
      <c r="K19" s="98">
        <f>IF(K5=0,0,K5/TrAvia_ene!K5)</f>
        <v>3.0103091999999991</v>
      </c>
      <c r="L19" s="98">
        <f>IF(L5=0,0,L5/TrAvia_ene!L5)</f>
        <v>3.0103091999999996</v>
      </c>
      <c r="M19" s="98">
        <f>IF(M5=0,0,M5/TrAvia_ene!M5)</f>
        <v>3.0103092000000018</v>
      </c>
      <c r="N19" s="98">
        <f>IF(N5=0,0,N5/TrAvia_ene!N5)</f>
        <v>3.0103092000000005</v>
      </c>
      <c r="O19" s="98">
        <f>IF(O5=0,0,O5/TrAvia_ene!O5)</f>
        <v>3.0103092000000005</v>
      </c>
      <c r="P19" s="98">
        <f>IF(P5=0,0,P5/TrAvia_ene!P5)</f>
        <v>3.0103092000000014</v>
      </c>
      <c r="Q19" s="98">
        <f>IF(Q5=0,0,Q5/TrAvia_ene!Q5)</f>
        <v>3.0103092000000014</v>
      </c>
      <c r="R19" s="98">
        <f>IF(R5=0,0,R5/TrAvia_ene!R5)</f>
        <v>3.0103092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3.0103092</v>
      </c>
      <c r="V19" s="98">
        <f>IF(V5=0,0,V5/TrAvia_ene!V5)</f>
        <v>3.0103091999999996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14659.063894295938</v>
      </c>
      <c r="C21" s="54">
        <f>IF(C3=0,0,C3/TrAvia_act!C13*1000)</f>
        <v>14588.534118506719</v>
      </c>
      <c r="D21" s="54">
        <f>IF(D3=0,0,D3/TrAvia_act!D13*1000)</f>
        <v>14312.487781577631</v>
      </c>
      <c r="E21" s="54">
        <f>IF(E3=0,0,E3/TrAvia_act!E13*1000)</f>
        <v>13926.674908435671</v>
      </c>
      <c r="F21" s="54">
        <f>IF(F3=0,0,F3/TrAvia_act!F13*1000)</f>
        <v>14553.391210300953</v>
      </c>
      <c r="G21" s="54">
        <f>IF(G3=0,0,G3/TrAvia_act!G13*1000)</f>
        <v>14327.890342179249</v>
      </c>
      <c r="H21" s="54">
        <f>IF(H3=0,0,H3/TrAvia_act!H13*1000)</f>
        <v>14411.664759047539</v>
      </c>
      <c r="I21" s="54">
        <f>IF(I3=0,0,I3/TrAvia_act!I13*1000)</f>
        <v>14252.231983451757</v>
      </c>
      <c r="J21" s="54">
        <f>IF(J3=0,0,J3/TrAvia_act!J13*1000)</f>
        <v>14355.487180376347</v>
      </c>
      <c r="K21" s="54">
        <f>IF(K3=0,0,K3/TrAvia_act!K13*1000)</f>
        <v>14279.509527102</v>
      </c>
      <c r="L21" s="54">
        <f>IF(L3=0,0,L3/TrAvia_act!L13*1000)</f>
        <v>15950.003215947154</v>
      </c>
      <c r="M21" s="54">
        <f>IF(M3=0,0,M3/TrAvia_act!M13*1000)</f>
        <v>16738.672802970817</v>
      </c>
      <c r="N21" s="54">
        <f>IF(N3=0,0,N3/TrAvia_act!N13*1000)</f>
        <v>17352.339724878679</v>
      </c>
      <c r="O21" s="54">
        <f>IF(O3=0,0,O3/TrAvia_act!O13*1000)</f>
        <v>17294.944118987212</v>
      </c>
      <c r="P21" s="54">
        <f>IF(P3=0,0,P3/TrAvia_act!P13*1000)</f>
        <v>16545.057749531945</v>
      </c>
      <c r="Q21" s="54">
        <f>IF(Q3=0,0,Q3/TrAvia_act!Q13*1000)</f>
        <v>17288.343515156153</v>
      </c>
      <c r="R21" s="54">
        <f>IF(R3=0,0,R3/TrAvia_act!R13*1000)</f>
        <v>17118.158121181314</v>
      </c>
      <c r="S21" s="54">
        <f>IF(S3=0,0,S3/TrAvia_act!S13*1000)</f>
        <v>17071.071618320126</v>
      </c>
      <c r="T21" s="54">
        <f>IF(T3=0,0,T3/TrAvia_act!T13*1000)</f>
        <v>17177.973589094541</v>
      </c>
      <c r="U21" s="54">
        <f>IF(U3=0,0,U3/TrAvia_act!U13*1000)</f>
        <v>17422.485609024588</v>
      </c>
      <c r="V21" s="54">
        <f>IF(V3=0,0,V3/TrAvia_act!V13*1000)</f>
        <v>18618.462928587178</v>
      </c>
      <c r="W21" s="54">
        <f>IF(W3=0,0,W3/TrAvia_act!W13*1000)</f>
        <v>16017.608002181312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14533.655998082075</v>
      </c>
      <c r="C22" s="11">
        <f>IF(C6=0,0,C6/TrAvia_act!C14*1000)</f>
        <v>14472.788441869237</v>
      </c>
      <c r="D22" s="11">
        <f>IF(D6=0,0,D6/TrAvia_act!D14*1000)</f>
        <v>14186.145404428184</v>
      </c>
      <c r="E22" s="11">
        <f>IF(E6=0,0,E6/TrAvia_act!E14*1000)</f>
        <v>13786.772583061709</v>
      </c>
      <c r="F22" s="11">
        <f>IF(F6=0,0,F6/TrAvia_act!F14*1000)</f>
        <v>14407.164501040153</v>
      </c>
      <c r="G22" s="11">
        <f>IF(G6=0,0,G6/TrAvia_act!G14*1000)</f>
        <v>14199.498773534995</v>
      </c>
      <c r="H22" s="11">
        <f>IF(H6=0,0,H6/TrAvia_act!H14*1000)</f>
        <v>14291.787446347531</v>
      </c>
      <c r="I22" s="11">
        <f>IF(I6=0,0,I6/TrAvia_act!I14*1000)</f>
        <v>14142.018804416162</v>
      </c>
      <c r="J22" s="11">
        <f>IF(J6=0,0,J6/TrAvia_act!J14*1000)</f>
        <v>14224.331832922697</v>
      </c>
      <c r="K22" s="11">
        <f>IF(K6=0,0,K6/TrAvia_act!K14*1000)</f>
        <v>14172.923470117701</v>
      </c>
      <c r="L22" s="11">
        <f>IF(L6=0,0,L6/TrAvia_act!L14*1000)</f>
        <v>15785.23846154077</v>
      </c>
      <c r="M22" s="11">
        <f>IF(M6=0,0,M6/TrAvia_act!M14*1000)</f>
        <v>16711.784088997127</v>
      </c>
      <c r="N22" s="11">
        <f>IF(N6=0,0,N6/TrAvia_act!N14*1000)</f>
        <v>17239.47081420213</v>
      </c>
      <c r="O22" s="11">
        <f>IF(O6=0,0,O6/TrAvia_act!O14*1000)</f>
        <v>17210.436511140444</v>
      </c>
      <c r="P22" s="11">
        <f>IF(P6=0,0,P6/TrAvia_act!P14*1000)</f>
        <v>16501.703252714666</v>
      </c>
      <c r="Q22" s="11">
        <f>IF(Q6=0,0,Q6/TrAvia_act!Q14*1000)</f>
        <v>17200.28397169145</v>
      </c>
      <c r="R22" s="11">
        <f>IF(R6=0,0,R6/TrAvia_act!R14*1000)</f>
        <v>17035.382814988949</v>
      </c>
      <c r="S22" s="11">
        <f>IF(S6=0,0,S6/TrAvia_act!S14*1000)</f>
        <v>16986.82140291866</v>
      </c>
      <c r="T22" s="11">
        <f>IF(T6=0,0,T6/TrAvia_act!T14*1000)</f>
        <v>17116.42499697602</v>
      </c>
      <c r="U22" s="11">
        <f>IF(U6=0,0,U6/TrAvia_act!U14*1000)</f>
        <v>17372.549321412473</v>
      </c>
      <c r="V22" s="11">
        <f>IF(V6=0,0,V6/TrAvia_act!V14*1000)</f>
        <v>18661.87398071877</v>
      </c>
      <c r="W22" s="11">
        <f>IF(W6=0,0,W6/TrAvia_act!W14*1000)</f>
        <v>16086.705040246521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10028.625619797906</v>
      </c>
      <c r="C23" s="84">
        <f>IF(C7=0,0,C7/TrAvia_act!C15*1000)</f>
        <v>9934.2288199128579</v>
      </c>
      <c r="D23" s="84">
        <f>IF(D7=0,0,D7/TrAvia_act!D15*1000)</f>
        <v>9026.2860366210843</v>
      </c>
      <c r="E23" s="84">
        <f>IF(E7=0,0,E7/TrAvia_act!E15*1000)</f>
        <v>8685.0725981925571</v>
      </c>
      <c r="F23" s="84">
        <f>IF(F7=0,0,F7/TrAvia_act!F15*1000)</f>
        <v>8907.2874471355408</v>
      </c>
      <c r="G23" s="84">
        <f>IF(G7=0,0,G7/TrAvia_act!G15*1000)</f>
        <v>8952.5223253561562</v>
      </c>
      <c r="H23" s="84">
        <f>IF(H7=0,0,H7/TrAvia_act!H15*1000)</f>
        <v>8813.0637491836969</v>
      </c>
      <c r="I23" s="84">
        <f>IF(I7=0,0,I7/TrAvia_act!I15*1000)</f>
        <v>8778.6141777491721</v>
      </c>
      <c r="J23" s="84">
        <f>IF(J7=0,0,J7/TrAvia_act!J15*1000)</f>
        <v>8872.6316132711218</v>
      </c>
      <c r="K23" s="84">
        <f>IF(K7=0,0,K7/TrAvia_act!K15*1000)</f>
        <v>8571.5050548977688</v>
      </c>
      <c r="L23" s="84">
        <f>IF(L7=0,0,L7/TrAvia_act!L15*1000)</f>
        <v>9394.658413670817</v>
      </c>
      <c r="M23" s="84">
        <f>IF(M7=0,0,M7/TrAvia_act!M15*1000)</f>
        <v>16525.391859090792</v>
      </c>
      <c r="N23" s="84">
        <f>IF(N7=0,0,N7/TrAvia_act!N15*1000)</f>
        <v>16826.175695554852</v>
      </c>
      <c r="O23" s="84">
        <f>IF(O7=0,0,O7/TrAvia_act!O15*1000)</f>
        <v>16612.769005656992</v>
      </c>
      <c r="P23" s="84">
        <f>IF(P7=0,0,P7/TrAvia_act!P15*1000)</f>
        <v>16332.315088774272</v>
      </c>
      <c r="Q23" s="84">
        <f>IF(Q7=0,0,Q7/TrAvia_act!Q15*1000)</f>
        <v>16397.950022302426</v>
      </c>
      <c r="R23" s="84">
        <f>IF(R7=0,0,R7/TrAvia_act!R15*1000)</f>
        <v>16769.494552513992</v>
      </c>
      <c r="S23" s="84">
        <f>IF(S7=0,0,S7/TrAvia_act!S15*1000)</f>
        <v>16721.812024044411</v>
      </c>
      <c r="T23" s="84">
        <f>IF(T7=0,0,T7/TrAvia_act!T15*1000)</f>
        <v>17119.277789286898</v>
      </c>
      <c r="U23" s="84">
        <f>IF(U7=0,0,U7/TrAvia_act!U15*1000)</f>
        <v>17094.497660021847</v>
      </c>
      <c r="V23" s="84">
        <f>IF(V7=0,0,V7/TrAvia_act!V15*1000)</f>
        <v>18768.688023023726</v>
      </c>
      <c r="W23" s="84">
        <f>IF(W7=0,0,W7/TrAvia_act!W15*1000)</f>
        <v>18207.409340457438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12457.65638996849</v>
      </c>
      <c r="C24" s="84">
        <f>IF(C8=0,0,C8/TrAvia_act!C16*1000)</f>
        <v>12455.194305277222</v>
      </c>
      <c r="D24" s="84">
        <f>IF(D8=0,0,D8/TrAvia_act!D16*1000)</f>
        <v>12438.797668454885</v>
      </c>
      <c r="E24" s="84">
        <f>IF(E8=0,0,E8/TrAvia_act!E16*1000)</f>
        <v>12087.686834161261</v>
      </c>
      <c r="F24" s="84">
        <f>IF(F8=0,0,F8/TrAvia_act!F16*1000)</f>
        <v>12516.362379400292</v>
      </c>
      <c r="G24" s="84">
        <f>IF(G8=0,0,G8/TrAvia_act!G16*1000)</f>
        <v>12617.045187648899</v>
      </c>
      <c r="H24" s="84">
        <f>IF(H8=0,0,H8/TrAvia_act!H16*1000)</f>
        <v>12728.563591421174</v>
      </c>
      <c r="I24" s="84">
        <f>IF(I8=0,0,I8/TrAvia_act!I16*1000)</f>
        <v>12716.827667366222</v>
      </c>
      <c r="J24" s="84">
        <f>IF(J8=0,0,J8/TrAvia_act!J16*1000)</f>
        <v>12289.097709916319</v>
      </c>
      <c r="K24" s="84">
        <f>IF(K8=0,0,K8/TrAvia_act!K16*1000)</f>
        <v>11920.105914974634</v>
      </c>
      <c r="L24" s="84">
        <f>IF(L8=0,0,L8/TrAvia_act!L16*1000)</f>
        <v>13055.494483125736</v>
      </c>
      <c r="M24" s="84">
        <f>IF(M8=0,0,M8/TrAvia_act!M16*1000)</f>
        <v>12529.487673050993</v>
      </c>
      <c r="N24" s="84">
        <f>IF(N8=0,0,N8/TrAvia_act!N16*1000)</f>
        <v>12118.736958536911</v>
      </c>
      <c r="O24" s="84">
        <f>IF(O8=0,0,O8/TrAvia_act!O16*1000)</f>
        <v>12469.418458133798</v>
      </c>
      <c r="P24" s="84">
        <f>IF(P8=0,0,P8/TrAvia_act!P16*1000)</f>
        <v>12229.319644740392</v>
      </c>
      <c r="Q24" s="84">
        <f>IF(Q8=0,0,Q8/TrAvia_act!Q16*1000)</f>
        <v>12551.242640701732</v>
      </c>
      <c r="R24" s="84">
        <f>IF(R8=0,0,R8/TrAvia_act!R16*1000)</f>
        <v>12543.492817624721</v>
      </c>
      <c r="S24" s="84">
        <f>IF(S8=0,0,S8/TrAvia_act!S16*1000)</f>
        <v>12852.720108332698</v>
      </c>
      <c r="T24" s="84">
        <f>IF(T8=0,0,T8/TrAvia_act!T16*1000)</f>
        <v>12888.530998338174</v>
      </c>
      <c r="U24" s="84">
        <f>IF(U8=0,0,U8/TrAvia_act!U16*1000)</f>
        <v>12769.009274735612</v>
      </c>
      <c r="V24" s="84">
        <f>IF(V8=0,0,V8/TrAvia_act!V16*1000)</f>
        <v>11416.592504750084</v>
      </c>
      <c r="W24" s="84">
        <f>IF(W8=0,0,W8/TrAvia_act!W16*1000)</f>
        <v>9603.1806120566434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17665.44702735381</v>
      </c>
      <c r="C25" s="84">
        <f>IF(C9=0,0,C9/TrAvia_act!C17*1000)</f>
        <v>17661.955403390282</v>
      </c>
      <c r="D25" s="84">
        <f>IF(D9=0,0,D9/TrAvia_act!D17*1000)</f>
        <v>17638.705372483579</v>
      </c>
      <c r="E25" s="84">
        <f>IF(E9=0,0,E9/TrAvia_act!E17*1000)</f>
        <v>17140.830577790126</v>
      </c>
      <c r="F25" s="84">
        <f>IF(F9=0,0,F9/TrAvia_act!F17*1000)</f>
        <v>17749.360988029472</v>
      </c>
      <c r="G25" s="84">
        <f>IF(G9=0,0,G9/TrAvia_act!G17*1000)</f>
        <v>17116.776739535515</v>
      </c>
      <c r="H25" s="84">
        <f>IF(H9=0,0,H9/TrAvia_act!H17*1000)</f>
        <v>17310.182945685036</v>
      </c>
      <c r="I25" s="84">
        <f>IF(I9=0,0,I9/TrAvia_act!I17*1000)</f>
        <v>16975.303510348083</v>
      </c>
      <c r="J25" s="84">
        <f>IF(J9=0,0,J9/TrAvia_act!J17*1000)</f>
        <v>17321.169413567157</v>
      </c>
      <c r="K25" s="84">
        <f>IF(K9=0,0,K9/TrAvia_act!K17*1000)</f>
        <v>17678.597793864454</v>
      </c>
      <c r="L25" s="84">
        <f>IF(L9=0,0,L9/TrAvia_act!L17*1000)</f>
        <v>19798.838276887553</v>
      </c>
      <c r="M25" s="84">
        <f>IF(M9=0,0,M9/TrAvia_act!M17*1000)</f>
        <v>18729.412609865409</v>
      </c>
      <c r="N25" s="84">
        <f>IF(N9=0,0,N9/TrAvia_act!N17*1000)</f>
        <v>19991.867595918102</v>
      </c>
      <c r="O25" s="84">
        <f>IF(O9=0,0,O9/TrAvia_act!O17*1000)</f>
        <v>19744.287814137806</v>
      </c>
      <c r="P25" s="84">
        <f>IF(P9=0,0,P9/TrAvia_act!P17*1000)</f>
        <v>18547.636049254568</v>
      </c>
      <c r="Q25" s="84">
        <f>IF(Q9=0,0,Q9/TrAvia_act!Q17*1000)</f>
        <v>19780.319247559597</v>
      </c>
      <c r="R25" s="84">
        <f>IF(R9=0,0,R9/TrAvia_act!R17*1000)</f>
        <v>19425.767575428181</v>
      </c>
      <c r="S25" s="84">
        <f>IF(S9=0,0,S9/TrAvia_act!S17*1000)</f>
        <v>19205.290558814821</v>
      </c>
      <c r="T25" s="84">
        <f>IF(T9=0,0,T9/TrAvia_act!T17*1000)</f>
        <v>19215.7818626281</v>
      </c>
      <c r="U25" s="84">
        <f>IF(U9=0,0,U9/TrAvia_act!U17*1000)</f>
        <v>19742.301393363825</v>
      </c>
      <c r="V25" s="84">
        <f>IF(V9=0,0,V9/TrAvia_act!V17*1000)</f>
        <v>21978.872927670818</v>
      </c>
      <c r="W25" s="84">
        <f>IF(W9=0,0,W9/TrAvia_act!W17*1000)</f>
        <v>18054.53258449128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16500.166210585172</v>
      </c>
      <c r="C26" s="13">
        <f>IF(C10=0,0,C10/TrAvia_act!C18*1000)</f>
        <v>16251.83405394156</v>
      </c>
      <c r="D26" s="13">
        <f>IF(D10=0,0,D10/TrAvia_act!D18*1000)</f>
        <v>16194.572106929467</v>
      </c>
      <c r="E26" s="13">
        <f>IF(E10=0,0,E10/TrAvia_act!E18*1000)</f>
        <v>15974.962584951285</v>
      </c>
      <c r="F26" s="13">
        <f>IF(F10=0,0,F10/TrAvia_act!F18*1000)</f>
        <v>16582.09071877319</v>
      </c>
      <c r="G26" s="13">
        <f>IF(G10=0,0,G10/TrAvia_act!G18*1000)</f>
        <v>16056.166831945233</v>
      </c>
      <c r="H26" s="13">
        <f>IF(H10=0,0,H10/TrAvia_act!H18*1000)</f>
        <v>16033.664313905841</v>
      </c>
      <c r="I26" s="13">
        <f>IF(I10=0,0,I10/TrAvia_act!I18*1000)</f>
        <v>15724.858351435705</v>
      </c>
      <c r="J26" s="13">
        <f>IF(J10=0,0,J10/TrAvia_act!J18*1000)</f>
        <v>16150.537346883393</v>
      </c>
      <c r="K26" s="13">
        <f>IF(K10=0,0,K10/TrAvia_act!K18*1000)</f>
        <v>15996.883054089705</v>
      </c>
      <c r="L26" s="13">
        <f>IF(L10=0,0,L10/TrAvia_act!L18*1000)</f>
        <v>18328.612940833013</v>
      </c>
      <c r="M26" s="13">
        <f>IF(M10=0,0,M10/TrAvia_act!M18*1000)</f>
        <v>17088.779954199239</v>
      </c>
      <c r="N26" s="13">
        <f>IF(N10=0,0,N10/TrAvia_act!N18*1000)</f>
        <v>18893.130907327384</v>
      </c>
      <c r="O26" s="13">
        <f>IF(O10=0,0,O10/TrAvia_act!O18*1000)</f>
        <v>18502.248984476821</v>
      </c>
      <c r="P26" s="13">
        <f>IF(P10=0,0,P10/TrAvia_act!P18*1000)</f>
        <v>17054.44240339199</v>
      </c>
      <c r="Q26" s="13">
        <f>IF(Q10=0,0,Q10/TrAvia_act!Q18*1000)</f>
        <v>18341.850460403984</v>
      </c>
      <c r="R26" s="13">
        <f>IF(R10=0,0,R10/TrAvia_act!R18*1000)</f>
        <v>18284.330219227708</v>
      </c>
      <c r="S26" s="13">
        <f>IF(S10=0,0,S10/TrAvia_act!S18*1000)</f>
        <v>18257.176830136697</v>
      </c>
      <c r="T26" s="13">
        <f>IF(T10=0,0,T10/TrAvia_act!T18*1000)</f>
        <v>18096.08132612265</v>
      </c>
      <c r="U26" s="13">
        <f>IF(U10=0,0,U10/TrAvia_act!U18*1000)</f>
        <v>18240.404517338073</v>
      </c>
      <c r="V26" s="13">
        <f>IF(V10=0,0,V10/TrAvia_act!V18*1000)</f>
        <v>18372.774760673437</v>
      </c>
      <c r="W26" s="13">
        <f>IF(W10=0,0,W10/TrAvia_act!W18*1000)</f>
        <v>15567.650973498794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11691.273995213183</v>
      </c>
      <c r="C27" s="102">
        <f>IF(C11=0,0,C11/TrAvia_act!C19*1000)</f>
        <v>11581.227126024178</v>
      </c>
      <c r="D27" s="102">
        <f>IF(D11=0,0,D11/TrAvia_act!D19*1000)</f>
        <v>10522.756279282718</v>
      </c>
      <c r="E27" s="102">
        <f>IF(E11=0,0,E11/TrAvia_act!E19*1000)</f>
        <v>10124.972978683534</v>
      </c>
      <c r="F27" s="102">
        <f>IF(F11=0,0,F11/TrAvia_act!F19*1000)</f>
        <v>10384.028883579274</v>
      </c>
      <c r="G27" s="102">
        <f>IF(G11=0,0,G11/TrAvia_act!G19*1000)</f>
        <v>10427.421322184926</v>
      </c>
      <c r="H27" s="102">
        <f>IF(H11=0,0,H11/TrAvia_act!H19*1000)</f>
        <v>9656.206736749682</v>
      </c>
      <c r="I27" s="102">
        <f>IF(I11=0,0,I11/TrAvia_act!I19*1000)</f>
        <v>9045.987519889828</v>
      </c>
      <c r="J27" s="102">
        <f>IF(J11=0,0,J11/TrAvia_act!J19*1000)</f>
        <v>8621.9309773035311</v>
      </c>
      <c r="K27" s="102">
        <f>IF(K11=0,0,K11/TrAvia_act!K19*1000)</f>
        <v>7700.1890624310627</v>
      </c>
      <c r="L27" s="102">
        <f>IF(L11=0,0,L11/TrAvia_act!L19*1000)</f>
        <v>7840.3273378777849</v>
      </c>
      <c r="M27" s="102">
        <f>IF(M11=0,0,M11/TrAvia_act!M19*1000)</f>
        <v>13840.308557113249</v>
      </c>
      <c r="N27" s="102">
        <f>IF(N11=0,0,N11/TrAvia_act!N19*1000)</f>
        <v>14346.650150072175</v>
      </c>
      <c r="O27" s="102">
        <f>IF(O11=0,0,O11/TrAvia_act!O19*1000)</f>
        <v>14104.707866770077</v>
      </c>
      <c r="P27" s="102">
        <f>IF(P11=0,0,P11/TrAvia_act!P19*1000)</f>
        <v>13680.420975336034</v>
      </c>
      <c r="Q27" s="102">
        <f>IF(Q11=0,0,Q11/TrAvia_act!Q19*1000)</f>
        <v>13756.71431638807</v>
      </c>
      <c r="R27" s="102">
        <f>IF(R11=0,0,R11/TrAvia_act!R19*1000)</f>
        <v>13984.768457073802</v>
      </c>
      <c r="S27" s="102">
        <f>IF(S11=0,0,S11/TrAvia_act!S19*1000)</f>
        <v>13733.327393102743</v>
      </c>
      <c r="T27" s="102">
        <f>IF(T11=0,0,T11/TrAvia_act!T19*1000)</f>
        <v>13771.371994438483</v>
      </c>
      <c r="U27" s="102">
        <f>IF(U11=0,0,U11/TrAvia_act!U19*1000)</f>
        <v>13537.249942282528</v>
      </c>
      <c r="V27" s="102">
        <f>IF(V11=0,0,V11/TrAvia_act!V19*1000)</f>
        <v>13823.943597171345</v>
      </c>
      <c r="W27" s="102">
        <f>IF(W11=0,0,W11/TrAvia_act!W19*1000)</f>
        <v>13254.825415505271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13425.235353535207</v>
      </c>
      <c r="C28" s="102">
        <f>IF(C12=0,0,C12/TrAvia_act!C20*1000)</f>
        <v>13423.330692567324</v>
      </c>
      <c r="D28" s="102">
        <f>IF(D12=0,0,D12/TrAvia_act!D20*1000)</f>
        <v>13405.107236039759</v>
      </c>
      <c r="E28" s="102">
        <f>IF(E12=0,0,E12/TrAvia_act!E20*1000)</f>
        <v>13039.276252273343</v>
      </c>
      <c r="F28" s="102">
        <f>IF(F12=0,0,F12/TrAvia_act!F20*1000)</f>
        <v>13483.428663515886</v>
      </c>
      <c r="G28" s="102">
        <f>IF(G12=0,0,G12/TrAvia_act!G20*1000)</f>
        <v>13545.018085996655</v>
      </c>
      <c r="H28" s="102">
        <f>IF(H12=0,0,H12/TrAvia_act!H20*1000)</f>
        <v>13642.05358610714</v>
      </c>
      <c r="I28" s="102">
        <f>IF(I12=0,0,I12/TrAvia_act!I20*1000)</f>
        <v>13521.095835505126</v>
      </c>
      <c r="J28" s="102">
        <f>IF(J12=0,0,J12/TrAvia_act!J20*1000)</f>
        <v>12961.759885342568</v>
      </c>
      <c r="K28" s="102">
        <f>IF(K12=0,0,K12/TrAvia_act!K20*1000)</f>
        <v>12514.588706630588</v>
      </c>
      <c r="L28" s="102">
        <f>IF(L12=0,0,L12/TrAvia_act!L20*1000)</f>
        <v>13716.626546181362</v>
      </c>
      <c r="M28" s="102">
        <f>IF(M12=0,0,M12/TrAvia_act!M20*1000)</f>
        <v>13079.896717786638</v>
      </c>
      <c r="N28" s="102">
        <f>IF(N12=0,0,N12/TrAvia_act!N20*1000)</f>
        <v>12619.20091068388</v>
      </c>
      <c r="O28" s="102">
        <f>IF(O12=0,0,O12/TrAvia_act!O20*1000)</f>
        <v>13019.69510931769</v>
      </c>
      <c r="P28" s="102">
        <f>IF(P12=0,0,P12/TrAvia_act!P20*1000)</f>
        <v>12793.558313806438</v>
      </c>
      <c r="Q28" s="102">
        <f>IF(Q12=0,0,Q12/TrAvia_act!Q20*1000)</f>
        <v>13190.520413909</v>
      </c>
      <c r="R28" s="102">
        <f>IF(R12=0,0,R12/TrAvia_act!R20*1000)</f>
        <v>13173.027019985133</v>
      </c>
      <c r="S28" s="102">
        <f>IF(S12=0,0,S12/TrAvia_act!S20*1000)</f>
        <v>13583.336543965415</v>
      </c>
      <c r="T28" s="102">
        <f>IF(T12=0,0,T12/TrAvia_act!T20*1000)</f>
        <v>13662.868489288096</v>
      </c>
      <c r="U28" s="102">
        <f>IF(U12=0,0,U12/TrAvia_act!U20*1000)</f>
        <v>13603.108422215548</v>
      </c>
      <c r="V28" s="102">
        <f>IF(V12=0,0,V12/TrAvia_act!V20*1000)</f>
        <v>12125.030324499023</v>
      </c>
      <c r="W28" s="102">
        <f>IF(W12=0,0,W12/TrAvia_act!W20*1000)</f>
        <v>9997.9598490252538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18085.949865594848</v>
      </c>
      <c r="C29" s="86">
        <f>IF(C13=0,0,C13/TrAvia_act!C21*1000)</f>
        <v>18082.375128094227</v>
      </c>
      <c r="D29" s="86">
        <f>IF(D13=0,0,D13/TrAvia_act!D21*1000)</f>
        <v>18058.571660641584</v>
      </c>
      <c r="E29" s="86">
        <f>IF(E13=0,0,E13/TrAvia_act!E21*1000)</f>
        <v>17548.845608296215</v>
      </c>
      <c r="F29" s="86">
        <f>IF(F13=0,0,F13/TrAvia_act!F21*1000)</f>
        <v>18171.861288241191</v>
      </c>
      <c r="G29" s="86">
        <f>IF(G13=0,0,G13/TrAvia_act!G21*1000)</f>
        <v>17342.727254344296</v>
      </c>
      <c r="H29" s="86">
        <f>IF(H13=0,0,H13/TrAvia_act!H21*1000)</f>
        <v>17373.897205062054</v>
      </c>
      <c r="I29" s="86">
        <f>IF(I13=0,0,I13/TrAvia_act!I21*1000)</f>
        <v>16941.221540429564</v>
      </c>
      <c r="J29" s="86">
        <f>IF(J13=0,0,J13/TrAvia_act!J21*1000)</f>
        <v>17446.717106729484</v>
      </c>
      <c r="K29" s="86">
        <f>IF(K13=0,0,K13/TrAvia_act!K21*1000)</f>
        <v>17843.528036459964</v>
      </c>
      <c r="L29" s="86">
        <f>IF(L13=0,0,L13/TrAvia_act!L21*1000)</f>
        <v>20134.408274543184</v>
      </c>
      <c r="M29" s="86">
        <f>IF(M13=0,0,M13/TrAvia_act!M21*1000)</f>
        <v>17975.999048852598</v>
      </c>
      <c r="N29" s="86">
        <f>IF(N13=0,0,N13/TrAvia_act!N21*1000)</f>
        <v>20374.35600986487</v>
      </c>
      <c r="O29" s="86">
        <f>IF(O13=0,0,O13/TrAvia_act!O21*1000)</f>
        <v>19950.614981886432</v>
      </c>
      <c r="P29" s="86">
        <f>IF(P13=0,0,P13/TrAvia_act!P21*1000)</f>
        <v>18147.897166859162</v>
      </c>
      <c r="Q29" s="86">
        <f>IF(Q13=0,0,Q13/TrAvia_act!Q21*1000)</f>
        <v>19700.786552309291</v>
      </c>
      <c r="R29" s="86">
        <f>IF(R13=0,0,R13/TrAvia_act!R21*1000)</f>
        <v>19632.413392345446</v>
      </c>
      <c r="S29" s="86">
        <f>IF(S13=0,0,S13/TrAvia_act!S21*1000)</f>
        <v>19607.534963014914</v>
      </c>
      <c r="T29" s="86">
        <f>IF(T13=0,0,T13/TrAvia_act!T21*1000)</f>
        <v>19272.327882013193</v>
      </c>
      <c r="U29" s="86">
        <f>IF(U13=0,0,U13/TrAvia_act!U21*1000)</f>
        <v>19600.174656509884</v>
      </c>
      <c r="V29" s="86">
        <f>IF(V13=0,0,V13/TrAvia_act!V21*1000)</f>
        <v>19815.45309824749</v>
      </c>
      <c r="W29" s="86">
        <f>IF(W13=0,0,W13/TrAvia_act!W21*1000)</f>
        <v>16835.077740080775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148.50156454270027</v>
      </c>
      <c r="C32" s="14">
        <f>IF(C6=0,0,C6/TrAvia_act!C4*1000)</f>
        <v>145.56412738374277</v>
      </c>
      <c r="D32" s="14">
        <f>IF(D6=0,0,D6/TrAvia_act!D4*1000)</f>
        <v>140.83509508383196</v>
      </c>
      <c r="E32" s="14">
        <f>IF(E6=0,0,E6/TrAvia_act!E4*1000)</f>
        <v>136.93844339015448</v>
      </c>
      <c r="F32" s="14">
        <f>IF(F6=0,0,F6/TrAvia_act!F4*1000)</f>
        <v>132.76057501839966</v>
      </c>
      <c r="G32" s="14">
        <f>IF(G6=0,0,G6/TrAvia_act!G4*1000)</f>
        <v>124.8960295664447</v>
      </c>
      <c r="H32" s="14">
        <f>IF(H6=0,0,H6/TrAvia_act!H4*1000)</f>
        <v>125.89138907888697</v>
      </c>
      <c r="I32" s="14">
        <f>IF(I6=0,0,I6/TrAvia_act!I4*1000)</f>
        <v>123.67186183589573</v>
      </c>
      <c r="J32" s="14">
        <f>IF(J6=0,0,J6/TrAvia_act!J4*1000)</f>
        <v>122.72881510266359</v>
      </c>
      <c r="K32" s="14">
        <f>IF(K6=0,0,K6/TrAvia_act!K4*1000)</f>
        <v>117.1076512409779</v>
      </c>
      <c r="L32" s="14">
        <f>IF(L6=0,0,L6/TrAvia_act!L4*1000)</f>
        <v>114.65139007007771</v>
      </c>
      <c r="M32" s="14">
        <f>IF(M6=0,0,M6/TrAvia_act!M4*1000)</f>
        <v>119.37799722800729</v>
      </c>
      <c r="N32" s="14">
        <f>IF(N6=0,0,N6/TrAvia_act!N4*1000)</f>
        <v>116.72103169728001</v>
      </c>
      <c r="O32" s="14">
        <f>IF(O6=0,0,O6/TrAvia_act!O4*1000)</f>
        <v>112.48237852711263</v>
      </c>
      <c r="P32" s="14">
        <f>IF(P6=0,0,P6/TrAvia_act!P4*1000)</f>
        <v>105.93019959053218</v>
      </c>
      <c r="Q32" s="14">
        <f>IF(Q6=0,0,Q6/TrAvia_act!Q4*1000)</f>
        <v>109.44304665258078</v>
      </c>
      <c r="R32" s="14">
        <f>IF(R6=0,0,R6/TrAvia_act!R4*1000)</f>
        <v>109.1636024243147</v>
      </c>
      <c r="S32" s="14">
        <f>IF(S6=0,0,S6/TrAvia_act!S4*1000)</f>
        <v>105.37592835103268</v>
      </c>
      <c r="T32" s="14">
        <f>IF(T6=0,0,T6/TrAvia_act!T4*1000)</f>
        <v>102.21218506901091</v>
      </c>
      <c r="U32" s="14">
        <f>IF(U6=0,0,U6/TrAvia_act!U4*1000)</f>
        <v>102.28122844681845</v>
      </c>
      <c r="V32" s="14">
        <f>IF(V6=0,0,V6/TrAvia_act!V4*1000)</f>
        <v>134.9879485401402</v>
      </c>
      <c r="W32" s="14">
        <f>IF(W6=0,0,W6/TrAvia_act!W4*1000)</f>
        <v>122.97136699531532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143.5421606306289</v>
      </c>
      <c r="C33" s="87">
        <f>IF(C7=0,0,C7/TrAvia_act!C5*1000)</f>
        <v>140.27315205081013</v>
      </c>
      <c r="D33" s="87">
        <f>IF(D7=0,0,D7/TrAvia_act!D5*1000)</f>
        <v>125.74743610271364</v>
      </c>
      <c r="E33" s="87">
        <f>IF(E7=0,0,E7/TrAvia_act!E5*1000)</f>
        <v>122.43635971588165</v>
      </c>
      <c r="F33" s="87">
        <f>IF(F7=0,0,F7/TrAvia_act!F5*1000)</f>
        <v>117.79109302629394</v>
      </c>
      <c r="G33" s="87">
        <f>IF(G7=0,0,G7/TrAvia_act!G5*1000)</f>
        <v>116.92048909690445</v>
      </c>
      <c r="H33" s="87">
        <f>IF(H7=0,0,H7/TrAvia_act!H5*1000)</f>
        <v>115.7807685367538</v>
      </c>
      <c r="I33" s="87">
        <f>IF(I7=0,0,I7/TrAvia_act!I5*1000)</f>
        <v>112.6584542106057</v>
      </c>
      <c r="J33" s="87">
        <f>IF(J7=0,0,J7/TrAvia_act!J5*1000)</f>
        <v>115.47891192777421</v>
      </c>
      <c r="K33" s="87">
        <f>IF(K7=0,0,K7/TrAvia_act!K5*1000)</f>
        <v>106.93882344717177</v>
      </c>
      <c r="L33" s="87">
        <f>IF(L7=0,0,L7/TrAvia_act!L5*1000)</f>
        <v>101.10397314672045</v>
      </c>
      <c r="M33" s="87">
        <f>IF(M7=0,0,M7/TrAvia_act!M5*1000)</f>
        <v>175.45219654832727</v>
      </c>
      <c r="N33" s="87">
        <f>IF(N7=0,0,N7/TrAvia_act!N5*1000)</f>
        <v>177.31411900547383</v>
      </c>
      <c r="O33" s="87">
        <f>IF(O7=0,0,O7/TrAvia_act!O5*1000)</f>
        <v>169.55998234258905</v>
      </c>
      <c r="P33" s="87">
        <f>IF(P7=0,0,P7/TrAvia_act!P5*1000)</f>
        <v>160.89400144712656</v>
      </c>
      <c r="Q33" s="87">
        <f>IF(Q7=0,0,Q7/TrAvia_act!Q5*1000)</f>
        <v>158.86307061224909</v>
      </c>
      <c r="R33" s="87">
        <f>IF(R7=0,0,R7/TrAvia_act!R5*1000)</f>
        <v>158.11514483521361</v>
      </c>
      <c r="S33" s="87">
        <f>IF(S7=0,0,S7/TrAvia_act!S5*1000)</f>
        <v>152.9518584180843</v>
      </c>
      <c r="T33" s="87">
        <f>IF(T7=0,0,T7/TrAvia_act!T5*1000)</f>
        <v>150.50815201335456</v>
      </c>
      <c r="U33" s="87">
        <f>IF(U7=0,0,U7/TrAvia_act!U5*1000)</f>
        <v>148.56504434834508</v>
      </c>
      <c r="V33" s="87">
        <f>IF(V7=0,0,V7/TrAvia_act!V5*1000)</f>
        <v>179.60334514911946</v>
      </c>
      <c r="W33" s="87">
        <f>IF(W7=0,0,W7/TrAvia_act!W5*1000)</f>
        <v>164.5944060380337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160.46899566551522</v>
      </c>
      <c r="C34" s="87">
        <f>IF(C8=0,0,C8/TrAvia_act!C6*1000)</f>
        <v>156.90823496808548</v>
      </c>
      <c r="D34" s="87">
        <f>IF(D8=0,0,D8/TrAvia_act!D6*1000)</f>
        <v>155.08914966638116</v>
      </c>
      <c r="E34" s="87">
        <f>IF(E8=0,0,E8/TrAvia_act!E6*1000)</f>
        <v>149.47099763155239</v>
      </c>
      <c r="F34" s="87">
        <f>IF(F8=0,0,F8/TrAvia_act!F6*1000)</f>
        <v>149.58334966727639</v>
      </c>
      <c r="G34" s="87">
        <f>IF(G8=0,0,G8/TrAvia_act!G6*1000)</f>
        <v>143.49233280618563</v>
      </c>
      <c r="H34" s="87">
        <f>IF(H8=0,0,H8/TrAvia_act!H6*1000)</f>
        <v>148.17126897756094</v>
      </c>
      <c r="I34" s="87">
        <f>IF(I8=0,0,I8/TrAvia_act!I6*1000)</f>
        <v>149.89317005432312</v>
      </c>
      <c r="J34" s="87">
        <f>IF(J8=0,0,J8/TrAvia_act!J6*1000)</f>
        <v>148.05833910070334</v>
      </c>
      <c r="K34" s="87">
        <f>IF(K8=0,0,K8/TrAvia_act!K6*1000)</f>
        <v>138.16307704039116</v>
      </c>
      <c r="L34" s="87">
        <f>IF(L8=0,0,L8/TrAvia_act!L6*1000)</f>
        <v>135.49909809973462</v>
      </c>
      <c r="M34" s="87">
        <f>IF(M8=0,0,M8/TrAvia_act!M6*1000)</f>
        <v>124.91373279932503</v>
      </c>
      <c r="N34" s="87">
        <f>IF(N8=0,0,N8/TrAvia_act!N6*1000)</f>
        <v>115.38424406956906</v>
      </c>
      <c r="O34" s="87">
        <f>IF(O8=0,0,O8/TrAvia_act!O6*1000)</f>
        <v>113.01364195480753</v>
      </c>
      <c r="P34" s="87">
        <f>IF(P8=0,0,P8/TrAvia_act!P6*1000)</f>
        <v>106.49916389512896</v>
      </c>
      <c r="Q34" s="87">
        <f>IF(Q8=0,0,Q8/TrAvia_act!Q6*1000)</f>
        <v>107.38877438842465</v>
      </c>
      <c r="R34" s="87">
        <f>IF(R8=0,0,R8/TrAvia_act!R6*1000)</f>
        <v>105.77334033665745</v>
      </c>
      <c r="S34" s="87">
        <f>IF(S8=0,0,S8/TrAvia_act!S6*1000)</f>
        <v>104.12195476885219</v>
      </c>
      <c r="T34" s="87">
        <f>IF(T8=0,0,T8/TrAvia_act!T6*1000)</f>
        <v>101.09824054089532</v>
      </c>
      <c r="U34" s="87">
        <f>IF(U8=0,0,U8/TrAvia_act!U6*1000)</f>
        <v>99.007936342754746</v>
      </c>
      <c r="V34" s="87">
        <f>IF(V8=0,0,V8/TrAvia_act!V6*1000)</f>
        <v>105.8442667543378</v>
      </c>
      <c r="W34" s="87">
        <f>IF(W8=0,0,W8/TrAvia_act!W6*1000)</f>
        <v>85.26046090534831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146.29376624256622</v>
      </c>
      <c r="C35" s="87">
        <f>IF(C9=0,0,C9/TrAvia_act!C7*1000)</f>
        <v>143.66024621625584</v>
      </c>
      <c r="D35" s="87">
        <f>IF(D9=0,0,D9/TrAvia_act!D7*1000)</f>
        <v>141.00165772795609</v>
      </c>
      <c r="E35" s="87">
        <f>IF(E9=0,0,E9/TrAvia_act!E7*1000)</f>
        <v>137.22633696749273</v>
      </c>
      <c r="F35" s="87">
        <f>IF(F9=0,0,F9/TrAvia_act!F7*1000)</f>
        <v>131.68304014238981</v>
      </c>
      <c r="G35" s="87">
        <f>IF(G9=0,0,G9/TrAvia_act!G7*1000)</f>
        <v>121.57332455461555</v>
      </c>
      <c r="H35" s="87">
        <f>IF(H9=0,0,H9/TrAvia_act!H7*1000)</f>
        <v>121.9856421357613</v>
      </c>
      <c r="I35" s="87">
        <f>IF(I9=0,0,I9/TrAvia_act!I7*1000)</f>
        <v>118.90864945193653</v>
      </c>
      <c r="J35" s="87">
        <f>IF(J9=0,0,J9/TrAvia_act!J7*1000)</f>
        <v>117.52919811954942</v>
      </c>
      <c r="K35" s="87">
        <f>IF(K9=0,0,K9/TrAvia_act!K7*1000)</f>
        <v>113.92509615018268</v>
      </c>
      <c r="L35" s="87">
        <f>IF(L9=0,0,L9/TrAvia_act!L7*1000)</f>
        <v>112.42692738045777</v>
      </c>
      <c r="M35" s="87">
        <f>IF(M9=0,0,M9/TrAvia_act!M7*1000)</f>
        <v>105.24763756271977</v>
      </c>
      <c r="N35" s="87">
        <f>IF(N9=0,0,N9/TrAvia_act!N7*1000)</f>
        <v>103.37580197140468</v>
      </c>
      <c r="O35" s="87">
        <f>IF(O9=0,0,O9/TrAvia_act!O7*1000)</f>
        <v>99.446337742942376</v>
      </c>
      <c r="P35" s="87">
        <f>IF(P9=0,0,P9/TrAvia_act!P7*1000)</f>
        <v>93.906978071100824</v>
      </c>
      <c r="Q35" s="87">
        <f>IF(Q9=0,0,Q9/TrAvia_act!Q7*1000)</f>
        <v>99.227526950655772</v>
      </c>
      <c r="R35" s="87">
        <f>IF(R9=0,0,R9/TrAvia_act!R7*1000)</f>
        <v>98.89955521023397</v>
      </c>
      <c r="S35" s="87">
        <f>IF(S9=0,0,S9/TrAvia_act!S7*1000)</f>
        <v>94.5956309368094</v>
      </c>
      <c r="T35" s="87">
        <f>IF(T9=0,0,T9/TrAvia_act!T7*1000)</f>
        <v>91.353896021349001</v>
      </c>
      <c r="U35" s="87">
        <f>IF(U9=0,0,U9/TrAvia_act!U7*1000)</f>
        <v>92.782581760399722</v>
      </c>
      <c r="V35" s="87">
        <f>IF(V9=0,0,V9/TrAvia_act!V7*1000)</f>
        <v>125.97972891340991</v>
      </c>
      <c r="W35" s="87">
        <f>IF(W9=0,0,W9/TrAvia_act!W7*1000)</f>
        <v>117.14309119415543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248.4821874444267</v>
      </c>
      <c r="C36" s="15">
        <f>IF(C10=0,0,C10/TrAvia_act!C8*1000)</f>
        <v>243.74496106949272</v>
      </c>
      <c r="D36" s="15">
        <f>IF(D10=0,0,D10/TrAvia_act!D8*1000)</f>
        <v>248.32557500892082</v>
      </c>
      <c r="E36" s="15">
        <f>IF(E10=0,0,E10/TrAvia_act!E8*1000)</f>
        <v>257.30683770406671</v>
      </c>
      <c r="F36" s="15">
        <f>IF(F10=0,0,F10/TrAvia_act!F8*1000)</f>
        <v>273.7869853576513</v>
      </c>
      <c r="G36" s="15">
        <f>IF(G10=0,0,G10/TrAvia_act!G8*1000)</f>
        <v>276.63824561109038</v>
      </c>
      <c r="H36" s="15">
        <f>IF(H10=0,0,H10/TrAvia_act!H8*1000)</f>
        <v>286.11911537509695</v>
      </c>
      <c r="I36" s="15">
        <f>IF(I10=0,0,I10/TrAvia_act!I8*1000)</f>
        <v>282.46973219245723</v>
      </c>
      <c r="J36" s="15">
        <f>IF(J10=0,0,J10/TrAvia_act!J8*1000)</f>
        <v>292.52087439228438</v>
      </c>
      <c r="K36" s="15">
        <f>IF(K10=0,0,K10/TrAvia_act!K8*1000)</f>
        <v>268.74162202304103</v>
      </c>
      <c r="L36" s="15">
        <f>IF(L10=0,0,L10/TrAvia_act!L8*1000)</f>
        <v>292.04713310109474</v>
      </c>
      <c r="M36" s="15">
        <f>IF(M10=0,0,M10/TrAvia_act!M8*1000)</f>
        <v>257.76018458756386</v>
      </c>
      <c r="N36" s="15">
        <f>IF(N10=0,0,N10/TrAvia_act!N8*1000)</f>
        <v>264.26237667262927</v>
      </c>
      <c r="O36" s="15">
        <f>IF(O10=0,0,O10/TrAvia_act!O8*1000)</f>
        <v>259.19043197776637</v>
      </c>
      <c r="P36" s="15">
        <f>IF(P10=0,0,P10/TrAvia_act!P8*1000)</f>
        <v>209.14070679811527</v>
      </c>
      <c r="Q36" s="15">
        <f>IF(Q10=0,0,Q10/TrAvia_act!Q8*1000)</f>
        <v>226.36803538720113</v>
      </c>
      <c r="R36" s="15">
        <f>IF(R10=0,0,R10/TrAvia_act!R8*1000)</f>
        <v>209.3674928918407</v>
      </c>
      <c r="S36" s="15">
        <f>IF(S10=0,0,S10/TrAvia_act!S8*1000)</f>
        <v>215.16893389666834</v>
      </c>
      <c r="T36" s="15">
        <f>IF(T10=0,0,T10/TrAvia_act!T8*1000)</f>
        <v>206.75843144717334</v>
      </c>
      <c r="U36" s="15">
        <f>IF(U10=0,0,U10/TrAvia_act!U8*1000)</f>
        <v>202.99448561076355</v>
      </c>
      <c r="V36" s="15">
        <f>IF(V10=0,0,V10/TrAvia_act!V8*1000)</f>
        <v>299.65877891156293</v>
      </c>
      <c r="W36" s="15">
        <f>IF(W10=0,0,W10/TrAvia_act!W8*1000)</f>
        <v>278.19238165987696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1080.519675227689</v>
      </c>
      <c r="C37" s="101">
        <f>IF(C11=0,0,C11/TrAvia_act!C9*1000)</f>
        <v>1078.5727703268528</v>
      </c>
      <c r="D37" s="101">
        <f>IF(D11=0,0,D11/TrAvia_act!D9*1000)</f>
        <v>952.99864144359583</v>
      </c>
      <c r="E37" s="101">
        <f>IF(E11=0,0,E11/TrAvia_act!E9*1000)</f>
        <v>862.07016025638336</v>
      </c>
      <c r="F37" s="101">
        <f>IF(F11=0,0,F11/TrAvia_act!F9*1000)</f>
        <v>938.90437047109856</v>
      </c>
      <c r="G37" s="101">
        <f>IF(G11=0,0,G11/TrAvia_act!G9*1000)</f>
        <v>963.41460229734707</v>
      </c>
      <c r="H37" s="101">
        <f>IF(H11=0,0,H11/TrAvia_act!H9*1000)</f>
        <v>927.50403060790234</v>
      </c>
      <c r="I37" s="101">
        <f>IF(I11=0,0,I11/TrAvia_act!I9*1000)</f>
        <v>872.12901737921254</v>
      </c>
      <c r="J37" s="101">
        <f>IF(J11=0,0,J11/TrAvia_act!J9*1000)</f>
        <v>863.99768562357576</v>
      </c>
      <c r="K37" s="101">
        <f>IF(K11=0,0,K11/TrAvia_act!K9*1000)</f>
        <v>765.02174399889407</v>
      </c>
      <c r="L37" s="101">
        <f>IF(L11=0,0,L11/TrAvia_act!L9*1000)</f>
        <v>728.2856961448291</v>
      </c>
      <c r="M37" s="101">
        <f>IF(M11=0,0,M11/TrAvia_act!M9*1000)</f>
        <v>1174.1026208356313</v>
      </c>
      <c r="N37" s="101">
        <f>IF(N11=0,0,N11/TrAvia_act!N9*1000)</f>
        <v>1201.963387491895</v>
      </c>
      <c r="O37" s="101">
        <f>IF(O11=0,0,O11/TrAvia_act!O9*1000)</f>
        <v>1154.7060597205441</v>
      </c>
      <c r="P37" s="101">
        <f>IF(P11=0,0,P11/TrAvia_act!P9*1000)</f>
        <v>1000.9668172481903</v>
      </c>
      <c r="Q37" s="101">
        <f>IF(Q11=0,0,Q11/TrAvia_act!Q9*1000)</f>
        <v>981.49020462981798</v>
      </c>
      <c r="R37" s="101">
        <f>IF(R11=0,0,R11/TrAvia_act!R9*1000)</f>
        <v>870.25137193368664</v>
      </c>
      <c r="S37" s="101">
        <f>IF(S11=0,0,S11/TrAvia_act!S9*1000)</f>
        <v>928.95626693789848</v>
      </c>
      <c r="T37" s="101">
        <f>IF(T11=0,0,T11/TrAvia_act!T9*1000)</f>
        <v>913.01396740574546</v>
      </c>
      <c r="U37" s="101">
        <f>IF(U11=0,0,U11/TrAvia_act!U9*1000)</f>
        <v>814.44569983867859</v>
      </c>
      <c r="V37" s="101">
        <f>IF(V11=0,0,V11/TrAvia_act!V9*1000)</f>
        <v>900.47642498795801</v>
      </c>
      <c r="W37" s="101">
        <f>IF(W11=0,0,W11/TrAvia_act!W9*1000)</f>
        <v>848.98348758759437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534.84581524398118</v>
      </c>
      <c r="C38" s="101">
        <f>IF(C12=0,0,C12/TrAvia_act!C10*1000)</f>
        <v>513.34142510441154</v>
      </c>
      <c r="D38" s="101">
        <f>IF(D12=0,0,D12/TrAvia_act!D10*1000)</f>
        <v>545.65176007900675</v>
      </c>
      <c r="E38" s="101">
        <f>IF(E12=0,0,E12/TrAvia_act!E10*1000)</f>
        <v>519.90514929986728</v>
      </c>
      <c r="F38" s="101">
        <f>IF(F12=0,0,F12/TrAvia_act!F10*1000)</f>
        <v>587.49563548859408</v>
      </c>
      <c r="G38" s="101">
        <f>IF(G12=0,0,G12/TrAvia_act!G10*1000)</f>
        <v>603.19516534507341</v>
      </c>
      <c r="H38" s="101">
        <f>IF(H12=0,0,H12/TrAvia_act!H10*1000)</f>
        <v>725.71940809024954</v>
      </c>
      <c r="I38" s="101">
        <f>IF(I12=0,0,I12/TrAvia_act!I10*1000)</f>
        <v>747.15832979234835</v>
      </c>
      <c r="J38" s="101">
        <f>IF(J12=0,0,J12/TrAvia_act!J10*1000)</f>
        <v>738.59498679224737</v>
      </c>
      <c r="K38" s="101">
        <f>IF(K12=0,0,K12/TrAvia_act!K10*1000)</f>
        <v>696.7248603530611</v>
      </c>
      <c r="L38" s="101">
        <f>IF(L12=0,0,L12/TrAvia_act!L10*1000)</f>
        <v>758.86055207295408</v>
      </c>
      <c r="M38" s="101">
        <f>IF(M12=0,0,M12/TrAvia_act!M10*1000)</f>
        <v>687.58020965493949</v>
      </c>
      <c r="N38" s="101">
        <f>IF(N12=0,0,N12/TrAvia_act!N10*1000)</f>
        <v>611.14575019161543</v>
      </c>
      <c r="O38" s="101">
        <f>IF(O12=0,0,O12/TrAvia_act!O10*1000)</f>
        <v>631.86307599985275</v>
      </c>
      <c r="P38" s="101">
        <f>IF(P12=0,0,P12/TrAvia_act!P10*1000)</f>
        <v>536.81279868614808</v>
      </c>
      <c r="Q38" s="101">
        <f>IF(Q12=0,0,Q12/TrAvia_act!Q10*1000)</f>
        <v>556.41508920924321</v>
      </c>
      <c r="R38" s="101">
        <f>IF(R12=0,0,R12/TrAvia_act!R10*1000)</f>
        <v>503.83631020996688</v>
      </c>
      <c r="S38" s="101">
        <f>IF(S12=0,0,S12/TrAvia_act!S10*1000)</f>
        <v>569.64762256214988</v>
      </c>
      <c r="T38" s="101">
        <f>IF(T12=0,0,T12/TrAvia_act!T10*1000)</f>
        <v>563.95845405036027</v>
      </c>
      <c r="U38" s="101">
        <f>IF(U12=0,0,U12/TrAvia_act!U10*1000)</f>
        <v>535.50486968584892</v>
      </c>
      <c r="V38" s="101">
        <f>IF(V12=0,0,V12/TrAvia_act!V10*1000)</f>
        <v>565.71299447818421</v>
      </c>
      <c r="W38" s="101">
        <f>IF(W12=0,0,W12/TrAvia_act!W10*1000)</f>
        <v>503.16291236247423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212.13466324851584</v>
      </c>
      <c r="C39" s="88">
        <f>IF(C13=0,0,C13/TrAvia_act!C11*1000)</f>
        <v>202.46186157624399</v>
      </c>
      <c r="D39" s="88">
        <f>IF(D13=0,0,D13/TrAvia_act!D11*1000)</f>
        <v>214.09430177927459</v>
      </c>
      <c r="E39" s="88">
        <f>IF(E13=0,0,E13/TrAvia_act!E11*1000)</f>
        <v>228.93622640016628</v>
      </c>
      <c r="F39" s="88">
        <f>IF(F13=0,0,F13/TrAvia_act!F11*1000)</f>
        <v>244.22425128622547</v>
      </c>
      <c r="G39" s="88">
        <f>IF(G13=0,0,G13/TrAvia_act!G11*1000)</f>
        <v>247.84173579419812</v>
      </c>
      <c r="H39" s="88">
        <f>IF(H13=0,0,H13/TrAvia_act!H11*1000)</f>
        <v>256.84342985452645</v>
      </c>
      <c r="I39" s="88">
        <f>IF(I13=0,0,I13/TrAvia_act!I11*1000)</f>
        <v>254.68923308111752</v>
      </c>
      <c r="J39" s="88">
        <f>IF(J13=0,0,J13/TrAvia_act!J11*1000)</f>
        <v>267.68915836930665</v>
      </c>
      <c r="K39" s="88">
        <f>IF(K13=0,0,K13/TrAvia_act!K11*1000)</f>
        <v>242.7595930551401</v>
      </c>
      <c r="L39" s="88">
        <f>IF(L13=0,0,L13/TrAvia_act!L11*1000)</f>
        <v>269.43962464866547</v>
      </c>
      <c r="M39" s="88">
        <f>IF(M13=0,0,M13/TrAvia_act!M11*1000)</f>
        <v>229.49503646469697</v>
      </c>
      <c r="N39" s="88">
        <f>IF(N13=0,0,N13/TrAvia_act!N11*1000)</f>
        <v>236.99156828536255</v>
      </c>
      <c r="O39" s="88">
        <f>IF(O13=0,0,O13/TrAvia_act!O11*1000)</f>
        <v>229.78571483640775</v>
      </c>
      <c r="P39" s="88">
        <f>IF(P13=0,0,P13/TrAvia_act!P11*1000)</f>
        <v>183.88699304317609</v>
      </c>
      <c r="Q39" s="88">
        <f>IF(Q13=0,0,Q13/TrAvia_act!Q11*1000)</f>
        <v>201.47715419355009</v>
      </c>
      <c r="R39" s="88">
        <f>IF(R13=0,0,R13/TrAvia_act!R11*1000)</f>
        <v>186.07631239913749</v>
      </c>
      <c r="S39" s="88">
        <f>IF(S13=0,0,S13/TrAvia_act!S11*1000)</f>
        <v>189.14116430157731</v>
      </c>
      <c r="T39" s="88">
        <f>IF(T13=0,0,T13/TrAvia_act!T11*1000)</f>
        <v>182.71898186490623</v>
      </c>
      <c r="U39" s="88">
        <f>IF(U13=0,0,U13/TrAvia_act!U11*1000)</f>
        <v>178.72761782257865</v>
      </c>
      <c r="V39" s="88">
        <f>IF(V13=0,0,V13/TrAvia_act!V11*1000)</f>
        <v>274.62567005383664</v>
      </c>
      <c r="W39" s="88">
        <f>IF(W13=0,0,W13/TrAvia_act!W11*1000)</f>
        <v>252.01481096048457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21155.044163528786</v>
      </c>
      <c r="C41" s="54">
        <f>IF(C3=0,0,C3/TrAvia_act!C23*1000000)</f>
        <v>20855.415057644739</v>
      </c>
      <c r="D41" s="54">
        <f>IF(D3=0,0,D3/TrAvia_act!D23*1000000)</f>
        <v>20366.071386284126</v>
      </c>
      <c r="E41" s="54">
        <f>IF(E3=0,0,E3/TrAvia_act!E23*1000000)</f>
        <v>19948.517444858862</v>
      </c>
      <c r="F41" s="54">
        <f>IF(F3=0,0,F3/TrAvia_act!F23*1000000)</f>
        <v>21429.379736662417</v>
      </c>
      <c r="G41" s="54">
        <f>IF(G3=0,0,G3/TrAvia_act!G23*1000000)</f>
        <v>21533.976126623384</v>
      </c>
      <c r="H41" s="54">
        <f>IF(H3=0,0,H3/TrAvia_act!H23*1000000)</f>
        <v>21558.333054761588</v>
      </c>
      <c r="I41" s="54">
        <f>IF(I3=0,0,I3/TrAvia_act!I23*1000000)</f>
        <v>21773.714101137994</v>
      </c>
      <c r="J41" s="54">
        <f>IF(J3=0,0,J3/TrAvia_act!J23*1000000)</f>
        <v>21808.524072087945</v>
      </c>
      <c r="K41" s="54">
        <f>IF(K3=0,0,K3/TrAvia_act!K23*1000000)</f>
        <v>21733.130965092208</v>
      </c>
      <c r="L41" s="54">
        <f>IF(L3=0,0,L3/TrAvia_act!L23*1000000)</f>
        <v>24670.986122331378</v>
      </c>
      <c r="M41" s="54">
        <f>IF(M3=0,0,M3/TrAvia_act!M23*1000000)</f>
        <v>26386.891193919517</v>
      </c>
      <c r="N41" s="54">
        <f>IF(N3=0,0,N3/TrAvia_act!N23*1000000)</f>
        <v>26215.207701616859</v>
      </c>
      <c r="O41" s="54">
        <f>IF(O3=0,0,O3/TrAvia_act!O23*1000000)</f>
        <v>26466.43285794137</v>
      </c>
      <c r="P41" s="54">
        <f>IF(P3=0,0,P3/TrAvia_act!P23*1000000)</f>
        <v>26606.738650958945</v>
      </c>
      <c r="Q41" s="54">
        <f>IF(Q3=0,0,Q3/TrAvia_act!Q23*1000000)</f>
        <v>27716.568116239472</v>
      </c>
      <c r="R41" s="54">
        <f>IF(R3=0,0,R3/TrAvia_act!R23*1000000)</f>
        <v>27299.142302650602</v>
      </c>
      <c r="S41" s="54">
        <f>IF(S3=0,0,S3/TrAvia_act!S23*1000000)</f>
        <v>27417.73952282676</v>
      </c>
      <c r="T41" s="54">
        <f>IF(T3=0,0,T3/TrAvia_act!T23*1000000)</f>
        <v>28375.876586131635</v>
      </c>
      <c r="U41" s="54">
        <f>IF(U3=0,0,U3/TrAvia_act!U23*1000000)</f>
        <v>29060.341766065758</v>
      </c>
      <c r="V41" s="54">
        <f>IF(V3=0,0,V3/TrAvia_act!V23*1000000)</f>
        <v>32151.182387688637</v>
      </c>
      <c r="W41" s="54">
        <f>IF(W3=0,0,W3/TrAvia_act!W23*1000000)</f>
        <v>27548.579295471096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20473.918330891822</v>
      </c>
      <c r="C42" s="11">
        <f>IF(C6=0,0,C6/TrAvia_act!C24*1000000)</f>
        <v>20251.686187515508</v>
      </c>
      <c r="D42" s="11">
        <f>IF(D6=0,0,D6/TrAvia_act!D24*1000000)</f>
        <v>19714.57530232385</v>
      </c>
      <c r="E42" s="11">
        <f>IF(E6=0,0,E6/TrAvia_act!E24*1000000)</f>
        <v>19217.853612547045</v>
      </c>
      <c r="F42" s="11">
        <f>IF(F6=0,0,F6/TrAvia_act!F24*1000000)</f>
        <v>20622.93631483561</v>
      </c>
      <c r="G42" s="11">
        <f>IF(G6=0,0,G6/TrAvia_act!G24*1000000)</f>
        <v>20708.10381946955</v>
      </c>
      <c r="H42" s="11">
        <f>IF(H6=0,0,H6/TrAvia_act!H24*1000000)</f>
        <v>20784.767895199271</v>
      </c>
      <c r="I42" s="11">
        <f>IF(I6=0,0,I6/TrAvia_act!I24*1000000)</f>
        <v>21017.420576700511</v>
      </c>
      <c r="J42" s="11">
        <f>IF(J6=0,0,J6/TrAvia_act!J24*1000000)</f>
        <v>21033.485876834802</v>
      </c>
      <c r="K42" s="11">
        <f>IF(K6=0,0,K6/TrAvia_act!K24*1000000)</f>
        <v>21202.892439067622</v>
      </c>
      <c r="L42" s="11">
        <f>IF(L6=0,0,L6/TrAvia_act!L24*1000000)</f>
        <v>23887.52662739353</v>
      </c>
      <c r="M42" s="11">
        <f>IF(M6=0,0,M6/TrAvia_act!M24*1000000)</f>
        <v>25666.449345270099</v>
      </c>
      <c r="N42" s="11">
        <f>IF(N6=0,0,N6/TrAvia_act!N24*1000000)</f>
        <v>25430.764936011565</v>
      </c>
      <c r="O42" s="11">
        <f>IF(O6=0,0,O6/TrAvia_act!O24*1000000)</f>
        <v>25796.218420700792</v>
      </c>
      <c r="P42" s="11">
        <f>IF(P6=0,0,P6/TrAvia_act!P24*1000000)</f>
        <v>25911.41229794098</v>
      </c>
      <c r="Q42" s="11">
        <f>IF(Q6=0,0,Q6/TrAvia_act!Q24*1000000)</f>
        <v>26942.888378294701</v>
      </c>
      <c r="R42" s="11">
        <f>IF(R6=0,0,R6/TrAvia_act!R24*1000000)</f>
        <v>26648.482141045486</v>
      </c>
      <c r="S42" s="11">
        <f>IF(S6=0,0,S6/TrAvia_act!S24*1000000)</f>
        <v>26798.96176574727</v>
      </c>
      <c r="T42" s="11">
        <f>IF(T6=0,0,T6/TrAvia_act!T24*1000000)</f>
        <v>27787.945888909748</v>
      </c>
      <c r="U42" s="11">
        <f>IF(U6=0,0,U6/TrAvia_act!U24*1000000)</f>
        <v>28595.651240187755</v>
      </c>
      <c r="V42" s="11">
        <f>IF(V6=0,0,V6/TrAvia_act!V24*1000000)</f>
        <v>30633.710741434177</v>
      </c>
      <c r="W42" s="11">
        <f>IF(W6=0,0,W6/TrAvia_act!W24*1000000)</f>
        <v>26554.374000378055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7530.6760175668878</v>
      </c>
      <c r="C43" s="84">
        <f>IF(C7=0,0,C7/TrAvia_act!C25*1000000)</f>
        <v>7459.7917564547752</v>
      </c>
      <c r="D43" s="84">
        <f>IF(D7=0,0,D7/TrAvia_act!D25*1000000)</f>
        <v>6778.001130034314</v>
      </c>
      <c r="E43" s="84">
        <f>IF(E7=0,0,E7/TrAvia_act!E25*1000000)</f>
        <v>6521.7777994342996</v>
      </c>
      <c r="F43" s="84">
        <f>IF(F7=0,0,F7/TrAvia_act!F25*1000000)</f>
        <v>6688.6429409925413</v>
      </c>
      <c r="G43" s="84">
        <f>IF(G7=0,0,G7/TrAvia_act!G25*1000000)</f>
        <v>6666.4738145693955</v>
      </c>
      <c r="H43" s="84">
        <f>IF(H7=0,0,H7/TrAvia_act!H25*1000000)</f>
        <v>6574.8323318384691</v>
      </c>
      <c r="I43" s="84">
        <f>IF(I7=0,0,I7/TrAvia_act!I25*1000000)</f>
        <v>6740.7060854716592</v>
      </c>
      <c r="J43" s="84">
        <f>IF(J7=0,0,J7/TrAvia_act!J25*1000000)</f>
        <v>6808.7880700101778</v>
      </c>
      <c r="K43" s="84">
        <f>IF(K7=0,0,K7/TrAvia_act!K25*1000000)</f>
        <v>6973.5476076725809</v>
      </c>
      <c r="L43" s="84">
        <f>IF(L7=0,0,L7/TrAvia_act!L25*1000000)</f>
        <v>7784.9496556210142</v>
      </c>
      <c r="M43" s="84">
        <f>IF(M7=0,0,M7/TrAvia_act!M25*1000000)</f>
        <v>13859.897422199207</v>
      </c>
      <c r="N43" s="84">
        <f>IF(N7=0,0,N7/TrAvia_act!N25*1000000)</f>
        <v>13950.435603437001</v>
      </c>
      <c r="O43" s="84">
        <f>IF(O7=0,0,O7/TrAvia_act!O25*1000000)</f>
        <v>14012.4688520748</v>
      </c>
      <c r="P43" s="84">
        <f>IF(P7=0,0,P7/TrAvia_act!P25*1000000)</f>
        <v>14202.303753235188</v>
      </c>
      <c r="Q43" s="84">
        <f>IF(Q7=0,0,Q7/TrAvia_act!Q25*1000000)</f>
        <v>14365.739494656938</v>
      </c>
      <c r="R43" s="84">
        <f>IF(R7=0,0,R7/TrAvia_act!R25*1000000)</f>
        <v>14958.621354927231</v>
      </c>
      <c r="S43" s="84">
        <f>IF(S7=0,0,S7/TrAvia_act!S25*1000000)</f>
        <v>15371.748260827419</v>
      </c>
      <c r="T43" s="84">
        <f>IF(T7=0,0,T7/TrAvia_act!T25*1000000)</f>
        <v>16321.457556676334</v>
      </c>
      <c r="U43" s="84">
        <f>IF(U7=0,0,U7/TrAvia_act!U25*1000000)</f>
        <v>16507.889770955764</v>
      </c>
      <c r="V43" s="84">
        <f>IF(V7=0,0,V7/TrAvia_act!V25*1000000)</f>
        <v>20142.81544973479</v>
      </c>
      <c r="W43" s="84">
        <f>IF(W7=0,0,W7/TrAvia_act!W25*1000000)</f>
        <v>19913.028372138386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12032.193771324235</v>
      </c>
      <c r="C44" s="84">
        <f>IF(C8=0,0,C8/TrAvia_act!C26*1000000)</f>
        <v>12029.815966502558</v>
      </c>
      <c r="D44" s="84">
        <f>IF(D8=0,0,D8/TrAvia_act!D26*1000000)</f>
        <v>12013.966682511627</v>
      </c>
      <c r="E44" s="84">
        <f>IF(E8=0,0,E8/TrAvia_act!E26*1000000)</f>
        <v>11661.350027446937</v>
      </c>
      <c r="F44" s="84">
        <f>IF(F8=0,0,F8/TrAvia_act!F26*1000000)</f>
        <v>12108.480472526016</v>
      </c>
      <c r="G44" s="84">
        <f>IF(G8=0,0,G8/TrAvia_act!G26*1000000)</f>
        <v>12297.068831574521</v>
      </c>
      <c r="H44" s="84">
        <f>IF(H8=0,0,H8/TrAvia_act!H26*1000000)</f>
        <v>12405.08010119718</v>
      </c>
      <c r="I44" s="84">
        <f>IF(I8=0,0,I8/TrAvia_act!I26*1000000)</f>
        <v>12538.551716223443</v>
      </c>
      <c r="J44" s="84">
        <f>IF(J8=0,0,J8/TrAvia_act!J26*1000000)</f>
        <v>12220.583156939254</v>
      </c>
      <c r="K44" s="84">
        <f>IF(K8=0,0,K8/TrAvia_act!K26*1000000)</f>
        <v>11942.006998331197</v>
      </c>
      <c r="L44" s="84">
        <f>IF(L8=0,0,L8/TrAvia_act!L26*1000000)</f>
        <v>13204.960679049613</v>
      </c>
      <c r="M44" s="84">
        <f>IF(M8=0,0,M8/TrAvia_act!M26*1000000)</f>
        <v>12594.878182875722</v>
      </c>
      <c r="N44" s="84">
        <f>IF(N8=0,0,N8/TrAvia_act!N26*1000000)</f>
        <v>12158.480874476061</v>
      </c>
      <c r="O44" s="84">
        <f>IF(O8=0,0,O8/TrAvia_act!O26*1000000)</f>
        <v>12590.356040381586</v>
      </c>
      <c r="P44" s="84">
        <f>IF(P8=0,0,P8/TrAvia_act!P26*1000000)</f>
        <v>12601.508447281949</v>
      </c>
      <c r="Q44" s="84">
        <f>IF(Q8=0,0,Q8/TrAvia_act!Q26*1000000)</f>
        <v>13044.454134005937</v>
      </c>
      <c r="R44" s="84">
        <f>IF(R8=0,0,R8/TrAvia_act!R26*1000000)</f>
        <v>13112.187517563141</v>
      </c>
      <c r="S44" s="84">
        <f>IF(S8=0,0,S8/TrAvia_act!S26*1000000)</f>
        <v>13518.637460214057</v>
      </c>
      <c r="T44" s="84">
        <f>IF(T8=0,0,T8/TrAvia_act!T26*1000000)</f>
        <v>13707.979420031226</v>
      </c>
      <c r="U44" s="84">
        <f>IF(U8=0,0,U8/TrAvia_act!U26*1000000)</f>
        <v>13632.281046475373</v>
      </c>
      <c r="V44" s="84">
        <f>IF(V8=0,0,V8/TrAvia_act!V26*1000000)</f>
        <v>12243.916967350107</v>
      </c>
      <c r="W44" s="84">
        <f>IF(W8=0,0,W8/TrAvia_act!W26*1000000)</f>
        <v>10970.763320473383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68095.679736614577</v>
      </c>
      <c r="C45" s="84">
        <f>IF(C9=0,0,C9/TrAvia_act!C27*1000000)</f>
        <v>68082.220439104989</v>
      </c>
      <c r="D45" s="84">
        <f>IF(D9=0,0,D9/TrAvia_act!D27*1000000)</f>
        <v>67992.597648578492</v>
      </c>
      <c r="E45" s="84">
        <f>IF(E9=0,0,E9/TrAvia_act!E27*1000000)</f>
        <v>66073.420482221976</v>
      </c>
      <c r="F45" s="84">
        <f>IF(F9=0,0,F9/TrAvia_act!F27*1000000)</f>
        <v>68419.146116081378</v>
      </c>
      <c r="G45" s="84">
        <f>IF(G9=0,0,G9/TrAvia_act!G27*1000000)</f>
        <v>66543.881872909449</v>
      </c>
      <c r="H45" s="84">
        <f>IF(H9=0,0,H9/TrAvia_act!H27*1000000)</f>
        <v>67050.365701672723</v>
      </c>
      <c r="I45" s="84">
        <f>IF(I9=0,0,I9/TrAvia_act!I27*1000000)</f>
        <v>65312.258149032605</v>
      </c>
      <c r="J45" s="84">
        <f>IF(J9=0,0,J9/TrAvia_act!J27*1000000)</f>
        <v>65356.245887275829</v>
      </c>
      <c r="K45" s="84">
        <f>IF(K9=0,0,K9/TrAvia_act!K27*1000000)</f>
        <v>65785.263407128412</v>
      </c>
      <c r="L45" s="84">
        <f>IF(L9=0,0,L9/TrAvia_act!L27*1000000)</f>
        <v>72265.145995642888</v>
      </c>
      <c r="M45" s="84">
        <f>IF(M9=0,0,M9/TrAvia_act!M27*1000000)</f>
        <v>71884.857654482039</v>
      </c>
      <c r="N45" s="84">
        <f>IF(N9=0,0,N9/TrAvia_act!N27*1000000)</f>
        <v>72740.32235384571</v>
      </c>
      <c r="O45" s="84">
        <f>IF(O9=0,0,O9/TrAvia_act!O27*1000000)</f>
        <v>71605.255007184474</v>
      </c>
      <c r="P45" s="84">
        <f>IF(P9=0,0,P9/TrAvia_act!P27*1000000)</f>
        <v>69459.47064346468</v>
      </c>
      <c r="Q45" s="84">
        <f>IF(Q9=0,0,Q9/TrAvia_act!Q27*1000000)</f>
        <v>73249.203158640623</v>
      </c>
      <c r="R45" s="84">
        <f>IF(R9=0,0,R9/TrAvia_act!R27*1000000)</f>
        <v>71311.926920763741</v>
      </c>
      <c r="S45" s="84">
        <f>IF(S9=0,0,S9/TrAvia_act!S27*1000000)</f>
        <v>69894.936835867979</v>
      </c>
      <c r="T45" s="84">
        <f>IF(T9=0,0,T9/TrAvia_act!T27*1000000)</f>
        <v>71352.340196869613</v>
      </c>
      <c r="U45" s="84">
        <f>IF(U9=0,0,U9/TrAvia_act!U27*1000000)</f>
        <v>73841.061655439917</v>
      </c>
      <c r="V45" s="84">
        <f>IF(V9=0,0,V9/TrAvia_act!V27*1000000)</f>
        <v>88732.120278483679</v>
      </c>
      <c r="W45" s="84">
        <f>IF(W9=0,0,W9/TrAvia_act!W27*1000000)</f>
        <v>71058.707192831454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37126.854270246207</v>
      </c>
      <c r="C46" s="13">
        <f>IF(C10=0,0,C10/TrAvia_act!C28*1000000)</f>
        <v>33719.43340167174</v>
      </c>
      <c r="D46" s="13">
        <f>IF(D10=0,0,D10/TrAvia_act!D28*1000000)</f>
        <v>35807.241796615592</v>
      </c>
      <c r="E46" s="13">
        <f>IF(E10=0,0,E10/TrAvia_act!E28*1000000)</f>
        <v>38391.944278032657</v>
      </c>
      <c r="F46" s="13">
        <f>IF(F10=0,0,F10/TrAvia_act!F28*1000000)</f>
        <v>40536.887800789009</v>
      </c>
      <c r="G46" s="13">
        <f>IF(G10=0,0,G10/TrAvia_act!G28*1000000)</f>
        <v>40998.893602383738</v>
      </c>
      <c r="H46" s="13">
        <f>IF(H10=0,0,H10/TrAvia_act!H28*1000000)</f>
        <v>39116.502256090724</v>
      </c>
      <c r="I46" s="13">
        <f>IF(I10=0,0,I10/TrAvia_act!I28*1000000)</f>
        <v>38361.623647574801</v>
      </c>
      <c r="J46" s="13">
        <f>IF(J10=0,0,J10/TrAvia_act!J28*1000000)</f>
        <v>39235.824771458618</v>
      </c>
      <c r="K46" s="13">
        <f>IF(K10=0,0,K10/TrAvia_act!K28*1000000)</f>
        <v>33799.425738705053</v>
      </c>
      <c r="L46" s="13">
        <f>IF(L10=0,0,L10/TrAvia_act!L28*1000000)</f>
        <v>41658.472892759033</v>
      </c>
      <c r="M46" s="13">
        <f>IF(M10=0,0,M10/TrAvia_act!M28*1000000)</f>
        <v>41063.820392437381</v>
      </c>
      <c r="N46" s="13">
        <f>IF(N10=0,0,N10/TrAvia_act!N28*1000000)</f>
        <v>42573.052083288399</v>
      </c>
      <c r="O46" s="13">
        <f>IF(O10=0,0,O10/TrAvia_act!O28*1000000)</f>
        <v>40422.812155022788</v>
      </c>
      <c r="P46" s="13">
        <f>IF(P10=0,0,P10/TrAvia_act!P28*1000000)</f>
        <v>38286.974375130972</v>
      </c>
      <c r="Q46" s="13">
        <f>IF(Q10=0,0,Q10/TrAvia_act!Q28*1000000)</f>
        <v>40889.49406339883</v>
      </c>
      <c r="R46" s="13">
        <f>IF(R10=0,0,R10/TrAvia_act!R28*1000000)</f>
        <v>40174.831940087053</v>
      </c>
      <c r="S46" s="13">
        <f>IF(S10=0,0,S10/TrAvia_act!S28*1000000)</f>
        <v>39305.527355344508</v>
      </c>
      <c r="T46" s="13">
        <f>IF(T10=0,0,T10/TrAvia_act!T28*1000000)</f>
        <v>40451.452735601531</v>
      </c>
      <c r="U46" s="13">
        <f>IF(U10=0,0,U10/TrAvia_act!U28*1000000)</f>
        <v>38929.062362032353</v>
      </c>
      <c r="V46" s="13">
        <f>IF(V10=0,0,V10/TrAvia_act!V28*1000000)</f>
        <v>44951.864783023782</v>
      </c>
      <c r="W46" s="13">
        <f>IF(W10=0,0,W10/TrAvia_act!W28*1000000)</f>
        <v>36826.654637351254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9824.4285073085084</v>
      </c>
      <c r="C47" s="102">
        <f>IF(C11=0,0,C11/TrAvia_act!C29*1000000)</f>
        <v>9731.953760822953</v>
      </c>
      <c r="D47" s="102">
        <f>IF(D11=0,0,D11/TrAvia_act!D29*1000000)</f>
        <v>8842.4979867867387</v>
      </c>
      <c r="E47" s="102">
        <f>IF(E11=0,0,E11/TrAvia_act!E29*1000000)</f>
        <v>8508.2321403325441</v>
      </c>
      <c r="F47" s="102">
        <f>IF(F11=0,0,F11/TrAvia_act!F29*1000000)</f>
        <v>8725.9223782045101</v>
      </c>
      <c r="G47" s="102">
        <f>IF(G11=0,0,G11/TrAvia_act!G29*1000000)</f>
        <v>8697.0008050143169</v>
      </c>
      <c r="H47" s="102">
        <f>IF(H11=0,0,H11/TrAvia_act!H29*1000000)</f>
        <v>7299.6801316197134</v>
      </c>
      <c r="I47" s="102">
        <f>IF(I11=0,0,I11/TrAvia_act!I29*1000000)</f>
        <v>6316.8267874309759</v>
      </c>
      <c r="J47" s="102">
        <f>IF(J11=0,0,J11/TrAvia_act!J29*1000000)</f>
        <v>5331.4544515787811</v>
      </c>
      <c r="K47" s="102">
        <f>IF(K11=0,0,K11/TrAvia_act!K29*1000000)</f>
        <v>4505.0892386345258</v>
      </c>
      <c r="L47" s="102">
        <f>IF(L11=0,0,L11/TrAvia_act!L29*1000000)</f>
        <v>4082.2016601231649</v>
      </c>
      <c r="M47" s="102">
        <f>IF(M11=0,0,M11/TrAvia_act!M29*1000000)</f>
        <v>7262.5243324619742</v>
      </c>
      <c r="N47" s="102">
        <f>IF(N11=0,0,N11/TrAvia_act!N29*1000000)</f>
        <v>7304.5852988829101</v>
      </c>
      <c r="O47" s="102">
        <f>IF(O11=0,0,O11/TrAvia_act!O29*1000000)</f>
        <v>7189.5790129228053</v>
      </c>
      <c r="P47" s="102">
        <f>IF(P11=0,0,P11/TrAvia_act!P29*1000000)</f>
        <v>7141.6111263633838</v>
      </c>
      <c r="Q47" s="102">
        <f>IF(Q11=0,0,Q11/TrAvia_act!Q29*1000000)</f>
        <v>7080.760518811976</v>
      </c>
      <c r="R47" s="102">
        <f>IF(R11=0,0,R11/TrAvia_act!R29*1000000)</f>
        <v>7228.0692716269577</v>
      </c>
      <c r="S47" s="102">
        <f>IF(S11=0,0,S11/TrAvia_act!S29*1000000)</f>
        <v>7282.7526219494621</v>
      </c>
      <c r="T47" s="102">
        <f>IF(T11=0,0,T11/TrAvia_act!T29*1000000)</f>
        <v>7582.8773050383179</v>
      </c>
      <c r="U47" s="102">
        <f>IF(U11=0,0,U11/TrAvia_act!U29*1000000)</f>
        <v>7469.1850563539156</v>
      </c>
      <c r="V47" s="102">
        <f>IF(V11=0,0,V11/TrAvia_act!V29*1000000)</f>
        <v>9113.8490889828136</v>
      </c>
      <c r="W47" s="102">
        <f>IF(W11=0,0,W11/TrAvia_act!W29*1000000)</f>
        <v>9009.8792763695692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11125.956891007607</v>
      </c>
      <c r="C48" s="102">
        <f>IF(C12=0,0,C12/TrAvia_act!C30*1000000)</f>
        <v>11113.144270262448</v>
      </c>
      <c r="D48" s="102">
        <f>IF(D12=0,0,D12/TrAvia_act!D30*1000000)</f>
        <v>11106.605643113007</v>
      </c>
      <c r="E48" s="102">
        <f>IF(E12=0,0,E12/TrAvia_act!E30*1000000)</f>
        <v>10788.033237282045</v>
      </c>
      <c r="F48" s="102">
        <f>IF(F12=0,0,F12/TrAvia_act!F30*1000000)</f>
        <v>11176.518856283174</v>
      </c>
      <c r="G48" s="102">
        <f>IF(G12=0,0,G12/TrAvia_act!G30*1000000)</f>
        <v>11263.780142095884</v>
      </c>
      <c r="H48" s="102">
        <f>IF(H12=0,0,H12/TrAvia_act!H30*1000000)</f>
        <v>11378.620672596669</v>
      </c>
      <c r="I48" s="102">
        <f>IF(I12=0,0,I12/TrAvia_act!I30*1000000)</f>
        <v>11568.898866617003</v>
      </c>
      <c r="J48" s="102">
        <f>IF(J12=0,0,J12/TrAvia_act!J30*1000000)</f>
        <v>11414.22650442548</v>
      </c>
      <c r="K48" s="102">
        <f>IF(K12=0,0,K12/TrAvia_act!K30*1000000)</f>
        <v>11322.175346151014</v>
      </c>
      <c r="L48" s="102">
        <f>IF(L12=0,0,L12/TrAvia_act!L30*1000000)</f>
        <v>12639.132011741647</v>
      </c>
      <c r="M48" s="102">
        <f>IF(M12=0,0,M12/TrAvia_act!M30*1000000)</f>
        <v>11997.123936279715</v>
      </c>
      <c r="N48" s="102">
        <f>IF(N12=0,0,N12/TrAvia_act!N30*1000000)</f>
        <v>11663.068098920377</v>
      </c>
      <c r="O48" s="102">
        <f>IF(O12=0,0,O12/TrAvia_act!O30*1000000)</f>
        <v>11926.74561952281</v>
      </c>
      <c r="P48" s="102">
        <f>IF(P12=0,0,P12/TrAvia_act!P30*1000000)</f>
        <v>11792.423655046578</v>
      </c>
      <c r="Q48" s="102">
        <f>IF(Q12=0,0,Q12/TrAvia_act!Q30*1000000)</f>
        <v>12037.940899799562</v>
      </c>
      <c r="R48" s="102">
        <f>IF(R12=0,0,R12/TrAvia_act!R30*1000000)</f>
        <v>11946.283345802967</v>
      </c>
      <c r="S48" s="102">
        <f>IF(S12=0,0,S12/TrAvia_act!S30*1000000)</f>
        <v>12250.416338060719</v>
      </c>
      <c r="T48" s="102">
        <f>IF(T12=0,0,T12/TrAvia_act!T30*1000000)</f>
        <v>12258.072133480735</v>
      </c>
      <c r="U48" s="102">
        <f>IF(U12=0,0,U12/TrAvia_act!U30*1000000)</f>
        <v>12111.738045761387</v>
      </c>
      <c r="V48" s="102">
        <f>IF(V12=0,0,V12/TrAvia_act!V30*1000000)</f>
        <v>10797.984555901476</v>
      </c>
      <c r="W48" s="102">
        <f>IF(W12=0,0,W12/TrAvia_act!W30*1000000)</f>
        <v>9161.0551328497368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104782.70279327589</v>
      </c>
      <c r="C49" s="86">
        <f>IF(C13=0,0,C13/TrAvia_act!C31*1000000)</f>
        <v>104761.99220522965</v>
      </c>
      <c r="D49" s="86">
        <f>IF(D13=0,0,D13/TrAvia_act!D31*1000000)</f>
        <v>104624.08451035734</v>
      </c>
      <c r="E49" s="86">
        <f>IF(E13=0,0,E13/TrAvia_act!E31*1000000)</f>
        <v>101670.93724157619</v>
      </c>
      <c r="F49" s="86">
        <f>IF(F13=0,0,F13/TrAvia_act!F31*1000000)</f>
        <v>105280.4389438567</v>
      </c>
      <c r="G49" s="86">
        <f>IF(G13=0,0,G13/TrAvia_act!G31*1000000)</f>
        <v>101047.38754579972</v>
      </c>
      <c r="H49" s="86">
        <f>IF(H13=0,0,H13/TrAvia_act!H31*1000000)</f>
        <v>100259.48985426898</v>
      </c>
      <c r="I49" s="86">
        <f>IF(I13=0,0,I13/TrAvia_act!I31*1000000)</f>
        <v>96617.385264049793</v>
      </c>
      <c r="J49" s="86">
        <f>IF(J13=0,0,J13/TrAvia_act!J31*1000000)</f>
        <v>97477.993701603278</v>
      </c>
      <c r="K49" s="86">
        <f>IF(K13=0,0,K13/TrAvia_act!K31*1000000)</f>
        <v>98024.093156897914</v>
      </c>
      <c r="L49" s="86">
        <f>IF(L13=0,0,L13/TrAvia_act!L31*1000000)</f>
        <v>108337.21370173601</v>
      </c>
      <c r="M49" s="86">
        <f>IF(M13=0,0,M13/TrAvia_act!M31*1000000)</f>
        <v>102357.61841949313</v>
      </c>
      <c r="N49" s="86">
        <f>IF(N13=0,0,N13/TrAvia_act!N31*1000000)</f>
        <v>114501.26453758896</v>
      </c>
      <c r="O49" s="86">
        <f>IF(O13=0,0,O13/TrAvia_act!O31*1000000)</f>
        <v>110216.80875188352</v>
      </c>
      <c r="P49" s="86">
        <f>IF(P13=0,0,P13/TrAvia_act!P31*1000000)</f>
        <v>100888.6567034012</v>
      </c>
      <c r="Q49" s="86">
        <f>IF(Q13=0,0,Q13/TrAvia_act!Q31*1000000)</f>
        <v>107052.78451716584</v>
      </c>
      <c r="R49" s="86">
        <f>IF(R13=0,0,R13/TrAvia_act!R31*1000000)</f>
        <v>104410.47420167996</v>
      </c>
      <c r="S49" s="86">
        <f>IF(S13=0,0,S13/TrAvia_act!S31*1000000)</f>
        <v>102020.08569189864</v>
      </c>
      <c r="T49" s="86">
        <f>IF(T13=0,0,T13/TrAvia_act!T31*1000000)</f>
        <v>100089.6317947677</v>
      </c>
      <c r="U49" s="86">
        <f>IF(U13=0,0,U13/TrAvia_act!U31*1000000)</f>
        <v>98966.792592231111</v>
      </c>
      <c r="V49" s="86">
        <f>IF(V13=0,0,V13/TrAvia_act!V31*1000000)</f>
        <v>105937.1857010371</v>
      </c>
      <c r="W49" s="86">
        <f>IF(W13=0,0,W13/TrAvia_act!W31*1000000)</f>
        <v>88296.909073123272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0.92821879287897258</v>
      </c>
      <c r="C52" s="16">
        <f t="shared" si="35"/>
        <v>0.92752162979687403</v>
      </c>
      <c r="D52" s="16">
        <f t="shared" ref="D52:V52" si="36">IF(D6=0,0,D6/D$3)</f>
        <v>0.92882173367122067</v>
      </c>
      <c r="E52" s="16">
        <f t="shared" si="36"/>
        <v>0.9266614506118187</v>
      </c>
      <c r="F52" s="16">
        <f t="shared" si="36"/>
        <v>0.92339497457286512</v>
      </c>
      <c r="G52" s="16">
        <f t="shared" si="36"/>
        <v>0.92250710922580648</v>
      </c>
      <c r="H52" s="16">
        <f t="shared" si="36"/>
        <v>0.92343360795365848</v>
      </c>
      <c r="I52" s="16">
        <f t="shared" si="36"/>
        <v>0.92317536663497546</v>
      </c>
      <c r="J52" s="16">
        <f t="shared" si="36"/>
        <v>0.92339582825826327</v>
      </c>
      <c r="K52" s="16">
        <f t="shared" si="36"/>
        <v>0.93453528751230319</v>
      </c>
      <c r="L52" s="16">
        <f t="shared" si="36"/>
        <v>0.92555717747412936</v>
      </c>
      <c r="M52" s="16">
        <f t="shared" si="36"/>
        <v>0.92718455938319255</v>
      </c>
      <c r="N52" s="16">
        <f t="shared" si="36"/>
        <v>0.92568542821213906</v>
      </c>
      <c r="O52" s="16">
        <f t="shared" si="36"/>
        <v>0.9300155276591342</v>
      </c>
      <c r="P52" s="16">
        <f t="shared" si="36"/>
        <v>0.91914941614265533</v>
      </c>
      <c r="Q52" s="16">
        <f t="shared" si="36"/>
        <v>0.91816012011512205</v>
      </c>
      <c r="R52" s="16">
        <f t="shared" si="36"/>
        <v>0.92920889870499568</v>
      </c>
      <c r="S52" s="16">
        <f t="shared" si="36"/>
        <v>0.92907185363036082</v>
      </c>
      <c r="T52" s="16">
        <f t="shared" si="36"/>
        <v>0.9338153946971639</v>
      </c>
      <c r="U52" s="16">
        <f t="shared" si="36"/>
        <v>0.93975883865804255</v>
      </c>
      <c r="V52" s="16">
        <f t="shared" si="36"/>
        <v>0.85182179885097264</v>
      </c>
      <c r="W52" s="16">
        <f t="shared" ref="W52" si="37">IF(W6=0,0,W6/W$3)</f>
        <v>0.87061847723999475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0.15807101253674746</v>
      </c>
      <c r="C53" s="103">
        <f t="shared" si="38"/>
        <v>0.16081226573686649</v>
      </c>
      <c r="D53" s="103">
        <f t="shared" ref="D53:V53" si="39">IF(D7=0,0,D7/D$3)</f>
        <v>0.15280534115019495</v>
      </c>
      <c r="E53" s="103">
        <f t="shared" si="39"/>
        <v>0.14803536989797839</v>
      </c>
      <c r="F53" s="103">
        <f t="shared" si="39"/>
        <v>0.13385260523773165</v>
      </c>
      <c r="G53" s="103">
        <f t="shared" si="39"/>
        <v>0.13158956923193882</v>
      </c>
      <c r="H53" s="103">
        <f t="shared" si="39"/>
        <v>0.1273408534910612</v>
      </c>
      <c r="I53" s="103">
        <f t="shared" si="39"/>
        <v>0.12441863231992827</v>
      </c>
      <c r="J53" s="103">
        <f t="shared" si="39"/>
        <v>0.12491402028856237</v>
      </c>
      <c r="K53" s="103">
        <f t="shared" si="39"/>
        <v>0.12976630690183785</v>
      </c>
      <c r="L53" s="103">
        <f t="shared" si="39"/>
        <v>0.12497577947027153</v>
      </c>
      <c r="M53" s="103">
        <f t="shared" si="39"/>
        <v>0.20724626120790279</v>
      </c>
      <c r="N53" s="103">
        <f t="shared" si="39"/>
        <v>0.21238682863445904</v>
      </c>
      <c r="O53" s="103">
        <f t="shared" si="39"/>
        <v>0.21245004787183755</v>
      </c>
      <c r="P53" s="103">
        <f t="shared" si="39"/>
        <v>0.20307474654293167</v>
      </c>
      <c r="Q53" s="103">
        <f t="shared" si="39"/>
        <v>0.19395426567723814</v>
      </c>
      <c r="R53" s="103">
        <f t="shared" si="39"/>
        <v>0.20218015177210785</v>
      </c>
      <c r="S53" s="103">
        <f t="shared" si="39"/>
        <v>0.20502283769852253</v>
      </c>
      <c r="T53" s="103">
        <f t="shared" si="39"/>
        <v>0.20790707520690124</v>
      </c>
      <c r="U53" s="103">
        <f t="shared" si="39"/>
        <v>0.20275638165009946</v>
      </c>
      <c r="V53" s="103">
        <f t="shared" si="39"/>
        <v>0.26361326140969776</v>
      </c>
      <c r="W53" s="103">
        <f t="shared" ref="W53" si="40">IF(W7=0,0,W7/W$3)</f>
        <v>0.30385796957879291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0.19052316724989449</v>
      </c>
      <c r="C54" s="103">
        <f t="shared" si="41"/>
        <v>0.1896734256208642</v>
      </c>
      <c r="D54" s="103">
        <f t="shared" ref="D54:V54" si="42">IF(D8=0,0,D8/D$3)</f>
        <v>0.191975713030721</v>
      </c>
      <c r="E54" s="103">
        <f t="shared" si="42"/>
        <v>0.19450803711007691</v>
      </c>
      <c r="F54" s="103">
        <f t="shared" si="42"/>
        <v>0.19454539226877934</v>
      </c>
      <c r="G54" s="103">
        <f t="shared" si="42"/>
        <v>0.19494600058305289</v>
      </c>
      <c r="H54" s="103">
        <f t="shared" si="42"/>
        <v>0.20072767881176434</v>
      </c>
      <c r="I54" s="103">
        <f t="shared" si="42"/>
        <v>0.20540141972089604</v>
      </c>
      <c r="J54" s="103">
        <f t="shared" si="42"/>
        <v>0.20048358110613076</v>
      </c>
      <c r="K54" s="103">
        <f t="shared" si="42"/>
        <v>0.1930956456422063</v>
      </c>
      <c r="L54" s="103">
        <f t="shared" si="42"/>
        <v>0.18766101495372334</v>
      </c>
      <c r="M54" s="103">
        <f t="shared" si="42"/>
        <v>0.17036068455693712</v>
      </c>
      <c r="N54" s="103">
        <f t="shared" si="42"/>
        <v>0.165982563372812</v>
      </c>
      <c r="O54" s="103">
        <f t="shared" si="42"/>
        <v>0.16605102135073527</v>
      </c>
      <c r="P54" s="103">
        <f t="shared" si="42"/>
        <v>0.16725706944326715</v>
      </c>
      <c r="Q54" s="103">
        <f t="shared" si="42"/>
        <v>0.16965805898458008</v>
      </c>
      <c r="R54" s="103">
        <f t="shared" si="42"/>
        <v>0.17926953284469657</v>
      </c>
      <c r="S54" s="103">
        <f t="shared" si="42"/>
        <v>0.18388505379302439</v>
      </c>
      <c r="T54" s="103">
        <f t="shared" si="42"/>
        <v>0.181439998643009</v>
      </c>
      <c r="U54" s="103">
        <f t="shared" si="42"/>
        <v>0.1772261795406018</v>
      </c>
      <c r="V54" s="103">
        <f t="shared" si="42"/>
        <v>0.11491547614733641</v>
      </c>
      <c r="W54" s="103">
        <f t="shared" ref="W54" si="43">IF(W8=0,0,W8/W$3)</f>
        <v>0.1239133395895764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0.57962461309233071</v>
      </c>
      <c r="C55" s="103">
        <f t="shared" si="44"/>
        <v>0.57703593843914336</v>
      </c>
      <c r="D55" s="103">
        <f t="shared" ref="D55:V55" si="45">IF(D9=0,0,D9/D$3)</f>
        <v>0.58404067949030458</v>
      </c>
      <c r="E55" s="103">
        <f t="shared" si="45"/>
        <v>0.58411804360376351</v>
      </c>
      <c r="F55" s="103">
        <f t="shared" si="45"/>
        <v>0.59499697706635413</v>
      </c>
      <c r="G55" s="103">
        <f t="shared" si="45"/>
        <v>0.59597153941081493</v>
      </c>
      <c r="H55" s="103">
        <f t="shared" si="45"/>
        <v>0.59536507565083296</v>
      </c>
      <c r="I55" s="103">
        <f t="shared" si="45"/>
        <v>0.59335531459415114</v>
      </c>
      <c r="J55" s="103">
        <f t="shared" si="45"/>
        <v>0.59799822686357018</v>
      </c>
      <c r="K55" s="103">
        <f t="shared" si="45"/>
        <v>0.61167333496825915</v>
      </c>
      <c r="L55" s="103">
        <f t="shared" si="45"/>
        <v>0.61292038305013441</v>
      </c>
      <c r="M55" s="103">
        <f t="shared" si="45"/>
        <v>0.54957761361835278</v>
      </c>
      <c r="N55" s="103">
        <f t="shared" si="45"/>
        <v>0.54731603620486791</v>
      </c>
      <c r="O55" s="103">
        <f t="shared" si="45"/>
        <v>0.55151445843656133</v>
      </c>
      <c r="P55" s="103">
        <f t="shared" si="45"/>
        <v>0.54881760015645653</v>
      </c>
      <c r="Q55" s="103">
        <f t="shared" si="45"/>
        <v>0.55454779545330368</v>
      </c>
      <c r="R55" s="103">
        <f t="shared" si="45"/>
        <v>0.54775921408819128</v>
      </c>
      <c r="S55" s="103">
        <f t="shared" si="45"/>
        <v>0.54016396213881379</v>
      </c>
      <c r="T55" s="103">
        <f t="shared" si="45"/>
        <v>0.5444683208472535</v>
      </c>
      <c r="U55" s="103">
        <f t="shared" si="45"/>
        <v>0.55977627746734115</v>
      </c>
      <c r="V55" s="103">
        <f t="shared" si="45"/>
        <v>0.47329306129393844</v>
      </c>
      <c r="W55" s="103">
        <f t="shared" ref="W55" si="46">IF(W9=0,0,W9/W$3)</f>
        <v>0.44284716807162555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7.178120712102741E-2</v>
      </c>
      <c r="C56" s="17">
        <f t="shared" si="47"/>
        <v>7.2478370203125836E-2</v>
      </c>
      <c r="D56" s="17">
        <f t="shared" ref="D56:V56" si="48">IF(D10=0,0,D10/D$3)</f>
        <v>7.1178266328779272E-2</v>
      </c>
      <c r="E56" s="17">
        <f t="shared" si="48"/>
        <v>7.3338549388181171E-2</v>
      </c>
      <c r="F56" s="17">
        <f t="shared" si="48"/>
        <v>7.6605025427134932E-2</v>
      </c>
      <c r="G56" s="17">
        <f t="shared" si="48"/>
        <v>7.7492890774193496E-2</v>
      </c>
      <c r="H56" s="17">
        <f t="shared" si="48"/>
        <v>7.65663920463414E-2</v>
      </c>
      <c r="I56" s="17">
        <f t="shared" si="48"/>
        <v>7.6824633365024611E-2</v>
      </c>
      <c r="J56" s="17">
        <f t="shared" si="48"/>
        <v>7.6604171741736657E-2</v>
      </c>
      <c r="K56" s="17">
        <f t="shared" si="48"/>
        <v>6.5464712487696877E-2</v>
      </c>
      <c r="L56" s="17">
        <f t="shared" si="48"/>
        <v>7.4442822525870728E-2</v>
      </c>
      <c r="M56" s="17">
        <f t="shared" si="48"/>
        <v>7.2815440616807323E-2</v>
      </c>
      <c r="N56" s="17">
        <f t="shared" si="48"/>
        <v>7.431457178786105E-2</v>
      </c>
      <c r="O56" s="17">
        <f t="shared" si="48"/>
        <v>6.9984472340865911E-2</v>
      </c>
      <c r="P56" s="17">
        <f t="shared" si="48"/>
        <v>8.0850583857344616E-2</v>
      </c>
      <c r="Q56" s="17">
        <f t="shared" si="48"/>
        <v>8.1839879884878064E-2</v>
      </c>
      <c r="R56" s="17">
        <f t="shared" si="48"/>
        <v>7.0791101295004266E-2</v>
      </c>
      <c r="S56" s="17">
        <f t="shared" si="48"/>
        <v>7.0928146369639192E-2</v>
      </c>
      <c r="T56" s="17">
        <f t="shared" si="48"/>
        <v>6.6184605302836097E-2</v>
      </c>
      <c r="U56" s="17">
        <f t="shared" si="48"/>
        <v>6.0241161341957554E-2</v>
      </c>
      <c r="V56" s="17">
        <f t="shared" si="48"/>
        <v>0.14817820114902749</v>
      </c>
      <c r="W56" s="17">
        <f t="shared" ref="W56" si="49">IF(W10=0,0,W10/W$3)</f>
        <v>0.12938152276000531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1.0139260289734079E-2</v>
      </c>
      <c r="C57" s="104">
        <f t="shared" si="50"/>
        <v>1.1775116855387326E-2</v>
      </c>
      <c r="D57" s="104">
        <f t="shared" ref="D57:V57" si="51">IF(D11=0,0,D11/D$3)</f>
        <v>9.470204413329214E-3</v>
      </c>
      <c r="E57" s="104">
        <f t="shared" si="51"/>
        <v>7.9766015374419554E-3</v>
      </c>
      <c r="F57" s="104">
        <f t="shared" si="51"/>
        <v>7.8207154326504456E-3</v>
      </c>
      <c r="G57" s="104">
        <f t="shared" si="51"/>
        <v>7.6537655878321171E-3</v>
      </c>
      <c r="H57" s="104">
        <f t="shared" si="51"/>
        <v>6.2524448550785377E-3</v>
      </c>
      <c r="I57" s="104">
        <f t="shared" si="51"/>
        <v>5.0624939837905251E-3</v>
      </c>
      <c r="J57" s="104">
        <f t="shared" si="51"/>
        <v>4.0353735719132946E-3</v>
      </c>
      <c r="K57" s="104">
        <f t="shared" si="51"/>
        <v>3.9268625661096901E-3</v>
      </c>
      <c r="L57" s="104">
        <f t="shared" si="51"/>
        <v>2.8386836494280108E-3</v>
      </c>
      <c r="M57" s="104">
        <f t="shared" si="51"/>
        <v>4.6064779161510382E-3</v>
      </c>
      <c r="N57" s="104">
        <f t="shared" si="51"/>
        <v>4.8527793174788043E-3</v>
      </c>
      <c r="O57" s="104">
        <f t="shared" si="51"/>
        <v>4.5520621830910093E-3</v>
      </c>
      <c r="P57" s="104">
        <f t="shared" si="51"/>
        <v>5.3397382404266839E-3</v>
      </c>
      <c r="Q57" s="104">
        <f t="shared" si="51"/>
        <v>4.9186605097396785E-3</v>
      </c>
      <c r="R57" s="104">
        <f t="shared" si="51"/>
        <v>4.356398732128574E-3</v>
      </c>
      <c r="S57" s="104">
        <f t="shared" si="51"/>
        <v>4.4588594863481492E-3</v>
      </c>
      <c r="T57" s="104">
        <f t="shared" si="51"/>
        <v>4.3031521905612996E-3</v>
      </c>
      <c r="U57" s="104">
        <f t="shared" si="51"/>
        <v>3.9995846406620968E-3</v>
      </c>
      <c r="V57" s="104">
        <f t="shared" si="51"/>
        <v>8.55927660641451E-3</v>
      </c>
      <c r="W57" s="104">
        <f t="shared" ref="W57" si="52">IF(W11=0,0,W11/W$3)</f>
        <v>8.8661484015211834E-3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3.8970470962502654E-3</v>
      </c>
      <c r="C58" s="104">
        <f t="shared" si="53"/>
        <v>4.4763687282507935E-3</v>
      </c>
      <c r="D58" s="104">
        <f t="shared" ref="D58:V58" si="54">IF(D12=0,0,D12/D$3)</f>
        <v>4.0634806052350196E-3</v>
      </c>
      <c r="E58" s="104">
        <f t="shared" si="54"/>
        <v>3.9810168376463E-3</v>
      </c>
      <c r="F58" s="104">
        <f t="shared" si="54"/>
        <v>4.2532728807877732E-3</v>
      </c>
      <c r="G58" s="104">
        <f t="shared" si="54"/>
        <v>4.0429437799476753E-3</v>
      </c>
      <c r="H58" s="104">
        <f t="shared" si="54"/>
        <v>5.1281888963028493E-3</v>
      </c>
      <c r="I58" s="104">
        <f t="shared" si="54"/>
        <v>6.0254452545356286E-3</v>
      </c>
      <c r="J58" s="104">
        <f t="shared" si="54"/>
        <v>5.8310786752619817E-3</v>
      </c>
      <c r="K58" s="104">
        <f t="shared" si="54"/>
        <v>5.5993559808215814E-3</v>
      </c>
      <c r="L58" s="104">
        <f t="shared" si="54"/>
        <v>6.1620783179785745E-3</v>
      </c>
      <c r="M58" s="104">
        <f t="shared" si="54"/>
        <v>6.422169989424735E-3</v>
      </c>
      <c r="N58" s="104">
        <f t="shared" si="54"/>
        <v>6.1628548954398739E-3</v>
      </c>
      <c r="O58" s="104">
        <f t="shared" si="54"/>
        <v>6.7470862616012912E-3</v>
      </c>
      <c r="P58" s="104">
        <f t="shared" si="54"/>
        <v>8.2195551975074374E-3</v>
      </c>
      <c r="Q58" s="104">
        <f t="shared" si="54"/>
        <v>7.9791983668742548E-3</v>
      </c>
      <c r="R58" s="104">
        <f t="shared" si="54"/>
        <v>7.0562929325074823E-3</v>
      </c>
      <c r="S58" s="104">
        <f t="shared" si="54"/>
        <v>7.5284556041960195E-3</v>
      </c>
      <c r="T58" s="104">
        <f t="shared" si="54"/>
        <v>6.2916525983960567E-3</v>
      </c>
      <c r="U58" s="104">
        <f t="shared" si="54"/>
        <v>6.1232905806777593E-3</v>
      </c>
      <c r="V58" s="104">
        <f t="shared" si="54"/>
        <v>1.2495848642330847E-2</v>
      </c>
      <c r="W58" s="104">
        <f t="shared" ref="W58" si="55">IF(W12=0,0,W12/W$3)</f>
        <v>1.1901204974014487E-2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5.7744899735043063E-2</v>
      </c>
      <c r="C59" s="105">
        <f t="shared" si="56"/>
        <v>5.6226884619487709E-2</v>
      </c>
      <c r="D59" s="105">
        <f t="shared" ref="D59:V59" si="57">IF(D13=0,0,D13/D$3)</f>
        <v>5.7644581310215041E-2</v>
      </c>
      <c r="E59" s="105">
        <f t="shared" si="57"/>
        <v>6.1380931013092915E-2</v>
      </c>
      <c r="F59" s="105">
        <f t="shared" si="57"/>
        <v>6.4531037113696704E-2</v>
      </c>
      <c r="G59" s="105">
        <f t="shared" si="57"/>
        <v>6.5796181406413703E-2</v>
      </c>
      <c r="H59" s="105">
        <f t="shared" si="57"/>
        <v>6.5185758294960011E-2</v>
      </c>
      <c r="I59" s="105">
        <f t="shared" si="57"/>
        <v>6.5736694126698456E-2</v>
      </c>
      <c r="J59" s="105">
        <f t="shared" si="57"/>
        <v>6.6737719494561393E-2</v>
      </c>
      <c r="K59" s="105">
        <f t="shared" si="57"/>
        <v>5.593849394076561E-2</v>
      </c>
      <c r="L59" s="105">
        <f t="shared" si="57"/>
        <v>6.5442060558464132E-2</v>
      </c>
      <c r="M59" s="105">
        <f t="shared" si="57"/>
        <v>6.1786792711231553E-2</v>
      </c>
      <c r="N59" s="105">
        <f t="shared" si="57"/>
        <v>6.3298937574942371E-2</v>
      </c>
      <c r="O59" s="105">
        <f t="shared" si="57"/>
        <v>5.8685323896173612E-2</v>
      </c>
      <c r="P59" s="105">
        <f t="shared" si="57"/>
        <v>6.7291290419410496E-2</v>
      </c>
      <c r="Q59" s="105">
        <f t="shared" si="57"/>
        <v>6.8942021008264132E-2</v>
      </c>
      <c r="R59" s="105">
        <f t="shared" si="57"/>
        <v>5.9378409630368216E-2</v>
      </c>
      <c r="S59" s="105">
        <f t="shared" si="57"/>
        <v>5.8940831279095024E-2</v>
      </c>
      <c r="T59" s="105">
        <f t="shared" si="57"/>
        <v>5.558980051387874E-2</v>
      </c>
      <c r="U59" s="105">
        <f t="shared" si="57"/>
        <v>5.0118286120617694E-2</v>
      </c>
      <c r="V59" s="105">
        <f t="shared" si="57"/>
        <v>0.12712307590028213</v>
      </c>
      <c r="W59" s="105">
        <f t="shared" ref="W59" si="58">IF(W13=0,0,W13/W$3)</f>
        <v>0.10861416938446963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89245856</v>
      </c>
      <c r="C4" s="11">
        <f t="shared" si="0"/>
        <v>92964425</v>
      </c>
      <c r="D4" s="11">
        <f t="shared" ref="D4" si="1">SUM(D5:D7)</f>
        <v>95773211</v>
      </c>
      <c r="E4" s="11">
        <f t="shared" ref="E4" si="2">SUM(E5:E7)</f>
        <v>94295601</v>
      </c>
      <c r="F4" s="11">
        <f t="shared" ref="F4" si="3">SUM(F5:F7)</f>
        <v>97450391</v>
      </c>
      <c r="G4" s="11">
        <f t="shared" ref="G4" si="4">SUM(G5:G7)</f>
        <v>96603616</v>
      </c>
      <c r="H4" s="11">
        <f t="shared" ref="H4" si="5">SUM(H5:H7)</f>
        <v>100567588</v>
      </c>
      <c r="I4" s="11">
        <f t="shared" ref="I4" si="6">SUM(I5:I7)</f>
        <v>105171023</v>
      </c>
      <c r="J4" s="11">
        <f t="shared" ref="J4" si="7">SUM(J5:J7)</f>
        <v>107869095</v>
      </c>
      <c r="K4" s="11">
        <f t="shared" ref="K4" si="8">SUM(K5:K7)</f>
        <v>100201201</v>
      </c>
      <c r="L4" s="11">
        <f t="shared" ref="L4" si="9">SUM(L5:L7)</f>
        <v>103015631</v>
      </c>
      <c r="M4" s="11">
        <f t="shared" ref="M4" si="10">SUM(M5:M7)</f>
        <v>107510128</v>
      </c>
      <c r="N4" s="11">
        <f t="shared" ref="N4" si="11">SUM(N5:N7)</f>
        <v>109426778</v>
      </c>
      <c r="O4" s="11">
        <f t="shared" ref="O4" si="12">SUM(O5:O7)</f>
        <v>108474332</v>
      </c>
      <c r="P4" s="11">
        <f t="shared" ref="P4" si="13">SUM(P5:P7)</f>
        <v>107433778</v>
      </c>
      <c r="Q4" s="11">
        <f t="shared" ref="Q4" si="14">SUM(Q5:Q7)</f>
        <v>110019443</v>
      </c>
      <c r="R4" s="11">
        <f t="shared" ref="R4" si="15">SUM(R5:R7)</f>
        <v>113265614</v>
      </c>
      <c r="S4" s="11">
        <f t="shared" ref="S4" si="16">SUM(S5:S7)</f>
        <v>116766930</v>
      </c>
      <c r="T4" s="11">
        <f t="shared" ref="T4" si="17">SUM(T5:T7)</f>
        <v>119732841</v>
      </c>
      <c r="U4" s="11">
        <f t="shared" ref="U4" si="18">SUM(U5:U7)</f>
        <v>123893520</v>
      </c>
      <c r="V4" s="11">
        <f t="shared" ref="V4:W4" si="19">SUM(V5:V7)</f>
        <v>49024308</v>
      </c>
      <c r="W4" s="11">
        <f t="shared" si="19"/>
        <v>62335887</v>
      </c>
      <c r="DA4" s="189" t="s">
        <v>361</v>
      </c>
    </row>
    <row r="5" spans="1:105" ht="11.45" customHeight="1" x14ac:dyDescent="0.25">
      <c r="A5" s="83" t="s">
        <v>27</v>
      </c>
      <c r="B5" s="84">
        <v>38505964</v>
      </c>
      <c r="C5" s="84">
        <v>39776093</v>
      </c>
      <c r="D5" s="84">
        <v>41738632</v>
      </c>
      <c r="E5" s="84">
        <v>40017597</v>
      </c>
      <c r="F5" s="84">
        <v>40520354</v>
      </c>
      <c r="G5" s="84">
        <v>38926116</v>
      </c>
      <c r="H5" s="84">
        <v>39442234</v>
      </c>
      <c r="I5" s="84">
        <v>39690844</v>
      </c>
      <c r="J5" s="84">
        <v>40725591</v>
      </c>
      <c r="K5" s="84">
        <v>36620612</v>
      </c>
      <c r="L5" s="84">
        <v>38560891</v>
      </c>
      <c r="M5" s="84">
        <v>39988260</v>
      </c>
      <c r="N5" s="84">
        <v>41111790</v>
      </c>
      <c r="O5" s="84">
        <v>40193187</v>
      </c>
      <c r="P5" s="84">
        <v>37824427</v>
      </c>
      <c r="Q5" s="84">
        <v>38117766</v>
      </c>
      <c r="R5" s="84">
        <v>38587196</v>
      </c>
      <c r="S5" s="84">
        <v>39424547</v>
      </c>
      <c r="T5" s="84">
        <v>39847686</v>
      </c>
      <c r="U5" s="84">
        <v>40412449</v>
      </c>
      <c r="V5" s="84">
        <v>21220143</v>
      </c>
      <c r="W5" s="84">
        <v>27017058</v>
      </c>
      <c r="DA5" s="171" t="s">
        <v>362</v>
      </c>
    </row>
    <row r="6" spans="1:105" ht="11.45" customHeight="1" x14ac:dyDescent="0.25">
      <c r="A6" s="83" t="s">
        <v>173</v>
      </c>
      <c r="B6" s="84">
        <v>29236963</v>
      </c>
      <c r="C6" s="84">
        <v>30951986</v>
      </c>
      <c r="D6" s="84">
        <v>31248620</v>
      </c>
      <c r="E6" s="84">
        <v>32329506</v>
      </c>
      <c r="F6" s="84">
        <v>33431985</v>
      </c>
      <c r="G6" s="84">
        <v>32784381</v>
      </c>
      <c r="H6" s="84">
        <v>35289636</v>
      </c>
      <c r="I6" s="84">
        <v>38128041</v>
      </c>
      <c r="J6" s="84">
        <v>38884258</v>
      </c>
      <c r="K6" s="84">
        <v>36292332</v>
      </c>
      <c r="L6" s="84">
        <v>35246834</v>
      </c>
      <c r="M6" s="84">
        <v>38058027</v>
      </c>
      <c r="N6" s="84">
        <v>38737310</v>
      </c>
      <c r="O6" s="84">
        <v>37811882</v>
      </c>
      <c r="P6" s="84">
        <v>38611942</v>
      </c>
      <c r="Q6" s="84">
        <v>40210988</v>
      </c>
      <c r="R6" s="84">
        <v>42869407</v>
      </c>
      <c r="S6" s="84">
        <v>44132156</v>
      </c>
      <c r="T6" s="84">
        <v>45169646</v>
      </c>
      <c r="U6" s="84">
        <v>47173120</v>
      </c>
      <c r="V6" s="84">
        <v>15602148</v>
      </c>
      <c r="W6" s="84">
        <v>20180745</v>
      </c>
      <c r="DA6" s="171" t="s">
        <v>363</v>
      </c>
    </row>
    <row r="7" spans="1:105" ht="11.45" customHeight="1" x14ac:dyDescent="0.25">
      <c r="A7" s="85" t="s">
        <v>174</v>
      </c>
      <c r="B7" s="86">
        <v>21502929</v>
      </c>
      <c r="C7" s="86">
        <v>22236346</v>
      </c>
      <c r="D7" s="86">
        <v>22785959</v>
      </c>
      <c r="E7" s="86">
        <v>21948498</v>
      </c>
      <c r="F7" s="86">
        <v>23498052</v>
      </c>
      <c r="G7" s="86">
        <v>24893119</v>
      </c>
      <c r="H7" s="86">
        <v>25835718</v>
      </c>
      <c r="I7" s="86">
        <v>27352138</v>
      </c>
      <c r="J7" s="86">
        <v>28259246</v>
      </c>
      <c r="K7" s="86">
        <v>27288257</v>
      </c>
      <c r="L7" s="86">
        <v>29207906</v>
      </c>
      <c r="M7" s="86">
        <v>29463841</v>
      </c>
      <c r="N7" s="86">
        <v>29577678</v>
      </c>
      <c r="O7" s="86">
        <v>30469263</v>
      </c>
      <c r="P7" s="86">
        <v>30997409</v>
      </c>
      <c r="Q7" s="86">
        <v>31690689</v>
      </c>
      <c r="R7" s="86">
        <v>31809011</v>
      </c>
      <c r="S7" s="86">
        <v>33210227</v>
      </c>
      <c r="T7" s="86">
        <v>34715509</v>
      </c>
      <c r="U7" s="86">
        <v>36307951</v>
      </c>
      <c r="V7" s="86">
        <v>12202017</v>
      </c>
      <c r="W7" s="86">
        <v>15138084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104.28074029326157</v>
      </c>
      <c r="C12" s="14">
        <f>IF(C4=0,0,C4/TrAvia_act!C24)</f>
        <v>108.16294059814889</v>
      </c>
      <c r="D12" s="14">
        <f>IF(D4=0,0,D4/TrAvia_act!D24)</f>
        <v>109.22765509989485</v>
      </c>
      <c r="E12" s="14">
        <f>IF(E4=0,0,E4/TrAvia_act!E24)</f>
        <v>109.1755771060986</v>
      </c>
      <c r="F12" s="14">
        <f>IF(F4=0,0,F4/TrAvia_act!F24)</f>
        <v>115.58100541431681</v>
      </c>
      <c r="G12" s="14">
        <f>IF(G4=0,0,G4/TrAvia_act!G24)</f>
        <v>114.11151798075061</v>
      </c>
      <c r="H12" s="14">
        <f>IF(H4=0,0,H4/TrAvia_act!H24)</f>
        <v>114.54845617280294</v>
      </c>
      <c r="I12" s="14">
        <f>IF(I4=0,0,I4/TrAvia_act!I24)</f>
        <v>117.43696129653968</v>
      </c>
      <c r="J12" s="14">
        <f>IF(J4=0,0,J4/TrAvia_act!J24)</f>
        <v>119.87666058406329</v>
      </c>
      <c r="K12" s="14">
        <f>IF(K4=0,0,K4/TrAvia_act!K24)</f>
        <v>121.08730870368043</v>
      </c>
      <c r="L12" s="14">
        <f>IF(L4=0,0,L4/TrAvia_act!L24)</f>
        <v>139.8604743673292</v>
      </c>
      <c r="M12" s="14">
        <f>IF(M4=0,0,M4/TrAvia_act!M24)</f>
        <v>139.66326526635498</v>
      </c>
      <c r="N12" s="14">
        <f>IF(N4=0,0,N4/TrAvia_act!N24)</f>
        <v>144.19985109144699</v>
      </c>
      <c r="O12" s="14">
        <f>IF(O4=0,0,O4/TrAvia_act!O24)</f>
        <v>146.07862101471233</v>
      </c>
      <c r="P12" s="14">
        <f>IF(P4=0,0,P4/TrAvia_act!P24)</f>
        <v>147.42745597435513</v>
      </c>
      <c r="Q12" s="14">
        <f>IF(Q4=0,0,Q4/TrAvia_act!Q24)</f>
        <v>150.1609071937566</v>
      </c>
      <c r="R12" s="14">
        <f>IF(R4=0,0,R4/TrAvia_act!R24)</f>
        <v>152.14282125917936</v>
      </c>
      <c r="S12" s="14">
        <f>IF(S4=0,0,S4/TrAvia_act!S24)</f>
        <v>154.77995933224284</v>
      </c>
      <c r="T12" s="14">
        <f>IF(T4=0,0,T4/TrAvia_act!T24)</f>
        <v>157.69052799325686</v>
      </c>
      <c r="U12" s="14">
        <f>IF(U4=0,0,U4/TrAvia_act!U24)</f>
        <v>159.94846265866582</v>
      </c>
      <c r="V12" s="14">
        <f>IF(V4=0,0,V4/TrAvia_act!V24)</f>
        <v>160.00779406436956</v>
      </c>
      <c r="W12" s="14">
        <f>IF(W4=0,0,W4/TrAvia_act!W24)</f>
        <v>160.98354419592013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97.179613108382654</v>
      </c>
      <c r="C13" s="87">
        <f>IF(C5=0,0,C5/TrAvia_act!C25)</f>
        <v>98.322793946794675</v>
      </c>
      <c r="D13" s="87">
        <f>IF(D5=0,0,D5/TrAvia_act!D25)</f>
        <v>99.479780441357676</v>
      </c>
      <c r="E13" s="87">
        <f>IF(E5=0,0,E5/TrAvia_act!E25)</f>
        <v>98.424176613385214</v>
      </c>
      <c r="F13" s="87">
        <f>IF(F5=0,0,F5/TrAvia_act!F25)</f>
        <v>107.52867715937829</v>
      </c>
      <c r="G13" s="87">
        <f>IF(G5=0,0,G5/TrAvia_act!G25)</f>
        <v>103.77225941121428</v>
      </c>
      <c r="H13" s="87">
        <f>IF(H5=0,0,H5/TrAvia_act!H25)</f>
        <v>103.05525319481931</v>
      </c>
      <c r="I13" s="87">
        <f>IF(I5=0,0,I5/TrAvia_act!I25)</f>
        <v>105.46875066431411</v>
      </c>
      <c r="J13" s="87">
        <f>IF(J5=0,0,J5/TrAvia_act!J25)</f>
        <v>108.3029486695352</v>
      </c>
      <c r="K13" s="87">
        <f>IF(K5=0,0,K5/TrAvia_act!K25)</f>
        <v>104.81989426591521</v>
      </c>
      <c r="L13" s="87">
        <f>IF(L5=0,0,L5/TrAvia_act!L25)</f>
        <v>126.35747920032244</v>
      </c>
      <c r="M13" s="87">
        <f>IF(M5=0,0,M5/TrAvia_act!M25)</f>
        <v>125.49864264754343</v>
      </c>
      <c r="N13" s="87">
        <f>IF(N5=0,0,N5/TrAvia_act!N25)</f>
        <v>129.53042146752745</v>
      </c>
      <c r="O13" s="87">
        <f>IF(O5=0,0,O5/TrAvia_act!O25)</f>
        <v>128.70757293864861</v>
      </c>
      <c r="P13" s="87">
        <f>IF(P5=0,0,P5/TrAvia_act!P25)</f>
        <v>128.76795203938164</v>
      </c>
      <c r="Q13" s="87">
        <f>IF(Q5=0,0,Q5/TrAvia_act!Q25)</f>
        <v>131.3160485746275</v>
      </c>
      <c r="R13" s="87">
        <f>IF(R5=0,0,R5/TrAvia_act!R25)</f>
        <v>133.71820453198694</v>
      </c>
      <c r="S13" s="87">
        <f>IF(S5=0,0,S5/TrAvia_act!S25)</f>
        <v>135.83570323563157</v>
      </c>
      <c r="T13" s="87">
        <f>IF(T5=0,0,T5/TrAvia_act!T25)</f>
        <v>138.44895505793653</v>
      </c>
      <c r="U13" s="87">
        <f>IF(U5=0,0,U5/TrAvia_act!U25)</f>
        <v>139.59829148401849</v>
      </c>
      <c r="V13" s="87">
        <f>IF(V5=0,0,V5/TrAvia_act!V25)</f>
        <v>147.15669794245531</v>
      </c>
      <c r="W13" s="87">
        <f>IF(W5=0,0,W5/TrAvia_act!W25)</f>
        <v>149.91320511824568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97.812581128641582</v>
      </c>
      <c r="C14" s="87">
        <f>IF(C6=0,0,C6/TrAvia_act!C26)</f>
        <v>104.60816195481353</v>
      </c>
      <c r="D14" s="87">
        <f>IF(D6=0,0,D6/TrAvia_act!D26)</f>
        <v>105.07622986650526</v>
      </c>
      <c r="E14" s="87">
        <f>IF(E6=0,0,E6/TrAvia_act!E26)</f>
        <v>108.20831339052317</v>
      </c>
      <c r="F14" s="87">
        <f>IF(F6=0,0,F6/TrAvia_act!F26)</f>
        <v>110.50215504419162</v>
      </c>
      <c r="G14" s="87">
        <f>IF(G6=0,0,G6/TrAvia_act!G26)</f>
        <v>108.82276342344257</v>
      </c>
      <c r="H14" s="87">
        <f>IF(H6=0,0,H6/TrAvia_act!H26)</f>
        <v>110.36495555958643</v>
      </c>
      <c r="I14" s="87">
        <f>IF(I6=0,0,I6/TrAvia_act!I26)</f>
        <v>114.15683673805454</v>
      </c>
      <c r="J14" s="87">
        <f>IF(J6=0,0,J6/TrAvia_act!J26)</f>
        <v>115.63816474254888</v>
      </c>
      <c r="K14" s="87">
        <f>IF(K6=0,0,K6/TrAvia_act!K26)</f>
        <v>119.54901721803694</v>
      </c>
      <c r="L14" s="87">
        <f>IF(L6=0,0,L6/TrAvia_act!L26)</f>
        <v>130.46893079898578</v>
      </c>
      <c r="M14" s="87">
        <f>IF(M6=0,0,M6/TrAvia_act!M26)</f>
        <v>132.0395618807072</v>
      </c>
      <c r="N14" s="87">
        <f>IF(N6=0,0,N6/TrAvia_act!N26)</f>
        <v>136.11046303258587</v>
      </c>
      <c r="O14" s="87">
        <f>IF(O6=0,0,O6/TrAvia_act!O26)</f>
        <v>139.19338118902999</v>
      </c>
      <c r="P14" s="87">
        <f>IF(P6=0,0,P6/TrAvia_act!P26)</f>
        <v>141.6094548255185</v>
      </c>
      <c r="Q14" s="87">
        <f>IF(Q6=0,0,Q6/TrAvia_act!Q26)</f>
        <v>143.79966527436059</v>
      </c>
      <c r="R14" s="87">
        <f>IF(R6=0,0,R6/TrAvia_act!R26)</f>
        <v>146.86232708237696</v>
      </c>
      <c r="S14" s="87">
        <f>IF(S6=0,0,S6/TrAvia_act!S26)</f>
        <v>149.0966327361426</v>
      </c>
      <c r="T14" s="87">
        <f>IF(T6=0,0,T6/TrAvia_act!T26)</f>
        <v>151.03722627005013</v>
      </c>
      <c r="U14" s="87">
        <f>IF(U6=0,0,U6/TrAvia_act!U26)</f>
        <v>153.9512297007989</v>
      </c>
      <c r="V14" s="87">
        <f>IF(V6=0,0,V6/TrAvia_act!V26)</f>
        <v>150.87075250933142</v>
      </c>
      <c r="W14" s="87">
        <f>IF(W6=0,0,W6/TrAvia_act!W26)</f>
        <v>151.28334970051802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133.82455190440626</v>
      </c>
      <c r="C15" s="88">
        <f>IF(C7=0,0,C7/TrAvia_act!C27)</f>
        <v>139.80375218479259</v>
      </c>
      <c r="D15" s="88">
        <f>IF(D7=0,0,D7/TrAvia_act!D27)</f>
        <v>142.5342887347291</v>
      </c>
      <c r="E15" s="88">
        <f>IF(E7=0,0,E7/TrAvia_act!E27)</f>
        <v>138.60575174295241</v>
      </c>
      <c r="F15" s="88">
        <f>IF(F7=0,0,F7/TrAvia_act!F27)</f>
        <v>143.49429639219326</v>
      </c>
      <c r="G15" s="88">
        <f>IF(G7=0,0,G7/TrAvia_act!G27)</f>
        <v>146.26062151506784</v>
      </c>
      <c r="H15" s="88">
        <f>IF(H7=0,0,H7/TrAvia_act!H27)</f>
        <v>147.24143276436897</v>
      </c>
      <c r="I15" s="88">
        <f>IF(I7=0,0,I7/TrAvia_act!I27)</f>
        <v>147.66740449608051</v>
      </c>
      <c r="J15" s="88">
        <f>IF(J7=0,0,J7/TrAvia_act!J27)</f>
        <v>150.68222584807668</v>
      </c>
      <c r="K15" s="88">
        <f>IF(K7=0,0,K7/TrAvia_act!K27)</f>
        <v>156.31878121992577</v>
      </c>
      <c r="L15" s="88">
        <f>IF(L7=0,0,L7/TrAvia_act!L27)</f>
        <v>181.15452267539942</v>
      </c>
      <c r="M15" s="88">
        <f>IF(M7=0,0,M7/TrAvia_act!M27)</f>
        <v>180.85518126127894</v>
      </c>
      <c r="N15" s="88">
        <f>IF(N7=0,0,N7/TrAvia_act!N27)</f>
        <v>188.55859290331628</v>
      </c>
      <c r="O15" s="88">
        <f>IF(O7=0,0,O7/TrAvia_act!O27)</f>
        <v>192.0630287061434</v>
      </c>
      <c r="P15" s="88">
        <f>IF(P7=0,0,P7/TrAvia_act!P27)</f>
        <v>190.96834589106501</v>
      </c>
      <c r="Q15" s="88">
        <f>IF(Q7=0,0,Q7/TrAvia_act!Q27)</f>
        <v>194.69612950789457</v>
      </c>
      <c r="R15" s="88">
        <f>IF(R7=0,0,R7/TrAvia_act!R27)</f>
        <v>193.96211492963243</v>
      </c>
      <c r="S15" s="88">
        <f>IF(S7=0,0,S7/TrAvia_act!S27)</f>
        <v>197.4777430249982</v>
      </c>
      <c r="T15" s="88">
        <f>IF(T7=0,0,T7/TrAvia_act!T27)</f>
        <v>201.35204626128112</v>
      </c>
      <c r="U15" s="88">
        <f>IF(U7=0,0,U7/TrAvia_act!U27)</f>
        <v>203.20439116394388</v>
      </c>
      <c r="V15" s="88">
        <f>IF(V7=0,0,V7/TrAvia_act!V27)</f>
        <v>207.61616075682298</v>
      </c>
      <c r="W15" s="88">
        <f>IF(W7=0,0,W7/TrAvia_act!W27)</f>
        <v>205.66931145046465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0.6587644921014596</v>
      </c>
      <c r="C18" s="25">
        <f>IF(TrAvia_act!C34=0,0,(TrAvia_act!C34/TrAvia_act!C24)/TrAvia_png!C12)</f>
        <v>0.64514219283344132</v>
      </c>
      <c r="D18" s="25">
        <f>IF(TrAvia_act!D34=0,0,(TrAvia_act!D34/TrAvia_act!D24)/TrAvia_png!D12)</f>
        <v>0.64885191120928376</v>
      </c>
      <c r="E18" s="25">
        <f>IF(TrAvia_act!E34=0,0,(TrAvia_act!E34/TrAvia_act!E24)/TrAvia_png!E12)</f>
        <v>0.65218870602457912</v>
      </c>
      <c r="F18" s="25">
        <f>IF(TrAvia_act!F34=0,0,(TrAvia_act!F34/TrAvia_act!F24)/TrAvia_png!F12)</f>
        <v>0.66068000691757101</v>
      </c>
      <c r="G18" s="25">
        <f>IF(TrAvia_act!G34=0,0,(TrAvia_act!G34/TrAvia_act!G24)/TrAvia_png!G12)</f>
        <v>0.69580697683200587</v>
      </c>
      <c r="H18" s="25">
        <f>IF(TrAvia_act!H34=0,0,(TrAvia_act!H34/TrAvia_act!H24)/TrAvia_png!H12)</f>
        <v>0.69714661944562106</v>
      </c>
      <c r="I18" s="25">
        <f>IF(TrAvia_act!I34=0,0,(TrAvia_act!I34/TrAvia_act!I24)/TrAvia_png!I12)</f>
        <v>0.6990347141531561</v>
      </c>
      <c r="J18" s="25">
        <f>IF(TrAvia_act!J34=0,0,(TrAvia_act!J34/TrAvia_act!J24)/TrAvia_png!J12)</f>
        <v>0.69151372781981713</v>
      </c>
      <c r="K18" s="25">
        <f>IF(TrAvia_act!K34=0,0,(TrAvia_act!K34/TrAvia_act!K24)/TrAvia_png!K12)</f>
        <v>0.7147868117868168</v>
      </c>
      <c r="L18" s="25">
        <f>IF(TrAvia_act!L34=0,0,(TrAvia_act!L34/TrAvia_act!L24)/TrAvia_png!L12)</f>
        <v>0.70720835559411366</v>
      </c>
      <c r="M18" s="25">
        <f>IF(TrAvia_act!M34=0,0,(TrAvia_act!M34/TrAvia_act!M24)/TrAvia_png!M12)</f>
        <v>0.71806642254206965</v>
      </c>
      <c r="N18" s="25">
        <f>IF(TrAvia_act!N34=0,0,(TrAvia_act!N34/TrAvia_act!N24)/TrAvia_png!N12)</f>
        <v>0.72548710152098239</v>
      </c>
      <c r="O18" s="25">
        <f>IF(TrAvia_act!O34=0,0,(TrAvia_act!O34/TrAvia_act!O24)/TrAvia_png!O12)</f>
        <v>0.7463406642596333</v>
      </c>
      <c r="P18" s="25">
        <f>IF(TrAvia_act!P34=0,0,(TrAvia_act!P34/TrAvia_act!P24)/TrAvia_png!P12)</f>
        <v>0.76769879581075517</v>
      </c>
      <c r="Q18" s="25">
        <f>IF(TrAvia_act!Q34=0,0,(TrAvia_act!Q34/TrAvia_act!Q24)/TrAvia_png!Q12)</f>
        <v>0.77100157651225332</v>
      </c>
      <c r="R18" s="25">
        <f>IF(TrAvia_act!R34=0,0,(TrAvia_act!R34/TrAvia_act!R24)/TrAvia_png!R12)</f>
        <v>0.77069657698584504</v>
      </c>
      <c r="S18" s="25">
        <f>IF(TrAvia_act!S34=0,0,(TrAvia_act!S34/TrAvia_act!S24)/TrAvia_png!S12)</f>
        <v>0.79061341254754236</v>
      </c>
      <c r="T18" s="25">
        <f>IF(TrAvia_act!T34=0,0,(TrAvia_act!T34/TrAvia_act!T24)/TrAvia_png!T12)</f>
        <v>0.80659297978238065</v>
      </c>
      <c r="U18" s="25">
        <f>IF(TrAvia_act!U34=0,0,(TrAvia_act!U34/TrAvia_act!U24)/TrAvia_png!U12)</f>
        <v>0.80943867766449762</v>
      </c>
      <c r="V18" s="25">
        <f>IF(TrAvia_act!V34=0,0,(TrAvia_act!V34/TrAvia_act!V24)/TrAvia_png!V12)</f>
        <v>0.66013558008814732</v>
      </c>
      <c r="W18" s="25">
        <f>IF(TrAvia_act!W34=0,0,(TrAvia_act!W34/TrAvia_act!W24)/TrAvia_png!W12)</f>
        <v>0.67827482746816459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0.66598836481538282</v>
      </c>
      <c r="C19" s="89">
        <f>IF(TrAvia_act!C35=0,0,(TrAvia_act!C35/TrAvia_act!C25)/TrAvia_png!C13)</f>
        <v>0.66724489506799978</v>
      </c>
      <c r="D19" s="89">
        <f>IF(TrAvia_act!D35=0,0,(TrAvia_act!D35/TrAvia_act!D25)/TrAvia_png!D13)</f>
        <v>0.6684285675678111</v>
      </c>
      <c r="E19" s="89">
        <f>IF(TrAvia_act!E35=0,0,(TrAvia_act!E35/TrAvia_act!E25)/TrAvia_png!E13)</f>
        <v>0.66763811430256548</v>
      </c>
      <c r="F19" s="89">
        <f>IF(TrAvia_act!F35=0,0,(TrAvia_act!F35/TrAvia_act!F25)/TrAvia_png!F13)</f>
        <v>0.65146123846795612</v>
      </c>
      <c r="G19" s="89">
        <f>IF(TrAvia_act!G35=0,0,(TrAvia_act!G35/TrAvia_act!G25)/TrAvia_png!G13)</f>
        <v>0.6835233959637792</v>
      </c>
      <c r="H19" s="89">
        <f>IF(TrAvia_act!H35=0,0,(TrAvia_act!H35/TrAvia_act!H25)/TrAvia_png!H13)</f>
        <v>0.68422701411892639</v>
      </c>
      <c r="I19" s="89">
        <f>IF(TrAvia_act!I35=0,0,(TrAvia_act!I35/TrAvia_act!I25)/TrAvia_png!I13)</f>
        <v>0.68441298451602584</v>
      </c>
      <c r="J19" s="89">
        <f>IF(TrAvia_act!J35=0,0,(TrAvia_act!J35/TrAvia_act!J25)/TrAvia_png!J13)</f>
        <v>0.65718758998488203</v>
      </c>
      <c r="K19" s="89">
        <f>IF(TrAvia_act!K35=0,0,(TrAvia_act!K35/TrAvia_act!K25)/TrAvia_png!K13)</f>
        <v>0.70836620644133419</v>
      </c>
      <c r="L19" s="89">
        <f>IF(TrAvia_act!L35=0,0,(TrAvia_act!L35/TrAvia_act!L25)/TrAvia_png!L13)</f>
        <v>0.68122673825145785</v>
      </c>
      <c r="M19" s="89">
        <f>IF(TrAvia_act!M35=0,0,(TrAvia_act!M35/TrAvia_act!M25)/TrAvia_png!M13)</f>
        <v>0.69367801949872276</v>
      </c>
      <c r="N19" s="89">
        <f>IF(TrAvia_act!N35=0,0,(TrAvia_act!N35/TrAvia_act!N25)/TrAvia_png!N13)</f>
        <v>0.68689752988133079</v>
      </c>
      <c r="O19" s="89">
        <f>IF(TrAvia_act!O35=0,0,(TrAvia_act!O35/TrAvia_act!O25)/TrAvia_png!O13)</f>
        <v>0.71495711449803656</v>
      </c>
      <c r="P19" s="89">
        <f>IF(TrAvia_act!P35=0,0,(TrAvia_act!P35/TrAvia_act!P25)/TrAvia_png!P13)</f>
        <v>0.74216122295785203</v>
      </c>
      <c r="Q19" s="89">
        <f>IF(TrAvia_act!Q35=0,0,(TrAvia_act!Q35/TrAvia_act!Q25)/TrAvia_png!Q13)</f>
        <v>0.74253331110747678</v>
      </c>
      <c r="R19" s="89">
        <f>IF(TrAvia_act!R35=0,0,(TrAvia_act!R35/TrAvia_act!R25)/TrAvia_png!R13)</f>
        <v>0.75324750209888269</v>
      </c>
      <c r="S19" s="89">
        <f>IF(TrAvia_act!S35=0,0,(TrAvia_act!S35/TrAvia_act!S25)/TrAvia_png!S13)</f>
        <v>0.76421882539322528</v>
      </c>
      <c r="T19" s="89">
        <f>IF(TrAvia_act!T35=0,0,(TrAvia_act!T35/TrAvia_act!T25)/TrAvia_png!T13)</f>
        <v>0.77821946800122843</v>
      </c>
      <c r="U19" s="89">
        <f>IF(TrAvia_act!U35=0,0,(TrAvia_act!U35/TrAvia_act!U25)/TrAvia_png!U13)</f>
        <v>0.78368155812581419</v>
      </c>
      <c r="V19" s="89">
        <f>IF(TrAvia_act!V35=0,0,(TrAvia_act!V35/TrAvia_act!V25)/TrAvia_png!V13)</f>
        <v>0.67375912593991483</v>
      </c>
      <c r="W19" s="89">
        <f>IF(TrAvia_act!W35=0,0,(TrAvia_act!W35/TrAvia_act!W25)/TrAvia_png!W13)</f>
        <v>0.69636286822939786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0.62712761924006954</v>
      </c>
      <c r="C20" s="89">
        <f>IF(TrAvia_act!C36=0,0,(TrAvia_act!C36/TrAvia_act!C26)/TrAvia_png!C14)</f>
        <v>0.59791859559512595</v>
      </c>
      <c r="D20" s="89">
        <f>IF(TrAvia_act!D36=0,0,(TrAvia_act!D36/TrAvia_act!D26)/TrAvia_png!D14)</f>
        <v>0.60727545728419363</v>
      </c>
      <c r="E20" s="89">
        <f>IF(TrAvia_act!E36=0,0,(TrAvia_act!E36/TrAvia_act!E26)/TrAvia_png!E14)</f>
        <v>0.60877162799827511</v>
      </c>
      <c r="F20" s="89">
        <f>IF(TrAvia_act!F36=0,0,(TrAvia_act!F36/TrAvia_act!F26)/TrAvia_png!F14)</f>
        <v>0.63220191681708393</v>
      </c>
      <c r="G20" s="89">
        <f>IF(TrAvia_act!G36=0,0,(TrAvia_act!G36/TrAvia_act!G26)/TrAvia_png!G14)</f>
        <v>0.68072634953821443</v>
      </c>
      <c r="H20" s="89">
        <f>IF(TrAvia_act!H36=0,0,(TrAvia_act!H36/TrAvia_act!H26)/TrAvia_png!H14)</f>
        <v>0.68333632004591938</v>
      </c>
      <c r="I20" s="89">
        <f>IF(TrAvia_act!I36=0,0,(TrAvia_act!I36/TrAvia_act!I26)/TrAvia_png!I14)</f>
        <v>0.68627722048452477</v>
      </c>
      <c r="J20" s="89">
        <f>IF(TrAvia_act!J36=0,0,(TrAvia_act!J36/TrAvia_act!J26)/TrAvia_png!J14)</f>
        <v>0.68738192201070158</v>
      </c>
      <c r="K20" s="89">
        <f>IF(TrAvia_act!K36=0,0,(TrAvia_act!K36/TrAvia_act!K26)/TrAvia_png!K14)</f>
        <v>0.68889665177757109</v>
      </c>
      <c r="L20" s="89">
        <f>IF(TrAvia_act!L36=0,0,(TrAvia_act!L36/TrAvia_act!L26)/TrAvia_png!L14)</f>
        <v>0.70669691921833311</v>
      </c>
      <c r="M20" s="89">
        <f>IF(TrAvia_act!M36=0,0,(TrAvia_act!M36/TrAvia_act!M26)/TrAvia_png!M14)</f>
        <v>0.72108485812992895</v>
      </c>
      <c r="N20" s="89">
        <f>IF(TrAvia_act!N36=0,0,(TrAvia_act!N36/TrAvia_act!N26)/TrAvia_png!N14)</f>
        <v>0.73289546950988582</v>
      </c>
      <c r="O20" s="89">
        <f>IF(TrAvia_act!O36=0,0,(TrAvia_act!O36/TrAvia_act!O26)/TrAvia_png!O14)</f>
        <v>0.75776611701052077</v>
      </c>
      <c r="P20" s="89">
        <f>IF(TrAvia_act!P36=0,0,(TrAvia_act!P36/TrAvia_act!P26)/TrAvia_png!P14)</f>
        <v>0.77957674338162009</v>
      </c>
      <c r="Q20" s="89">
        <f>IF(TrAvia_act!Q36=0,0,(TrAvia_act!Q36/TrAvia_act!Q26)/TrAvia_png!Q14)</f>
        <v>0.78942760620554764</v>
      </c>
      <c r="R20" s="89">
        <f>IF(TrAvia_act!R36=0,0,(TrAvia_act!R36/TrAvia_act!R26)/TrAvia_png!R14)</f>
        <v>0.77999558053135654</v>
      </c>
      <c r="S20" s="89">
        <f>IF(TrAvia_act!S36=0,0,(TrAvia_act!S36/TrAvia_act!S26)/TrAvia_png!S14)</f>
        <v>0.80646698973872932</v>
      </c>
      <c r="T20" s="89">
        <f>IF(TrAvia_act!T36=0,0,(TrAvia_act!T36/TrAvia_act!T26)/TrAvia_png!T14)</f>
        <v>0.82590607418087802</v>
      </c>
      <c r="U20" s="89">
        <f>IF(TrAvia_act!U36=0,0,(TrAvia_act!U36/TrAvia_act!U26)/TrAvia_png!U14)</f>
        <v>0.82462171253459604</v>
      </c>
      <c r="V20" s="89">
        <f>IF(TrAvia_act!V36=0,0,(TrAvia_act!V36/TrAvia_act!V26)/TrAvia_png!V14)</f>
        <v>0.6546197356928033</v>
      </c>
      <c r="W20" s="89">
        <f>IF(TrAvia_act!W36=0,0,(TrAvia_act!W36/TrAvia_act!W26)/TrAvia_png!W14)</f>
        <v>0.69584403350817814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0.68884429651420975</v>
      </c>
      <c r="C21" s="90">
        <f>IF(TrAvia_act!C37=0,0,(TrAvia_act!C37/TrAvia_act!C27)/TrAvia_png!C15)</f>
        <v>0.6713382675373013</v>
      </c>
      <c r="D21" s="90">
        <f>IF(TrAvia_act!D37=0,0,(TrAvia_act!D37/TrAvia_act!D27)/TrAvia_png!D15)</f>
        <v>0.67000985124216195</v>
      </c>
      <c r="E21" s="90">
        <f>IF(TrAvia_act!E37=0,0,(TrAvia_act!E37/TrAvia_act!E27)/TrAvia_png!E15)</f>
        <v>0.68797268040847259</v>
      </c>
      <c r="F21" s="90">
        <f>IF(TrAvia_act!F37=0,0,(TrAvia_act!F37/TrAvia_act!F27)/TrAvia_png!F15)</f>
        <v>0.71709433616029106</v>
      </c>
      <c r="G21" s="90">
        <f>IF(TrAvia_act!G37=0,0,(TrAvia_act!G37/TrAvia_act!G27)/TrAvia_png!G15)</f>
        <v>0.73487645320781214</v>
      </c>
      <c r="H21" s="90">
        <f>IF(TrAvia_act!H37=0,0,(TrAvia_act!H37/TrAvia_act!H27)/TrAvia_png!H15)</f>
        <v>0.735734226546365</v>
      </c>
      <c r="I21" s="90">
        <f>IF(TrAvia_act!I37=0,0,(TrAvia_act!I37/TrAvia_act!I27)/TrAvia_png!I15)</f>
        <v>0.73803594439308551</v>
      </c>
      <c r="J21" s="90">
        <f>IF(TrAvia_act!J37=0,0,(TrAvia_act!J37/TrAvia_act!J27)/TrAvia_png!J15)</f>
        <v>0.74666786934088769</v>
      </c>
      <c r="K21" s="90">
        <f>IF(TrAvia_act!K37=0,0,(TrAvia_act!K37/TrAvia_act!K27)/TrAvia_png!K15)</f>
        <v>0.75783612709305681</v>
      </c>
      <c r="L21" s="90">
        <f>IF(TrAvia_act!L37=0,0,(TrAvia_act!L37/TrAvia_act!L27)/TrAvia_png!L15)</f>
        <v>0.74212701177551033</v>
      </c>
      <c r="M21" s="90">
        <f>IF(TrAvia_act!M37=0,0,(TrAvia_act!M37/TrAvia_act!M27)/TrAvia_png!M15)</f>
        <v>0.74726743875654245</v>
      </c>
      <c r="N21" s="90">
        <f>IF(TrAvia_act!N37=0,0,(TrAvia_act!N37/TrAvia_act!N27)/TrAvia_png!N15)</f>
        <v>0.76942246784889601</v>
      </c>
      <c r="O21" s="90">
        <f>IF(TrAvia_act!O37=0,0,(TrAvia_act!O37/TrAvia_act!O27)/TrAvia_png!O15)</f>
        <v>0.77356111304694175</v>
      </c>
      <c r="P21" s="90">
        <f>IF(TrAvia_act!P37=0,0,(TrAvia_act!P37/TrAvia_act!P27)/TrAvia_png!P15)</f>
        <v>0.78406511331318041</v>
      </c>
      <c r="Q21" s="90">
        <f>IF(TrAvia_act!Q37=0,0,(TrAvia_act!Q37/TrAvia_act!Q27)/TrAvia_png!Q15)</f>
        <v>0.78186337318194621</v>
      </c>
      <c r="R21" s="90">
        <f>IF(TrAvia_act!R37=0,0,(TrAvia_act!R37/TrAvia_act!R27)/TrAvia_png!R15)</f>
        <v>0.77933149194736051</v>
      </c>
      <c r="S21" s="90">
        <f>IF(TrAvia_act!S37=0,0,(TrAvia_act!S37/TrAvia_act!S27)/TrAvia_png!S15)</f>
        <v>0.8008795904948196</v>
      </c>
      <c r="T21" s="90">
        <f>IF(TrAvia_act!T37=0,0,(TrAvia_act!T37/TrAvia_act!T27)/TrAvia_png!T15)</f>
        <v>0.81403210881914478</v>
      </c>
      <c r="U21" s="90">
        <f>IF(TrAvia_act!U37=0,0,(TrAvia_act!U37/TrAvia_act!U27)/TrAvia_png!U15)</f>
        <v>0.81838099318796587</v>
      </c>
      <c r="V21" s="90">
        <f>IF(TrAvia_act!V37=0,0,(TrAvia_act!V37/TrAvia_act!V27)/TrAvia_png!V15)</f>
        <v>0.64349615313599384</v>
      </c>
      <c r="W21" s="90">
        <f>IF(TrAvia_act!W37=0,0,(TrAvia_act!W37/TrAvia_act!W27)/TrAvia_png!W15)</f>
        <v>0.62257125802710567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4.6303160313019488E-2</v>
      </c>
      <c r="C24" s="23">
        <f>IF(TrAvia_ene!C6=0,0,TrAvia_ene!C6/(C12*TrAvia_act!C14))</f>
        <v>4.4454071124746856E-2</v>
      </c>
      <c r="D24" s="23">
        <f>IF(TrAvia_ene!D6=0,0,TrAvia_ene!D6/(D12*TrAvia_act!D14))</f>
        <v>4.3148775774209031E-2</v>
      </c>
      <c r="E24" s="23">
        <f>IF(TrAvia_ene!E6=0,0,TrAvia_ene!E6/(E12*TrAvia_act!E14))</f>
        <v>4.1953634708402417E-2</v>
      </c>
      <c r="F24" s="23">
        <f>IF(TrAvia_ene!F6=0,0,TrAvia_ene!F6/(F12*TrAvia_act!F14))</f>
        <v>4.1411633988449999E-2</v>
      </c>
      <c r="G24" s="23">
        <f>IF(TrAvia_ene!G6=0,0,TrAvia_ene!G6/(G12*TrAvia_act!G14))</f>
        <v>4.1340476790480654E-2</v>
      </c>
      <c r="H24" s="23">
        <f>IF(TrAvia_ene!H6=0,0,TrAvia_ene!H6/(H12*TrAvia_act!H14))</f>
        <v>4.1450323376346847E-2</v>
      </c>
      <c r="I24" s="23">
        <f>IF(TrAvia_ene!I6=0,0,TrAvia_ene!I6/(I12*TrAvia_act!I14))</f>
        <v>4.0007026512408228E-2</v>
      </c>
      <c r="J24" s="23">
        <f>IF(TrAvia_ene!J6=0,0,TrAvia_ene!J6/(J12*TrAvia_act!J14))</f>
        <v>3.9420605980590974E-2</v>
      </c>
      <c r="K24" s="23">
        <f>IF(TrAvia_ene!K6=0,0,TrAvia_ene!K6/(K12*TrAvia_act!K14))</f>
        <v>3.888659511800998E-2</v>
      </c>
      <c r="L24" s="23">
        <f>IF(TrAvia_ene!L6=0,0,TrAvia_ene!L6/(L12*TrAvia_act!L14))</f>
        <v>3.7496213465963761E-2</v>
      </c>
      <c r="M24" s="23">
        <f>IF(TrAvia_ene!M6=0,0,TrAvia_ene!M6/(M12*TrAvia_act!M14))</f>
        <v>3.9753580881422224E-2</v>
      </c>
      <c r="N24" s="23">
        <f>IF(TrAvia_ene!N6=0,0,TrAvia_ene!N6/(N12*TrAvia_act!N14))</f>
        <v>3.9718100952801566E-2</v>
      </c>
      <c r="O24" s="23">
        <f>IF(TrAvia_ene!O6=0,0,TrAvia_ene!O6/(O12*TrAvia_act!O14))</f>
        <v>3.9141272427786013E-2</v>
      </c>
      <c r="P24" s="23">
        <f>IF(TrAvia_ene!P6=0,0,TrAvia_ene!P6/(P12*TrAvia_act!P14))</f>
        <v>3.718544795330584E-2</v>
      </c>
      <c r="Q24" s="23">
        <f>IF(TrAvia_ene!Q6=0,0,TrAvia_ene!Q6/(Q12*TrAvia_act!Q14))</f>
        <v>3.8054122034183679E-2</v>
      </c>
      <c r="R24" s="23">
        <f>IF(TrAvia_ene!R6=0,0,TrAvia_ene!R6/(R12*TrAvia_act!R14))</f>
        <v>3.719801623506714E-2</v>
      </c>
      <c r="S24" s="23">
        <f>IF(TrAvia_ene!S6=0,0,TrAvia_ene!S6/(S12*TrAvia_act!S14))</f>
        <v>3.6459958025475567E-2</v>
      </c>
      <c r="T24" s="23">
        <f>IF(TrAvia_ene!T6=0,0,TrAvia_ene!T6/(T12*TrAvia_act!T14))</f>
        <v>3.6059897745963368E-2</v>
      </c>
      <c r="U24" s="23">
        <f>IF(TrAvia_ene!U6=0,0,TrAvia_ene!U6/(U12*TrAvia_act!U14))</f>
        <v>3.6082698253951315E-2</v>
      </c>
      <c r="V24" s="23">
        <f>IF(TrAvia_ene!V6=0,0,TrAvia_ene!V6/(V12*TrAvia_act!V14))</f>
        <v>3.8748842971882559E-2</v>
      </c>
      <c r="W24" s="23">
        <f>IF(TrAvia_ene!W6=0,0,TrAvia_ene!W6/(W12*TrAvia_act!W14))</f>
        <v>3.3200223411967003E-2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3.4304757874962809E-2</v>
      </c>
      <c r="C25" s="91">
        <f>IF(TrAvia_ene!C7=0,0,TrAvia_ene!C7/(C13*TrAvia_act!C15))</f>
        <v>3.3585429906874902E-2</v>
      </c>
      <c r="D25" s="91">
        <f>IF(TrAvia_ene!D7=0,0,TrAvia_ene!D7/(D13*TrAvia_act!D15))</f>
        <v>3.0161543456061316E-2</v>
      </c>
      <c r="E25" s="91">
        <f>IF(TrAvia_ene!E7=0,0,TrAvia_ene!E7/(E13*TrAvia_act!E15))</f>
        <v>2.933143437716508E-2</v>
      </c>
      <c r="F25" s="91">
        <f>IF(TrAvia_ene!F7=0,0,TrAvia_ene!F7/(F13*TrAvia_act!F15))</f>
        <v>2.7535676964722616E-2</v>
      </c>
      <c r="G25" s="91">
        <f>IF(TrAvia_ene!G7=0,0,TrAvia_ene!G7/(G13*TrAvia_act!G15))</f>
        <v>2.8678391017945105E-2</v>
      </c>
      <c r="H25" s="91">
        <f>IF(TrAvia_ene!H7=0,0,TrAvia_ene!H7/(H13*TrAvia_act!H15))</f>
        <v>2.8428119032667811E-2</v>
      </c>
      <c r="I25" s="91">
        <f>IF(TrAvia_ene!I7=0,0,TrAvia_ene!I7/(I13*TrAvia_act!I15))</f>
        <v>2.7669002894375915E-2</v>
      </c>
      <c r="J25" s="91">
        <f>IF(TrAvia_ene!J7=0,0,TrAvia_ene!J7/(J13*TrAvia_act!J15))</f>
        <v>2.7231759719467605E-2</v>
      </c>
      <c r="K25" s="91">
        <f>IF(TrAvia_ene!K7=0,0,TrAvia_ene!K7/(K13*TrAvia_act!K15))</f>
        <v>2.7187152309624305E-2</v>
      </c>
      <c r="L25" s="91">
        <f>IF(TrAvia_ene!L7=0,0,TrAvia_ene!L7/(L13*TrAvia_act!L15))</f>
        <v>2.4716252039425658E-2</v>
      </c>
      <c r="M25" s="91">
        <f>IF(TrAvia_ene!M7=0,0,TrAvia_ene!M7/(M13*TrAvia_act!M15))</f>
        <v>4.3763362347974052E-2</v>
      </c>
      <c r="N25" s="91">
        <f>IF(TrAvia_ene!N7=0,0,TrAvia_ene!N7/(N13*TrAvia_act!N15))</f>
        <v>4.3169683349025982E-2</v>
      </c>
      <c r="O25" s="91">
        <f>IF(TrAvia_ene!O7=0,0,TrAvia_ene!O7/(O13*TrAvia_act!O15))</f>
        <v>4.2894882912019337E-2</v>
      </c>
      <c r="P25" s="91">
        <f>IF(TrAvia_ene!P7=0,0,TrAvia_ene!P7/(P13*TrAvia_act!P15))</f>
        <v>4.2148436096005028E-2</v>
      </c>
      <c r="Q25" s="91">
        <f>IF(TrAvia_ene!Q7=0,0,TrAvia_ene!Q7/(Q13*TrAvia_act!Q15))</f>
        <v>4.1497501438805644E-2</v>
      </c>
      <c r="R25" s="91">
        <f>IF(TrAvia_ene!R7=0,0,TrAvia_ene!R7/(R13*TrAvia_act!R15))</f>
        <v>4.1673336722393949E-2</v>
      </c>
      <c r="S25" s="91">
        <f>IF(TrAvia_ene!S7=0,0,TrAvia_ene!S7/(S13*TrAvia_act!S15))</f>
        <v>4.0906627096977878E-2</v>
      </c>
      <c r="T25" s="91">
        <f>IF(TrAvia_ene!T7=0,0,TrAvia_ene!T7/(T13*TrAvia_act!T15))</f>
        <v>4.1087625129703646E-2</v>
      </c>
      <c r="U25" s="91">
        <f>IF(TrAvia_ene!U7=0,0,TrAvia_ene!U7/(U13*TrAvia_act!U15))</f>
        <v>4.069008010827365E-2</v>
      </c>
      <c r="V25" s="91">
        <f>IF(TrAvia_ene!V7=0,0,TrAvia_ene!V7/(V13*TrAvia_act!V15))</f>
        <v>4.2386038997205847E-2</v>
      </c>
      <c r="W25" s="91">
        <f>IF(TrAvia_ene!W7=0,0,TrAvia_ene!W7/(W13*TrAvia_act!W15))</f>
        <v>4.0363392780695305E-2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4.230878196863546E-2</v>
      </c>
      <c r="C26" s="93">
        <f>IF(TrAvia_ene!C8=0,0,TrAvia_ene!C8/(C14*TrAvia_act!C16))</f>
        <v>3.9552490045939123E-2</v>
      </c>
      <c r="D26" s="93">
        <f>IF(TrAvia_ene!D8=0,0,TrAvia_ene!D8/(D14*TrAvia_act!D16))</f>
        <v>3.932446435853372E-2</v>
      </c>
      <c r="E26" s="93">
        <f>IF(TrAvia_ene!E8=0,0,TrAvia_ene!E8/(E14*TrAvia_act!E16))</f>
        <v>3.710833478641528E-2</v>
      </c>
      <c r="F26" s="93">
        <f>IF(TrAvia_ene!F8=0,0,TrAvia_ene!F8/(F14*TrAvia_act!F16))</f>
        <v>3.7626712481582121E-2</v>
      </c>
      <c r="G26" s="93">
        <f>IF(TrAvia_ene!G8=0,0,TrAvia_ene!G8/(G14*TrAvia_act!G16))</f>
        <v>3.851472510742078E-2</v>
      </c>
      <c r="H26" s="93">
        <f>IF(TrAvia_ene!H8=0,0,TrAvia_ene!H8/(H14*TrAvia_act!H16))</f>
        <v>3.8312200601653981E-2</v>
      </c>
      <c r="I26" s="93">
        <f>IF(TrAvia_ene!I8=0,0,TrAvia_ene!I8/(I14*TrAvia_act!I16))</f>
        <v>3.7005455475890923E-2</v>
      </c>
      <c r="J26" s="93">
        <f>IF(TrAvia_ene!J8=0,0,TrAvia_ene!J8/(J14*TrAvia_act!J16))</f>
        <v>3.5302682019322816E-2</v>
      </c>
      <c r="K26" s="93">
        <f>IF(TrAvia_ene!K8=0,0,TrAvia_ene!K8/(K14*TrAvia_act!K16))</f>
        <v>3.3122491566130181E-2</v>
      </c>
      <c r="L26" s="93">
        <f>IF(TrAvia_ene!L8=0,0,TrAvia_ene!L8/(L14*TrAvia_act!L16))</f>
        <v>3.3241079298956942E-2</v>
      </c>
      <c r="M26" s="93">
        <f>IF(TrAvia_ene!M8=0,0,TrAvia_ene!M8/(M14*TrAvia_act!M16))</f>
        <v>3.1522317038498726E-2</v>
      </c>
      <c r="N26" s="93">
        <f>IF(TrAvia_ene!N8=0,0,TrAvia_ene!N8/(N14*TrAvia_act!N16))</f>
        <v>2.9577042254162609E-2</v>
      </c>
      <c r="O26" s="93">
        <f>IF(TrAvia_ene!O8=0,0,TrAvia_ene!O8/(O14*TrAvia_act!O16))</f>
        <v>2.975887499713455E-2</v>
      </c>
      <c r="P26" s="93">
        <f>IF(TrAvia_ene!P8=0,0,TrAvia_ene!P8/(P14*TrAvia_act!P16))</f>
        <v>2.8687911988419499E-2</v>
      </c>
      <c r="Q26" s="93">
        <f>IF(TrAvia_ene!Q8=0,0,TrAvia_ene!Q8/(Q14*TrAvia_act!Q16))</f>
        <v>2.8994641572404594E-2</v>
      </c>
      <c r="R26" s="93">
        <f>IF(TrAvia_ene!R8=0,0,TrAvia_ene!R8/(R14*TrAvia_act!R16))</f>
        <v>2.8372458805780685E-2</v>
      </c>
      <c r="S26" s="93">
        <f>IF(TrAvia_ene!S8=0,0,TrAvia_ene!S8/(S14*TrAvia_act!S16))</f>
        <v>2.8636247606438847E-2</v>
      </c>
      <c r="T26" s="93">
        <f>IF(TrAvia_ene!T8=0,0,TrAvia_ene!T8/(T14*TrAvia_act!T16))</f>
        <v>2.8347078939973937E-2</v>
      </c>
      <c r="U26" s="93">
        <f>IF(TrAvia_ene!U8=0,0,TrAvia_ene!U8/(U14*TrAvia_act!U16))</f>
        <v>2.7552622015113208E-2</v>
      </c>
      <c r="V26" s="93">
        <f>IF(TrAvia_ene!V8=0,0,TrAvia_ene!V8/(V14*TrAvia_act!V16))</f>
        <v>2.5137398937182226E-2</v>
      </c>
      <c r="W26" s="93">
        <f>IF(TrAvia_ene!W8=0,0,TrAvia_ene!W8/(W14*TrAvia_act!W16))</f>
        <v>2.1086905851957268E-2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4.3850820916335152E-2</v>
      </c>
      <c r="C27" s="94">
        <f>IF(TrAvia_ene!C9=0,0,TrAvia_ene!C9/(C15*TrAvia_act!C17))</f>
        <v>4.1967089432629223E-2</v>
      </c>
      <c r="D27" s="94">
        <f>IF(TrAvia_ene!D9=0,0,TrAvia_ene!D9/(D15*TrAvia_act!D17))</f>
        <v>4.1108937039628729E-2</v>
      </c>
      <c r="E27" s="94">
        <f>IF(TrAvia_ene!E9=0,0,TrAvia_ene!E9/(E15*TrAvia_act!E17))</f>
        <v>4.1080857835999053E-2</v>
      </c>
      <c r="F27" s="94">
        <f>IF(TrAvia_ene!F9=0,0,TrAvia_ene!F9/(F15*TrAvia_act!F17))</f>
        <v>4.1090079095630845E-2</v>
      </c>
      <c r="G27" s="94">
        <f>IF(TrAvia_ene!G9=0,0,TrAvia_ene!G9/(G15*TrAvia_act!G17))</f>
        <v>3.887616937580738E-2</v>
      </c>
      <c r="H27" s="94">
        <f>IF(TrAvia_ene!H9=0,0,TrAvia_ene!H9/(H15*TrAvia_act!H17))</f>
        <v>3.9053549947098726E-2</v>
      </c>
      <c r="I27" s="94">
        <f>IF(TrAvia_ene!I9=0,0,TrAvia_ene!I9/(I15*TrAvia_act!I17))</f>
        <v>3.8187550388039226E-2</v>
      </c>
      <c r="J27" s="94">
        <f>IF(TrAvia_ene!J9=0,0,TrAvia_ene!J9/(J15*TrAvia_act!J17))</f>
        <v>3.8185991949526286E-2</v>
      </c>
      <c r="K27" s="94">
        <f>IF(TrAvia_ene!K9=0,0,TrAvia_ene!K9/(K15*TrAvia_act!K17))</f>
        <v>3.7568646522177354E-2</v>
      </c>
      <c r="L27" s="94">
        <f>IF(TrAvia_ene!L9=0,0,TrAvia_ene!L9/(L15*TrAvia_act!L17))</f>
        <v>3.6306085100463618E-2</v>
      </c>
      <c r="M27" s="94">
        <f>IF(TrAvia_ene!M9=0,0,TrAvia_ene!M9/(M15*TrAvia_act!M17))</f>
        <v>3.4401873627094647E-2</v>
      </c>
      <c r="N27" s="94">
        <f>IF(TrAvia_ene!N9=0,0,TrAvia_ene!N9/(N15*TrAvia_act!N17))</f>
        <v>3.5220533677299548E-2</v>
      </c>
      <c r="O27" s="94">
        <f>IF(TrAvia_ene!O9=0,0,TrAvia_ene!O9/(O15*TrAvia_act!O17))</f>
        <v>3.4149676514707468E-2</v>
      </c>
      <c r="P27" s="94">
        <f>IF(TrAvia_ene!P9=0,0,TrAvia_ene!P9/(P15*TrAvia_act!P17))</f>
        <v>3.2263841323304024E-2</v>
      </c>
      <c r="Q27" s="94">
        <f>IF(TrAvia_ene!Q9=0,0,TrAvia_ene!Q9/(Q15*TrAvia_act!Q17))</f>
        <v>3.3749308030434244E-2</v>
      </c>
      <c r="R27" s="94">
        <f>IF(TrAvia_ene!R9=0,0,TrAvia_ene!R9/(R15*TrAvia_act!R17))</f>
        <v>3.3269798563560521E-2</v>
      </c>
      <c r="S27" s="94">
        <f>IF(TrAvia_ene!S9=0,0,TrAvia_ene!S9/(S15*TrAvia_act!S17))</f>
        <v>3.2306627269778329E-2</v>
      </c>
      <c r="T27" s="94">
        <f>IF(TrAvia_ene!T9=0,0,TrAvia_ene!T9/(T15*TrAvia_act!T17))</f>
        <v>3.1702309867216637E-2</v>
      </c>
      <c r="U27" s="94">
        <f>IF(TrAvia_ene!U9=0,0,TrAvia_ene!U9/(U15*TrAvia_act!U17))</f>
        <v>3.2274058599388693E-2</v>
      </c>
      <c r="V27" s="94">
        <f>IF(TrAvia_ene!V9=0,0,TrAvia_ene!V9/(V15*TrAvia_act!V17))</f>
        <v>3.516682469089983E-2</v>
      </c>
      <c r="W27" s="94">
        <f>IF(TrAvia_ene!W9=0,0,TrAvia_ene!W9/(W15*TrAvia_act!W17))</f>
        <v>2.916121731994557E-2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28906.499</v>
      </c>
      <c r="C3" s="54">
        <f t="shared" si="0"/>
        <v>23007.215</v>
      </c>
      <c r="D3" s="54">
        <f t="shared" si="0"/>
        <v>23856.034</v>
      </c>
      <c r="E3" s="54">
        <f t="shared" si="0"/>
        <v>21215.688999999998</v>
      </c>
      <c r="F3" s="54">
        <f t="shared" si="0"/>
        <v>22603.788</v>
      </c>
      <c r="G3" s="54">
        <f t="shared" si="0"/>
        <v>23035.892</v>
      </c>
      <c r="H3" s="54">
        <f t="shared" si="0"/>
        <v>31135.46</v>
      </c>
      <c r="I3" s="54">
        <f t="shared" si="0"/>
        <v>22463.32</v>
      </c>
      <c r="J3" s="54">
        <f t="shared" si="0"/>
        <v>27891.449000000001</v>
      </c>
      <c r="K3" s="54">
        <f t="shared" si="0"/>
        <v>23430.862000000001</v>
      </c>
      <c r="L3" s="54">
        <f t="shared" si="0"/>
        <v>24841.735000000001</v>
      </c>
      <c r="M3" s="54">
        <f t="shared" si="0"/>
        <v>25092.951999999997</v>
      </c>
      <c r="N3" s="54">
        <f t="shared" si="0"/>
        <v>23507.876</v>
      </c>
      <c r="O3" s="54">
        <f t="shared" si="0"/>
        <v>16920.438999999998</v>
      </c>
      <c r="P3" s="54">
        <f t="shared" si="0"/>
        <v>20678.357</v>
      </c>
      <c r="Q3" s="54">
        <f t="shared" si="0"/>
        <v>21237.271000000001</v>
      </c>
      <c r="R3" s="54">
        <f t="shared" ref="R3:V3" si="1">SUM(R4:R5)</f>
        <v>17460.977999999999</v>
      </c>
      <c r="S3" s="54">
        <f t="shared" si="1"/>
        <v>17419.621999999999</v>
      </c>
      <c r="T3" s="54">
        <f t="shared" si="1"/>
        <v>19046.82</v>
      </c>
      <c r="U3" s="54">
        <f t="shared" si="1"/>
        <v>20442.499</v>
      </c>
      <c r="V3" s="54">
        <f t="shared" si="1"/>
        <v>20088.039000000001</v>
      </c>
      <c r="W3" s="54">
        <f t="shared" ref="W3" si="2">SUM(W4:W5)</f>
        <v>20605.091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19796.499</v>
      </c>
      <c r="C4" s="56">
        <v>14713.215</v>
      </c>
      <c r="D4" s="56">
        <v>15587.034</v>
      </c>
      <c r="E4" s="56">
        <v>13191.689</v>
      </c>
      <c r="F4" s="56">
        <v>14187.788</v>
      </c>
      <c r="G4" s="56">
        <v>14130.892</v>
      </c>
      <c r="H4" s="56">
        <v>22130.46</v>
      </c>
      <c r="I4" s="56">
        <v>13255.32</v>
      </c>
      <c r="J4" s="56">
        <v>18981.449000000001</v>
      </c>
      <c r="K4" s="56">
        <v>14719.861999999999</v>
      </c>
      <c r="L4" s="56">
        <v>15367.735000000001</v>
      </c>
      <c r="M4" s="56">
        <v>16057.951999999999</v>
      </c>
      <c r="N4" s="56">
        <v>14591.876</v>
      </c>
      <c r="O4" s="56">
        <v>7707.4390000000003</v>
      </c>
      <c r="P4" s="56">
        <v>11875.357</v>
      </c>
      <c r="Q4" s="56">
        <v>12721.271000000001</v>
      </c>
      <c r="R4" s="56">
        <v>9153.9779999999992</v>
      </c>
      <c r="S4" s="56">
        <v>9906.6219999999994</v>
      </c>
      <c r="T4" s="56">
        <v>11782.82</v>
      </c>
      <c r="U4" s="56">
        <v>12428.499</v>
      </c>
      <c r="V4" s="56">
        <v>13100.039000000001</v>
      </c>
      <c r="W4" s="56">
        <v>13399.091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9110</v>
      </c>
      <c r="C5" s="58">
        <v>8294</v>
      </c>
      <c r="D5" s="58">
        <v>8269</v>
      </c>
      <c r="E5" s="58">
        <v>8023.9999999999991</v>
      </c>
      <c r="F5" s="58">
        <v>8416</v>
      </c>
      <c r="G5" s="58">
        <v>8905</v>
      </c>
      <c r="H5" s="58">
        <v>9005</v>
      </c>
      <c r="I5" s="58">
        <v>9208</v>
      </c>
      <c r="J5" s="58">
        <v>8910</v>
      </c>
      <c r="K5" s="58">
        <v>8711</v>
      </c>
      <c r="L5" s="58">
        <v>9474</v>
      </c>
      <c r="M5" s="58">
        <v>9035</v>
      </c>
      <c r="N5" s="58">
        <v>8916</v>
      </c>
      <c r="O5" s="58">
        <v>9213</v>
      </c>
      <c r="P5" s="58">
        <v>8803</v>
      </c>
      <c r="Q5" s="58">
        <v>8516</v>
      </c>
      <c r="R5" s="58">
        <v>8307</v>
      </c>
      <c r="S5" s="58">
        <v>7513</v>
      </c>
      <c r="T5" s="58">
        <v>7264</v>
      </c>
      <c r="U5" s="58">
        <v>8013.9999999999991</v>
      </c>
      <c r="V5" s="58">
        <v>6988</v>
      </c>
      <c r="W5" s="58">
        <v>7206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30.509</v>
      </c>
      <c r="C7" s="59">
        <f t="shared" si="3"/>
        <v>23.167999999999999</v>
      </c>
      <c r="D7" s="59">
        <f t="shared" si="3"/>
        <v>22.184000000000001</v>
      </c>
      <c r="E7" s="59">
        <f t="shared" si="3"/>
        <v>22.591999999999999</v>
      </c>
      <c r="F7" s="59">
        <f t="shared" si="3"/>
        <v>25.715</v>
      </c>
      <c r="G7" s="59">
        <f t="shared" si="3"/>
        <v>22.702999999999999</v>
      </c>
      <c r="H7" s="59">
        <f t="shared" si="3"/>
        <v>25.791999999999998</v>
      </c>
      <c r="I7" s="59">
        <f t="shared" si="3"/>
        <v>21.561</v>
      </c>
      <c r="J7" s="59">
        <f t="shared" si="3"/>
        <v>21.283000000000001</v>
      </c>
      <c r="K7" s="59">
        <f t="shared" si="3"/>
        <v>19.917000000000002</v>
      </c>
      <c r="L7" s="59">
        <f t="shared" si="3"/>
        <v>18.921999999999997</v>
      </c>
      <c r="M7" s="59">
        <f t="shared" si="3"/>
        <v>21.185000000000002</v>
      </c>
      <c r="N7" s="59">
        <f t="shared" si="3"/>
        <v>21.940999999999999</v>
      </c>
      <c r="O7" s="59">
        <f t="shared" si="3"/>
        <v>19.280999999999999</v>
      </c>
      <c r="P7" s="59">
        <f t="shared" si="3"/>
        <v>18.823999999999998</v>
      </c>
      <c r="Q7" s="59">
        <f t="shared" si="3"/>
        <v>15.603999999999999</v>
      </c>
      <c r="R7" s="59">
        <f t="shared" ref="R7:V7" si="4">SUM(R8:R9)</f>
        <v>14.19</v>
      </c>
      <c r="S7" s="59">
        <f t="shared" si="4"/>
        <v>13.587999999999999</v>
      </c>
      <c r="T7" s="59">
        <f t="shared" si="4"/>
        <v>13.943</v>
      </c>
      <c r="U7" s="59">
        <f t="shared" si="4"/>
        <v>15.111000000000001</v>
      </c>
      <c r="V7" s="59">
        <f t="shared" si="4"/>
        <v>13.635</v>
      </c>
      <c r="W7" s="59">
        <f t="shared" ref="W7" si="5">SUM(W8:W9)</f>
        <v>14.216000000000001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9.98</v>
      </c>
      <c r="C8" s="60">
        <v>6.1440000000000001</v>
      </c>
      <c r="D8" s="60">
        <v>5.4619999999999997</v>
      </c>
      <c r="E8" s="60">
        <v>4.702</v>
      </c>
      <c r="F8" s="60">
        <v>4.9020000000000001</v>
      </c>
      <c r="G8" s="60">
        <v>4.8869999999999996</v>
      </c>
      <c r="H8" s="60">
        <v>7.5780000000000003</v>
      </c>
      <c r="I8" s="60">
        <v>4.4450000000000003</v>
      </c>
      <c r="J8" s="60">
        <v>6.2309999999999999</v>
      </c>
      <c r="K8" s="60">
        <v>4.766</v>
      </c>
      <c r="L8" s="60">
        <v>4.9909999999999997</v>
      </c>
      <c r="M8" s="60">
        <v>5.5869999999999997</v>
      </c>
      <c r="N8" s="60">
        <v>5.0060000000000002</v>
      </c>
      <c r="O8" s="60">
        <v>2.6080000000000001</v>
      </c>
      <c r="P8" s="60">
        <v>4.1890000000000001</v>
      </c>
      <c r="Q8" s="60">
        <v>3.9039999999999999</v>
      </c>
      <c r="R8" s="60">
        <v>2.7440000000000002</v>
      </c>
      <c r="S8" s="60">
        <v>3.0169999999999999</v>
      </c>
      <c r="T8" s="60">
        <v>3.6629999999999998</v>
      </c>
      <c r="U8" s="60">
        <v>3.9409999999999998</v>
      </c>
      <c r="V8" s="60">
        <v>3.9060000000000001</v>
      </c>
      <c r="W8" s="60">
        <v>3.9950000000000001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20.529</v>
      </c>
      <c r="C9" s="61">
        <v>17.024000000000001</v>
      </c>
      <c r="D9" s="61">
        <v>16.722000000000001</v>
      </c>
      <c r="E9" s="61">
        <v>17.89</v>
      </c>
      <c r="F9" s="61">
        <v>20.812999999999999</v>
      </c>
      <c r="G9" s="61">
        <v>17.815999999999999</v>
      </c>
      <c r="H9" s="61">
        <v>18.213999999999999</v>
      </c>
      <c r="I9" s="61">
        <v>17.116</v>
      </c>
      <c r="J9" s="61">
        <v>15.052</v>
      </c>
      <c r="K9" s="61">
        <v>15.151</v>
      </c>
      <c r="L9" s="61">
        <v>13.930999999999999</v>
      </c>
      <c r="M9" s="61">
        <v>15.598000000000001</v>
      </c>
      <c r="N9" s="61">
        <v>16.934999999999999</v>
      </c>
      <c r="O9" s="61">
        <v>16.672999999999998</v>
      </c>
      <c r="P9" s="61">
        <v>14.635</v>
      </c>
      <c r="Q9" s="61">
        <v>11.7</v>
      </c>
      <c r="R9" s="61">
        <v>11.446</v>
      </c>
      <c r="S9" s="61">
        <v>10.571</v>
      </c>
      <c r="T9" s="61">
        <v>10.28</v>
      </c>
      <c r="U9" s="61">
        <v>11.17</v>
      </c>
      <c r="V9" s="61">
        <v>9.7289999999999992</v>
      </c>
      <c r="W9" s="61">
        <v>10.221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947.47448293946047</v>
      </c>
      <c r="C13" s="62">
        <f t="shared" si="6"/>
        <v>993.06003970994482</v>
      </c>
      <c r="D13" s="62">
        <f t="shared" si="6"/>
        <v>1075.3711684096645</v>
      </c>
      <c r="E13" s="62">
        <f t="shared" si="6"/>
        <v>939.07971848441923</v>
      </c>
      <c r="F13" s="62">
        <f t="shared" ref="F13:V13" si="7">IF(F3=0,0,F3/F7)</f>
        <v>879.0117830060276</v>
      </c>
      <c r="G13" s="62">
        <f t="shared" si="7"/>
        <v>1014.6629079857288</v>
      </c>
      <c r="H13" s="62">
        <f t="shared" si="7"/>
        <v>1207.1750930521093</v>
      </c>
      <c r="I13" s="62">
        <f t="shared" si="7"/>
        <v>1041.8496359167013</v>
      </c>
      <c r="J13" s="62">
        <f t="shared" si="7"/>
        <v>1310.5036414039373</v>
      </c>
      <c r="K13" s="62">
        <f t="shared" si="7"/>
        <v>1176.4252648491238</v>
      </c>
      <c r="L13" s="62">
        <f t="shared" si="7"/>
        <v>1312.8493288235918</v>
      </c>
      <c r="M13" s="62">
        <f t="shared" si="7"/>
        <v>1184.4678782157184</v>
      </c>
      <c r="N13" s="62">
        <f t="shared" si="7"/>
        <v>1071.4131534569983</v>
      </c>
      <c r="O13" s="62">
        <f t="shared" si="7"/>
        <v>877.57061355738813</v>
      </c>
      <c r="P13" s="62">
        <f t="shared" si="7"/>
        <v>1098.5102528686784</v>
      </c>
      <c r="Q13" s="62">
        <f t="shared" si="7"/>
        <v>1361.0145475519098</v>
      </c>
      <c r="R13" s="62">
        <f t="shared" si="7"/>
        <v>1230.5128964059197</v>
      </c>
      <c r="S13" s="62">
        <f t="shared" si="7"/>
        <v>1281.9857226964969</v>
      </c>
      <c r="T13" s="62">
        <f t="shared" si="7"/>
        <v>1366.048913433264</v>
      </c>
      <c r="U13" s="62">
        <f t="shared" si="7"/>
        <v>1352.8223810469194</v>
      </c>
      <c r="V13" s="62">
        <f t="shared" si="7"/>
        <v>1473.270187018702</v>
      </c>
      <c r="W13" s="62">
        <f t="shared" ref="W13" si="8">IF(W3=0,0,W3/W7)</f>
        <v>1449.4295863815419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1983.617134268537</v>
      </c>
      <c r="C14" s="63">
        <f t="shared" si="6"/>
        <v>2394.72900390625</v>
      </c>
      <c r="D14" s="63">
        <f t="shared" si="6"/>
        <v>2853.7228121567191</v>
      </c>
      <c r="E14" s="63">
        <f t="shared" si="6"/>
        <v>2805.5484900042534</v>
      </c>
      <c r="F14" s="63">
        <f t="shared" ref="F14:V14" si="9">IF(F4=0,0,F4/F8)</f>
        <v>2894.2855977152185</v>
      </c>
      <c r="G14" s="63">
        <f t="shared" si="9"/>
        <v>2891.5269081235933</v>
      </c>
      <c r="H14" s="63">
        <f t="shared" si="9"/>
        <v>2920.3562945368167</v>
      </c>
      <c r="I14" s="63">
        <f t="shared" si="9"/>
        <v>2982.0742407199095</v>
      </c>
      <c r="J14" s="63">
        <f t="shared" si="9"/>
        <v>3046.2925694110095</v>
      </c>
      <c r="K14" s="63">
        <f t="shared" si="9"/>
        <v>3088.5148971884178</v>
      </c>
      <c r="L14" s="63">
        <f t="shared" si="9"/>
        <v>3079.0893608495294</v>
      </c>
      <c r="M14" s="63">
        <f t="shared" si="9"/>
        <v>2874.1635940576339</v>
      </c>
      <c r="N14" s="63">
        <f t="shared" si="9"/>
        <v>2914.8773471833797</v>
      </c>
      <c r="O14" s="63">
        <f t="shared" si="9"/>
        <v>2955.3063650306749</v>
      </c>
      <c r="P14" s="63">
        <f t="shared" si="9"/>
        <v>2834.8906660300786</v>
      </c>
      <c r="Q14" s="63">
        <f t="shared" si="9"/>
        <v>3258.5222848360659</v>
      </c>
      <c r="R14" s="63">
        <f t="shared" si="9"/>
        <v>3335.9978134110784</v>
      </c>
      <c r="S14" s="63">
        <f t="shared" si="9"/>
        <v>3283.6002651640702</v>
      </c>
      <c r="T14" s="63">
        <f t="shared" si="9"/>
        <v>3216.7130767130766</v>
      </c>
      <c r="U14" s="63">
        <f t="shared" si="9"/>
        <v>3153.6409540725704</v>
      </c>
      <c r="V14" s="63">
        <f t="shared" si="9"/>
        <v>3353.8246287762418</v>
      </c>
      <c r="W14" s="63">
        <f t="shared" ref="W14" si="10">IF(W4=0,0,W4/W8)</f>
        <v>3353.965206508135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443.76248234205269</v>
      </c>
      <c r="C15" s="64">
        <f t="shared" si="6"/>
        <v>487.19454887218041</v>
      </c>
      <c r="D15" s="64">
        <f t="shared" si="6"/>
        <v>494.49826575768446</v>
      </c>
      <c r="E15" s="64">
        <f t="shared" si="6"/>
        <v>448.51872554499715</v>
      </c>
      <c r="F15" s="64">
        <f t="shared" ref="F15:V15" si="11">IF(F5=0,0,F5/F9)</f>
        <v>404.3626579541633</v>
      </c>
      <c r="G15" s="64">
        <f t="shared" si="11"/>
        <v>499.83161203412664</v>
      </c>
      <c r="H15" s="64">
        <f t="shared" si="11"/>
        <v>494.39991215548486</v>
      </c>
      <c r="I15" s="64">
        <f t="shared" si="11"/>
        <v>537.97616265482588</v>
      </c>
      <c r="J15" s="64">
        <f t="shared" si="11"/>
        <v>591.94791389848524</v>
      </c>
      <c r="K15" s="64">
        <f t="shared" si="11"/>
        <v>574.94554814863704</v>
      </c>
      <c r="L15" s="64">
        <f t="shared" si="11"/>
        <v>680.0660397674252</v>
      </c>
      <c r="M15" s="64">
        <f t="shared" si="11"/>
        <v>579.24092832414408</v>
      </c>
      <c r="N15" s="64">
        <f t="shared" si="11"/>
        <v>526.48361381753773</v>
      </c>
      <c r="O15" s="64">
        <f t="shared" si="11"/>
        <v>552.57002339111148</v>
      </c>
      <c r="P15" s="64">
        <f t="shared" si="11"/>
        <v>601.5032456440041</v>
      </c>
      <c r="Q15" s="64">
        <f t="shared" si="11"/>
        <v>727.86324786324792</v>
      </c>
      <c r="R15" s="64">
        <f t="shared" si="11"/>
        <v>725.75572252315226</v>
      </c>
      <c r="S15" s="64">
        <f t="shared" si="11"/>
        <v>710.71800208116542</v>
      </c>
      <c r="T15" s="64">
        <f t="shared" si="11"/>
        <v>706.61478599221789</v>
      </c>
      <c r="U15" s="64">
        <f t="shared" si="11"/>
        <v>717.4574753804834</v>
      </c>
      <c r="V15" s="64">
        <f t="shared" si="11"/>
        <v>718.26498098468505</v>
      </c>
      <c r="W15" s="64">
        <f t="shared" ref="W15" si="12">IF(W5=0,0,W5/W9)</f>
        <v>705.01907836806572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0.68484595799719639</v>
      </c>
      <c r="C18" s="66">
        <f t="shared" si="16"/>
        <v>0.63950439025323147</v>
      </c>
      <c r="D18" s="66">
        <f t="shared" si="16"/>
        <v>0.65337909897345048</v>
      </c>
      <c r="E18" s="66">
        <f t="shared" si="16"/>
        <v>0.62178932769989237</v>
      </c>
      <c r="F18" s="66">
        <f t="shared" ref="F18:V18" si="17">IF(F4=0,0,F4/F$3)</f>
        <v>0.62767302542388026</v>
      </c>
      <c r="G18" s="66">
        <f t="shared" si="17"/>
        <v>0.61342933887691431</v>
      </c>
      <c r="H18" s="66">
        <f t="shared" si="17"/>
        <v>0.71077992745249308</v>
      </c>
      <c r="I18" s="66">
        <f t="shared" si="17"/>
        <v>0.59008730677388743</v>
      </c>
      <c r="J18" s="66">
        <f t="shared" si="17"/>
        <v>0.68054725303084829</v>
      </c>
      <c r="K18" s="66">
        <f t="shared" si="17"/>
        <v>0.62822537216087049</v>
      </c>
      <c r="L18" s="66">
        <f t="shared" si="17"/>
        <v>0.61862567167711913</v>
      </c>
      <c r="M18" s="66">
        <f t="shared" si="17"/>
        <v>0.63993873658228817</v>
      </c>
      <c r="N18" s="66">
        <f t="shared" si="17"/>
        <v>0.62072285901116719</v>
      </c>
      <c r="O18" s="66">
        <f t="shared" si="17"/>
        <v>0.45551058101979514</v>
      </c>
      <c r="P18" s="66">
        <f t="shared" si="17"/>
        <v>0.5742891952199104</v>
      </c>
      <c r="Q18" s="66">
        <f t="shared" si="17"/>
        <v>0.59900685921463259</v>
      </c>
      <c r="R18" s="66">
        <f t="shared" si="17"/>
        <v>0.52425345246984445</v>
      </c>
      <c r="S18" s="66">
        <f t="shared" si="17"/>
        <v>0.56870476293917283</v>
      </c>
      <c r="T18" s="66">
        <f t="shared" si="17"/>
        <v>0.61862400127685357</v>
      </c>
      <c r="U18" s="66">
        <f t="shared" si="17"/>
        <v>0.60797356526714275</v>
      </c>
      <c r="V18" s="66">
        <f t="shared" si="17"/>
        <v>0.65213130062123037</v>
      </c>
      <c r="W18" s="66">
        <f t="shared" ref="W18" si="18">IF(W4=0,0,W4/W$3)</f>
        <v>0.65028060298302004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0.31515404200280361</v>
      </c>
      <c r="C19" s="67">
        <f t="shared" si="19"/>
        <v>0.36049560974676859</v>
      </c>
      <c r="D19" s="67">
        <f t="shared" si="19"/>
        <v>0.34662090102654952</v>
      </c>
      <c r="E19" s="67">
        <f t="shared" si="19"/>
        <v>0.37821067230010769</v>
      </c>
      <c r="F19" s="67">
        <f t="shared" ref="F19:V19" si="20">IF(F5=0,0,F5/F$3)</f>
        <v>0.37232697457611968</v>
      </c>
      <c r="G19" s="67">
        <f t="shared" si="20"/>
        <v>0.38657066112308569</v>
      </c>
      <c r="H19" s="67">
        <f t="shared" si="20"/>
        <v>0.28922007254750692</v>
      </c>
      <c r="I19" s="67">
        <f t="shared" si="20"/>
        <v>0.40991269322611262</v>
      </c>
      <c r="J19" s="67">
        <f t="shared" si="20"/>
        <v>0.31945274696915171</v>
      </c>
      <c r="K19" s="67">
        <f t="shared" si="20"/>
        <v>0.3717746278391294</v>
      </c>
      <c r="L19" s="67">
        <f t="shared" si="20"/>
        <v>0.38137432832288082</v>
      </c>
      <c r="M19" s="67">
        <f t="shared" si="20"/>
        <v>0.36006126341771189</v>
      </c>
      <c r="N19" s="67">
        <f t="shared" si="20"/>
        <v>0.37927714098883286</v>
      </c>
      <c r="O19" s="67">
        <f t="shared" si="20"/>
        <v>0.54448941898020498</v>
      </c>
      <c r="P19" s="67">
        <f t="shared" si="20"/>
        <v>0.42571080478008966</v>
      </c>
      <c r="Q19" s="67">
        <f t="shared" si="20"/>
        <v>0.40099314078536735</v>
      </c>
      <c r="R19" s="67">
        <f t="shared" si="20"/>
        <v>0.47574654753015555</v>
      </c>
      <c r="S19" s="67">
        <f t="shared" si="20"/>
        <v>0.43129523706082717</v>
      </c>
      <c r="T19" s="67">
        <f t="shared" si="20"/>
        <v>0.38137599872314643</v>
      </c>
      <c r="U19" s="67">
        <f t="shared" si="20"/>
        <v>0.39202643473285725</v>
      </c>
      <c r="V19" s="67">
        <f t="shared" si="20"/>
        <v>0.34786869937876963</v>
      </c>
      <c r="W19" s="67">
        <f t="shared" ref="W19" si="21">IF(W5=0,0,W5/W$3)</f>
        <v>0.3497193970169799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0.3271165885476417</v>
      </c>
      <c r="C22" s="66">
        <f t="shared" si="25"/>
        <v>0.26519337016574585</v>
      </c>
      <c r="D22" s="66">
        <f t="shared" si="25"/>
        <v>0.2462134871979805</v>
      </c>
      <c r="E22" s="66">
        <f t="shared" si="25"/>
        <v>0.20812677053824363</v>
      </c>
      <c r="F22" s="66">
        <f t="shared" ref="F22:V22" si="26">IF(F8=0,0,F8/F$7)</f>
        <v>0.19062803811005249</v>
      </c>
      <c r="G22" s="66">
        <f t="shared" si="26"/>
        <v>0.21525789543232171</v>
      </c>
      <c r="H22" s="66">
        <f t="shared" si="26"/>
        <v>0.29381203473945411</v>
      </c>
      <c r="I22" s="66">
        <f t="shared" si="26"/>
        <v>0.20615926905060064</v>
      </c>
      <c r="J22" s="66">
        <f t="shared" si="26"/>
        <v>0.29276887656815298</v>
      </c>
      <c r="K22" s="66">
        <f t="shared" si="26"/>
        <v>0.23929306622483304</v>
      </c>
      <c r="L22" s="66">
        <f t="shared" si="26"/>
        <v>0.26376704365289083</v>
      </c>
      <c r="M22" s="66">
        <f t="shared" si="26"/>
        <v>0.26372433325466127</v>
      </c>
      <c r="N22" s="66">
        <f t="shared" si="26"/>
        <v>0.22815733102411012</v>
      </c>
      <c r="O22" s="66">
        <f t="shared" si="26"/>
        <v>0.13526269384368031</v>
      </c>
      <c r="P22" s="66">
        <f t="shared" si="26"/>
        <v>0.22253506162345943</v>
      </c>
      <c r="Q22" s="66">
        <f t="shared" si="26"/>
        <v>0.25019225839528325</v>
      </c>
      <c r="R22" s="66">
        <f t="shared" si="26"/>
        <v>0.1933756166314306</v>
      </c>
      <c r="S22" s="66">
        <f t="shared" si="26"/>
        <v>0.2220341477774507</v>
      </c>
      <c r="T22" s="66">
        <f t="shared" si="26"/>
        <v>0.26271247220827654</v>
      </c>
      <c r="U22" s="66">
        <f t="shared" si="26"/>
        <v>0.26080338826020777</v>
      </c>
      <c r="V22" s="66">
        <f t="shared" si="26"/>
        <v>0.28646864686468648</v>
      </c>
      <c r="W22" s="66">
        <f t="shared" ref="W22" si="27">IF(W8=0,0,W8/W$7)</f>
        <v>0.2810213843556556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0.6728834114523583</v>
      </c>
      <c r="C23" s="67">
        <f t="shared" si="28"/>
        <v>0.73480662983425415</v>
      </c>
      <c r="D23" s="67">
        <f t="shared" si="28"/>
        <v>0.75378651280201947</v>
      </c>
      <c r="E23" s="67">
        <f t="shared" si="28"/>
        <v>0.79187322946175642</v>
      </c>
      <c r="F23" s="67">
        <f t="shared" ref="F23:V23" si="29">IF(F9=0,0,F9/F$7)</f>
        <v>0.80937196188994742</v>
      </c>
      <c r="G23" s="67">
        <f t="shared" si="29"/>
        <v>0.78474210456767823</v>
      </c>
      <c r="H23" s="67">
        <f t="shared" si="29"/>
        <v>0.70618796526054595</v>
      </c>
      <c r="I23" s="67">
        <f t="shared" si="29"/>
        <v>0.79384073094939933</v>
      </c>
      <c r="J23" s="67">
        <f t="shared" si="29"/>
        <v>0.70723112343184691</v>
      </c>
      <c r="K23" s="67">
        <f t="shared" si="29"/>
        <v>0.76070693377516685</v>
      </c>
      <c r="L23" s="67">
        <f t="shared" si="29"/>
        <v>0.73623295634710928</v>
      </c>
      <c r="M23" s="67">
        <f t="shared" si="29"/>
        <v>0.73627566674533862</v>
      </c>
      <c r="N23" s="67">
        <f t="shared" si="29"/>
        <v>0.77184266897588982</v>
      </c>
      <c r="O23" s="67">
        <f t="shared" si="29"/>
        <v>0.86473730615631961</v>
      </c>
      <c r="P23" s="67">
        <f t="shared" si="29"/>
        <v>0.77746493837654063</v>
      </c>
      <c r="Q23" s="67">
        <f t="shared" si="29"/>
        <v>0.74980774160471675</v>
      </c>
      <c r="R23" s="67">
        <f t="shared" si="29"/>
        <v>0.80662438336856945</v>
      </c>
      <c r="S23" s="67">
        <f t="shared" si="29"/>
        <v>0.77796585222254933</v>
      </c>
      <c r="T23" s="67">
        <f t="shared" si="29"/>
        <v>0.73728752779172346</v>
      </c>
      <c r="U23" s="67">
        <f t="shared" si="29"/>
        <v>0.73919661173979212</v>
      </c>
      <c r="V23" s="67">
        <f t="shared" si="29"/>
        <v>0.71353135313531346</v>
      </c>
      <c r="W23" s="67">
        <f t="shared" ref="W23" si="30">IF(W9=0,0,W9/W$7)</f>
        <v>0.7189786156443444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483.10877042132415</v>
      </c>
      <c r="C3" s="62">
        <f t="shared" ref="C3:V3" si="0">SUM(C4,C10)</f>
        <v>438.3539122957867</v>
      </c>
      <c r="D3" s="62">
        <f t="shared" si="0"/>
        <v>442.80352536543421</v>
      </c>
      <c r="E3" s="62">
        <f t="shared" si="0"/>
        <v>463.52794496990543</v>
      </c>
      <c r="F3" s="62">
        <f t="shared" si="0"/>
        <v>530.35176268271709</v>
      </c>
      <c r="G3" s="62">
        <f t="shared" si="0"/>
        <v>475.16448839208942</v>
      </c>
      <c r="H3" s="62">
        <f t="shared" si="0"/>
        <v>489.02699914015466</v>
      </c>
      <c r="I3" s="62">
        <f t="shared" si="0"/>
        <v>506.16225279449691</v>
      </c>
      <c r="J3" s="62">
        <f t="shared" si="0"/>
        <v>485.88331900257958</v>
      </c>
      <c r="K3" s="62">
        <f t="shared" si="0"/>
        <v>491.1377472055031</v>
      </c>
      <c r="L3" s="62">
        <f t="shared" si="0"/>
        <v>493.46388650042991</v>
      </c>
      <c r="M3" s="62">
        <f t="shared" si="0"/>
        <v>477.76680997420453</v>
      </c>
      <c r="N3" s="62">
        <f t="shared" si="0"/>
        <v>474.9424763542562</v>
      </c>
      <c r="O3" s="62">
        <f t="shared" si="0"/>
        <v>478.28675838349091</v>
      </c>
      <c r="P3" s="62">
        <f t="shared" si="0"/>
        <v>477.64445399828031</v>
      </c>
      <c r="Q3" s="62">
        <f t="shared" si="0"/>
        <v>482.8561478933791</v>
      </c>
      <c r="R3" s="62">
        <f t="shared" si="0"/>
        <v>476.71418744625964</v>
      </c>
      <c r="S3" s="62">
        <f t="shared" si="0"/>
        <v>475.06018916595008</v>
      </c>
      <c r="T3" s="62">
        <f t="shared" si="0"/>
        <v>473.4766122098024</v>
      </c>
      <c r="U3" s="62">
        <f t="shared" si="0"/>
        <v>483.3239036973344</v>
      </c>
      <c r="V3" s="62">
        <f t="shared" si="0"/>
        <v>418.76182287188294</v>
      </c>
      <c r="W3" s="62">
        <f t="shared" ref="W3" si="1">SUM(W4,W10)</f>
        <v>480.3801375752364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400.22789126899806</v>
      </c>
      <c r="C4" s="71">
        <f t="shared" ref="C4:V4" si="2">SUM(C5:C9)</f>
        <v>343.65054416615214</v>
      </c>
      <c r="D4" s="71">
        <f t="shared" si="2"/>
        <v>345.42110033278033</v>
      </c>
      <c r="E4" s="71">
        <f t="shared" si="2"/>
        <v>342.19966155999867</v>
      </c>
      <c r="F4" s="71">
        <f t="shared" si="2"/>
        <v>381.80123680916557</v>
      </c>
      <c r="G4" s="71">
        <f t="shared" si="2"/>
        <v>356.00347361247043</v>
      </c>
      <c r="H4" s="71">
        <f t="shared" si="2"/>
        <v>400.49284278182688</v>
      </c>
      <c r="I4" s="71">
        <f t="shared" si="2"/>
        <v>372.56619830001193</v>
      </c>
      <c r="J4" s="71">
        <f t="shared" si="2"/>
        <v>399.85318510319746</v>
      </c>
      <c r="K4" s="71">
        <f t="shared" si="2"/>
        <v>379.71309884924369</v>
      </c>
      <c r="L4" s="71">
        <f t="shared" si="2"/>
        <v>393.56357743222509</v>
      </c>
      <c r="M4" s="71">
        <f t="shared" si="2"/>
        <v>383.47000541857869</v>
      </c>
      <c r="N4" s="71">
        <f t="shared" si="2"/>
        <v>364.90294545009078</v>
      </c>
      <c r="O4" s="71">
        <f t="shared" si="2"/>
        <v>300.59450867389501</v>
      </c>
      <c r="P4" s="71">
        <f t="shared" si="2"/>
        <v>361.31538008884485</v>
      </c>
      <c r="Q4" s="71">
        <f t="shared" si="2"/>
        <v>375.69119086295029</v>
      </c>
      <c r="R4" s="71">
        <f t="shared" si="2"/>
        <v>345.62256187375891</v>
      </c>
      <c r="S4" s="71">
        <f t="shared" si="2"/>
        <v>366.4114527219989</v>
      </c>
      <c r="T4" s="71">
        <f t="shared" si="2"/>
        <v>380.57507078947111</v>
      </c>
      <c r="U4" s="71">
        <f t="shared" si="2"/>
        <v>385.83913246360555</v>
      </c>
      <c r="V4" s="71">
        <f t="shared" si="2"/>
        <v>339.19444598886025</v>
      </c>
      <c r="W4" s="71">
        <f t="shared" ref="W4" si="3">SUM(W5:W9)</f>
        <v>388.32493848525343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109.7585308656201</v>
      </c>
      <c r="C5" s="73">
        <v>100.64414884233096</v>
      </c>
      <c r="D5" s="73">
        <v>99.344924969971629</v>
      </c>
      <c r="E5" s="73">
        <v>101.40868158135895</v>
      </c>
      <c r="F5" s="73">
        <v>108.41078712913422</v>
      </c>
      <c r="G5" s="73">
        <v>96.817011077034749</v>
      </c>
      <c r="H5" s="73">
        <v>117.49477921700847</v>
      </c>
      <c r="I5" s="73">
        <v>104.85265365287685</v>
      </c>
      <c r="J5" s="73">
        <v>113.04205734693724</v>
      </c>
      <c r="K5" s="73">
        <v>106.19981199170843</v>
      </c>
      <c r="L5" s="73">
        <v>108.74315562570538</v>
      </c>
      <c r="M5" s="73">
        <v>129.98721567090885</v>
      </c>
      <c r="N5" s="73">
        <v>125.55859658990438</v>
      </c>
      <c r="O5" s="73">
        <v>102.65074356108322</v>
      </c>
      <c r="P5" s="73">
        <v>122.40710131269014</v>
      </c>
      <c r="Q5" s="73">
        <v>123.4493324491074</v>
      </c>
      <c r="R5" s="73">
        <v>112.89216403832583</v>
      </c>
      <c r="S5" s="73">
        <v>115.73493984660463</v>
      </c>
      <c r="T5" s="73">
        <v>120.30081095823398</v>
      </c>
      <c r="U5" s="73">
        <v>122.78421640943887</v>
      </c>
      <c r="V5" s="73">
        <v>111.44162413455287</v>
      </c>
      <c r="W5" s="73">
        <v>118.22360540471905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290.46936040337795</v>
      </c>
      <c r="C6" s="73">
        <v>243.00639532382115</v>
      </c>
      <c r="D6" s="73">
        <v>246.0761753628087</v>
      </c>
      <c r="E6" s="73">
        <v>240.79097997863971</v>
      </c>
      <c r="F6" s="73">
        <v>273.39044968003134</v>
      </c>
      <c r="G6" s="73">
        <v>259.18646253543568</v>
      </c>
      <c r="H6" s="73">
        <v>282.99806356481838</v>
      </c>
      <c r="I6" s="73">
        <v>267.71354464713511</v>
      </c>
      <c r="J6" s="73">
        <v>286.81112775626025</v>
      </c>
      <c r="K6" s="73">
        <v>273.51328685753526</v>
      </c>
      <c r="L6" s="73">
        <v>284.82042180651968</v>
      </c>
      <c r="M6" s="73">
        <v>253.48278974766984</v>
      </c>
      <c r="N6" s="73">
        <v>239.34434886018641</v>
      </c>
      <c r="O6" s="73">
        <v>197.9437651128118</v>
      </c>
      <c r="P6" s="73">
        <v>238.9082787761547</v>
      </c>
      <c r="Q6" s="73">
        <v>252.24185841384286</v>
      </c>
      <c r="R6" s="73">
        <v>231.279318024486</v>
      </c>
      <c r="S6" s="73">
        <v>248.31812815331588</v>
      </c>
      <c r="T6" s="73">
        <v>257.1025780173627</v>
      </c>
      <c r="U6" s="73">
        <v>259.18324735778504</v>
      </c>
      <c r="V6" s="73">
        <v>224.46945694788616</v>
      </c>
      <c r="W6" s="73">
        <v>266.4310687116249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1.4510798109470866</v>
      </c>
      <c r="S7" s="73">
        <v>2.35838472207839</v>
      </c>
      <c r="T7" s="73">
        <v>3.1716818138744673</v>
      </c>
      <c r="U7" s="73">
        <v>3.8716686963816977</v>
      </c>
      <c r="V7" s="73">
        <v>3.2833649064212649</v>
      </c>
      <c r="W7" s="73">
        <v>3.6702643689094967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82.880879152326074</v>
      </c>
      <c r="C10" s="71">
        <f t="shared" ref="C10:V10" si="4">SUM(C11:C15)</f>
        <v>94.703368129634541</v>
      </c>
      <c r="D10" s="71">
        <f t="shared" si="4"/>
        <v>97.382425032653913</v>
      </c>
      <c r="E10" s="71">
        <f t="shared" si="4"/>
        <v>121.32828340990673</v>
      </c>
      <c r="F10" s="71">
        <f t="shared" si="4"/>
        <v>148.55052587355152</v>
      </c>
      <c r="G10" s="71">
        <f t="shared" si="4"/>
        <v>119.16101477961898</v>
      </c>
      <c r="H10" s="71">
        <f t="shared" si="4"/>
        <v>88.534156358327806</v>
      </c>
      <c r="I10" s="71">
        <f t="shared" si="4"/>
        <v>133.59605449448495</v>
      </c>
      <c r="J10" s="71">
        <f t="shared" si="4"/>
        <v>86.030133899382093</v>
      </c>
      <c r="K10" s="71">
        <f t="shared" si="4"/>
        <v>111.42464835625941</v>
      </c>
      <c r="L10" s="71">
        <f t="shared" si="4"/>
        <v>99.90030906820482</v>
      </c>
      <c r="M10" s="71">
        <f t="shared" si="4"/>
        <v>94.296804555625826</v>
      </c>
      <c r="N10" s="71">
        <f t="shared" si="4"/>
        <v>110.03953090416545</v>
      </c>
      <c r="O10" s="71">
        <f t="shared" si="4"/>
        <v>177.6922497095959</v>
      </c>
      <c r="P10" s="71">
        <f t="shared" si="4"/>
        <v>116.32907390943548</v>
      </c>
      <c r="Q10" s="71">
        <f t="shared" si="4"/>
        <v>107.16495703042884</v>
      </c>
      <c r="R10" s="71">
        <f t="shared" si="4"/>
        <v>131.09162557250073</v>
      </c>
      <c r="S10" s="71">
        <f t="shared" si="4"/>
        <v>108.64873644395121</v>
      </c>
      <c r="T10" s="71">
        <f t="shared" si="4"/>
        <v>92.901541420331256</v>
      </c>
      <c r="U10" s="71">
        <f t="shared" si="4"/>
        <v>97.484771233728836</v>
      </c>
      <c r="V10" s="71">
        <f t="shared" si="4"/>
        <v>79.567376883022675</v>
      </c>
      <c r="W10" s="71">
        <f t="shared" ref="W10" si="5">SUM(W11:W15)</f>
        <v>92.055199089982992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22.729259332144306</v>
      </c>
      <c r="C11" s="73">
        <v>27.735558810291536</v>
      </c>
      <c r="D11" s="73">
        <v>28.00769755797338</v>
      </c>
      <c r="E11" s="73">
        <v>35.954860980979852</v>
      </c>
      <c r="F11" s="73">
        <v>42.180270480496077</v>
      </c>
      <c r="G11" s="73">
        <v>32.40646269768574</v>
      </c>
      <c r="H11" s="73">
        <v>25.973750447651838</v>
      </c>
      <c r="I11" s="73">
        <v>37.598421153657945</v>
      </c>
      <c r="J11" s="73">
        <v>24.321485215401559</v>
      </c>
      <c r="K11" s="73">
        <v>31.163730570630385</v>
      </c>
      <c r="L11" s="73">
        <v>27.602846093985015</v>
      </c>
      <c r="M11" s="73">
        <v>31.964375042762651</v>
      </c>
      <c r="N11" s="73">
        <v>37.863243478883213</v>
      </c>
      <c r="O11" s="73">
        <v>60.680554805210775</v>
      </c>
      <c r="P11" s="73">
        <v>39.410181576389846</v>
      </c>
      <c r="Q11" s="73">
        <v>35.213608221571889</v>
      </c>
      <c r="R11" s="73">
        <v>42.819013949636364</v>
      </c>
      <c r="S11" s="73">
        <v>34.317854650385875</v>
      </c>
      <c r="T11" s="73">
        <v>29.366428938584615</v>
      </c>
      <c r="U11" s="73">
        <v>31.022232429770039</v>
      </c>
      <c r="V11" s="73">
        <v>26.141694868026626</v>
      </c>
      <c r="W11" s="73">
        <v>28.025749711360053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60.151619820181772</v>
      </c>
      <c r="C12" s="73">
        <v>66.967809319343004</v>
      </c>
      <c r="D12" s="73">
        <v>69.374727474680526</v>
      </c>
      <c r="E12" s="73">
        <v>85.373422428926887</v>
      </c>
      <c r="F12" s="73">
        <v>106.37025539305544</v>
      </c>
      <c r="G12" s="73">
        <v>86.754552081933241</v>
      </c>
      <c r="H12" s="73">
        <v>62.560405910675968</v>
      </c>
      <c r="I12" s="73">
        <v>95.997633340826994</v>
      </c>
      <c r="J12" s="73">
        <v>61.708648683980535</v>
      </c>
      <c r="K12" s="73">
        <v>80.260917785629019</v>
      </c>
      <c r="L12" s="73">
        <v>72.297462974219798</v>
      </c>
      <c r="M12" s="73">
        <v>62.332429512863179</v>
      </c>
      <c r="N12" s="73">
        <v>72.17628742528224</v>
      </c>
      <c r="O12" s="73">
        <v>117.01169490438511</v>
      </c>
      <c r="P12" s="73">
        <v>76.918892333045633</v>
      </c>
      <c r="Q12" s="73">
        <v>71.951348808856949</v>
      </c>
      <c r="R12" s="73">
        <v>87.722229696924089</v>
      </c>
      <c r="S12" s="73">
        <v>73.631570900854399</v>
      </c>
      <c r="T12" s="73">
        <v>62.760878560453435</v>
      </c>
      <c r="U12" s="73">
        <v>65.484336477124671</v>
      </c>
      <c r="V12" s="73">
        <v>52.655478563721701</v>
      </c>
      <c r="W12" s="73">
        <v>63.159387006345845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0.55038192594027302</v>
      </c>
      <c r="S13" s="73">
        <v>0.69931089271094737</v>
      </c>
      <c r="T13" s="73">
        <v>0.7742339212932019</v>
      </c>
      <c r="U13" s="73">
        <v>0.97820232683412456</v>
      </c>
      <c r="V13" s="73">
        <v>0.77020345127434986</v>
      </c>
      <c r="W13" s="73">
        <v>0.8700623722770896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1583.4959206179296</v>
      </c>
      <c r="C19" s="62">
        <f>IF(C3=0,0,C3/TrNavi_act!C7*100)</f>
        <v>1892.0662650888585</v>
      </c>
      <c r="D19" s="62">
        <f>IF(D3=0,0,D3/TrNavi_act!D7*100)</f>
        <v>1996.0490685423465</v>
      </c>
      <c r="E19" s="62">
        <f>IF(E3=0,0,E3/TrNavi_act!E7*100)</f>
        <v>2051.7348838965363</v>
      </c>
      <c r="F19" s="62">
        <f>IF(F3=0,0,F3/TrNavi_act!F7*100)</f>
        <v>2062.4217876053553</v>
      </c>
      <c r="G19" s="62">
        <f>IF(G3=0,0,G3/TrNavi_act!G7*100)</f>
        <v>2092.9590291683453</v>
      </c>
      <c r="H19" s="62">
        <f>IF(H3=0,0,H3/TrNavi_act!H7*100)</f>
        <v>1896.041404854818</v>
      </c>
      <c r="I19" s="62">
        <f>IF(I3=0,0,I3/TrNavi_act!I7*100)</f>
        <v>2347.5824534784883</v>
      </c>
      <c r="J19" s="62">
        <f>IF(J3=0,0,J3/TrNavi_act!J7*100)</f>
        <v>2282.9644270195909</v>
      </c>
      <c r="K19" s="62">
        <f>IF(K3=0,0,K3/TrNavi_act!K7*100)</f>
        <v>2465.9223136290757</v>
      </c>
      <c r="L19" s="62">
        <f>IF(L3=0,0,L3/TrNavi_act!L7*100)</f>
        <v>2607.884401756844</v>
      </c>
      <c r="M19" s="62">
        <f>IF(M3=0,0,M3/TrNavi_act!M7*100)</f>
        <v>2255.2126975416782</v>
      </c>
      <c r="N19" s="62">
        <f>IF(N3=0,0,N3/TrNavi_act!N7*100)</f>
        <v>2164.6345943861093</v>
      </c>
      <c r="O19" s="62">
        <f>IF(O3=0,0,O3/TrNavi_act!O7*100)</f>
        <v>2480.6117856101391</v>
      </c>
      <c r="P19" s="62">
        <f>IF(P3=0,0,P3/TrNavi_act!P7*100)</f>
        <v>2537.422726297707</v>
      </c>
      <c r="Q19" s="62">
        <f>IF(Q3=0,0,Q3/TrNavi_act!Q7*100)</f>
        <v>3094.4382715545958</v>
      </c>
      <c r="R19" s="62">
        <f>IF(R3=0,0,R3/TrNavi_act!R7*100)</f>
        <v>3359.5080158298779</v>
      </c>
      <c r="S19" s="62">
        <f>IF(S3=0,0,S3/TrNavi_act!S7*100)</f>
        <v>3496.1744860608633</v>
      </c>
      <c r="T19" s="62">
        <f>IF(T3=0,0,T3/TrNavi_act!T7*100)</f>
        <v>3395.8015650132857</v>
      </c>
      <c r="U19" s="62">
        <f>IF(U3=0,0,U3/TrNavi_act!U7*100)</f>
        <v>3198.4905280744779</v>
      </c>
      <c r="V19" s="62">
        <f>IF(V3=0,0,V3/TrNavi_act!V7*100)</f>
        <v>3071.2271571095193</v>
      </c>
      <c r="W19" s="62">
        <f>IF(W3=0,0,W3/TrNavi_act!W7*100)</f>
        <v>3379.1512209850616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4010.2995117134069</v>
      </c>
      <c r="C20" s="63">
        <f>IF(C4=0,0,C4/TrNavi_act!C8*100)</f>
        <v>5593.2705756209652</v>
      </c>
      <c r="D20" s="63">
        <f>IF(D4=0,0,D4/TrNavi_act!D8*100)</f>
        <v>6324.0772671691748</v>
      </c>
      <c r="E20" s="63">
        <f>IF(E4=0,0,E4/TrNavi_act!E8*100)</f>
        <v>7277.7469493832132</v>
      </c>
      <c r="F20" s="63">
        <f>IF(F4=0,0,F4/TrNavi_act!F8*100)</f>
        <v>7788.6829214436066</v>
      </c>
      <c r="G20" s="63">
        <f>IF(G4=0,0,G4/TrNavi_act!G8*100)</f>
        <v>7284.7037776237048</v>
      </c>
      <c r="H20" s="63">
        <f>IF(H4=0,0,H4/TrNavi_act!H8*100)</f>
        <v>5284.9411821302037</v>
      </c>
      <c r="I20" s="63">
        <f>IF(I4=0,0,I4/TrNavi_act!I8*100)</f>
        <v>8381.6917502814831</v>
      </c>
      <c r="J20" s="63">
        <f>IF(J4=0,0,J4/TrNavi_act!J8*100)</f>
        <v>6417.1591253923525</v>
      </c>
      <c r="K20" s="63">
        <f>IF(K4=0,0,K4/TrNavi_act!K8*100)</f>
        <v>7967.1233497533294</v>
      </c>
      <c r="L20" s="63">
        <f>IF(L4=0,0,L4/TrNavi_act!L8*100)</f>
        <v>7885.4653863399135</v>
      </c>
      <c r="M20" s="63">
        <f>IF(M4=0,0,M4/TrNavi_act!M8*100)</f>
        <v>6863.6120533126668</v>
      </c>
      <c r="N20" s="63">
        <f>IF(N4=0,0,N4/TrNavi_act!N8*100)</f>
        <v>7289.3117349199119</v>
      </c>
      <c r="O20" s="63">
        <f>IF(O4=0,0,O4/TrNavi_act!O8*100)</f>
        <v>11525.863062649349</v>
      </c>
      <c r="P20" s="63">
        <f>IF(P4=0,0,P4/TrNavi_act!P8*100)</f>
        <v>8625.3373141285465</v>
      </c>
      <c r="Q20" s="63">
        <f>IF(Q4=0,0,Q4/TrNavi_act!Q8*100)</f>
        <v>9623.237470874752</v>
      </c>
      <c r="R20" s="63">
        <f>IF(R4=0,0,R4/TrNavi_act!R8*100)</f>
        <v>12595.574412308997</v>
      </c>
      <c r="S20" s="63">
        <f>IF(S4=0,0,S4/TrNavi_act!S8*100)</f>
        <v>12144.894024593932</v>
      </c>
      <c r="T20" s="63">
        <f>IF(T4=0,0,T4/TrNavi_act!T8*100)</f>
        <v>10389.709822262384</v>
      </c>
      <c r="U20" s="63">
        <f>IF(U4=0,0,U4/TrNavi_act!U8*100)</f>
        <v>9790.3865126517521</v>
      </c>
      <c r="V20" s="63">
        <f>IF(V4=0,0,V4/TrNavi_act!V8*100)</f>
        <v>8683.9335890645216</v>
      </c>
      <c r="W20" s="63">
        <f>IF(W4=0,0,W4/TrNavi_act!W8*100)</f>
        <v>9720.2738043868194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403.72584710568498</v>
      </c>
      <c r="C21" s="64">
        <f>IF(C10=0,0,C10/TrNavi_act!C9*100)</f>
        <v>556.29328083666906</v>
      </c>
      <c r="D21" s="64">
        <f>IF(D10=0,0,D10/TrNavi_act!D9*100)</f>
        <v>582.36111130638619</v>
      </c>
      <c r="E21" s="64">
        <f>IF(E10=0,0,E10/TrNavi_act!E9*100)</f>
        <v>678.19051654503482</v>
      </c>
      <c r="F21" s="64">
        <f>IF(F10=0,0,F10/TrNavi_act!F9*100)</f>
        <v>713.73913358742868</v>
      </c>
      <c r="G21" s="64">
        <f>IF(G10=0,0,G10/TrNavi_act!G9*100)</f>
        <v>668.84269633822964</v>
      </c>
      <c r="H21" s="64">
        <f>IF(H10=0,0,H10/TrNavi_act!H9*100)</f>
        <v>486.07750279086315</v>
      </c>
      <c r="I21" s="64">
        <f>IF(I10=0,0,I10/TrNavi_act!I9*100)</f>
        <v>780.53315315777604</v>
      </c>
      <c r="J21" s="64">
        <f>IF(J10=0,0,J10/TrNavi_act!J9*100)</f>
        <v>571.5528428074814</v>
      </c>
      <c r="K21" s="64">
        <f>IF(K10=0,0,K10/TrNavi_act!K9*100)</f>
        <v>735.42768369255759</v>
      </c>
      <c r="L21" s="64">
        <f>IF(L10=0,0,L10/TrNavi_act!L9*100)</f>
        <v>717.10795397462368</v>
      </c>
      <c r="M21" s="64">
        <f>IF(M10=0,0,M10/TrNavi_act!M9*100)</f>
        <v>604.54420153625983</v>
      </c>
      <c r="N21" s="64">
        <f>IF(N10=0,0,N10/TrNavi_act!N9*100)</f>
        <v>649.77579512350428</v>
      </c>
      <c r="O21" s="64">
        <f>IF(O10=0,0,O10/TrNavi_act!O9*100)</f>
        <v>1065.748513822323</v>
      </c>
      <c r="P21" s="64">
        <f>IF(P10=0,0,P10/TrNavi_act!P9*100)</f>
        <v>794.86897102449939</v>
      </c>
      <c r="Q21" s="64">
        <f>IF(Q10=0,0,Q10/TrNavi_act!Q9*100)</f>
        <v>915.939803678879</v>
      </c>
      <c r="R21" s="64">
        <f>IF(R10=0,0,R10/TrNavi_act!R9*100)</f>
        <v>1145.3051334308993</v>
      </c>
      <c r="S21" s="64">
        <f>IF(S10=0,0,S10/TrNavi_act!S9*100)</f>
        <v>1027.7999852800228</v>
      </c>
      <c r="T21" s="64">
        <f>IF(T10=0,0,T10/TrNavi_act!T9*100)</f>
        <v>903.71149241567377</v>
      </c>
      <c r="U21" s="64">
        <f>IF(U10=0,0,U10/TrNavi_act!U9*100)</f>
        <v>872.73743271019555</v>
      </c>
      <c r="V21" s="64">
        <f>IF(V10=0,0,V10/TrNavi_act!V9*100)</f>
        <v>817.83715575108113</v>
      </c>
      <c r="W21" s="64">
        <f>IF(W10=0,0,W10/TrNavi_act!W9*100)</f>
        <v>900.64767723298098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16.712808092786474</v>
      </c>
      <c r="C23" s="62">
        <f>IF(C3=0,0,C3/TrNavi_act!C3*1000)</f>
        <v>19.052888943567776</v>
      </c>
      <c r="D23" s="62">
        <f>IF(D3=0,0,D3/TrNavi_act!D3*1000)</f>
        <v>18.561489531974772</v>
      </c>
      <c r="E23" s="62">
        <f>IF(E3=0,0,E3/TrNavi_act!E3*1000)</f>
        <v>21.848356891445075</v>
      </c>
      <c r="F23" s="62">
        <f>IF(F3=0,0,F3/TrNavi_act!F3*1000)</f>
        <v>23.462959512923987</v>
      </c>
      <c r="G23" s="62">
        <f>IF(G3=0,0,G3/TrNavi_act!G3*1000)</f>
        <v>20.627136487360222</v>
      </c>
      <c r="H23" s="62">
        <f>IF(H3=0,0,H3/TrNavi_act!H3*1000)</f>
        <v>15.706432445197684</v>
      </c>
      <c r="I23" s="62">
        <f>IF(I3=0,0,I3/TrNavi_act!I3*1000)</f>
        <v>22.532833650346294</v>
      </c>
      <c r="J23" s="62">
        <f>IF(J3=0,0,J3/TrNavi_act!J3*1000)</f>
        <v>17.420511892464948</v>
      </c>
      <c r="K23" s="62">
        <f>IF(K3=0,0,K3/TrNavi_act!K3*1000)</f>
        <v>20.961147191490568</v>
      </c>
      <c r="L23" s="62">
        <f>IF(L3=0,0,L3/TrNavi_act!L3*1000)</f>
        <v>19.864308451097717</v>
      </c>
      <c r="M23" s="62">
        <f>IF(M3=0,0,M3/TrNavi_act!M3*1000)</f>
        <v>19.03988059970802</v>
      </c>
      <c r="N23" s="62">
        <f>IF(N3=0,0,N3/TrNavi_act!N3*1000)</f>
        <v>20.203546945468666</v>
      </c>
      <c r="O23" s="62">
        <f>IF(O3=0,0,O3/TrNavi_act!O3*1000)</f>
        <v>28.266805511576322</v>
      </c>
      <c r="P23" s="62">
        <f>IF(P3=0,0,P3/TrNavi_act!P3*1000)</f>
        <v>23.098762343559518</v>
      </c>
      <c r="Q23" s="62">
        <f>IF(Q3=0,0,Q3/TrNavi_act!Q3*1000)</f>
        <v>22.736261541955134</v>
      </c>
      <c r="R23" s="62">
        <f>IF(R3=0,0,R3/TrNavi_act!R3*1000)</f>
        <v>27.301688796942514</v>
      </c>
      <c r="S23" s="62">
        <f>IF(S3=0,0,S3/TrNavi_act!S3*1000)</f>
        <v>27.271555557632084</v>
      </c>
      <c r="T23" s="62">
        <f>IF(T3=0,0,T3/TrNavi_act!T3*1000)</f>
        <v>24.858564957814604</v>
      </c>
      <c r="U23" s="62">
        <f>IF(U3=0,0,U3/TrNavi_act!U3*1000)</f>
        <v>23.64309293581643</v>
      </c>
      <c r="V23" s="62">
        <f>IF(V3=0,0,V3/TrNavi_act!V3*1000)</f>
        <v>20.846326655970895</v>
      </c>
      <c r="W23" s="62">
        <f>IF(W3=0,0,W3/TrNavi_act!W3*1000)</f>
        <v>23.313662510650225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20.217104613750038</v>
      </c>
      <c r="C24" s="63">
        <f>IF(C4=0,0,C4/TrNavi_act!C4*1000)</f>
        <v>23.356590939923883</v>
      </c>
      <c r="D24" s="63">
        <f>IF(D4=0,0,D4/TrNavi_act!D4*1000)</f>
        <v>22.160797258335382</v>
      </c>
      <c r="E24" s="63">
        <f>IF(E4=0,0,E4/TrNavi_act!E4*1000)</f>
        <v>25.940549505070855</v>
      </c>
      <c r="F24" s="63">
        <f>IF(F4=0,0,F4/TrNavi_act!F4*1000)</f>
        <v>26.910554119441702</v>
      </c>
      <c r="G24" s="63">
        <f>IF(G4=0,0,G4/TrNavi_act!G4*1000)</f>
        <v>25.193276801809144</v>
      </c>
      <c r="H24" s="63">
        <f>IF(H4=0,0,H4/TrNavi_act!H4*1000)</f>
        <v>18.096905476968256</v>
      </c>
      <c r="I24" s="63">
        <f>IF(I4=0,0,I4/TrNavi_act!I4*1000)</f>
        <v>28.106918452365687</v>
      </c>
      <c r="J24" s="63">
        <f>IF(J4=0,0,J4/TrNavi_act!J4*1000)</f>
        <v>21.065472140888584</v>
      </c>
      <c r="K24" s="63">
        <f>IF(K4=0,0,K4/TrNavi_act!K4*1000)</f>
        <v>25.795968661203734</v>
      </c>
      <c r="L24" s="63">
        <f>IF(L4=0,0,L4/TrNavi_act!L4*1000)</f>
        <v>25.609732171476477</v>
      </c>
      <c r="M24" s="63">
        <f>IF(M4=0,0,M4/TrNavi_act!M4*1000)</f>
        <v>23.880380600127506</v>
      </c>
      <c r="N24" s="63">
        <f>IF(N4=0,0,N4/TrNavi_act!N4*1000)</f>
        <v>25.007267430869806</v>
      </c>
      <c r="O24" s="63">
        <f>IF(O4=0,0,O4/TrNavi_act!O4*1000)</f>
        <v>39.000569277797076</v>
      </c>
      <c r="P24" s="63">
        <f>IF(P4=0,0,P4/TrNavi_act!P4*1000)</f>
        <v>30.425643632342577</v>
      </c>
      <c r="Q24" s="63">
        <f>IF(Q4=0,0,Q4/TrNavi_act!Q4*1000)</f>
        <v>29.532520049525733</v>
      </c>
      <c r="R24" s="63">
        <f>IF(R4=0,0,R4/TrNavi_act!R4*1000)</f>
        <v>37.756542770122337</v>
      </c>
      <c r="S24" s="63">
        <f>IF(S4=0,0,S4/TrNavi_act!S4*1000)</f>
        <v>36.986517979791593</v>
      </c>
      <c r="T24" s="63">
        <f>IF(T4=0,0,T4/TrNavi_act!T4*1000)</f>
        <v>32.299150015825681</v>
      </c>
      <c r="U24" s="63">
        <f>IF(U4=0,0,U4/TrNavi_act!U4*1000)</f>
        <v>31.04470881508745</v>
      </c>
      <c r="V24" s="63">
        <f>IF(V4=0,0,V4/TrNavi_act!V4*1000)</f>
        <v>25.892628715751172</v>
      </c>
      <c r="W24" s="63">
        <f>IF(W4=0,0,W4/TrNavi_act!W4*1000)</f>
        <v>28.981439000992932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9.0977913449315118</v>
      </c>
      <c r="C25" s="64">
        <f>IF(C10=0,0,C10/TrNavi_act!C5*1000)</f>
        <v>11.418298544687069</v>
      </c>
      <c r="D25" s="64">
        <f>IF(D10=0,0,D10/TrNavi_act!D5*1000)</f>
        <v>11.776807961380326</v>
      </c>
      <c r="E25" s="64">
        <f>IF(E10=0,0,E10/TrNavi_act!E5*1000)</f>
        <v>15.120673406020282</v>
      </c>
      <c r="F25" s="64">
        <f>IF(F10=0,0,F10/TrNavi_act!F5*1000)</f>
        <v>17.650965526800324</v>
      </c>
      <c r="G25" s="64">
        <f>IF(G10=0,0,G10/TrNavi_act!G5*1000)</f>
        <v>13.381360446897133</v>
      </c>
      <c r="H25" s="64">
        <f>IF(H10=0,0,H10/TrNavi_act!H5*1000)</f>
        <v>9.831666447343455</v>
      </c>
      <c r="I25" s="64">
        <f>IF(I10=0,0,I10/TrNavi_act!I5*1000)</f>
        <v>14.508694015474038</v>
      </c>
      <c r="J25" s="64">
        <f>IF(J10=0,0,J10/TrNavi_act!J5*1000)</f>
        <v>9.6554583500989999</v>
      </c>
      <c r="K25" s="64">
        <f>IF(K10=0,0,K10/TrNavi_act!K5*1000)</f>
        <v>12.791257990616394</v>
      </c>
      <c r="L25" s="64">
        <f>IF(L10=0,0,L10/TrNavi_act!L5*1000)</f>
        <v>10.544681134494914</v>
      </c>
      <c r="M25" s="64">
        <f>IF(M10=0,0,M10/TrNavi_act!M5*1000)</f>
        <v>10.436835036593893</v>
      </c>
      <c r="N25" s="64">
        <f>IF(N10=0,0,N10/TrNavi_act!N5*1000)</f>
        <v>12.341804722315551</v>
      </c>
      <c r="O25" s="64">
        <f>IF(O10=0,0,O10/TrNavi_act!O5*1000)</f>
        <v>19.287121427287087</v>
      </c>
      <c r="P25" s="64">
        <f>IF(P10=0,0,P10/TrNavi_act!P5*1000)</f>
        <v>13.214707930186924</v>
      </c>
      <c r="Q25" s="64">
        <f>IF(Q10=0,0,Q10/TrNavi_act!Q5*1000)</f>
        <v>12.583954559702775</v>
      </c>
      <c r="R25" s="64">
        <f>IF(R10=0,0,R10/TrNavi_act!R5*1000)</f>
        <v>15.780862594498704</v>
      </c>
      <c r="S25" s="64">
        <f>IF(S10=0,0,S10/TrNavi_act!S5*1000)</f>
        <v>14.46143171089461</v>
      </c>
      <c r="T25" s="64">
        <f>IF(T10=0,0,T10/TrNavi_act!T5*1000)</f>
        <v>12.78930911623503</v>
      </c>
      <c r="U25" s="64">
        <f>IF(U10=0,0,U10/TrNavi_act!U5*1000)</f>
        <v>12.164308863704623</v>
      </c>
      <c r="V25" s="64">
        <f>IF(V10=0,0,V10/TrNavi_act!V5*1000)</f>
        <v>11.386287476105135</v>
      </c>
      <c r="W25" s="64">
        <f>IF(W10=0,0,W10/TrNavi_act!W5*1000)</f>
        <v>12.774798652509435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0.82844261121559681</v>
      </c>
      <c r="C28" s="77">
        <f t="shared" si="8"/>
        <v>0.78395683151623874</v>
      </c>
      <c r="D28" s="77">
        <f t="shared" si="8"/>
        <v>0.78007757514512399</v>
      </c>
      <c r="E28" s="77">
        <f t="shared" si="8"/>
        <v>0.73825033695048525</v>
      </c>
      <c r="F28" s="77">
        <f t="shared" si="8"/>
        <v>0.71990189092211643</v>
      </c>
      <c r="G28" s="77">
        <f t="shared" si="8"/>
        <v>0.74922154813620789</v>
      </c>
      <c r="H28" s="77">
        <f t="shared" si="8"/>
        <v>0.81895855133971041</v>
      </c>
      <c r="I28" s="77">
        <f t="shared" si="8"/>
        <v>0.73606081102075915</v>
      </c>
      <c r="J28" s="77">
        <f t="shared" si="8"/>
        <v>0.82294075442642356</v>
      </c>
      <c r="K28" s="77">
        <f t="shared" si="8"/>
        <v>0.77312953648900284</v>
      </c>
      <c r="L28" s="77">
        <f t="shared" si="8"/>
        <v>0.79755294804512955</v>
      </c>
      <c r="M28" s="77">
        <f t="shared" si="8"/>
        <v>0.80263006431795236</v>
      </c>
      <c r="N28" s="77">
        <f t="shared" si="8"/>
        <v>0.7683097714299032</v>
      </c>
      <c r="O28" s="77">
        <f t="shared" si="8"/>
        <v>0.62848177041288267</v>
      </c>
      <c r="P28" s="77">
        <f t="shared" si="8"/>
        <v>0.75645258112877767</v>
      </c>
      <c r="Q28" s="77">
        <f t="shared" si="8"/>
        <v>0.77806028255419002</v>
      </c>
      <c r="R28" s="77">
        <f t="shared" si="8"/>
        <v>0.72501001852964819</v>
      </c>
      <c r="S28" s="77">
        <f t="shared" si="8"/>
        <v>0.7712947981713586</v>
      </c>
      <c r="T28" s="77">
        <f t="shared" si="8"/>
        <v>0.80378853141923379</v>
      </c>
      <c r="U28" s="77">
        <f t="shared" si="8"/>
        <v>0.79830343484361277</v>
      </c>
      <c r="V28" s="77">
        <f t="shared" ref="V28:W28" si="9">IF(V4=0,0,V4/V$3)</f>
        <v>0.80999371829708144</v>
      </c>
      <c r="W28" s="77">
        <f t="shared" si="9"/>
        <v>0.80837009715963659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0.17155738878440316</v>
      </c>
      <c r="C29" s="78">
        <f t="shared" si="10"/>
        <v>0.21604316848376123</v>
      </c>
      <c r="D29" s="78">
        <f t="shared" si="10"/>
        <v>0.21992242485487606</v>
      </c>
      <c r="E29" s="78">
        <f t="shared" si="10"/>
        <v>0.26174966304951469</v>
      </c>
      <c r="F29" s="78">
        <f t="shared" si="10"/>
        <v>0.28009810907788357</v>
      </c>
      <c r="G29" s="78">
        <f t="shared" si="10"/>
        <v>0.25077845186379205</v>
      </c>
      <c r="H29" s="78">
        <f t="shared" si="10"/>
        <v>0.18104144866028962</v>
      </c>
      <c r="I29" s="78">
        <f t="shared" si="10"/>
        <v>0.26393918897924074</v>
      </c>
      <c r="J29" s="78">
        <f t="shared" si="10"/>
        <v>0.17705924557357638</v>
      </c>
      <c r="K29" s="78">
        <f t="shared" si="10"/>
        <v>0.2268704635109971</v>
      </c>
      <c r="L29" s="78">
        <f t="shared" si="10"/>
        <v>0.20244705195487042</v>
      </c>
      <c r="M29" s="78">
        <f t="shared" si="10"/>
        <v>0.19736993568204764</v>
      </c>
      <c r="N29" s="78">
        <f t="shared" si="10"/>
        <v>0.23169022857009686</v>
      </c>
      <c r="O29" s="78">
        <f t="shared" si="10"/>
        <v>0.37151822958711733</v>
      </c>
      <c r="P29" s="78">
        <f t="shared" si="10"/>
        <v>0.24354741887122236</v>
      </c>
      <c r="Q29" s="78">
        <f t="shared" si="10"/>
        <v>0.22193971744581006</v>
      </c>
      <c r="R29" s="78">
        <f t="shared" si="10"/>
        <v>0.27498998147035175</v>
      </c>
      <c r="S29" s="78">
        <f t="shared" si="10"/>
        <v>0.22870520182864146</v>
      </c>
      <c r="T29" s="78">
        <f t="shared" si="10"/>
        <v>0.19621146858076619</v>
      </c>
      <c r="U29" s="78">
        <f t="shared" si="10"/>
        <v>0.20169656515638723</v>
      </c>
      <c r="V29" s="78">
        <f t="shared" ref="V29:W29" si="11">IF(V10=0,0,V10/V$3)</f>
        <v>0.19000628170291856</v>
      </c>
      <c r="W29" s="78">
        <f t="shared" si="11"/>
        <v>0.19162990284036346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1460.41222212</v>
      </c>
      <c r="C3" s="54">
        <f t="shared" ref="C3:V3" si="1">SUM(C4:C5)</f>
        <v>1323.8422250399999</v>
      </c>
      <c r="D3" s="54">
        <f t="shared" si="1"/>
        <v>1335.8916597600005</v>
      </c>
      <c r="E3" s="54">
        <f t="shared" si="1"/>
        <v>1399.72641516</v>
      </c>
      <c r="F3" s="54">
        <f t="shared" si="1"/>
        <v>1599.8349085200002</v>
      </c>
      <c r="G3" s="54">
        <f t="shared" si="1"/>
        <v>1436.0655153600001</v>
      </c>
      <c r="H3" s="54">
        <f t="shared" si="1"/>
        <v>1476.8816432399999</v>
      </c>
      <c r="I3" s="54">
        <f t="shared" si="1"/>
        <v>1532.5504343999999</v>
      </c>
      <c r="J3" s="54">
        <f t="shared" si="1"/>
        <v>1463.6174493600001</v>
      </c>
      <c r="K3" s="54">
        <f t="shared" si="1"/>
        <v>1478.8629226800003</v>
      </c>
      <c r="L3" s="54">
        <f t="shared" si="1"/>
        <v>1484.7595909199999</v>
      </c>
      <c r="M3" s="54">
        <f t="shared" si="1"/>
        <v>1426.0332862799999</v>
      </c>
      <c r="N3" s="54">
        <f t="shared" si="1"/>
        <v>1418.1081642000001</v>
      </c>
      <c r="O3" s="54">
        <f t="shared" si="1"/>
        <v>1428.2429781599999</v>
      </c>
      <c r="P3" s="54">
        <f t="shared" si="1"/>
        <v>1425.3006942000002</v>
      </c>
      <c r="Q3" s="54">
        <f t="shared" si="1"/>
        <v>1439.7704423999999</v>
      </c>
      <c r="R3" s="54">
        <f t="shared" si="1"/>
        <v>1413.07861284</v>
      </c>
      <c r="S3" s="54">
        <f t="shared" si="1"/>
        <v>1404.0078742799999</v>
      </c>
      <c r="T3" s="54">
        <f t="shared" si="1"/>
        <v>1397.2669646400004</v>
      </c>
      <c r="U3" s="54">
        <f t="shared" si="1"/>
        <v>1423.0180936799998</v>
      </c>
      <c r="V3" s="54">
        <f t="shared" si="1"/>
        <v>1233.5740829999997</v>
      </c>
      <c r="W3" s="54">
        <f t="shared" ref="W3" si="2">SUM(W4:W5)</f>
        <v>1413.3440487600001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1209.867714744265</v>
      </c>
      <c r="C4" s="56">
        <v>1037.8351561697659</v>
      </c>
      <c r="D4" s="56">
        <v>1042.0991266021761</v>
      </c>
      <c r="E4" s="56">
        <v>1033.3484976303648</v>
      </c>
      <c r="F4" s="56">
        <v>1151.7241758067594</v>
      </c>
      <c r="G4" s="56">
        <v>1075.9312286430404</v>
      </c>
      <c r="H4" s="56">
        <v>1209.5048510480412</v>
      </c>
      <c r="I4" s="56">
        <v>1128.0503156746809</v>
      </c>
      <c r="J4" s="56">
        <v>1204.4704479679963</v>
      </c>
      <c r="K4" s="56">
        <v>1143.3526059423609</v>
      </c>
      <c r="L4" s="56">
        <v>1184.1743888765266</v>
      </c>
      <c r="M4" s="56">
        <v>1144.5771882864572</v>
      </c>
      <c r="N4" s="56">
        <v>1089.5463594993817</v>
      </c>
      <c r="O4" s="56">
        <v>897.62467549376481</v>
      </c>
      <c r="P4" s="56">
        <v>1078.1723890122287</v>
      </c>
      <c r="Q4" s="56">
        <v>1120.228197226915</v>
      </c>
      <c r="R4" s="56">
        <v>1024.4961512789782</v>
      </c>
      <c r="S4" s="56">
        <v>1082.9039700237906</v>
      </c>
      <c r="T4" s="56">
        <v>1123.1071615085964</v>
      </c>
      <c r="U4" s="56">
        <v>1136.0002320293538</v>
      </c>
      <c r="V4" s="56">
        <v>999.1872582840823</v>
      </c>
      <c r="W4" s="56">
        <v>1142.5050660161153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250.54450737573498</v>
      </c>
      <c r="C5" s="58">
        <v>286.00706887023409</v>
      </c>
      <c r="D5" s="58">
        <v>293.79253315782432</v>
      </c>
      <c r="E5" s="58">
        <v>366.37791752963511</v>
      </c>
      <c r="F5" s="58">
        <v>448.11073271324091</v>
      </c>
      <c r="G5" s="58">
        <v>360.13428671695954</v>
      </c>
      <c r="H5" s="58">
        <v>267.3767921919586</v>
      </c>
      <c r="I5" s="58">
        <v>404.500118725319</v>
      </c>
      <c r="J5" s="58">
        <v>259.14700139200374</v>
      </c>
      <c r="K5" s="58">
        <v>335.51031673763953</v>
      </c>
      <c r="L5" s="58">
        <v>300.58520204347343</v>
      </c>
      <c r="M5" s="58">
        <v>281.45609799354264</v>
      </c>
      <c r="N5" s="58">
        <v>328.5618047006185</v>
      </c>
      <c r="O5" s="58">
        <v>530.61830266623508</v>
      </c>
      <c r="P5" s="58">
        <v>347.12830518777145</v>
      </c>
      <c r="Q5" s="58">
        <v>319.54224517308495</v>
      </c>
      <c r="R5" s="58">
        <v>388.58246156102189</v>
      </c>
      <c r="S5" s="58">
        <v>321.10390425620926</v>
      </c>
      <c r="T5" s="58">
        <v>274.15980313140392</v>
      </c>
      <c r="U5" s="58">
        <v>287.01786165064607</v>
      </c>
      <c r="V5" s="58">
        <v>234.38682471591738</v>
      </c>
      <c r="W5" s="58">
        <v>270.83898274388474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3.0229470287744094</v>
      </c>
      <c r="C9" s="79">
        <f>IF(C3=0,0,C3/TrNavi_ene!C3)</f>
        <v>3.0200305915068806</v>
      </c>
      <c r="D9" s="79">
        <f>IF(D3=0,0,D3/TrNavi_ene!D3)</f>
        <v>3.0168948150481047</v>
      </c>
      <c r="E9" s="79">
        <f>IF(E3=0,0,E3/TrNavi_ene!E3)</f>
        <v>3.0197239030558931</v>
      </c>
      <c r="F9" s="79">
        <f>IF(F3=0,0,F3/TrNavi_ene!F3)</f>
        <v>3.0165543344806443</v>
      </c>
      <c r="G9" s="79">
        <f>IF(G3=0,0,G3/TrNavi_ene!G3)</f>
        <v>3.0222492430347785</v>
      </c>
      <c r="H9" s="79">
        <f>IF(H3=0,0,H3/TrNavi_ene!H3)</f>
        <v>3.0200411139605139</v>
      </c>
      <c r="I9" s="79">
        <f>IF(I3=0,0,I3/TrNavi_ene!I3)</f>
        <v>3.0277849166722022</v>
      </c>
      <c r="J9" s="79">
        <f>IF(J3=0,0,J3/TrNavi_ene!J3)</f>
        <v>3.0122817395018036</v>
      </c>
      <c r="K9" s="79">
        <f>IF(K3=0,0,K3/TrNavi_ene!K3)</f>
        <v>3.011096033840809</v>
      </c>
      <c r="L9" s="79">
        <f>IF(L3=0,0,L3/TrNavi_ene!L3)</f>
        <v>3.0088515726037968</v>
      </c>
      <c r="M9" s="79">
        <f>IF(M3=0,0,M3/TrNavi_ene!M3)</f>
        <v>2.9847893501790002</v>
      </c>
      <c r="N9" s="79">
        <f>IF(N3=0,0,N3/TrNavi_ene!N3)</f>
        <v>2.9858524659357766</v>
      </c>
      <c r="O9" s="79">
        <f>IF(O3=0,0,O3/TrNavi_ene!O3)</f>
        <v>2.9861645824926497</v>
      </c>
      <c r="P9" s="79">
        <f>IF(P3=0,0,P3/TrNavi_ene!P3)</f>
        <v>2.9840201896390735</v>
      </c>
      <c r="Q9" s="79">
        <f>IF(Q3=0,0,Q3/TrNavi_ene!Q3)</f>
        <v>2.9817792497444184</v>
      </c>
      <c r="R9" s="79">
        <f>IF(R3=0,0,R3/TrNavi_ene!R3)</f>
        <v>2.9642050730854268</v>
      </c>
      <c r="S9" s="79">
        <f>IF(S3=0,0,S3/TrNavi_ene!S3)</f>
        <v>2.9554315564623028</v>
      </c>
      <c r="T9" s="79">
        <f>IF(T3=0,0,T3/TrNavi_ene!T3)</f>
        <v>2.9510791633797888</v>
      </c>
      <c r="U9" s="79">
        <f>IF(U3=0,0,U3/TrNavi_ene!U3)</f>
        <v>2.9442328070144814</v>
      </c>
      <c r="V9" s="79">
        <f>IF(V3=0,0,V3/TrNavi_ene!V3)</f>
        <v>2.9457653864913147</v>
      </c>
      <c r="W9" s="79">
        <f>IF(W3=0,0,W3/TrNavi_ene!W3)</f>
        <v>2.9421367334086419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3.0229470287744089</v>
      </c>
      <c r="C10" s="80">
        <f>IF(C4=0,0,C4/TrNavi_ene!C4)</f>
        <v>3.0200305915068806</v>
      </c>
      <c r="D10" s="80">
        <f>IF(D4=0,0,D4/TrNavi_ene!D4)</f>
        <v>3.0168948150481043</v>
      </c>
      <c r="E10" s="80">
        <f>IF(E4=0,0,E4/TrNavi_ene!E4)</f>
        <v>3.0197239030558931</v>
      </c>
      <c r="F10" s="80">
        <f>IF(F4=0,0,F4/TrNavi_ene!F4)</f>
        <v>3.0165543344806443</v>
      </c>
      <c r="G10" s="80">
        <f>IF(G4=0,0,G4/TrNavi_ene!G4)</f>
        <v>3.022249243034778</v>
      </c>
      <c r="H10" s="80">
        <f>IF(H4=0,0,H4/TrNavi_ene!H4)</f>
        <v>3.0200411139605134</v>
      </c>
      <c r="I10" s="80">
        <f>IF(I4=0,0,I4/TrNavi_ene!I4)</f>
        <v>3.0277849166722022</v>
      </c>
      <c r="J10" s="80">
        <f>IF(J4=0,0,J4/TrNavi_ene!J4)</f>
        <v>3.0122817395018036</v>
      </c>
      <c r="K10" s="80">
        <f>IF(K4=0,0,K4/TrNavi_ene!K4)</f>
        <v>3.0110960338408095</v>
      </c>
      <c r="L10" s="80">
        <f>IF(L4=0,0,L4/TrNavi_ene!L4)</f>
        <v>3.0088515726037968</v>
      </c>
      <c r="M10" s="80">
        <f>IF(M4=0,0,M4/TrNavi_ene!M4)</f>
        <v>2.9847893501790002</v>
      </c>
      <c r="N10" s="80">
        <f>IF(N4=0,0,N4/TrNavi_ene!N4)</f>
        <v>2.9858524659357766</v>
      </c>
      <c r="O10" s="80">
        <f>IF(O4=0,0,O4/TrNavi_ene!O4)</f>
        <v>2.9861645824926497</v>
      </c>
      <c r="P10" s="80">
        <f>IF(P4=0,0,P4/TrNavi_ene!P4)</f>
        <v>2.9840201896390735</v>
      </c>
      <c r="Q10" s="80">
        <f>IF(Q4=0,0,Q4/TrNavi_ene!Q4)</f>
        <v>2.9817792497444184</v>
      </c>
      <c r="R10" s="80">
        <f>IF(R4=0,0,R4/TrNavi_ene!R4)</f>
        <v>2.9642050730854277</v>
      </c>
      <c r="S10" s="80">
        <f>IF(S4=0,0,S4/TrNavi_ene!S4)</f>
        <v>2.9554315564623028</v>
      </c>
      <c r="T10" s="80">
        <f>IF(T4=0,0,T4/TrNavi_ene!T4)</f>
        <v>2.9510791633797888</v>
      </c>
      <c r="U10" s="80">
        <f>IF(U4=0,0,U4/TrNavi_ene!U4)</f>
        <v>2.9442328070144819</v>
      </c>
      <c r="V10" s="80">
        <f>IF(V4=0,0,V4/TrNavi_ene!V4)</f>
        <v>2.9457653864913147</v>
      </c>
      <c r="W10" s="80">
        <f>IF(W4=0,0,W4/TrNavi_ene!W4)</f>
        <v>2.9421367334086419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3.0229470287744094</v>
      </c>
      <c r="C11" s="81">
        <f>IF(C5=0,0,C5/TrNavi_ene!C10)</f>
        <v>3.020030591506881</v>
      </c>
      <c r="D11" s="81">
        <f>IF(D5=0,0,D5/TrNavi_ene!D10)</f>
        <v>3.0168948150481043</v>
      </c>
      <c r="E11" s="81">
        <f>IF(E5=0,0,E5/TrNavi_ene!E10)</f>
        <v>3.0197239030558931</v>
      </c>
      <c r="F11" s="81">
        <f>IF(F5=0,0,F5/TrNavi_ene!F10)</f>
        <v>3.0165543344806443</v>
      </c>
      <c r="G11" s="81">
        <f>IF(G5=0,0,G5/TrNavi_ene!G10)</f>
        <v>3.0222492430347785</v>
      </c>
      <c r="H11" s="81">
        <f>IF(H5=0,0,H5/TrNavi_ene!H10)</f>
        <v>3.0200411139605134</v>
      </c>
      <c r="I11" s="81">
        <f>IF(I5=0,0,I5/TrNavi_ene!I10)</f>
        <v>3.0277849166722017</v>
      </c>
      <c r="J11" s="81">
        <f>IF(J5=0,0,J5/TrNavi_ene!J10)</f>
        <v>3.0122817395018031</v>
      </c>
      <c r="K11" s="81">
        <f>IF(K5=0,0,K5/TrNavi_ene!K10)</f>
        <v>3.011096033840809</v>
      </c>
      <c r="L11" s="81">
        <f>IF(L5=0,0,L5/TrNavi_ene!L10)</f>
        <v>3.0088515726037968</v>
      </c>
      <c r="M11" s="81">
        <f>IF(M5=0,0,M5/TrNavi_ene!M10)</f>
        <v>2.9847893501790006</v>
      </c>
      <c r="N11" s="81">
        <f>IF(N5=0,0,N5/TrNavi_ene!N10)</f>
        <v>2.9858524659357766</v>
      </c>
      <c r="O11" s="81">
        <f>IF(O5=0,0,O5/TrNavi_ene!O10)</f>
        <v>2.9861645824926497</v>
      </c>
      <c r="P11" s="81">
        <f>IF(P5=0,0,P5/TrNavi_ene!P10)</f>
        <v>2.9840201896390735</v>
      </c>
      <c r="Q11" s="81">
        <f>IF(Q5=0,0,Q5/TrNavi_ene!Q10)</f>
        <v>2.9817792497444184</v>
      </c>
      <c r="R11" s="81">
        <f>IF(R5=0,0,R5/TrNavi_ene!R10)</f>
        <v>2.9642050730854264</v>
      </c>
      <c r="S11" s="81">
        <f>IF(S5=0,0,S5/TrNavi_ene!S10)</f>
        <v>2.9554315564623028</v>
      </c>
      <c r="T11" s="81">
        <f>IF(T5=0,0,T5/TrNavi_ene!T10)</f>
        <v>2.9510791633797884</v>
      </c>
      <c r="U11" s="81">
        <f>IF(U5=0,0,U5/TrNavi_ene!U10)</f>
        <v>2.9442328070144819</v>
      </c>
      <c r="V11" s="81">
        <f>IF(V5=0,0,V5/TrNavi_ene!V10)</f>
        <v>2.9457653864913147</v>
      </c>
      <c r="W11" s="81">
        <f>IF(W5=0,0,W5/TrNavi_ene!W10)</f>
        <v>2.9421367334086419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47868.24288308368</v>
      </c>
      <c r="C13" s="54">
        <f>IF(C3=0,0,C3/TrNavi_act!C7*1000)</f>
        <v>57140.980017265196</v>
      </c>
      <c r="D13" s="54">
        <f>IF(D3=0,0,D3/TrNavi_act!D7*1000)</f>
        <v>60218.700854670053</v>
      </c>
      <c r="E13" s="54">
        <f>IF(E3=0,0,E3/TrNavi_act!E7*1000)</f>
        <v>61956.728716359779</v>
      </c>
      <c r="F13" s="54">
        <f>IF(F3=0,0,F3/TrNavi_act!F7*1000)</f>
        <v>62214.073829282526</v>
      </c>
      <c r="G13" s="54">
        <f>IF(G3=0,0,G3/TrNavi_act!G7*1000)</f>
        <v>63254.438416068369</v>
      </c>
      <c r="H13" s="54">
        <f>IF(H3=0,0,H3/TrNavi_act!H7*1000)</f>
        <v>57261.229964330028</v>
      </c>
      <c r="I13" s="54">
        <f>IF(I3=0,0,I3/TrNavi_act!I7*1000)</f>
        <v>71079.747432864897</v>
      </c>
      <c r="J13" s="54">
        <f>IF(J3=0,0,J3/TrNavi_act!J7*1000)</f>
        <v>68769.320554433129</v>
      </c>
      <c r="K13" s="54">
        <f>IF(K3=0,0,K3/TrNavi_act!K7*1000)</f>
        <v>74251.288983280625</v>
      </c>
      <c r="L13" s="54">
        <f>IF(L3=0,0,L3/TrNavi_act!L7*1000)</f>
        <v>78467.370833949914</v>
      </c>
      <c r="M13" s="54">
        <f>IF(M3=0,0,M3/TrNavi_act!M7*1000)</f>
        <v>67313.348420108552</v>
      </c>
      <c r="N13" s="54">
        <f>IF(N3=0,0,N3/TrNavi_act!N7*1000)</f>
        <v>64632.795414976543</v>
      </c>
      <c r="O13" s="54">
        <f>IF(O3=0,0,O3/TrNavi_act!O7*1000)</f>
        <v>74075.150571028469</v>
      </c>
      <c r="P13" s="54">
        <f>IF(P3=0,0,P3/TrNavi_act!P7*1000)</f>
        <v>75717.206449213787</v>
      </c>
      <c r="Q13" s="54">
        <f>IF(Q3=0,0,Q3/TrNavi_act!Q7*1000)</f>
        <v>92269.318277364771</v>
      </c>
      <c r="R13" s="54">
        <f>IF(R3=0,0,R3/TrNavi_act!R7*1000)</f>
        <v>99582.70703594081</v>
      </c>
      <c r="S13" s="54">
        <f>IF(S3=0,0,S3/TrNavi_act!S7*1000)</f>
        <v>103327.0440300265</v>
      </c>
      <c r="T13" s="54">
        <f>IF(T3=0,0,T3/TrNavi_act!T7*1000)</f>
        <v>100212.79241483186</v>
      </c>
      <c r="U13" s="54">
        <f>IF(U3=0,0,U3/TrNavi_act!U7*1000)</f>
        <v>94171.007456819512</v>
      </c>
      <c r="V13" s="54">
        <f>IF(V3=0,0,V3/TrNavi_act!V7*1000)</f>
        <v>90471.146534653439</v>
      </c>
      <c r="W13" s="54">
        <f>IF(W3=0,0,W3/TrNavi_act!W7*1000)</f>
        <v>99419.249350028142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121229.22993429507</v>
      </c>
      <c r="C14" s="56">
        <f>IF(C4=0,0,C4/TrNavi_act!C8*1000)</f>
        <v>168918.48244950618</v>
      </c>
      <c r="D14" s="56">
        <f>IF(D4=0,0,D4/TrNavi_act!D8*1000)</f>
        <v>190790.75917286272</v>
      </c>
      <c r="E14" s="56">
        <f>IF(E4=0,0,E4/TrNavi_act!E8*1000)</f>
        <v>219767.86423444594</v>
      </c>
      <c r="F14" s="56">
        <f>IF(F4=0,0,F4/TrNavi_act!F8*1000)</f>
        <v>234949.85226576077</v>
      </c>
      <c r="G14" s="56">
        <f>IF(G4=0,0,G4/TrNavi_act!G8*1000)</f>
        <v>220161.90477655831</v>
      </c>
      <c r="H14" s="56">
        <f>IF(H4=0,0,H4/TrNavi_act!H8*1000)</f>
        <v>159607.39654896295</v>
      </c>
      <c r="I14" s="56">
        <f>IF(I4=0,0,I4/TrNavi_act!I8*1000)</f>
        <v>253779.59857698105</v>
      </c>
      <c r="J14" s="56">
        <f>IF(J4=0,0,J4/TrNavi_act!J8*1000)</f>
        <v>193302.91252896748</v>
      </c>
      <c r="K14" s="56">
        <f>IF(K4=0,0,K4/TrNavi_act!K8*1000)</f>
        <v>239897.73519562755</v>
      </c>
      <c r="L14" s="56">
        <f>IF(L4=0,0,L4/TrNavi_act!L8*1000)</f>
        <v>237261.94928401656</v>
      </c>
      <c r="M14" s="56">
        <f>IF(M4=0,0,M4/TrNavi_act!M8*1000)</f>
        <v>204864.36160487871</v>
      </c>
      <c r="N14" s="56">
        <f>IF(N4=0,0,N4/TrNavi_act!N8*1000)</f>
        <v>217648.0941868521</v>
      </c>
      <c r="O14" s="56">
        <f>IF(O4=0,0,O4/TrNavi_act!O8*1000)</f>
        <v>344181.24060343741</v>
      </c>
      <c r="P14" s="56">
        <f>IF(P4=0,0,P4/TrNavi_act!P8*1000)</f>
        <v>257381.80687806846</v>
      </c>
      <c r="Q14" s="56">
        <f>IF(Q4=0,0,Q4/TrNavi_act!Q8*1000)</f>
        <v>286943.6980601729</v>
      </c>
      <c r="R14" s="56">
        <f>IF(R4=0,0,R4/TrNavi_act!R8*1000)</f>
        <v>373358.65571391332</v>
      </c>
      <c r="S14" s="56">
        <f>IF(S4=0,0,S4/TrNavi_act!S8*1000)</f>
        <v>358934.03050175362</v>
      </c>
      <c r="T14" s="56">
        <f>IF(T4=0,0,T4/TrNavi_act!T8*1000)</f>
        <v>306608.56170040852</v>
      </c>
      <c r="U14" s="56">
        <f>IF(U4=0,0,U4/TrNavi_act!U8*1000)</f>
        <v>288251.7716390139</v>
      </c>
      <c r="V14" s="56">
        <f>IF(V4=0,0,V4/TrNavi_act!V8*1000)</f>
        <v>255808.30985255563</v>
      </c>
      <c r="W14" s="56">
        <f>IF(W4=0,0,W4/TrNavi_act!W8*1000)</f>
        <v>285983.74618676229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12204.418499475618</v>
      </c>
      <c r="C15" s="58">
        <f>IF(C5=0,0,C5/TrNavi_act!C9*1000)</f>
        <v>16800.227259764688</v>
      </c>
      <c r="D15" s="58">
        <f>IF(D5=0,0,D5/TrNavi_act!D9*1000)</f>
        <v>17569.222171858884</v>
      </c>
      <c r="E15" s="58">
        <f>IF(E5=0,0,E5/TrNavi_act!E9*1000)</f>
        <v>20479.481136368649</v>
      </c>
      <c r="F15" s="58">
        <f>IF(F5=0,0,F5/TrNavi_act!F9*1000)</f>
        <v>21530.328771116176</v>
      </c>
      <c r="G15" s="58">
        <f>IF(G5=0,0,G5/TrNavi_act!G9*1000)</f>
        <v>20214.093327175546</v>
      </c>
      <c r="H15" s="58">
        <f>IF(H5=0,0,H5/TrNavi_act!H9*1000)</f>
        <v>14679.740429996629</v>
      </c>
      <c r="I15" s="58">
        <f>IF(I5=0,0,I5/TrNavi_act!I9*1000)</f>
        <v>23632.865080937077</v>
      </c>
      <c r="J15" s="58">
        <f>IF(J5=0,0,J5/TrNavi_act!J9*1000)</f>
        <v>17216.781915493208</v>
      </c>
      <c r="K15" s="58">
        <f>IF(K5=0,0,K5/TrNavi_act!K9*1000)</f>
        <v>22144.433815433935</v>
      </c>
      <c r="L15" s="58">
        <f>IF(L5=0,0,L5/TrNavi_act!L9*1000)</f>
        <v>21576.713950432379</v>
      </c>
      <c r="M15" s="58">
        <f>IF(M5=0,0,M5/TrNavi_act!M9*1000)</f>
        <v>18044.370944578961</v>
      </c>
      <c r="N15" s="58">
        <f>IF(N5=0,0,N5/TrNavi_act!N9*1000)</f>
        <v>19401.346601748952</v>
      </c>
      <c r="O15" s="58">
        <f>IF(O5=0,0,O5/TrNavi_act!O9*1000)</f>
        <v>31825.00465820399</v>
      </c>
      <c r="P15" s="58">
        <f>IF(P5=0,0,P5/TrNavi_act!P9*1000)</f>
        <v>23719.050576547415</v>
      </c>
      <c r="Q15" s="58">
        <f>IF(Q5=0,0,Q5/TrNavi_act!Q9*1000)</f>
        <v>27311.30300624658</v>
      </c>
      <c r="R15" s="58">
        <f>IF(R5=0,0,R5/TrNavi_act!R9*1000)</f>
        <v>33949.192867466532</v>
      </c>
      <c r="S15" s="58">
        <f>IF(S5=0,0,S5/TrNavi_act!S9*1000)</f>
        <v>30375.9251022807</v>
      </c>
      <c r="T15" s="58">
        <f>IF(T5=0,0,T5/TrNavi_act!T9*1000)</f>
        <v>26669.241549747465</v>
      </c>
      <c r="U15" s="58">
        <f>IF(U5=0,0,U5/TrNavi_act!U9*1000)</f>
        <v>25695.421812949517</v>
      </c>
      <c r="V15" s="58">
        <f>IF(V5=0,0,V5/TrNavi_act!V9*1000)</f>
        <v>24091.563851980409</v>
      </c>
      <c r="W15" s="58">
        <f>IF(W5=0,0,W5/TrNavi_act!W9*1000)</f>
        <v>26498.286150463238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50.521933566565778</v>
      </c>
      <c r="C17" s="62">
        <f>IF(C3=0,0,C3/TrNavi_act!C3*1000)</f>
        <v>57.540307466157898</v>
      </c>
      <c r="D17" s="62">
        <f>IF(D3=0,0,D3/TrNavi_act!D3*1000)</f>
        <v>55.998061528584358</v>
      </c>
      <c r="E17" s="62">
        <f>IF(E3=0,0,E3/TrNavi_act!E3*1000)</f>
        <v>65.976005547592649</v>
      </c>
      <c r="F17" s="62">
        <f>IF(F3=0,0,F3/TrNavi_act!F3*1000)</f>
        <v>70.777292218454718</v>
      </c>
      <c r="G17" s="62">
        <f>IF(G3=0,0,G3/TrNavi_act!G3*1000)</f>
        <v>62.340347634899494</v>
      </c>
      <c r="H17" s="62">
        <f>IF(H3=0,0,H3/TrNavi_act!H3*1000)</f>
        <v>47.434071738140368</v>
      </c>
      <c r="I17" s="62">
        <f>IF(I3=0,0,I3/TrNavi_act!I3*1000)</f>
        <v>68.224573856402344</v>
      </c>
      <c r="J17" s="62">
        <f>IF(J3=0,0,J3/TrNavi_act!J3*1000)</f>
        <v>52.475489866446168</v>
      </c>
      <c r="K17" s="62">
        <f>IF(K3=0,0,K3/TrNavi_act!K3*1000)</f>
        <v>63.116027173050661</v>
      </c>
      <c r="L17" s="62">
        <f>IF(L3=0,0,L3/TrNavi_act!L3*1000)</f>
        <v>59.768755721772244</v>
      </c>
      <c r="M17" s="62">
        <f>IF(M3=0,0,M3/TrNavi_act!M3*1000)</f>
        <v>56.830032842688254</v>
      </c>
      <c r="N17" s="62">
        <f>IF(N3=0,0,N3/TrNavi_act!N3*1000)</f>
        <v>60.324810467776842</v>
      </c>
      <c r="O17" s="62">
        <f>IF(O3=0,0,O3/TrNavi_act!O3*1000)</f>
        <v>84.40933347887723</v>
      </c>
      <c r="P17" s="62">
        <f>IF(P3=0,0,P3/TrNavi_act!P3*1000)</f>
        <v>68.927173188856358</v>
      </c>
      <c r="Q17" s="62">
        <f>IF(Q3=0,0,Q3/TrNavi_act!Q3*1000)</f>
        <v>67.794512882563851</v>
      </c>
      <c r="R17" s="62">
        <f>IF(R3=0,0,R3/TrNavi_act!R3*1000)</f>
        <v>80.927804435696572</v>
      </c>
      <c r="S17" s="62">
        <f>IF(S3=0,0,S3/TrNavi_act!S3*1000)</f>
        <v>80.599215888840746</v>
      </c>
      <c r="T17" s="62">
        <f>IF(T3=0,0,T3/TrNavi_act!T3*1000)</f>
        <v>73.35959307852967</v>
      </c>
      <c r="U17" s="62">
        <f>IF(U3=0,0,U3/TrNavi_act!U3*1000)</f>
        <v>69.610769880923058</v>
      </c>
      <c r="V17" s="62">
        <f>IF(V3=0,0,V3/TrNavi_act!V3*1000)</f>
        <v>61.408387498650306</v>
      </c>
      <c r="W17" s="62">
        <f>IF(W3=0,0,W3/TrNavi_act!W3*1000)</f>
        <v>68.59198286287598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61.115236322557081</v>
      </c>
      <c r="C18" s="63">
        <f>IF(C4=0,0,C4/TrNavi_act!C4*1000)</f>
        <v>70.537619151882566</v>
      </c>
      <c r="D18" s="63">
        <f>IF(D4=0,0,D4/TrNavi_act!D4*1000)</f>
        <v>66.85679434600425</v>
      </c>
      <c r="E18" s="63">
        <f>IF(E4=0,0,E4/TrNavi_act!E4*1000)</f>
        <v>78.333297398867188</v>
      </c>
      <c r="F18" s="63">
        <f>IF(F4=0,0,F4/TrNavi_act!F4*1000)</f>
        <v>81.177148672277838</v>
      </c>
      <c r="G18" s="63">
        <f>IF(G4=0,0,G4/TrNavi_act!G4*1000)</f>
        <v>76.140361743833338</v>
      </c>
      <c r="H18" s="63">
        <f>IF(H4=0,0,H4/TrNavi_act!H4*1000)</f>
        <v>54.653398575901328</v>
      </c>
      <c r="I18" s="63">
        <f>IF(I4=0,0,I4/TrNavi_act!I4*1000)</f>
        <v>85.101703744208436</v>
      </c>
      <c r="J18" s="63">
        <f>IF(J4=0,0,J4/TrNavi_act!J4*1000)</f>
        <v>63.455137063982647</v>
      </c>
      <c r="K18" s="63">
        <f>IF(K4=0,0,K4/TrNavi_act!K4*1000)</f>
        <v>77.674138924832377</v>
      </c>
      <c r="L18" s="63">
        <f>IF(L4=0,0,L4/TrNavi_act!L4*1000)</f>
        <v>77.055882918109035</v>
      </c>
      <c r="M18" s="63">
        <f>IF(M4=0,0,M4/TrNavi_act!M4*1000)</f>
        <v>71.277905693481785</v>
      </c>
      <c r="N18" s="63">
        <f>IF(N4=0,0,N4/TrNavi_act!N4*1000)</f>
        <v>74.668011124778047</v>
      </c>
      <c r="O18" s="63">
        <f>IF(O4=0,0,O4/TrNavi_act!O4*1000)</f>
        <v>116.46211867440854</v>
      </c>
      <c r="P18" s="63">
        <f>IF(P4=0,0,P4/TrNavi_act!P4*1000)</f>
        <v>90.790734881673757</v>
      </c>
      <c r="Q18" s="63">
        <f>IF(Q4=0,0,Q4/TrNavi_act!Q4*1000)</f>
        <v>88.059455476336822</v>
      </c>
      <c r="R18" s="63">
        <f>IF(R4=0,0,R4/TrNavi_act!R4*1000)</f>
        <v>111.91813562136356</v>
      </c>
      <c r="S18" s="63">
        <f>IF(S4=0,0,S4/TrNavi_act!S4*1000)</f>
        <v>109.3111224011364</v>
      </c>
      <c r="T18" s="63">
        <f>IF(T4=0,0,T4/TrNavi_act!T4*1000)</f>
        <v>95.317348606581149</v>
      </c>
      <c r="U18" s="63">
        <f>IF(U4=0,0,U4/TrNavi_act!U4*1000)</f>
        <v>91.402850177592143</v>
      </c>
      <c r="V18" s="63">
        <f>IF(V4=0,0,V4/TrNavi_act!V4*1000)</f>
        <v>76.273609436130855</v>
      </c>
      <c r="W18" s="63">
        <f>IF(W4=0,0,W4/TrNavi_act!W4*1000)</f>
        <v>85.267356271863164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27.502141314570249</v>
      </c>
      <c r="C19" s="64">
        <f>IF(C5=0,0,C5/TrNavi_act!C5*1000)</f>
        <v>34.483610907913445</v>
      </c>
      <c r="D19" s="64">
        <f>IF(D5=0,0,D5/TrNavi_act!D5*1000)</f>
        <v>35.529390876505545</v>
      </c>
      <c r="E19" s="64">
        <f>IF(E5=0,0,E5/TrNavi_act!E5*1000)</f>
        <v>45.660258914461011</v>
      </c>
      <c r="F19" s="64">
        <f>IF(F5=0,0,F5/TrNavi_act!F5*1000)</f>
        <v>53.245096567637944</v>
      </c>
      <c r="G19" s="64">
        <f>IF(G5=0,0,G5/TrNavi_act!G5*1000)</f>
        <v>40.441806481410396</v>
      </c>
      <c r="H19" s="64">
        <f>IF(H5=0,0,H5/TrNavi_act!H5*1000)</f>
        <v>29.69203688972333</v>
      </c>
      <c r="I19" s="64">
        <f>IF(I5=0,0,I5/TrNavi_act!I5*1000)</f>
        <v>43.92920490066453</v>
      </c>
      <c r="J19" s="64">
        <f>IF(J5=0,0,J5/TrNavi_act!J5*1000)</f>
        <v>29.084960874523428</v>
      </c>
      <c r="K19" s="64">
        <f>IF(K5=0,0,K5/TrNavi_act!K5*1000)</f>
        <v>38.51570620337958</v>
      </c>
      <c r="L19" s="64">
        <f>IF(L5=0,0,L5/TrNavi_act!L5*1000)</f>
        <v>31.727380414130611</v>
      </c>
      <c r="M19" s="64">
        <f>IF(M5=0,0,M5/TrNavi_act!M5*1000)</f>
        <v>31.151754066800514</v>
      </c>
      <c r="N19" s="64">
        <f>IF(N5=0,0,N5/TrNavi_act!N5*1000)</f>
        <v>36.850808064223699</v>
      </c>
      <c r="O19" s="64">
        <f>IF(O5=0,0,O5/TrNavi_act!O5*1000)</f>
        <v>57.59451890439977</v>
      </c>
      <c r="P19" s="64">
        <f>IF(P5=0,0,P5/TrNavi_act!P5*1000)</f>
        <v>39.432955263861345</v>
      </c>
      <c r="Q19" s="64">
        <f>IF(Q5=0,0,Q5/TrNavi_act!Q5*1000)</f>
        <v>37.522574585848403</v>
      </c>
      <c r="R19" s="64">
        <f>IF(R5=0,0,R5/TrNavi_act!R5*1000)</f>
        <v>46.7777129602771</v>
      </c>
      <c r="S19" s="64">
        <f>IF(S5=0,0,S5/TrNavi_act!S5*1000)</f>
        <v>42.739771630002565</v>
      </c>
      <c r="T19" s="64">
        <f>IF(T5=0,0,T5/TrNavi_act!T5*1000)</f>
        <v>37.742263646944373</v>
      </c>
      <c r="U19" s="64">
        <f>IF(U5=0,0,U5/TrNavi_act!U5*1000)</f>
        <v>35.814557231176209</v>
      </c>
      <c r="V19" s="64">
        <f>IF(V5=0,0,V5/TrNavi_act!V5*1000)</f>
        <v>33.541331527750053</v>
      </c>
      <c r="W19" s="64">
        <f>IF(W5=0,0,W5/TrNavi_act!W5*1000)</f>
        <v>37.585204377447234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0.82844261121559681</v>
      </c>
      <c r="C22" s="77">
        <f t="shared" si="5"/>
        <v>0.78395683151623885</v>
      </c>
      <c r="D22" s="77">
        <f t="shared" si="5"/>
        <v>0.78007757514512388</v>
      </c>
      <c r="E22" s="77">
        <f t="shared" si="5"/>
        <v>0.73825033695048525</v>
      </c>
      <c r="F22" s="77">
        <f t="shared" si="5"/>
        <v>0.71990189092211643</v>
      </c>
      <c r="G22" s="77">
        <f t="shared" si="5"/>
        <v>0.74922154813620789</v>
      </c>
      <c r="H22" s="77">
        <f t="shared" si="5"/>
        <v>0.81895855133971041</v>
      </c>
      <c r="I22" s="77">
        <f t="shared" si="5"/>
        <v>0.73606081102075926</v>
      </c>
      <c r="J22" s="77">
        <f t="shared" si="5"/>
        <v>0.82294075442642356</v>
      </c>
      <c r="K22" s="77">
        <f t="shared" si="5"/>
        <v>0.77312953648900296</v>
      </c>
      <c r="L22" s="77">
        <f t="shared" si="5"/>
        <v>0.79755294804512955</v>
      </c>
      <c r="M22" s="77">
        <f t="shared" si="5"/>
        <v>0.80263006431795225</v>
      </c>
      <c r="N22" s="77">
        <f t="shared" si="5"/>
        <v>0.76830977142990309</v>
      </c>
      <c r="O22" s="77">
        <f t="shared" si="5"/>
        <v>0.62848177041288267</v>
      </c>
      <c r="P22" s="77">
        <f t="shared" si="5"/>
        <v>0.75645258112877756</v>
      </c>
      <c r="Q22" s="77">
        <f t="shared" si="5"/>
        <v>0.77806028255418991</v>
      </c>
      <c r="R22" s="77">
        <f t="shared" si="5"/>
        <v>0.72501001852964841</v>
      </c>
      <c r="S22" s="77">
        <f t="shared" si="5"/>
        <v>0.77129479817135849</v>
      </c>
      <c r="T22" s="77">
        <f t="shared" si="5"/>
        <v>0.80378853141923379</v>
      </c>
      <c r="U22" s="77">
        <f t="shared" si="5"/>
        <v>0.79830343484361277</v>
      </c>
      <c r="V22" s="77">
        <f t="shared" ref="V22:W22" si="6">IF(V4=0,0,V4/V$3)</f>
        <v>0.80999371829708144</v>
      </c>
      <c r="W22" s="77">
        <f t="shared" si="6"/>
        <v>0.80837009715963648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0.17155738878440316</v>
      </c>
      <c r="C23" s="78">
        <f t="shared" si="7"/>
        <v>0.21604316848376126</v>
      </c>
      <c r="D23" s="78">
        <f t="shared" si="7"/>
        <v>0.21992242485487604</v>
      </c>
      <c r="E23" s="78">
        <f t="shared" si="7"/>
        <v>0.26174966304951469</v>
      </c>
      <c r="F23" s="78">
        <f t="shared" si="7"/>
        <v>0.28009810907788357</v>
      </c>
      <c r="G23" s="78">
        <f t="shared" si="7"/>
        <v>0.25077845186379205</v>
      </c>
      <c r="H23" s="78">
        <f t="shared" si="7"/>
        <v>0.18104144866028962</v>
      </c>
      <c r="I23" s="78">
        <f t="shared" si="7"/>
        <v>0.26393918897924068</v>
      </c>
      <c r="J23" s="78">
        <f t="shared" si="7"/>
        <v>0.17705924557357638</v>
      </c>
      <c r="K23" s="78">
        <f t="shared" si="7"/>
        <v>0.2268704635109971</v>
      </c>
      <c r="L23" s="78">
        <f t="shared" si="7"/>
        <v>0.20244705195487045</v>
      </c>
      <c r="M23" s="78">
        <f t="shared" si="7"/>
        <v>0.19736993568204766</v>
      </c>
      <c r="N23" s="78">
        <f t="shared" si="7"/>
        <v>0.23169022857009686</v>
      </c>
      <c r="O23" s="78">
        <f t="shared" si="7"/>
        <v>0.37151822958711733</v>
      </c>
      <c r="P23" s="78">
        <f t="shared" si="7"/>
        <v>0.24354741887122236</v>
      </c>
      <c r="Q23" s="78">
        <f t="shared" si="7"/>
        <v>0.22193971744581009</v>
      </c>
      <c r="R23" s="78">
        <f t="shared" si="7"/>
        <v>0.2749899814703517</v>
      </c>
      <c r="S23" s="78">
        <f t="shared" si="7"/>
        <v>0.22870520182864149</v>
      </c>
      <c r="T23" s="78">
        <f t="shared" si="7"/>
        <v>0.19621146858076613</v>
      </c>
      <c r="U23" s="78">
        <f t="shared" si="7"/>
        <v>0.20169656515638726</v>
      </c>
      <c r="V23" s="78">
        <f t="shared" ref="V23:W23" si="8">IF(V5=0,0,V5/V$3)</f>
        <v>0.19000628170291856</v>
      </c>
      <c r="W23" s="78">
        <f t="shared" si="8"/>
        <v>0.19162990284036346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629698.70243099995</v>
      </c>
      <c r="C3" s="54">
        <f t="shared" si="0"/>
        <v>609438.75625800004</v>
      </c>
      <c r="D3" s="54">
        <f t="shared" si="0"/>
        <v>625057.79376200004</v>
      </c>
      <c r="E3" s="54">
        <f t="shared" si="0"/>
        <v>631193.97719400004</v>
      </c>
      <c r="F3" s="54">
        <f t="shared" si="0"/>
        <v>642336.31101399998</v>
      </c>
      <c r="G3" s="54">
        <f t="shared" si="0"/>
        <v>653949.800132</v>
      </c>
      <c r="H3" s="54">
        <f t="shared" si="0"/>
        <v>673747.92134100001</v>
      </c>
      <c r="I3" s="54">
        <f t="shared" si="0"/>
        <v>486434.79080299998</v>
      </c>
      <c r="J3" s="54">
        <f t="shared" si="0"/>
        <v>608205.83284200006</v>
      </c>
      <c r="K3" s="54">
        <f t="shared" si="0"/>
        <v>541179.23916399991</v>
      </c>
      <c r="L3" s="54">
        <f t="shared" si="0"/>
        <v>575404.20490899996</v>
      </c>
      <c r="M3" s="54">
        <f t="shared" si="0"/>
        <v>573422.37101400003</v>
      </c>
      <c r="N3" s="54">
        <f t="shared" si="0"/>
        <v>541728.47733699996</v>
      </c>
      <c r="O3" s="54">
        <f t="shared" si="0"/>
        <v>430022.32993399998</v>
      </c>
      <c r="P3" s="54">
        <f t="shared" si="0"/>
        <v>581281.82818900002</v>
      </c>
      <c r="Q3" s="54">
        <f t="shared" si="0"/>
        <v>597055.85438099992</v>
      </c>
      <c r="R3" s="54">
        <f t="shared" ref="R3:W3" si="1">SUM(R4:R5)</f>
        <v>558855.90617199999</v>
      </c>
      <c r="S3" s="54">
        <f t="shared" si="1"/>
        <v>592972.70444</v>
      </c>
      <c r="T3" s="54">
        <f t="shared" si="1"/>
        <v>594824.61602000007</v>
      </c>
      <c r="U3" s="54">
        <f t="shared" si="1"/>
        <v>588199.89844099991</v>
      </c>
      <c r="V3" s="54">
        <f t="shared" si="1"/>
        <v>526836.56647900003</v>
      </c>
      <c r="W3" s="54">
        <f t="shared" si="1"/>
        <v>555559.78616799996</v>
      </c>
      <c r="DA3" s="172" t="s">
        <v>387</v>
      </c>
    </row>
    <row r="4" spans="1:105" ht="11.45" customHeight="1" x14ac:dyDescent="0.25">
      <c r="A4" s="55" t="s">
        <v>170</v>
      </c>
      <c r="B4" s="56">
        <v>76433.554713000005</v>
      </c>
      <c r="C4" s="56">
        <v>74473.830054999999</v>
      </c>
      <c r="D4" s="56">
        <v>69701.475741999995</v>
      </c>
      <c r="E4" s="56">
        <v>68548.883612000005</v>
      </c>
      <c r="F4" s="56">
        <v>72426.036634000004</v>
      </c>
      <c r="G4" s="56">
        <v>68388.029804000005</v>
      </c>
      <c r="H4" s="56">
        <v>61751.805134000002</v>
      </c>
      <c r="I4" s="56">
        <v>45711.712378999997</v>
      </c>
      <c r="J4" s="56">
        <v>54243.635997000005</v>
      </c>
      <c r="K4" s="56">
        <v>53625.922923999999</v>
      </c>
      <c r="L4" s="56">
        <v>56774.022475999998</v>
      </c>
      <c r="M4" s="56">
        <v>54183.993490000001</v>
      </c>
      <c r="N4" s="56">
        <v>51150.622532000001</v>
      </c>
      <c r="O4" s="56">
        <v>37014.200434999999</v>
      </c>
      <c r="P4" s="56">
        <v>51010.787750000003</v>
      </c>
      <c r="Q4" s="56">
        <v>48144.991838999995</v>
      </c>
      <c r="R4" s="56">
        <v>52582.098525000001</v>
      </c>
      <c r="S4" s="56">
        <v>54276.182980999998</v>
      </c>
      <c r="T4" s="56">
        <v>54280.397060999996</v>
      </c>
      <c r="U4" s="56">
        <v>51280.858855999999</v>
      </c>
      <c r="V4" s="56">
        <v>48762.307793</v>
      </c>
      <c r="W4" s="56">
        <v>46408.142847000003</v>
      </c>
      <c r="DA4" s="181" t="s">
        <v>388</v>
      </c>
    </row>
    <row r="5" spans="1:105" ht="11.45" customHeight="1" x14ac:dyDescent="0.25">
      <c r="A5" s="57" t="s">
        <v>171</v>
      </c>
      <c r="B5" s="58">
        <v>553265.14771799999</v>
      </c>
      <c r="C5" s="58">
        <v>534964.92620300001</v>
      </c>
      <c r="D5" s="58">
        <v>555356.31802000001</v>
      </c>
      <c r="E5" s="58">
        <v>562645.093582</v>
      </c>
      <c r="F5" s="58">
        <v>569910.27437999996</v>
      </c>
      <c r="G5" s="58">
        <v>585561.77032799996</v>
      </c>
      <c r="H5" s="58">
        <v>611996.11620699998</v>
      </c>
      <c r="I5" s="58">
        <v>440723.07842400001</v>
      </c>
      <c r="J5" s="58">
        <v>553962.19684500003</v>
      </c>
      <c r="K5" s="58">
        <v>487553.31623999996</v>
      </c>
      <c r="L5" s="58">
        <v>518630.18243300001</v>
      </c>
      <c r="M5" s="58">
        <v>519238.37752400001</v>
      </c>
      <c r="N5" s="58">
        <v>490577.85480500001</v>
      </c>
      <c r="O5" s="58">
        <v>393008.12949899997</v>
      </c>
      <c r="P5" s="58">
        <v>530271.040439</v>
      </c>
      <c r="Q5" s="58">
        <v>548910.8625419999</v>
      </c>
      <c r="R5" s="58">
        <v>506273.80764700001</v>
      </c>
      <c r="S5" s="58">
        <v>538696.52145899995</v>
      </c>
      <c r="T5" s="58">
        <v>540544.21895900008</v>
      </c>
      <c r="U5" s="58">
        <v>536919.0395849999</v>
      </c>
      <c r="V5" s="58">
        <v>478074.25868600002</v>
      </c>
      <c r="W5" s="58">
        <v>509151.64332099998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42.860016999999999</v>
      </c>
      <c r="C7" s="59">
        <f t="shared" si="2"/>
        <v>32.017603000000001</v>
      </c>
      <c r="D7" s="59">
        <f t="shared" si="2"/>
        <v>27.965714999999999</v>
      </c>
      <c r="E7" s="59">
        <f t="shared" si="2"/>
        <v>29.388624</v>
      </c>
      <c r="F7" s="59">
        <f t="shared" si="2"/>
        <v>29.513745999999998</v>
      </c>
      <c r="G7" s="59">
        <f t="shared" si="2"/>
        <v>28.818863</v>
      </c>
      <c r="H7" s="59">
        <f t="shared" si="2"/>
        <v>27.501640999999999</v>
      </c>
      <c r="I7" s="59">
        <f t="shared" si="2"/>
        <v>19.303573999999998</v>
      </c>
      <c r="J7" s="59">
        <f t="shared" si="2"/>
        <v>22.988897999999999</v>
      </c>
      <c r="K7" s="59">
        <f t="shared" si="2"/>
        <v>19.981494999999999</v>
      </c>
      <c r="L7" s="59">
        <f t="shared" si="2"/>
        <v>20.65804</v>
      </c>
      <c r="M7" s="59">
        <f t="shared" si="2"/>
        <v>20.025839000000001</v>
      </c>
      <c r="N7" s="59">
        <f t="shared" si="2"/>
        <v>18.175902000000001</v>
      </c>
      <c r="O7" s="59">
        <f t="shared" si="2"/>
        <v>13.835872999999999</v>
      </c>
      <c r="P7" s="59">
        <f t="shared" si="2"/>
        <v>20.09497</v>
      </c>
      <c r="Q7" s="59">
        <f t="shared" si="2"/>
        <v>16.937117000000001</v>
      </c>
      <c r="R7" s="59">
        <f t="shared" si="2"/>
        <v>16.744523000000001</v>
      </c>
      <c r="S7" s="59">
        <f t="shared" si="2"/>
        <v>18.074175</v>
      </c>
      <c r="T7" s="59">
        <f t="shared" si="2"/>
        <v>18.073077999999999</v>
      </c>
      <c r="U7" s="59">
        <f t="shared" si="2"/>
        <v>17.437156000000002</v>
      </c>
      <c r="V7" s="59">
        <f t="shared" si="2"/>
        <v>15.311499000000001</v>
      </c>
      <c r="W7" s="59">
        <f t="shared" si="2"/>
        <v>15.922404999999999</v>
      </c>
      <c r="DA7" s="172" t="s">
        <v>961</v>
      </c>
    </row>
    <row r="8" spans="1:105" ht="11.45" customHeight="1" x14ac:dyDescent="0.25">
      <c r="A8" s="55" t="s">
        <v>170</v>
      </c>
      <c r="B8" s="60">
        <v>15.489560000000001</v>
      </c>
      <c r="C8" s="60">
        <v>11.738175</v>
      </c>
      <c r="D8" s="60">
        <v>8.4322780000000002</v>
      </c>
      <c r="E8" s="60">
        <v>8.601737</v>
      </c>
      <c r="F8" s="60">
        <v>8.7453789999999998</v>
      </c>
      <c r="G8" s="60">
        <v>8.0376560000000001</v>
      </c>
      <c r="H8" s="60">
        <v>7.0161750000000005</v>
      </c>
      <c r="I8" s="60">
        <v>5.0971589999999996</v>
      </c>
      <c r="J8" s="60">
        <v>5.9106730000000001</v>
      </c>
      <c r="K8" s="60">
        <v>5.4404209999999997</v>
      </c>
      <c r="L8" s="60">
        <v>5.7991809999999999</v>
      </c>
      <c r="M8" s="60">
        <v>5.4435890000000002</v>
      </c>
      <c r="N8" s="60">
        <v>5.0244159999999995</v>
      </c>
      <c r="O8" s="60">
        <v>3.5732840000000001</v>
      </c>
      <c r="P8" s="60">
        <v>5.2340730000000004</v>
      </c>
      <c r="Q8" s="60">
        <v>4.2251009999999996</v>
      </c>
      <c r="R8" s="60">
        <v>4.6207630000000002</v>
      </c>
      <c r="S8" s="60">
        <v>4.9553260000000003</v>
      </c>
      <c r="T8" s="60">
        <v>4.9317139999999995</v>
      </c>
      <c r="U8" s="60">
        <v>4.6631559999999999</v>
      </c>
      <c r="V8" s="60">
        <v>4.109915</v>
      </c>
      <c r="W8" s="60">
        <v>4.1282870000000003</v>
      </c>
      <c r="DA8" s="181" t="s">
        <v>962</v>
      </c>
    </row>
    <row r="9" spans="1:105" ht="11.45" customHeight="1" x14ac:dyDescent="0.25">
      <c r="A9" s="57" t="s">
        <v>171</v>
      </c>
      <c r="B9" s="61">
        <v>27.370457000000002</v>
      </c>
      <c r="C9" s="61">
        <v>20.279427999999999</v>
      </c>
      <c r="D9" s="61">
        <v>19.533436999999999</v>
      </c>
      <c r="E9" s="61">
        <v>20.786887</v>
      </c>
      <c r="F9" s="61">
        <v>20.768366999999998</v>
      </c>
      <c r="G9" s="61">
        <v>20.781207000000002</v>
      </c>
      <c r="H9" s="61">
        <v>20.485465999999999</v>
      </c>
      <c r="I9" s="61">
        <v>14.206415</v>
      </c>
      <c r="J9" s="61">
        <v>17.078225</v>
      </c>
      <c r="K9" s="61">
        <v>14.541074</v>
      </c>
      <c r="L9" s="61">
        <v>14.858859000000001</v>
      </c>
      <c r="M9" s="61">
        <v>14.58225</v>
      </c>
      <c r="N9" s="61">
        <v>13.151486</v>
      </c>
      <c r="O9" s="61">
        <v>10.262589</v>
      </c>
      <c r="P9" s="61">
        <v>14.860897</v>
      </c>
      <c r="Q9" s="61">
        <v>12.712016</v>
      </c>
      <c r="R9" s="61">
        <v>12.123760000000001</v>
      </c>
      <c r="S9" s="61">
        <v>13.118849000000001</v>
      </c>
      <c r="T9" s="61">
        <v>13.141363999999999</v>
      </c>
      <c r="U9" s="61">
        <v>12.774000000000001</v>
      </c>
      <c r="V9" s="61">
        <v>11.201584</v>
      </c>
      <c r="W9" s="61">
        <v>11.794117999999999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14691.984429940845</v>
      </c>
      <c r="C13" s="62">
        <f t="shared" si="3"/>
        <v>19034.490378870647</v>
      </c>
      <c r="D13" s="62">
        <f t="shared" si="3"/>
        <v>22350.860464751215</v>
      </c>
      <c r="E13" s="62">
        <f t="shared" si="3"/>
        <v>21477.493372741781</v>
      </c>
      <c r="F13" s="62">
        <f t="shared" si="3"/>
        <v>21763.970965054727</v>
      </c>
      <c r="G13" s="62">
        <f t="shared" si="3"/>
        <v>22691.727988435909</v>
      </c>
      <c r="H13" s="62">
        <f t="shared" si="3"/>
        <v>24498.462522327303</v>
      </c>
      <c r="I13" s="62">
        <f t="shared" si="3"/>
        <v>25199.208747716875</v>
      </c>
      <c r="J13" s="62">
        <f t="shared" si="3"/>
        <v>26456.502301328237</v>
      </c>
      <c r="K13" s="62">
        <f t="shared" si="3"/>
        <v>27084.021449045726</v>
      </c>
      <c r="L13" s="62">
        <f t="shared" si="3"/>
        <v>27853.765648096334</v>
      </c>
      <c r="M13" s="62">
        <f t="shared" si="3"/>
        <v>28634.124693302489</v>
      </c>
      <c r="N13" s="62">
        <f t="shared" si="3"/>
        <v>29804.764425831519</v>
      </c>
      <c r="O13" s="62">
        <f t="shared" si="3"/>
        <v>31080.245527983669</v>
      </c>
      <c r="P13" s="62">
        <f t="shared" si="3"/>
        <v>28926.732818660592</v>
      </c>
      <c r="Q13" s="62">
        <f t="shared" si="3"/>
        <v>35251.327270219597</v>
      </c>
      <c r="R13" s="62">
        <f t="shared" si="3"/>
        <v>33375.44498413003</v>
      </c>
      <c r="S13" s="62">
        <f t="shared" si="3"/>
        <v>32807.732825426334</v>
      </c>
      <c r="T13" s="62">
        <f t="shared" si="3"/>
        <v>32912.192157860445</v>
      </c>
      <c r="U13" s="62">
        <f t="shared" si="3"/>
        <v>33732.559279793095</v>
      </c>
      <c r="V13" s="62">
        <f t="shared" si="3"/>
        <v>34407.902614825631</v>
      </c>
      <c r="W13" s="62">
        <f t="shared" si="3"/>
        <v>34891.700479167564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4934.5207167279123</v>
      </c>
      <c r="C14" s="63">
        <f t="shared" si="3"/>
        <v>6344.5833832772132</v>
      </c>
      <c r="D14" s="63">
        <f t="shared" si="3"/>
        <v>8266.0315210195859</v>
      </c>
      <c r="E14" s="63">
        <f t="shared" si="3"/>
        <v>7969.1908287826054</v>
      </c>
      <c r="F14" s="63">
        <f t="shared" si="3"/>
        <v>8281.634979341663</v>
      </c>
      <c r="G14" s="63">
        <f t="shared" si="3"/>
        <v>8508.454430495658</v>
      </c>
      <c r="H14" s="63">
        <f t="shared" si="3"/>
        <v>8801.3490447430395</v>
      </c>
      <c r="I14" s="63">
        <f t="shared" si="3"/>
        <v>8968.0766048302594</v>
      </c>
      <c r="J14" s="63">
        <f t="shared" si="3"/>
        <v>9177.2351468267661</v>
      </c>
      <c r="K14" s="63">
        <f t="shared" si="3"/>
        <v>9856.9435938873121</v>
      </c>
      <c r="L14" s="63">
        <f t="shared" si="3"/>
        <v>9790.00698133064</v>
      </c>
      <c r="M14" s="63">
        <f t="shared" si="3"/>
        <v>9953.7260234011046</v>
      </c>
      <c r="N14" s="63">
        <f t="shared" si="3"/>
        <v>10180.411520861331</v>
      </c>
      <c r="O14" s="63">
        <f t="shared" si="3"/>
        <v>10358.594624720565</v>
      </c>
      <c r="P14" s="63">
        <f t="shared" si="3"/>
        <v>9745.9068205582917</v>
      </c>
      <c r="Q14" s="63">
        <f t="shared" si="3"/>
        <v>11394.99193960097</v>
      </c>
      <c r="R14" s="63">
        <f t="shared" si="3"/>
        <v>11379.527260973999</v>
      </c>
      <c r="S14" s="63">
        <f t="shared" si="3"/>
        <v>10953.100357272155</v>
      </c>
      <c r="T14" s="63">
        <f t="shared" si="3"/>
        <v>11006.395963147905</v>
      </c>
      <c r="U14" s="63">
        <f t="shared" si="3"/>
        <v>10997.028376490085</v>
      </c>
      <c r="V14" s="63">
        <f t="shared" si="3"/>
        <v>11864.553839434635</v>
      </c>
      <c r="W14" s="63">
        <f t="shared" si="3"/>
        <v>11241.501098881934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20213.953596682728</v>
      </c>
      <c r="C15" s="64">
        <f t="shared" si="3"/>
        <v>26379.685176672636</v>
      </c>
      <c r="D15" s="64">
        <f t="shared" si="3"/>
        <v>28431.059931746779</v>
      </c>
      <c r="E15" s="64">
        <f t="shared" si="3"/>
        <v>27067.309000236542</v>
      </c>
      <c r="F15" s="64">
        <f t="shared" si="3"/>
        <v>27441.265573744917</v>
      </c>
      <c r="G15" s="64">
        <f t="shared" si="3"/>
        <v>28177.466801038066</v>
      </c>
      <c r="H15" s="64">
        <f t="shared" si="3"/>
        <v>29874.649481100405</v>
      </c>
      <c r="I15" s="64">
        <f t="shared" si="3"/>
        <v>31022.821621359086</v>
      </c>
      <c r="J15" s="64">
        <f t="shared" si="3"/>
        <v>32436.754805900498</v>
      </c>
      <c r="K15" s="64">
        <f t="shared" si="3"/>
        <v>33529.388285899651</v>
      </c>
      <c r="L15" s="64">
        <f t="shared" si="3"/>
        <v>34903.76901974775</v>
      </c>
      <c r="M15" s="64">
        <f t="shared" si="3"/>
        <v>35607.562449141937</v>
      </c>
      <c r="N15" s="64">
        <f t="shared" si="3"/>
        <v>37302.085468136451</v>
      </c>
      <c r="O15" s="64">
        <f t="shared" si="3"/>
        <v>38295.222530981213</v>
      </c>
      <c r="P15" s="64">
        <f t="shared" si="3"/>
        <v>35682.303728974097</v>
      </c>
      <c r="Q15" s="64">
        <f t="shared" si="3"/>
        <v>43180.47291177103</v>
      </c>
      <c r="R15" s="64">
        <f t="shared" si="3"/>
        <v>41758.811428715184</v>
      </c>
      <c r="S15" s="64">
        <f t="shared" si="3"/>
        <v>41062.788470162275</v>
      </c>
      <c r="T15" s="64">
        <f t="shared" si="3"/>
        <v>41133.037556755909</v>
      </c>
      <c r="U15" s="64">
        <f t="shared" si="3"/>
        <v>42032.177828792846</v>
      </c>
      <c r="V15" s="64">
        <f t="shared" si="3"/>
        <v>42679.165614970167</v>
      </c>
      <c r="W15" s="64">
        <f t="shared" si="3"/>
        <v>43169.963478489874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0.12138115326889261</v>
      </c>
      <c r="C18" s="66">
        <f t="shared" si="4"/>
        <v>0.12220067937962288</v>
      </c>
      <c r="D18" s="66">
        <f t="shared" si="4"/>
        <v>0.11151204966582635</v>
      </c>
      <c r="E18" s="66">
        <f t="shared" si="4"/>
        <v>0.1086019291830651</v>
      </c>
      <c r="F18" s="66">
        <f t="shared" si="4"/>
        <v>0.11275407507270976</v>
      </c>
      <c r="G18" s="66">
        <f t="shared" si="4"/>
        <v>0.10457688004522038</v>
      </c>
      <c r="H18" s="66">
        <f t="shared" si="4"/>
        <v>9.1654167943244658E-2</v>
      </c>
      <c r="I18" s="66">
        <f t="shared" si="4"/>
        <v>9.3972950215052919E-2</v>
      </c>
      <c r="J18" s="66">
        <f t="shared" si="4"/>
        <v>8.9186313362916131E-2</v>
      </c>
      <c r="K18" s="66">
        <f t="shared" si="4"/>
        <v>9.9090872382392156E-2</v>
      </c>
      <c r="L18" s="66">
        <f t="shared" si="4"/>
        <v>9.8668070187250018E-2</v>
      </c>
      <c r="M18" s="66">
        <f t="shared" si="4"/>
        <v>9.449229089926299E-2</v>
      </c>
      <c r="N18" s="66">
        <f t="shared" si="4"/>
        <v>9.4421143934399598E-2</v>
      </c>
      <c r="O18" s="66">
        <f t="shared" si="4"/>
        <v>8.6075066010364978E-2</v>
      </c>
      <c r="P18" s="66">
        <f t="shared" si="4"/>
        <v>8.7755689712381957E-2</v>
      </c>
      <c r="Q18" s="66">
        <f t="shared" si="4"/>
        <v>8.0637333150203355E-2</v>
      </c>
      <c r="R18" s="66">
        <f t="shared" si="4"/>
        <v>9.4088830312579225E-2</v>
      </c>
      <c r="S18" s="66">
        <f t="shared" si="4"/>
        <v>9.153234638727277E-2</v>
      </c>
      <c r="T18" s="66">
        <f t="shared" si="4"/>
        <v>9.1254456522315314E-2</v>
      </c>
      <c r="U18" s="66">
        <f t="shared" si="4"/>
        <v>8.7182706069684548E-2</v>
      </c>
      <c r="V18" s="66">
        <f t="shared" si="4"/>
        <v>9.2556802043739103E-2</v>
      </c>
      <c r="W18" s="66">
        <f t="shared" si="4"/>
        <v>8.3534021004476183E-2</v>
      </c>
      <c r="DA18" s="181"/>
    </row>
    <row r="19" spans="1:105" ht="11.45" customHeight="1" x14ac:dyDescent="0.25">
      <c r="A19" s="57" t="s">
        <v>171</v>
      </c>
      <c r="B19" s="67">
        <f t="shared" si="4"/>
        <v>0.87861884673110746</v>
      </c>
      <c r="C19" s="67">
        <f t="shared" si="4"/>
        <v>0.87779932062037702</v>
      </c>
      <c r="D19" s="67">
        <f t="shared" si="4"/>
        <v>0.8884879503341736</v>
      </c>
      <c r="E19" s="67">
        <f t="shared" si="4"/>
        <v>0.8913980708169349</v>
      </c>
      <c r="F19" s="67">
        <f t="shared" si="4"/>
        <v>0.88724592492729026</v>
      </c>
      <c r="G19" s="67">
        <f t="shared" si="4"/>
        <v>0.89542311995477952</v>
      </c>
      <c r="H19" s="67">
        <f t="shared" si="4"/>
        <v>0.90834583205675534</v>
      </c>
      <c r="I19" s="67">
        <f t="shared" si="4"/>
        <v>0.90602704978494708</v>
      </c>
      <c r="J19" s="67">
        <f t="shared" si="4"/>
        <v>0.91081368663708384</v>
      </c>
      <c r="K19" s="67">
        <f t="shared" si="4"/>
        <v>0.90090912761760789</v>
      </c>
      <c r="L19" s="67">
        <f t="shared" si="4"/>
        <v>0.90133192981275001</v>
      </c>
      <c r="M19" s="67">
        <f t="shared" si="4"/>
        <v>0.90550770910073697</v>
      </c>
      <c r="N19" s="67">
        <f t="shared" si="4"/>
        <v>0.90557885606560051</v>
      </c>
      <c r="O19" s="67">
        <f t="shared" si="4"/>
        <v>0.91392493398963504</v>
      </c>
      <c r="P19" s="67">
        <f t="shared" si="4"/>
        <v>0.91224431028761799</v>
      </c>
      <c r="Q19" s="67">
        <f t="shared" si="4"/>
        <v>0.91936266684979662</v>
      </c>
      <c r="R19" s="67">
        <f t="shared" si="4"/>
        <v>0.9059111696874208</v>
      </c>
      <c r="S19" s="67">
        <f t="shared" si="4"/>
        <v>0.90846765361272719</v>
      </c>
      <c r="T19" s="67">
        <f t="shared" si="4"/>
        <v>0.90874554347768466</v>
      </c>
      <c r="U19" s="67">
        <f t="shared" si="4"/>
        <v>0.91281729393031541</v>
      </c>
      <c r="V19" s="67">
        <f t="shared" si="4"/>
        <v>0.90744319795626083</v>
      </c>
      <c r="W19" s="67">
        <f t="shared" si="4"/>
        <v>0.91646597899552384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0.36139883005646034</v>
      </c>
      <c r="C22" s="66">
        <f t="shared" si="5"/>
        <v>0.36661629541724283</v>
      </c>
      <c r="D22" s="66">
        <f t="shared" si="5"/>
        <v>0.30152198862070934</v>
      </c>
      <c r="E22" s="66">
        <f t="shared" si="5"/>
        <v>0.29268934129069807</v>
      </c>
      <c r="F22" s="66">
        <f t="shared" si="5"/>
        <v>0.2963154524674706</v>
      </c>
      <c r="G22" s="66">
        <f t="shared" si="5"/>
        <v>0.27890260625479918</v>
      </c>
      <c r="H22" s="66">
        <f t="shared" si="5"/>
        <v>0.25511841275216995</v>
      </c>
      <c r="I22" s="66">
        <f t="shared" si="5"/>
        <v>0.26405260497356603</v>
      </c>
      <c r="J22" s="66">
        <f t="shared" si="5"/>
        <v>0.25710988843397364</v>
      </c>
      <c r="K22" s="66">
        <f t="shared" si="5"/>
        <v>0.27227297056601618</v>
      </c>
      <c r="L22" s="66">
        <f t="shared" si="5"/>
        <v>0.28072271135112525</v>
      </c>
      <c r="M22" s="66">
        <f t="shared" si="5"/>
        <v>0.27182826147758404</v>
      </c>
      <c r="N22" s="66">
        <f t="shared" si="5"/>
        <v>0.27643282847805845</v>
      </c>
      <c r="O22" s="66">
        <f t="shared" si="5"/>
        <v>0.25826227228307169</v>
      </c>
      <c r="P22" s="66">
        <f t="shared" si="5"/>
        <v>0.26046682328960929</v>
      </c>
      <c r="Q22" s="66">
        <f t="shared" si="5"/>
        <v>0.24945809844733313</v>
      </c>
      <c r="R22" s="66">
        <f t="shared" si="5"/>
        <v>0.27595668147728064</v>
      </c>
      <c r="S22" s="66">
        <f t="shared" si="5"/>
        <v>0.27416609610120518</v>
      </c>
      <c r="T22" s="66">
        <f t="shared" si="5"/>
        <v>0.27287626379966928</v>
      </c>
      <c r="U22" s="66">
        <f t="shared" si="5"/>
        <v>0.26742640829731634</v>
      </c>
      <c r="V22" s="66">
        <f t="shared" si="5"/>
        <v>0.26842015925416574</v>
      </c>
      <c r="W22" s="66">
        <f t="shared" si="5"/>
        <v>0.259275341884596</v>
      </c>
      <c r="DA22" s="181"/>
    </row>
    <row r="23" spans="1:105" ht="11.45" customHeight="1" x14ac:dyDescent="0.25">
      <c r="A23" s="57" t="s">
        <v>171</v>
      </c>
      <c r="B23" s="67">
        <f t="shared" si="5"/>
        <v>0.63860116994353977</v>
      </c>
      <c r="C23" s="67">
        <f t="shared" si="5"/>
        <v>0.63338370458275717</v>
      </c>
      <c r="D23" s="67">
        <f t="shared" si="5"/>
        <v>0.69847801137929066</v>
      </c>
      <c r="E23" s="67">
        <f t="shared" si="5"/>
        <v>0.70731065870930199</v>
      </c>
      <c r="F23" s="67">
        <f t="shared" si="5"/>
        <v>0.7036845475325294</v>
      </c>
      <c r="G23" s="67">
        <f t="shared" si="5"/>
        <v>0.72109739374520088</v>
      </c>
      <c r="H23" s="67">
        <f t="shared" si="5"/>
        <v>0.74488158724783005</v>
      </c>
      <c r="I23" s="67">
        <f t="shared" si="5"/>
        <v>0.73594739502643403</v>
      </c>
      <c r="J23" s="67">
        <f t="shared" si="5"/>
        <v>0.74289011156602636</v>
      </c>
      <c r="K23" s="67">
        <f t="shared" si="5"/>
        <v>0.72772702943398382</v>
      </c>
      <c r="L23" s="67">
        <f t="shared" si="5"/>
        <v>0.71927728864887475</v>
      </c>
      <c r="M23" s="67">
        <f t="shared" si="5"/>
        <v>0.7281717385224159</v>
      </c>
      <c r="N23" s="67">
        <f t="shared" si="5"/>
        <v>0.7235671715219415</v>
      </c>
      <c r="O23" s="67">
        <f t="shared" si="5"/>
        <v>0.74173772771692836</v>
      </c>
      <c r="P23" s="67">
        <f t="shared" si="5"/>
        <v>0.73953317671039065</v>
      </c>
      <c r="Q23" s="67">
        <f t="shared" si="5"/>
        <v>0.75054190155266687</v>
      </c>
      <c r="R23" s="67">
        <f t="shared" si="5"/>
        <v>0.7240433185227193</v>
      </c>
      <c r="S23" s="67">
        <f t="shared" si="5"/>
        <v>0.72583390389879487</v>
      </c>
      <c r="T23" s="67">
        <f t="shared" si="5"/>
        <v>0.72712373620033066</v>
      </c>
      <c r="U23" s="67">
        <f t="shared" si="5"/>
        <v>0.73257359170268366</v>
      </c>
      <c r="V23" s="67">
        <f t="shared" si="5"/>
        <v>0.73157984074583415</v>
      </c>
      <c r="W23" s="67">
        <f t="shared" si="5"/>
        <v>0.740724658115404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2818.4197764402406</v>
      </c>
      <c r="C3" s="62">
        <f t="shared" ref="C3:W3" si="0">SUM(C4,C10)</f>
        <v>2390.2073086844362</v>
      </c>
      <c r="D3" s="62">
        <f t="shared" si="0"/>
        <v>2313.4613069647462</v>
      </c>
      <c r="E3" s="62">
        <f t="shared" si="0"/>
        <v>2478.2748925193459</v>
      </c>
      <c r="F3" s="62">
        <f t="shared" si="0"/>
        <v>2796.8029234737742</v>
      </c>
      <c r="G3" s="62">
        <f t="shared" si="0"/>
        <v>2557.3062768701639</v>
      </c>
      <c r="H3" s="62">
        <f t="shared" si="0"/>
        <v>2646.6034393809114</v>
      </c>
      <c r="I3" s="62">
        <f t="shared" si="0"/>
        <v>2712.4119518486668</v>
      </c>
      <c r="J3" s="62">
        <f t="shared" si="0"/>
        <v>2370.3568357695608</v>
      </c>
      <c r="K3" s="62">
        <f t="shared" si="0"/>
        <v>2364.3950988822016</v>
      </c>
      <c r="L3" s="62">
        <f t="shared" si="0"/>
        <v>2293.5897678417887</v>
      </c>
      <c r="M3" s="62">
        <f t="shared" si="0"/>
        <v>2633.7740326741186</v>
      </c>
      <c r="N3" s="62">
        <f t="shared" si="0"/>
        <v>2494.5598452278587</v>
      </c>
      <c r="O3" s="62">
        <f t="shared" si="0"/>
        <v>2279.2638005159074</v>
      </c>
      <c r="P3" s="62">
        <f t="shared" si="0"/>
        <v>1952.0380051590714</v>
      </c>
      <c r="Q3" s="62">
        <f t="shared" si="0"/>
        <v>1747.9613929492689</v>
      </c>
      <c r="R3" s="62">
        <f t="shared" si="0"/>
        <v>1658.9067927772999</v>
      </c>
      <c r="S3" s="62">
        <f t="shared" si="0"/>
        <v>1749.3066208082544</v>
      </c>
      <c r="T3" s="62">
        <f t="shared" si="0"/>
        <v>1969.4362854686153</v>
      </c>
      <c r="U3" s="62">
        <f t="shared" si="0"/>
        <v>1722.1537403267409</v>
      </c>
      <c r="V3" s="62">
        <f t="shared" si="0"/>
        <v>986.91711092003425</v>
      </c>
      <c r="W3" s="62">
        <f t="shared" si="0"/>
        <v>1081.519604471195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832.5718583601996</v>
      </c>
      <c r="C4" s="71">
        <f t="shared" ref="C4:W4" si="1">SUM(C5:C9)</f>
        <v>708.83888604584342</v>
      </c>
      <c r="D4" s="71">
        <f t="shared" si="1"/>
        <v>638.56122136476483</v>
      </c>
      <c r="E4" s="71">
        <f t="shared" si="1"/>
        <v>671.51572865094465</v>
      </c>
      <c r="F4" s="71">
        <f t="shared" si="1"/>
        <v>774.26934111162257</v>
      </c>
      <c r="G4" s="71">
        <f t="shared" si="1"/>
        <v>677.54303034385384</v>
      </c>
      <c r="H4" s="71">
        <f t="shared" si="1"/>
        <v>641.66903219877474</v>
      </c>
      <c r="I4" s="71">
        <f t="shared" si="1"/>
        <v>669.36758972702705</v>
      </c>
      <c r="J4" s="71">
        <f t="shared" si="1"/>
        <v>569.89752769893892</v>
      </c>
      <c r="K4" s="71">
        <f t="shared" si="1"/>
        <v>607.75439537128545</v>
      </c>
      <c r="L4" s="71">
        <f t="shared" si="1"/>
        <v>591.80235368621516</v>
      </c>
      <c r="M4" s="71">
        <f t="shared" si="1"/>
        <v>661.16174108623159</v>
      </c>
      <c r="N4" s="71">
        <f t="shared" si="1"/>
        <v>630.26321093583556</v>
      </c>
      <c r="O4" s="71">
        <f t="shared" si="1"/>
        <v>540.0790774609851</v>
      </c>
      <c r="P4" s="71">
        <f t="shared" si="1"/>
        <v>467.17030988967554</v>
      </c>
      <c r="Q4" s="71">
        <f t="shared" si="1"/>
        <v>396.86488659906524</v>
      </c>
      <c r="R4" s="71">
        <f t="shared" si="1"/>
        <v>414.99169679954218</v>
      </c>
      <c r="S4" s="71">
        <f t="shared" si="1"/>
        <v>430.38015069383528</v>
      </c>
      <c r="T4" s="71">
        <f t="shared" si="1"/>
        <v>485.62304933789079</v>
      </c>
      <c r="U4" s="71">
        <f t="shared" si="1"/>
        <v>413.92540892458322</v>
      </c>
      <c r="V4" s="71">
        <f t="shared" si="1"/>
        <v>216.47273461723455</v>
      </c>
      <c r="W4" s="71">
        <f t="shared" si="1"/>
        <v>228.770434513059</v>
      </c>
      <c r="DA4" s="186" t="s">
        <v>969</v>
      </c>
    </row>
    <row r="5" spans="1:105" ht="11.45" customHeight="1" x14ac:dyDescent="0.25">
      <c r="A5" s="72" t="s">
        <v>145</v>
      </c>
      <c r="B5" s="73">
        <v>278.94803340837132</v>
      </c>
      <c r="C5" s="73">
        <v>236.82201356291844</v>
      </c>
      <c r="D5" s="73">
        <v>190.40668654652089</v>
      </c>
      <c r="E5" s="73">
        <v>158.47061353415404</v>
      </c>
      <c r="F5" s="73">
        <v>134.48789847361491</v>
      </c>
      <c r="G5" s="73">
        <v>121.9770175640673</v>
      </c>
      <c r="H5" s="73">
        <v>84.759572298373072</v>
      </c>
      <c r="I5" s="73">
        <v>73.256178710619281</v>
      </c>
      <c r="J5" s="73">
        <v>74.63339001169831</v>
      </c>
      <c r="K5" s="73">
        <v>66.295589965385503</v>
      </c>
      <c r="L5" s="73">
        <v>76.548741417083292</v>
      </c>
      <c r="M5" s="73">
        <v>124.88825713550004</v>
      </c>
      <c r="N5" s="73">
        <v>131.79000224767427</v>
      </c>
      <c r="O5" s="73">
        <v>109.54886606055366</v>
      </c>
      <c r="P5" s="73">
        <v>113.12605457061969</v>
      </c>
      <c r="Q5" s="73">
        <v>129.84051638628853</v>
      </c>
      <c r="R5" s="73">
        <v>166.64645998739806</v>
      </c>
      <c r="S5" s="73">
        <v>130.64384416006197</v>
      </c>
      <c r="T5" s="73">
        <v>122.48843675786735</v>
      </c>
      <c r="U5" s="73">
        <v>102.79431621394794</v>
      </c>
      <c r="V5" s="73">
        <v>102.49481568868285</v>
      </c>
      <c r="W5" s="73">
        <v>120.97531678257202</v>
      </c>
      <c r="DA5" s="187" t="s">
        <v>970</v>
      </c>
    </row>
    <row r="6" spans="1:105" ht="11.45" customHeight="1" x14ac:dyDescent="0.25">
      <c r="A6" s="72" t="s">
        <v>146</v>
      </c>
      <c r="B6" s="73">
        <v>553.62382495182828</v>
      </c>
      <c r="C6" s="73">
        <v>472.01687248292495</v>
      </c>
      <c r="D6" s="73">
        <v>448.15453481824397</v>
      </c>
      <c r="E6" s="73">
        <v>513.04511511679061</v>
      </c>
      <c r="F6" s="73">
        <v>639.78144263800766</v>
      </c>
      <c r="G6" s="73">
        <v>555.56601277978655</v>
      </c>
      <c r="H6" s="73">
        <v>556.90945990040166</v>
      </c>
      <c r="I6" s="73">
        <v>596.11141101640783</v>
      </c>
      <c r="J6" s="73">
        <v>495.26413768724058</v>
      </c>
      <c r="K6" s="73">
        <v>541.45880540589997</v>
      </c>
      <c r="L6" s="73">
        <v>515.25361226913185</v>
      </c>
      <c r="M6" s="73">
        <v>535.91381521961557</v>
      </c>
      <c r="N6" s="73">
        <v>498.11212699920713</v>
      </c>
      <c r="O6" s="73">
        <v>430.16412568405508</v>
      </c>
      <c r="P6" s="73">
        <v>353.6623446224088</v>
      </c>
      <c r="Q6" s="73">
        <v>266.65783891015781</v>
      </c>
      <c r="R6" s="73">
        <v>247.96143627105937</v>
      </c>
      <c r="S6" s="73">
        <v>299.34079852866705</v>
      </c>
      <c r="T6" s="73">
        <v>362.78522416914569</v>
      </c>
      <c r="U6" s="73">
        <v>310.75731536201897</v>
      </c>
      <c r="V6" s="73">
        <v>113.70028015152853</v>
      </c>
      <c r="W6" s="73">
        <v>107.52591662144367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0.35966873111605713</v>
      </c>
      <c r="N7" s="73">
        <v>0.36108168895418619</v>
      </c>
      <c r="O7" s="73">
        <v>0.3660857163763781</v>
      </c>
      <c r="P7" s="73">
        <v>0.38191069664706923</v>
      </c>
      <c r="Q7" s="73">
        <v>0.36653130261890399</v>
      </c>
      <c r="R7" s="73">
        <v>0.38380054108473</v>
      </c>
      <c r="S7" s="73">
        <v>0.39550800510625816</v>
      </c>
      <c r="T7" s="73">
        <v>0.34938841087773248</v>
      </c>
      <c r="U7" s="73">
        <v>0.3737773486163426</v>
      </c>
      <c r="V7" s="73">
        <v>0.27763877702317219</v>
      </c>
      <c r="W7" s="73">
        <v>0.26920110904331584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1985.8479180800412</v>
      </c>
      <c r="C10" s="71">
        <f t="shared" ref="C10:W10" si="2">SUM(C11:C15)</f>
        <v>1681.3684226385926</v>
      </c>
      <c r="D10" s="71">
        <f t="shared" si="2"/>
        <v>1674.9000855999814</v>
      </c>
      <c r="E10" s="71">
        <f t="shared" si="2"/>
        <v>1806.7591638684012</v>
      </c>
      <c r="F10" s="71">
        <f t="shared" si="2"/>
        <v>2022.5335823621517</v>
      </c>
      <c r="G10" s="71">
        <f t="shared" si="2"/>
        <v>1879.7632465263098</v>
      </c>
      <c r="H10" s="71">
        <f t="shared" si="2"/>
        <v>2004.9344071821367</v>
      </c>
      <c r="I10" s="71">
        <f t="shared" si="2"/>
        <v>2043.0443621216398</v>
      </c>
      <c r="J10" s="71">
        <f t="shared" si="2"/>
        <v>1800.459308070622</v>
      </c>
      <c r="K10" s="71">
        <f t="shared" si="2"/>
        <v>1756.6407035109162</v>
      </c>
      <c r="L10" s="71">
        <f t="shared" si="2"/>
        <v>1701.7874141555735</v>
      </c>
      <c r="M10" s="71">
        <f t="shared" si="2"/>
        <v>1972.6122915878868</v>
      </c>
      <c r="N10" s="71">
        <f t="shared" si="2"/>
        <v>1864.2966342920231</v>
      </c>
      <c r="O10" s="71">
        <f t="shared" si="2"/>
        <v>1739.1847230549224</v>
      </c>
      <c r="P10" s="71">
        <f t="shared" si="2"/>
        <v>1484.8676952693959</v>
      </c>
      <c r="Q10" s="71">
        <f t="shared" si="2"/>
        <v>1351.0965063502035</v>
      </c>
      <c r="R10" s="71">
        <f t="shared" si="2"/>
        <v>1243.9150959777576</v>
      </c>
      <c r="S10" s="71">
        <f t="shared" si="2"/>
        <v>1318.9264701144191</v>
      </c>
      <c r="T10" s="71">
        <f t="shared" si="2"/>
        <v>1483.8132361307246</v>
      </c>
      <c r="U10" s="71">
        <f t="shared" si="2"/>
        <v>1308.2283314021577</v>
      </c>
      <c r="V10" s="71">
        <f t="shared" si="2"/>
        <v>770.4443763027997</v>
      </c>
      <c r="W10" s="71">
        <f t="shared" si="2"/>
        <v>852.74916995813601</v>
      </c>
      <c r="DA10" s="186" t="s">
        <v>975</v>
      </c>
    </row>
    <row r="11" spans="1:105" ht="11.45" customHeight="1" x14ac:dyDescent="0.25">
      <c r="A11" s="72" t="s">
        <v>145</v>
      </c>
      <c r="B11" s="73">
        <v>120.56950743427703</v>
      </c>
      <c r="C11" s="73">
        <v>102.10034241300585</v>
      </c>
      <c r="D11" s="73">
        <v>92.028567107821317</v>
      </c>
      <c r="E11" s="73">
        <v>78.608578211331746</v>
      </c>
      <c r="F11" s="73">
        <v>64.943571861724706</v>
      </c>
      <c r="G11" s="73">
        <v>62.191856038684193</v>
      </c>
      <c r="H11" s="73">
        <v>49.551433720543528</v>
      </c>
      <c r="I11" s="73">
        <v>42.739694032287012</v>
      </c>
      <c r="J11" s="73">
        <v>43.397478431981803</v>
      </c>
      <c r="K11" s="73">
        <v>35.455140903058194</v>
      </c>
      <c r="L11" s="73">
        <v>41.482127026596821</v>
      </c>
      <c r="M11" s="73">
        <v>70.186205461232547</v>
      </c>
      <c r="N11" s="73">
        <v>73.896068259634433</v>
      </c>
      <c r="O11" s="73">
        <v>66.89507203058993</v>
      </c>
      <c r="P11" s="73">
        <v>69.253997020094005</v>
      </c>
      <c r="Q11" s="73">
        <v>85.584075187228294</v>
      </c>
      <c r="R11" s="73">
        <v>95.110375782163459</v>
      </c>
      <c r="S11" s="73">
        <v>76.487110268140938</v>
      </c>
      <c r="T11" s="73">
        <v>71.986713715047543</v>
      </c>
      <c r="U11" s="73">
        <v>61.487369082698656</v>
      </c>
      <c r="V11" s="73">
        <v>70.487557484146038</v>
      </c>
      <c r="W11" s="73">
        <v>87.366471695501886</v>
      </c>
      <c r="DA11" s="187" t="s">
        <v>976</v>
      </c>
    </row>
    <row r="12" spans="1:105" ht="11.45" customHeight="1" x14ac:dyDescent="0.25">
      <c r="A12" s="72" t="s">
        <v>146</v>
      </c>
      <c r="B12" s="73">
        <v>1865.2784106457641</v>
      </c>
      <c r="C12" s="73">
        <v>1579.2680802255868</v>
      </c>
      <c r="D12" s="73">
        <v>1582.87151849216</v>
      </c>
      <c r="E12" s="73">
        <v>1728.1505856570695</v>
      </c>
      <c r="F12" s="73">
        <v>1957.5900105004271</v>
      </c>
      <c r="G12" s="73">
        <v>1817.5713904876256</v>
      </c>
      <c r="H12" s="73">
        <v>1955.3829734615931</v>
      </c>
      <c r="I12" s="73">
        <v>2000.3046680893528</v>
      </c>
      <c r="J12" s="73">
        <v>1757.0618296386401</v>
      </c>
      <c r="K12" s="73">
        <v>1721.1855626078579</v>
      </c>
      <c r="L12" s="73">
        <v>1660.3052871289767</v>
      </c>
      <c r="M12" s="73">
        <v>1901.352994754589</v>
      </c>
      <c r="N12" s="73">
        <v>1789.3324989681184</v>
      </c>
      <c r="O12" s="73">
        <v>1671.1107668352918</v>
      </c>
      <c r="P12" s="73">
        <v>1414.3998221875654</v>
      </c>
      <c r="Q12" s="73">
        <v>1264.2646030502888</v>
      </c>
      <c r="R12" s="73">
        <v>1147.65429889661</v>
      </c>
      <c r="S12" s="73">
        <v>1241.2273012133794</v>
      </c>
      <c r="T12" s="73">
        <v>1410.758971875566</v>
      </c>
      <c r="U12" s="73">
        <v>1245.5596235889695</v>
      </c>
      <c r="V12" s="73">
        <v>698.96867943574568</v>
      </c>
      <c r="W12" s="73">
        <v>764.37924244992337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1.0730913720653699</v>
      </c>
      <c r="N13" s="73">
        <v>1.0680670642702326</v>
      </c>
      <c r="O13" s="73">
        <v>1.1788841890406467</v>
      </c>
      <c r="P13" s="73">
        <v>1.2138760617364219</v>
      </c>
      <c r="Q13" s="73">
        <v>1.2478281126863409</v>
      </c>
      <c r="R13" s="73">
        <v>1.150421298984057</v>
      </c>
      <c r="S13" s="73">
        <v>1.2120586328989007</v>
      </c>
      <c r="T13" s="73">
        <v>1.0675505401110894</v>
      </c>
      <c r="U13" s="73">
        <v>1.1813387304894185</v>
      </c>
      <c r="V13" s="73">
        <v>0.9881393829080396</v>
      </c>
      <c r="W13" s="73">
        <v>1.0034558127107682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6575.8718118106217</v>
      </c>
      <c r="C19" s="62">
        <f>IF(C3=0,0,C3/MBunk_act!C7*100)</f>
        <v>7465.2912295915339</v>
      </c>
      <c r="D19" s="62">
        <f>IF(D3=0,0,D3/MBunk_act!D7*100)</f>
        <v>8272.4911805929023</v>
      </c>
      <c r="E19" s="62">
        <f>IF(E3=0,0,E3/MBunk_act!E7*100)</f>
        <v>8432.7694026074369</v>
      </c>
      <c r="F19" s="62">
        <f>IF(F3=0,0,F3/MBunk_act!F7*100)</f>
        <v>9476.272254541238</v>
      </c>
      <c r="G19" s="62">
        <f>IF(G3=0,0,G3/MBunk_act!G7*100)</f>
        <v>8873.7237026671173</v>
      </c>
      <c r="H19" s="62">
        <f>IF(H3=0,0,H3/MBunk_act!H7*100)</f>
        <v>9623.4382500335578</v>
      </c>
      <c r="I19" s="62">
        <f>IF(I3=0,0,I3/MBunk_act!I7*100)</f>
        <v>14051.345889878565</v>
      </c>
      <c r="J19" s="62">
        <f>IF(J3=0,0,J3/MBunk_act!J7*100)</f>
        <v>10310.876301115264</v>
      </c>
      <c r="K19" s="62">
        <f>IF(K3=0,0,K3/MBunk_act!K7*100)</f>
        <v>11832.923907256198</v>
      </c>
      <c r="L19" s="62">
        <f>IF(L3=0,0,L3/MBunk_act!L7*100)</f>
        <v>11102.649466463366</v>
      </c>
      <c r="M19" s="62">
        <f>IF(M3=0,0,M3/MBunk_act!M7*100)</f>
        <v>13151.878593821306</v>
      </c>
      <c r="N19" s="62">
        <f>IF(N3=0,0,N3/MBunk_act!N7*100)</f>
        <v>13724.544978443757</v>
      </c>
      <c r="O19" s="62">
        <f>IF(O3=0,0,O3/MBunk_act!O7*100)</f>
        <v>16473.581396099165</v>
      </c>
      <c r="P19" s="62">
        <f>IF(P3=0,0,P3/MBunk_act!P7*100)</f>
        <v>9714.0627985962219</v>
      </c>
      <c r="Q19" s="62">
        <f>IF(Q3=0,0,Q3/MBunk_act!Q7*100)</f>
        <v>10320.300632919221</v>
      </c>
      <c r="R19" s="62">
        <f>IF(R3=0,0,R3/MBunk_act!R7*100)</f>
        <v>9907.160644571959</v>
      </c>
      <c r="S19" s="62">
        <f>IF(S3=0,0,S3/MBunk_act!S7*100)</f>
        <v>9678.4866850534218</v>
      </c>
      <c r="T19" s="62">
        <f>IF(T3=0,0,T3/MBunk_act!T7*100)</f>
        <v>10897.071796340477</v>
      </c>
      <c r="U19" s="62">
        <f>IF(U3=0,0,U3/MBunk_act!U7*100)</f>
        <v>9876.345318736272</v>
      </c>
      <c r="V19" s="62">
        <f>IF(V3=0,0,V3/MBunk_act!V7*100)</f>
        <v>6445.5943269828394</v>
      </c>
      <c r="W19" s="62">
        <f>IF(W3=0,0,W3/MBunk_act!W7*100)</f>
        <v>6792.438733163709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5375.0517016635695</v>
      </c>
      <c r="C20" s="63">
        <f>IF(C4=0,0,C4/MBunk_act!C8*100)</f>
        <v>6038.7486644716355</v>
      </c>
      <c r="D20" s="63">
        <f>IF(D4=0,0,D4/MBunk_act!D8*100)</f>
        <v>7572.8198401993477</v>
      </c>
      <c r="E20" s="63">
        <f>IF(E4=0,0,E4/MBunk_act!E8*100)</f>
        <v>7806.7456451056887</v>
      </c>
      <c r="F20" s="63">
        <f>IF(F4=0,0,F4/MBunk_act!F8*100)</f>
        <v>8853.4681128356206</v>
      </c>
      <c r="G20" s="63">
        <f>IF(G4=0,0,G4/MBunk_act!G8*100)</f>
        <v>8429.6097064101014</v>
      </c>
      <c r="H20" s="63">
        <f>IF(H4=0,0,H4/MBunk_act!H8*100)</f>
        <v>9145.5676661254129</v>
      </c>
      <c r="I20" s="63">
        <f>IF(I4=0,0,I4/MBunk_act!I8*100)</f>
        <v>13132.170091751645</v>
      </c>
      <c r="J20" s="63">
        <f>IF(J4=0,0,J4/MBunk_act!J8*100)</f>
        <v>9641.838208592133</v>
      </c>
      <c r="K20" s="63">
        <f>IF(K4=0,0,K4/MBunk_act!K8*100)</f>
        <v>11171.091269798522</v>
      </c>
      <c r="L20" s="63">
        <f>IF(L4=0,0,L4/MBunk_act!L8*100)</f>
        <v>10204.929863134383</v>
      </c>
      <c r="M20" s="63">
        <f>IF(M4=0,0,M4/MBunk_act!M8*100)</f>
        <v>12145.695442588181</v>
      </c>
      <c r="N20" s="63">
        <f>IF(N4=0,0,N4/MBunk_act!N8*100)</f>
        <v>12544.009312442195</v>
      </c>
      <c r="O20" s="63">
        <f>IF(O4=0,0,O4/MBunk_act!O8*100)</f>
        <v>15114.361955584416</v>
      </c>
      <c r="P20" s="63">
        <f>IF(P4=0,0,P4/MBunk_act!P8*100)</f>
        <v>8925.5596910794993</v>
      </c>
      <c r="Q20" s="63">
        <f>IF(Q4=0,0,Q4/MBunk_act!Q8*100)</f>
        <v>9393.0272104516625</v>
      </c>
      <c r="R20" s="63">
        <f>IF(R4=0,0,R4/MBunk_act!R8*100)</f>
        <v>8981.0210304995544</v>
      </c>
      <c r="S20" s="63">
        <f>IF(S4=0,0,S4/MBunk_act!S8*100)</f>
        <v>8685.2035707405576</v>
      </c>
      <c r="T20" s="63">
        <f>IF(T4=0,0,T4/MBunk_act!T8*100)</f>
        <v>9846.9426519439457</v>
      </c>
      <c r="U20" s="63">
        <f>IF(U4=0,0,U4/MBunk_act!U8*100)</f>
        <v>8876.5078612978687</v>
      </c>
      <c r="V20" s="63">
        <f>IF(V4=0,0,V4/MBunk_act!V8*100)</f>
        <v>5267.0854413591169</v>
      </c>
      <c r="W20" s="63">
        <f>IF(W4=0,0,W4/MBunk_act!W8*100)</f>
        <v>5541.5341644866021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7255.44304240167</v>
      </c>
      <c r="C21" s="64">
        <f>IF(C10=0,0,C10/MBunk_act!C9*100)</f>
        <v>8291.00516364955</v>
      </c>
      <c r="D21" s="64">
        <f>IF(D10=0,0,D10/MBunk_act!D9*100)</f>
        <v>8574.528310609041</v>
      </c>
      <c r="E21" s="64">
        <f>IF(E10=0,0,E10/MBunk_act!E9*100)</f>
        <v>8691.8217425649218</v>
      </c>
      <c r="F21" s="64">
        <f>IF(F10=0,0,F10/MBunk_act!F9*100)</f>
        <v>9738.5296704461744</v>
      </c>
      <c r="G21" s="64">
        <f>IF(G10=0,0,G10/MBunk_act!G9*100)</f>
        <v>9045.4959932130496</v>
      </c>
      <c r="H21" s="64">
        <f>IF(H10=0,0,H10/MBunk_act!H9*100)</f>
        <v>9787.1066598247598</v>
      </c>
      <c r="I21" s="64">
        <f>IF(I10=0,0,I10/MBunk_act!I9*100)</f>
        <v>14381.139521277111</v>
      </c>
      <c r="J21" s="64">
        <f>IF(J10=0,0,J10/MBunk_act!J9*100)</f>
        <v>10542.426441100419</v>
      </c>
      <c r="K21" s="64">
        <f>IF(K10=0,0,K10/MBunk_act!K9*100)</f>
        <v>12080.543043181791</v>
      </c>
      <c r="L21" s="64">
        <f>IF(L10=0,0,L10/MBunk_act!L9*100)</f>
        <v>11453.015431101227</v>
      </c>
      <c r="M21" s="64">
        <f>IF(M10=0,0,M10/MBunk_act!M9*100)</f>
        <v>13527.489184370634</v>
      </c>
      <c r="N21" s="64">
        <f>IF(N10=0,0,N10/MBunk_act!N9*100)</f>
        <v>14175.558825002918</v>
      </c>
      <c r="O21" s="64">
        <f>IF(O10=0,0,O10/MBunk_act!O9*100)</f>
        <v>16946.841806243261</v>
      </c>
      <c r="P21" s="64">
        <f>IF(P10=0,0,P10/MBunk_act!P9*100)</f>
        <v>9991.7770459575622</v>
      </c>
      <c r="Q21" s="64">
        <f>IF(Q10=0,0,Q10/MBunk_act!Q9*100)</f>
        <v>10628.499101560315</v>
      </c>
      <c r="R21" s="64">
        <f>IF(R10=0,0,R10/MBunk_act!R9*100)</f>
        <v>10260.142859787373</v>
      </c>
      <c r="S21" s="64">
        <f>IF(S10=0,0,S10/MBunk_act!S9*100)</f>
        <v>10053.67521277529</v>
      </c>
      <c r="T21" s="64">
        <f>IF(T10=0,0,T10/MBunk_act!T9*100)</f>
        <v>11291.166093038169</v>
      </c>
      <c r="U21" s="64">
        <f>IF(U10=0,0,U10/MBunk_act!U9*100)</f>
        <v>10241.336553954576</v>
      </c>
      <c r="V21" s="64">
        <f>IF(V10=0,0,V10/MBunk_act!V9*100)</f>
        <v>6877.9949005676317</v>
      </c>
      <c r="W21" s="64">
        <f>IF(W10=0,0,W10/MBunk_act!W9*100)</f>
        <v>7230.2919977410438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4.4758227475450019</v>
      </c>
      <c r="C23" s="62">
        <f>IF(C3=0,0,C3/MBunk_act!C3*1000)</f>
        <v>3.9219811410755852</v>
      </c>
      <c r="D23" s="62">
        <f>IF(D3=0,0,D3/MBunk_act!D3*1000)</f>
        <v>3.7011958414930679</v>
      </c>
      <c r="E23" s="62">
        <f>IF(E3=0,0,E3/MBunk_act!E3*1000)</f>
        <v>3.9263284854786216</v>
      </c>
      <c r="F23" s="62">
        <f>IF(F3=0,0,F3/MBunk_act!F3*1000)</f>
        <v>4.3541099506872136</v>
      </c>
      <c r="G23" s="62">
        <f>IF(G3=0,0,G3/MBunk_act!G3*1000)</f>
        <v>3.910554413127691</v>
      </c>
      <c r="H23" s="62">
        <f>IF(H3=0,0,H3/MBunk_act!H3*1000)</f>
        <v>3.9281804893931569</v>
      </c>
      <c r="I23" s="62">
        <f>IF(I3=0,0,I3/MBunk_act!I3*1000)</f>
        <v>5.5761059922771024</v>
      </c>
      <c r="J23" s="62">
        <f>IF(J3=0,0,J3/MBunk_act!J3*1000)</f>
        <v>3.8972938235292016</v>
      </c>
      <c r="K23" s="62">
        <f>IF(K3=0,0,K3/MBunk_act!K3*1000)</f>
        <v>4.3689685926138999</v>
      </c>
      <c r="L23" s="62">
        <f>IF(L3=0,0,L3/MBunk_act!L3*1000)</f>
        <v>3.9860497164849868</v>
      </c>
      <c r="M23" s="62">
        <f>IF(M3=0,0,M3/MBunk_act!M3*1000)</f>
        <v>4.5930786202441611</v>
      </c>
      <c r="N23" s="62">
        <f>IF(N3=0,0,N3/MBunk_act!N3*1000)</f>
        <v>4.6048157879579881</v>
      </c>
      <c r="O23" s="62">
        <f>IF(O3=0,0,O3/MBunk_act!O3*1000)</f>
        <v>5.300338242587844</v>
      </c>
      <c r="P23" s="62">
        <f>IF(P3=0,0,P3/MBunk_act!P3*1000)</f>
        <v>3.3581610683421861</v>
      </c>
      <c r="Q23" s="62">
        <f>IF(Q3=0,0,Q3/MBunk_act!Q3*1000)</f>
        <v>2.9276346260124608</v>
      </c>
      <c r="R23" s="62">
        <f>IF(R3=0,0,R3/MBunk_act!R3*1000)</f>
        <v>2.9683980690842615</v>
      </c>
      <c r="S23" s="62">
        <f>IF(S3=0,0,S3/MBunk_act!S3*1000)</f>
        <v>2.9500626381450217</v>
      </c>
      <c r="T23" s="62">
        <f>IF(T3=0,0,T3/MBunk_act!T3*1000)</f>
        <v>3.3109528967483013</v>
      </c>
      <c r="U23" s="62">
        <f>IF(U3=0,0,U3/MBunk_act!U3*1000)</f>
        <v>2.9278375342995471</v>
      </c>
      <c r="V23" s="62">
        <f>IF(V3=0,0,V3/MBunk_act!V3*1000)</f>
        <v>1.8732889357241935</v>
      </c>
      <c r="W23" s="62">
        <f>IF(W3=0,0,W3/MBunk_act!W3*1000)</f>
        <v>1.9467204635724766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10.892753339634925</v>
      </c>
      <c r="C24" s="63">
        <f>IF(C4=0,0,C4/MBunk_act!C4*1000)</f>
        <v>9.5179593358144157</v>
      </c>
      <c r="D24" s="63">
        <f>IF(D4=0,0,D4/MBunk_act!D4*1000)</f>
        <v>9.1613730493798897</v>
      </c>
      <c r="E24" s="63">
        <f>IF(E4=0,0,E4/MBunk_act!E4*1000)</f>
        <v>9.7961584969327014</v>
      </c>
      <c r="F24" s="63">
        <f>IF(F4=0,0,F4/MBunk_act!F4*1000)</f>
        <v>10.69048338271414</v>
      </c>
      <c r="G24" s="63">
        <f>IF(G4=0,0,G4/MBunk_act!G4*1000)</f>
        <v>9.9073336706100648</v>
      </c>
      <c r="H24" s="63">
        <f>IF(H4=0,0,H4/MBunk_act!H4*1000)</f>
        <v>10.391097568830055</v>
      </c>
      <c r="I24" s="63">
        <f>IF(I4=0,0,I4/MBunk_act!I4*1000)</f>
        <v>14.643240318307026</v>
      </c>
      <c r="J24" s="63">
        <f>IF(J4=0,0,J4/MBunk_act!J4*1000)</f>
        <v>10.50625602845756</v>
      </c>
      <c r="K24" s="63">
        <f>IF(K4=0,0,K4/MBunk_act!K4*1000)</f>
        <v>11.333220245600439</v>
      </c>
      <c r="L24" s="63">
        <f>IF(L4=0,0,L4/MBunk_act!L4*1000)</f>
        <v>10.423822866107239</v>
      </c>
      <c r="M24" s="63">
        <f>IF(M4=0,0,M4/MBunk_act!M4*1000)</f>
        <v>12.20215968777298</v>
      </c>
      <c r="N24" s="63">
        <f>IF(N4=0,0,N4/MBunk_act!N4*1000)</f>
        <v>12.321711442349324</v>
      </c>
      <c r="O24" s="63">
        <f>IF(O4=0,0,O4/MBunk_act!O4*1000)</f>
        <v>14.591131811949003</v>
      </c>
      <c r="P24" s="63">
        <f>IF(P4=0,0,P4/MBunk_act!P4*1000)</f>
        <v>9.1582649571937953</v>
      </c>
      <c r="Q24" s="63">
        <f>IF(Q4=0,0,Q4/MBunk_act!Q4*1000)</f>
        <v>8.2431187843214797</v>
      </c>
      <c r="R24" s="63">
        <f>IF(R4=0,0,R4/MBunk_act!R4*1000)</f>
        <v>7.8922619758554449</v>
      </c>
      <c r="S24" s="63">
        <f>IF(S4=0,0,S4/MBunk_act!S4*1000)</f>
        <v>7.9294476334950597</v>
      </c>
      <c r="T24" s="63">
        <f>IF(T4=0,0,T4/MBunk_act!T4*1000)</f>
        <v>8.9465640568574027</v>
      </c>
      <c r="U24" s="63">
        <f>IF(U4=0,0,U4/MBunk_act!U4*1000)</f>
        <v>8.0717331604549152</v>
      </c>
      <c r="V24" s="63">
        <f>IF(V4=0,0,V4/MBunk_act!V4*1000)</f>
        <v>4.4393455604312058</v>
      </c>
      <c r="W24" s="63">
        <f>IF(W4=0,0,W4/MBunk_act!W4*1000)</f>
        <v>4.9295322001416304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3.5893240813575167</v>
      </c>
      <c r="C25" s="64">
        <f>IF(C10=0,0,C10/MBunk_act!C5*1000)</f>
        <v>3.1429507623469384</v>
      </c>
      <c r="D25" s="64">
        <f>IF(D10=0,0,D10/MBunk_act!D5*1000)</f>
        <v>3.0159017395740935</v>
      </c>
      <c r="E25" s="64">
        <f>IF(E10=0,0,E10/MBunk_act!E5*1000)</f>
        <v>3.211187984180091</v>
      </c>
      <c r="F25" s="64">
        <f>IF(F10=0,0,F10/MBunk_act!F5*1000)</f>
        <v>3.5488631689654078</v>
      </c>
      <c r="G25" s="64">
        <f>IF(G10=0,0,G10/MBunk_act!G5*1000)</f>
        <v>3.2101877919273458</v>
      </c>
      <c r="H25" s="64">
        <f>IF(H10=0,0,H10/MBunk_act!H5*1000)</f>
        <v>3.2760574031224619</v>
      </c>
      <c r="I25" s="64">
        <f>IF(I10=0,0,I10/MBunk_act!I5*1000)</f>
        <v>4.6356645751963956</v>
      </c>
      <c r="J25" s="64">
        <f>IF(J10=0,0,J10/MBunk_act!J5*1000)</f>
        <v>3.2501483283964863</v>
      </c>
      <c r="K25" s="64">
        <f>IF(K10=0,0,K10/MBunk_act!K5*1000)</f>
        <v>3.6029715007541929</v>
      </c>
      <c r="L25" s="64">
        <f>IF(L10=0,0,L10/MBunk_act!L5*1000)</f>
        <v>3.2813119478934709</v>
      </c>
      <c r="M25" s="64">
        <f>IF(M10=0,0,M10/MBunk_act!M5*1000)</f>
        <v>3.7990494866622404</v>
      </c>
      <c r="N25" s="64">
        <f>IF(N10=0,0,N10/MBunk_act!N5*1000)</f>
        <v>3.800205443503077</v>
      </c>
      <c r="O25" s="64">
        <f>IF(O10=0,0,O10/MBunk_act!O5*1000)</f>
        <v>4.4253148790382664</v>
      </c>
      <c r="P25" s="64">
        <f>IF(P10=0,0,P10/MBunk_act!P5*1000)</f>
        <v>2.8002051442222937</v>
      </c>
      <c r="Q25" s="64">
        <f>IF(Q10=0,0,Q10/MBunk_act!Q5*1000)</f>
        <v>2.4614133159859346</v>
      </c>
      <c r="R25" s="64">
        <f>IF(R10=0,0,R10/MBunk_act!R5*1000)</f>
        <v>2.4570006924890708</v>
      </c>
      <c r="S25" s="64">
        <f>IF(S10=0,0,S10/MBunk_act!S5*1000)</f>
        <v>2.448366413323503</v>
      </c>
      <c r="T25" s="64">
        <f>IF(T10=0,0,T10/MBunk_act!T5*1000)</f>
        <v>2.7450358066696312</v>
      </c>
      <c r="U25" s="64">
        <f>IF(U10=0,0,U10/MBunk_act!U5*1000)</f>
        <v>2.4365467322844889</v>
      </c>
      <c r="V25" s="64">
        <f>IF(V10=0,0,V10/MBunk_act!V5*1000)</f>
        <v>1.611557958423419</v>
      </c>
      <c r="W25" s="64">
        <f>IF(W10=0,0,W10/MBunk_act!W5*1000)</f>
        <v>1.6748432046609567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0.29540378098388381</v>
      </c>
      <c r="C28" s="77">
        <f t="shared" si="3"/>
        <v>0.2965595843801459</v>
      </c>
      <c r="D28" s="77">
        <f t="shared" si="3"/>
        <v>0.27601984067870799</v>
      </c>
      <c r="E28" s="77">
        <f t="shared" si="3"/>
        <v>0.27096095379810764</v>
      </c>
      <c r="F28" s="77">
        <f t="shared" si="3"/>
        <v>0.2768408651940123</v>
      </c>
      <c r="G28" s="77">
        <f t="shared" si="3"/>
        <v>0.26494402976755888</v>
      </c>
      <c r="H28" s="77">
        <f t="shared" si="3"/>
        <v>0.2424500107008373</v>
      </c>
      <c r="I28" s="77">
        <f t="shared" si="3"/>
        <v>0.24677947214869556</v>
      </c>
      <c r="J28" s="77">
        <f t="shared" si="3"/>
        <v>0.2404268923138384</v>
      </c>
      <c r="K28" s="77">
        <f t="shared" si="3"/>
        <v>0.2570443474775469</v>
      </c>
      <c r="L28" s="77">
        <f t="shared" si="3"/>
        <v>0.25802450027630119</v>
      </c>
      <c r="M28" s="77">
        <f t="shared" si="3"/>
        <v>0.25103206762766284</v>
      </c>
      <c r="N28" s="77">
        <f t="shared" si="3"/>
        <v>0.2526550774644839</v>
      </c>
      <c r="O28" s="77">
        <f t="shared" si="3"/>
        <v>0.23695329927967931</v>
      </c>
      <c r="P28" s="77">
        <f t="shared" si="3"/>
        <v>0.23932439258609919</v>
      </c>
      <c r="Q28" s="77">
        <f t="shared" si="3"/>
        <v>0.22704442340654343</v>
      </c>
      <c r="R28" s="77">
        <f t="shared" si="3"/>
        <v>0.25015974291405096</v>
      </c>
      <c r="S28" s="77">
        <f t="shared" si="3"/>
        <v>0.24602899547420753</v>
      </c>
      <c r="T28" s="77">
        <f t="shared" si="3"/>
        <v>0.24657972076631043</v>
      </c>
      <c r="U28" s="77">
        <f t="shared" si="3"/>
        <v>0.24035334316090151</v>
      </c>
      <c r="V28" s="77">
        <f t="shared" si="3"/>
        <v>0.21934236646827621</v>
      </c>
      <c r="W28" s="77">
        <f t="shared" si="3"/>
        <v>0.21152684941380739</v>
      </c>
      <c r="DA28" s="184"/>
    </row>
    <row r="29" spans="1:105" ht="11.45" customHeight="1" x14ac:dyDescent="0.25">
      <c r="A29" s="57" t="s">
        <v>171</v>
      </c>
      <c r="B29" s="78">
        <f>IF(B10=0,0,B10/B$3)</f>
        <v>0.70459621901611624</v>
      </c>
      <c r="C29" s="78">
        <f t="shared" ref="C29:W29" si="4">IF(C10=0,0,C10/C$3)</f>
        <v>0.70344041561985404</v>
      </c>
      <c r="D29" s="78">
        <f t="shared" si="4"/>
        <v>0.72398015932129201</v>
      </c>
      <c r="E29" s="78">
        <f t="shared" si="4"/>
        <v>0.7290390462018923</v>
      </c>
      <c r="F29" s="78">
        <f t="shared" si="4"/>
        <v>0.72315913480598781</v>
      </c>
      <c r="G29" s="78">
        <f t="shared" si="4"/>
        <v>0.73505597023244107</v>
      </c>
      <c r="H29" s="78">
        <f t="shared" si="4"/>
        <v>0.75754998929916273</v>
      </c>
      <c r="I29" s="78">
        <f t="shared" si="4"/>
        <v>0.75322052785130444</v>
      </c>
      <c r="J29" s="78">
        <f t="shared" si="4"/>
        <v>0.75957310768616171</v>
      </c>
      <c r="K29" s="78">
        <f t="shared" si="4"/>
        <v>0.7429556525224531</v>
      </c>
      <c r="L29" s="78">
        <f t="shared" si="4"/>
        <v>0.74197549972369881</v>
      </c>
      <c r="M29" s="78">
        <f t="shared" si="4"/>
        <v>0.74896793237233705</v>
      </c>
      <c r="N29" s="78">
        <f t="shared" si="4"/>
        <v>0.7473449225355161</v>
      </c>
      <c r="O29" s="78">
        <f t="shared" si="4"/>
        <v>0.76304670072032077</v>
      </c>
      <c r="P29" s="78">
        <f t="shared" si="4"/>
        <v>0.76067560741390083</v>
      </c>
      <c r="Q29" s="78">
        <f t="shared" si="4"/>
        <v>0.77295557659345648</v>
      </c>
      <c r="R29" s="78">
        <f t="shared" si="4"/>
        <v>0.74984025708594892</v>
      </c>
      <c r="S29" s="78">
        <f t="shared" si="4"/>
        <v>0.75397100452579247</v>
      </c>
      <c r="T29" s="78">
        <f t="shared" si="4"/>
        <v>0.75342027923368959</v>
      </c>
      <c r="U29" s="78">
        <f t="shared" si="4"/>
        <v>0.75964665683909849</v>
      </c>
      <c r="V29" s="78">
        <f t="shared" si="4"/>
        <v>0.78065763353172379</v>
      </c>
      <c r="W29" s="78">
        <f t="shared" si="4"/>
        <v>0.78847315058619261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9071.3670616800009</v>
      </c>
      <c r="C3" s="62">
        <f t="shared" ref="C3:W3" si="1">SUM(C4:C5)</f>
        <v>7692.9051250799985</v>
      </c>
      <c r="D3" s="62">
        <f t="shared" si="1"/>
        <v>7452.1726527600022</v>
      </c>
      <c r="E3" s="62">
        <f t="shared" si="1"/>
        <v>7992.1005821999997</v>
      </c>
      <c r="F3" s="62">
        <f t="shared" si="1"/>
        <v>9030.2075773200013</v>
      </c>
      <c r="G3" s="62">
        <f t="shared" si="1"/>
        <v>8255.1742711200022</v>
      </c>
      <c r="H3" s="62">
        <f t="shared" si="1"/>
        <v>8552.6431873200017</v>
      </c>
      <c r="I3" s="62">
        <f t="shared" si="1"/>
        <v>8768.2594417200035</v>
      </c>
      <c r="J3" s="62">
        <f t="shared" si="1"/>
        <v>7660.0368446399998</v>
      </c>
      <c r="K3" s="62">
        <f t="shared" si="1"/>
        <v>7643.6554953600016</v>
      </c>
      <c r="L3" s="62">
        <f t="shared" si="1"/>
        <v>7412.4722232000022</v>
      </c>
      <c r="M3" s="62">
        <f t="shared" si="1"/>
        <v>8500.0966059599996</v>
      </c>
      <c r="N3" s="62">
        <f t="shared" si="1"/>
        <v>8047.6792102800009</v>
      </c>
      <c r="O3" s="62">
        <f t="shared" si="1"/>
        <v>7353.8315632800022</v>
      </c>
      <c r="P3" s="62">
        <f t="shared" si="1"/>
        <v>6292.4443124400013</v>
      </c>
      <c r="Q3" s="62">
        <f t="shared" si="1"/>
        <v>5626.3191011999997</v>
      </c>
      <c r="R3" s="62">
        <f t="shared" si="1"/>
        <v>5331.5884857599995</v>
      </c>
      <c r="S3" s="62">
        <f t="shared" si="1"/>
        <v>5632.3629514800004</v>
      </c>
      <c r="T3" s="62">
        <f t="shared" si="1"/>
        <v>6348.2499759600014</v>
      </c>
      <c r="U3" s="62">
        <f t="shared" si="1"/>
        <v>5551.1508315599995</v>
      </c>
      <c r="V3" s="62">
        <f t="shared" si="1"/>
        <v>3167.7742310400008</v>
      </c>
      <c r="W3" s="62">
        <f t="shared" si="1"/>
        <v>3469.7781885599998</v>
      </c>
      <c r="DA3" s="172" t="s">
        <v>985</v>
      </c>
    </row>
    <row r="4" spans="1:105" ht="11.45" customHeight="1" x14ac:dyDescent="0.25">
      <c r="A4" s="55" t="s">
        <v>170</v>
      </c>
      <c r="B4" s="63">
        <v>2657.9310469488328</v>
      </c>
      <c r="C4" s="63">
        <v>2262.9656643901826</v>
      </c>
      <c r="D4" s="63">
        <v>2041.7304534248967</v>
      </c>
      <c r="E4" s="63">
        <v>2152.7884291391201</v>
      </c>
      <c r="F4" s="63">
        <v>2489.1453998868074</v>
      </c>
      <c r="G4" s="63">
        <v>2177.2497116816653</v>
      </c>
      <c r="H4" s="63">
        <v>2066.4877343554085</v>
      </c>
      <c r="I4" s="63">
        <v>2157.754776795538</v>
      </c>
      <c r="J4" s="63">
        <v>1835.3905385016876</v>
      </c>
      <c r="K4" s="63">
        <v>1959.2887405924591</v>
      </c>
      <c r="L4" s="63">
        <v>1906.3111764032244</v>
      </c>
      <c r="M4" s="63">
        <v>2123.4095359768562</v>
      </c>
      <c r="N4" s="63">
        <v>2022.3665725169431</v>
      </c>
      <c r="O4" s="63">
        <v>1733.2497863402473</v>
      </c>
      <c r="P4" s="63">
        <v>1496.4510597470537</v>
      </c>
      <c r="Q4" s="63">
        <v>1266.4066543424149</v>
      </c>
      <c r="R4" s="63">
        <v>1319.9960375848907</v>
      </c>
      <c r="S4" s="63">
        <v>1374.8487670574634</v>
      </c>
      <c r="T4" s="63">
        <v>1555.1529701562663</v>
      </c>
      <c r="U4" s="63">
        <v>1325.5677138366711</v>
      </c>
      <c r="V4" s="63">
        <v>686.0997506233781</v>
      </c>
      <c r="W4" s="63">
        <v>723.5079288039766</v>
      </c>
      <c r="DA4" s="181" t="s">
        <v>986</v>
      </c>
    </row>
    <row r="5" spans="1:105" ht="11.45" customHeight="1" x14ac:dyDescent="0.25">
      <c r="A5" s="57" t="s">
        <v>171</v>
      </c>
      <c r="B5" s="64">
        <v>6413.4360147311681</v>
      </c>
      <c r="C5" s="64">
        <v>5429.9394606898159</v>
      </c>
      <c r="D5" s="64">
        <v>5410.4421993351052</v>
      </c>
      <c r="E5" s="64">
        <v>5839.3121530608796</v>
      </c>
      <c r="F5" s="64">
        <v>6541.0621774331948</v>
      </c>
      <c r="G5" s="64">
        <v>6077.9245594383374</v>
      </c>
      <c r="H5" s="64">
        <v>6486.1554529645928</v>
      </c>
      <c r="I5" s="64">
        <v>6610.504664924465</v>
      </c>
      <c r="J5" s="64">
        <v>5824.646306138312</v>
      </c>
      <c r="K5" s="64">
        <v>5684.3667547675423</v>
      </c>
      <c r="L5" s="64">
        <v>5506.1610467967776</v>
      </c>
      <c r="M5" s="64">
        <v>6376.6870699831425</v>
      </c>
      <c r="N5" s="64">
        <v>6025.3126377630579</v>
      </c>
      <c r="O5" s="64">
        <v>5620.5817769397545</v>
      </c>
      <c r="P5" s="64">
        <v>4795.9932526929479</v>
      </c>
      <c r="Q5" s="64">
        <v>4359.9124468575847</v>
      </c>
      <c r="R5" s="64">
        <v>4011.592448175109</v>
      </c>
      <c r="S5" s="64">
        <v>4257.5141844225373</v>
      </c>
      <c r="T5" s="64">
        <v>4793.0970058037346</v>
      </c>
      <c r="U5" s="64">
        <v>4225.5831177233285</v>
      </c>
      <c r="V5" s="64">
        <v>2481.6744804166228</v>
      </c>
      <c r="W5" s="64">
        <v>2746.2702597560233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3.2186004148528378</v>
      </c>
      <c r="C9" s="79">
        <f>IF(C3=0,0,C3/MBunk_ene!C3)</f>
        <v>3.2185095816287808</v>
      </c>
      <c r="D9" s="79">
        <f>IF(D3=0,0,D3/MBunk_ene!D3)</f>
        <v>3.2212220841234767</v>
      </c>
      <c r="E9" s="79">
        <f>IF(E3=0,0,E3/MBunk_ene!E3)</f>
        <v>3.2248644435385661</v>
      </c>
      <c r="F9" s="79">
        <f>IF(F3=0,0,F3/MBunk_ene!F3)</f>
        <v>3.2287607759305454</v>
      </c>
      <c r="G9" s="79">
        <f>IF(G3=0,0,G3/MBunk_ene!G3)</f>
        <v>3.2280741441824268</v>
      </c>
      <c r="H9" s="79">
        <f>IF(H3=0,0,H3/MBunk_ene!H3)</f>
        <v>3.2315544747121692</v>
      </c>
      <c r="I9" s="79">
        <f>IF(I3=0,0,I3/MBunk_ene!I3)</f>
        <v>3.2326429750996795</v>
      </c>
      <c r="J9" s="79">
        <f>IF(J3=0,0,J3/MBunk_ene!J3)</f>
        <v>3.2315964959567323</v>
      </c>
      <c r="K9" s="79">
        <f>IF(K3=0,0,K3/MBunk_ene!K3)</f>
        <v>3.2328165030343867</v>
      </c>
      <c r="L9" s="79">
        <f>IF(L3=0,0,L3/MBunk_ene!L3)</f>
        <v>3.2318212816998027</v>
      </c>
      <c r="M9" s="79">
        <f>IF(M3=0,0,M3/MBunk_ene!M3)</f>
        <v>3.2273446774512</v>
      </c>
      <c r="N9" s="79">
        <f>IF(N3=0,0,N3/MBunk_ene!N3)</f>
        <v>3.2260918597224144</v>
      </c>
      <c r="O9" s="79">
        <f>IF(O3=0,0,O3/MBunk_ene!O3)</f>
        <v>3.2264065096876786</v>
      </c>
      <c r="P9" s="79">
        <f>IF(P3=0,0,P3/MBunk_ene!P3)</f>
        <v>3.2235255132377563</v>
      </c>
      <c r="Q9" s="79">
        <f>IF(Q3=0,0,Q3/MBunk_ene!Q3)</f>
        <v>3.2187891127886554</v>
      </c>
      <c r="R9" s="79">
        <f>IF(R3=0,0,R3/MBunk_ene!R3)</f>
        <v>3.2139168451013385</v>
      </c>
      <c r="S9" s="79">
        <f>IF(S3=0,0,S3/MBunk_ene!S3)</f>
        <v>3.2197688412552901</v>
      </c>
      <c r="T9" s="79">
        <f>IF(T3=0,0,T3/MBunk_ene!T3)</f>
        <v>3.2233842865596811</v>
      </c>
      <c r="U9" s="79">
        <f>IF(U3=0,0,U3/MBunk_ene!U3)</f>
        <v>3.2233770432753523</v>
      </c>
      <c r="V9" s="79">
        <f>IF(V3=0,0,V3/MBunk_ene!V3)</f>
        <v>3.2097672600760818</v>
      </c>
      <c r="W9" s="79">
        <f>IF(W3=0,0,W3/MBunk_ene!W3)</f>
        <v>3.2082434513579945</v>
      </c>
      <c r="DA9" s="172"/>
    </row>
    <row r="10" spans="1:105" ht="11.45" customHeight="1" x14ac:dyDescent="0.25">
      <c r="A10" s="55" t="s">
        <v>170</v>
      </c>
      <c r="B10" s="80">
        <f>IF(B4=0,0,B4/MBunk_ene!B4)</f>
        <v>3.1924344070237831</v>
      </c>
      <c r="C10" s="80">
        <f>IF(C4=0,0,C4/MBunk_ene!C4)</f>
        <v>3.1924965022923808</v>
      </c>
      <c r="D10" s="80">
        <f>IF(D4=0,0,D4/MBunk_ene!D4)</f>
        <v>3.1973918633223746</v>
      </c>
      <c r="E10" s="80">
        <f>IF(E4=0,0,E4/MBunk_ene!E4)</f>
        <v>3.2058644902689157</v>
      </c>
      <c r="F10" s="80">
        <f>IF(F4=0,0,F4/MBunk_ene!F4)</f>
        <v>3.2148314129462086</v>
      </c>
      <c r="G10" s="80">
        <f>IF(G4=0,0,G4/MBunk_ene!G4)</f>
        <v>3.213448613849232</v>
      </c>
      <c r="H10" s="80">
        <f>IF(H4=0,0,H4/MBunk_ene!H4)</f>
        <v>3.2204884927581432</v>
      </c>
      <c r="I10" s="80">
        <f>IF(I4=0,0,I4/MBunk_ene!I4)</f>
        <v>3.2235722343167019</v>
      </c>
      <c r="J10" s="80">
        <f>IF(J4=0,0,J4/MBunk_ene!J4)</f>
        <v>3.2205623805956809</v>
      </c>
      <c r="K10" s="80">
        <f>IF(K4=0,0,K4/MBunk_ene!K4)</f>
        <v>3.2238166527705703</v>
      </c>
      <c r="L10" s="80">
        <f>IF(L4=0,0,L4/MBunk_ene!L4)</f>
        <v>3.2211956652912987</v>
      </c>
      <c r="M10" s="80">
        <f>IF(M4=0,0,M4/MBunk_ene!M4)</f>
        <v>3.2116340133176458</v>
      </c>
      <c r="N10" s="80">
        <f>IF(N4=0,0,N4/MBunk_ene!N4)</f>
        <v>3.2087650642246222</v>
      </c>
      <c r="O10" s="80">
        <f>IF(O4=0,0,O4/MBunk_ene!O4)</f>
        <v>3.2092518645391439</v>
      </c>
      <c r="P10" s="80">
        <f>IF(P4=0,0,P4/MBunk_ene!P4)</f>
        <v>3.2032238095362859</v>
      </c>
      <c r="Q10" s="80">
        <f>IF(Q4=0,0,Q4/MBunk_ene!Q4)</f>
        <v>3.1910272163276781</v>
      </c>
      <c r="R10" s="80">
        <f>IF(R4=0,0,R4/MBunk_ene!R4)</f>
        <v>3.1807769836477049</v>
      </c>
      <c r="S10" s="80">
        <f>IF(S4=0,0,S4/MBunk_ene!S4)</f>
        <v>3.1944985493429647</v>
      </c>
      <c r="T10" s="80">
        <f>IF(T4=0,0,T4/MBunk_ene!T4)</f>
        <v>3.2023870618921326</v>
      </c>
      <c r="U10" s="80">
        <f>IF(U4=0,0,U4/MBunk_ene!U4)</f>
        <v>3.2024313686869803</v>
      </c>
      <c r="V10" s="80">
        <f>IF(V4=0,0,V4/MBunk_ene!V4)</f>
        <v>3.1694511174191726</v>
      </c>
      <c r="W10" s="80">
        <f>IF(W4=0,0,W4/MBunk_ene!W4)</f>
        <v>3.162593673190214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3.2295705810804538</v>
      </c>
      <c r="C11" s="81">
        <f>IF(C5=0,0,C5/MBunk_ene!C10)</f>
        <v>3.2294762929879126</v>
      </c>
      <c r="D11" s="81">
        <f>IF(D5=0,0,D5/MBunk_ene!D10)</f>
        <v>3.2303074349637884</v>
      </c>
      <c r="E11" s="81">
        <f>IF(E5=0,0,E5/MBunk_ene!E10)</f>
        <v>3.2319261304082678</v>
      </c>
      <c r="F11" s="81">
        <f>IF(F5=0,0,F5/MBunk_ene!F10)</f>
        <v>3.2340932355712857</v>
      </c>
      <c r="G11" s="81">
        <f>IF(G5=0,0,G5/MBunk_ene!G10)</f>
        <v>3.2333457794059859</v>
      </c>
      <c r="H11" s="81">
        <f>IF(H5=0,0,H5/MBunk_ene!H10)</f>
        <v>3.2350960858019544</v>
      </c>
      <c r="I11" s="81">
        <f>IF(I5=0,0,I5/MBunk_ene!I10)</f>
        <v>3.2356148439477135</v>
      </c>
      <c r="J11" s="81">
        <f>IF(J5=0,0,J5/MBunk_ene!J10)</f>
        <v>3.2350891131108215</v>
      </c>
      <c r="K11" s="81">
        <f>IF(K5=0,0,K5/MBunk_ene!K10)</f>
        <v>3.2359302294467289</v>
      </c>
      <c r="L11" s="81">
        <f>IF(L5=0,0,L5/MBunk_ene!L10)</f>
        <v>3.2355163758975931</v>
      </c>
      <c r="M11" s="81">
        <f>IF(M5=0,0,M5/MBunk_ene!M10)</f>
        <v>3.2326104309378114</v>
      </c>
      <c r="N11" s="81">
        <f>IF(N5=0,0,N5/MBunk_ene!N10)</f>
        <v>3.2319495336380326</v>
      </c>
      <c r="O11" s="81">
        <f>IF(O5=0,0,O5/MBunk_ene!O10)</f>
        <v>3.231733640729697</v>
      </c>
      <c r="P11" s="81">
        <f>IF(P5=0,0,P5/MBunk_ene!P10)</f>
        <v>3.229912852149984</v>
      </c>
      <c r="Q11" s="81">
        <f>IF(Q5=0,0,Q5/MBunk_ene!Q10)</f>
        <v>3.2269437648353283</v>
      </c>
      <c r="R11" s="81">
        <f>IF(R5=0,0,R5/MBunk_ene!R10)</f>
        <v>3.2249728788940111</v>
      </c>
      <c r="S11" s="81">
        <f>IF(S5=0,0,S5/MBunk_ene!S10)</f>
        <v>3.2280148142399407</v>
      </c>
      <c r="T11" s="81">
        <f>IF(T5=0,0,T5/MBunk_ene!T10)</f>
        <v>3.2302562674952853</v>
      </c>
      <c r="U11" s="81">
        <f>IF(U5=0,0,U5/MBunk_ene!U10)</f>
        <v>3.2300042861740756</v>
      </c>
      <c r="V11" s="81">
        <f>IF(V5=0,0,V5/MBunk_ene!V10)</f>
        <v>3.2210949378664506</v>
      </c>
      <c r="W11" s="81">
        <f>IF(W5=0,0,W5/MBunk_ene!W10)</f>
        <v>3.2204901001438042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21165.10374151275</v>
      </c>
      <c r="C13" s="62">
        <f>IF(C3=0,0,C3/MBunk_act!C7*100)</f>
        <v>24027.111352089658</v>
      </c>
      <c r="D13" s="62">
        <f>IF(D3=0,0,D3/MBunk_act!D7*100)</f>
        <v>26647.531281642547</v>
      </c>
      <c r="E13" s="62">
        <f>IF(E3=0,0,E3/MBunk_act!E7*100)</f>
        <v>27194.538207028676</v>
      </c>
      <c r="F13" s="62">
        <f>IF(F3=0,0,F3/MBunk_act!F7*100)</f>
        <v>30596.616157501667</v>
      </c>
      <c r="G13" s="62">
        <f>IF(G3=0,0,G3/MBunk_act!G7*100)</f>
        <v>28645.038047198472</v>
      </c>
      <c r="H13" s="62">
        <f>IF(H3=0,0,H3/MBunk_act!H7*100)</f>
        <v>31098.664939012189</v>
      </c>
      <c r="I13" s="62">
        <f>IF(I3=0,0,I3/MBunk_act!I7*100)</f>
        <v>45422.984581611701</v>
      </c>
      <c r="J13" s="62">
        <f>IF(J3=0,0,J3/MBunk_act!J7*100)</f>
        <v>33320.591724927399</v>
      </c>
      <c r="K13" s="62">
        <f>IF(K3=0,0,K3/MBunk_act!K7*100)</f>
        <v>38253.671686527967</v>
      </c>
      <c r="L13" s="62">
        <f>IF(L3=0,0,L3/MBunk_act!L7*100)</f>
        <v>35881.778828969269</v>
      </c>
      <c r="M13" s="62">
        <f>IF(M3=0,0,M3/MBunk_act!M7*100)</f>
        <v>42445.645378253561</v>
      </c>
      <c r="N13" s="62">
        <f>IF(N3=0,0,N3/MBunk_act!N7*100)</f>
        <v>44276.642833351551</v>
      </c>
      <c r="O13" s="62">
        <f>IF(O3=0,0,O3/MBunk_act!O7*100)</f>
        <v>53150.470254244181</v>
      </c>
      <c r="P13" s="62">
        <f>IF(P3=0,0,P3/MBunk_act!P7*100)</f>
        <v>31313.529268468683</v>
      </c>
      <c r="Q13" s="62">
        <f>IF(Q3=0,0,Q3/MBunk_act!Q7*100)</f>
        <v>33218.871317946257</v>
      </c>
      <c r="R13" s="62">
        <f>IF(R3=0,0,R3/MBunk_act!R7*100)</f>
        <v>31840.790482714852</v>
      </c>
      <c r="S13" s="62">
        <f>IF(S3=0,0,S3/MBunk_act!S7*100)</f>
        <v>31162.489859039208</v>
      </c>
      <c r="T13" s="62">
        <f>IF(T3=0,0,T3/MBunk_act!T7*100)</f>
        <v>35125.449997836571</v>
      </c>
      <c r="U13" s="62">
        <f>IF(U3=0,0,U3/MBunk_act!U7*100)</f>
        <v>31835.18477187449</v>
      </c>
      <c r="V13" s="62">
        <f>IF(V3=0,0,V3/MBunk_act!V7*100)</f>
        <v>20688.857642481646</v>
      </c>
      <c r="W13" s="62">
        <f>IF(W3=0,0,W3/MBunk_act!W7*100)</f>
        <v>21791.797084422862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17159.499991922512</v>
      </c>
      <c r="C14" s="63">
        <f>IF(C4=0,0,C4/MBunk_act!C8*100)</f>
        <v>19278.683989548485</v>
      </c>
      <c r="D14" s="63">
        <f>IF(D4=0,0,D4/MBunk_act!D8*100)</f>
        <v>24213.272539459642</v>
      </c>
      <c r="E14" s="63">
        <f>IF(E4=0,0,E4/MBunk_act!E8*100)</f>
        <v>25027.368648205822</v>
      </c>
      <c r="F14" s="63">
        <f>IF(F4=0,0,F4/MBunk_act!F8*100)</f>
        <v>28462.407402661534</v>
      </c>
      <c r="G14" s="63">
        <f>IF(G4=0,0,G4/MBunk_act!G8*100)</f>
        <v>27088.117626353567</v>
      </c>
      <c r="H14" s="63">
        <f>IF(H4=0,0,H4/MBunk_act!H8*100)</f>
        <v>29453.195428497838</v>
      </c>
      <c r="I14" s="63">
        <f>IF(I4=0,0,I4/MBunk_act!I8*100)</f>
        <v>42332.498884094806</v>
      </c>
      <c r="J14" s="63">
        <f>IF(J4=0,0,J4/MBunk_act!J8*100)</f>
        <v>31052.141414381873</v>
      </c>
      <c r="K14" s="63">
        <f>IF(K4=0,0,K4/MBunk_act!K8*100)</f>
        <v>36013.55006519641</v>
      </c>
      <c r="L14" s="63">
        <f>IF(L4=0,0,L4/MBunk_act!L8*100)</f>
        <v>32872.075839730205</v>
      </c>
      <c r="M14" s="63">
        <f>IF(M4=0,0,M4/MBunk_act!M8*100)</f>
        <v>39007.528598813318</v>
      </c>
      <c r="N14" s="63">
        <f>IF(N4=0,0,N4/MBunk_act!N8*100)</f>
        <v>40250.778847072834</v>
      </c>
      <c r="O14" s="63">
        <f>IF(O4=0,0,O4/MBunk_act!O8*100)</f>
        <v>48505.794287278797</v>
      </c>
      <c r="P14" s="63">
        <f>IF(P4=0,0,P4/MBunk_act!P8*100)</f>
        <v>28590.56531590319</v>
      </c>
      <c r="Q14" s="63">
        <f>IF(Q4=0,0,Q4/MBunk_act!Q8*100)</f>
        <v>29973.405472257706</v>
      </c>
      <c r="R14" s="63">
        <f>IF(R4=0,0,R4/MBunk_act!R8*100)</f>
        <v>28566.624983468977</v>
      </c>
      <c r="S14" s="63">
        <f>IF(S4=0,0,S4/MBunk_act!S8*100)</f>
        <v>27744.870207479049</v>
      </c>
      <c r="T14" s="63">
        <f>IF(T4=0,0,T4/MBunk_act!T8*100)</f>
        <v>31533.721747779098</v>
      </c>
      <c r="U14" s="63">
        <f>IF(U4=0,0,U4/MBunk_act!U8*100)</f>
        <v>28426.407219416877</v>
      </c>
      <c r="V14" s="63">
        <f>IF(V4=0,0,V4/MBunk_act!V8*100)</f>
        <v>16693.76983765791</v>
      </c>
      <c r="W14" s="63">
        <f>IF(W4=0,0,W4/MBunk_act!W8*100)</f>
        <v>17525.620888372745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23431.965402445301</v>
      </c>
      <c r="C15" s="64">
        <f>IF(C5=0,0,C5/MBunk_act!C9*100)</f>
        <v>26775.60462104659</v>
      </c>
      <c r="D15" s="64">
        <f>IF(D5=0,0,D5/MBunk_act!D9*100)</f>
        <v>27698.362553067876</v>
      </c>
      <c r="E15" s="64">
        <f>IF(E5=0,0,E5/MBunk_act!E9*100)</f>
        <v>28091.3258106463</v>
      </c>
      <c r="F15" s="64">
        <f>IF(F5=0,0,F5/MBunk_act!F9*100)</f>
        <v>31495.312931600234</v>
      </c>
      <c r="G15" s="64">
        <f>IF(G5=0,0,G5/MBunk_act!G9*100)</f>
        <v>29247.216292289166</v>
      </c>
      <c r="H15" s="64">
        <f>IF(H5=0,0,H5/MBunk_act!H9*100)</f>
        <v>31662.230446525326</v>
      </c>
      <c r="I15" s="64">
        <f>IF(I5=0,0,I5/MBunk_act!I9*100)</f>
        <v>46531.828507927334</v>
      </c>
      <c r="J15" s="64">
        <f>IF(J5=0,0,J5/MBunk_act!J9*100)</f>
        <v>34105.689005375629</v>
      </c>
      <c r="K15" s="64">
        <f>IF(K5=0,0,K5/MBunk_act!K9*100)</f>
        <v>39091.794421564337</v>
      </c>
      <c r="L15" s="64">
        <f>IF(L5=0,0,L5/MBunk_act!L9*100)</f>
        <v>37056.418980735849</v>
      </c>
      <c r="M15" s="64">
        <f>IF(M5=0,0,M5/MBunk_act!M9*100)</f>
        <v>43729.10264179494</v>
      </c>
      <c r="N15" s="64">
        <f>IF(N5=0,0,N5/MBunk_act!N9*100)</f>
        <v>45814.690733526673</v>
      </c>
      <c r="O15" s="64">
        <f>IF(O5=0,0,O5/MBunk_act!O9*100)</f>
        <v>54767.678769360769</v>
      </c>
      <c r="P15" s="64">
        <f>IF(P5=0,0,P5/MBunk_act!P9*100)</f>
        <v>32272.569096555533</v>
      </c>
      <c r="Q15" s="64">
        <f>IF(Q5=0,0,Q5/MBunk_act!Q9*100)</f>
        <v>34297.568905337946</v>
      </c>
      <c r="R15" s="64">
        <f>IF(R5=0,0,R5/MBunk_act!R9*100)</f>
        <v>33088.682456392315</v>
      </c>
      <c r="S15" s="64">
        <f>IF(S5=0,0,S5/MBunk_act!S9*100)</f>
        <v>32453.412524395528</v>
      </c>
      <c r="T15" s="64">
        <f>IF(T5=0,0,T5/MBunk_act!T9*100)</f>
        <v>36473.360039366802</v>
      </c>
      <c r="U15" s="64">
        <f>IF(U5=0,0,U5/MBunk_act!U9*100)</f>
        <v>33079.56096542452</v>
      </c>
      <c r="V15" s="64">
        <f>IF(V5=0,0,V5/MBunk_act!V9*100)</f>
        <v>22154.674556889659</v>
      </c>
      <c r="W15" s="64">
        <f>IF(W5=0,0,W5/MBunk_act!W9*100)</f>
        <v>23285.083799873999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14.405884952056111</v>
      </c>
      <c r="C17" s="62">
        <f>IF(C3=0,0,C3/MBunk_act!C3*1000)</f>
        <v>12.622933881519149</v>
      </c>
      <c r="D17" s="62">
        <f>IF(D3=0,0,D3/MBunk_act!D3*1000)</f>
        <v>11.922373782283445</v>
      </c>
      <c r="E17" s="62">
        <f>IF(E3=0,0,E3/MBunk_act!E3*1000)</f>
        <v>12.661877126472636</v>
      </c>
      <c r="F17" s="62">
        <f>IF(F3=0,0,F3/MBunk_act!F3*1000)</f>
        <v>14.058379422867757</v>
      </c>
      <c r="G17" s="62">
        <f>IF(G3=0,0,G3/MBunk_act!G3*1000)</f>
        <v>12.623559590435983</v>
      </c>
      <c r="H17" s="62">
        <f>IF(H3=0,0,H3/MBunk_act!H3*1000)</f>
        <v>12.694129237975494</v>
      </c>
      <c r="I17" s="62">
        <f>IF(I3=0,0,I3/MBunk_act!I3*1000)</f>
        <v>18.025559864345805</v>
      </c>
      <c r="J17" s="62">
        <f>IF(J3=0,0,J3/MBunk_act!J3*1000)</f>
        <v>12.594481063830782</v>
      </c>
      <c r="K17" s="62">
        <f>IF(K3=0,0,K3/MBunk_act!K3*1000)</f>
        <v>14.124073767441132</v>
      </c>
      <c r="L17" s="62">
        <f>IF(L3=0,0,L3/MBunk_act!L3*1000)</f>
        <v>12.882200303649645</v>
      </c>
      <c r="M17" s="62">
        <f>IF(M3=0,0,M3/MBunk_act!M3*1000)</f>
        <v>14.823447838159893</v>
      </c>
      <c r="N17" s="62">
        <f>IF(N3=0,0,N3/MBunk_act!N3*1000)</f>
        <v>14.855558729052522</v>
      </c>
      <c r="O17" s="62">
        <f>IF(O3=0,0,O3/MBunk_act!O3*1000)</f>
        <v>17.10104580943197</v>
      </c>
      <c r="P17" s="62">
        <f>IF(P3=0,0,P3/MBunk_act!P3*1000)</f>
        <v>10.825117881362797</v>
      </c>
      <c r="Q17" s="62">
        <f>IF(Q3=0,0,Q3/MBunk_act!Q3*1000)</f>
        <v>9.4234384604319956</v>
      </c>
      <c r="R17" s="62">
        <f>IF(R3=0,0,R3/MBunk_act!R3*1000)</f>
        <v>9.5401845571961932</v>
      </c>
      <c r="S17" s="62">
        <f>IF(S3=0,0,S3/MBunk_act!S3*1000)</f>
        <v>9.4985197620507194</v>
      </c>
      <c r="T17" s="62">
        <f>IF(T3=0,0,T3/MBunk_act!T3*1000)</f>
        <v>10.672473540917734</v>
      </c>
      <c r="U17" s="62">
        <f>IF(U3=0,0,U3/MBunk_act!U3*1000)</f>
        <v>9.4375242945010722</v>
      </c>
      <c r="V17" s="62">
        <f>IF(V3=0,0,V3/MBunk_act!V3*1000)</f>
        <v>6.0128214945502831</v>
      </c>
      <c r="W17" s="62">
        <f>IF(W3=0,0,W3/MBunk_act!W3*1000)</f>
        <v>6.245553178880999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34.774400548673754</v>
      </c>
      <c r="C18" s="63">
        <f>IF(C4=0,0,C4/MBunk_act!C4*1000)</f>
        <v>30.386051888548632</v>
      </c>
      <c r="D18" s="63">
        <f>IF(D4=0,0,D4/MBunk_act!D4*1000)</f>
        <v>29.292499644948148</v>
      </c>
      <c r="E18" s="63">
        <f>IF(E4=0,0,E4/MBunk_act!E4*1000)</f>
        <v>31.405156666362664</v>
      </c>
      <c r="F18" s="63">
        <f>IF(F4=0,0,F4/MBunk_act!F4*1000)</f>
        <v>34.368101798328858</v>
      </c>
      <c r="G18" s="63">
        <f>IF(G4=0,0,G4/MBunk_act!G4*1000)</f>
        <v>31.836707650763735</v>
      </c>
      <c r="H18" s="63">
        <f>IF(H4=0,0,H4/MBunk_act!H4*1000)</f>
        <v>33.464410147544314</v>
      </c>
      <c r="I18" s="63">
        <f>IF(I4=0,0,I4/MBunk_act!I4*1000)</f>
        <v>47.203542910521385</v>
      </c>
      <c r="J18" s="63">
        <f>IF(J4=0,0,J4/MBunk_act!J4*1000)</f>
        <v>33.836052926157009</v>
      </c>
      <c r="K18" s="63">
        <f>IF(K4=0,0,K4/MBunk_act!K4*1000)</f>
        <v>36.536224157283264</v>
      </c>
      <c r="L18" s="63">
        <f>IF(L4=0,0,L4/MBunk_act!L4*1000)</f>
        <v>33.57717303206897</v>
      </c>
      <c r="M18" s="63">
        <f>IF(M4=0,0,M4/MBunk_act!M4*1000)</f>
        <v>39.188871089185128</v>
      </c>
      <c r="N18" s="63">
        <f>IF(N4=0,0,N4/MBunk_act!N4*1000)</f>
        <v>39.537477207667294</v>
      </c>
      <c r="O18" s="63">
        <f>IF(O4=0,0,O4/MBunk_act!O4*1000)</f>
        <v>46.826616973233762</v>
      </c>
      <c r="P18" s="63">
        <f>IF(P4=0,0,P4/MBunk_act!P4*1000)</f>
        <v>29.335972364924977</v>
      </c>
      <c r="Q18" s="63">
        <f>IF(Q4=0,0,Q4/MBunk_act!Q4*1000)</f>
        <v>26.304016388191769</v>
      </c>
      <c r="R18" s="63">
        <f>IF(R4=0,0,R4/MBunk_act!R4*1000)</f>
        <v>25.103525241718959</v>
      </c>
      <c r="S18" s="63">
        <f>IF(S4=0,0,S4/MBunk_act!S4*1000)</f>
        <v>25.330608962290974</v>
      </c>
      <c r="T18" s="63">
        <f>IF(T4=0,0,T4/MBunk_act!T4*1000)</f>
        <v>28.650360984069341</v>
      </c>
      <c r="U18" s="63">
        <f>IF(U4=0,0,U4/MBunk_act!U4*1000)</f>
        <v>25.849171472711717</v>
      </c>
      <c r="V18" s="63">
        <f>IF(V4=0,0,V4/MBunk_act!V4*1000)</f>
        <v>14.07028874711853</v>
      </c>
      <c r="W18" s="63">
        <f>IF(W4=0,0,W4/MBunk_act!W4*1000)</f>
        <v>15.590107347955358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11.591975459115863</v>
      </c>
      <c r="C19" s="64">
        <f>IF(C5=0,0,C5/MBunk_act!C5*1000)</f>
        <v>10.150084977027724</v>
      </c>
      <c r="D19" s="64">
        <f>IF(D5=0,0,D5/MBunk_act!D5*1000)</f>
        <v>9.7422898124664172</v>
      </c>
      <c r="E19" s="64">
        <f>IF(E5=0,0,E5/MBunk_act!E5*1000)</f>
        <v>10.378322355724688</v>
      </c>
      <c r="F19" s="64">
        <f>IF(F5=0,0,F5/MBunk_act!F5*1000)</f>
        <v>11.477354368719103</v>
      </c>
      <c r="G19" s="64">
        <f>IF(G5=0,0,G5/MBunk_act!G5*1000)</f>
        <v>10.379647148128903</v>
      </c>
      <c r="H19" s="64">
        <f>IF(H5=0,0,H5/MBunk_act!H5*1000)</f>
        <v>10.598360481703992</v>
      </c>
      <c r="I19" s="64">
        <f>IF(I5=0,0,I5/MBunk_act!I5*1000)</f>
        <v>14.99922511106803</v>
      </c>
      <c r="J19" s="64">
        <f>IF(J5=0,0,J5/MBunk_act!J5*1000)</f>
        <v>10.514519473190807</v>
      </c>
      <c r="K19" s="64">
        <f>IF(K5=0,0,K5/MBunk_act!K5*1000)</f>
        <v>11.65896439512554</v>
      </c>
      <c r="L19" s="64">
        <f>IF(L5=0,0,L5/MBunk_act!L5*1000)</f>
        <v>10.616738541837755</v>
      </c>
      <c r="M19" s="64">
        <f>IF(M5=0,0,M5/MBunk_act!M5*1000)</f>
        <v>12.280846998233296</v>
      </c>
      <c r="N19" s="64">
        <f>IF(N5=0,0,N5/MBunk_act!N5*1000)</f>
        <v>12.282072210858482</v>
      </c>
      <c r="O19" s="64">
        <f>IF(O5=0,0,O5/MBunk_act!O5*1000)</f>
        <v>14.301438965409636</v>
      </c>
      <c r="P19" s="64">
        <f>IF(P5=0,0,P5/MBunk_act!P5*1000)</f>
        <v>9.0444185839800859</v>
      </c>
      <c r="Q19" s="64">
        <f>IF(Q5=0,0,Q5/MBunk_act!Q5*1000)</f>
        <v>7.9428423527034608</v>
      </c>
      <c r="R19" s="64">
        <f>IF(R5=0,0,R5/MBunk_act!R5*1000)</f>
        <v>7.9237605967010571</v>
      </c>
      <c r="S19" s="64">
        <f>IF(S5=0,0,S5/MBunk_act!S5*1000)</f>
        <v>7.9033630528957763</v>
      </c>
      <c r="T19" s="64">
        <f>IF(T5=0,0,T5/MBunk_act!T5*1000)</f>
        <v>8.8671691189935515</v>
      </c>
      <c r="U19" s="64">
        <f>IF(U5=0,0,U5/MBunk_act!U5*1000)</f>
        <v>7.8700563887423369</v>
      </c>
      <c r="V19" s="64">
        <f>IF(V5=0,0,V5/MBunk_act!V5*1000)</f>
        <v>5.1909811819560669</v>
      </c>
      <c r="W19" s="64">
        <f>IF(W5=0,0,W5/MBunk_act!W5*1000)</f>
        <v>5.3938159599037343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0.29300225962376486</v>
      </c>
      <c r="C22" s="77">
        <f t="shared" si="2"/>
        <v>0.2941626898546536</v>
      </c>
      <c r="D22" s="77">
        <f t="shared" si="2"/>
        <v>0.27397787847396654</v>
      </c>
      <c r="E22" s="77">
        <f t="shared" si="2"/>
        <v>0.26936453151425654</v>
      </c>
      <c r="F22" s="77">
        <f t="shared" si="2"/>
        <v>0.2756465317739174</v>
      </c>
      <c r="G22" s="77">
        <f t="shared" si="2"/>
        <v>0.26374364007051687</v>
      </c>
      <c r="H22" s="77">
        <f t="shared" si="2"/>
        <v>0.24161977637733642</v>
      </c>
      <c r="I22" s="77">
        <f t="shared" si="2"/>
        <v>0.24608701317946718</v>
      </c>
      <c r="J22" s="77">
        <f t="shared" si="2"/>
        <v>0.23960596740288209</v>
      </c>
      <c r="K22" s="77">
        <f t="shared" si="2"/>
        <v>0.2563287607325872</v>
      </c>
      <c r="L22" s="77">
        <f t="shared" si="2"/>
        <v>0.25717616457795778</v>
      </c>
      <c r="M22" s="77">
        <f t="shared" si="2"/>
        <v>0.24981004739263651</v>
      </c>
      <c r="N22" s="77">
        <f t="shared" si="2"/>
        <v>0.25129810963806787</v>
      </c>
      <c r="O22" s="77">
        <f t="shared" si="2"/>
        <v>0.23569343021057343</v>
      </c>
      <c r="P22" s="77">
        <f t="shared" si="2"/>
        <v>0.23781713201475749</v>
      </c>
      <c r="Q22" s="77">
        <f t="shared" si="2"/>
        <v>0.22508617651499921</v>
      </c>
      <c r="R22" s="77">
        <f t="shared" si="2"/>
        <v>0.24758025513605067</v>
      </c>
      <c r="S22" s="77">
        <f t="shared" si="2"/>
        <v>0.24409804178123823</v>
      </c>
      <c r="T22" s="77">
        <f t="shared" si="2"/>
        <v>0.244973492859517</v>
      </c>
      <c r="U22" s="77">
        <f t="shared" si="2"/>
        <v>0.23879151441903021</v>
      </c>
      <c r="V22" s="77">
        <f t="shared" si="2"/>
        <v>0.21658732617385018</v>
      </c>
      <c r="W22" s="77">
        <f t="shared" si="2"/>
        <v>0.20851705483347949</v>
      </c>
      <c r="DA22" s="184"/>
    </row>
    <row r="23" spans="1:105" ht="11.45" customHeight="1" x14ac:dyDescent="0.25">
      <c r="A23" s="57" t="s">
        <v>171</v>
      </c>
      <c r="B23" s="78">
        <f t="shared" si="2"/>
        <v>0.70699774037623508</v>
      </c>
      <c r="C23" s="78">
        <f t="shared" si="2"/>
        <v>0.70583731014534645</v>
      </c>
      <c r="D23" s="78">
        <f t="shared" si="2"/>
        <v>0.7260221215260334</v>
      </c>
      <c r="E23" s="78">
        <f t="shared" si="2"/>
        <v>0.73063546848574346</v>
      </c>
      <c r="F23" s="78">
        <f t="shared" si="2"/>
        <v>0.72435346822608271</v>
      </c>
      <c r="G23" s="78">
        <f t="shared" si="2"/>
        <v>0.73625635992948324</v>
      </c>
      <c r="H23" s="78">
        <f t="shared" si="2"/>
        <v>0.75838022362266355</v>
      </c>
      <c r="I23" s="78">
        <f t="shared" si="2"/>
        <v>0.75391298682053276</v>
      </c>
      <c r="J23" s="78">
        <f t="shared" si="2"/>
        <v>0.76039403259711791</v>
      </c>
      <c r="K23" s="78">
        <f t="shared" si="2"/>
        <v>0.74367123926741274</v>
      </c>
      <c r="L23" s="78">
        <f t="shared" si="2"/>
        <v>0.74282383542204222</v>
      </c>
      <c r="M23" s="78">
        <f t="shared" si="2"/>
        <v>0.75018995260736343</v>
      </c>
      <c r="N23" s="78">
        <f t="shared" si="2"/>
        <v>0.74870189036193213</v>
      </c>
      <c r="O23" s="78">
        <f t="shared" si="2"/>
        <v>0.76430656978942646</v>
      </c>
      <c r="P23" s="78">
        <f t="shared" si="2"/>
        <v>0.7621828679852426</v>
      </c>
      <c r="Q23" s="78">
        <f t="shared" si="2"/>
        <v>0.77491382348500071</v>
      </c>
      <c r="R23" s="78">
        <f t="shared" si="2"/>
        <v>0.75241974486394936</v>
      </c>
      <c r="S23" s="78">
        <f t="shared" si="2"/>
        <v>0.75590195821876183</v>
      </c>
      <c r="T23" s="78">
        <f t="shared" si="2"/>
        <v>0.75502650714048292</v>
      </c>
      <c r="U23" s="78">
        <f t="shared" si="2"/>
        <v>0.76120848558096987</v>
      </c>
      <c r="V23" s="78">
        <f t="shared" si="2"/>
        <v>0.78341267382614987</v>
      </c>
      <c r="W23" s="78">
        <f t="shared" si="2"/>
        <v>0.79148294516652051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2F8645-D09C-4360-A58E-8E71BC2BBB02}"/>
</file>

<file path=customXml/itemProps2.xml><?xml version="1.0" encoding="utf-8"?>
<ds:datastoreItem xmlns:ds="http://schemas.openxmlformats.org/officeDocument/2006/customXml" ds:itemID="{A2EA2483-FC03-4C00-A440-761C907D5AAC}"/>
</file>

<file path=customXml/itemProps3.xml><?xml version="1.0" encoding="utf-8"?>
<ds:datastoreItem xmlns:ds="http://schemas.openxmlformats.org/officeDocument/2006/customXml" ds:itemID="{F096BB5D-FAD0-4929-A46C-D51694514F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2024-05-20T16:50:38Z</dcterms:created>
  <dcterms:modified xsi:type="dcterms:W3CDTF">2024-05-20T16:50:38Z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